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ustomProperty7.bin" ContentType="application/vnd.openxmlformats-officedocument.spreadsheetml.customProperty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showHorizontalScroll="0" showVerticalScroll="0" xWindow="-105" yWindow="195" windowWidth="20595" windowHeight="11655"/>
  </bookViews>
  <sheets>
    <sheet name="MAIN" sheetId="36" r:id="rId1"/>
    <sheet name="MAIN_EN" sheetId="42" r:id="rId2"/>
    <sheet name="MAIN_DATA" sheetId="12" r:id="rId3"/>
    <sheet name="CALC_DATA" sheetId="8" r:id="rId4"/>
    <sheet name="DB_LIST1" sheetId="34" r:id="rId5"/>
    <sheet name="DB_LIST2" sheetId="37" r:id="rId6"/>
    <sheet name="DB_PROD" sheetId="40" r:id="rId7"/>
    <sheet name="DB_NM" sheetId="41" r:id="rId8"/>
    <sheet name="PARAM" sheetId="3" r:id="rId9"/>
    <sheet name="CSR처리내역" sheetId="9" r:id="rId10"/>
  </sheets>
  <functionGroups/>
  <definedNames>
    <definedName name="_BASEPOINT_" localSheetId="4" hidden="1">DB_LIST1!$F$6</definedName>
    <definedName name="_BASEPOINT_" localSheetId="5" hidden="1">DB_LIST2!$F$6</definedName>
    <definedName name="_BASEPOINT_" localSheetId="7" hidden="1">DB_NM!$F$6</definedName>
    <definedName name="_BASEPOINT_" localSheetId="6" hidden="1">DB_PROD!$F$6</definedName>
    <definedName name="_xlnm._FilterDatabase" localSheetId="4" hidden="1">DB_LIST1!$F$6:$L$6</definedName>
    <definedName name="_xlnm._FilterDatabase" localSheetId="5" hidden="1">DB_LIST2!$F$6:$L$6</definedName>
    <definedName name="_xlnm._FilterDatabase" localSheetId="7" hidden="1">DB_NM!$F$6:$K$6</definedName>
    <definedName name="_xlnm._FilterDatabase" localSheetId="6" hidden="1">DB_PROD!$F$6:$I$6</definedName>
    <definedName name="_Order1" hidden="1">255</definedName>
    <definedName name="_Order2" hidden="1">255</definedName>
    <definedName name="_RefreshSheets_">PARAM!$C$3</definedName>
    <definedName name="_Regression_Int" hidden="1">1</definedName>
    <definedName name="company_요약" hidden="1">{"'0808_월별 (2)'!$A$2:$T$28"}</definedName>
    <definedName name="ESS_POINTER" localSheetId="8">PARAM!$B$50</definedName>
    <definedName name="HTML_CodePage" hidden="1">949</definedName>
    <definedName name="HTML_Control" hidden="1">{"'0808_월별 (2)'!$A$2:$T$28"}</definedName>
    <definedName name="HTML_Description" hidden="1">""</definedName>
    <definedName name="HTML_Email" hidden="1">"white74@lge.com"</definedName>
    <definedName name="HTML_Header" hidden="1">""</definedName>
    <definedName name="HTML_LastUpdate" hidden="1">"00-09-01"</definedName>
    <definedName name="HTML_LineAfter" hidden="1">FALSE</definedName>
    <definedName name="HTML_LineBefore" hidden="1">FALSE</definedName>
    <definedName name="HTML_Name" hidden="1">"박성관"</definedName>
    <definedName name="HTML_OBDlg2" hidden="1">TRUE</definedName>
    <definedName name="HTML_OBDlg4" hidden="1">TRUE</definedName>
    <definedName name="HTML_OS" hidden="1">0</definedName>
    <definedName name="HTML_PathFile" hidden="1">"D:\환율\2001년 사업계획 환율.htm"</definedName>
    <definedName name="HTML_Title" hidden="1">"환율지침(2001년 사업계획)"</definedName>
    <definedName name="MAPPING_DIVISION">PARAM!$B$19:$D$36</definedName>
    <definedName name="N_B2BB2C">PARAM!$C$11</definedName>
    <definedName name="N_CURRENCY">PARAM!$C$8</definedName>
    <definedName name="N_DIVDT">PARAM!$C$5</definedName>
    <definedName name="N_LANGUAGE">PARAM!$C$10</definedName>
    <definedName name="N_MAF_URL">PARAM!$C$7</definedName>
    <definedName name="N_MAIN_EN_SHEET">PARAM!$C$15</definedName>
    <definedName name="N_MAIN_KO_SHEET">PARAM!$C$14</definedName>
    <definedName name="N_PRODUCT1">DB_PROD!$F$7</definedName>
    <definedName name="N_PRODUCT2">DB_PROD!$F$8</definedName>
    <definedName name="N_SUBSIDIARY">PARAM!$C$9</definedName>
    <definedName name="N_UNIT">PARAM!$C$6</definedName>
    <definedName name="N_YYYYMM">PARAM!$C$4</definedName>
    <definedName name="PPT_Range" localSheetId="1">MAIN_EN!$A$1:$AA$37</definedName>
    <definedName name="PPT_Range">MAIN!$A$1:$AA$37</definedName>
  </definedNames>
  <calcPr calcId="125725" calcOnSave="0"/>
</workbook>
</file>

<file path=xl/calcChain.xml><?xml version="1.0" encoding="utf-8"?>
<calcChain xmlns="http://schemas.openxmlformats.org/spreadsheetml/2006/main">
  <c r="AA35" i="42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AA33" i="36"/>
  <c r="AA29"/>
  <c r="AA25"/>
  <c r="AA21"/>
  <c r="AA17"/>
  <c r="AA13"/>
  <c r="AA9"/>
  <c r="AA5"/>
  <c r="Y35"/>
  <c r="X35"/>
  <c r="W35"/>
  <c r="V35"/>
  <c r="U35"/>
  <c r="T35"/>
  <c r="S35"/>
  <c r="R35"/>
  <c r="Q35"/>
  <c r="Y34"/>
  <c r="X34"/>
  <c r="W34"/>
  <c r="V34"/>
  <c r="U34"/>
  <c r="T34"/>
  <c r="S34"/>
  <c r="R34"/>
  <c r="Q34"/>
  <c r="Y33"/>
  <c r="X33"/>
  <c r="W33"/>
  <c r="V33"/>
  <c r="U33"/>
  <c r="T33"/>
  <c r="S33"/>
  <c r="R33"/>
  <c r="Q33"/>
  <c r="Y32"/>
  <c r="X32"/>
  <c r="W32"/>
  <c r="V32"/>
  <c r="U32"/>
  <c r="T32"/>
  <c r="S32"/>
  <c r="R32"/>
  <c r="Q32"/>
  <c r="Y31"/>
  <c r="X31"/>
  <c r="W31"/>
  <c r="V31"/>
  <c r="U31"/>
  <c r="T31"/>
  <c r="S31"/>
  <c r="R31"/>
  <c r="Q31"/>
  <c r="Y30"/>
  <c r="X30"/>
  <c r="W30"/>
  <c r="V30"/>
  <c r="U30"/>
  <c r="T30"/>
  <c r="S30"/>
  <c r="R30"/>
  <c r="Q30"/>
  <c r="Y29"/>
  <c r="X29"/>
  <c r="W29"/>
  <c r="V29"/>
  <c r="U29"/>
  <c r="T29"/>
  <c r="S29"/>
  <c r="R29"/>
  <c r="Q29"/>
  <c r="Y28"/>
  <c r="X28"/>
  <c r="W28"/>
  <c r="V28"/>
  <c r="U28"/>
  <c r="T28"/>
  <c r="S28"/>
  <c r="R28"/>
  <c r="Q28"/>
  <c r="Y27"/>
  <c r="X27"/>
  <c r="W27"/>
  <c r="V27"/>
  <c r="U27"/>
  <c r="T27"/>
  <c r="S27"/>
  <c r="R27"/>
  <c r="Q27"/>
  <c r="Y26"/>
  <c r="X26"/>
  <c r="W26"/>
  <c r="V26"/>
  <c r="U26"/>
  <c r="T26"/>
  <c r="S26"/>
  <c r="R26"/>
  <c r="Q26"/>
  <c r="Y25"/>
  <c r="X25"/>
  <c r="W25"/>
  <c r="V25"/>
  <c r="U25"/>
  <c r="T25"/>
  <c r="S25"/>
  <c r="R25"/>
  <c r="Q25"/>
  <c r="Y24"/>
  <c r="X24"/>
  <c r="W24"/>
  <c r="V24"/>
  <c r="U24"/>
  <c r="T24"/>
  <c r="S24"/>
  <c r="R24"/>
  <c r="Q24"/>
  <c r="Y23"/>
  <c r="X23"/>
  <c r="W23"/>
  <c r="V23"/>
  <c r="U23"/>
  <c r="T23"/>
  <c r="S23"/>
  <c r="R23"/>
  <c r="Q23"/>
  <c r="Y22"/>
  <c r="X22"/>
  <c r="W22"/>
  <c r="V22"/>
  <c r="U22"/>
  <c r="T22"/>
  <c r="S22"/>
  <c r="R22"/>
  <c r="Q22"/>
  <c r="Y21"/>
  <c r="X21"/>
  <c r="W21"/>
  <c r="V21"/>
  <c r="U21"/>
  <c r="T21"/>
  <c r="S21"/>
  <c r="R21"/>
  <c r="Q21"/>
  <c r="Y20"/>
  <c r="X20"/>
  <c r="W20"/>
  <c r="V20"/>
  <c r="U20"/>
  <c r="T20"/>
  <c r="S20"/>
  <c r="R20"/>
  <c r="Q20"/>
  <c r="Y19"/>
  <c r="X19"/>
  <c r="W19"/>
  <c r="V19"/>
  <c r="U19"/>
  <c r="T19"/>
  <c r="S19"/>
  <c r="R19"/>
  <c r="Q19"/>
  <c r="Y18"/>
  <c r="X18"/>
  <c r="W18"/>
  <c r="V18"/>
  <c r="U18"/>
  <c r="T18"/>
  <c r="S18"/>
  <c r="R18"/>
  <c r="Q18"/>
  <c r="Y17"/>
  <c r="X17"/>
  <c r="W17"/>
  <c r="V17"/>
  <c r="U17"/>
  <c r="T17"/>
  <c r="S17"/>
  <c r="R17"/>
  <c r="Q17"/>
  <c r="Y16"/>
  <c r="X16"/>
  <c r="W16"/>
  <c r="V16"/>
  <c r="U16"/>
  <c r="T16"/>
  <c r="S16"/>
  <c r="R16"/>
  <c r="Q16"/>
  <c r="Y15"/>
  <c r="X15"/>
  <c r="W15"/>
  <c r="V15"/>
  <c r="U15"/>
  <c r="T15"/>
  <c r="S15"/>
  <c r="R15"/>
  <c r="Q15"/>
  <c r="Y14"/>
  <c r="X14"/>
  <c r="W14"/>
  <c r="V14"/>
  <c r="U14"/>
  <c r="T14"/>
  <c r="S14"/>
  <c r="R14"/>
  <c r="Q14"/>
  <c r="Y13"/>
  <c r="X13"/>
  <c r="W13"/>
  <c r="V13"/>
  <c r="U13"/>
  <c r="T13"/>
  <c r="S13"/>
  <c r="R13"/>
  <c r="Q13"/>
  <c r="Y12"/>
  <c r="X12"/>
  <c r="W12"/>
  <c r="V12"/>
  <c r="U12"/>
  <c r="T12"/>
  <c r="S12"/>
  <c r="R12"/>
  <c r="Q12"/>
  <c r="Y11"/>
  <c r="X11"/>
  <c r="W11"/>
  <c r="V11"/>
  <c r="U11"/>
  <c r="T11"/>
  <c r="S11"/>
  <c r="R11"/>
  <c r="Q11"/>
  <c r="Y10"/>
  <c r="X10"/>
  <c r="W10"/>
  <c r="V10"/>
  <c r="U10"/>
  <c r="T10"/>
  <c r="S10"/>
  <c r="R10"/>
  <c r="Q10"/>
  <c r="Y9"/>
  <c r="X9"/>
  <c r="W9"/>
  <c r="V9"/>
  <c r="U9"/>
  <c r="T9"/>
  <c r="S9"/>
  <c r="R9"/>
  <c r="Q9"/>
  <c r="Y8"/>
  <c r="X8"/>
  <c r="W8"/>
  <c r="V8"/>
  <c r="U8"/>
  <c r="T8"/>
  <c r="S8"/>
  <c r="R8"/>
  <c r="Q8"/>
  <c r="Y7"/>
  <c r="X7"/>
  <c r="W7"/>
  <c r="V7"/>
  <c r="U7"/>
  <c r="T7"/>
  <c r="S7"/>
  <c r="R7"/>
  <c r="Q7"/>
  <c r="Y6"/>
  <c r="X6"/>
  <c r="W6"/>
  <c r="V6"/>
  <c r="U6"/>
  <c r="T6"/>
  <c r="S6"/>
  <c r="R6"/>
  <c r="Q6"/>
  <c r="Y5"/>
  <c r="X5"/>
  <c r="W5"/>
  <c r="V5"/>
  <c r="U5"/>
  <c r="T5"/>
  <c r="S5"/>
  <c r="R5"/>
  <c r="Q5"/>
  <c r="N33"/>
  <c r="N29"/>
  <c r="N25"/>
  <c r="N21"/>
  <c r="N17"/>
  <c r="N13"/>
  <c r="N9"/>
  <c r="N5"/>
  <c r="L35"/>
  <c r="K35"/>
  <c r="J35"/>
  <c r="I35"/>
  <c r="H35"/>
  <c r="G35"/>
  <c r="F35"/>
  <c r="E35"/>
  <c r="L34"/>
  <c r="K34"/>
  <c r="J34"/>
  <c r="I34"/>
  <c r="H34"/>
  <c r="G34"/>
  <c r="F34"/>
  <c r="E34"/>
  <c r="L33"/>
  <c r="K33"/>
  <c r="J33"/>
  <c r="I33"/>
  <c r="H33"/>
  <c r="G33"/>
  <c r="F33"/>
  <c r="E33"/>
  <c r="L32"/>
  <c r="K32"/>
  <c r="J32"/>
  <c r="I32"/>
  <c r="H32"/>
  <c r="G32"/>
  <c r="F32"/>
  <c r="E32"/>
  <c r="L31"/>
  <c r="K31"/>
  <c r="J31"/>
  <c r="I31"/>
  <c r="H31"/>
  <c r="G31"/>
  <c r="F31"/>
  <c r="E31"/>
  <c r="L30"/>
  <c r="K30"/>
  <c r="J30"/>
  <c r="I30"/>
  <c r="H30"/>
  <c r="G30"/>
  <c r="F30"/>
  <c r="E30"/>
  <c r="L29"/>
  <c r="K29"/>
  <c r="J29"/>
  <c r="I29"/>
  <c r="H29"/>
  <c r="G29"/>
  <c r="F29"/>
  <c r="E29"/>
  <c r="L28"/>
  <c r="K28"/>
  <c r="J28"/>
  <c r="I28"/>
  <c r="H28"/>
  <c r="G28"/>
  <c r="F28"/>
  <c r="E28"/>
  <c r="L27"/>
  <c r="K27"/>
  <c r="J27"/>
  <c r="I27"/>
  <c r="H27"/>
  <c r="G27"/>
  <c r="F27"/>
  <c r="E27"/>
  <c r="L26"/>
  <c r="K26"/>
  <c r="J26"/>
  <c r="I26"/>
  <c r="H26"/>
  <c r="G26"/>
  <c r="F26"/>
  <c r="E26"/>
  <c r="L25"/>
  <c r="K25"/>
  <c r="J25"/>
  <c r="I25"/>
  <c r="H25"/>
  <c r="G25"/>
  <c r="F25"/>
  <c r="E25"/>
  <c r="L24"/>
  <c r="K24"/>
  <c r="J24"/>
  <c r="I24"/>
  <c r="H24"/>
  <c r="G24"/>
  <c r="F24"/>
  <c r="E24"/>
  <c r="L23"/>
  <c r="K23"/>
  <c r="J23"/>
  <c r="I23"/>
  <c r="H23"/>
  <c r="G23"/>
  <c r="F23"/>
  <c r="E23"/>
  <c r="L22"/>
  <c r="K22"/>
  <c r="J22"/>
  <c r="I22"/>
  <c r="H22"/>
  <c r="G22"/>
  <c r="F22"/>
  <c r="E22"/>
  <c r="L21"/>
  <c r="K21"/>
  <c r="J21"/>
  <c r="I21"/>
  <c r="H21"/>
  <c r="G21"/>
  <c r="F21"/>
  <c r="E21"/>
  <c r="L20"/>
  <c r="K20"/>
  <c r="J20"/>
  <c r="I20"/>
  <c r="H20"/>
  <c r="G20"/>
  <c r="F20"/>
  <c r="E20"/>
  <c r="L19"/>
  <c r="K19"/>
  <c r="J19"/>
  <c r="I19"/>
  <c r="H19"/>
  <c r="G19"/>
  <c r="F19"/>
  <c r="E19"/>
  <c r="L18"/>
  <c r="K18"/>
  <c r="J18"/>
  <c r="I18"/>
  <c r="H18"/>
  <c r="G18"/>
  <c r="F18"/>
  <c r="E18"/>
  <c r="L17"/>
  <c r="K17"/>
  <c r="J17"/>
  <c r="I17"/>
  <c r="H17"/>
  <c r="G17"/>
  <c r="F17"/>
  <c r="E17"/>
  <c r="L16"/>
  <c r="K16"/>
  <c r="J16"/>
  <c r="I16"/>
  <c r="H16"/>
  <c r="G16"/>
  <c r="F16"/>
  <c r="E16"/>
  <c r="L15"/>
  <c r="K15"/>
  <c r="J15"/>
  <c r="I15"/>
  <c r="H15"/>
  <c r="G15"/>
  <c r="F15"/>
  <c r="E15"/>
  <c r="L14"/>
  <c r="K14"/>
  <c r="J14"/>
  <c r="I14"/>
  <c r="H14"/>
  <c r="G14"/>
  <c r="F14"/>
  <c r="E14"/>
  <c r="L13"/>
  <c r="K13"/>
  <c r="J13"/>
  <c r="I13"/>
  <c r="H13"/>
  <c r="G13"/>
  <c r="F13"/>
  <c r="E13"/>
  <c r="L12"/>
  <c r="K12"/>
  <c r="J12"/>
  <c r="I12"/>
  <c r="H12"/>
  <c r="G12"/>
  <c r="F12"/>
  <c r="E12"/>
  <c r="L11"/>
  <c r="K11"/>
  <c r="J11"/>
  <c r="I11"/>
  <c r="H11"/>
  <c r="G11"/>
  <c r="F11"/>
  <c r="E11"/>
  <c r="L10"/>
  <c r="K10"/>
  <c r="J10"/>
  <c r="I10"/>
  <c r="H10"/>
  <c r="G10"/>
  <c r="F10"/>
  <c r="E10"/>
  <c r="L9"/>
  <c r="K9"/>
  <c r="J9"/>
  <c r="I9"/>
  <c r="H9"/>
  <c r="G9"/>
  <c r="F9"/>
  <c r="E9"/>
  <c r="L8"/>
  <c r="K8"/>
  <c r="J8"/>
  <c r="I8"/>
  <c r="H8"/>
  <c r="G8"/>
  <c r="F8"/>
  <c r="E8"/>
  <c r="L7"/>
  <c r="K7"/>
  <c r="J7"/>
  <c r="I7"/>
  <c r="H7"/>
  <c r="G7"/>
  <c r="F7"/>
  <c r="E7"/>
  <c r="L6"/>
  <c r="K6"/>
  <c r="J6"/>
  <c r="I6"/>
  <c r="H6"/>
  <c r="G6"/>
  <c r="F6"/>
  <c r="E6"/>
  <c r="L5"/>
  <c r="K5"/>
  <c r="J5"/>
  <c r="I5"/>
  <c r="H5"/>
  <c r="G5"/>
  <c r="F5"/>
  <c r="E5"/>
  <c r="A106" i="37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156" i="34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B34" i="42" l="1"/>
  <c r="B30"/>
  <c r="B26"/>
  <c r="B22"/>
  <c r="B18"/>
  <c r="B14"/>
  <c r="B10"/>
  <c r="B6"/>
  <c r="B35"/>
  <c r="B33"/>
  <c r="C32"/>
  <c r="B32"/>
  <c r="B31"/>
  <c r="B29"/>
  <c r="C28"/>
  <c r="B28"/>
  <c r="B27"/>
  <c r="B25"/>
  <c r="C24"/>
  <c r="B24"/>
  <c r="B23"/>
  <c r="B21"/>
  <c r="C20"/>
  <c r="B20"/>
  <c r="B19"/>
  <c r="B17"/>
  <c r="C16"/>
  <c r="B16"/>
  <c r="B15"/>
  <c r="B13"/>
  <c r="C12"/>
  <c r="B12"/>
  <c r="B11"/>
  <c r="B9"/>
  <c r="C8"/>
  <c r="B8"/>
  <c r="C7"/>
  <c r="B7"/>
  <c r="C6"/>
  <c r="C5"/>
  <c r="B5"/>
  <c r="W40" i="12"/>
  <c r="W39"/>
  <c r="W38"/>
  <c r="W36"/>
  <c r="W35"/>
  <c r="W34"/>
  <c r="W32"/>
  <c r="W31"/>
  <c r="W30"/>
  <c r="W28"/>
  <c r="W27"/>
  <c r="W26"/>
  <c r="W24"/>
  <c r="W23"/>
  <c r="W22"/>
  <c r="W20"/>
  <c r="W19"/>
  <c r="W18"/>
  <c r="W15"/>
  <c r="W14"/>
  <c r="W16"/>
  <c r="J16"/>
  <c r="C11" i="42" s="1"/>
  <c r="J15" i="12"/>
  <c r="C10" i="42" s="1"/>
  <c r="J14" i="12"/>
  <c r="C9" i="42" s="1"/>
  <c r="J40" i="12"/>
  <c r="C35" i="42" s="1"/>
  <c r="J39" i="12"/>
  <c r="C34" i="42" s="1"/>
  <c r="J38" i="12"/>
  <c r="C33" i="42" s="1"/>
  <c r="J36" i="12"/>
  <c r="C31" i="42" s="1"/>
  <c r="J35" i="12"/>
  <c r="C30" i="42" s="1"/>
  <c r="J34" i="12"/>
  <c r="C29" i="42" s="1"/>
  <c r="J32" i="12"/>
  <c r="C27" i="42" s="1"/>
  <c r="J31" i="12"/>
  <c r="C26" i="42" s="1"/>
  <c r="J30" i="12"/>
  <c r="C25" i="42" s="1"/>
  <c r="J28" i="12"/>
  <c r="C23" i="42" s="1"/>
  <c r="J27" i="12"/>
  <c r="C22" i="42" s="1"/>
  <c r="J26" i="12"/>
  <c r="C21" i="42" s="1"/>
  <c r="J24" i="12"/>
  <c r="C19" i="42" s="1"/>
  <c r="J23" i="12"/>
  <c r="C18" i="42" s="1"/>
  <c r="J22" i="12"/>
  <c r="C17" i="42" s="1"/>
  <c r="J20" i="12"/>
  <c r="C15" i="42" s="1"/>
  <c r="J19" i="12"/>
  <c r="C14" i="42" s="1"/>
  <c r="J18" i="12"/>
  <c r="C13" i="42" s="1"/>
  <c r="C13" i="36"/>
  <c r="AH3" i="12"/>
  <c r="AG3"/>
  <c r="AF3"/>
  <c r="AE3"/>
  <c r="AD3"/>
  <c r="AC3"/>
  <c r="AB3"/>
  <c r="AA3"/>
  <c r="Z3"/>
  <c r="Y3"/>
  <c r="X3"/>
  <c r="W3"/>
  <c r="V3"/>
  <c r="U3"/>
  <c r="T3"/>
  <c r="S3"/>
  <c r="R3"/>
  <c r="Q3"/>
  <c r="O3"/>
  <c r="N3"/>
  <c r="M3"/>
  <c r="L3"/>
  <c r="K3"/>
  <c r="P3"/>
  <c r="C13" i="3"/>
  <c r="C12"/>
  <c r="A14" i="12" l="1"/>
  <c r="A1764" i="37" l="1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3015" i="34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2972" i="37" l="1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A35" i="36" l="1"/>
  <c r="P35"/>
  <c r="O35"/>
  <c r="N35"/>
  <c r="C35"/>
  <c r="B35"/>
  <c r="AA34"/>
  <c r="P34"/>
  <c r="O34"/>
  <c r="N34"/>
  <c r="C34"/>
  <c r="B34"/>
  <c r="P33"/>
  <c r="O33"/>
  <c r="C33"/>
  <c r="B33"/>
  <c r="AA32"/>
  <c r="P32"/>
  <c r="O32"/>
  <c r="N32"/>
  <c r="C32"/>
  <c r="B32"/>
  <c r="AA31"/>
  <c r="P31"/>
  <c r="O31"/>
  <c r="N31"/>
  <c r="C31"/>
  <c r="B31"/>
  <c r="AA30"/>
  <c r="P30"/>
  <c r="O30"/>
  <c r="N30"/>
  <c r="C30"/>
  <c r="B30"/>
  <c r="P29"/>
  <c r="O29"/>
  <c r="C29"/>
  <c r="B29"/>
  <c r="AA28"/>
  <c r="P28"/>
  <c r="O28"/>
  <c r="N28"/>
  <c r="C28"/>
  <c r="B28"/>
  <c r="AA27"/>
  <c r="P27"/>
  <c r="O27"/>
  <c r="N27"/>
  <c r="C27"/>
  <c r="B27"/>
  <c r="AA26"/>
  <c r="P26"/>
  <c r="O26"/>
  <c r="N26"/>
  <c r="C26"/>
  <c r="B26"/>
  <c r="P25"/>
  <c r="O25"/>
  <c r="C25"/>
  <c r="B25"/>
  <c r="AA24"/>
  <c r="P24"/>
  <c r="O24"/>
  <c r="N24"/>
  <c r="C24"/>
  <c r="B24"/>
  <c r="AA23"/>
  <c r="P23"/>
  <c r="O23"/>
  <c r="N23"/>
  <c r="C23"/>
  <c r="B23"/>
  <c r="AA22"/>
  <c r="P22"/>
  <c r="O22"/>
  <c r="N22"/>
  <c r="C22"/>
  <c r="B22"/>
  <c r="P21"/>
  <c r="O21"/>
  <c r="C21"/>
  <c r="B21"/>
  <c r="AA20"/>
  <c r="P20"/>
  <c r="O20"/>
  <c r="N20"/>
  <c r="C20"/>
  <c r="B20"/>
  <c r="AA19"/>
  <c r="P19"/>
  <c r="O19"/>
  <c r="N19"/>
  <c r="C19"/>
  <c r="B19"/>
  <c r="AA18"/>
  <c r="P18"/>
  <c r="O18"/>
  <c r="N18"/>
  <c r="C18"/>
  <c r="B18"/>
  <c r="P17"/>
  <c r="O17"/>
  <c r="C17"/>
  <c r="B17"/>
  <c r="AA16"/>
  <c r="P16"/>
  <c r="O16"/>
  <c r="N16"/>
  <c r="C16"/>
  <c r="B16"/>
  <c r="AA15"/>
  <c r="P15"/>
  <c r="O15"/>
  <c r="N15"/>
  <c r="C15"/>
  <c r="B15"/>
  <c r="AA14"/>
  <c r="P14"/>
  <c r="O14"/>
  <c r="N14"/>
  <c r="C14"/>
  <c r="B14"/>
  <c r="P13"/>
  <c r="O13"/>
  <c r="B13"/>
  <c r="AA12"/>
  <c r="P12"/>
  <c r="O12"/>
  <c r="N12"/>
  <c r="C12"/>
  <c r="B12"/>
  <c r="AA11"/>
  <c r="P11"/>
  <c r="O11"/>
  <c r="N11"/>
  <c r="C11"/>
  <c r="B11"/>
  <c r="AA10"/>
  <c r="P10"/>
  <c r="O10"/>
  <c r="N10"/>
  <c r="C10"/>
  <c r="B10"/>
  <c r="P9"/>
  <c r="O9"/>
  <c r="C9"/>
  <c r="B9"/>
  <c r="AA8"/>
  <c r="P8"/>
  <c r="O8"/>
  <c r="N8"/>
  <c r="C8"/>
  <c r="B8"/>
  <c r="AA7"/>
  <c r="P7"/>
  <c r="O7"/>
  <c r="N7"/>
  <c r="C7"/>
  <c r="B7"/>
  <c r="AA6"/>
  <c r="P6"/>
  <c r="O6"/>
  <c r="N6"/>
  <c r="C6"/>
  <c r="B6"/>
  <c r="P5"/>
  <c r="O5"/>
  <c r="C5"/>
  <c r="B5"/>
  <c r="B41" i="12" l="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A10"/>
  <c r="B10"/>
  <c r="A16"/>
  <c r="X7"/>
  <c r="AG2"/>
  <c r="AF2"/>
  <c r="AF8" s="1"/>
  <c r="AE2"/>
  <c r="AE8" s="1"/>
  <c r="AD2"/>
  <c r="AD8" s="1"/>
  <c r="AC2"/>
  <c r="AC8" s="1"/>
  <c r="AB2"/>
  <c r="AB8" s="1"/>
  <c r="AA2"/>
  <c r="AA8" s="1"/>
  <c r="Z2"/>
  <c r="Z8" s="1"/>
  <c r="Y2"/>
  <c r="Y8" s="1"/>
  <c r="X2"/>
  <c r="X8" s="1"/>
  <c r="T2"/>
  <c r="K2"/>
  <c r="K8" s="1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5"/>
  <c r="A13"/>
  <c r="A12"/>
  <c r="A11"/>
  <c r="A3060" i="37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6"/>
  <c r="A6" i="34"/>
  <c r="K10" i="12" s="1"/>
  <c r="D5" i="42" s="1"/>
  <c r="T4" i="36" l="1"/>
  <c r="T4" i="42"/>
  <c r="V4" i="36"/>
  <c r="V4" i="42"/>
  <c r="X4" i="36"/>
  <c r="X4" i="42"/>
  <c r="D4" i="36"/>
  <c r="D4" i="42"/>
  <c r="R4" i="36"/>
  <c r="R4" i="42"/>
  <c r="Q4" i="36"/>
  <c r="Q4" i="42"/>
  <c r="U4" i="36"/>
  <c r="U4" i="42"/>
  <c r="Y4" i="36"/>
  <c r="Y4" i="42"/>
  <c r="Z7" i="12"/>
  <c r="S4" i="36"/>
  <c r="S4" i="42"/>
  <c r="W4" i="36"/>
  <c r="W4" i="42"/>
  <c r="Q3" i="36"/>
  <c r="Q3" i="42"/>
  <c r="AD7" i="12"/>
  <c r="AA7"/>
  <c r="AE7"/>
  <c r="Y7"/>
  <c r="AC7"/>
  <c r="AB7"/>
  <c r="AF7"/>
  <c r="AD41"/>
  <c r="Z41"/>
  <c r="AF40"/>
  <c r="AB40"/>
  <c r="X40"/>
  <c r="AD39"/>
  <c r="Z39"/>
  <c r="AF38"/>
  <c r="AB38"/>
  <c r="X38"/>
  <c r="AD37"/>
  <c r="Z37"/>
  <c r="AF36"/>
  <c r="AB36"/>
  <c r="X36"/>
  <c r="AD35"/>
  <c r="Z35"/>
  <c r="AF34"/>
  <c r="AB34"/>
  <c r="X34"/>
  <c r="AD33"/>
  <c r="Z33"/>
  <c r="AF32"/>
  <c r="AB32"/>
  <c r="X32"/>
  <c r="AD31"/>
  <c r="Z31"/>
  <c r="AF30"/>
  <c r="AB30"/>
  <c r="X30"/>
  <c r="AD29"/>
  <c r="Z29"/>
  <c r="AF28"/>
  <c r="AB28"/>
  <c r="X28"/>
  <c r="AD27"/>
  <c r="Z27"/>
  <c r="AF26"/>
  <c r="AB26"/>
  <c r="X26"/>
  <c r="AD25"/>
  <c r="Z25"/>
  <c r="AF24"/>
  <c r="AB24"/>
  <c r="X24"/>
  <c r="AD23"/>
  <c r="Z23"/>
  <c r="AF22"/>
  <c r="AB22"/>
  <c r="X22"/>
  <c r="AD21"/>
  <c r="Z21"/>
  <c r="AF20"/>
  <c r="AB20"/>
  <c r="X20"/>
  <c r="AD19"/>
  <c r="Z19"/>
  <c r="AF18"/>
  <c r="AB18"/>
  <c r="X18"/>
  <c r="AD17"/>
  <c r="Z17"/>
  <c r="AF16"/>
  <c r="AB16"/>
  <c r="X16"/>
  <c r="AD15"/>
  <c r="Z15"/>
  <c r="AF14"/>
  <c r="AB14"/>
  <c r="X14"/>
  <c r="AD13"/>
  <c r="Z13"/>
  <c r="AF12"/>
  <c r="AB12"/>
  <c r="X12"/>
  <c r="AD11"/>
  <c r="Z11"/>
  <c r="AF10"/>
  <c r="AB10"/>
  <c r="X10"/>
  <c r="AA25"/>
  <c r="AC24"/>
  <c r="Y24"/>
  <c r="AA23"/>
  <c r="Y22"/>
  <c r="AE21"/>
  <c r="AC20"/>
  <c r="AE19"/>
  <c r="AA19"/>
  <c r="AC18"/>
  <c r="Y18"/>
  <c r="AA17"/>
  <c r="Y16"/>
  <c r="AE15"/>
  <c r="AC14"/>
  <c r="AE13"/>
  <c r="AA13"/>
  <c r="Y12"/>
  <c r="AE11"/>
  <c r="AC10"/>
  <c r="AF19"/>
  <c r="X19"/>
  <c r="Z18"/>
  <c r="AF17"/>
  <c r="AD16"/>
  <c r="Z16"/>
  <c r="X15"/>
  <c r="AD14"/>
  <c r="AB13"/>
  <c r="X13"/>
  <c r="Z12"/>
  <c r="AB11"/>
  <c r="AD10"/>
  <c r="AC41"/>
  <c r="AE40"/>
  <c r="AA40"/>
  <c r="Y39"/>
  <c r="AE38"/>
  <c r="AC37"/>
  <c r="Y37"/>
  <c r="AC35"/>
  <c r="AA34"/>
  <c r="AE32"/>
  <c r="AA32"/>
  <c r="Y31"/>
  <c r="AE30"/>
  <c r="AC29"/>
  <c r="Y29"/>
  <c r="AC27"/>
  <c r="AA26"/>
  <c r="AE24"/>
  <c r="AA24"/>
  <c r="Y23"/>
  <c r="AE22"/>
  <c r="AC21"/>
  <c r="Y21"/>
  <c r="AE20"/>
  <c r="AC19"/>
  <c r="Y19"/>
  <c r="AC17"/>
  <c r="AA16"/>
  <c r="AE14"/>
  <c r="AA14"/>
  <c r="Y13"/>
  <c r="AE12"/>
  <c r="AC11"/>
  <c r="Y11"/>
  <c r="X5"/>
  <c r="AE41"/>
  <c r="AA41"/>
  <c r="AC40"/>
  <c r="Y40"/>
  <c r="AE39"/>
  <c r="AA39"/>
  <c r="AC38"/>
  <c r="Y38"/>
  <c r="AE37"/>
  <c r="AA37"/>
  <c r="AC36"/>
  <c r="Y36"/>
  <c r="AE35"/>
  <c r="AA35"/>
  <c r="AC34"/>
  <c r="Y34"/>
  <c r="AE33"/>
  <c r="AA33"/>
  <c r="AC32"/>
  <c r="Y32"/>
  <c r="AE31"/>
  <c r="AA31"/>
  <c r="AC30"/>
  <c r="Y30"/>
  <c r="AE29"/>
  <c r="AA29"/>
  <c r="AC28"/>
  <c r="Y28"/>
  <c r="AE27"/>
  <c r="AA27"/>
  <c r="AC26"/>
  <c r="Y26"/>
  <c r="AE25"/>
  <c r="AE23"/>
  <c r="AC22"/>
  <c r="AA21"/>
  <c r="Y20"/>
  <c r="AE17"/>
  <c r="AC16"/>
  <c r="AA15"/>
  <c r="Y14"/>
  <c r="AC12"/>
  <c r="AA11"/>
  <c r="Y10"/>
  <c r="AB19"/>
  <c r="X17"/>
  <c r="AB15"/>
  <c r="AF13"/>
  <c r="X11"/>
  <c r="Y41"/>
  <c r="AA38"/>
  <c r="AE36"/>
  <c r="Y35"/>
  <c r="AC33"/>
  <c r="AE28"/>
  <c r="Y27"/>
  <c r="AC25"/>
  <c r="AA22"/>
  <c r="AA18"/>
  <c r="Y17"/>
  <c r="AC15"/>
  <c r="AC13"/>
  <c r="AA12"/>
  <c r="AA10"/>
  <c r="AF41"/>
  <c r="AG41" s="1"/>
  <c r="AB41"/>
  <c r="X41"/>
  <c r="AD40"/>
  <c r="Z40"/>
  <c r="AF39"/>
  <c r="AB39"/>
  <c r="X39"/>
  <c r="AD38"/>
  <c r="Z38"/>
  <c r="AF37"/>
  <c r="AB37"/>
  <c r="X37"/>
  <c r="AD36"/>
  <c r="Z36"/>
  <c r="AF35"/>
  <c r="AB35"/>
  <c r="X35"/>
  <c r="AD34"/>
  <c r="Z34"/>
  <c r="AF33"/>
  <c r="AB33"/>
  <c r="X33"/>
  <c r="AD32"/>
  <c r="Z32"/>
  <c r="AF31"/>
  <c r="AB31"/>
  <c r="X31"/>
  <c r="AD30"/>
  <c r="Z30"/>
  <c r="AF29"/>
  <c r="AB29"/>
  <c r="X29"/>
  <c r="AD28"/>
  <c r="Z28"/>
  <c r="AF27"/>
  <c r="AB27"/>
  <c r="X27"/>
  <c r="AD26"/>
  <c r="Z26"/>
  <c r="AF25"/>
  <c r="AB25"/>
  <c r="X25"/>
  <c r="AD24"/>
  <c r="Z24"/>
  <c r="AF23"/>
  <c r="AB23"/>
  <c r="X23"/>
  <c r="AD22"/>
  <c r="Z22"/>
  <c r="AF21"/>
  <c r="AB21"/>
  <c r="X21"/>
  <c r="AD20"/>
  <c r="Z20"/>
  <c r="AD18"/>
  <c r="AB17"/>
  <c r="AF15"/>
  <c r="Z14"/>
  <c r="AD12"/>
  <c r="AF11"/>
  <c r="Z10"/>
  <c r="AC39"/>
  <c r="AA36"/>
  <c r="AE34"/>
  <c r="Y33"/>
  <c r="AC31"/>
  <c r="AA30"/>
  <c r="AA28"/>
  <c r="AE26"/>
  <c r="Y25"/>
  <c r="AC23"/>
  <c r="AA20"/>
  <c r="AE18"/>
  <c r="AE16"/>
  <c r="Y15"/>
  <c r="AE10"/>
  <c r="K41"/>
  <c r="K39"/>
  <c r="K37"/>
  <c r="K35"/>
  <c r="K33"/>
  <c r="K31"/>
  <c r="K29"/>
  <c r="K27"/>
  <c r="K25"/>
  <c r="S23"/>
  <c r="K23"/>
  <c r="K21"/>
  <c r="K19"/>
  <c r="O17"/>
  <c r="K17"/>
  <c r="K15"/>
  <c r="K13"/>
  <c r="K11"/>
  <c r="K16"/>
  <c r="K14"/>
  <c r="L28"/>
  <c r="K5"/>
  <c r="K40"/>
  <c r="K38"/>
  <c r="K36"/>
  <c r="K34"/>
  <c r="K32"/>
  <c r="K30"/>
  <c r="K28"/>
  <c r="K26"/>
  <c r="K24"/>
  <c r="K22"/>
  <c r="K20"/>
  <c r="K18"/>
  <c r="K12"/>
  <c r="D5" i="36"/>
  <c r="M2" i="12"/>
  <c r="M8" s="1"/>
  <c r="N2"/>
  <c r="N33" s="1"/>
  <c r="O2"/>
  <c r="O37" s="1"/>
  <c r="P2"/>
  <c r="P8" s="1"/>
  <c r="Q2"/>
  <c r="Q40" s="1"/>
  <c r="R2"/>
  <c r="R8" s="1"/>
  <c r="S2"/>
  <c r="S35" s="1"/>
  <c r="L2"/>
  <c r="L8" s="1"/>
  <c r="K7"/>
  <c r="L25" l="1"/>
  <c r="L34"/>
  <c r="L17"/>
  <c r="S12"/>
  <c r="K4" i="36"/>
  <c r="K4" i="42"/>
  <c r="D27" i="36"/>
  <c r="D27" i="42"/>
  <c r="D8" i="36"/>
  <c r="D8" i="42"/>
  <c r="D25" i="36"/>
  <c r="D25" i="42"/>
  <c r="D6" i="36"/>
  <c r="D6" i="42"/>
  <c r="D24" i="36"/>
  <c r="D24" i="42"/>
  <c r="D31" i="36"/>
  <c r="D31" i="42"/>
  <c r="D16" i="36"/>
  <c r="D16" i="42"/>
  <c r="U3" i="36"/>
  <c r="U3" i="42"/>
  <c r="T3" i="36"/>
  <c r="T3" i="42"/>
  <c r="S3" i="36"/>
  <c r="S3" i="42"/>
  <c r="O36" i="12"/>
  <c r="O41"/>
  <c r="D3" i="36"/>
  <c r="D3" i="42"/>
  <c r="D15" i="36"/>
  <c r="D15" i="42"/>
  <c r="D21" i="36"/>
  <c r="D21" i="42"/>
  <c r="D13" i="36"/>
  <c r="D13" i="42"/>
  <c r="D19" i="36"/>
  <c r="D19" i="42"/>
  <c r="D12" i="36"/>
  <c r="D12" i="42"/>
  <c r="D18" i="36"/>
  <c r="D18" i="42"/>
  <c r="D30" i="36"/>
  <c r="D30" i="42"/>
  <c r="E4" i="36"/>
  <c r="E4" i="42"/>
  <c r="I4" i="36"/>
  <c r="I4" i="42"/>
  <c r="D17" i="36"/>
  <c r="D17" i="42"/>
  <c r="D11" i="36"/>
  <c r="D11" i="42"/>
  <c r="D22" i="36"/>
  <c r="D22" i="42"/>
  <c r="D28" i="36"/>
  <c r="D28" i="42"/>
  <c r="F4" i="36"/>
  <c r="F4" i="42"/>
  <c r="D7" i="36"/>
  <c r="D7" i="42"/>
  <c r="D23" i="36"/>
  <c r="D23" i="42"/>
  <c r="D29" i="36"/>
  <c r="D29" i="42"/>
  <c r="D35" i="36"/>
  <c r="D35" i="42"/>
  <c r="D9" i="36"/>
  <c r="D9" i="42"/>
  <c r="D10" i="36"/>
  <c r="D10" i="42"/>
  <c r="D14" i="36"/>
  <c r="D14" i="42"/>
  <c r="D20" i="36"/>
  <c r="D20" i="42"/>
  <c r="D34" i="36"/>
  <c r="D34" i="42"/>
  <c r="Y3" i="36"/>
  <c r="Y3" i="42"/>
  <c r="X3" i="36"/>
  <c r="X3" i="42"/>
  <c r="L20" i="12"/>
  <c r="O16"/>
  <c r="O28"/>
  <c r="L41"/>
  <c r="S15"/>
  <c r="N8"/>
  <c r="O20"/>
  <c r="L33"/>
  <c r="S31"/>
  <c r="D33" i="36"/>
  <c r="D33" i="42"/>
  <c r="D26" i="36"/>
  <c r="D26" i="42"/>
  <c r="D32" i="36"/>
  <c r="D32" i="42"/>
  <c r="R3" i="36"/>
  <c r="R3" i="42"/>
  <c r="AG26" i="12"/>
  <c r="V3" i="36"/>
  <c r="V3" i="42"/>
  <c r="W3" i="36"/>
  <c r="W3" i="42"/>
  <c r="M33" i="12"/>
  <c r="M18"/>
  <c r="Q20"/>
  <c r="M38"/>
  <c r="M25"/>
  <c r="M26"/>
  <c r="Q28"/>
  <c r="P16"/>
  <c r="L30"/>
  <c r="L40"/>
  <c r="M13"/>
  <c r="Q27"/>
  <c r="Q29"/>
  <c r="L15"/>
  <c r="L23"/>
  <c r="L31"/>
  <c r="L39"/>
  <c r="P24"/>
  <c r="Q11"/>
  <c r="M17"/>
  <c r="M12"/>
  <c r="M20"/>
  <c r="O25"/>
  <c r="M28"/>
  <c r="Q34"/>
  <c r="Q13"/>
  <c r="Q17"/>
  <c r="M41"/>
  <c r="M10"/>
  <c r="Q12"/>
  <c r="Q19"/>
  <c r="Q21"/>
  <c r="Q35"/>
  <c r="Q37"/>
  <c r="P14"/>
  <c r="P26"/>
  <c r="P36"/>
  <c r="Q15"/>
  <c r="S18"/>
  <c r="M21"/>
  <c r="Q23"/>
  <c r="S26"/>
  <c r="M29"/>
  <c r="Q31"/>
  <c r="S34"/>
  <c r="M37"/>
  <c r="Q39"/>
  <c r="L13"/>
  <c r="L21"/>
  <c r="L29"/>
  <c r="L37"/>
  <c r="P20"/>
  <c r="P40"/>
  <c r="M14"/>
  <c r="M22"/>
  <c r="M30"/>
  <c r="O33"/>
  <c r="Q36"/>
  <c r="S39"/>
  <c r="L14"/>
  <c r="L24"/>
  <c r="P34"/>
  <c r="M11"/>
  <c r="M15"/>
  <c r="M23"/>
  <c r="M31"/>
  <c r="M39"/>
  <c r="L19"/>
  <c r="L27"/>
  <c r="L35"/>
  <c r="L12"/>
  <c r="P32"/>
  <c r="Q10"/>
  <c r="Q16"/>
  <c r="Q18"/>
  <c r="Q24"/>
  <c r="Q26"/>
  <c r="M36"/>
  <c r="R11"/>
  <c r="R27"/>
  <c r="N31"/>
  <c r="N13"/>
  <c r="R19"/>
  <c r="N23"/>
  <c r="S32"/>
  <c r="O34"/>
  <c r="N39"/>
  <c r="S30"/>
  <c r="O32"/>
  <c r="N12"/>
  <c r="N14"/>
  <c r="N16"/>
  <c r="N18"/>
  <c r="N20"/>
  <c r="N22"/>
  <c r="N24"/>
  <c r="N26"/>
  <c r="N28"/>
  <c r="N30"/>
  <c r="N32"/>
  <c r="N34"/>
  <c r="N36"/>
  <c r="N38"/>
  <c r="N40"/>
  <c r="L10"/>
  <c r="L18"/>
  <c r="P22"/>
  <c r="N27"/>
  <c r="R31"/>
  <c r="L38"/>
  <c r="O10"/>
  <c r="S14"/>
  <c r="S19"/>
  <c r="O21"/>
  <c r="O8"/>
  <c r="P12"/>
  <c r="N15"/>
  <c r="R17"/>
  <c r="R21"/>
  <c r="N25"/>
  <c r="P28"/>
  <c r="L32"/>
  <c r="N35"/>
  <c r="R37"/>
  <c r="R41"/>
  <c r="O14"/>
  <c r="S16"/>
  <c r="M19"/>
  <c r="S20"/>
  <c r="O22"/>
  <c r="Q25"/>
  <c r="M27"/>
  <c r="S28"/>
  <c r="O30"/>
  <c r="Q33"/>
  <c r="M35"/>
  <c r="S36"/>
  <c r="O38"/>
  <c r="Q41"/>
  <c r="L11"/>
  <c r="P13"/>
  <c r="P15"/>
  <c r="P17"/>
  <c r="P19"/>
  <c r="P21"/>
  <c r="P23"/>
  <c r="P25"/>
  <c r="P27"/>
  <c r="P29"/>
  <c r="P31"/>
  <c r="P33"/>
  <c r="P35"/>
  <c r="P37"/>
  <c r="P39"/>
  <c r="P41"/>
  <c r="L16"/>
  <c r="N21"/>
  <c r="L26"/>
  <c r="P30"/>
  <c r="R35"/>
  <c r="N41"/>
  <c r="O18"/>
  <c r="O11"/>
  <c r="Q14"/>
  <c r="M16"/>
  <c r="S17"/>
  <c r="O19"/>
  <c r="Q22"/>
  <c r="M24"/>
  <c r="S25"/>
  <c r="O27"/>
  <c r="Q30"/>
  <c r="M32"/>
  <c r="S33"/>
  <c r="O35"/>
  <c r="Q38"/>
  <c r="M40"/>
  <c r="S41"/>
  <c r="T41" s="1"/>
  <c r="N37"/>
  <c r="R10"/>
  <c r="N29"/>
  <c r="R33"/>
  <c r="N19"/>
  <c r="R23"/>
  <c r="S13"/>
  <c r="O15"/>
  <c r="S21"/>
  <c r="O23"/>
  <c r="S29"/>
  <c r="O31"/>
  <c r="S37"/>
  <c r="O39"/>
  <c r="P11"/>
  <c r="N17"/>
  <c r="N11"/>
  <c r="R39"/>
  <c r="S10"/>
  <c r="S24"/>
  <c r="O26"/>
  <c r="S40"/>
  <c r="N10"/>
  <c r="R12"/>
  <c r="R14"/>
  <c r="R16"/>
  <c r="R18"/>
  <c r="R20"/>
  <c r="R22"/>
  <c r="R24"/>
  <c r="R26"/>
  <c r="R28"/>
  <c r="R30"/>
  <c r="R32"/>
  <c r="R34"/>
  <c r="R36"/>
  <c r="R38"/>
  <c r="R40"/>
  <c r="P10"/>
  <c r="R13"/>
  <c r="R15"/>
  <c r="P18"/>
  <c r="L22"/>
  <c r="R25"/>
  <c r="R29"/>
  <c r="L36"/>
  <c r="P38"/>
  <c r="O12"/>
  <c r="S22"/>
  <c r="O24"/>
  <c r="S38"/>
  <c r="O40"/>
  <c r="S11"/>
  <c r="O13"/>
  <c r="S27"/>
  <c r="O29"/>
  <c r="Q32"/>
  <c r="M34"/>
  <c r="AG11"/>
  <c r="AG14"/>
  <c r="AG13"/>
  <c r="AG29"/>
  <c r="AG15"/>
  <c r="AG10"/>
  <c r="AG24"/>
  <c r="AG40"/>
  <c r="AG35"/>
  <c r="AG38"/>
  <c r="AG25"/>
  <c r="AG39"/>
  <c r="AG34"/>
  <c r="AG20"/>
  <c r="AG36"/>
  <c r="AG27"/>
  <c r="AG30"/>
  <c r="AG21"/>
  <c r="AG37"/>
  <c r="AG31"/>
  <c r="AG16"/>
  <c r="AG32"/>
  <c r="AG19"/>
  <c r="AG22"/>
  <c r="AG17"/>
  <c r="AG33"/>
  <c r="AG23"/>
  <c r="AG18"/>
  <c r="AG12"/>
  <c r="AG28"/>
  <c r="T35"/>
  <c r="T12"/>
  <c r="T23"/>
  <c r="AH26"/>
  <c r="AH34"/>
  <c r="AH10"/>
  <c r="AH18"/>
  <c r="AH14"/>
  <c r="AH22"/>
  <c r="AH30"/>
  <c r="AH38"/>
  <c r="S7"/>
  <c r="P7"/>
  <c r="L7"/>
  <c r="O7"/>
  <c r="Q7"/>
  <c r="N7"/>
  <c r="M7"/>
  <c r="R7"/>
  <c r="Q8"/>
  <c r="S8"/>
  <c r="T31" l="1"/>
  <c r="M26" i="36" s="1"/>
  <c r="T15" i="12"/>
  <c r="M10" i="36" s="1"/>
  <c r="U18" i="12"/>
  <c r="T39"/>
  <c r="T18"/>
  <c r="M34" i="36"/>
  <c r="E3"/>
  <c r="E3" i="42"/>
  <c r="K3" i="36"/>
  <c r="K3" i="42"/>
  <c r="H3" i="36"/>
  <c r="H3" i="42"/>
  <c r="M13" i="36"/>
  <c r="Z23"/>
  <c r="Z28"/>
  <c r="Z27"/>
  <c r="Z16"/>
  <c r="Z15"/>
  <c r="Z33"/>
  <c r="Z5"/>
  <c r="Z9"/>
  <c r="T24" i="12"/>
  <c r="T33"/>
  <c r="T25"/>
  <c r="T17"/>
  <c r="T26"/>
  <c r="J4" i="36"/>
  <c r="J4" i="42"/>
  <c r="J3" i="36"/>
  <c r="J3" i="42"/>
  <c r="L3" i="36"/>
  <c r="L3" i="42"/>
  <c r="Z18" i="36"/>
  <c r="Z14"/>
  <c r="Z32"/>
  <c r="Z31"/>
  <c r="Z20"/>
  <c r="Z19"/>
  <c r="Z8"/>
  <c r="T11" i="12"/>
  <c r="T22"/>
  <c r="T21"/>
  <c r="H4" i="36"/>
  <c r="H4" i="42"/>
  <c r="Z21" i="36"/>
  <c r="M18"/>
  <c r="M7"/>
  <c r="M30"/>
  <c r="Z13"/>
  <c r="Z17"/>
  <c r="Z26"/>
  <c r="Z22"/>
  <c r="Z34"/>
  <c r="Z35"/>
  <c r="Z24"/>
  <c r="T40" i="12"/>
  <c r="U14"/>
  <c r="T30"/>
  <c r="L4" i="36"/>
  <c r="L4" i="42"/>
  <c r="G3" i="36"/>
  <c r="G3" i="42"/>
  <c r="I3" i="36"/>
  <c r="I3" i="42"/>
  <c r="F3" i="36"/>
  <c r="F3" i="42"/>
  <c r="Z7" i="36"/>
  <c r="Z12"/>
  <c r="Z11"/>
  <c r="Z25"/>
  <c r="Z29"/>
  <c r="Z30"/>
  <c r="Z10"/>
  <c r="Z6"/>
  <c r="T27" i="12"/>
  <c r="T38"/>
  <c r="U10"/>
  <c r="G4" i="36"/>
  <c r="G4" i="42"/>
  <c r="T16" i="12"/>
  <c r="T14"/>
  <c r="T28"/>
  <c r="U30"/>
  <c r="T37"/>
  <c r="T32"/>
  <c r="T19"/>
  <c r="U26"/>
  <c r="T10"/>
  <c r="T36"/>
  <c r="T29"/>
  <c r="T20"/>
  <c r="U22"/>
  <c r="T13"/>
  <c r="T34"/>
  <c r="U34"/>
  <c r="U38"/>
  <c r="C6" i="3"/>
  <c r="M6" i="36" l="1"/>
  <c r="M5"/>
  <c r="M8"/>
  <c r="M31"/>
  <c r="M29"/>
  <c r="M24"/>
  <c r="M27"/>
  <c r="M9"/>
  <c r="M21"/>
  <c r="M20"/>
  <c r="M19"/>
  <c r="M15"/>
  <c r="M33"/>
  <c r="M32"/>
  <c r="M23"/>
  <c r="M11"/>
  <c r="M12"/>
  <c r="M28"/>
  <c r="M14"/>
  <c r="M22"/>
  <c r="M25"/>
  <c r="M35"/>
  <c r="M16"/>
  <c r="M17"/>
  <c r="A414" i="8"/>
  <c r="A415"/>
  <c r="A456" l="1"/>
  <c r="A455"/>
  <c r="A451"/>
  <c r="A450"/>
  <c r="A446"/>
  <c r="A445"/>
  <c r="A408" l="1"/>
  <c r="A407" l="1"/>
  <c r="A406" l="1"/>
  <c r="A405" l="1"/>
  <c r="A404" l="1"/>
  <c r="A403" l="1"/>
  <c r="A402" l="1"/>
  <c r="A401" l="1"/>
  <c r="A400" l="1"/>
  <c r="A399" l="1"/>
  <c r="A398" l="1"/>
  <c r="A397" l="1"/>
  <c r="A396" l="1"/>
  <c r="A395" l="1"/>
  <c r="I393"/>
  <c r="A393"/>
  <c r="I392" l="1"/>
  <c r="A392"/>
  <c r="I391" l="1"/>
  <c r="A391"/>
  <c r="I390" l="1"/>
  <c r="A390"/>
  <c r="I389" l="1"/>
  <c r="A389"/>
  <c r="I388" l="1"/>
  <c r="A388"/>
  <c r="I387" l="1"/>
  <c r="A387"/>
  <c r="I386" l="1"/>
  <c r="A386"/>
  <c r="I385" l="1"/>
  <c r="A385"/>
  <c r="I384" l="1"/>
  <c r="A384"/>
  <c r="A383" l="1"/>
  <c r="A382" l="1"/>
  <c r="A381" l="1"/>
  <c r="A380" l="1"/>
  <c r="A379" l="1"/>
  <c r="A378" l="1"/>
  <c r="A377" l="1"/>
  <c r="A376" l="1"/>
  <c r="A375" l="1"/>
  <c r="A374" l="1"/>
  <c r="A472"/>
  <c r="A471"/>
  <c r="A372" l="1"/>
  <c r="A371" l="1"/>
  <c r="A370" l="1"/>
  <c r="A369" l="1"/>
  <c r="A368" l="1"/>
  <c r="A367" l="1"/>
  <c r="A366" l="1"/>
  <c r="A365" l="1"/>
  <c r="A364" l="1"/>
  <c r="A363" l="1"/>
  <c r="A362" l="1"/>
  <c r="A361" l="1"/>
  <c r="A360" l="1"/>
  <c r="A359" l="1"/>
  <c r="I357"/>
  <c r="A357"/>
  <c r="I356" l="1"/>
  <c r="A356"/>
  <c r="I355" l="1"/>
  <c r="A355"/>
  <c r="I354" l="1"/>
  <c r="A354"/>
  <c r="I353" l="1"/>
  <c r="A353"/>
  <c r="I352" l="1"/>
  <c r="A352"/>
  <c r="I351" l="1"/>
  <c r="A351"/>
  <c r="I350" l="1"/>
  <c r="A350"/>
  <c r="I349" l="1"/>
  <c r="A349"/>
  <c r="I348" l="1"/>
  <c r="A348"/>
  <c r="A347" l="1"/>
  <c r="A346" l="1"/>
  <c r="A345" l="1"/>
  <c r="A344" l="1"/>
  <c r="A343" l="1"/>
  <c r="A342" l="1"/>
  <c r="A341" l="1"/>
  <c r="A340" l="1"/>
  <c r="A339" l="1"/>
  <c r="A338" l="1"/>
  <c r="A469"/>
  <c r="A468"/>
  <c r="A466"/>
  <c r="A465"/>
  <c r="A336" l="1"/>
  <c r="A335" l="1"/>
  <c r="A334" l="1"/>
  <c r="A333" l="1"/>
  <c r="A332" l="1"/>
  <c r="A331" l="1"/>
  <c r="A330" l="1"/>
  <c r="A329" l="1"/>
  <c r="A328" l="1"/>
  <c r="A327" l="1"/>
  <c r="A326" l="1"/>
  <c r="A325" l="1"/>
  <c r="A324" l="1"/>
  <c r="A323" l="1"/>
  <c r="I321"/>
  <c r="A321" s="1"/>
  <c r="I320" l="1"/>
  <c r="A320"/>
  <c r="I319" l="1"/>
  <c r="A319"/>
  <c r="I318" l="1"/>
  <c r="A318"/>
  <c r="I317" l="1"/>
  <c r="A317"/>
  <c r="I316" l="1"/>
  <c r="A316"/>
  <c r="I315" l="1"/>
  <c r="A315" l="1"/>
  <c r="I314"/>
  <c r="A314" l="1"/>
  <c r="I313"/>
  <c r="A313" l="1"/>
  <c r="I312"/>
  <c r="A312" l="1"/>
  <c r="A311"/>
  <c r="A310" l="1"/>
  <c r="A309" l="1"/>
  <c r="A308" l="1"/>
  <c r="A307" l="1"/>
  <c r="A306" l="1"/>
  <c r="A305" l="1"/>
  <c r="A304" l="1"/>
  <c r="A303" l="1"/>
  <c r="A302" l="1"/>
  <c r="A463"/>
  <c r="A462"/>
  <c r="A460"/>
  <c r="A459"/>
  <c r="A458"/>
  <c r="A300" l="1"/>
  <c r="A299" l="1"/>
  <c r="A298" l="1"/>
  <c r="A297" l="1"/>
  <c r="A296" l="1"/>
  <c r="A295" l="1"/>
  <c r="A294" l="1"/>
  <c r="A293" l="1"/>
  <c r="A292" l="1"/>
  <c r="A291" l="1"/>
  <c r="A290" l="1"/>
  <c r="A289" l="1"/>
  <c r="A288" l="1"/>
  <c r="A287" l="1"/>
  <c r="I285"/>
  <c r="A285"/>
  <c r="I284" l="1"/>
  <c r="A284"/>
  <c r="I283" l="1"/>
  <c r="A283"/>
  <c r="I282" l="1"/>
  <c r="A282"/>
  <c r="I281" l="1"/>
  <c r="A281"/>
  <c r="I280" l="1"/>
  <c r="A280"/>
  <c r="I279" l="1"/>
  <c r="A279"/>
  <c r="I278" l="1"/>
  <c r="A278"/>
  <c r="I277" l="1"/>
  <c r="A277"/>
  <c r="I276" l="1"/>
  <c r="A276"/>
  <c r="A275" l="1"/>
  <c r="A274" l="1"/>
  <c r="A273" l="1"/>
  <c r="A272" l="1"/>
  <c r="A271" l="1"/>
  <c r="A270" l="1"/>
  <c r="A269" l="1"/>
  <c r="A268" l="1"/>
  <c r="A267" l="1"/>
  <c r="A266" l="1"/>
  <c r="A454"/>
  <c r="A453"/>
  <c r="A449"/>
  <c r="A448"/>
  <c r="A444"/>
  <c r="A443"/>
  <c r="A264" l="1"/>
  <c r="A263" l="1"/>
  <c r="A262" l="1"/>
  <c r="A261" l="1"/>
  <c r="A260" l="1"/>
  <c r="A259" l="1"/>
  <c r="A258" l="1"/>
  <c r="A257" l="1"/>
  <c r="A256" l="1"/>
  <c r="A255" l="1"/>
  <c r="A254" l="1"/>
  <c r="A253" l="1"/>
  <c r="A252" l="1"/>
  <c r="A251" l="1"/>
  <c r="I249"/>
  <c r="A249" s="1"/>
  <c r="I248" l="1"/>
  <c r="A248"/>
  <c r="I247" l="1"/>
  <c r="A247"/>
  <c r="I246" l="1"/>
  <c r="A246"/>
  <c r="I245" l="1"/>
  <c r="A245"/>
  <c r="I244" l="1"/>
  <c r="A244"/>
  <c r="I243" l="1"/>
  <c r="A243"/>
  <c r="I242" l="1"/>
  <c r="A242"/>
  <c r="I241" l="1"/>
  <c r="A241"/>
  <c r="I240" l="1"/>
  <c r="A240"/>
  <c r="A239" l="1"/>
  <c r="A238" l="1"/>
  <c r="A237" l="1"/>
  <c r="A236" l="1"/>
  <c r="A235" l="1"/>
  <c r="A234" l="1"/>
  <c r="A233" l="1"/>
  <c r="A232" l="1"/>
  <c r="A231" l="1"/>
  <c r="A230" l="1"/>
  <c r="A228" l="1"/>
  <c r="A227" l="1"/>
  <c r="A226" l="1"/>
  <c r="A225" l="1"/>
  <c r="A224" l="1"/>
  <c r="A223" l="1"/>
  <c r="A222" l="1"/>
  <c r="A221" l="1"/>
  <c r="A220" l="1"/>
  <c r="A219" l="1"/>
  <c r="A218" l="1"/>
  <c r="A217" l="1"/>
  <c r="A216" l="1"/>
  <c r="A215" l="1"/>
  <c r="I213"/>
  <c r="A213" s="1"/>
  <c r="I212" l="1"/>
  <c r="A212"/>
  <c r="I211" l="1"/>
  <c r="A211" s="1"/>
  <c r="I210" l="1"/>
  <c r="A210" s="1"/>
  <c r="I209" l="1"/>
  <c r="A209"/>
  <c r="I208" l="1"/>
  <c r="A208"/>
  <c r="I207" l="1"/>
  <c r="A207"/>
  <c r="I206" l="1"/>
  <c r="A206"/>
  <c r="I205" l="1"/>
  <c r="A205" s="1"/>
  <c r="I204" l="1"/>
  <c r="A204"/>
  <c r="A203" l="1"/>
  <c r="A202" l="1"/>
  <c r="A201" l="1"/>
  <c r="A200" l="1"/>
  <c r="A199" l="1"/>
  <c r="A198" l="1"/>
  <c r="A197" l="1"/>
  <c r="A196" l="1"/>
  <c r="A195" l="1"/>
  <c r="A194" l="1"/>
  <c r="A192" l="1"/>
  <c r="A191" l="1"/>
  <c r="A190" l="1"/>
  <c r="A189" l="1"/>
  <c r="A188" l="1"/>
  <c r="A187" l="1"/>
  <c r="A186" l="1"/>
  <c r="A185" l="1"/>
  <c r="A184" l="1"/>
  <c r="A183" l="1"/>
  <c r="A182" l="1"/>
  <c r="A181" l="1"/>
  <c r="A180" l="1"/>
  <c r="A179" l="1"/>
  <c r="I177"/>
  <c r="A177" s="1"/>
  <c r="I176" l="1"/>
  <c r="A176" l="1"/>
  <c r="I175"/>
  <c r="A175" s="1"/>
  <c r="I174" l="1"/>
  <c r="A174"/>
  <c r="I173" l="1"/>
  <c r="A173"/>
  <c r="I172" l="1"/>
  <c r="A172"/>
  <c r="I171" l="1"/>
  <c r="A171"/>
  <c r="I170" l="1"/>
  <c r="A170"/>
  <c r="I169" l="1"/>
  <c r="A169" s="1"/>
  <c r="I168" l="1"/>
  <c r="A168"/>
  <c r="A167" l="1"/>
  <c r="A166" l="1"/>
  <c r="A165" l="1"/>
  <c r="A164" l="1"/>
  <c r="A163" l="1"/>
  <c r="A162" l="1"/>
  <c r="A161" l="1"/>
  <c r="A160" l="1"/>
  <c r="A159" l="1"/>
  <c r="A158" l="1"/>
  <c r="A441"/>
  <c r="A440"/>
  <c r="A439"/>
  <c r="A437"/>
  <c r="A436"/>
  <c r="A156" l="1"/>
  <c r="A155" l="1"/>
  <c r="A154" l="1"/>
  <c r="A153" l="1"/>
  <c r="A152" l="1"/>
  <c r="A151" l="1"/>
  <c r="A150" l="1"/>
  <c r="A149" l="1"/>
  <c r="A148" l="1"/>
  <c r="A147" l="1"/>
  <c r="A146" l="1"/>
  <c r="A145" l="1"/>
  <c r="A144" l="1"/>
  <c r="A143" l="1"/>
  <c r="I141"/>
  <c r="A141" l="1"/>
  <c r="I140"/>
  <c r="A140" l="1"/>
  <c r="I139"/>
  <c r="A139" l="1"/>
  <c r="I138"/>
  <c r="A138" s="1"/>
  <c r="I137" l="1"/>
  <c r="A137"/>
  <c r="I136" l="1"/>
  <c r="A136"/>
  <c r="I135" l="1"/>
  <c r="A135"/>
  <c r="I134" l="1"/>
  <c r="A134" s="1"/>
  <c r="I133" l="1"/>
  <c r="A133"/>
  <c r="I132" l="1"/>
  <c r="A132"/>
  <c r="A131" l="1"/>
  <c r="A130" l="1"/>
  <c r="A129" l="1"/>
  <c r="A128" l="1"/>
  <c r="A127" l="1"/>
  <c r="A126" l="1"/>
  <c r="A125" l="1"/>
  <c r="A124" l="1"/>
  <c r="A123" l="1"/>
  <c r="A122" l="1"/>
  <c r="A434"/>
  <c r="A433"/>
  <c r="A432"/>
  <c r="A430"/>
  <c r="A429"/>
  <c r="A427"/>
  <c r="A426"/>
  <c r="A425"/>
  <c r="A120"/>
  <c r="A119" l="1"/>
  <c r="A118" l="1"/>
  <c r="A117" l="1"/>
  <c r="A116"/>
  <c r="A115" l="1"/>
  <c r="A114" l="1"/>
  <c r="A113"/>
  <c r="A112" l="1"/>
  <c r="A111" l="1"/>
  <c r="A110" l="1"/>
  <c r="A109" l="1"/>
  <c r="A108" l="1"/>
  <c r="A107" l="1"/>
  <c r="I105"/>
  <c r="A105" s="1"/>
  <c r="I104" l="1"/>
  <c r="A104" s="1"/>
  <c r="I103" l="1"/>
  <c r="A103"/>
  <c r="I102" l="1"/>
  <c r="A102"/>
  <c r="I101" l="1"/>
  <c r="A101" l="1"/>
  <c r="I100"/>
  <c r="A100" s="1"/>
  <c r="I99" l="1"/>
  <c r="A99" l="1"/>
  <c r="I98"/>
  <c r="A98" s="1"/>
  <c r="I97" l="1"/>
  <c r="A97" l="1"/>
  <c r="I96"/>
  <c r="A96"/>
  <c r="A95" l="1"/>
  <c r="A94" l="1"/>
  <c r="A93" l="1"/>
  <c r="A92" l="1"/>
  <c r="A91" l="1"/>
  <c r="A90" l="1"/>
  <c r="A89" l="1"/>
  <c r="A88" l="1"/>
  <c r="A87" l="1"/>
  <c r="A86" l="1"/>
  <c r="A423"/>
  <c r="A422"/>
  <c r="A83" l="1"/>
  <c r="A82" l="1"/>
  <c r="A81" l="1"/>
  <c r="A80" l="1"/>
  <c r="A79" l="1"/>
  <c r="A78"/>
  <c r="A77" l="1"/>
  <c r="A76"/>
  <c r="A75" l="1"/>
  <c r="A74" l="1"/>
  <c r="A73" l="1"/>
  <c r="A72" l="1"/>
  <c r="A71" l="1"/>
  <c r="A70" l="1"/>
  <c r="A68"/>
  <c r="A67" l="1"/>
  <c r="A66" l="1"/>
  <c r="A65" l="1"/>
  <c r="A64" l="1"/>
  <c r="A63" l="1"/>
  <c r="A62" l="1"/>
  <c r="A61" l="1"/>
  <c r="A60" l="1"/>
  <c r="A59" l="1"/>
  <c r="A58" l="1"/>
  <c r="A57" l="1"/>
  <c r="A56" l="1"/>
  <c r="A55" l="1"/>
  <c r="A54" l="1"/>
  <c r="A53" l="1"/>
  <c r="A52" l="1"/>
  <c r="A51" l="1"/>
  <c r="A50" l="1"/>
  <c r="A49" l="1"/>
  <c r="H47" l="1"/>
  <c r="A47" s="1"/>
  <c r="A40" l="1"/>
  <c r="H46"/>
  <c r="A46" l="1"/>
  <c r="A39"/>
  <c r="H45"/>
  <c r="A45" s="1"/>
  <c r="A38" l="1"/>
  <c r="H44"/>
  <c r="A44" s="1"/>
  <c r="A37" l="1"/>
  <c r="H43"/>
  <c r="A43" l="1"/>
  <c r="A36"/>
  <c r="H42"/>
  <c r="A42" s="1"/>
  <c r="A35" l="1"/>
  <c r="H41"/>
  <c r="A41" l="1"/>
  <c r="A34"/>
  <c r="A420"/>
  <c r="A419"/>
  <c r="A418"/>
  <c r="A416"/>
  <c r="A413"/>
  <c r="A412"/>
  <c r="I32" l="1"/>
  <c r="H32"/>
  <c r="A32" l="1"/>
  <c r="A22"/>
  <c r="I31" l="1"/>
  <c r="H31"/>
  <c r="A31" l="1"/>
  <c r="A21"/>
  <c r="I30" l="1"/>
  <c r="H30"/>
  <c r="A30" l="1"/>
  <c r="A20"/>
  <c r="I29" l="1"/>
  <c r="H29"/>
  <c r="A29" l="1"/>
  <c r="A19"/>
  <c r="I28" l="1"/>
  <c r="H28"/>
  <c r="A28" l="1"/>
  <c r="A18"/>
  <c r="I27" l="1"/>
  <c r="H27"/>
  <c r="A27" l="1"/>
  <c r="A17"/>
  <c r="I26" l="1"/>
  <c r="H26"/>
  <c r="A26" l="1"/>
  <c r="A16"/>
  <c r="I25" l="1"/>
  <c r="H25"/>
  <c r="A25" l="1"/>
  <c r="A15"/>
  <c r="I24" l="1"/>
  <c r="H24"/>
  <c r="A14"/>
  <c r="A24" l="1"/>
  <c r="I23"/>
  <c r="H23"/>
  <c r="H11"/>
  <c r="G11"/>
  <c r="A23" l="1"/>
  <c r="A13" l="1"/>
  <c r="A11" l="1"/>
  <c r="A10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BL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BL6"/>
  <c r="BJ7" l="1"/>
  <c r="BI7"/>
  <c r="BK7"/>
</calcChain>
</file>

<file path=xl/connections.xml><?xml version="1.0" encoding="utf-8"?>
<connections xmlns="http://schemas.openxmlformats.org/spreadsheetml/2006/main">
  <connection id="1" name="연결" type="7" refreshedVersion="3"/>
  <connection id="2" name="연결1" type="7" refreshedVersion="3"/>
  <connection id="3" name="연결2" type="7" refreshedVersion="3"/>
  <connection id="4" name="연결3" type="7" refreshedVersion="3"/>
  <connection id="5" name="연결4" type="7" refreshedVersion="3"/>
  <connection id="6" name="연결5" type="7" refreshedVersion="3"/>
  <connection id="7" name="연결6" type="7" refreshedVersion="3"/>
  <connection id="8" name="연결7" type="7" refreshedVersion="3"/>
  <connection id="9" name="연결8" type="7" refreshedVersion="3"/>
  <connection id="10" name="연결9" type="7" refreshedVersion="3"/>
</connections>
</file>

<file path=xl/sharedStrings.xml><?xml version="1.0" encoding="utf-8"?>
<sst xmlns="http://schemas.openxmlformats.org/spreadsheetml/2006/main" count="7003" uniqueCount="1461">
  <si>
    <t>201510</t>
  </si>
  <si>
    <t>N_YYYYMM</t>
    <phoneticPr fontId="4" type="noConversion"/>
  </si>
  <si>
    <t>N변수</t>
    <phoneticPr fontId="4" type="noConversion"/>
  </si>
  <si>
    <t>N_MAF_URL</t>
    <phoneticPr fontId="4" type="noConversion"/>
  </si>
  <si>
    <t>KPI_CD</t>
  </si>
  <si>
    <t>COL_INDEX</t>
  </si>
  <si>
    <t>CNT</t>
  </si>
  <si>
    <t>DFT</t>
  </si>
  <si>
    <t>DGT</t>
  </si>
  <si>
    <t>DMT</t>
  </si>
  <si>
    <t>DVT</t>
  </si>
  <si>
    <t>GJT</t>
  </si>
  <si>
    <t>GLT</t>
  </si>
  <si>
    <t>GNT</t>
  </si>
  <si>
    <t>GTT</t>
  </si>
  <si>
    <t>MST</t>
  </si>
  <si>
    <t>PNT</t>
  </si>
  <si>
    <t>PST</t>
  </si>
  <si>
    <t>PGT</t>
  </si>
  <si>
    <t>PCT</t>
  </si>
  <si>
    <t>_RefreshSheets_</t>
    <phoneticPr fontId="4" type="noConversion"/>
  </si>
  <si>
    <t>GBU</t>
    <phoneticPr fontId="4" type="noConversion"/>
  </si>
  <si>
    <t>SALE</t>
    <phoneticPr fontId="4" type="noConversion"/>
  </si>
  <si>
    <t>OLED</t>
  </si>
  <si>
    <t>법인명</t>
    <phoneticPr fontId="4" type="noConversion"/>
  </si>
  <si>
    <t>매트릭스 리플레쉬 대상 시트</t>
    <phoneticPr fontId="4" type="noConversion"/>
  </si>
  <si>
    <t>년월</t>
    <phoneticPr fontId="4" type="noConversion"/>
  </si>
  <si>
    <t>조직기준월</t>
    <phoneticPr fontId="4" type="noConversion"/>
  </si>
  <si>
    <t>단위</t>
    <phoneticPr fontId="4" type="noConversion"/>
  </si>
  <si>
    <t>MAF 주소</t>
    <phoneticPr fontId="4" type="noConversion"/>
  </si>
  <si>
    <t>화폐 단위</t>
    <phoneticPr fontId="4" type="noConversion"/>
  </si>
  <si>
    <t>USD</t>
    <phoneticPr fontId="4" type="noConversion"/>
  </si>
  <si>
    <t>http://ares.lge.com:6060/servlet/Webquery.maf</t>
    <phoneticPr fontId="4" type="noConversion"/>
  </si>
  <si>
    <t>한국어:KO, 영어:EN</t>
    <phoneticPr fontId="4" type="noConversion"/>
  </si>
  <si>
    <t>전년</t>
    <phoneticPr fontId="4" type="noConversion"/>
  </si>
  <si>
    <t>LCD TV</t>
  </si>
  <si>
    <t>MNT/MNT TV</t>
  </si>
  <si>
    <t>AV</t>
  </si>
  <si>
    <t>MC</t>
  </si>
  <si>
    <t>REF</t>
  </si>
  <si>
    <t>W/M</t>
  </si>
  <si>
    <t>RAC</t>
  </si>
  <si>
    <t>PC</t>
  </si>
  <si>
    <t>DS (Brand)</t>
  </si>
  <si>
    <t>VCC</t>
  </si>
  <si>
    <t>모니터/모니터 TV</t>
  </si>
  <si>
    <t>단말</t>
  </si>
  <si>
    <t>냉장고</t>
  </si>
  <si>
    <t>세탁기</t>
  </si>
  <si>
    <t>DS(Brand)</t>
  </si>
  <si>
    <t>금년</t>
    <phoneticPr fontId="4" type="noConversion"/>
  </si>
  <si>
    <t>&lt;매핑 테이블&gt;</t>
    <phoneticPr fontId="4" type="noConversion"/>
  </si>
  <si>
    <t>전년대비</t>
    <phoneticPr fontId="4" type="noConversion"/>
  </si>
  <si>
    <t>SALES_DEDUCTION</t>
  </si>
  <si>
    <t>SALE</t>
    <phoneticPr fontId="4" type="noConversion"/>
  </si>
  <si>
    <t>2.당월실적_B2C</t>
    <phoneticPr fontId="4" type="noConversion"/>
  </si>
  <si>
    <t>(RAW)</t>
    <phoneticPr fontId="4" type="noConversion"/>
  </si>
  <si>
    <t>(계산)</t>
    <phoneticPr fontId="4" type="noConversion"/>
  </si>
  <si>
    <t>KO</t>
    <phoneticPr fontId="4" type="noConversion"/>
  </si>
  <si>
    <t>Code</t>
    <phoneticPr fontId="4" type="noConversion"/>
  </si>
  <si>
    <t>KO</t>
    <phoneticPr fontId="4" type="noConversion"/>
  </si>
  <si>
    <t>EN</t>
    <phoneticPr fontId="4" type="noConversion"/>
  </si>
  <si>
    <t>B2C</t>
    <phoneticPr fontId="4" type="noConversion"/>
  </si>
  <si>
    <t>(OLED)</t>
    <phoneticPr fontId="4" type="noConversion"/>
  </si>
  <si>
    <t>GJT</t>
    <phoneticPr fontId="4" type="noConversion"/>
  </si>
  <si>
    <t>모니터 사이니지</t>
    <phoneticPr fontId="4" type="noConversion"/>
  </si>
  <si>
    <t>MNT Signage</t>
    <phoneticPr fontId="4" type="noConversion"/>
  </si>
  <si>
    <t>B2B</t>
    <phoneticPr fontId="4" type="noConversion"/>
  </si>
  <si>
    <t>GNT</t>
    <phoneticPr fontId="4" type="noConversion"/>
  </si>
  <si>
    <t>TV 사이니지</t>
    <phoneticPr fontId="4" type="noConversion"/>
  </si>
  <si>
    <t>Commercial TV</t>
    <phoneticPr fontId="4" type="noConversion"/>
  </si>
  <si>
    <t>GOT</t>
    <phoneticPr fontId="4" type="noConversion"/>
  </si>
  <si>
    <t>Hotel TV</t>
    <phoneticPr fontId="4" type="noConversion"/>
  </si>
  <si>
    <t>Hotel PTV</t>
    <phoneticPr fontId="4" type="noConversion"/>
  </si>
  <si>
    <t>PKT</t>
    <phoneticPr fontId="4" type="noConversion"/>
  </si>
  <si>
    <t>Security</t>
    <phoneticPr fontId="4" type="noConversion"/>
  </si>
  <si>
    <t>DMT</t>
    <phoneticPr fontId="4" type="noConversion"/>
  </si>
  <si>
    <t>CAC</t>
    <phoneticPr fontId="4" type="noConversion"/>
  </si>
  <si>
    <t>DTT</t>
    <phoneticPr fontId="4" type="noConversion"/>
  </si>
  <si>
    <t>Chiller</t>
    <phoneticPr fontId="4" type="noConversion"/>
  </si>
  <si>
    <t>PGT</t>
    <phoneticPr fontId="4" type="noConversion"/>
  </si>
  <si>
    <t>IVI</t>
    <phoneticPr fontId="4" type="noConversion"/>
  </si>
  <si>
    <t>PKT</t>
  </si>
  <si>
    <t>(OLED)</t>
    <phoneticPr fontId="4" type="noConversion"/>
  </si>
  <si>
    <t>화면 이름</t>
  </si>
  <si>
    <t>파일명</t>
  </si>
  <si>
    <t>No.</t>
    <phoneticPr fontId="4" type="noConversion"/>
  </si>
  <si>
    <t>작업일시</t>
    <phoneticPr fontId="4" type="noConversion"/>
  </si>
  <si>
    <t>작업내용</t>
    <phoneticPr fontId="4" type="noConversion"/>
  </si>
  <si>
    <t>작업자</t>
    <phoneticPr fontId="4" type="noConversion"/>
  </si>
  <si>
    <t>CSR_ID</t>
    <phoneticPr fontId="4" type="noConversion"/>
  </si>
  <si>
    <t>SRC_SMART_B2C_Overhead</t>
    <phoneticPr fontId="4" type="noConversion"/>
  </si>
  <si>
    <t>1.당월실적_법인전체_SALE</t>
    <phoneticPr fontId="4" type="noConversion"/>
  </si>
  <si>
    <t>1.당월실적_법인전체_SALE</t>
    <phoneticPr fontId="4" type="noConversion"/>
  </si>
  <si>
    <t>GOT</t>
  </si>
  <si>
    <t>DTT</t>
  </si>
  <si>
    <t>2.당월실적_B2B</t>
    <phoneticPr fontId="4" type="noConversion"/>
  </si>
  <si>
    <t>GBU</t>
    <phoneticPr fontId="4" type="noConversion"/>
  </si>
  <si>
    <t>OH_COST</t>
    <phoneticPr fontId="4" type="noConversion"/>
  </si>
  <si>
    <t>2.당월실적_법인전체_OH</t>
    <phoneticPr fontId="4" type="noConversion"/>
  </si>
  <si>
    <t>OH_COST(법인전체)</t>
    <phoneticPr fontId="4" type="noConversion"/>
  </si>
  <si>
    <t>2.당월실적_법인전체_OH</t>
    <phoneticPr fontId="4" type="noConversion"/>
  </si>
  <si>
    <t>SALES_DEDUCTION</t>
    <phoneticPr fontId="4" type="noConversion"/>
  </si>
  <si>
    <t>OH_V_COST</t>
    <phoneticPr fontId="4" type="noConversion"/>
  </si>
  <si>
    <t>OH_V_AD_PROMOTION</t>
    <phoneticPr fontId="4" type="noConversion"/>
  </si>
  <si>
    <t>OH_V_TRANS</t>
    <phoneticPr fontId="4" type="noConversion"/>
  </si>
  <si>
    <t>OH_V_SVC</t>
    <phoneticPr fontId="4" type="noConversion"/>
  </si>
  <si>
    <t>OH_F_COST</t>
    <phoneticPr fontId="4" type="noConversion"/>
  </si>
  <si>
    <t>OH_F_LABOR</t>
    <phoneticPr fontId="4" type="noConversion"/>
  </si>
  <si>
    <t>OH_F_AD_PROMOTION</t>
    <phoneticPr fontId="4" type="noConversion"/>
  </si>
  <si>
    <t>OH_F_COMMISSION</t>
    <phoneticPr fontId="4" type="noConversion"/>
  </si>
  <si>
    <t>OH_COST율(법인전체)</t>
    <phoneticPr fontId="4" type="noConversion"/>
  </si>
  <si>
    <t>OH_COST율(법인전체)</t>
    <phoneticPr fontId="4" type="noConversion"/>
  </si>
  <si>
    <t>O/H 율 = O/H비용 / SALES</t>
    <phoneticPr fontId="4" type="noConversion"/>
  </si>
  <si>
    <t>전년대비</t>
    <phoneticPr fontId="4" type="noConversion"/>
  </si>
  <si>
    <t>금년 O/H율 - 전년 O/H율</t>
    <phoneticPr fontId="4" type="noConversion"/>
  </si>
  <si>
    <t>B2C O/H율 = B2C_O/H비용 / B2C_SALES</t>
    <phoneticPr fontId="4" type="noConversion"/>
  </si>
  <si>
    <t>상동</t>
    <phoneticPr fontId="4" type="noConversion"/>
  </si>
  <si>
    <t>금년 변동비율 - 전년 변동비율</t>
    <phoneticPr fontId="4" type="noConversion"/>
  </si>
  <si>
    <t>변동비 = 판매촉진비 + 운반비 + SVC비</t>
    <phoneticPr fontId="4" type="noConversion"/>
  </si>
  <si>
    <t>변동비율 = 변동비 / SALES</t>
    <phoneticPr fontId="4" type="noConversion"/>
  </si>
  <si>
    <t>고정비율 = 고정비 / SALES</t>
    <phoneticPr fontId="4" type="noConversion"/>
  </si>
  <si>
    <t>고정비 = 인건비 + 광고비 + 지급수수료</t>
    <phoneticPr fontId="4" type="noConversion"/>
  </si>
  <si>
    <t>금년 고정비 - 전년 고정비</t>
    <phoneticPr fontId="4" type="noConversion"/>
  </si>
  <si>
    <t>SMART &gt; B2C경영현황 &gt; 월별 Trend (Overhead)</t>
    <phoneticPr fontId="4" type="noConversion"/>
  </si>
  <si>
    <t>B2B매출</t>
  </si>
  <si>
    <t>B2B가격성판촉율</t>
  </si>
  <si>
    <t>B2B_OH_COST</t>
  </si>
  <si>
    <t>B2B_Overhead_Rate</t>
  </si>
  <si>
    <t>B2B_변동비율</t>
  </si>
  <si>
    <t>B2B_판매촉진비율</t>
  </si>
  <si>
    <t>B2B_운반비율</t>
  </si>
  <si>
    <t>B2B_SVC비율</t>
  </si>
  <si>
    <t>B2B_고정비</t>
  </si>
  <si>
    <t>B2B_고정비율</t>
  </si>
  <si>
    <t>B2B_인건비</t>
  </si>
  <si>
    <t>B2B_광고선전비</t>
  </si>
  <si>
    <t>B2B_지급수수료</t>
  </si>
  <si>
    <t>B2B_SALES_DEDUCTION</t>
  </si>
  <si>
    <t>B2B_변동비</t>
  </si>
  <si>
    <t>B2B_판매촉진비</t>
  </si>
  <si>
    <t>B2B_운반비</t>
  </si>
  <si>
    <t>B2B_SVC비</t>
  </si>
  <si>
    <t>N_DIVDT</t>
    <phoneticPr fontId="4" type="noConversion"/>
  </si>
  <si>
    <t>N_UNIT</t>
    <phoneticPr fontId="4" type="noConversion"/>
  </si>
  <si>
    <t>N_CURRENCY</t>
    <phoneticPr fontId="4" type="noConversion"/>
  </si>
  <si>
    <t>N_SUBSIDIARY</t>
    <phoneticPr fontId="4" type="noConversion"/>
  </si>
  <si>
    <t>N_LANGUAGE</t>
    <phoneticPr fontId="4" type="noConversion"/>
  </si>
  <si>
    <t>AMOUNT</t>
  </si>
  <si>
    <t>시트명</t>
  </si>
  <si>
    <t>서버</t>
  </si>
  <si>
    <t>응용 프로그램</t>
  </si>
  <si>
    <t>데이타베이스</t>
  </si>
  <si>
    <t>영역</t>
  </si>
  <si>
    <t>Inv_DIO</t>
    <phoneticPr fontId="4" type="noConversion"/>
  </si>
  <si>
    <t>10.185.49.61</t>
  </si>
  <si>
    <t>baWC_DIO</t>
    <phoneticPr fontId="4" type="noConversion"/>
  </si>
  <si>
    <t>ESS_INV_DIO_RANGE</t>
    <phoneticPr fontId="13" type="noConversion"/>
  </si>
  <si>
    <t>&lt;EssBase&gt;</t>
    <phoneticPr fontId="4" type="noConversion"/>
  </si>
  <si>
    <t>N_B2BB2C</t>
    <phoneticPr fontId="4" type="noConversion"/>
  </si>
  <si>
    <t>BASE_YYYYMM</t>
  </si>
  <si>
    <t>년도계산(사용안함)</t>
    <phoneticPr fontId="4" type="noConversion"/>
  </si>
  <si>
    <t>구 분</t>
    <phoneticPr fontId="148" type="noConversion"/>
  </si>
  <si>
    <t>수주잔고</t>
  </si>
  <si>
    <t>매출(전체)</t>
  </si>
  <si>
    <t>매출(프로젝트)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</si>
  <si>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</si>
  <si>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</si>
  <si>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</si>
  <si>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</si>
  <si>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</si>
  <si>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</si>
  <si>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</si>
  <si>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</si>
  <si>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201409</t>
  </si>
  <si>
    <t>201410</t>
  </si>
  <si>
    <t>201411</t>
  </si>
  <si>
    <t>201412</t>
  </si>
  <si>
    <t>201501</t>
  </si>
  <si>
    <t>201502</t>
  </si>
  <si>
    <t>201503</t>
  </si>
  <si>
    <t>201504</t>
  </si>
  <si>
    <t>201505</t>
  </si>
  <si>
    <t>201506</t>
  </si>
  <si>
    <t>201507</t>
  </si>
  <si>
    <t>201508</t>
  </si>
  <si>
    <t>201509</t>
  </si>
  <si>
    <t>CAC</t>
  </si>
  <si>
    <t>Chiller</t>
  </si>
  <si>
    <t>EMS</t>
  </si>
  <si>
    <t>Hotel PTV</t>
  </si>
  <si>
    <t>IVI</t>
  </si>
  <si>
    <t>Lighting</t>
  </si>
  <si>
    <t>Security</t>
  </si>
  <si>
    <t>Solar</t>
  </si>
  <si>
    <t>DIV_CD</t>
  </si>
  <si>
    <t>KOR_NM</t>
  </si>
  <si>
    <t>CLT</t>
  </si>
  <si>
    <t>CMM</t>
  </si>
  <si>
    <t>CEM&amp;Membrane</t>
  </si>
  <si>
    <t>GCM</t>
  </si>
  <si>
    <t>C&amp;M</t>
  </si>
  <si>
    <t>SDT</t>
  </si>
  <si>
    <t>SRT</t>
  </si>
  <si>
    <t>VHT</t>
  </si>
  <si>
    <t>VE</t>
  </si>
  <si>
    <t>NATION_NM</t>
  </si>
  <si>
    <t>ALL</t>
  </si>
  <si>
    <t>키순서</t>
    <phoneticPr fontId="4" type="noConversion"/>
  </si>
  <si>
    <r>
      <t xml:space="preserve">전년
</t>
    </r>
    <r>
      <rPr>
        <b/>
        <u/>
        <sz val="9"/>
        <color rgb="FF006600"/>
        <rFont val="맑은 고딕"/>
        <family val="3"/>
        <charset val="129"/>
      </rPr>
      <t>대비</t>
    </r>
    <phoneticPr fontId="148" type="noConversion"/>
  </si>
  <si>
    <r>
      <t xml:space="preserve">전년말
</t>
    </r>
    <r>
      <rPr>
        <b/>
        <u/>
        <sz val="9"/>
        <color rgb="FF006600"/>
        <rFont val="맑은 고딕"/>
        <family val="3"/>
        <charset val="129"/>
      </rPr>
      <t>대비</t>
    </r>
    <phoneticPr fontId="148" type="noConversion"/>
  </si>
  <si>
    <t>중복제거된 국가리스트</t>
    <phoneticPr fontId="4" type="noConversion"/>
  </si>
  <si>
    <t>N_PRODUCT1</t>
    <phoneticPr fontId="4" type="noConversion"/>
  </si>
  <si>
    <t>N_PRODUCT2</t>
    <phoneticPr fontId="4" type="noConversion"/>
  </si>
  <si>
    <t>제품1</t>
    <phoneticPr fontId="4" type="noConversion"/>
  </si>
  <si>
    <t>제품2</t>
    <phoneticPr fontId="4" type="noConversion"/>
  </si>
  <si>
    <t>Name</t>
    <phoneticPr fontId="4" type="noConversion"/>
  </si>
  <si>
    <t>&lt;제품 매핑 테이블&gt;</t>
    <phoneticPr fontId="4" type="noConversion"/>
  </si>
  <si>
    <t>GNT</t>
    <phoneticPr fontId="4" type="noConversion"/>
  </si>
  <si>
    <t>제품1키1</t>
    <phoneticPr fontId="4" type="noConversion"/>
  </si>
  <si>
    <t>제품2키1</t>
    <phoneticPr fontId="4" type="noConversion"/>
  </si>
  <si>
    <t>키2</t>
    <phoneticPr fontId="13" type="noConversion"/>
  </si>
  <si>
    <t>키3</t>
    <phoneticPr fontId="4" type="noConversion"/>
  </si>
  <si>
    <t>키4</t>
    <phoneticPr fontId="13" type="noConversion"/>
  </si>
  <si>
    <t>제품1키</t>
    <phoneticPr fontId="13" type="noConversion"/>
  </si>
  <si>
    <t>제품2키</t>
    <phoneticPr fontId="13" type="noConversion"/>
  </si>
  <si>
    <t xml:space="preserve">(단위: 백만불) </t>
  </si>
  <si>
    <t>DISP_SEQ</t>
  </si>
  <si>
    <t>COL_INDEX_ENG</t>
  </si>
  <si>
    <t>모니터사이니지</t>
  </si>
  <si>
    <t>모니터사이니지</t>
    <phoneticPr fontId="4" type="noConversion"/>
  </si>
  <si>
    <t>TV사이니지</t>
  </si>
  <si>
    <t>MNT Signage</t>
  </si>
  <si>
    <t>201312</t>
  </si>
  <si>
    <t>N_MAIN_KO_SHEET</t>
    <phoneticPr fontId="13" type="noConversion"/>
  </si>
  <si>
    <r>
      <t>M</t>
    </r>
    <r>
      <rPr>
        <sz val="11"/>
        <color theme="1"/>
        <rFont val="맑은 고딕"/>
        <family val="2"/>
        <charset val="129"/>
      </rPr>
      <t>AIN</t>
    </r>
    <phoneticPr fontId="13" type="noConversion"/>
  </si>
  <si>
    <r>
      <t>N</t>
    </r>
    <r>
      <rPr>
        <sz val="11"/>
        <color theme="1"/>
        <rFont val="맑은 고딕"/>
        <family val="2"/>
        <charset val="129"/>
      </rPr>
      <t>_MAIN_EN_SHEET</t>
    </r>
    <phoneticPr fontId="13" type="noConversion"/>
  </si>
  <si>
    <r>
      <t>M</t>
    </r>
    <r>
      <rPr>
        <sz val="11"/>
        <color theme="1"/>
        <rFont val="맑은 고딕"/>
        <family val="2"/>
        <charset val="129"/>
      </rPr>
      <t>AIN_EN</t>
    </r>
    <phoneticPr fontId="13" type="noConversion"/>
  </si>
  <si>
    <t>ENG_NM</t>
  </si>
  <si>
    <t>GNTCS</t>
  </si>
  <si>
    <t>TV Signage</t>
  </si>
  <si>
    <t>GNTHT</t>
  </si>
  <si>
    <t>Hotel TV</t>
  </si>
  <si>
    <t>영국</t>
  </si>
  <si>
    <t>CODE_TYPE</t>
  </si>
  <si>
    <t>CODE</t>
  </si>
  <si>
    <t>REF_CD</t>
  </si>
  <si>
    <t>DIV</t>
  </si>
  <si>
    <t>LTV</t>
  </si>
  <si>
    <t>HE</t>
  </si>
  <si>
    <t>GPT</t>
  </si>
  <si>
    <t>PTV</t>
  </si>
  <si>
    <t>GLM</t>
  </si>
  <si>
    <t>LMT</t>
  </si>
  <si>
    <t>LCD Module</t>
  </si>
  <si>
    <t>GLA</t>
  </si>
  <si>
    <t>LTV_Intra_BU</t>
  </si>
  <si>
    <t>GDT</t>
  </si>
  <si>
    <t>PDP</t>
  </si>
  <si>
    <t>GQT</t>
  </si>
  <si>
    <t>PDP Module</t>
  </si>
  <si>
    <t>PIT</t>
  </si>
  <si>
    <t>PDP_Intra_BU</t>
  </si>
  <si>
    <t>GRT</t>
  </si>
  <si>
    <t>CRT TV</t>
  </si>
  <si>
    <t>CTV</t>
  </si>
  <si>
    <t>GMP</t>
  </si>
  <si>
    <t>모니터 / PC</t>
  </si>
  <si>
    <t>MNT/PC</t>
  </si>
  <si>
    <t>모니터</t>
  </si>
  <si>
    <t>MNT</t>
  </si>
  <si>
    <t>MPA</t>
  </si>
  <si>
    <t>MNT/PC_Intra_BU</t>
  </si>
  <si>
    <t>PJT</t>
  </si>
  <si>
    <t>프로젝터</t>
  </si>
  <si>
    <t>Projector</t>
  </si>
  <si>
    <t>TMA</t>
  </si>
  <si>
    <t>TV/MNT_Intra_BU</t>
  </si>
  <si>
    <t>CMS</t>
  </si>
  <si>
    <t>CAV</t>
  </si>
  <si>
    <t>PHT</t>
  </si>
  <si>
    <t>포켓포토</t>
  </si>
  <si>
    <t>Photo Printer</t>
  </si>
  <si>
    <t>CMA</t>
  </si>
  <si>
    <t>CAV Intra BU</t>
  </si>
  <si>
    <t>MPT</t>
  </si>
  <si>
    <t>ID</t>
  </si>
  <si>
    <t>모니터 사이니지</t>
  </si>
  <si>
    <t>Commercial TV</t>
  </si>
  <si>
    <t>GHT</t>
  </si>
  <si>
    <t>Commercial Display(Old)</t>
  </si>
  <si>
    <t>IMP</t>
  </si>
  <si>
    <t>MNT_Intra_BU</t>
  </si>
  <si>
    <t>ID_Intra_BU</t>
  </si>
  <si>
    <t>GAT</t>
  </si>
  <si>
    <t>DD ETC</t>
  </si>
  <si>
    <t>DPT</t>
  </si>
  <si>
    <t>DISPLAY</t>
  </si>
  <si>
    <t>GHE</t>
  </si>
  <si>
    <t>HE_Intra_Company</t>
  </si>
  <si>
    <t>ZHE</t>
  </si>
  <si>
    <t>HE_Inter_Company</t>
  </si>
  <si>
    <t>MOBILE</t>
  </si>
  <si>
    <t>NWT</t>
  </si>
  <si>
    <t>NETWORK</t>
  </si>
  <si>
    <t>GMC</t>
  </si>
  <si>
    <t>MC_Intra_Company</t>
  </si>
  <si>
    <t>ZMC</t>
  </si>
  <si>
    <t>MC_Inter_Company</t>
  </si>
  <si>
    <t>CFT</t>
  </si>
  <si>
    <t>냉장고 사업부</t>
  </si>
  <si>
    <t>REF &amp; Water Purifier</t>
  </si>
  <si>
    <t>HN2</t>
  </si>
  <si>
    <t>CBT</t>
  </si>
  <si>
    <t>Water Purifier BU</t>
  </si>
  <si>
    <t>CWT</t>
  </si>
  <si>
    <t>정수기</t>
  </si>
  <si>
    <t>Water Purifier</t>
  </si>
  <si>
    <t>WW4</t>
  </si>
  <si>
    <t>Other_HiMS C&amp;C</t>
  </si>
  <si>
    <t>CFA</t>
  </si>
  <si>
    <t>REF &amp; Water Purifier Intra BU</t>
  </si>
  <si>
    <t>REF &amp; Water Purifier_Intra_BU</t>
  </si>
  <si>
    <t>DIT</t>
  </si>
  <si>
    <t>세탁기 사업부</t>
  </si>
  <si>
    <t>W/M &amp; VCC</t>
  </si>
  <si>
    <t>청소기</t>
  </si>
  <si>
    <t>DIA</t>
  </si>
  <si>
    <t>W/M &amp; VCC Intra BU</t>
  </si>
  <si>
    <t>W/M &amp; VCC_Intra_BU</t>
  </si>
  <si>
    <t>CMT</t>
  </si>
  <si>
    <t>키친패키지</t>
  </si>
  <si>
    <t>Kitchen Package</t>
  </si>
  <si>
    <t>CVT</t>
  </si>
  <si>
    <t>쿠킹</t>
  </si>
  <si>
    <t>Cooking</t>
  </si>
  <si>
    <t>GET</t>
  </si>
  <si>
    <t>빌트인</t>
  </si>
  <si>
    <t>MGT</t>
  </si>
  <si>
    <t>VLT</t>
  </si>
  <si>
    <t>Lamp</t>
  </si>
  <si>
    <t>VC</t>
  </si>
  <si>
    <t>CIT</t>
  </si>
  <si>
    <t>Kitchen Package_Intra_BU</t>
  </si>
  <si>
    <t>CPT</t>
  </si>
  <si>
    <t>콤프</t>
  </si>
  <si>
    <t>Compressor</t>
  </si>
  <si>
    <t>EVT</t>
  </si>
  <si>
    <t>H&amp;M</t>
  </si>
  <si>
    <t>VST</t>
  </si>
  <si>
    <t>ADAS</t>
  </si>
  <si>
    <t>DHT</t>
  </si>
  <si>
    <t>에어컨콤프</t>
  </si>
  <si>
    <t>AC Comp</t>
  </si>
  <si>
    <t>CCT</t>
  </si>
  <si>
    <t>냉장고콤프</t>
  </si>
  <si>
    <t>REF Comp</t>
  </si>
  <si>
    <t>CPA</t>
  </si>
  <si>
    <t>Comp Intra</t>
  </si>
  <si>
    <t>KMT</t>
  </si>
  <si>
    <t>모터</t>
  </si>
  <si>
    <t>MOTOR</t>
  </si>
  <si>
    <t>DQT</t>
  </si>
  <si>
    <t>주물</t>
  </si>
  <si>
    <t>Casting</t>
  </si>
  <si>
    <t>GEV</t>
  </si>
  <si>
    <t>C&amp;M_Intra_Company</t>
  </si>
  <si>
    <t>ZEV</t>
  </si>
  <si>
    <t>C&amp;M_Inter_Company</t>
  </si>
  <si>
    <t>DCT</t>
  </si>
  <si>
    <t>System A/C</t>
  </si>
  <si>
    <t>HNA</t>
  </si>
  <si>
    <t>DWT</t>
  </si>
  <si>
    <t>CAC BU</t>
  </si>
  <si>
    <t>WW2</t>
  </si>
  <si>
    <t>Other_HiMS CAC</t>
  </si>
  <si>
    <t>DBT</t>
  </si>
  <si>
    <t>Chiller BU</t>
  </si>
  <si>
    <t>칠러</t>
  </si>
  <si>
    <t>WW6</t>
  </si>
  <si>
    <t>Other_ACE R&amp;A</t>
  </si>
  <si>
    <t>W10</t>
  </si>
  <si>
    <t>Other_HiMS Chiller</t>
  </si>
  <si>
    <t>DCA</t>
  </si>
  <si>
    <t>System A/C Intra BU</t>
  </si>
  <si>
    <t>DAT</t>
  </si>
  <si>
    <t>A/C Mfg</t>
  </si>
  <si>
    <t>GNA</t>
  </si>
  <si>
    <t>H&amp;A_Intra_Company</t>
  </si>
  <si>
    <t>ZNA</t>
  </si>
  <si>
    <t>H&amp;A_Inter_Company</t>
  </si>
  <si>
    <t>VE사업부</t>
  </si>
  <si>
    <t>VDT</t>
  </si>
  <si>
    <t>설계 ED</t>
  </si>
  <si>
    <t>VE Design Engineering</t>
  </si>
  <si>
    <t>VMT</t>
  </si>
  <si>
    <t>ME ED</t>
  </si>
  <si>
    <t>VE Manufacturing Engineering</t>
  </si>
  <si>
    <t>VIT</t>
  </si>
  <si>
    <t>VE_Intra_BU</t>
  </si>
  <si>
    <t>VQT</t>
  </si>
  <si>
    <t>e-PT</t>
  </si>
  <si>
    <t>VBT</t>
  </si>
  <si>
    <t>Battery Pack</t>
  </si>
  <si>
    <t>VNT</t>
  </si>
  <si>
    <t>e-PT_Intera_BU</t>
  </si>
  <si>
    <t>GVC</t>
  </si>
  <si>
    <t>VC_Intra_Company</t>
  </si>
  <si>
    <t>ZVC</t>
  </si>
  <si>
    <t>VC_Inter_Company</t>
  </si>
  <si>
    <t>SBT</t>
  </si>
  <si>
    <t>Solar BU</t>
  </si>
  <si>
    <t>EBC</t>
  </si>
  <si>
    <t>Solar Business Team</t>
  </si>
  <si>
    <t>MTT</t>
  </si>
  <si>
    <t>CEM</t>
  </si>
  <si>
    <t>XX2</t>
  </si>
  <si>
    <t>R&amp;D</t>
  </si>
  <si>
    <t>DZ</t>
  </si>
  <si>
    <t>WW5</t>
  </si>
  <si>
    <t>Other_HiMS Other</t>
  </si>
  <si>
    <t>ESA</t>
  </si>
  <si>
    <t>ESS</t>
  </si>
  <si>
    <t>SWT</t>
  </si>
  <si>
    <t>EMS BU</t>
  </si>
  <si>
    <t>XX4</t>
  </si>
  <si>
    <t>SVC</t>
  </si>
  <si>
    <t>WW3</t>
  </si>
  <si>
    <t>Other_HiMS BMS</t>
  </si>
  <si>
    <t>GEB</t>
  </si>
  <si>
    <t>Energy_Intra_Company</t>
  </si>
  <si>
    <t>ZEB</t>
  </si>
  <si>
    <t>Energy_Inter_Company</t>
  </si>
  <si>
    <t>MMT</t>
  </si>
  <si>
    <t>Membrane</t>
  </si>
  <si>
    <t>GMM</t>
  </si>
  <si>
    <t>CEM Intra BU</t>
  </si>
  <si>
    <t>GGT</t>
  </si>
  <si>
    <t>강화유리</t>
  </si>
  <si>
    <t>Tempered Glass BIZ</t>
  </si>
  <si>
    <t>PTG</t>
  </si>
  <si>
    <t>CST</t>
  </si>
  <si>
    <t>COMMERCIAL WATER BIZ</t>
  </si>
  <si>
    <t>PWV</t>
  </si>
  <si>
    <t>COM</t>
  </si>
  <si>
    <t>COMMON</t>
  </si>
  <si>
    <t>XX1</t>
  </si>
  <si>
    <t>Other[HQ]</t>
  </si>
  <si>
    <t>XX3</t>
  </si>
  <si>
    <t>SALES</t>
  </si>
  <si>
    <t>XX5</t>
  </si>
  <si>
    <t>WITHDRAWAL</t>
  </si>
  <si>
    <t>XX6</t>
  </si>
  <si>
    <t>OTHER</t>
  </si>
  <si>
    <t>XX7</t>
  </si>
  <si>
    <t>OLED[HQ]</t>
  </si>
  <si>
    <t>EPT</t>
  </si>
  <si>
    <t>PCB[HQ]</t>
  </si>
  <si>
    <t>XX8</t>
  </si>
  <si>
    <t>ASSET[HQ]</t>
  </si>
  <si>
    <t>XX9</t>
  </si>
  <si>
    <t>ADJUSTMENT[HQ]</t>
  </si>
  <si>
    <t>SIT</t>
  </si>
  <si>
    <t>SIC Center</t>
  </si>
  <si>
    <t>SD9</t>
  </si>
  <si>
    <t>Solar Cell Biz. Team(Old)</t>
  </si>
  <si>
    <t>EVA</t>
  </si>
  <si>
    <t>EVA_Adjust</t>
  </si>
  <si>
    <t>GDI</t>
  </si>
  <si>
    <t>DI_Intra_Company</t>
  </si>
  <si>
    <t>HNT</t>
  </si>
  <si>
    <t>DATA NETWORK</t>
  </si>
  <si>
    <t>PET</t>
  </si>
  <si>
    <t>SYS</t>
  </si>
  <si>
    <t>PVT</t>
  </si>
  <si>
    <t>Other_Other</t>
  </si>
  <si>
    <t>YY1</t>
  </si>
  <si>
    <t>SVC[Sub]</t>
  </si>
  <si>
    <t>YY2</t>
  </si>
  <si>
    <t>RTC[Sub]</t>
  </si>
  <si>
    <t>YY3</t>
  </si>
  <si>
    <t>R&amp;D[Sub]</t>
  </si>
  <si>
    <t>YY4</t>
  </si>
  <si>
    <t>WITHDRAWAL[Sub]</t>
  </si>
  <si>
    <t>YY5</t>
  </si>
  <si>
    <t>Others[Sub]</t>
  </si>
  <si>
    <t>YY6</t>
  </si>
  <si>
    <t>ASSET[Sub]</t>
  </si>
  <si>
    <t>YY7</t>
  </si>
  <si>
    <t>ADJUSTMENT[Sub]</t>
  </si>
  <si>
    <t>ZDZ</t>
  </si>
  <si>
    <t>Inter_Company(Sub)</t>
  </si>
  <si>
    <t>CTT</t>
  </si>
  <si>
    <t>COMP</t>
  </si>
  <si>
    <t>PPT</t>
  </si>
  <si>
    <t>DS_OEM</t>
  </si>
  <si>
    <t>PDT</t>
  </si>
  <si>
    <t>Production engineering Research Institute</t>
  </si>
  <si>
    <t>PRT</t>
  </si>
  <si>
    <t>프린터</t>
  </si>
  <si>
    <t>Printer</t>
  </si>
  <si>
    <t>XXA</t>
  </si>
  <si>
    <t>Other DIV_MOBILE SA</t>
  </si>
  <si>
    <t>XXB</t>
  </si>
  <si>
    <t>Other DIV_Subsidiary</t>
  </si>
  <si>
    <t>WW1</t>
  </si>
  <si>
    <t>Other_Other Subsidiary</t>
  </si>
  <si>
    <t>WW7</t>
  </si>
  <si>
    <t>Other_HiEntech</t>
  </si>
  <si>
    <t>WW8</t>
  </si>
  <si>
    <t>Other_LHWS</t>
  </si>
  <si>
    <t>WW9</t>
  </si>
  <si>
    <t>Other Div_VENS</t>
  </si>
  <si>
    <t>999</t>
  </si>
  <si>
    <t>[Adj]GBU</t>
  </si>
  <si>
    <t>ZZ1</t>
  </si>
  <si>
    <t>Sales_TOT</t>
  </si>
  <si>
    <t>DSZ</t>
  </si>
  <si>
    <t>ZZ2</t>
  </si>
  <si>
    <t>Logistics-TOT</t>
  </si>
  <si>
    <t>ZZ3</t>
  </si>
  <si>
    <t>Throu Biz -TOT</t>
  </si>
  <si>
    <t>ZZ4</t>
  </si>
  <si>
    <t>SVC-TOT</t>
  </si>
  <si>
    <t>ZZ5</t>
  </si>
  <si>
    <t>R&amp;D-TOT</t>
  </si>
  <si>
    <t>ZZ6</t>
  </si>
  <si>
    <t>Reimbursement-TOT</t>
  </si>
  <si>
    <t>GZZ</t>
  </si>
  <si>
    <t>Inter_Company(HQ)</t>
  </si>
  <si>
    <t>ZA</t>
  </si>
  <si>
    <t>*</t>
  </si>
  <si>
    <t>NULL VALUE (GBU)</t>
  </si>
  <si>
    <t>ANT</t>
  </si>
  <si>
    <t>안마의자</t>
  </si>
  <si>
    <t>Bodycare</t>
  </si>
  <si>
    <t>PROD</t>
  </si>
  <si>
    <t>MST_L3_25</t>
  </si>
  <si>
    <t>Premium G</t>
  </si>
  <si>
    <t>GLT_L2_7</t>
  </si>
  <si>
    <t>FHD</t>
  </si>
  <si>
    <t>GLT_L2_1</t>
  </si>
  <si>
    <t>GLT_L2_2</t>
  </si>
  <si>
    <t>UHD</t>
  </si>
  <si>
    <t>GNT_L2_5</t>
  </si>
  <si>
    <t>GNT_L2_1</t>
  </si>
  <si>
    <t>TV 사이니지</t>
  </si>
  <si>
    <t>MST_L2_2</t>
  </si>
  <si>
    <t>3G</t>
  </si>
  <si>
    <t>MST_L2_1</t>
  </si>
  <si>
    <t>LTE</t>
  </si>
  <si>
    <t>CNT_L2_4</t>
  </si>
  <si>
    <t>B/Freezer</t>
  </si>
  <si>
    <t>CNT_L2_2</t>
  </si>
  <si>
    <t>SxS</t>
  </si>
  <si>
    <t>CNT_L2_1</t>
  </si>
  <si>
    <t>T/Freezer</t>
  </si>
  <si>
    <t>DFT_L2_1</t>
  </si>
  <si>
    <t>F/Loader</t>
  </si>
  <si>
    <t>DFT_L2_2</t>
  </si>
  <si>
    <t>T/Loader</t>
  </si>
  <si>
    <t>DMT_L2_2</t>
  </si>
  <si>
    <t>싱글 CAC</t>
  </si>
  <si>
    <t>Single CAC</t>
  </si>
  <si>
    <t>DMT_L2_1</t>
  </si>
  <si>
    <t>VRF</t>
  </si>
  <si>
    <t>VDT_L2_1</t>
  </si>
  <si>
    <t>설계</t>
  </si>
  <si>
    <t>Design</t>
  </si>
  <si>
    <t>CLT_L2_2</t>
  </si>
  <si>
    <t>램프류</t>
  </si>
  <si>
    <t>DMT_L1_1</t>
  </si>
  <si>
    <t>DTT_L1_1</t>
  </si>
  <si>
    <t>CLT_L1_1</t>
  </si>
  <si>
    <t>GJT_L1_1</t>
  </si>
  <si>
    <t>Monitor Signage</t>
  </si>
  <si>
    <t>CORP</t>
  </si>
  <si>
    <t>ENUS</t>
  </si>
  <si>
    <t>미국가전</t>
  </si>
  <si>
    <t>USA</t>
  </si>
  <si>
    <t>LGEUS</t>
  </si>
  <si>
    <t>ENCI</t>
  </si>
  <si>
    <t>캐나다</t>
  </si>
  <si>
    <t>Canada</t>
  </si>
  <si>
    <t>LGECI</t>
  </si>
  <si>
    <t>EEBN</t>
  </si>
  <si>
    <t>베네룩스</t>
  </si>
  <si>
    <t>Benelux</t>
  </si>
  <si>
    <t>LGEBN</t>
  </si>
  <si>
    <t>EEDG</t>
  </si>
  <si>
    <t>독일</t>
  </si>
  <si>
    <t>Germany</t>
  </si>
  <si>
    <t>LGEDG</t>
  </si>
  <si>
    <t>EEAG</t>
  </si>
  <si>
    <t>오스트리아</t>
  </si>
  <si>
    <t>Austria</t>
  </si>
  <si>
    <t>LGEAG</t>
  </si>
  <si>
    <t>EEUK</t>
  </si>
  <si>
    <t>United Kingdom</t>
  </si>
  <si>
    <t>LGEUK</t>
  </si>
  <si>
    <t>EESW</t>
  </si>
  <si>
    <t>노르딕</t>
  </si>
  <si>
    <t>Nordic</t>
  </si>
  <si>
    <t>LGESW</t>
  </si>
  <si>
    <t>EEES</t>
  </si>
  <si>
    <t>스페인</t>
  </si>
  <si>
    <t>Spain</t>
  </si>
  <si>
    <t>LGEES</t>
  </si>
  <si>
    <t>EEPT</t>
  </si>
  <si>
    <t>포르투갈</t>
  </si>
  <si>
    <t>Portugal</t>
  </si>
  <si>
    <t>LGEPT</t>
  </si>
  <si>
    <t>EEFS</t>
  </si>
  <si>
    <t>프랑스</t>
  </si>
  <si>
    <t>France</t>
  </si>
  <si>
    <t>LGEFS</t>
  </si>
  <si>
    <t>EEIS</t>
  </si>
  <si>
    <t>이태리</t>
  </si>
  <si>
    <t>Italy</t>
  </si>
  <si>
    <t>LGEIS</t>
  </si>
  <si>
    <t>EEHS</t>
  </si>
  <si>
    <t>그리스</t>
  </si>
  <si>
    <t>Greece</t>
  </si>
  <si>
    <t>LGEHS</t>
  </si>
  <si>
    <t>EECZ</t>
  </si>
  <si>
    <t>체코</t>
  </si>
  <si>
    <t>Czech</t>
  </si>
  <si>
    <t>LGECZ</t>
  </si>
  <si>
    <t>EELA</t>
  </si>
  <si>
    <t>라트비아</t>
  </si>
  <si>
    <t>Latvia</t>
  </si>
  <si>
    <t>LGELA</t>
  </si>
  <si>
    <t>EEMK</t>
  </si>
  <si>
    <t>헝가리</t>
  </si>
  <si>
    <t>Hungary</t>
  </si>
  <si>
    <t>LGEMK</t>
  </si>
  <si>
    <t>EEPL</t>
  </si>
  <si>
    <t>폴란드</t>
  </si>
  <si>
    <t>Poland</t>
  </si>
  <si>
    <t>LGEPL</t>
  </si>
  <si>
    <t>EERO</t>
  </si>
  <si>
    <t>루마니아</t>
  </si>
  <si>
    <t>Romania</t>
  </si>
  <si>
    <t>LGERO</t>
  </si>
  <si>
    <t>ESSP</t>
  </si>
  <si>
    <t>브라질</t>
  </si>
  <si>
    <t>Brazil</t>
  </si>
  <si>
    <t>LGESP</t>
  </si>
  <si>
    <t>ENMS</t>
  </si>
  <si>
    <t>멕시코</t>
  </si>
  <si>
    <t>Mexico</t>
  </si>
  <si>
    <t>LGEMS</t>
  </si>
  <si>
    <t>ESCB</t>
  </si>
  <si>
    <t>콜롬비아</t>
  </si>
  <si>
    <t>Colombia</t>
  </si>
  <si>
    <t>LGECB</t>
  </si>
  <si>
    <t>ESPS</t>
  </si>
  <si>
    <t>파나마</t>
  </si>
  <si>
    <t>Panama</t>
  </si>
  <si>
    <t>LGEPS</t>
  </si>
  <si>
    <t>ESCL</t>
  </si>
  <si>
    <t>칠레</t>
  </si>
  <si>
    <t>Chile</t>
  </si>
  <si>
    <t>LGECL</t>
  </si>
  <si>
    <t>ESPR</t>
  </si>
  <si>
    <t>페루</t>
  </si>
  <si>
    <t>Peru</t>
  </si>
  <si>
    <t>LGEPR</t>
  </si>
  <si>
    <t>ESAR</t>
  </si>
  <si>
    <t>아르헨티나</t>
  </si>
  <si>
    <t>Argentina</t>
  </si>
  <si>
    <t>LGEAR</t>
  </si>
  <si>
    <t>EMGF</t>
  </si>
  <si>
    <t>걸프</t>
  </si>
  <si>
    <t>Gulf</t>
  </si>
  <si>
    <t>LGEGF</t>
  </si>
  <si>
    <t>EMGF_ISB</t>
  </si>
  <si>
    <t>사우디</t>
  </si>
  <si>
    <t>Saudi</t>
  </si>
  <si>
    <t>LGESB</t>
  </si>
  <si>
    <t>EMTK</t>
  </si>
  <si>
    <t>터키</t>
  </si>
  <si>
    <t>Turkey</t>
  </si>
  <si>
    <t>LGETK</t>
  </si>
  <si>
    <t>EMLF</t>
  </si>
  <si>
    <t>레반트</t>
  </si>
  <si>
    <t>Levant</t>
  </si>
  <si>
    <t>LGELF</t>
  </si>
  <si>
    <t>EMLF_IYK</t>
  </si>
  <si>
    <t>유국</t>
  </si>
  <si>
    <t>Israel</t>
  </si>
  <si>
    <t>LGEYK</t>
  </si>
  <si>
    <t>EMDF_IIR</t>
  </si>
  <si>
    <t>이란</t>
  </si>
  <si>
    <t>Iran</t>
  </si>
  <si>
    <t>LGEIR</t>
  </si>
  <si>
    <t>EFEG</t>
  </si>
  <si>
    <t>이집트</t>
  </si>
  <si>
    <t>Egypt</t>
  </si>
  <si>
    <t>LGEEG</t>
  </si>
  <si>
    <t>EMDF_ITU</t>
  </si>
  <si>
    <t>튀니지</t>
  </si>
  <si>
    <t>Tunisia</t>
  </si>
  <si>
    <t>LGETU</t>
  </si>
  <si>
    <t>EFMC</t>
  </si>
  <si>
    <t>모로코</t>
  </si>
  <si>
    <t>Morocco</t>
  </si>
  <si>
    <t>LGEMC</t>
  </si>
  <si>
    <t>EMAS</t>
  </si>
  <si>
    <t>알제리</t>
  </si>
  <si>
    <t>Algeria</t>
  </si>
  <si>
    <t>LGEAS</t>
  </si>
  <si>
    <t>EFSA</t>
  </si>
  <si>
    <t>남아공</t>
  </si>
  <si>
    <t>South Africa</t>
  </si>
  <si>
    <t>LGESA</t>
  </si>
  <si>
    <t>EMAF</t>
  </si>
  <si>
    <t>나이지리아</t>
  </si>
  <si>
    <t>Nigeria</t>
  </si>
  <si>
    <t>LGEAF</t>
  </si>
  <si>
    <t>EMAF_IEF</t>
  </si>
  <si>
    <t>케냐</t>
  </si>
  <si>
    <t>Kenya</t>
  </si>
  <si>
    <t>LGEEF</t>
  </si>
  <si>
    <t>EHAP</t>
  </si>
  <si>
    <t>호주</t>
  </si>
  <si>
    <t>Australia</t>
  </si>
  <si>
    <t>LGEAP</t>
  </si>
  <si>
    <t>EAIN</t>
  </si>
  <si>
    <t>인도네시아</t>
  </si>
  <si>
    <t>Indonesia</t>
  </si>
  <si>
    <t>LGEIN</t>
  </si>
  <si>
    <t>EAML</t>
  </si>
  <si>
    <t>말레이시아</t>
  </si>
  <si>
    <t>Malaysia</t>
  </si>
  <si>
    <t>LGEML</t>
  </si>
  <si>
    <t>EACM</t>
  </si>
  <si>
    <t>필리핀</t>
  </si>
  <si>
    <t>Philippine</t>
  </si>
  <si>
    <t>LGEPH</t>
  </si>
  <si>
    <t>EASL</t>
  </si>
  <si>
    <t>싱가포르</t>
  </si>
  <si>
    <t>Singapore</t>
  </si>
  <si>
    <t>LGESL</t>
  </si>
  <si>
    <t>EATH</t>
  </si>
  <si>
    <t>태국</t>
  </si>
  <si>
    <t>Thailand</t>
  </si>
  <si>
    <t>LGETH</t>
  </si>
  <si>
    <t>EAVH</t>
  </si>
  <si>
    <t>베트남</t>
  </si>
  <si>
    <t>Vietnam</t>
  </si>
  <si>
    <t>LGEVH</t>
  </si>
  <si>
    <t>EATT</t>
  </si>
  <si>
    <t>대만</t>
  </si>
  <si>
    <t>Taiwan</t>
  </si>
  <si>
    <t>LGETT</t>
  </si>
  <si>
    <t>EAIL</t>
  </si>
  <si>
    <t>인도</t>
  </si>
  <si>
    <t>India</t>
  </si>
  <si>
    <t>LGEIL</t>
  </si>
  <si>
    <t>ERRA</t>
  </si>
  <si>
    <t>러시아</t>
  </si>
  <si>
    <t>Russia</t>
  </si>
  <si>
    <t>LGERA</t>
  </si>
  <si>
    <t>EEUR</t>
  </si>
  <si>
    <t>우크라이나</t>
  </si>
  <si>
    <t>Ukraine</t>
  </si>
  <si>
    <t>LGEUR</t>
  </si>
  <si>
    <t>EEAK</t>
  </si>
  <si>
    <t>카자흐스탄</t>
  </si>
  <si>
    <t>Kazakhstan</t>
  </si>
  <si>
    <t>LGEAK</t>
  </si>
  <si>
    <t>EROK</t>
  </si>
  <si>
    <t>LGEOK</t>
  </si>
  <si>
    <t>ECCH</t>
  </si>
  <si>
    <t>중국</t>
  </si>
  <si>
    <t>China</t>
  </si>
  <si>
    <t>LGECH</t>
  </si>
  <si>
    <t>ECHK</t>
  </si>
  <si>
    <t>홍콩</t>
  </si>
  <si>
    <t>Hong kong</t>
  </si>
  <si>
    <t>LGEHK</t>
  </si>
  <si>
    <t>EJJP</t>
  </si>
  <si>
    <t>일본</t>
  </si>
  <si>
    <t>Japan</t>
  </si>
  <si>
    <t>LGEJP</t>
  </si>
  <si>
    <t>NATION</t>
  </si>
  <si>
    <t>NULL VALUE</t>
  </si>
  <si>
    <t>IE</t>
  </si>
  <si>
    <t>아일랜드</t>
  </si>
  <si>
    <t>Ireland</t>
  </si>
  <si>
    <t>EEDT</t>
  </si>
  <si>
    <t>KR</t>
  </si>
  <si>
    <t>대한민국</t>
  </si>
  <si>
    <t>Republic of Korea</t>
  </si>
  <si>
    <t>G113</t>
  </si>
  <si>
    <t>NL</t>
  </si>
  <si>
    <t>네덜란드</t>
  </si>
  <si>
    <t>Netherlands</t>
  </si>
  <si>
    <t>EEEH</t>
  </si>
  <si>
    <t>베네수엘라</t>
  </si>
  <si>
    <t>Venezuela</t>
  </si>
  <si>
    <t>ESLG</t>
  </si>
  <si>
    <t>FI</t>
  </si>
  <si>
    <t>핀란드</t>
  </si>
  <si>
    <t>Finland</t>
  </si>
  <si>
    <t>EEFH</t>
  </si>
  <si>
    <t>EEER</t>
  </si>
  <si>
    <t>EESE</t>
  </si>
  <si>
    <t>EESC</t>
  </si>
  <si>
    <t>VN</t>
  </si>
  <si>
    <t>Viet Nam</t>
  </si>
  <si>
    <t>G253</t>
  </si>
  <si>
    <t>G223</t>
  </si>
  <si>
    <t>MY</t>
  </si>
  <si>
    <t>말레이시아 연방</t>
  </si>
  <si>
    <t>G118</t>
  </si>
  <si>
    <t>G120</t>
  </si>
  <si>
    <t>CN</t>
  </si>
  <si>
    <t>G138</t>
  </si>
  <si>
    <t>MX</t>
  </si>
  <si>
    <t>멕시코 공화국</t>
  </si>
  <si>
    <t>G140</t>
  </si>
  <si>
    <t>G217</t>
  </si>
  <si>
    <t>G137</t>
  </si>
  <si>
    <t>DE</t>
  </si>
  <si>
    <t>G134</t>
  </si>
  <si>
    <t>G146</t>
  </si>
  <si>
    <t>G160</t>
  </si>
  <si>
    <t>EKZZ</t>
  </si>
  <si>
    <t>ECBJ</t>
  </si>
  <si>
    <t>PH</t>
  </si>
  <si>
    <t>Philippines</t>
  </si>
  <si>
    <t>EACP</t>
  </si>
  <si>
    <t>IN</t>
  </si>
  <si>
    <t>EAHL</t>
  </si>
  <si>
    <t>ECHZ</t>
  </si>
  <si>
    <t>EKEI</t>
  </si>
  <si>
    <t>ECKS</t>
  </si>
  <si>
    <t>PL</t>
  </si>
  <si>
    <t>EEMA</t>
  </si>
  <si>
    <t>ENMX</t>
  </si>
  <si>
    <t>ECNT</t>
  </si>
  <si>
    <t>GB</t>
  </si>
  <si>
    <t>연합왕국</t>
  </si>
  <si>
    <t>EENE</t>
  </si>
  <si>
    <t>ECPN</t>
  </si>
  <si>
    <t>ECQA</t>
  </si>
  <si>
    <t>ECQH</t>
  </si>
  <si>
    <t>ENRS</t>
  </si>
  <si>
    <t>ECSH</t>
  </si>
  <si>
    <t>ECSY</t>
  </si>
  <si>
    <t>ECTA</t>
  </si>
  <si>
    <t>ECTL</t>
  </si>
  <si>
    <t>ECCT</t>
  </si>
  <si>
    <t>EEWA</t>
  </si>
  <si>
    <t>EEWR</t>
  </si>
  <si>
    <t>ECYT</t>
  </si>
  <si>
    <t>TH</t>
  </si>
  <si>
    <t>EAIT</t>
  </si>
  <si>
    <t>인도네시아 공화국</t>
  </si>
  <si>
    <t>G111</t>
  </si>
  <si>
    <t>G143</t>
  </si>
  <si>
    <t>EAII</t>
  </si>
  <si>
    <t>G117</t>
  </si>
  <si>
    <t>US</t>
  </si>
  <si>
    <t>미국</t>
  </si>
  <si>
    <t>United States</t>
  </si>
  <si>
    <t>G141</t>
  </si>
  <si>
    <t>G159</t>
  </si>
  <si>
    <t>G162</t>
  </si>
  <si>
    <t>G163</t>
  </si>
  <si>
    <t>EAGI</t>
  </si>
  <si>
    <t>EAIV</t>
  </si>
  <si>
    <t>ECNP</t>
  </si>
  <si>
    <t>ECHN</t>
  </si>
  <si>
    <t>G119</t>
  </si>
  <si>
    <t>ENMM</t>
  </si>
  <si>
    <t>SA</t>
  </si>
  <si>
    <t>사우디아라비아</t>
  </si>
  <si>
    <t>Saudi Arabia</t>
  </si>
  <si>
    <t>EMSR</t>
  </si>
  <si>
    <t>ECSG</t>
  </si>
  <si>
    <t>ECQD</t>
  </si>
  <si>
    <t>G149</t>
  </si>
  <si>
    <t>G150</t>
  </si>
  <si>
    <t>G148</t>
  </si>
  <si>
    <t>ECRC</t>
  </si>
  <si>
    <t>SG</t>
  </si>
  <si>
    <t>EAEP</t>
  </si>
  <si>
    <t>FR</t>
  </si>
  <si>
    <t>EEMF</t>
  </si>
  <si>
    <t>ENMR</t>
  </si>
  <si>
    <t>ENCA</t>
  </si>
  <si>
    <t>ECYM</t>
  </si>
  <si>
    <t>EASI</t>
  </si>
  <si>
    <t>ENNP</t>
  </si>
  <si>
    <t>G229</t>
  </si>
  <si>
    <t>ENTD</t>
  </si>
  <si>
    <t>ECYD</t>
  </si>
  <si>
    <t>ENZE</t>
  </si>
  <si>
    <t>G216</t>
  </si>
  <si>
    <t>ECRD</t>
  </si>
  <si>
    <t>G251</t>
  </si>
  <si>
    <t>JF11</t>
  </si>
  <si>
    <t>IQ</t>
  </si>
  <si>
    <t>이라크</t>
  </si>
  <si>
    <t>Iraq</t>
  </si>
  <si>
    <t>JM67</t>
  </si>
  <si>
    <t>LB</t>
  </si>
  <si>
    <t>레바논</t>
  </si>
  <si>
    <t>Lebanon</t>
  </si>
  <si>
    <t>JM68</t>
  </si>
  <si>
    <t>JS61</t>
  </si>
  <si>
    <t>EAKK</t>
  </si>
  <si>
    <t>G152</t>
  </si>
  <si>
    <t>EAST</t>
  </si>
  <si>
    <t>JC68</t>
  </si>
  <si>
    <t>JP</t>
  </si>
  <si>
    <t>EJDS</t>
  </si>
  <si>
    <t>EKDS</t>
  </si>
  <si>
    <t>JM66</t>
  </si>
  <si>
    <t>JC69</t>
  </si>
  <si>
    <t>G168</t>
  </si>
  <si>
    <t>G101</t>
  </si>
  <si>
    <t>NO</t>
  </si>
  <si>
    <t>노르웨이</t>
  </si>
  <si>
    <t>Norway</t>
  </si>
  <si>
    <t>JE91</t>
  </si>
  <si>
    <t>JE87</t>
  </si>
  <si>
    <t>G098</t>
  </si>
  <si>
    <t>G147</t>
  </si>
  <si>
    <t>TW</t>
  </si>
  <si>
    <t xml:space="preserve">Taiwan </t>
  </si>
  <si>
    <t>G142</t>
  </si>
  <si>
    <t>AE</t>
  </si>
  <si>
    <t>아랍에미리트 연방</t>
  </si>
  <si>
    <t>United Arab Emirates</t>
  </si>
  <si>
    <t>AT</t>
  </si>
  <si>
    <t>BE</t>
  </si>
  <si>
    <t>벨기에</t>
  </si>
  <si>
    <t>Belgium</t>
  </si>
  <si>
    <t>EEAL</t>
  </si>
  <si>
    <t>AU</t>
  </si>
  <si>
    <t>오스트레일리아</t>
  </si>
  <si>
    <t>AR</t>
  </si>
  <si>
    <t>EEBD</t>
  </si>
  <si>
    <t>ECBI</t>
  </si>
  <si>
    <t>CO</t>
  </si>
  <si>
    <t>CA</t>
  </si>
  <si>
    <t>CL</t>
  </si>
  <si>
    <t>EMDF</t>
  </si>
  <si>
    <t>EG</t>
  </si>
  <si>
    <t>EEEC</t>
  </si>
  <si>
    <t>KE</t>
  </si>
  <si>
    <t>JF59</t>
  </si>
  <si>
    <t>JE88</t>
  </si>
  <si>
    <t>HK</t>
  </si>
  <si>
    <t>Hong Kong Special Administrative 'Region of China</t>
  </si>
  <si>
    <t>ESIQ</t>
  </si>
  <si>
    <t>IR</t>
  </si>
  <si>
    <t>Iran (Islamic Republic of)</t>
  </si>
  <si>
    <t>JM49</t>
  </si>
  <si>
    <t>IT</t>
  </si>
  <si>
    <t>이탈리아</t>
  </si>
  <si>
    <t>JO</t>
  </si>
  <si>
    <t>요르단</t>
  </si>
  <si>
    <t>Jordan</t>
  </si>
  <si>
    <t>EELS</t>
  </si>
  <si>
    <t>LV</t>
  </si>
  <si>
    <t>라트비아 공화국</t>
  </si>
  <si>
    <t>EELV</t>
  </si>
  <si>
    <t>MA</t>
  </si>
  <si>
    <t>ENMI</t>
  </si>
  <si>
    <t>HU</t>
  </si>
  <si>
    <t>KZ</t>
  </si>
  <si>
    <t>카자흐스탄 공화국</t>
  </si>
  <si>
    <t>PT</t>
  </si>
  <si>
    <t>EEPB</t>
  </si>
  <si>
    <t>PK</t>
  </si>
  <si>
    <t>파키스탄</t>
  </si>
  <si>
    <t>Pakistan</t>
  </si>
  <si>
    <t>JM32</t>
  </si>
  <si>
    <t>PE</t>
  </si>
  <si>
    <t>PA</t>
  </si>
  <si>
    <t>파나마공화국</t>
  </si>
  <si>
    <t>ECQC</t>
  </si>
  <si>
    <t>RO</t>
  </si>
  <si>
    <t>RU</t>
  </si>
  <si>
    <t>러시아 연방</t>
  </si>
  <si>
    <t>Russian Federation</t>
  </si>
  <si>
    <t>ERRU</t>
  </si>
  <si>
    <t>JM30</t>
  </si>
  <si>
    <t>SE</t>
  </si>
  <si>
    <t>스웨덴</t>
  </si>
  <si>
    <t>Sweden</t>
  </si>
  <si>
    <t>ECTJ</t>
  </si>
  <si>
    <t>TR</t>
  </si>
  <si>
    <t>ESTS</t>
  </si>
  <si>
    <t>TN</t>
  </si>
  <si>
    <t>JF51</t>
  </si>
  <si>
    <t>UA</t>
  </si>
  <si>
    <t>ESVZ</t>
  </si>
  <si>
    <t>EEWG</t>
  </si>
  <si>
    <t>IL</t>
  </si>
  <si>
    <t>이스라엘</t>
  </si>
  <si>
    <t>JM02</t>
  </si>
  <si>
    <t>G097</t>
  </si>
  <si>
    <t>ERTC</t>
  </si>
  <si>
    <t>EEPD</t>
  </si>
  <si>
    <t>NG</t>
  </si>
  <si>
    <t>JF60</t>
  </si>
  <si>
    <t>JI89</t>
  </si>
  <si>
    <t>JC70</t>
  </si>
  <si>
    <t>G151</t>
  </si>
  <si>
    <t>JN72</t>
  </si>
  <si>
    <t>G156</t>
  </si>
  <si>
    <t>EAIS</t>
  </si>
  <si>
    <t>G155</t>
  </si>
  <si>
    <t>G161</t>
  </si>
  <si>
    <t>G158</t>
  </si>
  <si>
    <t>JE86</t>
  </si>
  <si>
    <t>ECCE</t>
  </si>
  <si>
    <t>G157</t>
  </si>
  <si>
    <t>ES</t>
  </si>
  <si>
    <t>G199</t>
  </si>
  <si>
    <t>ESPZ</t>
  </si>
  <si>
    <t>EENB</t>
  </si>
  <si>
    <t>G082</t>
  </si>
  <si>
    <t>GR</t>
  </si>
  <si>
    <t>EEEL</t>
  </si>
  <si>
    <t>G133</t>
  </si>
  <si>
    <t>LA</t>
  </si>
  <si>
    <t>라오 공화국</t>
  </si>
  <si>
    <t>Lao People's Democratic Republic</t>
  </si>
  <si>
    <t>EALA</t>
  </si>
  <si>
    <t>CZ</t>
  </si>
  <si>
    <t>체코 공화국</t>
  </si>
  <si>
    <t>Czech Republic</t>
  </si>
  <si>
    <t>ERUA</t>
  </si>
  <si>
    <t>AG</t>
  </si>
  <si>
    <t>앤티가 바부다</t>
  </si>
  <si>
    <t>Antigua and Barbuda</t>
  </si>
  <si>
    <t>G040</t>
  </si>
  <si>
    <t>G153</t>
  </si>
  <si>
    <t>G110</t>
  </si>
  <si>
    <t>G164</t>
  </si>
  <si>
    <t>ECIT</t>
  </si>
  <si>
    <t>BR</t>
  </si>
  <si>
    <t>ESAZ</t>
  </si>
  <si>
    <t>EADI</t>
  </si>
  <si>
    <t>EKHQ</t>
  </si>
  <si>
    <t>EAMH</t>
  </si>
  <si>
    <t>EAMT</t>
  </si>
  <si>
    <t>ENIU</t>
  </si>
  <si>
    <t>남아프리카 공화국</t>
  </si>
  <si>
    <t>EALT</t>
  </si>
  <si>
    <t>G099</t>
  </si>
  <si>
    <t>G165</t>
  </si>
  <si>
    <t>ENSA</t>
  </si>
  <si>
    <t>EAVK</t>
  </si>
  <si>
    <t>EEIE</t>
  </si>
  <si>
    <t>EEAT</t>
  </si>
  <si>
    <t>EEGS</t>
  </si>
  <si>
    <t>EASV</t>
  </si>
  <si>
    <t>JJ35</t>
  </si>
  <si>
    <t>JC43</t>
  </si>
  <si>
    <t>JA44</t>
  </si>
  <si>
    <t>JC47</t>
  </si>
  <si>
    <t>JC72</t>
  </si>
  <si>
    <t>EEDY</t>
  </si>
  <si>
    <t>G139</t>
  </si>
  <si>
    <t>ECBT</t>
  </si>
  <si>
    <t>G226</t>
  </si>
  <si>
    <t>G084</t>
  </si>
  <si>
    <t>ENAI</t>
  </si>
  <si>
    <t>EMME</t>
  </si>
  <si>
    <t>ERRI</t>
  </si>
  <si>
    <t>EMSK</t>
  </si>
  <si>
    <t>G112</t>
  </si>
  <si>
    <t>G116</t>
  </si>
  <si>
    <t>G135</t>
  </si>
  <si>
    <t>EAID</t>
  </si>
  <si>
    <t>G012</t>
  </si>
  <si>
    <t>CI</t>
  </si>
  <si>
    <t>코트디부아르(아이보리코스트)</t>
  </si>
  <si>
    <t>Cote d'Ivoire(Republic of Ivory Coast)</t>
  </si>
  <si>
    <t>JF10</t>
  </si>
  <si>
    <t>G022</t>
  </si>
  <si>
    <t>JF57</t>
  </si>
  <si>
    <t>JR12</t>
  </si>
  <si>
    <t>JM13</t>
  </si>
  <si>
    <t>JE14</t>
  </si>
  <si>
    <t>JS83</t>
  </si>
  <si>
    <t>EEAA</t>
  </si>
  <si>
    <t>JH78</t>
  </si>
  <si>
    <t>JE92</t>
  </si>
  <si>
    <t>JS05</t>
  </si>
  <si>
    <t>G222</t>
  </si>
  <si>
    <t>JE85</t>
  </si>
  <si>
    <t>AZ</t>
  </si>
  <si>
    <t>아제르바이잔</t>
  </si>
  <si>
    <t>Azerbaijan</t>
  </si>
  <si>
    <t>JE59</t>
  </si>
  <si>
    <t>JS59</t>
  </si>
  <si>
    <t>JS17</t>
  </si>
  <si>
    <t>JE18</t>
  </si>
  <si>
    <t>JE19</t>
  </si>
  <si>
    <t>JA15</t>
  </si>
  <si>
    <t>G028</t>
  </si>
  <si>
    <t>G027</t>
  </si>
  <si>
    <t>JS01</t>
  </si>
  <si>
    <t>G042</t>
  </si>
  <si>
    <t>JC73</t>
  </si>
  <si>
    <t>JC07</t>
  </si>
  <si>
    <t>JN63</t>
  </si>
  <si>
    <t>JC09</t>
  </si>
  <si>
    <t>JC26</t>
  </si>
  <si>
    <t>G102</t>
  </si>
  <si>
    <t>G011</t>
  </si>
  <si>
    <t>JS02</t>
  </si>
  <si>
    <t>G130</t>
  </si>
  <si>
    <t>G129</t>
  </si>
  <si>
    <t>G019</t>
  </si>
  <si>
    <t>G218</t>
  </si>
  <si>
    <t>JC21</t>
  </si>
  <si>
    <t>G221</t>
  </si>
  <si>
    <t>JE95</t>
  </si>
  <si>
    <t>JN70</t>
  </si>
  <si>
    <t>JC16</t>
  </si>
  <si>
    <t>G176</t>
  </si>
  <si>
    <t>G103</t>
  </si>
  <si>
    <t>G109</t>
  </si>
  <si>
    <t>G106</t>
  </si>
  <si>
    <t>G021</t>
  </si>
  <si>
    <t>JE73</t>
  </si>
  <si>
    <t>BD</t>
  </si>
  <si>
    <t>방글라데시</t>
  </si>
  <si>
    <t>Bangladesh</t>
  </si>
  <si>
    <t>JA85</t>
  </si>
  <si>
    <t>JM23</t>
  </si>
  <si>
    <t>JM22</t>
  </si>
  <si>
    <t>JE24</t>
  </si>
  <si>
    <t>G034</t>
  </si>
  <si>
    <t>G035</t>
  </si>
  <si>
    <t>G038</t>
  </si>
  <si>
    <t>G036</t>
  </si>
  <si>
    <t>JF61</t>
  </si>
  <si>
    <t>JF20</t>
  </si>
  <si>
    <t>JE75</t>
  </si>
  <si>
    <t>G043</t>
  </si>
  <si>
    <t>G198</t>
  </si>
  <si>
    <t>JM01</t>
  </si>
  <si>
    <t>JA83</t>
  </si>
  <si>
    <t>JC01</t>
  </si>
  <si>
    <t>JC64</t>
  </si>
  <si>
    <t>G125</t>
  </si>
  <si>
    <t>G030</t>
  </si>
  <si>
    <t>G105</t>
  </si>
  <si>
    <t>JC74</t>
  </si>
  <si>
    <t>CH</t>
  </si>
  <si>
    <t>스위스</t>
  </si>
  <si>
    <t>Switzerland</t>
  </si>
  <si>
    <t>EEDS</t>
  </si>
  <si>
    <t>JA25</t>
  </si>
  <si>
    <t>G031</t>
  </si>
  <si>
    <t>G219</t>
  </si>
  <si>
    <t>JE96</t>
  </si>
  <si>
    <t>G200</t>
  </si>
  <si>
    <t>G228</t>
  </si>
  <si>
    <t>G131</t>
  </si>
  <si>
    <t>G232</t>
  </si>
  <si>
    <t>G045</t>
  </si>
  <si>
    <t>G032</t>
  </si>
  <si>
    <t>G154</t>
  </si>
  <si>
    <t>JE84</t>
  </si>
  <si>
    <t>JM27</t>
  </si>
  <si>
    <t>JA39</t>
  </si>
  <si>
    <t>JE76</t>
  </si>
  <si>
    <t>JA28</t>
  </si>
  <si>
    <t>JJ29</t>
  </si>
  <si>
    <t>JE01</t>
  </si>
  <si>
    <t>JJ79</t>
  </si>
  <si>
    <t>JR33</t>
  </si>
  <si>
    <t>JK81</t>
  </si>
  <si>
    <t>G196</t>
  </si>
  <si>
    <t>G212</t>
  </si>
  <si>
    <t>JA34</t>
  </si>
  <si>
    <t>KW</t>
  </si>
  <si>
    <t>쿠웨이트</t>
  </si>
  <si>
    <t>Kuwait</t>
  </si>
  <si>
    <t>JM65</t>
  </si>
  <si>
    <t>G220</t>
  </si>
  <si>
    <t>G100</t>
  </si>
  <si>
    <t>G136</t>
  </si>
  <si>
    <t>MM</t>
  </si>
  <si>
    <t>미얀마</t>
  </si>
  <si>
    <t>Myanmar</t>
  </si>
  <si>
    <t>JA55</t>
  </si>
  <si>
    <t>G195</t>
  </si>
  <si>
    <t>G191</t>
  </si>
  <si>
    <t>G190</t>
  </si>
  <si>
    <t>G123</t>
  </si>
  <si>
    <t>G081</t>
  </si>
  <si>
    <t>G187</t>
  </si>
  <si>
    <t>G185</t>
  </si>
  <si>
    <t>G179</t>
  </si>
  <si>
    <t>G186</t>
  </si>
  <si>
    <t>G180</t>
  </si>
  <si>
    <t>G178</t>
  </si>
  <si>
    <t>G175</t>
  </si>
  <si>
    <t>G001</t>
  </si>
  <si>
    <t>G026</t>
  </si>
  <si>
    <t>G007</t>
  </si>
  <si>
    <t>G033</t>
  </si>
  <si>
    <t>G206</t>
  </si>
  <si>
    <t>G207</t>
  </si>
  <si>
    <t>G205</t>
  </si>
  <si>
    <t>G013</t>
  </si>
  <si>
    <t>G054</t>
  </si>
  <si>
    <t>G014</t>
  </si>
  <si>
    <t>G061</t>
  </si>
  <si>
    <t>G062</t>
  </si>
  <si>
    <t>G127</t>
  </si>
  <si>
    <t>G070</t>
  </si>
  <si>
    <t>G008</t>
  </si>
  <si>
    <t>G003</t>
  </si>
  <si>
    <t>G104</t>
  </si>
  <si>
    <t>G072</t>
  </si>
  <si>
    <t>G166</t>
  </si>
  <si>
    <t>G006</t>
  </si>
  <si>
    <t>G174</t>
  </si>
  <si>
    <t>G016</t>
  </si>
  <si>
    <t>G079</t>
  </si>
  <si>
    <t>G083</t>
  </si>
  <si>
    <t>G015</t>
  </si>
  <si>
    <t>G047</t>
  </si>
  <si>
    <t>G023</t>
  </si>
  <si>
    <t>G048</t>
  </si>
  <si>
    <t>G041</t>
  </si>
  <si>
    <t>G044</t>
  </si>
  <si>
    <t>G051</t>
  </si>
  <si>
    <t>G085</t>
  </si>
  <si>
    <t>G080</t>
  </si>
  <si>
    <t>G094</t>
  </si>
  <si>
    <t>G227</t>
  </si>
  <si>
    <t>G203</t>
  </si>
  <si>
    <t>G211</t>
  </si>
  <si>
    <t>G170</t>
  </si>
  <si>
    <t>EMAF_EEF</t>
  </si>
  <si>
    <t>G246</t>
  </si>
  <si>
    <t>G250</t>
  </si>
  <si>
    <t>NZ</t>
  </si>
  <si>
    <t>뉴질랜드</t>
  </si>
  <si>
    <t>New Zealand</t>
  </si>
  <si>
    <t>JA79</t>
  </si>
  <si>
    <t>EABI</t>
  </si>
  <si>
    <t>ECCH_BJO</t>
  </si>
  <si>
    <t>ECCH_CDO</t>
  </si>
  <si>
    <t>ECCH_GZO</t>
  </si>
  <si>
    <t>ECCH_SHO</t>
  </si>
  <si>
    <t>ECCH_SYO</t>
  </si>
  <si>
    <t>EMDF_EIR</t>
  </si>
  <si>
    <t>EMDF_EPK</t>
  </si>
  <si>
    <t>DK</t>
  </si>
  <si>
    <t>덴마크</t>
  </si>
  <si>
    <t>Denmark</t>
  </si>
  <si>
    <t>JE90</t>
  </si>
  <si>
    <t>EFED</t>
  </si>
  <si>
    <t>JE89</t>
  </si>
  <si>
    <t>EMGF_ESB</t>
  </si>
  <si>
    <t>EMGF_SAL</t>
  </si>
  <si>
    <t>EEJE</t>
  </si>
  <si>
    <t>G050</t>
  </si>
  <si>
    <t>EMLF_EYK</t>
  </si>
  <si>
    <t>EMLF_SAL</t>
  </si>
  <si>
    <t>ERRM</t>
  </si>
  <si>
    <t>G247</t>
  </si>
  <si>
    <t>G193</t>
  </si>
  <si>
    <t>G053</t>
  </si>
  <si>
    <t>G230</t>
  </si>
  <si>
    <t>G010</t>
  </si>
  <si>
    <t>G115</t>
  </si>
  <si>
    <t>G002</t>
  </si>
  <si>
    <t>G063</t>
  </si>
  <si>
    <t>G068</t>
  </si>
  <si>
    <t>G069</t>
  </si>
  <si>
    <t>G064</t>
  </si>
  <si>
    <t>G065</t>
  </si>
  <si>
    <t>G066</t>
  </si>
  <si>
    <t>G067</t>
  </si>
  <si>
    <t>G055</t>
  </si>
  <si>
    <t>G056</t>
  </si>
  <si>
    <t>G057</t>
  </si>
  <si>
    <t>G058</t>
  </si>
  <si>
    <t>G059</t>
  </si>
  <si>
    <t>G060</t>
  </si>
  <si>
    <t>G073</t>
  </si>
  <si>
    <t>G172</t>
  </si>
  <si>
    <t>G171</t>
  </si>
  <si>
    <t>G095</t>
  </si>
  <si>
    <t>G009</t>
  </si>
  <si>
    <t>G107</t>
  </si>
  <si>
    <t>G108</t>
  </si>
  <si>
    <t>JA88</t>
  </si>
  <si>
    <t>G076</t>
  </si>
  <si>
    <t>G096</t>
  </si>
  <si>
    <t>G215</t>
  </si>
  <si>
    <t>G078</t>
  </si>
  <si>
    <t>G088</t>
  </si>
  <si>
    <t>G089</t>
  </si>
  <si>
    <t>G225</t>
  </si>
  <si>
    <t>JE36</t>
  </si>
  <si>
    <t>G086</t>
  </si>
  <si>
    <t>JF01</t>
  </si>
  <si>
    <t>JE37</t>
  </si>
  <si>
    <t>JR38</t>
  </si>
  <si>
    <t>JN71</t>
  </si>
  <si>
    <t>G087</t>
  </si>
  <si>
    <t>JJ05</t>
  </si>
  <si>
    <t>JF58</t>
  </si>
  <si>
    <t>LU</t>
  </si>
  <si>
    <t>룩셈부르크</t>
  </si>
  <si>
    <t>Luxembourg</t>
  </si>
  <si>
    <t>JE94</t>
  </si>
  <si>
    <t>JR85</t>
  </si>
  <si>
    <t>G182</t>
  </si>
  <si>
    <t>G122</t>
  </si>
  <si>
    <t>G214</t>
  </si>
  <si>
    <t>JJ66</t>
  </si>
  <si>
    <t>JE40</t>
  </si>
  <si>
    <t>JA87</t>
  </si>
  <si>
    <t>JA84</t>
  </si>
  <si>
    <t>JE98</t>
  </si>
  <si>
    <t>JE68</t>
  </si>
  <si>
    <t>JS82</t>
  </si>
  <si>
    <t>G213</t>
  </si>
  <si>
    <t>JE15</t>
  </si>
  <si>
    <t>JR01</t>
  </si>
  <si>
    <t>JF02</t>
  </si>
  <si>
    <t>JS41</t>
  </si>
  <si>
    <t>JS42</t>
  </si>
  <si>
    <t>G024</t>
  </si>
  <si>
    <t>G121</t>
  </si>
  <si>
    <t>JK80</t>
  </si>
  <si>
    <t>G124</t>
  </si>
  <si>
    <t>JC08</t>
  </si>
  <si>
    <t>G039</t>
  </si>
  <si>
    <t>JB03</t>
  </si>
  <si>
    <t>JR45</t>
  </si>
  <si>
    <t>JE46</t>
  </si>
  <si>
    <t>G091</t>
  </si>
  <si>
    <t>G092</t>
  </si>
  <si>
    <t>JE77</t>
  </si>
  <si>
    <t>JE16</t>
  </si>
  <si>
    <t>UZ</t>
  </si>
  <si>
    <t>우즈베키스탄</t>
  </si>
  <si>
    <t>Uzbekistan</t>
  </si>
  <si>
    <t>JR48</t>
  </si>
  <si>
    <t>JC71</t>
  </si>
  <si>
    <t>G025</t>
  </si>
  <si>
    <t>JC04</t>
  </si>
  <si>
    <t>G173</t>
  </si>
  <si>
    <t>JJ02</t>
  </si>
  <si>
    <t>JJ04</t>
  </si>
  <si>
    <t>JE74</t>
  </si>
  <si>
    <t>JN04</t>
  </si>
  <si>
    <t>JE52</t>
  </si>
  <si>
    <t>JA26</t>
  </si>
  <si>
    <t>JE54</t>
  </si>
  <si>
    <t>JC06</t>
  </si>
  <si>
    <t>YU</t>
  </si>
  <si>
    <t>유고슬라비아</t>
  </si>
  <si>
    <t>Yugoslavia</t>
  </si>
  <si>
    <t>JE69</t>
  </si>
  <si>
    <t>JN56</t>
  </si>
  <si>
    <t>EEED</t>
  </si>
  <si>
    <t>JF31</t>
  </si>
  <si>
    <t>JE93</t>
  </si>
  <si>
    <t>JC03</t>
  </si>
  <si>
    <t>JC67</t>
  </si>
  <si>
    <t>G049</t>
  </si>
  <si>
    <t>G052</t>
  </si>
  <si>
    <t>G090</t>
  </si>
  <si>
    <t>G093</t>
  </si>
  <si>
    <t>G144</t>
  </si>
  <si>
    <t>JE97</t>
  </si>
  <si>
    <t>G169</t>
  </si>
  <si>
    <t>G126</t>
  </si>
  <si>
    <t>G128</t>
  </si>
  <si>
    <t>G132</t>
  </si>
  <si>
    <t>G167</t>
  </si>
  <si>
    <t>G037</t>
  </si>
  <si>
    <t>G029</t>
  </si>
  <si>
    <t>G020</t>
  </si>
  <si>
    <t>G018</t>
  </si>
  <si>
    <t>G017</t>
  </si>
  <si>
    <t>G005</t>
  </si>
  <si>
    <t>G004</t>
  </si>
  <si>
    <t>G074</t>
  </si>
  <si>
    <t>G145</t>
  </si>
  <si>
    <t>JE99</t>
  </si>
  <si>
    <t>JR53</t>
  </si>
  <si>
    <t>G202</t>
  </si>
  <si>
    <t>G077</t>
  </si>
  <si>
    <t>JE58</t>
  </si>
  <si>
    <t>JA86</t>
  </si>
  <si>
    <t>G046</t>
  </si>
  <si>
    <t>G071</t>
  </si>
  <si>
    <t>G231</t>
  </si>
  <si>
    <t>EENO</t>
  </si>
  <si>
    <t>G197</t>
  </si>
  <si>
    <t>G204</t>
  </si>
  <si>
    <t>ECCH_ITO</t>
  </si>
  <si>
    <t>EMAF_SAL</t>
  </si>
  <si>
    <t>EMDF_ETU</t>
  </si>
  <si>
    <t>G181</t>
  </si>
  <si>
    <t>G184</t>
  </si>
  <si>
    <t>G192</t>
  </si>
  <si>
    <t>G114</t>
  </si>
  <si>
    <t>G075</t>
  </si>
  <si>
    <t>ECDS</t>
  </si>
  <si>
    <t>ECZQ</t>
  </si>
  <si>
    <t>G233</t>
  </si>
  <si>
    <t>G234</t>
  </si>
  <si>
    <t>G183</t>
  </si>
  <si>
    <t>G188</t>
  </si>
  <si>
    <t>JJ50</t>
  </si>
  <si>
    <t>G194</t>
  </si>
  <si>
    <t>G235</t>
  </si>
  <si>
    <t>G236</t>
  </si>
  <si>
    <t>G237</t>
  </si>
  <si>
    <t>G238</t>
  </si>
  <si>
    <t>G239</t>
  </si>
  <si>
    <t>G240</t>
  </si>
  <si>
    <t>G241</t>
  </si>
  <si>
    <t>G242</t>
  </si>
  <si>
    <t>G243</t>
  </si>
  <si>
    <t>G208</t>
  </si>
  <si>
    <t>G210</t>
  </si>
  <si>
    <t>JC62</t>
  </si>
  <si>
    <t>G244</t>
  </si>
  <si>
    <t>G245</t>
  </si>
  <si>
    <t>G189</t>
  </si>
  <si>
    <t>G248</t>
  </si>
  <si>
    <t>G249</t>
  </si>
  <si>
    <t>JS72</t>
  </si>
  <si>
    <t>G201</t>
  </si>
  <si>
    <t>G252</t>
  </si>
  <si>
    <t>G224</t>
  </si>
  <si>
    <t>G177</t>
  </si>
  <si>
    <t></t>
  </si>
  <si>
    <t>NOT ASSIGNED</t>
  </si>
  <si>
    <t>Category</t>
    <phoneticPr fontId="148" type="noConversion"/>
  </si>
  <si>
    <t>EHAP</t>
    <phoneticPr fontId="4" type="noConversion"/>
  </si>
  <si>
    <t>201511</t>
  </si>
  <si>
    <t>201512</t>
  </si>
  <si>
    <t>모니터사이니지</t>
    <phoneticPr fontId="148" type="noConversion"/>
  </si>
  <si>
    <t>TV사이니지</t>
    <phoneticPr fontId="148" type="noConversion"/>
  </si>
  <si>
    <t>(M$)</t>
    <phoneticPr fontId="4" type="noConversion"/>
  </si>
  <si>
    <t>DB_PROD,DB_LIST1,DB_LIST2,DB_NM</t>
    <phoneticPr fontId="4" type="noConversion"/>
  </si>
</sst>
</file>

<file path=xl/styles.xml><?xml version="1.0" encoding="utf-8"?>
<styleSheet xmlns="http://schemas.openxmlformats.org/spreadsheetml/2006/main">
  <numFmts count="60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[Red][&lt;0]&quot;△&quot;#,##0.0;#,##0.0"/>
    <numFmt numFmtId="177" formatCode="_-* #,##0.0_-;\-* #,##0.0_-;_-* &quot;-&quot;_-;_-@_-"/>
    <numFmt numFmtId="178" formatCode="_ * #,##0.00_ ;_ * \-#,##0.00_ ;_ * &quot;-&quot;??_ ;_ @_ "/>
    <numFmt numFmtId="179" formatCode="_(* #,##0_);_(* \(#,##0\);_(* &quot;-&quot;_);_(@_)"/>
    <numFmt numFmtId="180" formatCode="_(&quot;₩&quot;* #,##0.00_);_(&quot;₩&quot;* \(#,##0.00\);_(&quot;₩&quot;* &quot;-&quot;??_);_(@_)"/>
    <numFmt numFmtId="181" formatCode="_-* #,##0.00&quot;$&quot;_-;\-* #,##0.00&quot;$&quot;_-;_-* &quot;-&quot;??&quot;$&quot;_-;_-@_-"/>
    <numFmt numFmtId="182" formatCode="_-* #,##0.00_$_-;\-* #,##0.00_$_-;_-* &quot;-&quot;??_$_-;_-@_-"/>
    <numFmt numFmtId="183" formatCode="_ * #,##0_ ;_ * \-#,##0_ ;_ * &quot;-&quot;_ ;_ @_ "/>
    <numFmt numFmtId="184" formatCode="_ &quot;₩&quot;* #,##0_ ;_ &quot;₩&quot;* \-#,##0_ ;_ &quot;₩&quot;* &quot;-&quot;_ ;_ @_ "/>
    <numFmt numFmtId="185" formatCode="_ &quot;₩&quot;* #,##0.00_ ;_ &quot;₩&quot;* \-#,##0.00_ ;_ &quot;₩&quot;* &quot;-&quot;??_ ;_ @_ "/>
    <numFmt numFmtId="186" formatCode="_ * #,##0_ ;_ * &quot;₩&quot;&quot;₩&quot;&quot;₩&quot;\-#,##0_ ;_ * &quot;-&quot;_ ;_ @_ "/>
    <numFmt numFmtId="187" formatCode="0.0"/>
    <numFmt numFmtId="188" formatCode="m&quot;월&quot;\ d&quot;일&quot;"/>
    <numFmt numFmtId="189" formatCode="#,##0\ \ "/>
    <numFmt numFmtId="190" formatCode="&quot;$&quot;#,##0.00_);&quot;₩&quot;&quot;₩&quot;&quot;₩&quot;\(&quot;$&quot;#,##0.00&quot;₩&quot;&quot;₩&quot;&quot;₩&quot;\)"/>
    <numFmt numFmtId="191" formatCode="&quot;₩&quot;#,##0;[Red]&quot;₩&quot;&quot;₩&quot;\-#,##0"/>
    <numFmt numFmtId="192" formatCode="_-* #,##0\ _D_M_-;\-* #,##0\ _D_M_-;_-* &quot;-&quot;\ _D_M_-;_-@_-"/>
    <numFmt numFmtId="193" formatCode="_-* #,##0.00\ _D_M_-;\-* #,##0.00\ _D_M_-;_-* &quot;-&quot;??\ _D_M_-;_-@_-"/>
    <numFmt numFmtId="194" formatCode="&quot;₩&quot;#,##0.00;[Red]&quot;₩&quot;&quot;₩&quot;\-#,##0.00"/>
    <numFmt numFmtId="195" formatCode="0.0000"/>
    <numFmt numFmtId="196" formatCode="_ [$€-2]* #,##0.00_ ;_ [$€-2]* \-#,##0.00_ ;_ [$€-2]* &quot;-&quot;??_ "/>
    <numFmt numFmtId="197" formatCode="0.000"/>
    <numFmt numFmtId="198" formatCode="_(* #,##0.00_);_(* \(#,##0.00\);_(* &quot;-&quot;??_);_(@_)"/>
    <numFmt numFmtId="199" formatCode="_(&quot;$&quot;* #,##0_);_(&quot;$&quot;* \(#,##0\);_(&quot;$&quot;* &quot;-&quot;_);_(@_)"/>
    <numFmt numFmtId="200" formatCode="_(&quot;$&quot;* #,##0.00_);_(&quot;$&quot;* \(#,##0.00\);_(&quot;$&quot;* &quot;-&quot;??_);_(@_)"/>
    <numFmt numFmtId="201" formatCode="_(* #,##0.0_);_(* &quot;₩&quot;&quot;₩&quot;&quot;₩&quot;&quot;₩&quot;&quot;₩&quot;&quot;₩&quot;\(#,##0.0&quot;₩&quot;&quot;₩&quot;&quot;₩&quot;&quot;₩&quot;&quot;₩&quot;&quot;₩&quot;\);_(* &quot;-&quot;_);_(@_)"/>
    <numFmt numFmtId="202" formatCode="_ * #,##0.00_ ;_ * &quot;₩&quot;&quot;₩&quot;\-#,##0.00_ ;_ * &quot;-&quot;??_ ;_ @_ "/>
    <numFmt numFmtId="203" formatCode="_-* #,##0\ &quot;DM&quot;_-;\-* #,##0\ &quot;DM&quot;_-;_-* &quot;-&quot;\ &quot;DM&quot;_-;_-@_-"/>
    <numFmt numFmtId="204" formatCode="_-* #,##0.00\ &quot;DM&quot;_-;\-* #,##0.00\ &quot;DM&quot;_-;_-* &quot;-&quot;??\ &quot;DM&quot;_-;_-@_-"/>
    <numFmt numFmtId="205" formatCode="#,##0;[Red]&quot;▲&quot;#,##0"/>
    <numFmt numFmtId="206" formatCode="#.00"/>
    <numFmt numFmtId="207" formatCode="#,##0;&quot;△&quot;#,##0"/>
    <numFmt numFmtId="208" formatCode="_-&quot;₩&quot;* #,##0.00_-;&quot;₩&quot;&quot;₩&quot;&quot;₩&quot;\-&quot;₩&quot;* #,##0.00_-;_-&quot;₩&quot;* &quot;-&quot;??_-;_-@_-"/>
    <numFmt numFmtId="209" formatCode="mmm&quot;-&quot;yy"/>
    <numFmt numFmtId="210" formatCode="_ &quot;₩&quot;* #,##0.00_ ;_ &quot;₩&quot;* &quot;₩&quot;&quot;₩&quot;\-#,##0.00_ ;_ &quot;₩&quot;* &quot;-&quot;??_ ;_ @_ "/>
    <numFmt numFmtId="211" formatCode="_-* #,##0.00_-;&quot;₩&quot;&quot;₩&quot;&quot;₩&quot;&quot;₩&quot;\-* #,##0.00_-;_-* &quot;-&quot;??_-;_-@_-"/>
    <numFmt numFmtId="212" formatCode="_ &quot;₩&quot;* #,##0_ ;_ &quot;₩&quot;* &quot;₩&quot;&quot;₩&quot;\-#,##0_ ;_ &quot;₩&quot;* &quot;-&quot;_ ;_ @_ "/>
    <numFmt numFmtId="213" formatCode="#,##0."/>
    <numFmt numFmtId="214" formatCode="_-* #,##0_-;_-* #,##0\-;_-* &quot;-&quot;_-;_-@_-"/>
    <numFmt numFmtId="215" formatCode="_-* #,##0.00_-;_-* #,##0.00\-;_-* &quot;-&quot;??_-;_-@_-"/>
    <numFmt numFmtId="216" formatCode="m&quot;/&quot;d"/>
    <numFmt numFmtId="217" formatCode="_-* #,##0.00\ _$_-;\-* #,##0.00\ _$_-;_-* &quot;-&quot;??\ _$_-;_-@_-"/>
    <numFmt numFmtId="218" formatCode="_(&quot;₩&quot;* #,##0_);_(&quot;₩&quot;* \(#,##0\);_(&quot;₩&quot;* &quot;-&quot;_);_(@_)"/>
    <numFmt numFmtId="219" formatCode="&quot;₩&quot;#,##0.00;[Red]&quot;₩&quot;\-#,##0.00"/>
    <numFmt numFmtId="220" formatCode="%#.00"/>
    <numFmt numFmtId="221" formatCode="_-&quot;fl&quot;\ * #,##0_-;_-&quot;fl&quot;\ * #,##0\-;_-&quot;fl&quot;\ * &quot;-&quot;_-;_-@_-"/>
    <numFmt numFmtId="222" formatCode="_-&quot;fl&quot;\ * #,##0.00_-;_-&quot;fl&quot;\ * #,##0.00\-;_-&quot;fl&quot;\ * &quot;-&quot;??_-;_-@_-"/>
    <numFmt numFmtId="223" formatCode="\$#.00"/>
    <numFmt numFmtId="224" formatCode="\$#."/>
    <numFmt numFmtId="225" formatCode="m&quot;월&quot;;@"/>
    <numFmt numFmtId="226" formatCode="[Red][&lt;0]&quot;△&quot;#,##0;#,##0"/>
    <numFmt numFmtId="227" formatCode="#,##0.0\↑;[Red]#,##0.0\↓"/>
    <numFmt numFmtId="228" formatCode="[$-409]dd/mmm/yy;@"/>
    <numFmt numFmtId="229" formatCode="#,##0\ ;[Red]\-#,##0\ "/>
    <numFmt numFmtId="230" formatCode="###,000"/>
    <numFmt numFmtId="231" formatCode="#,##0.0_ "/>
  </numFmts>
  <fonts count="246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10"/>
      <name val="맑은 고딕"/>
      <family val="3"/>
      <charset val="129"/>
      <scheme val="major"/>
    </font>
    <font>
      <sz val="10"/>
      <name val="Arial"/>
      <family val="2"/>
    </font>
    <font>
      <sz val="11"/>
      <color rgb="FF000000"/>
      <name val="맑은 고딕"/>
      <family val="3"/>
      <charset val="129"/>
    </font>
    <font>
      <sz val="11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2"/>
      <name val="맑은 고딕"/>
      <family val="3"/>
      <charset val="129"/>
      <scheme val="minor"/>
    </font>
    <font>
      <sz val="11"/>
      <color rgb="FF006600"/>
      <name val="맑은 고딕"/>
      <family val="3"/>
      <charset val="129"/>
      <scheme val="minor"/>
    </font>
    <font>
      <sz val="10"/>
      <color indexed="17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2"/>
      <color theme="1"/>
      <name val="Arial Narrow"/>
      <family val="2"/>
    </font>
    <font>
      <sz val="12"/>
      <name val="돋움체"/>
      <family val="3"/>
      <charset val="129"/>
    </font>
    <font>
      <sz val="12"/>
      <name val="바탕체"/>
      <family val="1"/>
      <charset val="129"/>
    </font>
    <font>
      <sz val="12"/>
      <name val="???"/>
      <family val="1"/>
    </font>
    <font>
      <sz val="11"/>
      <name val="__"/>
      <family val="3"/>
    </font>
    <font>
      <sz val="12"/>
      <name val="___"/>
      <family val="1"/>
    </font>
    <font>
      <sz val="10"/>
      <name val="___"/>
      <family val="3"/>
    </font>
    <font>
      <sz val="10"/>
      <name val="MS Sans Serif"/>
      <family val="2"/>
    </font>
    <font>
      <sz val="10"/>
      <name val="Helv"/>
      <family val="2"/>
    </font>
    <font>
      <sz val="11"/>
      <name val="Arial"/>
      <family val="2"/>
    </font>
    <font>
      <sz val="11"/>
      <color indexed="63"/>
      <name val="Calibri"/>
      <family val="2"/>
    </font>
    <font>
      <sz val="11"/>
      <color indexed="63"/>
      <name val="宋体"/>
      <family val="3"/>
      <charset val="129"/>
    </font>
    <font>
      <sz val="9"/>
      <color theme="1"/>
      <name val="맑은 고딕"/>
      <family val="2"/>
      <charset val="129"/>
    </font>
    <font>
      <u/>
      <sz val="10"/>
      <color indexed="12"/>
      <name val="Arial"/>
      <family val="2"/>
    </font>
    <font>
      <sz val="11"/>
      <color indexed="9"/>
      <name val="Calibri"/>
      <family val="2"/>
    </font>
    <font>
      <sz val="11"/>
      <color indexed="9"/>
      <name val="宋体"/>
      <family val="3"/>
      <charset val="129"/>
    </font>
    <font>
      <sz val="9"/>
      <color theme="0"/>
      <name val="맑은 고딕"/>
      <family val="2"/>
      <charset val="129"/>
    </font>
    <font>
      <sz val="12"/>
      <name val="ⓒoUAAA¨u"/>
      <family val="1"/>
      <charset val="129"/>
    </font>
    <font>
      <sz val="11"/>
      <name val="μ¸¿o"/>
      <family val="3"/>
      <charset val="129"/>
    </font>
    <font>
      <sz val="12"/>
      <name val="Arial"/>
      <family val="2"/>
    </font>
    <font>
      <sz val="12"/>
      <name val="¹UAAA¼"/>
      <family val="1"/>
      <charset val="129"/>
    </font>
    <font>
      <sz val="11"/>
      <name val="µ¸¿ò"/>
      <family val="3"/>
      <charset val="129"/>
    </font>
    <font>
      <sz val="11"/>
      <color indexed="20"/>
      <name val="Calibri"/>
      <family val="2"/>
    </font>
    <font>
      <sz val="11"/>
      <name val="돋움체"/>
      <family val="3"/>
      <charset val="129"/>
    </font>
    <font>
      <sz val="12"/>
      <name val="Tms Rmn"/>
      <family val="1"/>
    </font>
    <font>
      <sz val="12"/>
      <name val="©öUAAA¨ù"/>
      <family val="1"/>
    </font>
    <font>
      <sz val="8"/>
      <name val="¹UAAA¼"/>
      <family val="1"/>
      <charset val="129"/>
    </font>
    <font>
      <sz val="12"/>
      <name val="±¼¸²A¼"/>
      <family val="3"/>
      <charset val="129"/>
    </font>
    <font>
      <sz val="12"/>
      <name val="¹ÙÅÁÃ¼"/>
      <family val="3"/>
      <charset val="129"/>
    </font>
    <font>
      <sz val="11"/>
      <name val="바탕체"/>
      <family val="1"/>
      <charset val="129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"/>
      <color indexed="8"/>
      <name val="Courier"/>
      <family val="3"/>
    </font>
    <font>
      <sz val="9"/>
      <color indexed="12"/>
      <name val="Arial"/>
      <family val="2"/>
    </font>
    <font>
      <sz val="12"/>
      <name val="宋体"/>
      <family val="3"/>
      <charset val="129"/>
    </font>
    <font>
      <i/>
      <sz val="11"/>
      <color indexed="23"/>
      <name val="Calibri"/>
      <family val="2"/>
    </font>
    <font>
      <sz val="9"/>
      <color indexed="8"/>
      <name val="Arial"/>
      <family val="2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i/>
      <sz val="22"/>
      <name val="Times New Roman"/>
      <family val="1"/>
    </font>
    <font>
      <sz val="9"/>
      <name val="Arial"/>
      <family val="2"/>
    </font>
    <font>
      <u/>
      <sz val="8"/>
      <color indexed="12"/>
      <name val="Times New Roman"/>
      <family val="1"/>
    </font>
    <font>
      <sz val="9"/>
      <color indexed="9"/>
      <name val="Arial"/>
      <family val="2"/>
    </font>
    <font>
      <i/>
      <sz val="10"/>
      <name val="Arial"/>
      <family val="2"/>
    </font>
    <font>
      <sz val="11"/>
      <color indexed="52"/>
      <name val="Calibri"/>
      <family val="2"/>
    </font>
    <font>
      <sz val="11"/>
      <name val="돋"/>
      <family val="3"/>
      <charset val="129"/>
    </font>
    <font>
      <sz val="11"/>
      <color indexed="60"/>
      <name val="Calibri"/>
      <family val="2"/>
    </font>
    <font>
      <sz val="7"/>
      <name val="Small Fonts"/>
      <family val="2"/>
    </font>
    <font>
      <sz val="12"/>
      <name val="Helv"/>
      <family val="2"/>
    </font>
    <font>
      <b/>
      <sz val="11"/>
      <color indexed="63"/>
      <name val="Calibri"/>
      <family val="2"/>
    </font>
    <font>
      <sz val="11"/>
      <name val="￥i￠￢￠?o"/>
      <family val="3"/>
      <charset val="129"/>
    </font>
    <font>
      <i/>
      <sz val="10"/>
      <color indexed="10"/>
      <name val="Arial"/>
      <family val="2"/>
    </font>
    <font>
      <sz val="10"/>
      <name val="Geneva"/>
      <family val="2"/>
    </font>
    <font>
      <b/>
      <sz val="9"/>
      <name val="Arial"/>
      <family val="2"/>
    </font>
    <font>
      <b/>
      <sz val="10"/>
      <color indexed="56"/>
      <name val="Arial"/>
      <family val="2"/>
    </font>
    <font>
      <b/>
      <sz val="18"/>
      <color indexed="62"/>
      <name val="Cambria"/>
      <family val="1"/>
    </font>
    <font>
      <b/>
      <sz val="16"/>
      <color indexed="62"/>
      <name val="Arial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color indexed="14"/>
      <name val="Arial"/>
      <family val="2"/>
    </font>
    <font>
      <sz val="11"/>
      <color indexed="10"/>
      <name val="Calibri"/>
      <family val="2"/>
    </font>
    <font>
      <sz val="12"/>
      <name val="جيزة"/>
      <family val="2"/>
      <charset val="178"/>
    </font>
    <font>
      <b/>
      <sz val="11"/>
      <color indexed="9"/>
      <name val="宋体"/>
      <family val="3"/>
      <charset val="129"/>
    </font>
    <font>
      <sz val="9"/>
      <color rgb="FFFF0000"/>
      <name val="맑은 고딕"/>
      <family val="2"/>
      <charset val="129"/>
    </font>
    <font>
      <sz val="11"/>
      <color indexed="10"/>
      <name val="宋体"/>
      <family val="3"/>
      <charset val="129"/>
    </font>
    <font>
      <b/>
      <sz val="11"/>
      <color indexed="52"/>
      <name val="宋体"/>
      <family val="3"/>
      <charset val="129"/>
    </font>
    <font>
      <b/>
      <sz val="9"/>
      <color rgb="FFFA7D00"/>
      <name val="맑은 고딕"/>
      <family val="2"/>
      <charset val="129"/>
    </font>
    <font>
      <sz val="11"/>
      <color indexed="60"/>
      <name val="宋体"/>
      <family val="3"/>
      <charset val="129"/>
    </font>
    <font>
      <sz val="9"/>
      <color rgb="FF9C0006"/>
      <name val="맑은 고딕"/>
      <family val="2"/>
      <charset val="129"/>
    </font>
    <font>
      <u/>
      <sz val="7.5"/>
      <color indexed="36"/>
      <name val="Arial"/>
      <family val="2"/>
    </font>
    <font>
      <sz val="14"/>
      <name val="뼻뮝"/>
      <family val="3"/>
      <charset val="129"/>
    </font>
    <font>
      <sz val="11"/>
      <color indexed="52"/>
      <name val="宋体"/>
      <family val="3"/>
      <charset val="129"/>
    </font>
    <font>
      <sz val="10"/>
      <name val="돋움"/>
      <family val="3"/>
      <charset val="129"/>
    </font>
    <font>
      <sz val="11"/>
      <color indexed="8"/>
      <name val="맑은 고딕"/>
      <family val="3"/>
      <charset val="129"/>
    </font>
    <font>
      <sz val="9"/>
      <color rgb="FF9C6500"/>
      <name val="맑은 고딕"/>
      <family val="2"/>
      <charset val="129"/>
    </font>
    <font>
      <sz val="12"/>
      <name val="뼻뮝"/>
      <family val="3"/>
      <charset val="129"/>
    </font>
    <font>
      <i/>
      <sz val="9"/>
      <color rgb="FF7F7F7F"/>
      <name val="맑은 고딕"/>
      <family val="2"/>
      <charset val="129"/>
    </font>
    <font>
      <b/>
      <sz val="9"/>
      <color theme="0"/>
      <name val="맑은 고딕"/>
      <family val="2"/>
      <charset val="129"/>
    </font>
    <font>
      <sz val="11"/>
      <color indexed="62"/>
      <name val="宋体"/>
      <family val="3"/>
      <charset val="129"/>
    </font>
    <font>
      <b/>
      <sz val="11"/>
      <color indexed="63"/>
      <name val="宋体"/>
      <family val="3"/>
      <charset val="129"/>
    </font>
    <font>
      <sz val="10"/>
      <color indexed="8"/>
      <name val="맑은 고딕"/>
      <family val="3"/>
      <charset val="129"/>
    </font>
    <font>
      <sz val="9"/>
      <color rgb="FFFA7D00"/>
      <name val="맑은 고딕"/>
      <family val="2"/>
      <charset val="129"/>
    </font>
    <font>
      <b/>
      <sz val="9"/>
      <color theme="1"/>
      <name val="맑은 고딕"/>
      <family val="2"/>
      <charset val="129"/>
    </font>
    <font>
      <sz val="9"/>
      <color rgb="FF3F3F76"/>
      <name val="맑은 고딕"/>
      <family val="2"/>
      <charset val="129"/>
    </font>
    <font>
      <b/>
      <sz val="15"/>
      <color theme="3"/>
      <name val="맑은 고딕"/>
      <family val="2"/>
      <charset val="129"/>
    </font>
    <font>
      <b/>
      <sz val="13"/>
      <color theme="3"/>
      <name val="맑은 고딕"/>
      <family val="2"/>
      <charset val="129"/>
    </font>
    <font>
      <b/>
      <sz val="11"/>
      <color theme="3"/>
      <name val="맑은 고딕"/>
      <family val="2"/>
      <charset val="129"/>
    </font>
    <font>
      <sz val="9"/>
      <color rgb="FF006100"/>
      <name val="맑은 고딕"/>
      <family val="2"/>
      <charset val="129"/>
    </font>
    <font>
      <sz val="11"/>
      <color indexed="20"/>
      <name val="宋体"/>
      <family val="3"/>
      <charset val="129"/>
    </font>
    <font>
      <b/>
      <sz val="9"/>
      <color rgb="FF3F3F3F"/>
      <name val="맑은 고딕"/>
      <family val="2"/>
      <charset val="129"/>
    </font>
    <font>
      <sz val="11"/>
      <name val="바탕"/>
      <family val="1"/>
      <charset val="129"/>
    </font>
    <font>
      <sz val="12"/>
      <name val="Times New Roman"/>
      <family val="1"/>
    </font>
    <font>
      <b/>
      <sz val="18"/>
      <color indexed="62"/>
      <name val="宋体"/>
      <family val="3"/>
      <charset val="129"/>
    </font>
    <font>
      <b/>
      <sz val="15"/>
      <color indexed="62"/>
      <name val="宋体"/>
      <family val="3"/>
      <charset val="129"/>
    </font>
    <font>
      <b/>
      <sz val="13"/>
      <color indexed="62"/>
      <name val="宋体"/>
      <family val="3"/>
      <charset val="129"/>
    </font>
    <font>
      <b/>
      <sz val="11"/>
      <color indexed="62"/>
      <name val="宋体"/>
      <family val="3"/>
      <charset val="129"/>
    </font>
    <font>
      <sz val="10"/>
      <color indexed="8"/>
      <name val="Arial"/>
      <family val="2"/>
    </font>
    <font>
      <sz val="10"/>
      <color theme="1"/>
      <name val="맑은 고딕"/>
      <family val="2"/>
      <charset val="129"/>
      <scheme val="major"/>
    </font>
    <font>
      <sz val="10"/>
      <color indexed="64"/>
      <name val="Arial"/>
      <family val="2"/>
    </font>
    <font>
      <sz val="9"/>
      <name val="Tahoma"/>
      <family val="2"/>
    </font>
    <font>
      <sz val="11"/>
      <color rgb="FF000000"/>
      <name val="맑은 고딕"/>
      <family val="3"/>
      <charset val="129"/>
      <scheme val="minor"/>
    </font>
    <font>
      <sz val="11"/>
      <color theme="1"/>
      <name val="돋움"/>
      <family val="2"/>
      <charset val="129"/>
    </font>
    <font>
      <sz val="11"/>
      <color theme="1"/>
      <name val="맑은 고딕"/>
      <family val="3"/>
      <charset val="129"/>
      <scheme val="minor"/>
    </font>
    <font>
      <i/>
      <sz val="11"/>
      <color indexed="23"/>
      <name val="宋体"/>
      <family val="3"/>
      <charset val="129"/>
    </font>
    <font>
      <sz val="11"/>
      <color indexed="17"/>
      <name val="宋体"/>
      <family val="3"/>
      <charset val="129"/>
    </font>
    <font>
      <sz val="11"/>
      <color rgb="FFFFFFFF"/>
      <name val="맑은 고딕"/>
      <family val="2"/>
      <charset val="129"/>
    </font>
    <font>
      <sz val="11"/>
      <name val="맑은 고딕"/>
      <family val="3"/>
      <charset val="129"/>
      <scheme val="major"/>
    </font>
    <font>
      <b/>
      <sz val="14"/>
      <color indexed="8"/>
      <name val="Arial Narrow"/>
      <family val="2"/>
    </font>
    <font>
      <b/>
      <sz val="10"/>
      <color rgb="FF006600"/>
      <name val="Arial"/>
      <family val="2"/>
    </font>
    <font>
      <b/>
      <sz val="10"/>
      <color indexed="23"/>
      <name val="돋움"/>
      <family val="3"/>
      <charset val="129"/>
    </font>
    <font>
      <b/>
      <sz val="12"/>
      <color rgb="FF000000"/>
      <name val="맑은 고딕"/>
      <family val="2"/>
      <charset val="129"/>
    </font>
    <font>
      <sz val="8"/>
      <name val="맑은 고딕"/>
      <family val="2"/>
      <charset val="129"/>
      <scheme val="minor"/>
    </font>
    <font>
      <b/>
      <sz val="12"/>
      <color rgb="FF000000"/>
      <name val="맑은 고딕"/>
      <family val="3"/>
      <charset val="129"/>
    </font>
    <font>
      <sz val="12"/>
      <color rgb="FF000000"/>
      <name val="맑은 고딕"/>
      <family val="3"/>
      <charset val="129"/>
    </font>
    <font>
      <sz val="13"/>
      <color rgb="FF000000"/>
      <name val="Arial Narrow"/>
      <family val="2"/>
    </font>
    <font>
      <sz val="10"/>
      <color rgb="FF006600"/>
      <name val="맑은 고딕"/>
      <family val="3"/>
      <charset val="129"/>
    </font>
    <font>
      <sz val="11"/>
      <color indexed="8"/>
      <name val="Calibri"/>
      <family val="2"/>
    </font>
    <font>
      <sz val="10"/>
      <color indexed="9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0"/>
      <color indexed="20"/>
      <name val="맑은 고딕"/>
      <family val="3"/>
      <charset val="129"/>
    </font>
    <font>
      <b/>
      <sz val="10"/>
      <color indexed="52"/>
      <name val="맑은 고딕"/>
      <family val="3"/>
      <charset val="129"/>
    </font>
    <font>
      <b/>
      <sz val="10"/>
      <color indexed="9"/>
      <name val="맑은 고딕"/>
      <family val="3"/>
      <charset val="129"/>
    </font>
    <font>
      <sz val="11"/>
      <color indexed="63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1"/>
      <color indexed="17"/>
      <name val="맑은 고딕"/>
      <family val="3"/>
      <charset val="129"/>
    </font>
    <font>
      <sz val="11"/>
      <color indexed="62"/>
      <name val="Calibri"/>
      <family val="2"/>
    </font>
    <font>
      <i/>
      <sz val="10"/>
      <color indexed="23"/>
      <name val="맑은 고딕"/>
      <family val="3"/>
      <charset val="129"/>
    </font>
    <font>
      <sz val="10"/>
      <color indexed="17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u/>
      <sz val="11"/>
      <color indexed="39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0"/>
      <color indexed="62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0"/>
      <color indexed="52"/>
      <name val="맑은 고딕"/>
      <family val="3"/>
      <charset val="129"/>
    </font>
    <font>
      <sz val="10"/>
      <color indexed="23"/>
      <name val="돋움"/>
      <family val="3"/>
      <charset val="129"/>
    </font>
    <font>
      <b/>
      <sz val="10"/>
      <color rgb="FF1F6699"/>
      <name val="돋움"/>
      <family val="3"/>
      <charset val="129"/>
    </font>
    <font>
      <sz val="10"/>
      <color indexed="60"/>
      <name val="맑은 고딕"/>
      <family val="3"/>
      <charset val="129"/>
    </font>
    <font>
      <sz val="11"/>
      <color indexed="6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b/>
      <sz val="10"/>
      <color indexed="63"/>
      <name val="맑은 고딕"/>
      <family val="3"/>
      <charset val="129"/>
    </font>
    <font>
      <sz val="8"/>
      <color indexed="8"/>
      <name val="Arial"/>
      <family val="2"/>
    </font>
    <font>
      <sz val="8"/>
      <color rgb="FF000000"/>
      <name val="Arial"/>
      <family val="2"/>
    </font>
    <font>
      <sz val="8"/>
      <color indexed="62"/>
      <name val="Verdana"/>
      <family val="2"/>
    </font>
    <font>
      <sz val="8"/>
      <color rgb="FF1F497D"/>
      <name val="Verdana"/>
      <family val="2"/>
    </font>
    <font>
      <b/>
      <sz val="8"/>
      <color indexed="62"/>
      <name val="Verdana"/>
      <family val="2"/>
    </font>
    <font>
      <b/>
      <sz val="8"/>
      <color rgb="FF1F497D"/>
      <name val="Verdana"/>
      <family val="2"/>
    </font>
    <font>
      <sz val="8"/>
      <color indexed="8"/>
      <name val="Verdana"/>
      <family val="2"/>
    </font>
    <font>
      <sz val="8"/>
      <color rgb="FF000000"/>
      <name val="Verdana"/>
      <family val="2"/>
    </font>
    <font>
      <i/>
      <sz val="8"/>
      <color indexed="8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  <font>
      <b/>
      <sz val="8"/>
      <color indexed="50"/>
      <name val="Verdana"/>
      <family val="2"/>
    </font>
    <font>
      <b/>
      <sz val="8"/>
      <color rgb="FF00CC00"/>
      <name val="Verdana"/>
      <family val="2"/>
    </font>
    <font>
      <b/>
      <sz val="8"/>
      <color indexed="29"/>
      <name val="Verdana"/>
      <family val="2"/>
    </font>
    <font>
      <b/>
      <sz val="8"/>
      <color rgb="FF33CC33"/>
      <name val="Verdana"/>
      <family val="2"/>
    </font>
    <font>
      <b/>
      <sz val="8"/>
      <color indexed="52"/>
      <name val="Verdana"/>
      <family val="2"/>
    </font>
    <font>
      <b/>
      <sz val="8"/>
      <color rgb="FFFF9900"/>
      <name val="Verdana"/>
      <family val="2"/>
    </font>
    <font>
      <b/>
      <sz val="8"/>
      <color indexed="53"/>
      <name val="Verdana"/>
      <family val="2"/>
    </font>
    <font>
      <b/>
      <sz val="8"/>
      <color rgb="FFFF0000"/>
      <name val="Verdana"/>
      <family val="2"/>
    </font>
    <font>
      <b/>
      <sz val="11"/>
      <color indexed="8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0"/>
      <color indexed="8"/>
      <name val="맑은 고딕"/>
      <family val="3"/>
      <charset val="129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10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53"/>
      <name val="Calibri"/>
      <family val="2"/>
    </font>
    <font>
      <sz val="11"/>
      <color indexed="14"/>
      <name val="Calibri"/>
      <family val="2"/>
    </font>
    <font>
      <b/>
      <sz val="11"/>
      <color indexed="62"/>
      <name val="맑은 고딕"/>
      <family val="3"/>
      <charset val="129"/>
    </font>
    <font>
      <u/>
      <sz val="11"/>
      <color indexed="36"/>
      <name val="돋움"/>
      <family val="3"/>
      <charset val="129"/>
    </font>
    <font>
      <b/>
      <sz val="12"/>
      <color indexed="8"/>
      <name val="Arial"/>
      <family val="2"/>
    </font>
    <font>
      <sz val="11"/>
      <color indexed="8"/>
      <name val="돋움"/>
      <family val="3"/>
      <charset val="129"/>
    </font>
    <font>
      <sz val="10"/>
      <color theme="1"/>
      <name val="Arial"/>
      <family val="2"/>
    </font>
    <font>
      <sz val="11"/>
      <color indexed="37"/>
      <name val="Calibri"/>
      <family val="2"/>
    </font>
    <font>
      <i/>
      <sz val="11"/>
      <color indexed="55"/>
      <name val="Calibri"/>
      <family val="2"/>
    </font>
    <font>
      <b/>
      <sz val="15"/>
      <color indexed="62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b/>
      <sz val="18"/>
      <color indexed="62"/>
      <name val="맑은 고딕"/>
      <family val="3"/>
      <charset val="129"/>
    </font>
    <font>
      <sz val="11"/>
      <color indexed="58"/>
      <name val="Calibri"/>
      <family val="2"/>
    </font>
    <font>
      <sz val="9.5"/>
      <name val="Arial"/>
      <family val="2"/>
    </font>
    <font>
      <sz val="11"/>
      <color theme="1"/>
      <name val="맑은 고딕"/>
      <family val="3"/>
      <charset val="129"/>
    </font>
    <font>
      <sz val="11"/>
      <color theme="1"/>
      <name val="돋움"/>
      <family val="3"/>
      <charset val="129"/>
    </font>
    <font>
      <sz val="10"/>
      <color theme="1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indexed="39"/>
      <name val="맑은 고딕"/>
      <family val="3"/>
      <charset val="129"/>
      <scheme val="minor"/>
    </font>
    <font>
      <b/>
      <sz val="11"/>
      <name val="맑은 고딕"/>
      <family val="3"/>
      <charset val="129"/>
      <scheme val="major"/>
    </font>
    <font>
      <sz val="9"/>
      <color rgb="FF006600"/>
      <name val="맑은 고딕"/>
      <family val="2"/>
      <charset val="129"/>
      <scheme val="minor"/>
    </font>
    <font>
      <b/>
      <sz val="9"/>
      <color rgb="FF006600"/>
      <name val="맑은 고딕"/>
      <family val="3"/>
      <charset val="129"/>
    </font>
    <font>
      <b/>
      <u/>
      <sz val="9"/>
      <color rgb="FF006600"/>
      <name val="맑은 고딕"/>
      <family val="3"/>
      <charset val="129"/>
    </font>
    <font>
      <b/>
      <sz val="14"/>
      <color rgb="FF000000"/>
      <name val="Arial Narrow"/>
      <family val="2"/>
    </font>
    <font>
      <sz val="9"/>
      <color rgb="FF006600"/>
      <name val="Arial Narrow"/>
      <family val="2"/>
    </font>
    <font>
      <b/>
      <sz val="9"/>
      <color rgb="FF006600"/>
      <name val="Arial Narrow"/>
      <family val="2"/>
    </font>
    <font>
      <sz val="12"/>
      <color rgb="FF006600"/>
      <name val="Arial Narrow"/>
      <family val="2"/>
    </font>
    <font>
      <b/>
      <sz val="2"/>
      <color rgb="FF000000"/>
      <name val="맑은 고딕"/>
      <family val="3"/>
      <charset val="129"/>
    </font>
    <font>
      <sz val="2"/>
      <color rgb="FF006600"/>
      <name val="맑은 고딕"/>
      <family val="3"/>
      <charset val="129"/>
    </font>
    <font>
      <sz val="2"/>
      <color rgb="FF006600"/>
      <name val="Arial Narrow"/>
      <family val="2"/>
    </font>
    <font>
      <sz val="2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</fonts>
  <fills count="12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8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3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5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lightGray">
        <fgColor indexed="15"/>
      </patternFill>
    </fill>
    <fill>
      <patternFill patternType="solid">
        <fgColor indexed="22"/>
        <bgColor indexed="9"/>
      </patternFill>
    </fill>
    <fill>
      <patternFill patternType="solid">
        <fgColor indexed="13"/>
      </patternFill>
    </fill>
    <fill>
      <patternFill patternType="solid">
        <fgColor indexed="42"/>
      </patternFill>
    </fill>
    <fill>
      <patternFill patternType="solid">
        <fgColor indexed="22"/>
        <bgColor indexed="64"/>
      </patternFill>
    </fill>
    <fill>
      <patternFill patternType="solid">
        <fgColor indexed="9"/>
      </patternFill>
    </fill>
    <fill>
      <patternFill patternType="solid">
        <fgColor indexed="18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464"/>
        <bgColor indexed="64"/>
      </patternFill>
    </fill>
    <fill>
      <patternFill patternType="solid">
        <fgColor indexed="31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28"/>
      </patternFill>
    </fill>
    <fill>
      <patternFill patternType="solid">
        <fgColor indexed="23"/>
      </patternFill>
    </fill>
    <fill>
      <patternFill patternType="solid">
        <fgColor indexed="12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1"/>
      </patternFill>
    </fill>
    <fill>
      <patternFill patternType="solid">
        <fgColor indexed="43"/>
      </patternFill>
    </fill>
    <fill>
      <patternFill patternType="solid">
        <fgColor indexed="18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3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1"/>
        <bgColor indexed="54"/>
      </patternFill>
    </fill>
    <fill>
      <patternFill patternType="solid">
        <fgColor indexed="24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rgb="FFDBE5F1"/>
        <bgColor rgb="FF000000"/>
      </patternFill>
    </fill>
    <fill>
      <patternFill patternType="solid">
        <fgColor indexed="22"/>
        <bgColor rgb="FF000000"/>
      </patternFill>
    </fill>
    <fill>
      <patternFill patternType="solid">
        <fgColor indexed="9"/>
        <bgColor indexed="8"/>
      </patternFill>
    </fill>
    <fill>
      <patternFill patternType="solid">
        <fgColor rgb="FFFFFFFF"/>
        <bgColor rgb="FF000000"/>
      </patternFill>
    </fill>
    <fill>
      <patternFill patternType="solid">
        <fgColor indexed="42"/>
        <bgColor indexed="8"/>
      </patternFill>
    </fill>
    <fill>
      <patternFill patternType="solid">
        <fgColor rgb="FFC6F9C1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indexed="29"/>
        <bgColor indexed="8"/>
      </patternFill>
    </fill>
    <fill>
      <patternFill patternType="solid">
        <fgColor rgb="FF94D88F"/>
        <bgColor rgb="FF000000"/>
      </patternFill>
    </fill>
    <fill>
      <patternFill patternType="solid">
        <fgColor indexed="29"/>
        <bgColor rgb="FF000000"/>
      </patternFill>
    </fill>
    <fill>
      <patternFill patternType="solid">
        <fgColor indexed="43"/>
        <bgColor indexed="8"/>
      </patternFill>
    </fill>
    <fill>
      <patternFill patternType="solid">
        <fgColor rgb="FFFFFDBF"/>
        <bgColor rgb="FF000000"/>
      </patternFill>
    </fill>
    <fill>
      <patternFill patternType="solid">
        <fgColor indexed="43"/>
        <bgColor rgb="FF000000"/>
      </patternFill>
    </fill>
    <fill>
      <patternFill patternType="solid">
        <fgColor rgb="FFFFFB8C"/>
        <bgColor rgb="FF000000"/>
      </patternFill>
    </fill>
    <fill>
      <patternFill patternType="solid">
        <fgColor indexed="30"/>
        <bgColor indexed="8"/>
      </patternFill>
    </fill>
    <fill>
      <patternFill patternType="solid">
        <fgColor rgb="FFFFF843"/>
        <bgColor rgb="FF000000"/>
      </patternFill>
    </fill>
    <fill>
      <patternFill patternType="solid">
        <fgColor indexed="30"/>
        <bgColor rgb="FF000000"/>
      </patternFill>
    </fill>
    <fill>
      <patternFill patternType="solid">
        <fgColor indexed="45"/>
        <bgColor indexed="8"/>
      </patternFill>
    </fill>
    <fill>
      <patternFill patternType="solid">
        <fgColor rgb="FFFFC7CE"/>
        <bgColor rgb="FF000000"/>
      </patternFill>
    </fill>
    <fill>
      <patternFill patternType="solid">
        <fgColor indexed="47"/>
        <bgColor indexed="8"/>
      </patternFill>
    </fill>
    <fill>
      <patternFill patternType="solid">
        <fgColor rgb="FFFF988C"/>
        <bgColor rgb="FF000000"/>
      </patternFill>
    </fill>
    <fill>
      <patternFill patternType="solid">
        <fgColor indexed="47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BE5F2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indexed="11"/>
        <bgColor indexed="8"/>
      </patternFill>
    </fill>
    <fill>
      <patternFill patternType="solid">
        <fgColor rgb="FFF1F5FB"/>
        <bgColor rgb="FF000000"/>
      </patternFill>
    </fill>
    <fill>
      <patternFill patternType="solid">
        <fgColor indexed="11"/>
        <bgColor rgb="FF000000"/>
      </patternFill>
    </fill>
    <fill>
      <patternFill patternType="solid">
        <fgColor rgb="FFDBE5F1"/>
        <bgColor rgb="FFFFFFFF"/>
      </patternFill>
    </fill>
    <fill>
      <patternFill patternType="solid">
        <fgColor indexed="22"/>
        <bgColor rgb="FFFFFFFF"/>
      </patternFill>
    </fill>
    <fill>
      <patternFill patternType="solid">
        <fgColor indexed="32"/>
        <bgColor indexed="64"/>
      </patternFill>
    </fill>
    <fill>
      <patternFill patternType="solid">
        <fgColor indexed="20"/>
      </patternFill>
    </fill>
    <fill>
      <patternFill patternType="solid">
        <fgColor indexed="41"/>
      </patternFill>
    </fill>
    <fill>
      <patternFill patternType="solid">
        <fgColor indexed="15"/>
      </patternFill>
    </fill>
  </fills>
  <borders count="8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medium">
        <color theme="1" tint="0.499984740745262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 style="thin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theme="1" tint="0.499984740745262"/>
      </bottom>
      <diagonal/>
    </border>
    <border>
      <left/>
      <right/>
      <top style="thin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10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rgb="FFB8CDD9"/>
      </left>
      <right style="thin">
        <color rgb="FFB8CDD9"/>
      </right>
      <top style="thin">
        <color rgb="FFB8CDD9"/>
      </top>
      <bottom style="thin">
        <color rgb="FFB8CDD9"/>
      </bottom>
      <diagonal/>
    </border>
    <border>
      <left style="thin">
        <color rgb="FFB8CDD9"/>
      </left>
      <right style="thin">
        <color rgb="FFB8CDD9"/>
      </right>
      <top style="medium">
        <color indexed="49"/>
      </top>
      <bottom style="thin">
        <color rgb="FFB8CDD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13"/>
      </left>
      <right style="hair">
        <color indexed="13"/>
      </right>
      <top style="thin">
        <color indexed="55"/>
      </top>
      <bottom style="thin">
        <color indexed="55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thin">
        <color indexed="13"/>
      </left>
      <right style="thin">
        <color indexed="13"/>
      </right>
      <top style="thin">
        <color indexed="13"/>
      </top>
      <bottom style="thin">
        <color indexed="13"/>
      </bottom>
      <diagonal/>
    </border>
    <border>
      <left/>
      <right/>
      <top/>
      <bottom style="medium">
        <color indexed="22"/>
      </bottom>
      <diagonal/>
    </border>
    <border>
      <left/>
      <right/>
      <top style="thin">
        <color indexed="23"/>
      </top>
      <bottom/>
      <diagonal/>
    </border>
    <border>
      <left/>
      <right/>
      <top/>
      <bottom style="thin">
        <color indexed="23"/>
      </bottom>
      <diagonal/>
    </border>
  </borders>
  <cellStyleXfs count="19760">
    <xf numFmtId="0" fontId="0" fillId="0" borderId="0">
      <alignment vertical="center"/>
    </xf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9" fillId="0" borderId="0">
      <alignment vertical="center"/>
    </xf>
    <xf numFmtId="41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5" fillId="0" borderId="0"/>
    <xf numFmtId="0" fontId="35" fillId="0" borderId="0"/>
    <xf numFmtId="178" fontId="7" fillId="0" borderId="0" applyFont="0" applyFill="0" applyBorder="0" applyAlignment="0" applyProtection="0"/>
    <xf numFmtId="0" fontId="36" fillId="0" borderId="0"/>
    <xf numFmtId="0" fontId="7" fillId="0" borderId="0"/>
    <xf numFmtId="179" fontId="37" fillId="0" borderId="0" applyFont="0" applyFill="0" applyBorder="0" applyAlignment="0" applyProtection="0"/>
    <xf numFmtId="0" fontId="38" fillId="0" borderId="0" applyFont="0" applyFill="0" applyBorder="0" applyAlignment="0" applyProtection="0"/>
    <xf numFmtId="0" fontId="38" fillId="0" borderId="0" applyFont="0" applyFill="0" applyBorder="0" applyAlignment="0" applyProtection="0"/>
    <xf numFmtId="180" fontId="37" fillId="0" borderId="0" applyFont="0" applyFill="0" applyBorder="0" applyAlignment="0" applyProtection="0"/>
    <xf numFmtId="0" fontId="7" fillId="0" borderId="0"/>
    <xf numFmtId="0" fontId="38" fillId="0" borderId="0"/>
    <xf numFmtId="0" fontId="39" fillId="0" borderId="0"/>
    <xf numFmtId="0" fontId="38" fillId="0" borderId="0"/>
    <xf numFmtId="0" fontId="38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35" fillId="0" borderId="0"/>
    <xf numFmtId="0" fontId="9" fillId="0" borderId="0"/>
    <xf numFmtId="0" fontId="7" fillId="0" borderId="0" applyNumberFormat="0" applyFill="0" applyBorder="0" applyAlignment="0" applyProtection="0"/>
    <xf numFmtId="0" fontId="7" fillId="0" borderId="0" applyBorder="0"/>
    <xf numFmtId="0" fontId="9" fillId="0" borderId="0"/>
    <xf numFmtId="0" fontId="7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 applyFont="0" applyFill="0" applyBorder="0" applyAlignment="0" applyProtection="0"/>
    <xf numFmtId="178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41" fillId="0" borderId="0"/>
    <xf numFmtId="0" fontId="9" fillId="0" borderId="0"/>
    <xf numFmtId="0" fontId="7" fillId="0" borderId="0"/>
    <xf numFmtId="0" fontId="7" fillId="0" borderId="0"/>
    <xf numFmtId="0" fontId="41" fillId="0" borderId="0"/>
    <xf numFmtId="0" fontId="7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7" fillId="0" borderId="0"/>
    <xf numFmtId="181" fontId="42" fillId="0" borderId="0" applyFont="0" applyFill="0" applyBorder="0" applyAlignment="0" applyProtection="0"/>
    <xf numFmtId="182" fontId="42" fillId="0" borderId="0" applyFont="0" applyFill="0" applyBorder="0" applyAlignment="0" applyProtection="0"/>
    <xf numFmtId="0" fontId="9" fillId="0" borderId="0"/>
    <xf numFmtId="0" fontId="7" fillId="0" borderId="0" applyNumberFormat="0" applyFill="0" applyBorder="0" applyAlignment="0" applyProtection="0"/>
    <xf numFmtId="0" fontId="43" fillId="39" borderId="0" applyNumberFormat="0" applyBorder="0" applyAlignment="0" applyProtection="0"/>
    <xf numFmtId="0" fontId="43" fillId="40" borderId="0" applyNumberFormat="0" applyBorder="0" applyAlignment="0" applyProtection="0"/>
    <xf numFmtId="0" fontId="43" fillId="41" borderId="0" applyNumberFormat="0" applyBorder="0" applyAlignment="0" applyProtection="0"/>
    <xf numFmtId="0" fontId="43" fillId="39" borderId="0" applyNumberFormat="0" applyBorder="0" applyAlignment="0" applyProtection="0"/>
    <xf numFmtId="0" fontId="43" fillId="42" borderId="0" applyNumberFormat="0" applyBorder="0" applyAlignment="0" applyProtection="0"/>
    <xf numFmtId="0" fontId="43" fillId="40" borderId="0" applyNumberFormat="0" applyBorder="0" applyAlignment="0" applyProtection="0"/>
    <xf numFmtId="0" fontId="44" fillId="39" borderId="0" applyNumberFormat="0" applyBorder="0" applyAlignment="0" applyProtection="0">
      <alignment vertical="center"/>
    </xf>
    <xf numFmtId="0" fontId="44" fillId="40" borderId="0" applyNumberFormat="0" applyBorder="0" applyAlignment="0" applyProtection="0">
      <alignment vertical="center"/>
    </xf>
    <xf numFmtId="0" fontId="44" fillId="41" borderId="0" applyNumberFormat="0" applyBorder="0" applyAlignment="0" applyProtection="0">
      <alignment vertical="center"/>
    </xf>
    <xf numFmtId="0" fontId="44" fillId="39" borderId="0" applyNumberFormat="0" applyBorder="0" applyAlignment="0" applyProtection="0">
      <alignment vertical="center"/>
    </xf>
    <xf numFmtId="0" fontId="44" fillId="42" borderId="0" applyNumberFormat="0" applyBorder="0" applyAlignment="0" applyProtection="0">
      <alignment vertical="center"/>
    </xf>
    <xf numFmtId="0" fontId="44" fillId="40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3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3" fillId="36" borderId="0" applyNumberFormat="0" applyBorder="0" applyAlignment="0" applyProtection="0">
      <alignment vertical="center"/>
    </xf>
    <xf numFmtId="0" fontId="7" fillId="0" borderId="0"/>
    <xf numFmtId="0" fontId="46" fillId="0" borderId="0" applyNumberFormat="0" applyFill="0" applyBorder="0" applyAlignment="0" applyProtection="0">
      <alignment vertical="top"/>
      <protection locked="0"/>
    </xf>
    <xf numFmtId="0" fontId="43" fillId="39" borderId="0" applyNumberFormat="0" applyBorder="0" applyAlignment="0" applyProtection="0"/>
    <xf numFmtId="0" fontId="43" fillId="43" borderId="0" applyNumberFormat="0" applyBorder="0" applyAlignment="0" applyProtection="0"/>
    <xf numFmtId="0" fontId="43" fillId="44" borderId="0" applyNumberFormat="0" applyBorder="0" applyAlignment="0" applyProtection="0"/>
    <xf numFmtId="0" fontId="43" fillId="39" borderId="0" applyNumberFormat="0" applyBorder="0" applyAlignment="0" applyProtection="0"/>
    <xf numFmtId="0" fontId="43" fillId="45" borderId="0" applyNumberFormat="0" applyBorder="0" applyAlignment="0" applyProtection="0"/>
    <xf numFmtId="0" fontId="43" fillId="40" borderId="0" applyNumberFormat="0" applyBorder="0" applyAlignment="0" applyProtection="0"/>
    <xf numFmtId="0" fontId="44" fillId="39" borderId="0" applyNumberFormat="0" applyBorder="0" applyAlignment="0" applyProtection="0">
      <alignment vertical="center"/>
    </xf>
    <xf numFmtId="0" fontId="44" fillId="43" borderId="0" applyNumberFormat="0" applyBorder="0" applyAlignment="0" applyProtection="0">
      <alignment vertical="center"/>
    </xf>
    <xf numFmtId="0" fontId="44" fillId="44" borderId="0" applyNumberFormat="0" applyBorder="0" applyAlignment="0" applyProtection="0">
      <alignment vertical="center"/>
    </xf>
    <xf numFmtId="0" fontId="44" fillId="39" borderId="0" applyNumberFormat="0" applyBorder="0" applyAlignment="0" applyProtection="0">
      <alignment vertical="center"/>
    </xf>
    <xf numFmtId="0" fontId="44" fillId="45" borderId="0" applyNumberFormat="0" applyBorder="0" applyAlignment="0" applyProtection="0">
      <alignment vertical="center"/>
    </xf>
    <xf numFmtId="0" fontId="44" fillId="40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3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3" fillId="37" borderId="0" applyNumberFormat="0" applyBorder="0" applyAlignment="0" applyProtection="0">
      <alignment vertical="center"/>
    </xf>
    <xf numFmtId="0" fontId="9" fillId="0" borderId="0" applyFont="0" applyFill="0" applyBorder="0" applyAlignment="0" applyProtection="0"/>
    <xf numFmtId="0" fontId="47" fillId="46" borderId="0" applyNumberFormat="0" applyBorder="0" applyAlignment="0" applyProtection="0"/>
    <xf numFmtId="0" fontId="47" fillId="43" borderId="0" applyNumberFormat="0" applyBorder="0" applyAlignment="0" applyProtection="0"/>
    <xf numFmtId="0" fontId="47" fillId="44" borderId="0" applyNumberFormat="0" applyBorder="0" applyAlignment="0" applyProtection="0"/>
    <xf numFmtId="0" fontId="47" fillId="47" borderId="0" applyNumberFormat="0" applyBorder="0" applyAlignment="0" applyProtection="0"/>
    <xf numFmtId="0" fontId="47" fillId="46" borderId="0" applyNumberFormat="0" applyBorder="0" applyAlignment="0" applyProtection="0"/>
    <xf numFmtId="0" fontId="47" fillId="40" borderId="0" applyNumberFormat="0" applyBorder="0" applyAlignment="0" applyProtection="0"/>
    <xf numFmtId="0" fontId="48" fillId="46" borderId="0" applyNumberFormat="0" applyBorder="0" applyAlignment="0" applyProtection="0">
      <alignment vertical="center"/>
    </xf>
    <xf numFmtId="0" fontId="48" fillId="43" borderId="0" applyNumberFormat="0" applyBorder="0" applyAlignment="0" applyProtection="0">
      <alignment vertical="center"/>
    </xf>
    <xf numFmtId="0" fontId="48" fillId="44" borderId="0" applyNumberFormat="0" applyBorder="0" applyAlignment="0" applyProtection="0">
      <alignment vertical="center"/>
    </xf>
    <xf numFmtId="0" fontId="48" fillId="47" borderId="0" applyNumberFormat="0" applyBorder="0" applyAlignment="0" applyProtection="0">
      <alignment vertical="center"/>
    </xf>
    <xf numFmtId="0" fontId="48" fillId="46" borderId="0" applyNumberFormat="0" applyBorder="0" applyAlignment="0" applyProtection="0">
      <alignment vertical="center"/>
    </xf>
    <xf numFmtId="0" fontId="48" fillId="40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49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49" fillId="38" borderId="0" applyNumberFormat="0" applyBorder="0" applyAlignment="0" applyProtection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83" fontId="50" fillId="0" borderId="0" applyFont="0" applyFill="0" applyBorder="0" applyAlignment="0" applyProtection="0"/>
    <xf numFmtId="178" fontId="50" fillId="0" borderId="0" applyFont="0" applyFill="0" applyBorder="0" applyAlignment="0" applyProtection="0"/>
    <xf numFmtId="0" fontId="47" fillId="46" borderId="0" applyNumberFormat="0" applyBorder="0" applyAlignment="0" applyProtection="0"/>
    <xf numFmtId="0" fontId="47" fillId="48" borderId="0" applyNumberFormat="0" applyBorder="0" applyAlignment="0" applyProtection="0"/>
    <xf numFmtId="0" fontId="47" fillId="49" borderId="0" applyNumberFormat="0" applyBorder="0" applyAlignment="0" applyProtection="0"/>
    <xf numFmtId="0" fontId="47" fillId="50" borderId="0" applyNumberFormat="0" applyBorder="0" applyAlignment="0" applyProtection="0"/>
    <xf numFmtId="0" fontId="47" fillId="46" borderId="0" applyNumberFormat="0" applyBorder="0" applyAlignment="0" applyProtection="0"/>
    <xf numFmtId="0" fontId="47" fillId="51" borderId="0" applyNumberFormat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184" fontId="50" fillId="0" borderId="0" applyFont="0" applyFill="0" applyBorder="0" applyAlignment="0" applyProtection="0"/>
    <xf numFmtId="185" fontId="50" fillId="0" borderId="0" applyFont="0" applyFill="0" applyBorder="0" applyAlignment="0" applyProtection="0"/>
    <xf numFmtId="0" fontId="7" fillId="0" borderId="0"/>
    <xf numFmtId="0" fontId="7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Font="0" applyFill="0" applyBorder="0" applyAlignment="0" applyProtection="0"/>
    <xf numFmtId="186" fontId="54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5" fillId="52" borderId="0" applyNumberFormat="0" applyBorder="0" applyAlignment="0" applyProtection="0"/>
    <xf numFmtId="178" fontId="56" fillId="0" borderId="0">
      <alignment horizontal="right"/>
      <protection locked="0"/>
    </xf>
    <xf numFmtId="0" fontId="57" fillId="0" borderId="0" applyNumberFormat="0" applyFill="0" applyBorder="0" applyAlignment="0" applyProtection="0"/>
    <xf numFmtId="187" fontId="56" fillId="0" borderId="0" applyFont="0" applyFill="0" applyBorder="0" applyAlignment="0" applyProtection="0"/>
    <xf numFmtId="0" fontId="7" fillId="0" borderId="0"/>
    <xf numFmtId="0" fontId="58" fillId="0" borderId="0" applyProtection="0"/>
    <xf numFmtId="0" fontId="59" fillId="0" borderId="0"/>
    <xf numFmtId="0" fontId="7" fillId="0" borderId="0"/>
    <xf numFmtId="0" fontId="60" fillId="0" borderId="0"/>
    <xf numFmtId="0" fontId="61" fillId="0" borderId="0"/>
    <xf numFmtId="183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0" fontId="7" fillId="0" borderId="0" applyNumberFormat="0" applyFill="0" applyBorder="0" applyAlignment="0"/>
    <xf numFmtId="188" fontId="62" fillId="0" borderId="0" applyFill="0" applyBorder="0" applyAlignment="0"/>
    <xf numFmtId="0" fontId="63" fillId="39" borderId="45" applyNumberFormat="0" applyAlignment="0" applyProtection="0"/>
    <xf numFmtId="189" fontId="56" fillId="53" borderId="0" applyNumberFormat="0" applyFont="0" applyBorder="0" applyAlignment="0">
      <protection locked="0"/>
    </xf>
    <xf numFmtId="0" fontId="64" fillId="47" borderId="46" applyNumberFormat="0" applyAlignment="0" applyProtection="0"/>
    <xf numFmtId="4" fontId="65" fillId="0" borderId="0">
      <protection locked="0"/>
    </xf>
    <xf numFmtId="0" fontId="40" fillId="0" borderId="0" applyFont="0" applyFill="0" applyBorder="0" applyAlignment="0" applyProtection="0"/>
    <xf numFmtId="179" fontId="43" fillId="0" borderId="0" applyFont="0" applyFill="0" applyBorder="0" applyAlignment="0" applyProtection="0"/>
    <xf numFmtId="190" fontId="62" fillId="0" borderId="0"/>
    <xf numFmtId="0" fontId="7" fillId="0" borderId="0" applyFont="0" applyFill="0" applyBorder="0" applyAlignment="0" applyProtection="0"/>
    <xf numFmtId="0" fontId="9" fillId="0" borderId="0">
      <protection locked="0"/>
    </xf>
    <xf numFmtId="0" fontId="40" fillId="0" borderId="0" applyFont="0" applyFill="0" applyBorder="0" applyAlignment="0" applyProtection="0"/>
    <xf numFmtId="0" fontId="7" fillId="0" borderId="0" applyFont="0" applyFill="0" applyBorder="0" applyAlignment="0" applyProtection="0"/>
    <xf numFmtId="191" fontId="62" fillId="0" borderId="0"/>
    <xf numFmtId="0" fontId="9" fillId="0" borderId="0" applyFont="0" applyFill="0" applyBorder="0" applyAlignment="0" applyProtection="0"/>
    <xf numFmtId="187" fontId="66" fillId="54" borderId="47" applyNumberFormat="0"/>
    <xf numFmtId="192" fontId="7" fillId="0" borderId="0" applyFont="0" applyFill="0" applyBorder="0" applyAlignment="0" applyProtection="0"/>
    <xf numFmtId="193" fontId="7" fillId="0" borderId="0" applyFont="0" applyFill="0" applyBorder="0" applyAlignment="0" applyProtection="0"/>
    <xf numFmtId="194" fontId="62" fillId="0" borderId="0"/>
    <xf numFmtId="195" fontId="56" fillId="0" borderId="0" applyFill="0" applyBorder="0" applyAlignment="0" applyProtection="0"/>
    <xf numFmtId="196" fontId="67" fillId="0" borderId="0" applyFont="0" applyFill="0" applyBorder="0" applyAlignment="0" applyProtection="0">
      <alignment vertical="center"/>
    </xf>
    <xf numFmtId="0" fontId="68" fillId="0" borderId="0" applyNumberFormat="0" applyFill="0" applyBorder="0" applyAlignment="0" applyProtection="0"/>
    <xf numFmtId="187" fontId="69" fillId="55" borderId="47" applyNumberFormat="0"/>
    <xf numFmtId="0" fontId="70" fillId="56" borderId="0" applyNumberFormat="0" applyBorder="0" applyAlignment="0" applyProtection="0"/>
    <xf numFmtId="38" fontId="71" fillId="57" borderId="0" applyNumberFormat="0" applyBorder="0" applyAlignment="0" applyProtection="0"/>
    <xf numFmtId="0" fontId="72" fillId="0" borderId="48" applyNumberFormat="0" applyAlignment="0" applyProtection="0">
      <alignment horizontal="left" vertical="center"/>
    </xf>
    <xf numFmtId="0" fontId="72" fillId="0" borderId="49">
      <alignment horizontal="left" vertical="center"/>
    </xf>
    <xf numFmtId="0" fontId="73" fillId="0" borderId="50" applyNumberFormat="0" applyFill="0" applyAlignment="0" applyProtection="0"/>
    <xf numFmtId="0" fontId="74" fillId="0" borderId="50" applyNumberFormat="0" applyFill="0" applyAlignment="0" applyProtection="0"/>
    <xf numFmtId="0" fontId="75" fillId="0" borderId="51" applyNumberFormat="0" applyFill="0" applyAlignment="0" applyProtection="0"/>
    <xf numFmtId="0" fontId="75" fillId="0" borderId="0" applyNumberFormat="0" applyFill="0" applyBorder="0" applyAlignment="0" applyProtection="0"/>
    <xf numFmtId="0" fontId="76" fillId="0" borderId="52" applyNumberFormat="0" applyFill="0" applyBorder="0" applyAlignment="0" applyProtection="0">
      <alignment horizontal="left"/>
    </xf>
    <xf numFmtId="9" fontId="77" fillId="58" borderId="47" applyNumberFormat="0"/>
    <xf numFmtId="0" fontId="78" fillId="0" borderId="0" applyNumberFormat="0" applyFill="0" applyBorder="0" applyAlignment="0" applyProtection="0">
      <alignment vertical="top"/>
      <protection locked="0"/>
    </xf>
    <xf numFmtId="2" fontId="79" fillId="59" borderId="47" applyNumberFormat="0">
      <protection locked="0"/>
    </xf>
    <xf numFmtId="10" fontId="71" fillId="60" borderId="2" applyNumberFormat="0" applyBorder="0" applyAlignment="0" applyProtection="0"/>
    <xf numFmtId="2" fontId="79" fillId="59" borderId="47" applyNumberFormat="0">
      <protection locked="0"/>
    </xf>
    <xf numFmtId="0" fontId="80" fillId="61" borderId="0" applyNumberFormat="0" applyBorder="0" applyAlignment="0"/>
    <xf numFmtId="0" fontId="81" fillId="0" borderId="53" applyNumberFormat="0" applyFill="0" applyAlignment="0" applyProtection="0"/>
    <xf numFmtId="0" fontId="7" fillId="0" borderId="0"/>
    <xf numFmtId="197" fontId="82" fillId="0" borderId="0" applyFont="0" applyFill="0" applyBorder="0" applyAlignment="0" applyProtection="0"/>
    <xf numFmtId="187" fontId="9" fillId="0" borderId="0" applyFont="0" applyFill="0" applyBorder="0" applyAlignment="0" applyProtection="0"/>
    <xf numFmtId="179" fontId="7" fillId="0" borderId="0" applyFont="0" applyFill="0" applyBorder="0" applyAlignment="0" applyProtection="0"/>
    <xf numFmtId="198" fontId="7" fillId="0" borderId="0" applyFont="0" applyFill="0" applyBorder="0" applyAlignment="0" applyProtection="0"/>
    <xf numFmtId="199" fontId="7" fillId="0" borderId="0" applyFont="0" applyFill="0" applyBorder="0" applyAlignment="0" applyProtection="0"/>
    <xf numFmtId="20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187" fontId="82" fillId="0" borderId="0" applyFont="0" applyFill="0" applyBorder="0" applyAlignment="0" applyProtection="0"/>
    <xf numFmtId="195" fontId="82" fillId="0" borderId="0" applyFont="0" applyFill="0" applyBorder="0" applyAlignment="0" applyProtection="0"/>
    <xf numFmtId="0" fontId="77" fillId="0" borderId="2" applyNumberFormat="0" applyFill="0">
      <alignment vertical="center"/>
    </xf>
    <xf numFmtId="0" fontId="83" fillId="44" borderId="0" applyNumberFormat="0" applyBorder="0" applyAlignment="0" applyProtection="0"/>
    <xf numFmtId="37" fontId="84" fillId="0" borderId="0"/>
    <xf numFmtId="201" fontId="52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7" fillId="0" borderId="0"/>
    <xf numFmtId="0" fontId="9" fillId="0" borderId="0" applyFill="0"/>
    <xf numFmtId="0" fontId="9" fillId="41" borderId="54" applyNumberFormat="0" applyFont="0" applyAlignment="0" applyProtection="0"/>
    <xf numFmtId="0" fontId="56" fillId="0" borderId="0" applyFont="0" applyFill="0" applyBorder="0" applyAlignment="0" applyProtection="0"/>
    <xf numFmtId="0" fontId="86" fillId="39" borderId="55" applyNumberFormat="0" applyAlignment="0" applyProtection="0"/>
    <xf numFmtId="0" fontId="9" fillId="0" borderId="0">
      <protection locked="0"/>
    </xf>
    <xf numFmtId="10" fontId="7" fillId="0" borderId="0" applyFont="0" applyFill="0" applyBorder="0" applyAlignment="0" applyProtection="0"/>
    <xf numFmtId="202" fontId="87" fillId="0" borderId="0">
      <protection locked="0"/>
    </xf>
    <xf numFmtId="0" fontId="88" fillId="0" borderId="0" applyNumberFormat="0" applyFill="0" applyBorder="0" applyAlignment="0" applyProtection="0"/>
    <xf numFmtId="3" fontId="89" fillId="0" borderId="2" applyNumberFormat="0" applyFont="0"/>
    <xf numFmtId="179" fontId="7" fillId="0" borderId="0" applyFont="0" applyFill="0" applyBorder="0" applyAlignment="0" applyProtection="0"/>
    <xf numFmtId="198" fontId="7" fillId="0" borderId="0" applyFont="0" applyFill="0" applyBorder="0" applyAlignment="0" applyProtection="0"/>
    <xf numFmtId="195" fontId="56" fillId="0" borderId="0" applyFill="0" applyBorder="0" applyAlignment="0" applyProtection="0"/>
    <xf numFmtId="3" fontId="71" fillId="0" borderId="0"/>
    <xf numFmtId="0" fontId="7" fillId="0" borderId="0"/>
    <xf numFmtId="0" fontId="7" fillId="0" borderId="0"/>
    <xf numFmtId="3" fontId="90" fillId="0" borderId="0" applyNumberFormat="0"/>
    <xf numFmtId="0" fontId="91" fillId="62" borderId="0" applyNumberFormat="0" applyBorder="0" applyAlignment="0"/>
    <xf numFmtId="0" fontId="92" fillId="0" borderId="0" applyNumberFormat="0" applyFill="0" applyBorder="0" applyAlignment="0" applyProtection="0"/>
    <xf numFmtId="3" fontId="93" fillId="0" borderId="0"/>
    <xf numFmtId="0" fontId="94" fillId="0" borderId="0" applyNumberFormat="0" applyFill="0" applyBorder="0" applyAlignment="0" applyProtection="0"/>
    <xf numFmtId="0" fontId="90" fillId="0" borderId="49">
      <alignment horizontal="right" wrapText="1"/>
    </xf>
    <xf numFmtId="0" fontId="86" fillId="0" borderId="56" applyNumberFormat="0" applyFill="0" applyAlignment="0" applyProtection="0"/>
    <xf numFmtId="3" fontId="90" fillId="0" borderId="57" applyNumberFormat="0"/>
    <xf numFmtId="0" fontId="95" fillId="0" borderId="58" applyNumberFormat="0" applyFill="0" applyAlignment="0" applyProtection="0"/>
    <xf numFmtId="0" fontId="96" fillId="0" borderId="59" applyNumberFormat="0" applyAlignment="0"/>
    <xf numFmtId="203" fontId="7" fillId="0" borderId="0" applyFont="0" applyFill="0" applyBorder="0" applyAlignment="0" applyProtection="0"/>
    <xf numFmtId="204" fontId="7" fillId="0" borderId="0" applyFont="0" applyFill="0" applyBorder="0" applyAlignment="0" applyProtection="0"/>
    <xf numFmtId="0" fontId="97" fillId="0" borderId="0" applyNumberFormat="0" applyFill="0" applyBorder="0" applyAlignment="0" applyProtection="0"/>
    <xf numFmtId="205" fontId="56" fillId="0" borderId="0" applyFont="0" applyFill="0" applyBorder="0" applyAlignment="0" applyProtection="0"/>
    <xf numFmtId="0" fontId="98" fillId="0" borderId="0"/>
    <xf numFmtId="0" fontId="34" fillId="0" borderId="0" applyFont="0" applyFill="0" applyBorder="0" applyAlignment="0" applyProtection="0"/>
    <xf numFmtId="40" fontId="40" fillId="0" borderId="0" applyFont="0" applyFill="0" applyBorder="0" applyAlignment="0" applyProtection="0"/>
    <xf numFmtId="0" fontId="48" fillId="46" borderId="0" applyNumberFormat="0" applyBorder="0" applyAlignment="0" applyProtection="0">
      <alignment vertical="center"/>
    </xf>
    <xf numFmtId="0" fontId="48" fillId="48" borderId="0" applyNumberFormat="0" applyBorder="0" applyAlignment="0" applyProtection="0">
      <alignment vertical="center"/>
    </xf>
    <xf numFmtId="0" fontId="48" fillId="49" borderId="0" applyNumberFormat="0" applyBorder="0" applyAlignment="0" applyProtection="0">
      <alignment vertical="center"/>
    </xf>
    <xf numFmtId="0" fontId="48" fillId="50" borderId="0" applyNumberFormat="0" applyBorder="0" applyAlignment="0" applyProtection="0">
      <alignment vertical="center"/>
    </xf>
    <xf numFmtId="0" fontId="48" fillId="46" borderId="0" applyNumberFormat="0" applyBorder="0" applyAlignment="0" applyProtection="0">
      <alignment vertical="center"/>
    </xf>
    <xf numFmtId="0" fontId="48" fillId="51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99" fillId="47" borderId="46" applyNumberFormat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2" fillId="39" borderId="45" applyNumberFormat="0" applyAlignment="0" applyProtection="0">
      <alignment vertical="center"/>
    </xf>
    <xf numFmtId="0" fontId="25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0" fontId="103" fillId="12" borderId="39" applyNumberFormat="0" applyAlignment="0" applyProtection="0">
      <alignment vertical="center"/>
    </xf>
    <xf numFmtId="206" fontId="65" fillId="0" borderId="0">
      <protection locked="0"/>
    </xf>
    <xf numFmtId="0" fontId="65" fillId="0" borderId="0">
      <protection locked="0"/>
    </xf>
    <xf numFmtId="0" fontId="65" fillId="0" borderId="0">
      <protection locked="0"/>
    </xf>
    <xf numFmtId="0" fontId="104" fillId="44" borderId="0" applyNumberFormat="0" applyBorder="0" applyAlignment="0" applyProtection="0">
      <alignment vertical="center"/>
    </xf>
    <xf numFmtId="207" fontId="7" fillId="0" borderId="2">
      <alignment horizontal="right" vertical="center" shrinkToFit="1"/>
    </xf>
    <xf numFmtId="0" fontId="21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105" fillId="9" borderId="0" applyNumberFormat="0" applyBorder="0" applyAlignment="0" applyProtection="0">
      <alignment vertical="center"/>
    </xf>
    <xf numFmtId="0" fontId="65" fillId="0" borderId="0">
      <protection locked="0"/>
    </xf>
    <xf numFmtId="0" fontId="65" fillId="0" borderId="0">
      <protection locked="0"/>
    </xf>
    <xf numFmtId="0" fontId="106" fillId="0" borderId="0" applyNumberFormat="0" applyFill="0" applyBorder="0" applyAlignment="0" applyProtection="0">
      <alignment vertical="top"/>
      <protection locked="0"/>
    </xf>
    <xf numFmtId="40" fontId="10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108" fillId="0" borderId="53" applyNumberFormat="0" applyFill="0" applyAlignment="0" applyProtection="0">
      <alignment vertical="center"/>
    </xf>
    <xf numFmtId="0" fontId="3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3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9" fillId="14" borderId="43" applyNumberFormat="0" applyFont="0" applyAlignment="0" applyProtection="0">
      <alignment vertical="center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77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77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111" fillId="10" borderId="0" applyNumberFormat="0" applyBorder="0" applyAlignment="0" applyProtection="0">
      <alignment vertical="center"/>
    </xf>
    <xf numFmtId="0" fontId="7" fillId="0" borderId="0"/>
    <xf numFmtId="0" fontId="112" fillId="0" borderId="0"/>
    <xf numFmtId="0" fontId="7" fillId="0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29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27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4" fillId="13" borderId="42" applyNumberFormat="0" applyAlignment="0" applyProtection="0">
      <alignment vertical="center"/>
    </xf>
    <xf numFmtId="0" fontId="115" fillId="40" borderId="45" applyNumberFormat="0" applyAlignment="0" applyProtection="0">
      <alignment vertical="center"/>
    </xf>
    <xf numFmtId="0" fontId="116" fillId="39" borderId="55" applyNumberFormat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17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/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42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77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198" fontId="9" fillId="0" borderId="0" applyFont="0" applyFill="0" applyBorder="0" applyAlignment="0" applyProtection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7" fillId="0" borderId="0"/>
    <xf numFmtId="208" fontId="34" fillId="0" borderId="0" applyFont="0" applyFill="0" applyBorder="0" applyAlignment="0" applyProtection="0"/>
    <xf numFmtId="208" fontId="34" fillId="0" borderId="0" applyFont="0" applyFill="0" applyBorder="0" applyAlignment="0" applyProtection="0"/>
    <xf numFmtId="209" fontId="34" fillId="0" borderId="0" applyFont="0" applyFill="0" applyBorder="0" applyAlignment="0" applyProtection="0"/>
    <xf numFmtId="209" fontId="34" fillId="0" borderId="0" applyFont="0" applyFill="0" applyBorder="0" applyAlignment="0" applyProtection="0"/>
    <xf numFmtId="177" fontId="9" fillId="0" borderId="0" applyFont="0" applyFill="0" applyBorder="0" applyAlignment="0" applyProtection="0"/>
    <xf numFmtId="38" fontId="9" fillId="0" borderId="0" applyFont="0" applyFill="0" applyBorder="0" applyAlignment="0" applyProtection="0"/>
    <xf numFmtId="177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34" fillId="0" borderId="0" applyFont="0" applyFill="0" applyBorder="0" applyAlignment="0" applyProtection="0"/>
    <xf numFmtId="177" fontId="9" fillId="0" borderId="0" applyFont="0" applyFill="0" applyBorder="0" applyAlignment="0" applyProtection="0"/>
    <xf numFmtId="210" fontId="56" fillId="0" borderId="0" applyFont="0" applyFill="0" applyBorder="0" applyAlignment="0" applyProtection="0"/>
    <xf numFmtId="177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34" fillId="0" borderId="0" applyFont="0" applyFill="0" applyBorder="0" applyAlignment="0" applyProtection="0"/>
    <xf numFmtId="211" fontId="34" fillId="0" borderId="0" applyFont="0" applyFill="0" applyBorder="0" applyAlignment="0" applyProtection="0"/>
    <xf numFmtId="211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10" fontId="56" fillId="0" borderId="0" applyFont="0" applyFill="0" applyBorder="0" applyAlignment="0" applyProtection="0"/>
    <xf numFmtId="177" fontId="9" fillId="0" borderId="0" applyFont="0" applyFill="0" applyBorder="0" applyAlignment="0" applyProtection="0"/>
    <xf numFmtId="177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77" fontId="9" fillId="0" borderId="0" applyFont="0" applyFill="0" applyBorder="0" applyAlignment="0" applyProtection="0"/>
    <xf numFmtId="177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09" fontId="34" fillId="0" borderId="0" applyFont="0" applyFill="0" applyBorder="0" applyAlignment="0" applyProtection="0"/>
    <xf numFmtId="209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11" fontId="34" fillId="0" borderId="0" applyFont="0" applyFill="0" applyBorder="0" applyAlignment="0" applyProtection="0"/>
    <xf numFmtId="210" fontId="56" fillId="0" borderId="0" applyFont="0" applyFill="0" applyBorder="0" applyAlignment="0" applyProtection="0"/>
    <xf numFmtId="211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12" fontId="34" fillId="0" borderId="0" applyFont="0" applyFill="0" applyBorder="0" applyAlignment="0" applyProtection="0"/>
    <xf numFmtId="212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11" fontId="34" fillId="0" borderId="0" applyFont="0" applyFill="0" applyBorder="0" applyAlignment="0" applyProtection="0"/>
    <xf numFmtId="211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38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26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118" fillId="0" borderId="41" applyNumberFormat="0" applyFill="0" applyAlignment="0" applyProtection="0">
      <alignment vertical="center"/>
    </xf>
    <xf numFmtId="0" fontId="30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119" fillId="0" borderId="44" applyNumberFormat="0" applyFill="0" applyAlignment="0" applyProtection="0">
      <alignment vertical="center"/>
    </xf>
    <xf numFmtId="0" fontId="7" fillId="0" borderId="0"/>
    <xf numFmtId="0" fontId="23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0" fontId="120" fillId="11" borderId="39" applyNumberFormat="0" applyAlignment="0" applyProtection="0">
      <alignment vertical="center"/>
    </xf>
    <xf numFmtId="4" fontId="65" fillId="0" borderId="0">
      <protection locked="0"/>
    </xf>
    <xf numFmtId="213" fontId="65" fillId="0" borderId="0">
      <protection locked="0"/>
    </xf>
    <xf numFmtId="0" fontId="17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8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22" fillId="0" borderId="37" applyNumberFormat="0" applyFill="0" applyAlignment="0" applyProtection="0">
      <alignment vertical="center"/>
    </xf>
    <xf numFmtId="0" fontId="19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23" fillId="0" borderId="38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9" fillId="41" borderId="54" applyNumberFormat="0" applyFont="0" applyAlignment="0" applyProtection="0">
      <alignment vertical="center"/>
    </xf>
    <xf numFmtId="0" fontId="35" fillId="0" borderId="0"/>
    <xf numFmtId="0" fontId="125" fillId="52" borderId="0" applyNumberFormat="0" applyBorder="0" applyAlignment="0" applyProtection="0">
      <alignment vertical="center"/>
    </xf>
    <xf numFmtId="0" fontId="125" fillId="52" borderId="0" applyNumberFormat="0" applyBorder="0" applyAlignment="0" applyProtection="0">
      <alignment vertical="center"/>
    </xf>
    <xf numFmtId="214" fontId="7" fillId="0" borderId="0" applyFont="0" applyFill="0" applyBorder="0" applyAlignment="0" applyProtection="0"/>
    <xf numFmtId="215" fontId="7" fillId="0" borderId="0" applyFont="0" applyFill="0" applyBorder="0" applyAlignment="0" applyProtection="0"/>
    <xf numFmtId="179" fontId="7" fillId="0" borderId="0" applyFont="0" applyFill="0" applyBorder="0" applyAlignment="0" applyProtection="0"/>
    <xf numFmtId="198" fontId="7" fillId="0" borderId="0" applyFont="0" applyFill="0" applyBorder="0" applyAlignment="0" applyProtection="0"/>
    <xf numFmtId="216" fontId="9" fillId="0" borderId="0" applyFont="0" applyFill="0" applyBorder="0" applyAlignment="0" applyProtection="0"/>
    <xf numFmtId="217" fontId="42" fillId="0" borderId="0" applyFont="0" applyFill="0" applyBorder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24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126" fillId="12" borderId="40" applyNumberFormat="0" applyAlignment="0" applyProtection="0">
      <alignment vertical="center"/>
    </xf>
    <xf numFmtId="0" fontId="35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127" fillId="0" borderId="47" applyNumberFormat="0" applyFont="0" applyFill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8" fontId="9" fillId="0" borderId="0" applyFont="0" applyFill="0" applyBorder="0" applyAlignment="0" applyProtection="0">
      <alignment vertical="center"/>
    </xf>
    <xf numFmtId="219" fontId="35" fillId="0" borderId="0"/>
    <xf numFmtId="44" fontId="3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180" fontId="9" fillId="0" borderId="0" applyFont="0" applyFill="0" applyBorder="0" applyAlignment="0" applyProtection="0">
      <alignment vertical="center"/>
    </xf>
    <xf numFmtId="0" fontId="128" fillId="0" borderId="0"/>
    <xf numFmtId="220" fontId="65" fillId="0" borderId="0">
      <protection locked="0"/>
    </xf>
    <xf numFmtId="0" fontId="129" fillId="0" borderId="0" applyNumberFormat="0" applyFill="0" applyBorder="0" applyAlignment="0" applyProtection="0">
      <alignment vertical="center"/>
    </xf>
    <xf numFmtId="0" fontId="130" fillId="0" borderId="50" applyNumberFormat="0" applyFill="0" applyAlignment="0" applyProtection="0">
      <alignment vertical="center"/>
    </xf>
    <xf numFmtId="0" fontId="131" fillId="0" borderId="50" applyNumberFormat="0" applyFill="0" applyAlignment="0" applyProtection="0">
      <alignment vertical="center"/>
    </xf>
    <xf numFmtId="0" fontId="132" fillId="0" borderId="51" applyNumberFormat="0" applyFill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29" fillId="0" borderId="0" applyNumberFormat="0" applyFill="0" applyBorder="0" applyAlignment="0" applyProtection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110" fillId="0" borderId="0">
      <alignment vertical="center"/>
    </xf>
    <xf numFmtId="0" fontId="77" fillId="0" borderId="0">
      <alignment vertical="center"/>
    </xf>
    <xf numFmtId="0" fontId="133" fillId="0" borderId="0"/>
    <xf numFmtId="0" fontId="9" fillId="0" borderId="0">
      <alignment vertical="center"/>
    </xf>
    <xf numFmtId="0" fontId="11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17" fillId="0" borderId="0">
      <alignment vertical="center"/>
    </xf>
    <xf numFmtId="0" fontId="3" fillId="0" borderId="0">
      <alignment vertical="center"/>
    </xf>
    <xf numFmtId="0" fontId="133" fillId="0" borderId="0">
      <alignment vertical="center"/>
    </xf>
    <xf numFmtId="0" fontId="11" fillId="0" borderId="0">
      <alignment vertical="center"/>
    </xf>
    <xf numFmtId="0" fontId="9" fillId="0" borderId="0">
      <alignment vertical="center"/>
    </xf>
    <xf numFmtId="0" fontId="9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1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3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135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13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37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38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42" fillId="0" borderId="0">
      <alignment vertical="center"/>
    </xf>
    <xf numFmtId="0" fontId="3" fillId="0" borderId="0">
      <alignment vertical="center"/>
    </xf>
    <xf numFmtId="0" fontId="137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37" fillId="0" borderId="0">
      <alignment vertical="center"/>
    </xf>
    <xf numFmtId="0" fontId="3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9" fillId="0" borderId="0"/>
    <xf numFmtId="0" fontId="65" fillId="0" borderId="60">
      <protection locked="0"/>
    </xf>
    <xf numFmtId="0" fontId="140" fillId="0" borderId="0" applyNumberFormat="0" applyFill="0" applyBorder="0" applyAlignment="0" applyProtection="0">
      <alignment vertical="center"/>
    </xf>
    <xf numFmtId="0" fontId="141" fillId="56" borderId="0" applyNumberFormat="0" applyBorder="0" applyAlignment="0" applyProtection="0">
      <alignment vertical="center"/>
    </xf>
    <xf numFmtId="0" fontId="141" fillId="56" borderId="0" applyNumberFormat="0" applyBorder="0" applyAlignment="0" applyProtection="0">
      <alignment vertical="center"/>
    </xf>
    <xf numFmtId="221" fontId="7" fillId="0" borderId="0" applyFont="0" applyFill="0" applyBorder="0" applyAlignment="0" applyProtection="0"/>
    <xf numFmtId="222" fontId="7" fillId="0" borderId="0" applyFont="0" applyFill="0" applyBorder="0" applyAlignment="0" applyProtection="0"/>
    <xf numFmtId="223" fontId="65" fillId="0" borderId="0">
      <protection locked="0"/>
    </xf>
    <xf numFmtId="224" fontId="65" fillId="0" borderId="0">
      <protection locked="0"/>
    </xf>
    <xf numFmtId="0" fontId="106" fillId="0" borderId="0" applyNumberFormat="0" applyFill="0" applyBorder="0" applyAlignment="0" applyProtection="0">
      <alignment vertical="top"/>
      <protection locked="0"/>
    </xf>
    <xf numFmtId="0" fontId="116" fillId="0" borderId="56" applyNumberFormat="0" applyFill="0" applyAlignment="0" applyProtection="0">
      <alignment vertical="center"/>
    </xf>
    <xf numFmtId="0" fontId="2" fillId="0" borderId="0">
      <alignment vertical="center"/>
    </xf>
    <xf numFmtId="0" fontId="9" fillId="0" borderId="0" applyNumberFormat="0" applyFill="0" applyBorder="0" applyAlignment="0" applyProtection="0"/>
    <xf numFmtId="0" fontId="34" fillId="0" borderId="0" applyFont="0" applyFill="0" applyBorder="0" applyAlignment="0" applyProtection="0"/>
    <xf numFmtId="228" fontId="34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41" fillId="0" borderId="0"/>
    <xf numFmtId="0" fontId="117" fillId="65" borderId="0" applyNumberFormat="0" applyBorder="0" applyAlignment="0" applyProtection="0">
      <alignment vertical="center"/>
    </xf>
    <xf numFmtId="228" fontId="117" fillId="65" borderId="0" applyNumberFormat="0" applyBorder="0" applyAlignment="0" applyProtection="0">
      <alignment vertical="center"/>
    </xf>
    <xf numFmtId="0" fontId="117" fillId="52" borderId="0" applyNumberFormat="0" applyBorder="0" applyAlignment="0" applyProtection="0">
      <alignment vertical="center"/>
    </xf>
    <xf numFmtId="228" fontId="117" fillId="52" borderId="0" applyNumberFormat="0" applyBorder="0" applyAlignment="0" applyProtection="0">
      <alignment vertical="center"/>
    </xf>
    <xf numFmtId="0" fontId="117" fillId="56" borderId="0" applyNumberFormat="0" applyBorder="0" applyAlignment="0" applyProtection="0">
      <alignment vertical="center"/>
    </xf>
    <xf numFmtId="228" fontId="117" fillId="56" borderId="0" applyNumberFormat="0" applyBorder="0" applyAlignment="0" applyProtection="0">
      <alignment vertical="center"/>
    </xf>
    <xf numFmtId="0" fontId="117" fillId="66" borderId="0" applyNumberFormat="0" applyBorder="0" applyAlignment="0" applyProtection="0">
      <alignment vertical="center"/>
    </xf>
    <xf numFmtId="228" fontId="117" fillId="66" borderId="0" applyNumberFormat="0" applyBorder="0" applyAlignment="0" applyProtection="0">
      <alignment vertical="center"/>
    </xf>
    <xf numFmtId="0" fontId="117" fillId="42" borderId="0" applyNumberFormat="0" applyBorder="0" applyAlignment="0" applyProtection="0">
      <alignment vertical="center"/>
    </xf>
    <xf numFmtId="228" fontId="117" fillId="42" borderId="0" applyNumberFormat="0" applyBorder="0" applyAlignment="0" applyProtection="0">
      <alignment vertical="center"/>
    </xf>
    <xf numFmtId="0" fontId="117" fillId="40" borderId="0" applyNumberFormat="0" applyBorder="0" applyAlignment="0" applyProtection="0">
      <alignment vertical="center"/>
    </xf>
    <xf numFmtId="228" fontId="117" fillId="40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53" fillId="65" borderId="0" applyNumberFormat="0" applyBorder="0" applyAlignment="0" applyProtection="0"/>
    <xf numFmtId="0" fontId="153" fillId="52" borderId="0" applyNumberFormat="0" applyBorder="0" applyAlignment="0" applyProtection="0"/>
    <xf numFmtId="0" fontId="153" fillId="56" borderId="0" applyNumberFormat="0" applyBorder="0" applyAlignment="0" applyProtection="0"/>
    <xf numFmtId="0" fontId="153" fillId="66" borderId="0" applyNumberFormat="0" applyBorder="0" applyAlignment="0" applyProtection="0"/>
    <xf numFmtId="0" fontId="153" fillId="42" borderId="0" applyNumberFormat="0" applyBorder="0" applyAlignment="0" applyProtection="0"/>
    <xf numFmtId="0" fontId="153" fillId="40" borderId="0" applyNumberFormat="0" applyBorder="0" applyAlignment="0" applyProtection="0"/>
    <xf numFmtId="0" fontId="110" fillId="65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10" fillId="67" borderId="0" applyNumberFormat="0" applyBorder="0" applyAlignment="0" applyProtection="0">
      <alignment vertical="center"/>
    </xf>
    <xf numFmtId="228" fontId="110" fillId="67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53" fillId="67" borderId="0" applyNumberFormat="0" applyBorder="0" applyAlignment="0" applyProtection="0"/>
    <xf numFmtId="0" fontId="153" fillId="67" borderId="0" applyNumberFormat="0" applyBorder="0" applyAlignment="0" applyProtection="0"/>
    <xf numFmtId="228" fontId="153" fillId="67" borderId="0" applyNumberFormat="0" applyBorder="0" applyAlignment="0" applyProtection="0"/>
    <xf numFmtId="0" fontId="110" fillId="65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10" fillId="65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228" fontId="110" fillId="40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53" fillId="68" borderId="0" applyNumberFormat="0" applyBorder="0" applyAlignment="0" applyProtection="0"/>
    <xf numFmtId="0" fontId="153" fillId="68" borderId="0" applyNumberFormat="0" applyBorder="0" applyAlignment="0" applyProtection="0"/>
    <xf numFmtId="228" fontId="153" fillId="68" borderId="0" applyNumberFormat="0" applyBorder="0" applyAlignment="0" applyProtection="0"/>
    <xf numFmtId="0" fontId="110" fillId="52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52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41" borderId="0" applyNumberFormat="0" applyBorder="0" applyAlignment="0" applyProtection="0">
      <alignment vertical="center"/>
    </xf>
    <xf numFmtId="228" fontId="110" fillId="41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53" fillId="69" borderId="0" applyNumberFormat="0" applyBorder="0" applyAlignment="0" applyProtection="0"/>
    <xf numFmtId="0" fontId="153" fillId="69" borderId="0" applyNumberFormat="0" applyBorder="0" applyAlignment="0" applyProtection="0"/>
    <xf numFmtId="228" fontId="153" fillId="69" borderId="0" applyNumberFormat="0" applyBorder="0" applyAlignment="0" applyProtection="0"/>
    <xf numFmtId="0" fontId="110" fillId="56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7" borderId="0" applyNumberFormat="0" applyBorder="0" applyAlignment="0" applyProtection="0">
      <alignment vertical="center"/>
    </xf>
    <xf numFmtId="228" fontId="110" fillId="67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53" fillId="70" borderId="0" applyNumberFormat="0" applyBorder="0" applyAlignment="0" applyProtection="0"/>
    <xf numFmtId="0" fontId="153" fillId="70" borderId="0" applyNumberFormat="0" applyBorder="0" applyAlignment="0" applyProtection="0"/>
    <xf numFmtId="228" fontId="153" fillId="70" borderId="0" applyNumberFormat="0" applyBorder="0" applyAlignment="0" applyProtection="0"/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228" fontId="110" fillId="42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53" fillId="67" borderId="0" applyNumberFormat="0" applyBorder="0" applyAlignment="0" applyProtection="0"/>
    <xf numFmtId="0" fontId="153" fillId="67" borderId="0" applyNumberFormat="0" applyBorder="0" applyAlignment="0" applyProtection="0"/>
    <xf numFmtId="228" fontId="153" fillId="67" borderId="0" applyNumberFormat="0" applyBorder="0" applyAlignment="0" applyProtection="0"/>
    <xf numFmtId="0" fontId="110" fillId="42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10" fillId="42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228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53" fillId="40" borderId="0" applyNumberFormat="0" applyBorder="0" applyAlignment="0" applyProtection="0"/>
    <xf numFmtId="0" fontId="153" fillId="40" borderId="0" applyNumberFormat="0" applyBorder="0" applyAlignment="0" applyProtection="0"/>
    <xf numFmtId="228" fontId="153" fillId="40" borderId="0" applyNumberFormat="0" applyBorder="0" applyAlignment="0" applyProtection="0"/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0" fontId="117" fillId="45" borderId="0" applyNumberFormat="0" applyBorder="0" applyAlignment="0" applyProtection="0">
      <alignment vertical="center"/>
    </xf>
    <xf numFmtId="228" fontId="117" fillId="45" borderId="0" applyNumberFormat="0" applyBorder="0" applyAlignment="0" applyProtection="0">
      <alignment vertical="center"/>
    </xf>
    <xf numFmtId="0" fontId="117" fillId="43" borderId="0" applyNumberFormat="0" applyBorder="0" applyAlignment="0" applyProtection="0">
      <alignment vertical="center"/>
    </xf>
    <xf numFmtId="228" fontId="117" fillId="43" borderId="0" applyNumberFormat="0" applyBorder="0" applyAlignment="0" applyProtection="0">
      <alignment vertical="center"/>
    </xf>
    <xf numFmtId="0" fontId="117" fillId="71" borderId="0" applyNumberFormat="0" applyBorder="0" applyAlignment="0" applyProtection="0">
      <alignment vertical="center"/>
    </xf>
    <xf numFmtId="228" fontId="117" fillId="71" borderId="0" applyNumberFormat="0" applyBorder="0" applyAlignment="0" applyProtection="0">
      <alignment vertical="center"/>
    </xf>
    <xf numFmtId="0" fontId="117" fillId="66" borderId="0" applyNumberFormat="0" applyBorder="0" applyAlignment="0" applyProtection="0">
      <alignment vertical="center"/>
    </xf>
    <xf numFmtId="228" fontId="117" fillId="66" borderId="0" applyNumberFormat="0" applyBorder="0" applyAlignment="0" applyProtection="0">
      <alignment vertical="center"/>
    </xf>
    <xf numFmtId="0" fontId="117" fillId="45" borderId="0" applyNumberFormat="0" applyBorder="0" applyAlignment="0" applyProtection="0">
      <alignment vertical="center"/>
    </xf>
    <xf numFmtId="228" fontId="117" fillId="45" borderId="0" applyNumberFormat="0" applyBorder="0" applyAlignment="0" applyProtection="0">
      <alignment vertical="center"/>
    </xf>
    <xf numFmtId="0" fontId="117" fillId="72" borderId="0" applyNumberFormat="0" applyBorder="0" applyAlignment="0" applyProtection="0">
      <alignment vertical="center"/>
    </xf>
    <xf numFmtId="228" fontId="117" fillId="72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53" fillId="45" borderId="0" applyNumberFormat="0" applyBorder="0" applyAlignment="0" applyProtection="0"/>
    <xf numFmtId="0" fontId="153" fillId="43" borderId="0" applyNumberFormat="0" applyBorder="0" applyAlignment="0" applyProtection="0"/>
    <xf numFmtId="0" fontId="153" fillId="71" borderId="0" applyNumberFormat="0" applyBorder="0" applyAlignment="0" applyProtection="0"/>
    <xf numFmtId="0" fontId="153" fillId="66" borderId="0" applyNumberFormat="0" applyBorder="0" applyAlignment="0" applyProtection="0"/>
    <xf numFmtId="0" fontId="153" fillId="45" borderId="0" applyNumberFormat="0" applyBorder="0" applyAlignment="0" applyProtection="0"/>
    <xf numFmtId="0" fontId="153" fillId="72" borderId="0" applyNumberFormat="0" applyBorder="0" applyAlignment="0" applyProtection="0"/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67" borderId="0" applyNumberFormat="0" applyBorder="0" applyAlignment="0" applyProtection="0">
      <alignment vertical="center"/>
    </xf>
    <xf numFmtId="228" fontId="110" fillId="67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53" fillId="67" borderId="0" applyNumberFormat="0" applyBorder="0" applyAlignment="0" applyProtection="0"/>
    <xf numFmtId="0" fontId="153" fillId="67" borderId="0" applyNumberFormat="0" applyBorder="0" applyAlignment="0" applyProtection="0"/>
    <xf numFmtId="228" fontId="153" fillId="67" borderId="0" applyNumberFormat="0" applyBorder="0" applyAlignment="0" applyProtection="0"/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228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53" fillId="73" borderId="0" applyNumberFormat="0" applyBorder="0" applyAlignment="0" applyProtection="0"/>
    <xf numFmtId="0" fontId="153" fillId="73" borderId="0" applyNumberFormat="0" applyBorder="0" applyAlignment="0" applyProtection="0"/>
    <xf numFmtId="228" fontId="153" fillId="73" borderId="0" applyNumberFormat="0" applyBorder="0" applyAlignment="0" applyProtection="0"/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43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74" borderId="0" applyNumberFormat="0" applyBorder="0" applyAlignment="0" applyProtection="0">
      <alignment vertical="center"/>
    </xf>
    <xf numFmtId="228" fontId="110" fillId="74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53" fillId="69" borderId="0" applyNumberFormat="0" applyBorder="0" applyAlignment="0" applyProtection="0"/>
    <xf numFmtId="0" fontId="153" fillId="69" borderId="0" applyNumberFormat="0" applyBorder="0" applyAlignment="0" applyProtection="0"/>
    <xf numFmtId="228" fontId="153" fillId="69" borderId="0" applyNumberFormat="0" applyBorder="0" applyAlignment="0" applyProtection="0"/>
    <xf numFmtId="0" fontId="110" fillId="71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71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7" borderId="0" applyNumberFormat="0" applyBorder="0" applyAlignment="0" applyProtection="0">
      <alignment vertical="center"/>
    </xf>
    <xf numFmtId="228" fontId="110" fillId="67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53" fillId="75" borderId="0" applyNumberFormat="0" applyBorder="0" applyAlignment="0" applyProtection="0"/>
    <xf numFmtId="0" fontId="153" fillId="75" borderId="0" applyNumberFormat="0" applyBorder="0" applyAlignment="0" applyProtection="0"/>
    <xf numFmtId="228" fontId="153" fillId="75" borderId="0" applyNumberFormat="0" applyBorder="0" applyAlignment="0" applyProtection="0"/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66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228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53" fillId="67" borderId="0" applyNumberFormat="0" applyBorder="0" applyAlignment="0" applyProtection="0"/>
    <xf numFmtId="0" fontId="153" fillId="67" borderId="0" applyNumberFormat="0" applyBorder="0" applyAlignment="0" applyProtection="0"/>
    <xf numFmtId="228" fontId="153" fillId="67" borderId="0" applyNumberFormat="0" applyBorder="0" applyAlignment="0" applyProtection="0"/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45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10" fillId="40" borderId="0" applyNumberFormat="0" applyBorder="0" applyAlignment="0" applyProtection="0">
      <alignment vertical="center"/>
    </xf>
    <xf numFmtId="228" fontId="110" fillId="40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53" fillId="40" borderId="0" applyNumberFormat="0" applyBorder="0" applyAlignment="0" applyProtection="0"/>
    <xf numFmtId="0" fontId="153" fillId="40" borderId="0" applyNumberFormat="0" applyBorder="0" applyAlignment="0" applyProtection="0"/>
    <xf numFmtId="228" fontId="153" fillId="40" borderId="0" applyNumberFormat="0" applyBorder="0" applyAlignment="0" applyProtection="0"/>
    <xf numFmtId="0" fontId="110" fillId="72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10" fillId="72" borderId="0" applyNumberFormat="0" applyBorder="0" applyAlignment="0" applyProtection="0">
      <alignment vertical="center"/>
    </xf>
    <xf numFmtId="0" fontId="154" fillId="76" borderId="0" applyNumberFormat="0" applyBorder="0" applyAlignment="0" applyProtection="0">
      <alignment vertical="center"/>
    </xf>
    <xf numFmtId="228" fontId="154" fillId="76" borderId="0" applyNumberFormat="0" applyBorder="0" applyAlignment="0" applyProtection="0">
      <alignment vertical="center"/>
    </xf>
    <xf numFmtId="0" fontId="154" fillId="43" borderId="0" applyNumberFormat="0" applyBorder="0" applyAlignment="0" applyProtection="0">
      <alignment vertical="center"/>
    </xf>
    <xf numFmtId="228" fontId="154" fillId="43" borderId="0" applyNumberFormat="0" applyBorder="0" applyAlignment="0" applyProtection="0">
      <alignment vertical="center"/>
    </xf>
    <xf numFmtId="0" fontId="154" fillId="71" borderId="0" applyNumberFormat="0" applyBorder="0" applyAlignment="0" applyProtection="0">
      <alignment vertical="center"/>
    </xf>
    <xf numFmtId="228" fontId="154" fillId="71" borderId="0" applyNumberFormat="0" applyBorder="0" applyAlignment="0" applyProtection="0">
      <alignment vertical="center"/>
    </xf>
    <xf numFmtId="0" fontId="154" fillId="77" borderId="0" applyNumberFormat="0" applyBorder="0" applyAlignment="0" applyProtection="0">
      <alignment vertical="center"/>
    </xf>
    <xf numFmtId="228" fontId="154" fillId="77" borderId="0" applyNumberFormat="0" applyBorder="0" applyAlignment="0" applyProtection="0">
      <alignment vertical="center"/>
    </xf>
    <xf numFmtId="0" fontId="154" fillId="46" borderId="0" applyNumberFormat="0" applyBorder="0" applyAlignment="0" applyProtection="0">
      <alignment vertical="center"/>
    </xf>
    <xf numFmtId="228" fontId="154" fillId="46" borderId="0" applyNumberFormat="0" applyBorder="0" applyAlignment="0" applyProtection="0">
      <alignment vertical="center"/>
    </xf>
    <xf numFmtId="0" fontId="154" fillId="78" borderId="0" applyNumberFormat="0" applyBorder="0" applyAlignment="0" applyProtection="0">
      <alignment vertical="center"/>
    </xf>
    <xf numFmtId="228" fontId="154" fillId="78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43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47" fillId="76" borderId="0" applyNumberFormat="0" applyBorder="0" applyAlignment="0" applyProtection="0"/>
    <xf numFmtId="0" fontId="47" fillId="43" borderId="0" applyNumberFormat="0" applyBorder="0" applyAlignment="0" applyProtection="0"/>
    <xf numFmtId="0" fontId="47" fillId="71" borderId="0" applyNumberFormat="0" applyBorder="0" applyAlignment="0" applyProtection="0"/>
    <xf numFmtId="0" fontId="47" fillId="77" borderId="0" applyNumberFormat="0" applyBorder="0" applyAlignment="0" applyProtection="0"/>
    <xf numFmtId="0" fontId="47" fillId="46" borderId="0" applyNumberFormat="0" applyBorder="0" applyAlignment="0" applyProtection="0"/>
    <xf numFmtId="0" fontId="47" fillId="78" borderId="0" applyNumberFormat="0" applyBorder="0" applyAlignment="0" applyProtection="0"/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228" fontId="155" fillId="4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47" fillId="67" borderId="0" applyNumberFormat="0" applyBorder="0" applyAlignment="0" applyProtection="0"/>
    <xf numFmtId="0" fontId="47" fillId="67" borderId="0" applyNumberFormat="0" applyBorder="0" applyAlignment="0" applyProtection="0"/>
    <xf numFmtId="228" fontId="47" fillId="67" borderId="0" applyNumberFormat="0" applyBorder="0" applyAlignment="0" applyProtection="0"/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6" fillId="22" borderId="0" applyNumberFormat="0" applyBorder="0" applyAlignment="0" applyProtection="0">
      <alignment vertical="center"/>
    </xf>
    <xf numFmtId="0" fontId="156" fillId="73" borderId="0" applyNumberFormat="0" applyBorder="0" applyAlignment="0" applyProtection="0">
      <alignment vertical="center"/>
    </xf>
    <xf numFmtId="0" fontId="156" fillId="22" borderId="0" applyNumberFormat="0" applyBorder="0" applyAlignment="0" applyProtection="0">
      <alignment vertical="center"/>
    </xf>
    <xf numFmtId="0" fontId="156" fillId="73" borderId="0" applyNumberFormat="0" applyBorder="0" applyAlignment="0" applyProtection="0">
      <alignment vertical="center"/>
    </xf>
    <xf numFmtId="0" fontId="155" fillId="43" borderId="0" applyNumberFormat="0" applyBorder="0" applyAlignment="0" applyProtection="0">
      <alignment vertical="center"/>
    </xf>
    <xf numFmtId="0" fontId="155" fillId="43" borderId="0" applyNumberFormat="0" applyBorder="0" applyAlignment="0" applyProtection="0">
      <alignment vertical="center"/>
    </xf>
    <xf numFmtId="0" fontId="155" fillId="43" borderId="0" applyNumberFormat="0" applyBorder="0" applyAlignment="0" applyProtection="0">
      <alignment vertical="center"/>
    </xf>
    <xf numFmtId="0" fontId="155" fillId="43" borderId="0" applyNumberFormat="0" applyBorder="0" applyAlignment="0" applyProtection="0">
      <alignment vertical="center"/>
    </xf>
    <xf numFmtId="0" fontId="155" fillId="43" borderId="0" applyNumberFormat="0" applyBorder="0" applyAlignment="0" applyProtection="0">
      <alignment vertical="center"/>
    </xf>
    <xf numFmtId="0" fontId="155" fillId="43" borderId="0" applyNumberFormat="0" applyBorder="0" applyAlignment="0" applyProtection="0">
      <alignment vertical="center"/>
    </xf>
    <xf numFmtId="0" fontId="155" fillId="43" borderId="0" applyNumberFormat="0" applyBorder="0" applyAlignment="0" applyProtection="0">
      <alignment vertical="center"/>
    </xf>
    <xf numFmtId="0" fontId="155" fillId="43" borderId="0" applyNumberFormat="0" applyBorder="0" applyAlignment="0" applyProtection="0">
      <alignment vertical="center"/>
    </xf>
    <xf numFmtId="0" fontId="155" fillId="43" borderId="0" applyNumberFormat="0" applyBorder="0" applyAlignment="0" applyProtection="0">
      <alignment vertical="center"/>
    </xf>
    <xf numFmtId="0" fontId="155" fillId="43" borderId="0" applyNumberFormat="0" applyBorder="0" applyAlignment="0" applyProtection="0">
      <alignment vertical="center"/>
    </xf>
    <xf numFmtId="0" fontId="155" fillId="43" borderId="0" applyNumberFormat="0" applyBorder="0" applyAlignment="0" applyProtection="0">
      <alignment vertical="center"/>
    </xf>
    <xf numFmtId="0" fontId="155" fillId="43" borderId="0" applyNumberFormat="0" applyBorder="0" applyAlignment="0" applyProtection="0">
      <alignment vertical="center"/>
    </xf>
    <xf numFmtId="0" fontId="155" fillId="43" borderId="0" applyNumberFormat="0" applyBorder="0" applyAlignment="0" applyProtection="0">
      <alignment vertical="center"/>
    </xf>
    <xf numFmtId="0" fontId="155" fillId="43" borderId="0" applyNumberFormat="0" applyBorder="0" applyAlignment="0" applyProtection="0">
      <alignment vertical="center"/>
    </xf>
    <xf numFmtId="0" fontId="155" fillId="43" borderId="0" applyNumberFormat="0" applyBorder="0" applyAlignment="0" applyProtection="0">
      <alignment vertical="center"/>
    </xf>
    <xf numFmtId="0" fontId="155" fillId="43" borderId="0" applyNumberFormat="0" applyBorder="0" applyAlignment="0" applyProtection="0">
      <alignment vertical="center"/>
    </xf>
    <xf numFmtId="0" fontId="155" fillId="43" borderId="0" applyNumberFormat="0" applyBorder="0" applyAlignment="0" applyProtection="0">
      <alignment vertical="center"/>
    </xf>
    <xf numFmtId="0" fontId="155" fillId="43" borderId="0" applyNumberFormat="0" applyBorder="0" applyAlignment="0" applyProtection="0">
      <alignment vertical="center"/>
    </xf>
    <xf numFmtId="0" fontId="155" fillId="43" borderId="0" applyNumberFormat="0" applyBorder="0" applyAlignment="0" applyProtection="0">
      <alignment vertical="center"/>
    </xf>
    <xf numFmtId="0" fontId="155" fillId="43" borderId="0" applyNumberFormat="0" applyBorder="0" applyAlignment="0" applyProtection="0">
      <alignment vertical="center"/>
    </xf>
    <xf numFmtId="228" fontId="155" fillId="43" borderId="0" applyNumberFormat="0" applyBorder="0" applyAlignment="0" applyProtection="0">
      <alignment vertical="center"/>
    </xf>
    <xf numFmtId="0" fontId="155" fillId="43" borderId="0" applyNumberFormat="0" applyBorder="0" applyAlignment="0" applyProtection="0">
      <alignment vertical="center"/>
    </xf>
    <xf numFmtId="0" fontId="155" fillId="43" borderId="0" applyNumberFormat="0" applyBorder="0" applyAlignment="0" applyProtection="0">
      <alignment vertical="center"/>
    </xf>
    <xf numFmtId="0" fontId="155" fillId="43" borderId="0" applyNumberFormat="0" applyBorder="0" applyAlignment="0" applyProtection="0">
      <alignment vertical="center"/>
    </xf>
    <xf numFmtId="0" fontId="47" fillId="73" borderId="0" applyNumberFormat="0" applyBorder="0" applyAlignment="0" applyProtection="0"/>
    <xf numFmtId="0" fontId="47" fillId="73" borderId="0" applyNumberFormat="0" applyBorder="0" applyAlignment="0" applyProtection="0"/>
    <xf numFmtId="228" fontId="47" fillId="73" borderId="0" applyNumberFormat="0" applyBorder="0" applyAlignment="0" applyProtection="0"/>
    <xf numFmtId="0" fontId="156" fillId="22" borderId="0" applyNumberFormat="0" applyBorder="0" applyAlignment="0" applyProtection="0">
      <alignment vertical="center"/>
    </xf>
    <xf numFmtId="0" fontId="156" fillId="73" borderId="0" applyNumberFormat="0" applyBorder="0" applyAlignment="0" applyProtection="0">
      <alignment vertical="center"/>
    </xf>
    <xf numFmtId="0" fontId="156" fillId="22" borderId="0" applyNumberFormat="0" applyBorder="0" applyAlignment="0" applyProtection="0">
      <alignment vertical="center"/>
    </xf>
    <xf numFmtId="0" fontId="156" fillId="73" borderId="0" applyNumberFormat="0" applyBorder="0" applyAlignment="0" applyProtection="0">
      <alignment vertical="center"/>
    </xf>
    <xf numFmtId="0" fontId="156" fillId="22" borderId="0" applyNumberFormat="0" applyBorder="0" applyAlignment="0" applyProtection="0">
      <alignment vertical="center"/>
    </xf>
    <xf numFmtId="0" fontId="156" fillId="73" borderId="0" applyNumberFormat="0" applyBorder="0" applyAlignment="0" applyProtection="0">
      <alignment vertical="center"/>
    </xf>
    <xf numFmtId="0" fontId="156" fillId="22" borderId="0" applyNumberFormat="0" applyBorder="0" applyAlignment="0" applyProtection="0">
      <alignment vertical="center"/>
    </xf>
    <xf numFmtId="0" fontId="156" fillId="73" borderId="0" applyNumberFormat="0" applyBorder="0" applyAlignment="0" applyProtection="0">
      <alignment vertical="center"/>
    </xf>
    <xf numFmtId="0" fontId="156" fillId="22" borderId="0" applyNumberFormat="0" applyBorder="0" applyAlignment="0" applyProtection="0">
      <alignment vertical="center"/>
    </xf>
    <xf numFmtId="0" fontId="156" fillId="73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228" fontId="155" fillId="74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47" fillId="69" borderId="0" applyNumberFormat="0" applyBorder="0" applyAlignment="0" applyProtection="0"/>
    <xf numFmtId="0" fontId="47" fillId="69" borderId="0" applyNumberFormat="0" applyBorder="0" applyAlignment="0" applyProtection="0"/>
    <xf numFmtId="228" fontId="47" fillId="69" borderId="0" applyNumberFormat="0" applyBorder="0" applyAlignment="0" applyProtection="0"/>
    <xf numFmtId="0" fontId="155" fillId="71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1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47" borderId="0" applyNumberFormat="0" applyBorder="0" applyAlignment="0" applyProtection="0">
      <alignment vertical="center"/>
    </xf>
    <xf numFmtId="228" fontId="155" fillId="4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47" fillId="55" borderId="0" applyNumberFormat="0" applyBorder="0" applyAlignment="0" applyProtection="0"/>
    <xf numFmtId="0" fontId="47" fillId="55" borderId="0" applyNumberFormat="0" applyBorder="0" applyAlignment="0" applyProtection="0"/>
    <xf numFmtId="228" fontId="47" fillId="55" borderId="0" applyNumberFormat="0" applyBorder="0" applyAlignment="0" applyProtection="0"/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228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47" fillId="67" borderId="0" applyNumberFormat="0" applyBorder="0" applyAlignment="0" applyProtection="0"/>
    <xf numFmtId="0" fontId="47" fillId="67" borderId="0" applyNumberFormat="0" applyBorder="0" applyAlignment="0" applyProtection="0"/>
    <xf numFmtId="228" fontId="47" fillId="67" borderId="0" applyNumberFormat="0" applyBorder="0" applyAlignment="0" applyProtection="0"/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55" fillId="40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55" fillId="40" borderId="0" applyNumberFormat="0" applyBorder="0" applyAlignment="0" applyProtection="0">
      <alignment vertical="center"/>
    </xf>
    <xf numFmtId="228" fontId="155" fillId="40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47" fillId="40" borderId="0" applyNumberFormat="0" applyBorder="0" applyAlignment="0" applyProtection="0"/>
    <xf numFmtId="0" fontId="47" fillId="40" borderId="0" applyNumberFormat="0" applyBorder="0" applyAlignment="0" applyProtection="0"/>
    <xf numFmtId="228" fontId="47" fillId="40" borderId="0" applyNumberFormat="0" applyBorder="0" applyAlignment="0" applyProtection="0"/>
    <xf numFmtId="0" fontId="155" fillId="78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54" fillId="79" borderId="0" applyNumberFormat="0" applyBorder="0" applyAlignment="0" applyProtection="0">
      <alignment vertical="center"/>
    </xf>
    <xf numFmtId="228" fontId="154" fillId="79" borderId="0" applyNumberFormat="0" applyBorder="0" applyAlignment="0" applyProtection="0">
      <alignment vertical="center"/>
    </xf>
    <xf numFmtId="0" fontId="154" fillId="48" borderId="0" applyNumberFormat="0" applyBorder="0" applyAlignment="0" applyProtection="0">
      <alignment vertical="center"/>
    </xf>
    <xf numFmtId="228" fontId="154" fillId="48" borderId="0" applyNumberFormat="0" applyBorder="0" applyAlignment="0" applyProtection="0">
      <alignment vertical="center"/>
    </xf>
    <xf numFmtId="0" fontId="154" fillId="49" borderId="0" applyNumberFormat="0" applyBorder="0" applyAlignment="0" applyProtection="0">
      <alignment vertical="center"/>
    </xf>
    <xf numFmtId="228" fontId="154" fillId="49" borderId="0" applyNumberFormat="0" applyBorder="0" applyAlignment="0" applyProtection="0">
      <alignment vertical="center"/>
    </xf>
    <xf numFmtId="0" fontId="154" fillId="77" borderId="0" applyNumberFormat="0" applyBorder="0" applyAlignment="0" applyProtection="0">
      <alignment vertical="center"/>
    </xf>
    <xf numFmtId="228" fontId="154" fillId="77" borderId="0" applyNumberFormat="0" applyBorder="0" applyAlignment="0" applyProtection="0">
      <alignment vertical="center"/>
    </xf>
    <xf numFmtId="0" fontId="154" fillId="46" borderId="0" applyNumberFormat="0" applyBorder="0" applyAlignment="0" applyProtection="0">
      <alignment vertical="center"/>
    </xf>
    <xf numFmtId="228" fontId="154" fillId="46" borderId="0" applyNumberFormat="0" applyBorder="0" applyAlignment="0" applyProtection="0">
      <alignment vertical="center"/>
    </xf>
    <xf numFmtId="0" fontId="154" fillId="51" borderId="0" applyNumberFormat="0" applyBorder="0" applyAlignment="0" applyProtection="0">
      <alignment vertical="center"/>
    </xf>
    <xf numFmtId="228" fontId="154" fillId="51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47" fillId="79" borderId="0" applyNumberFormat="0" applyBorder="0" applyAlignment="0" applyProtection="0"/>
    <xf numFmtId="0" fontId="47" fillId="48" borderId="0" applyNumberFormat="0" applyBorder="0" applyAlignment="0" applyProtection="0"/>
    <xf numFmtId="0" fontId="47" fillId="49" borderId="0" applyNumberFormat="0" applyBorder="0" applyAlignment="0" applyProtection="0"/>
    <xf numFmtId="0" fontId="47" fillId="77" borderId="0" applyNumberFormat="0" applyBorder="0" applyAlignment="0" applyProtection="0"/>
    <xf numFmtId="0" fontId="47" fillId="46" borderId="0" applyNumberFormat="0" applyBorder="0" applyAlignment="0" applyProtection="0"/>
    <xf numFmtId="0" fontId="47" fillId="51" borderId="0" applyNumberFormat="0" applyBorder="0" applyAlignment="0" applyProtection="0"/>
    <xf numFmtId="0" fontId="86" fillId="67" borderId="55" applyNumberFormat="0" applyAlignment="0" applyProtection="0"/>
    <xf numFmtId="0" fontId="157" fillId="52" borderId="0" applyNumberFormat="0" applyBorder="0" applyAlignment="0" applyProtection="0">
      <alignment vertical="center"/>
    </xf>
    <xf numFmtId="228" fontId="157" fillId="52" borderId="0" applyNumberFormat="0" applyBorder="0" applyAlignment="0" applyProtection="0">
      <alignment vertical="center"/>
    </xf>
    <xf numFmtId="0" fontId="63" fillId="67" borderId="45" applyNumberFormat="0" applyAlignment="0" applyProtection="0"/>
    <xf numFmtId="0" fontId="77" fillId="80" borderId="1" applyNumberFormat="0" applyFont="0" applyBorder="0" applyAlignment="0">
      <alignment horizontal="center" vertical="center"/>
    </xf>
    <xf numFmtId="228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0" fontId="158" fillId="67" borderId="45" applyNumberFormat="0" applyAlignment="0" applyProtection="0">
      <alignment vertical="center"/>
    </xf>
    <xf numFmtId="0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0" fontId="159" fillId="47" borderId="46" applyNumberFormat="0" applyAlignment="0" applyProtection="0">
      <alignment vertical="center"/>
    </xf>
    <xf numFmtId="228" fontId="159" fillId="47" borderId="46" applyNumberFormat="0" applyAlignment="0" applyProtection="0">
      <alignment vertical="center"/>
    </xf>
    <xf numFmtId="228" fontId="40" fillId="0" borderId="0" applyFont="0" applyFill="0" applyBorder="0" applyAlignment="0" applyProtection="0"/>
    <xf numFmtId="198" fontId="160" fillId="0" borderId="0" applyFont="0" applyFill="0" applyBorder="0" applyAlignment="0" applyProtection="0"/>
    <xf numFmtId="198" fontId="7" fillId="0" borderId="0" applyFont="0" applyFill="0" applyBorder="0" applyAlignment="0" applyProtection="0"/>
    <xf numFmtId="43" fontId="160" fillId="0" borderId="0" applyFont="0" applyFill="0" applyBorder="0" applyAlignment="0" applyProtection="0"/>
    <xf numFmtId="43" fontId="160" fillId="0" borderId="0" applyFont="0" applyFill="0" applyBorder="0" applyAlignment="0" applyProtection="0"/>
    <xf numFmtId="43" fontId="160" fillId="0" borderId="0" applyFont="0" applyFill="0" applyBorder="0" applyAlignment="0" applyProtection="0"/>
    <xf numFmtId="43" fontId="160" fillId="0" borderId="0" applyFont="0" applyFill="0" applyBorder="0" applyAlignment="0" applyProtection="0"/>
    <xf numFmtId="0" fontId="40" fillId="0" borderId="0" applyFont="0" applyFill="0" applyBorder="0" applyAlignment="0" applyProtection="0"/>
    <xf numFmtId="228" fontId="40" fillId="0" borderId="0" applyFont="0" applyFill="0" applyBorder="0" applyAlignment="0" applyProtection="0"/>
    <xf numFmtId="0" fontId="9" fillId="0" borderId="0">
      <protection locked="0"/>
    </xf>
    <xf numFmtId="0" fontId="9" fillId="0" borderId="0">
      <protection locked="0"/>
    </xf>
    <xf numFmtId="228" fontId="9" fillId="0" borderId="0">
      <protection locked="0"/>
    </xf>
    <xf numFmtId="0" fontId="161" fillId="40" borderId="4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164" fillId="40" borderId="45" applyNumberFormat="0" applyAlignment="0" applyProtection="0"/>
    <xf numFmtId="0" fontId="95" fillId="0" borderId="58" applyNumberFormat="0" applyFill="0" applyAlignment="0" applyProtection="0"/>
    <xf numFmtId="0" fontId="68" fillId="0" borderId="0" applyNumberFormat="0" applyFill="0" applyBorder="0" applyAlignment="0" applyProtection="0"/>
    <xf numFmtId="0" fontId="9" fillId="0" borderId="0"/>
    <xf numFmtId="0" fontId="165" fillId="0" borderId="0" applyNumberFormat="0" applyFill="0" applyBorder="0" applyAlignment="0" applyProtection="0">
      <alignment vertical="center"/>
    </xf>
    <xf numFmtId="228" fontId="165" fillId="0" borderId="0" applyNumberFormat="0" applyFill="0" applyBorder="0" applyAlignment="0" applyProtection="0">
      <alignment vertical="center"/>
    </xf>
    <xf numFmtId="0" fontId="166" fillId="56" borderId="0" applyNumberFormat="0" applyBorder="0" applyAlignment="0" applyProtection="0">
      <alignment vertical="center"/>
    </xf>
    <xf numFmtId="228" fontId="166" fillId="56" borderId="0" applyNumberFormat="0" applyBorder="0" applyAlignment="0" applyProtection="0">
      <alignment vertical="center"/>
    </xf>
    <xf numFmtId="0" fontId="70" fillId="56" borderId="0" applyNumberFormat="0" applyBorder="0" applyAlignment="0" applyProtection="0"/>
    <xf numFmtId="0" fontId="167" fillId="0" borderId="65" applyNumberFormat="0" applyFill="0" applyAlignment="0" applyProtection="0">
      <alignment vertical="center"/>
    </xf>
    <xf numFmtId="228" fontId="167" fillId="0" borderId="65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228" fontId="168" fillId="0" borderId="66" applyNumberFormat="0" applyFill="0" applyAlignment="0" applyProtection="0">
      <alignment vertical="center"/>
    </xf>
    <xf numFmtId="0" fontId="169" fillId="0" borderId="67" applyNumberFormat="0" applyFill="0" applyAlignment="0" applyProtection="0">
      <alignment vertical="center"/>
    </xf>
    <xf numFmtId="228" fontId="169" fillId="0" borderId="67" applyNumberFormat="0" applyFill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228" fontId="169" fillId="0" borderId="0" applyNumberFormat="0" applyFill="0" applyBorder="0" applyAlignment="0" applyProtection="0">
      <alignment vertical="center"/>
    </xf>
    <xf numFmtId="0" fontId="170" fillId="0" borderId="0" applyNumberFormat="0" applyFill="0" applyBorder="0" applyAlignment="0" applyProtection="0">
      <alignment vertical="top"/>
      <protection locked="0"/>
    </xf>
    <xf numFmtId="0" fontId="170" fillId="0" borderId="0" applyNumberFormat="0" applyFill="0" applyBorder="0" applyAlignment="0" applyProtection="0">
      <alignment vertical="top"/>
      <protection locked="0"/>
    </xf>
    <xf numFmtId="0" fontId="170" fillId="0" borderId="0" applyNumberFormat="0" applyFill="0" applyBorder="0" applyAlignment="0" applyProtection="0">
      <alignment vertical="top"/>
      <protection locked="0"/>
    </xf>
    <xf numFmtId="228" fontId="170" fillId="0" borderId="0" applyNumberFormat="0" applyFill="0" applyBorder="0" applyAlignment="0" applyProtection="0">
      <alignment vertical="top"/>
      <protection locked="0"/>
    </xf>
    <xf numFmtId="0" fontId="171" fillId="0" borderId="0" applyNumberFormat="0" applyFill="0" applyBorder="0" applyAlignment="0" applyProtection="0">
      <alignment vertical="top"/>
      <protection locked="0"/>
    </xf>
    <xf numFmtId="0" fontId="170" fillId="0" borderId="0" applyNumberFormat="0" applyFill="0" applyBorder="0" applyAlignment="0" applyProtection="0">
      <alignment vertical="top"/>
      <protection locked="0"/>
    </xf>
    <xf numFmtId="0" fontId="170" fillId="0" borderId="0" applyNumberFormat="0" applyFill="0" applyBorder="0" applyAlignment="0" applyProtection="0">
      <alignment vertical="top"/>
      <protection locked="0"/>
    </xf>
    <xf numFmtId="228" fontId="170" fillId="0" borderId="0" applyNumberFormat="0" applyFill="0" applyBorder="0" applyAlignment="0" applyProtection="0">
      <alignment vertical="top"/>
      <protection locked="0"/>
    </xf>
    <xf numFmtId="0" fontId="78" fillId="0" borderId="0" applyNumberFormat="0" applyFill="0" applyBorder="0" applyAlignment="0" applyProtection="0">
      <alignment vertical="top"/>
      <protection locked="0"/>
    </xf>
    <xf numFmtId="228" fontId="78" fillId="0" borderId="0" applyNumberFormat="0" applyFill="0" applyBorder="0" applyAlignment="0" applyProtection="0">
      <alignment vertical="top"/>
      <protection locked="0"/>
    </xf>
    <xf numFmtId="228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0" fontId="172" fillId="40" borderId="45" applyNumberFormat="0" applyAlignment="0" applyProtection="0">
      <alignment vertical="center"/>
    </xf>
    <xf numFmtId="0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175" fillId="0" borderId="53" applyNumberFormat="0" applyFill="0" applyAlignment="0" applyProtection="0">
      <alignment vertical="center"/>
    </xf>
    <xf numFmtId="228" fontId="175" fillId="0" borderId="53" applyNumberFormat="0" applyFill="0" applyAlignment="0" applyProtection="0">
      <alignment vertical="center"/>
    </xf>
    <xf numFmtId="229" fontId="176" fillId="0" borderId="68" applyFill="0" applyProtection="0">
      <alignment vertical="center"/>
    </xf>
    <xf numFmtId="0" fontId="177" fillId="81" borderId="69" applyProtection="0">
      <alignment horizontal="center" vertical="center" wrapText="1"/>
    </xf>
    <xf numFmtId="0" fontId="177" fillId="81" borderId="69" applyProtection="0">
      <alignment horizontal="center" vertical="center" wrapText="1"/>
    </xf>
    <xf numFmtId="228" fontId="177" fillId="81" borderId="69" applyProtection="0">
      <alignment horizontal="center" vertical="center" wrapText="1"/>
    </xf>
    <xf numFmtId="0" fontId="176" fillId="81" borderId="68" applyProtection="0">
      <alignment horizontal="center" vertical="center"/>
    </xf>
    <xf numFmtId="0" fontId="176" fillId="81" borderId="68" applyProtection="0">
      <alignment horizontal="center" vertical="center"/>
    </xf>
    <xf numFmtId="228" fontId="176" fillId="81" borderId="68" applyProtection="0">
      <alignment horizontal="center" vertical="center"/>
    </xf>
    <xf numFmtId="0" fontId="176" fillId="81" borderId="68" applyProtection="0">
      <alignment horizontal="center" vertical="center"/>
    </xf>
    <xf numFmtId="0" fontId="176" fillId="81" borderId="68" applyProtection="0">
      <alignment horizontal="center" vertical="center"/>
    </xf>
    <xf numFmtId="228" fontId="176" fillId="81" borderId="68" applyProtection="0">
      <alignment horizontal="center" vertical="center"/>
    </xf>
    <xf numFmtId="0" fontId="146" fillId="81" borderId="68" applyProtection="0">
      <alignment horizontal="centerContinuous" vertical="center"/>
    </xf>
    <xf numFmtId="0" fontId="146" fillId="81" borderId="68" applyProtection="0">
      <alignment horizontal="centerContinuous" vertical="center"/>
    </xf>
    <xf numFmtId="228" fontId="146" fillId="81" borderId="68" applyProtection="0">
      <alignment horizontal="centerContinuous" vertical="center"/>
    </xf>
    <xf numFmtId="0" fontId="77" fillId="0" borderId="1" applyNumberFormat="0" applyAlignment="0">
      <alignment vertical="center" wrapText="1"/>
    </xf>
    <xf numFmtId="0" fontId="77" fillId="82" borderId="35" applyNumberFormat="0">
      <alignment horizontal="center" vertical="center"/>
    </xf>
    <xf numFmtId="0" fontId="77" fillId="83" borderId="0" applyNumberFormat="0" applyBorder="0">
      <alignment horizontal="center" vertical="center"/>
    </xf>
    <xf numFmtId="0" fontId="77" fillId="84" borderId="0" applyNumberFormat="0" applyBorder="0">
      <alignment vertical="center"/>
    </xf>
    <xf numFmtId="0" fontId="77" fillId="0" borderId="2" applyNumberFormat="0" applyFill="0">
      <alignment vertical="center"/>
    </xf>
    <xf numFmtId="0" fontId="77" fillId="0" borderId="2" applyNumberFormat="0" applyFill="0">
      <alignment vertical="center"/>
    </xf>
    <xf numFmtId="0" fontId="77" fillId="0" borderId="2" applyNumberFormat="0" applyFill="0">
      <alignment vertical="center"/>
    </xf>
    <xf numFmtId="228" fontId="77" fillId="0" borderId="2" applyNumberFormat="0" applyFill="0">
      <alignment vertical="center"/>
    </xf>
    <xf numFmtId="228" fontId="77" fillId="0" borderId="2" applyNumberFormat="0" applyFill="0">
      <alignment vertical="center"/>
    </xf>
    <xf numFmtId="228" fontId="77" fillId="0" borderId="2" applyNumberFormat="0" applyFill="0">
      <alignment vertical="center"/>
    </xf>
    <xf numFmtId="228" fontId="77" fillId="0" borderId="2" applyNumberFormat="0" applyFill="0">
      <alignment vertical="center"/>
    </xf>
    <xf numFmtId="228" fontId="77" fillId="0" borderId="2" applyNumberFormat="0" applyFill="0">
      <alignment vertical="center"/>
    </xf>
    <xf numFmtId="228" fontId="77" fillId="0" borderId="2" applyNumberFormat="0" applyFill="0">
      <alignment vertical="center"/>
    </xf>
    <xf numFmtId="0" fontId="77" fillId="0" borderId="2" applyNumberFormat="0" applyFill="0">
      <alignment vertical="center"/>
    </xf>
    <xf numFmtId="0" fontId="77" fillId="0" borderId="2" applyNumberFormat="0" applyFill="0">
      <alignment vertical="center"/>
    </xf>
    <xf numFmtId="0" fontId="77" fillId="0" borderId="2" applyNumberFormat="0" applyFill="0">
      <alignment vertical="center"/>
    </xf>
    <xf numFmtId="0" fontId="77" fillId="0" borderId="2" applyNumberFormat="0" applyFill="0">
      <alignment vertical="center"/>
    </xf>
    <xf numFmtId="228" fontId="77" fillId="0" borderId="2" applyNumberFormat="0" applyFill="0">
      <alignment vertical="center"/>
    </xf>
    <xf numFmtId="0" fontId="77" fillId="82" borderId="1" applyNumberFormat="0">
      <alignment horizontal="center" vertical="center" wrapText="1"/>
    </xf>
    <xf numFmtId="0" fontId="77" fillId="82" borderId="1" applyNumberFormat="0">
      <alignment vertical="center"/>
    </xf>
    <xf numFmtId="0" fontId="167" fillId="0" borderId="65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169" fillId="0" borderId="67" applyNumberFormat="0" applyFill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78" fillId="74" borderId="0" applyNumberFormat="0" applyBorder="0" applyAlignment="0" applyProtection="0">
      <alignment vertical="center"/>
    </xf>
    <xf numFmtId="228" fontId="178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9" fillId="0" borderId="0"/>
    <xf numFmtId="0" fontId="15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153" fillId="0" borderId="0">
      <alignment vertical="center"/>
    </xf>
    <xf numFmtId="228" fontId="153" fillId="0" borderId="0">
      <alignment vertical="center"/>
    </xf>
    <xf numFmtId="0" fontId="160" fillId="0" borderId="0"/>
    <xf numFmtId="0" fontId="160" fillId="0" borderId="0"/>
    <xf numFmtId="0" fontId="160" fillId="0" borderId="0"/>
    <xf numFmtId="0" fontId="160" fillId="0" borderId="0"/>
    <xf numFmtId="0" fontId="160" fillId="0" borderId="0"/>
    <xf numFmtId="0" fontId="160" fillId="0" borderId="0"/>
    <xf numFmtId="0" fontId="160" fillId="0" borderId="0"/>
    <xf numFmtId="0" fontId="160" fillId="0" borderId="0"/>
    <xf numFmtId="0" fontId="160" fillId="0" borderId="0"/>
    <xf numFmtId="0" fontId="160" fillId="0" borderId="0"/>
    <xf numFmtId="0" fontId="133" fillId="0" borderId="0"/>
    <xf numFmtId="0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7" fillId="41" borderId="70" applyNumberFormat="0" applyFont="0" applyAlignment="0" applyProtection="0"/>
    <xf numFmtId="0" fontId="180" fillId="67" borderId="4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0" fontId="181" fillId="67" borderId="55" applyNumberFormat="0" applyAlignment="0" applyProtection="0">
      <alignment vertical="center"/>
    </xf>
    <xf numFmtId="0" fontId="181" fillId="67" borderId="5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9" fontId="7" fillId="0" borderId="0" applyFont="0" applyFill="0" applyBorder="0" applyAlignment="0" applyProtection="0"/>
    <xf numFmtId="9" fontId="160" fillId="0" borderId="0" applyFont="0" applyFill="0" applyBorder="0" applyAlignment="0" applyProtection="0"/>
    <xf numFmtId="9" fontId="160" fillId="0" borderId="0" applyFont="0" applyFill="0" applyBorder="0" applyAlignment="0" applyProtection="0"/>
    <xf numFmtId="9" fontId="160" fillId="0" borderId="0" applyFont="0" applyFill="0" applyBorder="0" applyAlignment="0" applyProtection="0"/>
    <xf numFmtId="9" fontId="160" fillId="0" borderId="0" applyFont="0" applyFill="0" applyBorder="0" applyAlignment="0" applyProtection="0"/>
    <xf numFmtId="0" fontId="9" fillId="0" borderId="0">
      <protection locked="0"/>
    </xf>
    <xf numFmtId="228" fontId="9" fillId="0" borderId="0">
      <protection locked="0"/>
    </xf>
    <xf numFmtId="9" fontId="133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0" fontId="77" fillId="85" borderId="1" applyNumberFormat="0" applyFont="0" applyBorder="0" applyAlignment="0">
      <alignment horizontal="center" vertical="center"/>
    </xf>
    <xf numFmtId="0" fontId="182" fillId="0" borderId="71" applyNumberFormat="0" applyFont="0" applyFill="0" applyAlignment="0" applyProtection="0"/>
    <xf numFmtId="0" fontId="183" fillId="0" borderId="72" applyNumberFormat="0" applyFont="0" applyFill="0" applyAlignment="0" applyProtection="0"/>
    <xf numFmtId="0" fontId="182" fillId="0" borderId="71" applyNumberFormat="0" applyFont="0" applyFill="0" applyAlignment="0" applyProtection="0"/>
    <xf numFmtId="228" fontId="182" fillId="0" borderId="71" applyNumberFormat="0" applyFont="0" applyFill="0" applyAlignment="0" applyProtection="0"/>
    <xf numFmtId="0" fontId="182" fillId="0" borderId="71" applyNumberFormat="0" applyFont="0" applyFill="0" applyAlignment="0" applyProtection="0"/>
    <xf numFmtId="0" fontId="182" fillId="0" borderId="71" applyNumberFormat="0" applyFont="0" applyFill="0" applyAlignment="0" applyProtection="0"/>
    <xf numFmtId="0" fontId="182" fillId="0" borderId="71" applyNumberFormat="0" applyFont="0" applyFill="0" applyAlignment="0" applyProtection="0"/>
    <xf numFmtId="228" fontId="182" fillId="0" borderId="71" applyNumberFormat="0" applyFont="0" applyFill="0" applyAlignment="0" applyProtection="0"/>
    <xf numFmtId="228" fontId="182" fillId="0" borderId="71" applyNumberFormat="0" applyFont="0" applyFill="0" applyAlignment="0" applyProtection="0"/>
    <xf numFmtId="0" fontId="182" fillId="0" borderId="71" applyNumberFormat="0" applyFont="0" applyFill="0" applyAlignment="0" applyProtection="0"/>
    <xf numFmtId="228" fontId="182" fillId="0" borderId="71" applyNumberFormat="0" applyFont="0" applyFill="0" applyAlignment="0" applyProtection="0"/>
    <xf numFmtId="0" fontId="182" fillId="0" borderId="71" applyNumberFormat="0" applyFont="0" applyFill="0" applyAlignment="0" applyProtection="0"/>
    <xf numFmtId="228" fontId="182" fillId="0" borderId="71" applyNumberFormat="0" applyFont="0" applyFill="0" applyAlignment="0" applyProtection="0"/>
    <xf numFmtId="228" fontId="182" fillId="0" borderId="71" applyNumberFormat="0" applyFont="0" applyFill="0" applyAlignment="0" applyProtection="0"/>
    <xf numFmtId="0" fontId="182" fillId="0" borderId="71" applyNumberFormat="0" applyFont="0" applyFill="0" applyAlignment="0" applyProtection="0"/>
    <xf numFmtId="228" fontId="182" fillId="0" borderId="71" applyNumberFormat="0" applyFont="0" applyFill="0" applyAlignment="0" applyProtection="0"/>
    <xf numFmtId="0" fontId="182" fillId="0" borderId="71" applyNumberFormat="0" applyFont="0" applyFill="0" applyAlignment="0" applyProtection="0"/>
    <xf numFmtId="228" fontId="182" fillId="0" borderId="71" applyNumberFormat="0" applyFont="0" applyFill="0" applyAlignment="0" applyProtection="0"/>
    <xf numFmtId="228" fontId="182" fillId="0" borderId="71" applyNumberFormat="0" applyFont="0" applyFill="0" applyAlignment="0" applyProtection="0"/>
    <xf numFmtId="0" fontId="182" fillId="0" borderId="71" applyNumberFormat="0" applyFont="0" applyFill="0" applyAlignment="0" applyProtection="0"/>
    <xf numFmtId="228" fontId="182" fillId="0" borderId="71" applyNumberFormat="0" applyFont="0" applyFill="0" applyAlignment="0" applyProtection="0"/>
    <xf numFmtId="228" fontId="182" fillId="0" borderId="71" applyNumberFormat="0" applyFont="0" applyFill="0" applyAlignment="0" applyProtection="0"/>
    <xf numFmtId="228" fontId="182" fillId="0" borderId="71" applyNumberFormat="0" applyFont="0" applyFill="0" applyAlignment="0" applyProtection="0"/>
    <xf numFmtId="0" fontId="182" fillId="0" borderId="71" applyNumberFormat="0" applyFont="0" applyFill="0" applyAlignment="0" applyProtection="0"/>
    <xf numFmtId="228" fontId="182" fillId="0" borderId="71" applyNumberFormat="0" applyFont="0" applyFill="0" applyAlignment="0" applyProtection="0"/>
    <xf numFmtId="0" fontId="182" fillId="0" borderId="71" applyNumberFormat="0" applyFont="0" applyFill="0" applyAlignment="0" applyProtection="0"/>
    <xf numFmtId="228" fontId="182" fillId="0" borderId="71" applyNumberFormat="0" applyFont="0" applyFill="0" applyAlignment="0" applyProtection="0"/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5" fillId="0" borderId="73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4" fillId="0" borderId="70" applyNumberFormat="0" applyProtection="0">
      <alignment horizontal="right" vertical="center"/>
    </xf>
    <xf numFmtId="230" fontId="186" fillId="0" borderId="54" applyNumberFormat="0" applyProtection="0">
      <alignment horizontal="right" vertical="center"/>
    </xf>
    <xf numFmtId="230" fontId="187" fillId="0" borderId="74" applyNumberFormat="0" applyProtection="0">
      <alignment horizontal="right" vertical="center"/>
    </xf>
    <xf numFmtId="230" fontId="186" fillId="0" borderId="54" applyNumberFormat="0" applyProtection="0">
      <alignment horizontal="right" vertical="center"/>
    </xf>
    <xf numFmtId="230" fontId="186" fillId="0" borderId="54" applyNumberFormat="0" applyProtection="0">
      <alignment horizontal="right" vertical="center"/>
    </xf>
    <xf numFmtId="230" fontId="186" fillId="0" borderId="54" applyNumberFormat="0" applyProtection="0">
      <alignment horizontal="right" vertical="center"/>
    </xf>
    <xf numFmtId="230" fontId="186" fillId="0" borderId="54" applyNumberFormat="0" applyProtection="0">
      <alignment horizontal="right" vertical="center"/>
    </xf>
    <xf numFmtId="230" fontId="186" fillId="0" borderId="54" applyNumberFormat="0" applyProtection="0">
      <alignment horizontal="right" vertical="center"/>
    </xf>
    <xf numFmtId="230" fontId="186" fillId="0" borderId="54" applyNumberFormat="0" applyProtection="0">
      <alignment horizontal="right" vertical="center"/>
    </xf>
    <xf numFmtId="230" fontId="186" fillId="0" borderId="54" applyNumberFormat="0" applyProtection="0">
      <alignment horizontal="right" vertical="center"/>
    </xf>
    <xf numFmtId="230" fontId="186" fillId="0" borderId="54" applyNumberFormat="0" applyProtection="0">
      <alignment horizontal="right" vertical="center"/>
    </xf>
    <xf numFmtId="230" fontId="186" fillId="0" borderId="54" applyNumberFormat="0" applyProtection="0">
      <alignment horizontal="right" vertical="center"/>
    </xf>
    <xf numFmtId="230" fontId="186" fillId="0" borderId="54" applyNumberFormat="0" applyProtection="0">
      <alignment horizontal="right" vertical="center"/>
    </xf>
    <xf numFmtId="230" fontId="186" fillId="0" borderId="54" applyNumberFormat="0" applyProtection="0">
      <alignment horizontal="right" vertical="center"/>
    </xf>
    <xf numFmtId="230" fontId="186" fillId="0" borderId="54" applyNumberFormat="0" applyProtection="0">
      <alignment horizontal="right" vertical="center"/>
    </xf>
    <xf numFmtId="230" fontId="186" fillId="0" borderId="54" applyNumberFormat="0" applyProtection="0">
      <alignment horizontal="right" vertical="center"/>
    </xf>
    <xf numFmtId="230" fontId="186" fillId="0" borderId="54" applyNumberFormat="0" applyProtection="0">
      <alignment horizontal="right" vertical="center"/>
    </xf>
    <xf numFmtId="230" fontId="186" fillId="0" borderId="54" applyNumberFormat="0" applyProtection="0">
      <alignment horizontal="right" vertical="center"/>
    </xf>
    <xf numFmtId="230" fontId="186" fillId="0" borderId="54" applyNumberFormat="0" applyProtection="0">
      <alignment horizontal="right" vertical="center"/>
    </xf>
    <xf numFmtId="230" fontId="186" fillId="0" borderId="54" applyNumberFormat="0" applyProtection="0">
      <alignment horizontal="right" vertical="center"/>
    </xf>
    <xf numFmtId="230" fontId="186" fillId="0" borderId="54" applyNumberFormat="0" applyProtection="0">
      <alignment horizontal="right" vertical="center"/>
    </xf>
    <xf numFmtId="230" fontId="186" fillId="0" borderId="54" applyNumberFormat="0" applyProtection="0">
      <alignment horizontal="right" vertical="center"/>
    </xf>
    <xf numFmtId="230" fontId="186" fillId="0" borderId="54" applyNumberFormat="0" applyProtection="0">
      <alignment horizontal="right" vertical="center"/>
    </xf>
    <xf numFmtId="230" fontId="186" fillId="0" borderId="54" applyNumberFormat="0" applyProtection="0">
      <alignment horizontal="right" vertical="center"/>
    </xf>
    <xf numFmtId="0" fontId="186" fillId="86" borderId="71" applyNumberFormat="0" applyAlignment="0" applyProtection="0">
      <alignment horizontal="left" vertical="center" indent="1"/>
    </xf>
    <xf numFmtId="0" fontId="187" fillId="87" borderId="72" applyNumberFormat="0" applyAlignment="0" applyProtection="0">
      <alignment horizontal="left" vertical="center" indent="1"/>
    </xf>
    <xf numFmtId="0" fontId="186" fillId="88" borderId="71" applyNumberFormat="0" applyAlignment="0" applyProtection="0">
      <alignment horizontal="left" vertical="center" indent="1"/>
    </xf>
    <xf numFmtId="228" fontId="186" fillId="88" borderId="71" applyNumberFormat="0" applyAlignment="0" applyProtection="0">
      <alignment horizontal="left" vertical="center" indent="1"/>
    </xf>
    <xf numFmtId="0" fontId="186" fillId="88" borderId="71" applyNumberFormat="0" applyAlignment="0" applyProtection="0">
      <alignment horizontal="left" vertical="center" indent="1"/>
    </xf>
    <xf numFmtId="0" fontId="186" fillId="86" borderId="71" applyNumberFormat="0" applyAlignment="0" applyProtection="0">
      <alignment horizontal="left" vertical="center" indent="1"/>
    </xf>
    <xf numFmtId="0" fontId="186" fillId="86" borderId="71" applyNumberFormat="0" applyAlignment="0" applyProtection="0">
      <alignment horizontal="left" vertical="center" indent="1"/>
    </xf>
    <xf numFmtId="228" fontId="186" fillId="86" borderId="71" applyNumberFormat="0" applyAlignment="0" applyProtection="0">
      <alignment horizontal="left" vertical="center" indent="1"/>
    </xf>
    <xf numFmtId="228" fontId="186" fillId="86" borderId="71" applyNumberFormat="0" applyAlignment="0" applyProtection="0">
      <alignment horizontal="left" vertical="center" indent="1"/>
    </xf>
    <xf numFmtId="0" fontId="186" fillId="86" borderId="71" applyNumberFormat="0" applyAlignment="0" applyProtection="0">
      <alignment horizontal="left" vertical="center" indent="1"/>
    </xf>
    <xf numFmtId="228" fontId="186" fillId="86" borderId="71" applyNumberFormat="0" applyAlignment="0" applyProtection="0">
      <alignment horizontal="left" vertical="center" indent="1"/>
    </xf>
    <xf numFmtId="0" fontId="186" fillId="86" borderId="71" applyNumberFormat="0" applyAlignment="0" applyProtection="0">
      <alignment horizontal="left" vertical="center" indent="1"/>
    </xf>
    <xf numFmtId="228" fontId="186" fillId="86" borderId="71" applyNumberFormat="0" applyAlignment="0" applyProtection="0">
      <alignment horizontal="left" vertical="center" indent="1"/>
    </xf>
    <xf numFmtId="228" fontId="186" fillId="86" borderId="71" applyNumberFormat="0" applyAlignment="0" applyProtection="0">
      <alignment horizontal="left" vertical="center" indent="1"/>
    </xf>
    <xf numFmtId="0" fontId="186" fillId="86" borderId="71" applyNumberFormat="0" applyAlignment="0" applyProtection="0">
      <alignment horizontal="left" vertical="center" indent="1"/>
    </xf>
    <xf numFmtId="228" fontId="186" fillId="86" borderId="71" applyNumberFormat="0" applyAlignment="0" applyProtection="0">
      <alignment horizontal="left" vertical="center" indent="1"/>
    </xf>
    <xf numFmtId="0" fontId="186" fillId="86" borderId="71" applyNumberFormat="0" applyAlignment="0" applyProtection="0">
      <alignment horizontal="left" vertical="center" indent="1"/>
    </xf>
    <xf numFmtId="228" fontId="186" fillId="86" borderId="71" applyNumberFormat="0" applyAlignment="0" applyProtection="0">
      <alignment horizontal="left" vertical="center" indent="1"/>
    </xf>
    <xf numFmtId="228" fontId="186" fillId="86" borderId="71" applyNumberFormat="0" applyAlignment="0" applyProtection="0">
      <alignment horizontal="left" vertical="center" indent="1"/>
    </xf>
    <xf numFmtId="0" fontId="186" fillId="86" borderId="71" applyNumberFormat="0" applyAlignment="0" applyProtection="0">
      <alignment horizontal="left" vertical="center" indent="1"/>
    </xf>
    <xf numFmtId="228" fontId="186" fillId="86" borderId="71" applyNumberFormat="0" applyAlignment="0" applyProtection="0">
      <alignment horizontal="left" vertical="center" indent="1"/>
    </xf>
    <xf numFmtId="228" fontId="186" fillId="86" borderId="71" applyNumberFormat="0" applyAlignment="0" applyProtection="0">
      <alignment horizontal="left" vertical="center" indent="1"/>
    </xf>
    <xf numFmtId="228" fontId="186" fillId="86" borderId="71" applyNumberFormat="0" applyAlignment="0" applyProtection="0">
      <alignment horizontal="left" vertical="center" indent="1"/>
    </xf>
    <xf numFmtId="0" fontId="186" fillId="86" borderId="71" applyNumberFormat="0" applyAlignment="0" applyProtection="0">
      <alignment horizontal="left" vertical="center" indent="1"/>
    </xf>
    <xf numFmtId="228" fontId="186" fillId="86" borderId="71" applyNumberFormat="0" applyAlignment="0" applyProtection="0">
      <alignment horizontal="left" vertical="center" indent="1"/>
    </xf>
    <xf numFmtId="0" fontId="186" fillId="86" borderId="71" applyNumberFormat="0" applyAlignment="0" applyProtection="0">
      <alignment horizontal="left" vertical="center" indent="1"/>
    </xf>
    <xf numFmtId="228" fontId="186" fillId="86" borderId="71" applyNumberFormat="0" applyAlignment="0" applyProtection="0">
      <alignment horizontal="left" vertical="center" indent="1"/>
    </xf>
    <xf numFmtId="0" fontId="188" fillId="89" borderId="54" applyNumberFormat="0" applyAlignment="0" applyProtection="0">
      <alignment horizontal="left" vertical="center" indent="1"/>
    </xf>
    <xf numFmtId="0" fontId="189" fillId="90" borderId="74" applyNumberFormat="0" applyAlignment="0" applyProtection="0">
      <alignment horizontal="left" vertical="center" indent="1"/>
    </xf>
    <xf numFmtId="0" fontId="189" fillId="90" borderId="54" applyNumberFormat="0" applyAlignment="0" applyProtection="0">
      <alignment horizontal="left" vertical="center" indent="1"/>
    </xf>
    <xf numFmtId="228" fontId="189" fillId="90" borderId="54" applyNumberFormat="0" applyAlignment="0" applyProtection="0">
      <alignment horizontal="left" vertical="center" indent="1"/>
    </xf>
    <xf numFmtId="0" fontId="189" fillId="90" borderId="54" applyNumberFormat="0" applyAlignment="0" applyProtection="0">
      <alignment horizontal="left" vertical="center" indent="1"/>
    </xf>
    <xf numFmtId="0" fontId="188" fillId="89" borderId="54" applyNumberFormat="0" applyAlignment="0" applyProtection="0">
      <alignment horizontal="left" vertical="center" indent="1"/>
    </xf>
    <xf numFmtId="0" fontId="188" fillId="89" borderId="54" applyNumberFormat="0" applyAlignment="0" applyProtection="0">
      <alignment horizontal="left" vertical="center" indent="1"/>
    </xf>
    <xf numFmtId="228" fontId="188" fillId="89" borderId="54" applyNumberFormat="0" applyAlignment="0" applyProtection="0">
      <alignment horizontal="left" vertical="center" indent="1"/>
    </xf>
    <xf numFmtId="228" fontId="188" fillId="89" borderId="54" applyNumberFormat="0" applyAlignment="0" applyProtection="0">
      <alignment horizontal="left" vertical="center" indent="1"/>
    </xf>
    <xf numFmtId="0" fontId="188" fillId="89" borderId="54" applyNumberFormat="0" applyAlignment="0" applyProtection="0">
      <alignment horizontal="left" vertical="center" indent="1"/>
    </xf>
    <xf numFmtId="228" fontId="188" fillId="89" borderId="54" applyNumberFormat="0" applyAlignment="0" applyProtection="0">
      <alignment horizontal="left" vertical="center" indent="1"/>
    </xf>
    <xf numFmtId="0" fontId="188" fillId="89" borderId="54" applyNumberFormat="0" applyAlignment="0" applyProtection="0">
      <alignment horizontal="left" vertical="center" indent="1"/>
    </xf>
    <xf numFmtId="228" fontId="188" fillId="89" borderId="54" applyNumberFormat="0" applyAlignment="0" applyProtection="0">
      <alignment horizontal="left" vertical="center" indent="1"/>
    </xf>
    <xf numFmtId="228" fontId="188" fillId="89" borderId="54" applyNumberFormat="0" applyAlignment="0" applyProtection="0">
      <alignment horizontal="left" vertical="center" indent="1"/>
    </xf>
    <xf numFmtId="0" fontId="188" fillId="89" borderId="54" applyNumberFormat="0" applyAlignment="0" applyProtection="0">
      <alignment horizontal="left" vertical="center" indent="1"/>
    </xf>
    <xf numFmtId="228" fontId="188" fillId="89" borderId="54" applyNumberFormat="0" applyAlignment="0" applyProtection="0">
      <alignment horizontal="left" vertical="center" indent="1"/>
    </xf>
    <xf numFmtId="0" fontId="188" fillId="89" borderId="54" applyNumberFormat="0" applyAlignment="0" applyProtection="0">
      <alignment horizontal="left" vertical="center" indent="1"/>
    </xf>
    <xf numFmtId="228" fontId="188" fillId="89" borderId="54" applyNumberFormat="0" applyAlignment="0" applyProtection="0">
      <alignment horizontal="left" vertical="center" indent="1"/>
    </xf>
    <xf numFmtId="228" fontId="188" fillId="89" borderId="54" applyNumberFormat="0" applyAlignment="0" applyProtection="0">
      <alignment horizontal="left" vertical="center" indent="1"/>
    </xf>
    <xf numFmtId="0" fontId="188" fillId="89" borderId="54" applyNumberFormat="0" applyAlignment="0" applyProtection="0">
      <alignment horizontal="left" vertical="center" indent="1"/>
    </xf>
    <xf numFmtId="228" fontId="188" fillId="89" borderId="54" applyNumberFormat="0" applyAlignment="0" applyProtection="0">
      <alignment horizontal="left" vertical="center" indent="1"/>
    </xf>
    <xf numFmtId="228" fontId="188" fillId="89" borderId="54" applyNumberFormat="0" applyAlignment="0" applyProtection="0">
      <alignment horizontal="left" vertical="center" indent="1"/>
    </xf>
    <xf numFmtId="228" fontId="188" fillId="89" borderId="54" applyNumberFormat="0" applyAlignment="0" applyProtection="0">
      <alignment horizontal="left" vertical="center" indent="1"/>
    </xf>
    <xf numFmtId="0" fontId="188" fillId="89" borderId="54" applyNumberFormat="0" applyAlignment="0" applyProtection="0">
      <alignment horizontal="left" vertical="center" indent="1"/>
    </xf>
    <xf numFmtId="228" fontId="188" fillId="89" borderId="54" applyNumberFormat="0" applyAlignment="0" applyProtection="0">
      <alignment horizontal="left" vertical="center" indent="1"/>
    </xf>
    <xf numFmtId="0" fontId="188" fillId="89" borderId="54" applyNumberFormat="0" applyAlignment="0" applyProtection="0">
      <alignment horizontal="left" vertical="center" indent="1"/>
    </xf>
    <xf numFmtId="228" fontId="188" fillId="89" borderId="54" applyNumberFormat="0" applyAlignment="0" applyProtection="0">
      <alignment horizontal="left" vertical="center" indent="1"/>
    </xf>
    <xf numFmtId="0" fontId="188" fillId="89" borderId="54" applyNumberFormat="0" applyAlignment="0" applyProtection="0">
      <alignment horizontal="left" vertical="center" indent="1"/>
    </xf>
    <xf numFmtId="0" fontId="189" fillId="90" borderId="74" applyNumberFormat="0" applyAlignment="0" applyProtection="0">
      <alignment horizontal="left" vertical="center" indent="1"/>
    </xf>
    <xf numFmtId="0" fontId="189" fillId="90" borderId="54" applyNumberFormat="0" applyAlignment="0" applyProtection="0">
      <alignment horizontal="left" vertical="center" indent="1"/>
    </xf>
    <xf numFmtId="228" fontId="189" fillId="90" borderId="54" applyNumberFormat="0" applyAlignment="0" applyProtection="0">
      <alignment horizontal="left" vertical="center" indent="1"/>
    </xf>
    <xf numFmtId="0" fontId="189" fillId="90" borderId="54" applyNumberFormat="0" applyAlignment="0" applyProtection="0">
      <alignment horizontal="left" vertical="center" indent="1"/>
    </xf>
    <xf numFmtId="0" fontId="188" fillId="89" borderId="54" applyNumberFormat="0" applyAlignment="0" applyProtection="0">
      <alignment horizontal="left" vertical="center" indent="1"/>
    </xf>
    <xf numFmtId="0" fontId="188" fillId="89" borderId="54" applyNumberFormat="0" applyAlignment="0" applyProtection="0">
      <alignment horizontal="left" vertical="center" indent="1"/>
    </xf>
    <xf numFmtId="228" fontId="188" fillId="89" borderId="54" applyNumberFormat="0" applyAlignment="0" applyProtection="0">
      <alignment horizontal="left" vertical="center" indent="1"/>
    </xf>
    <xf numFmtId="228" fontId="188" fillId="89" borderId="54" applyNumberFormat="0" applyAlignment="0" applyProtection="0">
      <alignment horizontal="left" vertical="center" indent="1"/>
    </xf>
    <xf numFmtId="0" fontId="188" fillId="89" borderId="54" applyNumberFormat="0" applyAlignment="0" applyProtection="0">
      <alignment horizontal="left" vertical="center" indent="1"/>
    </xf>
    <xf numFmtId="228" fontId="188" fillId="89" borderId="54" applyNumberFormat="0" applyAlignment="0" applyProtection="0">
      <alignment horizontal="left" vertical="center" indent="1"/>
    </xf>
    <xf numFmtId="0" fontId="188" fillId="89" borderId="54" applyNumberFormat="0" applyAlignment="0" applyProtection="0">
      <alignment horizontal="left" vertical="center" indent="1"/>
    </xf>
    <xf numFmtId="228" fontId="188" fillId="89" borderId="54" applyNumberFormat="0" applyAlignment="0" applyProtection="0">
      <alignment horizontal="left" vertical="center" indent="1"/>
    </xf>
    <xf numFmtId="228" fontId="188" fillId="89" borderId="54" applyNumberFormat="0" applyAlignment="0" applyProtection="0">
      <alignment horizontal="left" vertical="center" indent="1"/>
    </xf>
    <xf numFmtId="0" fontId="188" fillId="89" borderId="54" applyNumberFormat="0" applyAlignment="0" applyProtection="0">
      <alignment horizontal="left" vertical="center" indent="1"/>
    </xf>
    <xf numFmtId="228" fontId="188" fillId="89" borderId="54" applyNumberFormat="0" applyAlignment="0" applyProtection="0">
      <alignment horizontal="left" vertical="center" indent="1"/>
    </xf>
    <xf numFmtId="0" fontId="188" fillId="89" borderId="54" applyNumberFormat="0" applyAlignment="0" applyProtection="0">
      <alignment horizontal="left" vertical="center" indent="1"/>
    </xf>
    <xf numFmtId="228" fontId="188" fillId="89" borderId="54" applyNumberFormat="0" applyAlignment="0" applyProtection="0">
      <alignment horizontal="left" vertical="center" indent="1"/>
    </xf>
    <xf numFmtId="228" fontId="188" fillId="89" borderId="54" applyNumberFormat="0" applyAlignment="0" applyProtection="0">
      <alignment horizontal="left" vertical="center" indent="1"/>
    </xf>
    <xf numFmtId="0" fontId="188" fillId="89" borderId="54" applyNumberFormat="0" applyAlignment="0" applyProtection="0">
      <alignment horizontal="left" vertical="center" indent="1"/>
    </xf>
    <xf numFmtId="228" fontId="188" fillId="89" borderId="54" applyNumberFormat="0" applyAlignment="0" applyProtection="0">
      <alignment horizontal="left" vertical="center" indent="1"/>
    </xf>
    <xf numFmtId="228" fontId="188" fillId="89" borderId="54" applyNumberFormat="0" applyAlignment="0" applyProtection="0">
      <alignment horizontal="left" vertical="center" indent="1"/>
    </xf>
    <xf numFmtId="228" fontId="188" fillId="89" borderId="54" applyNumberFormat="0" applyAlignment="0" applyProtection="0">
      <alignment horizontal="left" vertical="center" indent="1"/>
    </xf>
    <xf numFmtId="0" fontId="188" fillId="89" borderId="54" applyNumberFormat="0" applyAlignment="0" applyProtection="0">
      <alignment horizontal="left" vertical="center" indent="1"/>
    </xf>
    <xf numFmtId="228" fontId="188" fillId="89" borderId="54" applyNumberFormat="0" applyAlignment="0" applyProtection="0">
      <alignment horizontal="left" vertical="center" indent="1"/>
    </xf>
    <xf numFmtId="0" fontId="188" fillId="89" borderId="54" applyNumberFormat="0" applyAlignment="0" applyProtection="0">
      <alignment horizontal="left" vertical="center" indent="1"/>
    </xf>
    <xf numFmtId="228" fontId="188" fillId="89" borderId="54" applyNumberFormat="0" applyAlignment="0" applyProtection="0">
      <alignment horizontal="left" vertical="center" indent="1"/>
    </xf>
    <xf numFmtId="0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0" fontId="191" fillId="0" borderId="75" applyNumberFormat="0" applyFill="0" applyBorder="0" applyAlignment="0" applyProtection="0"/>
    <xf numFmtId="0" fontId="191" fillId="0" borderId="1" applyNumberFormat="0" applyFill="0" applyBorder="0" applyAlignment="0" applyProtection="0"/>
    <xf numFmtId="228" fontId="191" fillId="0" borderId="1" applyNumberFormat="0" applyFill="0" applyBorder="0" applyAlignment="0" applyProtection="0"/>
    <xf numFmtId="0" fontId="191" fillId="0" borderId="1" applyNumberFormat="0" applyFill="0" applyBorder="0" applyAlignment="0" applyProtection="0"/>
    <xf numFmtId="0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0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0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0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0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0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0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0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228" fontId="190" fillId="0" borderId="1" applyNumberFormat="0" applyFill="0" applyBorder="0" applyAlignment="0" applyProtection="0"/>
    <xf numFmtId="0" fontId="190" fillId="0" borderId="1" applyNumberFormat="0" applyFill="0" applyBorder="0" applyAlignment="0" applyProtection="0"/>
    <xf numFmtId="0" fontId="192" fillId="0" borderId="75" applyBorder="0" applyAlignment="0" applyProtection="0"/>
    <xf numFmtId="0" fontId="192" fillId="0" borderId="1" applyBorder="0" applyAlignment="0" applyProtection="0"/>
    <xf numFmtId="228" fontId="192" fillId="0" borderId="1" applyBorder="0" applyAlignment="0" applyProtection="0"/>
    <xf numFmtId="0" fontId="192" fillId="0" borderId="1" applyBorder="0" applyAlignment="0" applyProtection="0"/>
    <xf numFmtId="230" fontId="193" fillId="91" borderId="76" applyNumberFormat="0" applyBorder="0" applyAlignment="0" applyProtection="0">
      <alignment horizontal="right" vertical="center" indent="1"/>
    </xf>
    <xf numFmtId="230" fontId="194" fillId="92" borderId="77" applyNumberFormat="0" applyBorder="0" applyAlignment="0" applyProtection="0">
      <alignment horizontal="right" vertical="center" indent="1"/>
    </xf>
    <xf numFmtId="230" fontId="193" fillId="92" borderId="76" applyNumberFormat="0" applyBorder="0" applyAlignment="0" applyProtection="0">
      <alignment horizontal="right" vertical="center" indent="1"/>
    </xf>
    <xf numFmtId="230" fontId="193" fillId="91" borderId="76" applyNumberFormat="0" applyBorder="0" applyAlignment="0" applyProtection="0">
      <alignment horizontal="right" vertical="center" indent="1"/>
    </xf>
    <xf numFmtId="230" fontId="193" fillId="91" borderId="76" applyNumberFormat="0" applyBorder="0" applyAlignment="0" applyProtection="0">
      <alignment horizontal="right" vertical="center" indent="1"/>
    </xf>
    <xf numFmtId="230" fontId="193" fillId="91" borderId="76" applyNumberFormat="0" applyBorder="0" applyAlignment="0" applyProtection="0">
      <alignment horizontal="right" vertical="center" indent="1"/>
    </xf>
    <xf numFmtId="230" fontId="193" fillId="91" borderId="76" applyNumberFormat="0" applyBorder="0" applyAlignment="0" applyProtection="0">
      <alignment horizontal="right" vertical="center" indent="1"/>
    </xf>
    <xf numFmtId="230" fontId="193" fillId="91" borderId="76" applyNumberFormat="0" applyBorder="0" applyAlignment="0" applyProtection="0">
      <alignment horizontal="right" vertical="center" indent="1"/>
    </xf>
    <xf numFmtId="230" fontId="193" fillId="91" borderId="76" applyNumberFormat="0" applyBorder="0" applyAlignment="0" applyProtection="0">
      <alignment horizontal="right" vertical="center" indent="1"/>
    </xf>
    <xf numFmtId="230" fontId="193" fillId="91" borderId="76" applyNumberFormat="0" applyBorder="0" applyAlignment="0" applyProtection="0">
      <alignment horizontal="right" vertical="center" indent="1"/>
    </xf>
    <xf numFmtId="230" fontId="193" fillId="91" borderId="76" applyNumberFormat="0" applyBorder="0" applyAlignment="0" applyProtection="0">
      <alignment horizontal="right" vertical="center" indent="1"/>
    </xf>
    <xf numFmtId="230" fontId="193" fillId="91" borderId="76" applyNumberFormat="0" applyBorder="0" applyAlignment="0" applyProtection="0">
      <alignment horizontal="right" vertical="center" indent="1"/>
    </xf>
    <xf numFmtId="230" fontId="193" fillId="91" borderId="76" applyNumberFormat="0" applyBorder="0" applyAlignment="0" applyProtection="0">
      <alignment horizontal="right" vertical="center" indent="1"/>
    </xf>
    <xf numFmtId="230" fontId="193" fillId="91" borderId="76" applyNumberFormat="0" applyBorder="0" applyAlignment="0" applyProtection="0">
      <alignment horizontal="right" vertical="center" indent="1"/>
    </xf>
    <xf numFmtId="230" fontId="193" fillId="91" borderId="76" applyNumberFormat="0" applyBorder="0" applyAlignment="0" applyProtection="0">
      <alignment horizontal="right" vertical="center" indent="1"/>
    </xf>
    <xf numFmtId="230" fontId="193" fillId="91" borderId="76" applyNumberFormat="0" applyBorder="0" applyAlignment="0" applyProtection="0">
      <alignment horizontal="right" vertical="center" indent="1"/>
    </xf>
    <xf numFmtId="230" fontId="193" fillId="91" borderId="76" applyNumberFormat="0" applyBorder="0" applyAlignment="0" applyProtection="0">
      <alignment horizontal="right" vertical="center" indent="1"/>
    </xf>
    <xf numFmtId="230" fontId="193" fillId="91" borderId="76" applyNumberFormat="0" applyBorder="0" applyAlignment="0" applyProtection="0">
      <alignment horizontal="right" vertical="center" indent="1"/>
    </xf>
    <xf numFmtId="230" fontId="193" fillId="91" borderId="76" applyNumberFormat="0" applyBorder="0" applyAlignment="0" applyProtection="0">
      <alignment horizontal="right" vertical="center" indent="1"/>
    </xf>
    <xf numFmtId="230" fontId="193" fillId="91" borderId="76" applyNumberFormat="0" applyBorder="0" applyAlignment="0" applyProtection="0">
      <alignment horizontal="right" vertical="center" indent="1"/>
    </xf>
    <xf numFmtId="230" fontId="193" fillId="91" borderId="76" applyNumberFormat="0" applyBorder="0" applyAlignment="0" applyProtection="0">
      <alignment horizontal="right" vertical="center" indent="1"/>
    </xf>
    <xf numFmtId="230" fontId="193" fillId="91" borderId="76" applyNumberFormat="0" applyBorder="0" applyAlignment="0" applyProtection="0">
      <alignment horizontal="right" vertical="center" indent="1"/>
    </xf>
    <xf numFmtId="230" fontId="193" fillId="91" borderId="76" applyNumberFormat="0" applyBorder="0" applyAlignment="0" applyProtection="0">
      <alignment horizontal="right" vertical="center" indent="1"/>
    </xf>
    <xf numFmtId="230" fontId="195" fillId="91" borderId="76" applyNumberFormat="0" applyBorder="0" applyAlignment="0" applyProtection="0">
      <alignment horizontal="right" vertical="center" indent="1"/>
    </xf>
    <xf numFmtId="230" fontId="196" fillId="93" borderId="77" applyNumberFormat="0" applyBorder="0" applyAlignment="0" applyProtection="0">
      <alignment horizontal="right" vertical="center" indent="1"/>
    </xf>
    <xf numFmtId="230" fontId="195" fillId="93" borderId="76" applyNumberFormat="0" applyBorder="0" applyAlignment="0" applyProtection="0">
      <alignment horizontal="right" vertical="center" indent="1"/>
    </xf>
    <xf numFmtId="230" fontId="195" fillId="91" borderId="76" applyNumberFormat="0" applyBorder="0" applyAlignment="0" applyProtection="0">
      <alignment horizontal="right" vertical="center" indent="1"/>
    </xf>
    <xf numFmtId="230" fontId="195" fillId="91" borderId="76" applyNumberFormat="0" applyBorder="0" applyAlignment="0" applyProtection="0">
      <alignment horizontal="right" vertical="center" indent="1"/>
    </xf>
    <xf numFmtId="230" fontId="195" fillId="91" borderId="76" applyNumberFormat="0" applyBorder="0" applyAlignment="0" applyProtection="0">
      <alignment horizontal="right" vertical="center" indent="1"/>
    </xf>
    <xf numFmtId="230" fontId="195" fillId="91" borderId="76" applyNumberFormat="0" applyBorder="0" applyAlignment="0" applyProtection="0">
      <alignment horizontal="right" vertical="center" indent="1"/>
    </xf>
    <xf numFmtId="230" fontId="195" fillId="91" borderId="76" applyNumberFormat="0" applyBorder="0" applyAlignment="0" applyProtection="0">
      <alignment horizontal="right" vertical="center" indent="1"/>
    </xf>
    <xf numFmtId="230" fontId="195" fillId="91" borderId="76" applyNumberFormat="0" applyBorder="0" applyAlignment="0" applyProtection="0">
      <alignment horizontal="right" vertical="center" indent="1"/>
    </xf>
    <xf numFmtId="230" fontId="195" fillId="91" borderId="76" applyNumberFormat="0" applyBorder="0" applyAlignment="0" applyProtection="0">
      <alignment horizontal="right" vertical="center" indent="1"/>
    </xf>
    <xf numFmtId="230" fontId="195" fillId="91" borderId="76" applyNumberFormat="0" applyBorder="0" applyAlignment="0" applyProtection="0">
      <alignment horizontal="right" vertical="center" indent="1"/>
    </xf>
    <xf numFmtId="230" fontId="195" fillId="91" borderId="76" applyNumberFormat="0" applyBorder="0" applyAlignment="0" applyProtection="0">
      <alignment horizontal="right" vertical="center" indent="1"/>
    </xf>
    <xf numFmtId="230" fontId="195" fillId="91" borderId="76" applyNumberFormat="0" applyBorder="0" applyAlignment="0" applyProtection="0">
      <alignment horizontal="right" vertical="center" indent="1"/>
    </xf>
    <xf numFmtId="230" fontId="195" fillId="91" borderId="76" applyNumberFormat="0" applyBorder="0" applyAlignment="0" applyProtection="0">
      <alignment horizontal="right" vertical="center" indent="1"/>
    </xf>
    <xf numFmtId="230" fontId="195" fillId="91" borderId="76" applyNumberFormat="0" applyBorder="0" applyAlignment="0" applyProtection="0">
      <alignment horizontal="right" vertical="center" indent="1"/>
    </xf>
    <xf numFmtId="230" fontId="195" fillId="91" borderId="76" applyNumberFormat="0" applyBorder="0" applyAlignment="0" applyProtection="0">
      <alignment horizontal="right" vertical="center" indent="1"/>
    </xf>
    <xf numFmtId="230" fontId="195" fillId="91" borderId="76" applyNumberFormat="0" applyBorder="0" applyAlignment="0" applyProtection="0">
      <alignment horizontal="right" vertical="center" indent="1"/>
    </xf>
    <xf numFmtId="230" fontId="195" fillId="91" borderId="76" applyNumberFormat="0" applyBorder="0" applyAlignment="0" applyProtection="0">
      <alignment horizontal="right" vertical="center" indent="1"/>
    </xf>
    <xf numFmtId="230" fontId="195" fillId="91" borderId="76" applyNumberFormat="0" applyBorder="0" applyAlignment="0" applyProtection="0">
      <alignment horizontal="right" vertical="center" indent="1"/>
    </xf>
    <xf numFmtId="230" fontId="195" fillId="91" borderId="76" applyNumberFormat="0" applyBorder="0" applyAlignment="0" applyProtection="0">
      <alignment horizontal="right" vertical="center" indent="1"/>
    </xf>
    <xf numFmtId="230" fontId="195" fillId="91" borderId="76" applyNumberFormat="0" applyBorder="0" applyAlignment="0" applyProtection="0">
      <alignment horizontal="right" vertical="center" indent="1"/>
    </xf>
    <xf numFmtId="230" fontId="195" fillId="91" borderId="76" applyNumberFormat="0" applyBorder="0" applyAlignment="0" applyProtection="0">
      <alignment horizontal="right" vertical="center" indent="1"/>
    </xf>
    <xf numFmtId="230" fontId="195" fillId="91" borderId="76" applyNumberFormat="0" applyBorder="0" applyAlignment="0" applyProtection="0">
      <alignment horizontal="right" vertical="center" indent="1"/>
    </xf>
    <xf numFmtId="230" fontId="195" fillId="94" borderId="76" applyNumberFormat="0" applyBorder="0" applyAlignment="0" applyProtection="0">
      <alignment horizontal="right" vertical="center" indent="1"/>
    </xf>
    <xf numFmtId="230" fontId="196" fillId="95" borderId="77" applyNumberFormat="0" applyBorder="0" applyAlignment="0" applyProtection="0">
      <alignment horizontal="right" vertical="center" indent="1"/>
    </xf>
    <xf numFmtId="230" fontId="195" fillId="96" borderId="76" applyNumberFormat="0" applyBorder="0" applyAlignment="0" applyProtection="0">
      <alignment horizontal="right" vertical="center" indent="1"/>
    </xf>
    <xf numFmtId="230" fontId="195" fillId="94" borderId="76" applyNumberFormat="0" applyBorder="0" applyAlignment="0" applyProtection="0">
      <alignment horizontal="right" vertical="center" indent="1"/>
    </xf>
    <xf numFmtId="230" fontId="195" fillId="94" borderId="76" applyNumberFormat="0" applyBorder="0" applyAlignment="0" applyProtection="0">
      <alignment horizontal="right" vertical="center" indent="1"/>
    </xf>
    <xf numFmtId="230" fontId="195" fillId="94" borderId="76" applyNumberFormat="0" applyBorder="0" applyAlignment="0" applyProtection="0">
      <alignment horizontal="right" vertical="center" indent="1"/>
    </xf>
    <xf numFmtId="230" fontId="195" fillId="94" borderId="76" applyNumberFormat="0" applyBorder="0" applyAlignment="0" applyProtection="0">
      <alignment horizontal="right" vertical="center" indent="1"/>
    </xf>
    <xf numFmtId="230" fontId="195" fillId="94" borderId="76" applyNumberFormat="0" applyBorder="0" applyAlignment="0" applyProtection="0">
      <alignment horizontal="right" vertical="center" indent="1"/>
    </xf>
    <xf numFmtId="230" fontId="195" fillId="94" borderId="76" applyNumberFormat="0" applyBorder="0" applyAlignment="0" applyProtection="0">
      <alignment horizontal="right" vertical="center" indent="1"/>
    </xf>
    <xf numFmtId="230" fontId="195" fillId="94" borderId="76" applyNumberFormat="0" applyBorder="0" applyAlignment="0" applyProtection="0">
      <alignment horizontal="right" vertical="center" indent="1"/>
    </xf>
    <xf numFmtId="230" fontId="195" fillId="94" borderId="76" applyNumberFormat="0" applyBorder="0" applyAlignment="0" applyProtection="0">
      <alignment horizontal="right" vertical="center" indent="1"/>
    </xf>
    <xf numFmtId="230" fontId="195" fillId="94" borderId="76" applyNumberFormat="0" applyBorder="0" applyAlignment="0" applyProtection="0">
      <alignment horizontal="right" vertical="center" indent="1"/>
    </xf>
    <xf numFmtId="230" fontId="195" fillId="94" borderId="76" applyNumberFormat="0" applyBorder="0" applyAlignment="0" applyProtection="0">
      <alignment horizontal="right" vertical="center" indent="1"/>
    </xf>
    <xf numFmtId="230" fontId="195" fillId="94" borderId="76" applyNumberFormat="0" applyBorder="0" applyAlignment="0" applyProtection="0">
      <alignment horizontal="right" vertical="center" indent="1"/>
    </xf>
    <xf numFmtId="230" fontId="195" fillId="94" borderId="76" applyNumberFormat="0" applyBorder="0" applyAlignment="0" applyProtection="0">
      <alignment horizontal="right" vertical="center" indent="1"/>
    </xf>
    <xf numFmtId="230" fontId="195" fillId="94" borderId="76" applyNumberFormat="0" applyBorder="0" applyAlignment="0" applyProtection="0">
      <alignment horizontal="right" vertical="center" indent="1"/>
    </xf>
    <xf numFmtId="230" fontId="195" fillId="94" borderId="76" applyNumberFormat="0" applyBorder="0" applyAlignment="0" applyProtection="0">
      <alignment horizontal="right" vertical="center" indent="1"/>
    </xf>
    <xf numFmtId="230" fontId="195" fillId="94" borderId="76" applyNumberFormat="0" applyBorder="0" applyAlignment="0" applyProtection="0">
      <alignment horizontal="right" vertical="center" indent="1"/>
    </xf>
    <xf numFmtId="230" fontId="195" fillId="94" borderId="76" applyNumberFormat="0" applyBorder="0" applyAlignment="0" applyProtection="0">
      <alignment horizontal="right" vertical="center" indent="1"/>
    </xf>
    <xf numFmtId="230" fontId="195" fillId="94" borderId="76" applyNumberFormat="0" applyBorder="0" applyAlignment="0" applyProtection="0">
      <alignment horizontal="right" vertical="center" indent="1"/>
    </xf>
    <xf numFmtId="230" fontId="195" fillId="94" borderId="76" applyNumberFormat="0" applyBorder="0" applyAlignment="0" applyProtection="0">
      <alignment horizontal="right" vertical="center" indent="1"/>
    </xf>
    <xf numFmtId="230" fontId="195" fillId="94" borderId="76" applyNumberFormat="0" applyBorder="0" applyAlignment="0" applyProtection="0">
      <alignment horizontal="right" vertical="center" indent="1"/>
    </xf>
    <xf numFmtId="230" fontId="195" fillId="94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8" fillId="98" borderId="77" applyNumberFormat="0" applyBorder="0" applyAlignment="0" applyProtection="0">
      <alignment horizontal="right" vertical="center" indent="1"/>
    </xf>
    <xf numFmtId="230" fontId="198" fillId="99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8" fillId="100" borderId="77" applyNumberFormat="0" applyBorder="0" applyAlignment="0" applyProtection="0">
      <alignment horizontal="right" vertical="center" indent="1"/>
    </xf>
    <xf numFmtId="230" fontId="198" fillId="100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97" borderId="76" applyNumberFormat="0" applyBorder="0" applyAlignment="0" applyProtection="0">
      <alignment horizontal="right" vertical="center" indent="1"/>
    </xf>
    <xf numFmtId="230" fontId="197" fillId="101" borderId="76" applyNumberFormat="0" applyBorder="0" applyAlignment="0" applyProtection="0">
      <alignment horizontal="right" vertical="center" indent="1"/>
    </xf>
    <xf numFmtId="230" fontId="198" fillId="102" borderId="77" applyNumberFormat="0" applyBorder="0" applyAlignment="0" applyProtection="0">
      <alignment horizontal="right" vertical="center" indent="1"/>
    </xf>
    <xf numFmtId="230" fontId="198" fillId="103" borderId="76" applyNumberFormat="0" applyBorder="0" applyAlignment="0" applyProtection="0">
      <alignment horizontal="right" vertical="center" indent="1"/>
    </xf>
    <xf numFmtId="230" fontId="197" fillId="101" borderId="76" applyNumberFormat="0" applyBorder="0" applyAlignment="0" applyProtection="0">
      <alignment horizontal="right" vertical="center" indent="1"/>
    </xf>
    <xf numFmtId="230" fontId="197" fillId="101" borderId="76" applyNumberFormat="0" applyBorder="0" applyAlignment="0" applyProtection="0">
      <alignment horizontal="right" vertical="center" indent="1"/>
    </xf>
    <xf numFmtId="230" fontId="197" fillId="101" borderId="76" applyNumberFormat="0" applyBorder="0" applyAlignment="0" applyProtection="0">
      <alignment horizontal="right" vertical="center" indent="1"/>
    </xf>
    <xf numFmtId="230" fontId="197" fillId="101" borderId="76" applyNumberFormat="0" applyBorder="0" applyAlignment="0" applyProtection="0">
      <alignment horizontal="right" vertical="center" indent="1"/>
    </xf>
    <xf numFmtId="230" fontId="197" fillId="101" borderId="76" applyNumberFormat="0" applyBorder="0" applyAlignment="0" applyProtection="0">
      <alignment horizontal="right" vertical="center" indent="1"/>
    </xf>
    <xf numFmtId="230" fontId="197" fillId="101" borderId="76" applyNumberFormat="0" applyBorder="0" applyAlignment="0" applyProtection="0">
      <alignment horizontal="right" vertical="center" indent="1"/>
    </xf>
    <xf numFmtId="230" fontId="197" fillId="101" borderId="76" applyNumberFormat="0" applyBorder="0" applyAlignment="0" applyProtection="0">
      <alignment horizontal="right" vertical="center" indent="1"/>
    </xf>
    <xf numFmtId="230" fontId="197" fillId="101" borderId="76" applyNumberFormat="0" applyBorder="0" applyAlignment="0" applyProtection="0">
      <alignment horizontal="right" vertical="center" indent="1"/>
    </xf>
    <xf numFmtId="230" fontId="197" fillId="101" borderId="76" applyNumberFormat="0" applyBorder="0" applyAlignment="0" applyProtection="0">
      <alignment horizontal="right" vertical="center" indent="1"/>
    </xf>
    <xf numFmtId="230" fontId="197" fillId="101" borderId="76" applyNumberFormat="0" applyBorder="0" applyAlignment="0" applyProtection="0">
      <alignment horizontal="right" vertical="center" indent="1"/>
    </xf>
    <xf numFmtId="230" fontId="197" fillId="101" borderId="76" applyNumberFormat="0" applyBorder="0" applyAlignment="0" applyProtection="0">
      <alignment horizontal="right" vertical="center" indent="1"/>
    </xf>
    <xf numFmtId="230" fontId="197" fillId="101" borderId="76" applyNumberFormat="0" applyBorder="0" applyAlignment="0" applyProtection="0">
      <alignment horizontal="right" vertical="center" indent="1"/>
    </xf>
    <xf numFmtId="230" fontId="197" fillId="101" borderId="76" applyNumberFormat="0" applyBorder="0" applyAlignment="0" applyProtection="0">
      <alignment horizontal="right" vertical="center" indent="1"/>
    </xf>
    <xf numFmtId="230" fontId="197" fillId="101" borderId="76" applyNumberFormat="0" applyBorder="0" applyAlignment="0" applyProtection="0">
      <alignment horizontal="right" vertical="center" indent="1"/>
    </xf>
    <xf numFmtId="230" fontId="197" fillId="101" borderId="76" applyNumberFormat="0" applyBorder="0" applyAlignment="0" applyProtection="0">
      <alignment horizontal="right" vertical="center" indent="1"/>
    </xf>
    <xf numFmtId="230" fontId="197" fillId="101" borderId="76" applyNumberFormat="0" applyBorder="0" applyAlignment="0" applyProtection="0">
      <alignment horizontal="right" vertical="center" indent="1"/>
    </xf>
    <xf numFmtId="230" fontId="197" fillId="101" borderId="76" applyNumberFormat="0" applyBorder="0" applyAlignment="0" applyProtection="0">
      <alignment horizontal="right" vertical="center" indent="1"/>
    </xf>
    <xf numFmtId="230" fontId="197" fillId="101" borderId="76" applyNumberFormat="0" applyBorder="0" applyAlignment="0" applyProtection="0">
      <alignment horizontal="right" vertical="center" indent="1"/>
    </xf>
    <xf numFmtId="230" fontId="197" fillId="101" borderId="76" applyNumberFormat="0" applyBorder="0" applyAlignment="0" applyProtection="0">
      <alignment horizontal="right" vertical="center" indent="1"/>
    </xf>
    <xf numFmtId="230" fontId="197" fillId="101" borderId="76" applyNumberFormat="0" applyBorder="0" applyAlignment="0" applyProtection="0">
      <alignment horizontal="right" vertical="center" indent="1"/>
    </xf>
    <xf numFmtId="230" fontId="199" fillId="104" borderId="76" applyNumberFormat="0" applyBorder="0" applyAlignment="0" applyProtection="0">
      <alignment horizontal="right" vertical="center" indent="1"/>
    </xf>
    <xf numFmtId="230" fontId="200" fillId="105" borderId="77" applyNumberFormat="0" applyBorder="0" applyAlignment="0" applyProtection="0">
      <alignment horizontal="right" vertical="center" indent="1"/>
    </xf>
    <xf numFmtId="230" fontId="199" fillId="105" borderId="76" applyNumberFormat="0" applyBorder="0" applyAlignment="0" applyProtection="0">
      <alignment horizontal="right" vertical="center" indent="1"/>
    </xf>
    <xf numFmtId="230" fontId="199" fillId="104" borderId="76" applyNumberFormat="0" applyBorder="0" applyAlignment="0" applyProtection="0">
      <alignment horizontal="right" vertical="center" indent="1"/>
    </xf>
    <xf numFmtId="230" fontId="199" fillId="104" borderId="76" applyNumberFormat="0" applyBorder="0" applyAlignment="0" applyProtection="0">
      <alignment horizontal="right" vertical="center" indent="1"/>
    </xf>
    <xf numFmtId="230" fontId="199" fillId="104" borderId="76" applyNumberFormat="0" applyBorder="0" applyAlignment="0" applyProtection="0">
      <alignment horizontal="right" vertical="center" indent="1"/>
    </xf>
    <xf numFmtId="230" fontId="199" fillId="104" borderId="76" applyNumberFormat="0" applyBorder="0" applyAlignment="0" applyProtection="0">
      <alignment horizontal="right" vertical="center" indent="1"/>
    </xf>
    <xf numFmtId="230" fontId="199" fillId="104" borderId="76" applyNumberFormat="0" applyBorder="0" applyAlignment="0" applyProtection="0">
      <alignment horizontal="right" vertical="center" indent="1"/>
    </xf>
    <xf numFmtId="230" fontId="199" fillId="104" borderId="76" applyNumberFormat="0" applyBorder="0" applyAlignment="0" applyProtection="0">
      <alignment horizontal="right" vertical="center" indent="1"/>
    </xf>
    <xf numFmtId="230" fontId="199" fillId="104" borderId="76" applyNumberFormat="0" applyBorder="0" applyAlignment="0" applyProtection="0">
      <alignment horizontal="right" vertical="center" indent="1"/>
    </xf>
    <xf numFmtId="230" fontId="199" fillId="104" borderId="76" applyNumberFormat="0" applyBorder="0" applyAlignment="0" applyProtection="0">
      <alignment horizontal="right" vertical="center" indent="1"/>
    </xf>
    <xf numFmtId="230" fontId="199" fillId="104" borderId="76" applyNumberFormat="0" applyBorder="0" applyAlignment="0" applyProtection="0">
      <alignment horizontal="right" vertical="center" indent="1"/>
    </xf>
    <xf numFmtId="230" fontId="199" fillId="104" borderId="76" applyNumberFormat="0" applyBorder="0" applyAlignment="0" applyProtection="0">
      <alignment horizontal="right" vertical="center" indent="1"/>
    </xf>
    <xf numFmtId="230" fontId="199" fillId="104" borderId="76" applyNumberFormat="0" applyBorder="0" applyAlignment="0" applyProtection="0">
      <alignment horizontal="right" vertical="center" indent="1"/>
    </xf>
    <xf numFmtId="230" fontId="199" fillId="104" borderId="76" applyNumberFormat="0" applyBorder="0" applyAlignment="0" applyProtection="0">
      <alignment horizontal="right" vertical="center" indent="1"/>
    </xf>
    <xf numFmtId="230" fontId="199" fillId="104" borderId="76" applyNumberFormat="0" applyBorder="0" applyAlignment="0" applyProtection="0">
      <alignment horizontal="right" vertical="center" indent="1"/>
    </xf>
    <xf numFmtId="230" fontId="199" fillId="104" borderId="76" applyNumberFormat="0" applyBorder="0" applyAlignment="0" applyProtection="0">
      <alignment horizontal="right" vertical="center" indent="1"/>
    </xf>
    <xf numFmtId="230" fontId="199" fillId="104" borderId="76" applyNumberFormat="0" applyBorder="0" applyAlignment="0" applyProtection="0">
      <alignment horizontal="right" vertical="center" indent="1"/>
    </xf>
    <xf numFmtId="230" fontId="199" fillId="104" borderId="76" applyNumberFormat="0" applyBorder="0" applyAlignment="0" applyProtection="0">
      <alignment horizontal="right" vertical="center" indent="1"/>
    </xf>
    <xf numFmtId="230" fontId="199" fillId="104" borderId="76" applyNumberFormat="0" applyBorder="0" applyAlignment="0" applyProtection="0">
      <alignment horizontal="right" vertical="center" indent="1"/>
    </xf>
    <xf numFmtId="230" fontId="199" fillId="104" borderId="76" applyNumberFormat="0" applyBorder="0" applyAlignment="0" applyProtection="0">
      <alignment horizontal="right" vertical="center" indent="1"/>
    </xf>
    <xf numFmtId="230" fontId="199" fillId="104" borderId="76" applyNumberFormat="0" applyBorder="0" applyAlignment="0" applyProtection="0">
      <alignment horizontal="right" vertical="center" indent="1"/>
    </xf>
    <xf numFmtId="230" fontId="199" fillId="104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200" fillId="107" borderId="77" applyNumberFormat="0" applyBorder="0" applyAlignment="0" applyProtection="0">
      <alignment horizontal="right" vertical="center" indent="1"/>
    </xf>
    <xf numFmtId="230" fontId="199" fillId="108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200" fillId="109" borderId="77" applyNumberFormat="0" applyBorder="0" applyAlignment="0" applyProtection="0">
      <alignment horizontal="right" vertical="center" indent="1"/>
    </xf>
    <xf numFmtId="230" fontId="199" fillId="108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230" fontId="199" fillId="106" borderId="76" applyNumberFormat="0" applyBorder="0" applyAlignment="0" applyProtection="0">
      <alignment horizontal="right" vertical="center" indent="1"/>
    </xf>
    <xf numFmtId="0" fontId="188" fillId="86" borderId="71" applyNumberFormat="0" applyAlignment="0" applyProtection="0">
      <alignment horizontal="left" vertical="center" indent="1"/>
    </xf>
    <xf numFmtId="0" fontId="189" fillId="110" borderId="72" applyNumberFormat="0" applyAlignment="0" applyProtection="0">
      <alignment horizontal="left" vertical="center" indent="1"/>
    </xf>
    <xf numFmtId="0" fontId="189" fillId="88" borderId="71" applyNumberFormat="0" applyAlignment="0" applyProtection="0">
      <alignment horizontal="left" vertical="center" indent="1"/>
    </xf>
    <xf numFmtId="228" fontId="189" fillId="88" borderId="71" applyNumberFormat="0" applyAlignment="0" applyProtection="0">
      <alignment horizontal="left" vertical="center" indent="1"/>
    </xf>
    <xf numFmtId="0" fontId="189" fillId="88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0" fontId="189" fillId="111" borderId="72" applyNumberFormat="0" applyAlignment="0" applyProtection="0">
      <alignment horizontal="left" vertical="center" indent="1"/>
    </xf>
    <xf numFmtId="0" fontId="189" fillId="88" borderId="71" applyNumberFormat="0" applyAlignment="0" applyProtection="0">
      <alignment horizontal="left" vertical="center" indent="1"/>
    </xf>
    <xf numFmtId="228" fontId="189" fillId="88" borderId="71" applyNumberFormat="0" applyAlignment="0" applyProtection="0">
      <alignment horizontal="left" vertical="center" indent="1"/>
    </xf>
    <xf numFmtId="0" fontId="189" fillId="88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0" fontId="189" fillId="112" borderId="72" applyNumberFormat="0" applyAlignment="0" applyProtection="0">
      <alignment horizontal="left" vertical="center" indent="1"/>
    </xf>
    <xf numFmtId="0" fontId="189" fillId="88" borderId="71" applyNumberFormat="0" applyAlignment="0" applyProtection="0">
      <alignment horizontal="left" vertical="center" indent="1"/>
    </xf>
    <xf numFmtId="228" fontId="189" fillId="88" borderId="71" applyNumberFormat="0" applyAlignment="0" applyProtection="0">
      <alignment horizontal="left" vertical="center" indent="1"/>
    </xf>
    <xf numFmtId="0" fontId="189" fillId="88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0" fontId="189" fillId="113" borderId="72" applyNumberFormat="0" applyAlignment="0" applyProtection="0">
      <alignment horizontal="left" vertical="center" indent="1"/>
    </xf>
    <xf numFmtId="0" fontId="189" fillId="88" borderId="71" applyNumberFormat="0" applyAlignment="0" applyProtection="0">
      <alignment horizontal="left" vertical="center" indent="1"/>
    </xf>
    <xf numFmtId="228" fontId="189" fillId="88" borderId="71" applyNumberFormat="0" applyAlignment="0" applyProtection="0">
      <alignment horizontal="left" vertical="center" indent="1"/>
    </xf>
    <xf numFmtId="0" fontId="189" fillId="88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86" borderId="71" applyNumberFormat="0" applyAlignment="0" applyProtection="0">
      <alignment horizontal="left" vertical="center" indent="1"/>
    </xf>
    <xf numFmtId="228" fontId="188" fillId="86" borderId="71" applyNumberFormat="0" applyAlignment="0" applyProtection="0">
      <alignment horizontal="left" vertical="center" indent="1"/>
    </xf>
    <xf numFmtId="0" fontId="188" fillId="114" borderId="54" applyNumberFormat="0" applyAlignment="0" applyProtection="0">
      <alignment horizontal="left" vertical="center" indent="1"/>
    </xf>
    <xf numFmtId="0" fontId="189" fillId="115" borderId="74" applyNumberFormat="0" applyAlignment="0" applyProtection="0">
      <alignment horizontal="left" vertical="center" indent="1"/>
    </xf>
    <xf numFmtId="0" fontId="189" fillId="116" borderId="54" applyNumberFormat="0" applyAlignment="0" applyProtection="0">
      <alignment horizontal="left" vertical="center" indent="1"/>
    </xf>
    <xf numFmtId="228" fontId="189" fillId="116" borderId="54" applyNumberFormat="0" applyAlignment="0" applyProtection="0">
      <alignment horizontal="left" vertical="center" indent="1"/>
    </xf>
    <xf numFmtId="0" fontId="189" fillId="116" borderId="54" applyNumberFormat="0" applyAlignment="0" applyProtection="0">
      <alignment horizontal="left" vertical="center" indent="1"/>
    </xf>
    <xf numFmtId="0" fontId="188" fillId="114" borderId="54" applyNumberFormat="0" applyAlignment="0" applyProtection="0">
      <alignment horizontal="left" vertical="center" indent="1"/>
    </xf>
    <xf numFmtId="0" fontId="188" fillId="114" borderId="54" applyNumberFormat="0" applyAlignment="0" applyProtection="0">
      <alignment horizontal="left" vertical="center" indent="1"/>
    </xf>
    <xf numFmtId="228" fontId="188" fillId="114" borderId="54" applyNumberFormat="0" applyAlignment="0" applyProtection="0">
      <alignment horizontal="left" vertical="center" indent="1"/>
    </xf>
    <xf numFmtId="228" fontId="188" fillId="114" borderId="54" applyNumberFormat="0" applyAlignment="0" applyProtection="0">
      <alignment horizontal="left" vertical="center" indent="1"/>
    </xf>
    <xf numFmtId="0" fontId="188" fillId="114" borderId="54" applyNumberFormat="0" applyAlignment="0" applyProtection="0">
      <alignment horizontal="left" vertical="center" indent="1"/>
    </xf>
    <xf numFmtId="228" fontId="188" fillId="114" borderId="54" applyNumberFormat="0" applyAlignment="0" applyProtection="0">
      <alignment horizontal="left" vertical="center" indent="1"/>
    </xf>
    <xf numFmtId="0" fontId="188" fillId="114" borderId="54" applyNumberFormat="0" applyAlignment="0" applyProtection="0">
      <alignment horizontal="left" vertical="center" indent="1"/>
    </xf>
    <xf numFmtId="228" fontId="188" fillId="114" borderId="54" applyNumberFormat="0" applyAlignment="0" applyProtection="0">
      <alignment horizontal="left" vertical="center" indent="1"/>
    </xf>
    <xf numFmtId="228" fontId="188" fillId="114" borderId="54" applyNumberFormat="0" applyAlignment="0" applyProtection="0">
      <alignment horizontal="left" vertical="center" indent="1"/>
    </xf>
    <xf numFmtId="0" fontId="188" fillId="114" borderId="54" applyNumberFormat="0" applyAlignment="0" applyProtection="0">
      <alignment horizontal="left" vertical="center" indent="1"/>
    </xf>
    <xf numFmtId="228" fontId="188" fillId="114" borderId="54" applyNumberFormat="0" applyAlignment="0" applyProtection="0">
      <alignment horizontal="left" vertical="center" indent="1"/>
    </xf>
    <xf numFmtId="0" fontId="188" fillId="114" borderId="54" applyNumberFormat="0" applyAlignment="0" applyProtection="0">
      <alignment horizontal="left" vertical="center" indent="1"/>
    </xf>
    <xf numFmtId="228" fontId="188" fillId="114" borderId="54" applyNumberFormat="0" applyAlignment="0" applyProtection="0">
      <alignment horizontal="left" vertical="center" indent="1"/>
    </xf>
    <xf numFmtId="228" fontId="188" fillId="114" borderId="54" applyNumberFormat="0" applyAlignment="0" applyProtection="0">
      <alignment horizontal="left" vertical="center" indent="1"/>
    </xf>
    <xf numFmtId="0" fontId="188" fillId="114" borderId="54" applyNumberFormat="0" applyAlignment="0" applyProtection="0">
      <alignment horizontal="left" vertical="center" indent="1"/>
    </xf>
    <xf numFmtId="228" fontId="188" fillId="114" borderId="54" applyNumberFormat="0" applyAlignment="0" applyProtection="0">
      <alignment horizontal="left" vertical="center" indent="1"/>
    </xf>
    <xf numFmtId="228" fontId="188" fillId="114" borderId="54" applyNumberFormat="0" applyAlignment="0" applyProtection="0">
      <alignment horizontal="left" vertical="center" indent="1"/>
    </xf>
    <xf numFmtId="228" fontId="188" fillId="114" borderId="54" applyNumberFormat="0" applyAlignment="0" applyProtection="0">
      <alignment horizontal="left" vertical="center" indent="1"/>
    </xf>
    <xf numFmtId="0" fontId="188" fillId="114" borderId="54" applyNumberFormat="0" applyAlignment="0" applyProtection="0">
      <alignment horizontal="left" vertical="center" indent="1"/>
    </xf>
    <xf numFmtId="228" fontId="188" fillId="114" borderId="54" applyNumberFormat="0" applyAlignment="0" applyProtection="0">
      <alignment horizontal="left" vertical="center" indent="1"/>
    </xf>
    <xf numFmtId="0" fontId="188" fillId="114" borderId="54" applyNumberFormat="0" applyAlignment="0" applyProtection="0">
      <alignment horizontal="left" vertical="center" indent="1"/>
    </xf>
    <xf numFmtId="228" fontId="188" fillId="114" borderId="54" applyNumberFormat="0" applyAlignment="0" applyProtection="0">
      <alignment horizontal="left" vertical="center" indent="1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5" fillId="113" borderId="73" applyNumberFormat="0" applyBorder="0" applyProtection="0">
      <alignment horizontal="right" vertical="center"/>
    </xf>
    <xf numFmtId="230" fontId="184" fillId="88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4" fillId="86" borderId="70" applyNumberFormat="0" applyBorder="0" applyProtection="0">
      <alignment horizontal="right" vertical="center"/>
    </xf>
    <xf numFmtId="230" fontId="186" fillId="86" borderId="54" applyNumberFormat="0" applyBorder="0" applyProtection="0">
      <alignment horizontal="right" vertical="center"/>
    </xf>
    <xf numFmtId="230" fontId="187" fillId="113" borderId="74" applyNumberFormat="0" applyBorder="0" applyProtection="0">
      <alignment horizontal="right" vertical="center"/>
    </xf>
    <xf numFmtId="230" fontId="186" fillId="88" borderId="54" applyNumberFormat="0" applyBorder="0" applyProtection="0">
      <alignment horizontal="right" vertical="center"/>
    </xf>
    <xf numFmtId="230" fontId="186" fillId="86" borderId="54" applyNumberFormat="0" applyBorder="0" applyProtection="0">
      <alignment horizontal="right" vertical="center"/>
    </xf>
    <xf numFmtId="230" fontId="186" fillId="86" borderId="54" applyNumberFormat="0" applyBorder="0" applyProtection="0">
      <alignment horizontal="right" vertical="center"/>
    </xf>
    <xf numFmtId="230" fontId="186" fillId="86" borderId="54" applyNumberFormat="0" applyBorder="0" applyProtection="0">
      <alignment horizontal="right" vertical="center"/>
    </xf>
    <xf numFmtId="230" fontId="186" fillId="86" borderId="54" applyNumberFormat="0" applyBorder="0" applyProtection="0">
      <alignment horizontal="right" vertical="center"/>
    </xf>
    <xf numFmtId="230" fontId="186" fillId="86" borderId="54" applyNumberFormat="0" applyBorder="0" applyProtection="0">
      <alignment horizontal="right" vertical="center"/>
    </xf>
    <xf numFmtId="230" fontId="186" fillId="86" borderId="54" applyNumberFormat="0" applyBorder="0" applyProtection="0">
      <alignment horizontal="right" vertical="center"/>
    </xf>
    <xf numFmtId="230" fontId="186" fillId="86" borderId="54" applyNumberFormat="0" applyBorder="0" applyProtection="0">
      <alignment horizontal="right" vertical="center"/>
    </xf>
    <xf numFmtId="230" fontId="186" fillId="86" borderId="54" applyNumberFormat="0" applyBorder="0" applyProtection="0">
      <alignment horizontal="right" vertical="center"/>
    </xf>
    <xf numFmtId="230" fontId="186" fillId="86" borderId="54" applyNumberFormat="0" applyBorder="0" applyProtection="0">
      <alignment horizontal="right" vertical="center"/>
    </xf>
    <xf numFmtId="230" fontId="186" fillId="86" borderId="54" applyNumberFormat="0" applyBorder="0" applyProtection="0">
      <alignment horizontal="right" vertical="center"/>
    </xf>
    <xf numFmtId="230" fontId="186" fillId="86" borderId="54" applyNumberFormat="0" applyBorder="0" applyProtection="0">
      <alignment horizontal="right" vertical="center"/>
    </xf>
    <xf numFmtId="230" fontId="186" fillId="86" borderId="54" applyNumberFormat="0" applyBorder="0" applyProtection="0">
      <alignment horizontal="right" vertical="center"/>
    </xf>
    <xf numFmtId="230" fontId="186" fillId="86" borderId="54" applyNumberFormat="0" applyBorder="0" applyProtection="0">
      <alignment horizontal="right" vertical="center"/>
    </xf>
    <xf numFmtId="230" fontId="186" fillId="86" borderId="54" applyNumberFormat="0" applyBorder="0" applyProtection="0">
      <alignment horizontal="right" vertical="center"/>
    </xf>
    <xf numFmtId="230" fontId="186" fillId="86" borderId="54" applyNumberFormat="0" applyBorder="0" applyProtection="0">
      <alignment horizontal="right" vertical="center"/>
    </xf>
    <xf numFmtId="230" fontId="186" fillId="86" borderId="54" applyNumberFormat="0" applyBorder="0" applyProtection="0">
      <alignment horizontal="right" vertical="center"/>
    </xf>
    <xf numFmtId="230" fontId="186" fillId="86" borderId="54" applyNumberFormat="0" applyBorder="0" applyProtection="0">
      <alignment horizontal="right" vertical="center"/>
    </xf>
    <xf numFmtId="230" fontId="186" fillId="86" borderId="54" applyNumberFormat="0" applyBorder="0" applyProtection="0">
      <alignment horizontal="right" vertical="center"/>
    </xf>
    <xf numFmtId="230" fontId="186" fillId="86" borderId="54" applyNumberFormat="0" applyBorder="0" applyProtection="0">
      <alignment horizontal="right" vertical="center"/>
    </xf>
    <xf numFmtId="230" fontId="186" fillId="86" borderId="54" applyNumberFormat="0" applyBorder="0" applyProtection="0">
      <alignment horizontal="right" vertical="center"/>
    </xf>
    <xf numFmtId="230" fontId="184" fillId="54" borderId="71" applyNumberFormat="0" applyAlignment="0" applyProtection="0">
      <alignment horizontal="left" vertical="center" indent="1"/>
    </xf>
    <xf numFmtId="230" fontId="185" fillId="117" borderId="72" applyNumberFormat="0" applyAlignment="0" applyProtection="0">
      <alignment horizontal="left" vertical="center" indent="1"/>
    </xf>
    <xf numFmtId="230" fontId="184" fillId="118" borderId="71" applyNumberFormat="0" applyAlignment="0" applyProtection="0">
      <alignment horizontal="left" vertical="center" indent="1"/>
    </xf>
    <xf numFmtId="230" fontId="184" fillId="54" borderId="71" applyNumberFormat="0" applyAlignment="0" applyProtection="0">
      <alignment horizontal="left" vertical="center" indent="1"/>
    </xf>
    <xf numFmtId="230" fontId="184" fillId="54" borderId="71" applyNumberFormat="0" applyAlignment="0" applyProtection="0">
      <alignment horizontal="left" vertical="center" indent="1"/>
    </xf>
    <xf numFmtId="230" fontId="184" fillId="54" borderId="71" applyNumberFormat="0" applyAlignment="0" applyProtection="0">
      <alignment horizontal="left" vertical="center" indent="1"/>
    </xf>
    <xf numFmtId="230" fontId="184" fillId="54" borderId="71" applyNumberFormat="0" applyAlignment="0" applyProtection="0">
      <alignment horizontal="left" vertical="center" indent="1"/>
    </xf>
    <xf numFmtId="230" fontId="184" fillId="54" borderId="71" applyNumberFormat="0" applyAlignment="0" applyProtection="0">
      <alignment horizontal="left" vertical="center" indent="1"/>
    </xf>
    <xf numFmtId="230" fontId="184" fillId="54" borderId="71" applyNumberFormat="0" applyAlignment="0" applyProtection="0">
      <alignment horizontal="left" vertical="center" indent="1"/>
    </xf>
    <xf numFmtId="230" fontId="184" fillId="54" borderId="71" applyNumberFormat="0" applyAlignment="0" applyProtection="0">
      <alignment horizontal="left" vertical="center" indent="1"/>
    </xf>
    <xf numFmtId="230" fontId="184" fillId="54" borderId="71" applyNumberFormat="0" applyAlignment="0" applyProtection="0">
      <alignment horizontal="left" vertical="center" indent="1"/>
    </xf>
    <xf numFmtId="230" fontId="184" fillId="54" borderId="71" applyNumberFormat="0" applyAlignment="0" applyProtection="0">
      <alignment horizontal="left" vertical="center" indent="1"/>
    </xf>
    <xf numFmtId="230" fontId="184" fillId="54" borderId="71" applyNumberFormat="0" applyAlignment="0" applyProtection="0">
      <alignment horizontal="left" vertical="center" indent="1"/>
    </xf>
    <xf numFmtId="230" fontId="184" fillId="54" borderId="71" applyNumberFormat="0" applyAlignment="0" applyProtection="0">
      <alignment horizontal="left" vertical="center" indent="1"/>
    </xf>
    <xf numFmtId="230" fontId="184" fillId="54" borderId="71" applyNumberFormat="0" applyAlignment="0" applyProtection="0">
      <alignment horizontal="left" vertical="center" indent="1"/>
    </xf>
    <xf numFmtId="230" fontId="184" fillId="54" borderId="71" applyNumberFormat="0" applyAlignment="0" applyProtection="0">
      <alignment horizontal="left" vertical="center" indent="1"/>
    </xf>
    <xf numFmtId="230" fontId="184" fillId="54" borderId="71" applyNumberFormat="0" applyAlignment="0" applyProtection="0">
      <alignment horizontal="left" vertical="center" indent="1"/>
    </xf>
    <xf numFmtId="230" fontId="184" fillId="54" borderId="71" applyNumberFormat="0" applyAlignment="0" applyProtection="0">
      <alignment horizontal="left" vertical="center" indent="1"/>
    </xf>
    <xf numFmtId="230" fontId="184" fillId="54" borderId="71" applyNumberFormat="0" applyAlignment="0" applyProtection="0">
      <alignment horizontal="left" vertical="center" indent="1"/>
    </xf>
    <xf numFmtId="230" fontId="184" fillId="54" borderId="71" applyNumberFormat="0" applyAlignment="0" applyProtection="0">
      <alignment horizontal="left" vertical="center" indent="1"/>
    </xf>
    <xf numFmtId="230" fontId="184" fillId="54" borderId="71" applyNumberFormat="0" applyAlignment="0" applyProtection="0">
      <alignment horizontal="left" vertical="center" indent="1"/>
    </xf>
    <xf numFmtId="230" fontId="184" fillId="54" borderId="71" applyNumberFormat="0" applyAlignment="0" applyProtection="0">
      <alignment horizontal="left" vertical="center" indent="1"/>
    </xf>
    <xf numFmtId="230" fontId="184" fillId="54" borderId="71" applyNumberFormat="0" applyAlignment="0" applyProtection="0">
      <alignment horizontal="left" vertical="center" indent="1"/>
    </xf>
    <xf numFmtId="0" fontId="186" fillId="86" borderId="54" applyNumberFormat="0" applyAlignment="0" applyProtection="0">
      <alignment horizontal="left" vertical="center" indent="1"/>
    </xf>
    <xf numFmtId="0" fontId="187" fillId="87" borderId="74" applyNumberFormat="0" applyAlignment="0" applyProtection="0">
      <alignment horizontal="left" vertical="center" indent="1"/>
    </xf>
    <xf numFmtId="0" fontId="186" fillId="88" borderId="54" applyNumberFormat="0" applyAlignment="0" applyProtection="0">
      <alignment horizontal="left" vertical="center" indent="1"/>
    </xf>
    <xf numFmtId="228" fontId="186" fillId="88" borderId="54" applyNumberFormat="0" applyAlignment="0" applyProtection="0">
      <alignment horizontal="left" vertical="center" indent="1"/>
    </xf>
    <xf numFmtId="0" fontId="186" fillId="88" borderId="54" applyNumberFormat="0" applyAlignment="0" applyProtection="0">
      <alignment horizontal="left" vertical="center" indent="1"/>
    </xf>
    <xf numFmtId="0" fontId="186" fillId="86" borderId="54" applyNumberFormat="0" applyAlignment="0" applyProtection="0">
      <alignment horizontal="left" vertical="center" indent="1"/>
    </xf>
    <xf numFmtId="0" fontId="186" fillId="86" borderId="54" applyNumberFormat="0" applyAlignment="0" applyProtection="0">
      <alignment horizontal="left" vertical="center" indent="1"/>
    </xf>
    <xf numFmtId="228" fontId="186" fillId="86" borderId="54" applyNumberFormat="0" applyAlignment="0" applyProtection="0">
      <alignment horizontal="left" vertical="center" indent="1"/>
    </xf>
    <xf numFmtId="228" fontId="186" fillId="86" borderId="54" applyNumberFormat="0" applyAlignment="0" applyProtection="0">
      <alignment horizontal="left" vertical="center" indent="1"/>
    </xf>
    <xf numFmtId="0" fontId="186" fillId="86" borderId="54" applyNumberFormat="0" applyAlignment="0" applyProtection="0">
      <alignment horizontal="left" vertical="center" indent="1"/>
    </xf>
    <xf numFmtId="228" fontId="186" fillId="86" borderId="54" applyNumberFormat="0" applyAlignment="0" applyProtection="0">
      <alignment horizontal="left" vertical="center" indent="1"/>
    </xf>
    <xf numFmtId="0" fontId="186" fillId="86" borderId="54" applyNumberFormat="0" applyAlignment="0" applyProtection="0">
      <alignment horizontal="left" vertical="center" indent="1"/>
    </xf>
    <xf numFmtId="228" fontId="186" fillId="86" borderId="54" applyNumberFormat="0" applyAlignment="0" applyProtection="0">
      <alignment horizontal="left" vertical="center" indent="1"/>
    </xf>
    <xf numFmtId="228" fontId="186" fillId="86" borderId="54" applyNumberFormat="0" applyAlignment="0" applyProtection="0">
      <alignment horizontal="left" vertical="center" indent="1"/>
    </xf>
    <xf numFmtId="0" fontId="186" fillId="86" borderId="54" applyNumberFormat="0" applyAlignment="0" applyProtection="0">
      <alignment horizontal="left" vertical="center" indent="1"/>
    </xf>
    <xf numFmtId="228" fontId="186" fillId="86" borderId="54" applyNumberFormat="0" applyAlignment="0" applyProtection="0">
      <alignment horizontal="left" vertical="center" indent="1"/>
    </xf>
    <xf numFmtId="0" fontId="186" fillId="86" borderId="54" applyNumberFormat="0" applyAlignment="0" applyProtection="0">
      <alignment horizontal="left" vertical="center" indent="1"/>
    </xf>
    <xf numFmtId="228" fontId="186" fillId="86" borderId="54" applyNumberFormat="0" applyAlignment="0" applyProtection="0">
      <alignment horizontal="left" vertical="center" indent="1"/>
    </xf>
    <xf numFmtId="228" fontId="186" fillId="86" borderId="54" applyNumberFormat="0" applyAlignment="0" applyProtection="0">
      <alignment horizontal="left" vertical="center" indent="1"/>
    </xf>
    <xf numFmtId="0" fontId="186" fillId="86" borderId="54" applyNumberFormat="0" applyAlignment="0" applyProtection="0">
      <alignment horizontal="left" vertical="center" indent="1"/>
    </xf>
    <xf numFmtId="228" fontId="186" fillId="86" borderId="54" applyNumberFormat="0" applyAlignment="0" applyProtection="0">
      <alignment horizontal="left" vertical="center" indent="1"/>
    </xf>
    <xf numFmtId="228" fontId="186" fillId="86" borderId="54" applyNumberFormat="0" applyAlignment="0" applyProtection="0">
      <alignment horizontal="left" vertical="center" indent="1"/>
    </xf>
    <xf numFmtId="228" fontId="186" fillId="86" borderId="54" applyNumberFormat="0" applyAlignment="0" applyProtection="0">
      <alignment horizontal="left" vertical="center" indent="1"/>
    </xf>
    <xf numFmtId="0" fontId="186" fillId="86" borderId="54" applyNumberFormat="0" applyAlignment="0" applyProtection="0">
      <alignment horizontal="left" vertical="center" indent="1"/>
    </xf>
    <xf numFmtId="228" fontId="186" fillId="86" borderId="54" applyNumberFormat="0" applyAlignment="0" applyProtection="0">
      <alignment horizontal="left" vertical="center" indent="1"/>
    </xf>
    <xf numFmtId="0" fontId="186" fillId="86" borderId="54" applyNumberFormat="0" applyAlignment="0" applyProtection="0">
      <alignment horizontal="left" vertical="center" indent="1"/>
    </xf>
    <xf numFmtId="228" fontId="186" fillId="86" borderId="54" applyNumberFormat="0" applyAlignment="0" applyProtection="0">
      <alignment horizontal="left" vertical="center" indent="1"/>
    </xf>
    <xf numFmtId="0" fontId="188" fillId="114" borderId="54" applyNumberFormat="0" applyAlignment="0" applyProtection="0">
      <alignment horizontal="left" vertical="center" indent="1"/>
    </xf>
    <xf numFmtId="0" fontId="189" fillId="115" borderId="74" applyNumberFormat="0" applyAlignment="0" applyProtection="0">
      <alignment horizontal="left" vertical="center" indent="1"/>
    </xf>
    <xf numFmtId="0" fontId="189" fillId="116" borderId="54" applyNumberFormat="0" applyAlignment="0" applyProtection="0">
      <alignment horizontal="left" vertical="center" indent="1"/>
    </xf>
    <xf numFmtId="228" fontId="189" fillId="116" borderId="54" applyNumberFormat="0" applyAlignment="0" applyProtection="0">
      <alignment horizontal="left" vertical="center" indent="1"/>
    </xf>
    <xf numFmtId="0" fontId="189" fillId="116" borderId="54" applyNumberFormat="0" applyAlignment="0" applyProtection="0">
      <alignment horizontal="left" vertical="center" indent="1"/>
    </xf>
    <xf numFmtId="0" fontId="188" fillId="114" borderId="54" applyNumberFormat="0" applyAlignment="0" applyProtection="0">
      <alignment horizontal="left" vertical="center" indent="1"/>
    </xf>
    <xf numFmtId="0" fontId="188" fillId="114" borderId="54" applyNumberFormat="0" applyAlignment="0" applyProtection="0">
      <alignment horizontal="left" vertical="center" indent="1"/>
    </xf>
    <xf numFmtId="228" fontId="188" fillId="114" borderId="54" applyNumberFormat="0" applyAlignment="0" applyProtection="0">
      <alignment horizontal="left" vertical="center" indent="1"/>
    </xf>
    <xf numFmtId="228" fontId="188" fillId="114" borderId="54" applyNumberFormat="0" applyAlignment="0" applyProtection="0">
      <alignment horizontal="left" vertical="center" indent="1"/>
    </xf>
    <xf numFmtId="0" fontId="188" fillId="114" borderId="54" applyNumberFormat="0" applyAlignment="0" applyProtection="0">
      <alignment horizontal="left" vertical="center" indent="1"/>
    </xf>
    <xf numFmtId="228" fontId="188" fillId="114" borderId="54" applyNumberFormat="0" applyAlignment="0" applyProtection="0">
      <alignment horizontal="left" vertical="center" indent="1"/>
    </xf>
    <xf numFmtId="0" fontId="188" fillId="114" borderId="54" applyNumberFormat="0" applyAlignment="0" applyProtection="0">
      <alignment horizontal="left" vertical="center" indent="1"/>
    </xf>
    <xf numFmtId="228" fontId="188" fillId="114" borderId="54" applyNumberFormat="0" applyAlignment="0" applyProtection="0">
      <alignment horizontal="left" vertical="center" indent="1"/>
    </xf>
    <xf numFmtId="228" fontId="188" fillId="114" borderId="54" applyNumberFormat="0" applyAlignment="0" applyProtection="0">
      <alignment horizontal="left" vertical="center" indent="1"/>
    </xf>
    <xf numFmtId="0" fontId="188" fillId="114" borderId="54" applyNumberFormat="0" applyAlignment="0" applyProtection="0">
      <alignment horizontal="left" vertical="center" indent="1"/>
    </xf>
    <xf numFmtId="228" fontId="188" fillId="114" borderId="54" applyNumberFormat="0" applyAlignment="0" applyProtection="0">
      <alignment horizontal="left" vertical="center" indent="1"/>
    </xf>
    <xf numFmtId="0" fontId="188" fillId="114" borderId="54" applyNumberFormat="0" applyAlignment="0" applyProtection="0">
      <alignment horizontal="left" vertical="center" indent="1"/>
    </xf>
    <xf numFmtId="228" fontId="188" fillId="114" borderId="54" applyNumberFormat="0" applyAlignment="0" applyProtection="0">
      <alignment horizontal="left" vertical="center" indent="1"/>
    </xf>
    <xf numFmtId="228" fontId="188" fillId="114" borderId="54" applyNumberFormat="0" applyAlignment="0" applyProtection="0">
      <alignment horizontal="left" vertical="center" indent="1"/>
    </xf>
    <xf numFmtId="0" fontId="188" fillId="114" borderId="54" applyNumberFormat="0" applyAlignment="0" applyProtection="0">
      <alignment horizontal="left" vertical="center" indent="1"/>
    </xf>
    <xf numFmtId="228" fontId="188" fillId="114" borderId="54" applyNumberFormat="0" applyAlignment="0" applyProtection="0">
      <alignment horizontal="left" vertical="center" indent="1"/>
    </xf>
    <xf numFmtId="228" fontId="188" fillId="114" borderId="54" applyNumberFormat="0" applyAlignment="0" applyProtection="0">
      <alignment horizontal="left" vertical="center" indent="1"/>
    </xf>
    <xf numFmtId="228" fontId="188" fillId="114" borderId="54" applyNumberFormat="0" applyAlignment="0" applyProtection="0">
      <alignment horizontal="left" vertical="center" indent="1"/>
    </xf>
    <xf numFmtId="0" fontId="188" fillId="114" borderId="54" applyNumberFormat="0" applyAlignment="0" applyProtection="0">
      <alignment horizontal="left" vertical="center" indent="1"/>
    </xf>
    <xf numFmtId="228" fontId="188" fillId="114" borderId="54" applyNumberFormat="0" applyAlignment="0" applyProtection="0">
      <alignment horizontal="left" vertical="center" indent="1"/>
    </xf>
    <xf numFmtId="0" fontId="188" fillId="114" borderId="54" applyNumberFormat="0" applyAlignment="0" applyProtection="0">
      <alignment horizontal="left" vertical="center" indent="1"/>
    </xf>
    <xf numFmtId="228" fontId="188" fillId="114" borderId="54" applyNumberFormat="0" applyAlignment="0" applyProtection="0">
      <alignment horizontal="left" vertical="center" indent="1"/>
    </xf>
    <xf numFmtId="230" fontId="186" fillId="114" borderId="54" applyNumberFormat="0" applyProtection="0">
      <alignment horizontal="right" vertical="center"/>
    </xf>
    <xf numFmtId="230" fontId="187" fillId="115" borderId="74" applyNumberFormat="0" applyProtection="0">
      <alignment horizontal="right" vertical="center"/>
    </xf>
    <xf numFmtId="230" fontId="186" fillId="116" borderId="54" applyNumberFormat="0" applyProtection="0">
      <alignment horizontal="right" vertical="center"/>
    </xf>
    <xf numFmtId="230" fontId="186" fillId="114" borderId="54" applyNumberFormat="0" applyProtection="0">
      <alignment horizontal="right" vertical="center"/>
    </xf>
    <xf numFmtId="230" fontId="186" fillId="114" borderId="54" applyNumberFormat="0" applyProtection="0">
      <alignment horizontal="right" vertical="center"/>
    </xf>
    <xf numFmtId="230" fontId="186" fillId="114" borderId="54" applyNumberFormat="0" applyProtection="0">
      <alignment horizontal="right" vertical="center"/>
    </xf>
    <xf numFmtId="230" fontId="186" fillId="114" borderId="54" applyNumberFormat="0" applyProtection="0">
      <alignment horizontal="right" vertical="center"/>
    </xf>
    <xf numFmtId="230" fontId="186" fillId="114" borderId="54" applyNumberFormat="0" applyProtection="0">
      <alignment horizontal="right" vertical="center"/>
    </xf>
    <xf numFmtId="230" fontId="186" fillId="114" borderId="54" applyNumberFormat="0" applyProtection="0">
      <alignment horizontal="right" vertical="center"/>
    </xf>
    <xf numFmtId="230" fontId="186" fillId="114" borderId="54" applyNumberFormat="0" applyProtection="0">
      <alignment horizontal="right" vertical="center"/>
    </xf>
    <xf numFmtId="230" fontId="186" fillId="114" borderId="54" applyNumberFormat="0" applyProtection="0">
      <alignment horizontal="right" vertical="center"/>
    </xf>
    <xf numFmtId="230" fontId="186" fillId="114" borderId="54" applyNumberFormat="0" applyProtection="0">
      <alignment horizontal="right" vertical="center"/>
    </xf>
    <xf numFmtId="230" fontId="186" fillId="114" borderId="54" applyNumberFormat="0" applyProtection="0">
      <alignment horizontal="right" vertical="center"/>
    </xf>
    <xf numFmtId="230" fontId="186" fillId="114" borderId="54" applyNumberFormat="0" applyProtection="0">
      <alignment horizontal="right" vertical="center"/>
    </xf>
    <xf numFmtId="230" fontId="186" fillId="114" borderId="54" applyNumberFormat="0" applyProtection="0">
      <alignment horizontal="right" vertical="center"/>
    </xf>
    <xf numFmtId="230" fontId="186" fillId="114" borderId="54" applyNumberFormat="0" applyProtection="0">
      <alignment horizontal="right" vertical="center"/>
    </xf>
    <xf numFmtId="230" fontId="186" fillId="114" borderId="54" applyNumberFormat="0" applyProtection="0">
      <alignment horizontal="right" vertical="center"/>
    </xf>
    <xf numFmtId="230" fontId="186" fillId="114" borderId="54" applyNumberFormat="0" applyProtection="0">
      <alignment horizontal="right" vertical="center"/>
    </xf>
    <xf numFmtId="230" fontId="186" fillId="114" borderId="54" applyNumberFormat="0" applyProtection="0">
      <alignment horizontal="right" vertical="center"/>
    </xf>
    <xf numFmtId="230" fontId="186" fillId="114" borderId="54" applyNumberFormat="0" applyProtection="0">
      <alignment horizontal="right" vertical="center"/>
    </xf>
    <xf numFmtId="230" fontId="186" fillId="114" borderId="54" applyNumberFormat="0" applyProtection="0">
      <alignment horizontal="right" vertical="center"/>
    </xf>
    <xf numFmtId="230" fontId="186" fillId="114" borderId="54" applyNumberFormat="0" applyProtection="0">
      <alignment horizontal="right" vertical="center"/>
    </xf>
    <xf numFmtId="230" fontId="186" fillId="114" borderId="54" applyNumberFormat="0" applyProtection="0">
      <alignment horizontal="right" vertical="center"/>
    </xf>
    <xf numFmtId="0" fontId="55" fillId="52" borderId="0" applyNumberFormat="0" applyBorder="0" applyAlignment="0" applyProtection="0"/>
    <xf numFmtId="0" fontId="201" fillId="0" borderId="58" applyNumberFormat="0" applyFill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228" fontId="204" fillId="0" borderId="0" applyNumberFormat="0" applyFill="0" applyBorder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0" fontId="205" fillId="0" borderId="58" applyNumberFormat="0" applyFill="0" applyAlignment="0" applyProtection="0">
      <alignment vertical="center"/>
    </xf>
    <xf numFmtId="0" fontId="205" fillId="0" borderId="58" applyNumberFormat="0" applyFill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/>
    <xf numFmtId="0" fontId="206" fillId="0" borderId="65" applyNumberFormat="0" applyFill="0" applyAlignment="0" applyProtection="0"/>
    <xf numFmtId="0" fontId="207" fillId="0" borderId="66" applyNumberFormat="0" applyFill="0" applyAlignment="0" applyProtection="0"/>
    <xf numFmtId="0" fontId="208" fillId="0" borderId="67" applyNumberFormat="0" applyFill="0" applyAlignment="0" applyProtection="0"/>
    <xf numFmtId="0" fontId="208" fillId="0" borderId="0" applyNumberFormat="0" applyFill="0" applyBorder="0" applyAlignment="0" applyProtection="0"/>
    <xf numFmtId="0" fontId="133" fillId="41" borderId="70" applyNumberFormat="0" applyFont="0" applyAlignment="0" applyProtection="0">
      <alignment vertical="center"/>
    </xf>
    <xf numFmtId="0" fontId="81" fillId="0" borderId="53" applyNumberFormat="0" applyFill="0" applyAlignment="0" applyProtection="0"/>
    <xf numFmtId="0" fontId="97" fillId="0" borderId="0" applyNumberFormat="0" applyFill="0" applyBorder="0" applyAlignment="0" applyProtection="0"/>
    <xf numFmtId="0" fontId="209" fillId="0" borderId="0" applyNumberFormat="0" applyFill="0" applyBorder="0" applyAlignment="0" applyProtection="0">
      <alignment vertical="center"/>
    </xf>
    <xf numFmtId="228" fontId="209" fillId="0" borderId="0" applyNumberFormat="0" applyFill="0" applyBorder="0" applyAlignment="0" applyProtection="0">
      <alignment vertical="center"/>
    </xf>
    <xf numFmtId="0" fontId="77" fillId="119" borderId="1" applyNumberFormat="0" applyFont="0" applyBorder="0" applyAlignment="0">
      <alignment horizontal="center" vertical="center"/>
    </xf>
    <xf numFmtId="0" fontId="64" fillId="47" borderId="46" applyNumberFormat="0" applyAlignment="0" applyProtection="0"/>
    <xf numFmtId="0" fontId="210" fillId="52" borderId="0" applyNumberFormat="0" applyBorder="0" applyAlignment="0" applyProtection="0">
      <alignment vertical="center"/>
    </xf>
    <xf numFmtId="43" fontId="7" fillId="0" borderId="0" applyFont="0" applyFill="0" applyBorder="0" applyAlignment="0" applyProtection="0"/>
    <xf numFmtId="0" fontId="7" fillId="0" borderId="0"/>
    <xf numFmtId="0" fontId="155" fillId="79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228" fontId="155" fillId="46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47" fillId="46" borderId="0" applyNumberFormat="0" applyBorder="0" applyAlignment="0" applyProtection="0"/>
    <xf numFmtId="0" fontId="47" fillId="46" borderId="0" applyNumberFormat="0" applyBorder="0" applyAlignment="0" applyProtection="0"/>
    <xf numFmtId="228" fontId="47" fillId="46" borderId="0" applyNumberFormat="0" applyBorder="0" applyAlignment="0" applyProtection="0"/>
    <xf numFmtId="0" fontId="155" fillId="79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228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47" fillId="69" borderId="0" applyNumberFormat="0" applyBorder="0" applyAlignment="0" applyProtection="0"/>
    <xf numFmtId="0" fontId="47" fillId="69" borderId="0" applyNumberFormat="0" applyBorder="0" applyAlignment="0" applyProtection="0"/>
    <xf numFmtId="228" fontId="47" fillId="69" borderId="0" applyNumberFormat="0" applyBorder="0" applyAlignment="0" applyProtection="0"/>
    <xf numFmtId="0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8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228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47" fillId="120" borderId="0" applyNumberFormat="0" applyBorder="0" applyAlignment="0" applyProtection="0"/>
    <xf numFmtId="0" fontId="47" fillId="120" borderId="0" applyNumberFormat="0" applyBorder="0" applyAlignment="0" applyProtection="0"/>
    <xf numFmtId="228" fontId="47" fillId="120" borderId="0" applyNumberFormat="0" applyBorder="0" applyAlignment="0" applyProtection="0"/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49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50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50" borderId="0" applyNumberFormat="0" applyBorder="0" applyAlignment="0" applyProtection="0">
      <alignment vertical="center"/>
    </xf>
    <xf numFmtId="228" fontId="155" fillId="50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47" fillId="50" borderId="0" applyNumberFormat="0" applyBorder="0" applyAlignment="0" applyProtection="0"/>
    <xf numFmtId="0" fontId="47" fillId="50" borderId="0" applyNumberFormat="0" applyBorder="0" applyAlignment="0" applyProtection="0"/>
    <xf numFmtId="228" fontId="47" fillId="50" borderId="0" applyNumberFormat="0" applyBorder="0" applyAlignment="0" applyProtection="0"/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77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228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47" fillId="46" borderId="0" applyNumberFormat="0" applyBorder="0" applyAlignment="0" applyProtection="0"/>
    <xf numFmtId="0" fontId="47" fillId="46" borderId="0" applyNumberFormat="0" applyBorder="0" applyAlignment="0" applyProtection="0"/>
    <xf numFmtId="228" fontId="47" fillId="46" borderId="0" applyNumberFormat="0" applyBorder="0" applyAlignment="0" applyProtection="0"/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46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228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47" fillId="76" borderId="0" applyNumberFormat="0" applyBorder="0" applyAlignment="0" applyProtection="0"/>
    <xf numFmtId="0" fontId="47" fillId="76" borderId="0" applyNumberFormat="0" applyBorder="0" applyAlignment="0" applyProtection="0"/>
    <xf numFmtId="228" fontId="47" fillId="76" borderId="0" applyNumberFormat="0" applyBorder="0" applyAlignment="0" applyProtection="0"/>
    <xf numFmtId="0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155" fillId="51" borderId="0" applyNumberFormat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228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/>
    <xf numFmtId="0" fontId="211" fillId="0" borderId="0" applyNumberFormat="0" applyFill="0" applyBorder="0" applyAlignment="0" applyProtection="0"/>
    <xf numFmtId="228" fontId="211" fillId="0" borderId="0" applyNumberFormat="0" applyFill="0" applyBorder="0" applyAlignment="0" applyProtection="0"/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0" fontId="158" fillId="67" borderId="45" applyNumberFormat="0" applyAlignment="0" applyProtection="0">
      <alignment vertical="center"/>
    </xf>
    <xf numFmtId="0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0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0" fontId="158" fillId="67" borderId="45" applyNumberFormat="0" applyAlignment="0" applyProtection="0">
      <alignment vertical="center"/>
    </xf>
    <xf numFmtId="0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0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0" fontId="158" fillId="67" borderId="45" applyNumberFormat="0" applyAlignment="0" applyProtection="0">
      <alignment vertical="center"/>
    </xf>
    <xf numFmtId="0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0" fontId="158" fillId="67" borderId="45" applyNumberFormat="0" applyAlignment="0" applyProtection="0">
      <alignment vertical="center"/>
    </xf>
    <xf numFmtId="0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228" fontId="158" fillId="67" borderId="45" applyNumberFormat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180" fillId="58" borderId="45" applyNumberFormat="0" applyAlignment="0" applyProtection="0">
      <alignment vertical="center"/>
    </xf>
    <xf numFmtId="0" fontId="180" fillId="58" borderId="45" applyNumberFormat="0" applyAlignment="0" applyProtection="0">
      <alignment vertical="center"/>
    </xf>
    <xf numFmtId="228" fontId="180" fillId="58" borderId="45" applyNumberFormat="0" applyAlignment="0" applyProtection="0">
      <alignment vertical="center"/>
    </xf>
    <xf numFmtId="0" fontId="180" fillId="58" borderId="45" applyNumberFormat="0" applyAlignment="0" applyProtection="0">
      <alignment vertical="center"/>
    </xf>
    <xf numFmtId="228" fontId="180" fillId="58" borderId="45" applyNumberFormat="0" applyAlignment="0" applyProtection="0">
      <alignment vertical="center"/>
    </xf>
    <xf numFmtId="228" fontId="180" fillId="58" borderId="45" applyNumberFormat="0" applyAlignment="0" applyProtection="0">
      <alignment vertical="center"/>
    </xf>
    <xf numFmtId="0" fontId="180" fillId="58" borderId="45" applyNumberFormat="0" applyAlignment="0" applyProtection="0">
      <alignment vertical="center"/>
    </xf>
    <xf numFmtId="0" fontId="180" fillId="58" borderId="45" applyNumberFormat="0" applyAlignment="0" applyProtection="0">
      <alignment vertical="center"/>
    </xf>
    <xf numFmtId="228" fontId="180" fillId="58" borderId="45" applyNumberFormat="0" applyAlignment="0" applyProtection="0">
      <alignment vertical="center"/>
    </xf>
    <xf numFmtId="0" fontId="180" fillId="58" borderId="45" applyNumberFormat="0" applyAlignment="0" applyProtection="0">
      <alignment vertical="center"/>
    </xf>
    <xf numFmtId="228" fontId="180" fillId="58" borderId="45" applyNumberFormat="0" applyAlignment="0" applyProtection="0">
      <alignment vertical="center"/>
    </xf>
    <xf numFmtId="228" fontId="180" fillId="58" borderId="45" applyNumberFormat="0" applyAlignment="0" applyProtection="0">
      <alignment vertical="center"/>
    </xf>
    <xf numFmtId="0" fontId="180" fillId="58" borderId="45" applyNumberFormat="0" applyAlignment="0" applyProtection="0">
      <alignment vertical="center"/>
    </xf>
    <xf numFmtId="0" fontId="180" fillId="58" borderId="45" applyNumberFormat="0" applyAlignment="0" applyProtection="0">
      <alignment vertical="center"/>
    </xf>
    <xf numFmtId="228" fontId="180" fillId="58" borderId="45" applyNumberFormat="0" applyAlignment="0" applyProtection="0">
      <alignment vertical="center"/>
    </xf>
    <xf numFmtId="0" fontId="180" fillId="58" borderId="45" applyNumberFormat="0" applyAlignment="0" applyProtection="0">
      <alignment vertical="center"/>
    </xf>
    <xf numFmtId="228" fontId="180" fillId="58" borderId="45" applyNumberFormat="0" applyAlignment="0" applyProtection="0">
      <alignment vertical="center"/>
    </xf>
    <xf numFmtId="228" fontId="180" fillId="58" borderId="45" applyNumberFormat="0" applyAlignment="0" applyProtection="0">
      <alignment vertical="center"/>
    </xf>
    <xf numFmtId="0" fontId="180" fillId="58" borderId="45" applyNumberFormat="0" applyAlignment="0" applyProtection="0">
      <alignment vertical="center"/>
    </xf>
    <xf numFmtId="0" fontId="180" fillId="58" borderId="45" applyNumberFormat="0" applyAlignment="0" applyProtection="0">
      <alignment vertical="center"/>
    </xf>
    <xf numFmtId="228" fontId="180" fillId="58" borderId="45" applyNumberFormat="0" applyAlignment="0" applyProtection="0">
      <alignment vertical="center"/>
    </xf>
    <xf numFmtId="228" fontId="180" fillId="58" borderId="45" applyNumberFormat="0" applyAlignment="0" applyProtection="0">
      <alignment vertical="center"/>
    </xf>
    <xf numFmtId="228" fontId="180" fillId="58" borderId="45" applyNumberFormat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180" fillId="58" borderId="45" applyNumberFormat="0" applyAlignment="0" applyProtection="0">
      <alignment vertical="center"/>
    </xf>
    <xf numFmtId="0" fontId="180" fillId="58" borderId="45" applyNumberFormat="0" applyAlignment="0" applyProtection="0">
      <alignment vertical="center"/>
    </xf>
    <xf numFmtId="228" fontId="180" fillId="58" borderId="45" applyNumberFormat="0" applyAlignment="0" applyProtection="0">
      <alignment vertical="center"/>
    </xf>
    <xf numFmtId="228" fontId="180" fillId="58" borderId="45" applyNumberFormat="0" applyAlignment="0" applyProtection="0">
      <alignment vertical="center"/>
    </xf>
    <xf numFmtId="228" fontId="180" fillId="58" borderId="45" applyNumberFormat="0" applyAlignment="0" applyProtection="0">
      <alignment vertical="center"/>
    </xf>
    <xf numFmtId="0" fontId="180" fillId="58" borderId="45" applyNumberFormat="0" applyAlignment="0" applyProtection="0">
      <alignment vertical="center"/>
    </xf>
    <xf numFmtId="0" fontId="180" fillId="58" borderId="45" applyNumberFormat="0" applyAlignment="0" applyProtection="0">
      <alignment vertical="center"/>
    </xf>
    <xf numFmtId="228" fontId="180" fillId="58" borderId="45" applyNumberFormat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63" fillId="70" borderId="54" applyNumberFormat="0" applyAlignment="0" applyProtection="0"/>
    <xf numFmtId="0" fontId="63" fillId="70" borderId="54" applyNumberFormat="0" applyAlignment="0" applyProtection="0"/>
    <xf numFmtId="0" fontId="63" fillId="70" borderId="54" applyNumberFormat="0" applyAlignment="0" applyProtection="0"/>
    <xf numFmtId="228" fontId="63" fillId="70" borderId="54" applyNumberFormat="0" applyAlignment="0" applyProtection="0"/>
    <xf numFmtId="228" fontId="63" fillId="70" borderId="54" applyNumberFormat="0" applyAlignment="0" applyProtection="0"/>
    <xf numFmtId="0" fontId="63" fillId="70" borderId="54" applyNumberFormat="0" applyAlignment="0" applyProtection="0"/>
    <xf numFmtId="228" fontId="63" fillId="70" borderId="54" applyNumberFormat="0" applyAlignment="0" applyProtection="0"/>
    <xf numFmtId="0" fontId="63" fillId="70" borderId="54" applyNumberFormat="0" applyAlignment="0" applyProtection="0"/>
    <xf numFmtId="228" fontId="63" fillId="70" borderId="54" applyNumberFormat="0" applyAlignment="0" applyProtection="0"/>
    <xf numFmtId="228" fontId="63" fillId="70" borderId="54" applyNumberFormat="0" applyAlignment="0" applyProtection="0"/>
    <xf numFmtId="0" fontId="63" fillId="70" borderId="54" applyNumberFormat="0" applyAlignment="0" applyProtection="0"/>
    <xf numFmtId="228" fontId="63" fillId="70" borderId="54" applyNumberFormat="0" applyAlignment="0" applyProtection="0"/>
    <xf numFmtId="0" fontId="63" fillId="70" borderId="54" applyNumberFormat="0" applyAlignment="0" applyProtection="0"/>
    <xf numFmtId="228" fontId="63" fillId="70" borderId="54" applyNumberFormat="0" applyAlignment="0" applyProtection="0"/>
    <xf numFmtId="228" fontId="63" fillId="70" borderId="54" applyNumberFormat="0" applyAlignment="0" applyProtection="0"/>
    <xf numFmtId="0" fontId="63" fillId="70" borderId="54" applyNumberFormat="0" applyAlignment="0" applyProtection="0"/>
    <xf numFmtId="228" fontId="63" fillId="70" borderId="54" applyNumberFormat="0" applyAlignment="0" applyProtection="0"/>
    <xf numFmtId="228" fontId="63" fillId="70" borderId="54" applyNumberFormat="0" applyAlignment="0" applyProtection="0"/>
    <xf numFmtId="228" fontId="63" fillId="70" borderId="54" applyNumberFormat="0" applyAlignment="0" applyProtection="0"/>
    <xf numFmtId="0" fontId="63" fillId="70" borderId="54" applyNumberFormat="0" applyAlignment="0" applyProtection="0"/>
    <xf numFmtId="228" fontId="63" fillId="70" borderId="54" applyNumberFormat="0" applyAlignment="0" applyProtection="0"/>
    <xf numFmtId="0" fontId="63" fillId="70" borderId="54" applyNumberFormat="0" applyAlignment="0" applyProtection="0"/>
    <xf numFmtId="228" fontId="63" fillId="70" borderId="54" applyNumberFormat="0" applyAlignment="0" applyProtection="0"/>
    <xf numFmtId="0" fontId="180" fillId="67" borderId="45" applyNumberFormat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180" fillId="67" borderId="45" applyNumberFormat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228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212" fillId="52" borderId="0" applyNumberFormat="0" applyBorder="0" applyAlignment="0" applyProtection="0"/>
    <xf numFmtId="0" fontId="212" fillId="52" borderId="0" applyNumberFormat="0" applyBorder="0" applyAlignment="0" applyProtection="0"/>
    <xf numFmtId="228" fontId="212" fillId="52" borderId="0" applyNumberFormat="0" applyBorder="0" applyAlignment="0" applyProtection="0"/>
    <xf numFmtId="0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210" fillId="52" borderId="0" applyNumberFormat="0" applyBorder="0" applyAlignment="0" applyProtection="0">
      <alignment vertical="center"/>
    </xf>
    <xf numFmtId="0" fontId="162" fillId="121" borderId="55" applyNumberFormat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55" fillId="40" borderId="0" applyNumberFormat="0" applyBorder="0" applyAlignment="0" applyProtection="0">
      <alignment vertical="center"/>
    </xf>
    <xf numFmtId="0" fontId="9" fillId="0" borderId="0">
      <alignment vertical="center"/>
    </xf>
    <xf numFmtId="0" fontId="214" fillId="0" borderId="0" applyNumberFormat="0" applyFill="0" applyBorder="0" applyAlignment="0" applyProtection="0">
      <alignment vertical="top"/>
      <protection locked="0"/>
    </xf>
    <xf numFmtId="0" fontId="214" fillId="0" borderId="0" applyNumberFormat="0" applyFill="0" applyBorder="0" applyAlignment="0" applyProtection="0">
      <alignment vertical="top"/>
      <protection locked="0"/>
    </xf>
    <xf numFmtId="228" fontId="214" fillId="0" borderId="0" applyNumberFormat="0" applyFill="0" applyBorder="0" applyAlignment="0" applyProtection="0">
      <alignment vertical="top"/>
      <protection locked="0"/>
    </xf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228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0" fontId="110" fillId="41" borderId="70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0" fontId="110" fillId="41" borderId="54" applyNumberFormat="0" applyFont="0" applyAlignment="0" applyProtection="0">
      <alignment vertical="center"/>
    </xf>
    <xf numFmtId="228" fontId="110" fillId="41" borderId="54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9" fillId="74" borderId="78" applyNumberFormat="0" applyFont="0" applyAlignment="0" applyProtection="0"/>
    <xf numFmtId="0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0" fontId="9" fillId="74" borderId="78" applyNumberFormat="0" applyFont="0" applyAlignment="0" applyProtection="0"/>
    <xf numFmtId="228" fontId="9" fillId="74" borderId="78" applyNumberFormat="0" applyFont="0" applyAlignment="0" applyProtection="0"/>
    <xf numFmtId="0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0" fontId="9" fillId="74" borderId="78" applyNumberFormat="0" applyFont="0" applyAlignment="0" applyProtection="0"/>
    <xf numFmtId="228" fontId="9" fillId="74" borderId="78" applyNumberFormat="0" applyFont="0" applyAlignment="0" applyProtection="0"/>
    <xf numFmtId="0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0" fontId="9" fillId="74" borderId="78" applyNumberFormat="0" applyFont="0" applyAlignment="0" applyProtection="0"/>
    <xf numFmtId="228" fontId="9" fillId="74" borderId="78" applyNumberFormat="0" applyFont="0" applyAlignment="0" applyProtection="0"/>
    <xf numFmtId="0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0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228" fontId="9" fillId="74" borderId="78" applyNumberFormat="0" applyFont="0" applyAlignment="0" applyProtection="0"/>
    <xf numFmtId="0" fontId="9" fillId="74" borderId="78" applyNumberFormat="0" applyFont="0" applyAlignment="0" applyProtection="0"/>
    <xf numFmtId="228" fontId="9" fillId="74" borderId="78" applyNumberFormat="0" applyFont="0" applyAlignment="0" applyProtection="0"/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0" fontId="9" fillId="41" borderId="70" applyNumberFormat="0" applyFont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39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39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39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39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39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60" fillId="0" borderId="0" applyFont="0" applyFill="0" applyBorder="0" applyAlignment="0" applyProtection="0">
      <alignment vertical="center"/>
    </xf>
    <xf numFmtId="9" fontId="215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7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7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7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7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7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7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216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216" fillId="0" borderId="0" applyFont="0" applyFill="0" applyBorder="0" applyAlignment="0" applyProtection="0">
      <alignment vertical="center"/>
    </xf>
    <xf numFmtId="9" fontId="216" fillId="0" borderId="0" applyFont="0" applyFill="0" applyBorder="0" applyAlignment="0" applyProtection="0">
      <alignment vertical="center"/>
    </xf>
    <xf numFmtId="9" fontId="216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216" fillId="0" borderId="0" applyFont="0" applyFill="0" applyBorder="0" applyAlignment="0" applyProtection="0">
      <alignment vertical="center"/>
    </xf>
    <xf numFmtId="9" fontId="216" fillId="0" borderId="0" applyFont="0" applyFill="0" applyBorder="0" applyAlignment="0" applyProtection="0">
      <alignment vertical="center"/>
    </xf>
    <xf numFmtId="9" fontId="216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217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217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217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217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217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228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218" fillId="74" borderId="0" applyNumberFormat="0" applyBorder="0" applyAlignment="0" applyProtection="0"/>
    <xf numFmtId="0" fontId="218" fillId="74" borderId="0" applyNumberFormat="0" applyBorder="0" applyAlignment="0" applyProtection="0"/>
    <xf numFmtId="228" fontId="218" fillId="74" borderId="0" applyNumberFormat="0" applyBorder="0" applyAlignment="0" applyProtection="0"/>
    <xf numFmtId="0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179" fillId="74" borderId="0" applyNumberFormat="0" applyBorder="0" applyAlignment="0" applyProtection="0">
      <alignment vertical="center"/>
    </xf>
    <xf numFmtId="0" fontId="128" fillId="0" borderId="0"/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228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19" fillId="0" borderId="0" applyNumberFormat="0" applyFill="0" applyBorder="0" applyAlignment="0" applyProtection="0"/>
    <xf numFmtId="0" fontId="219" fillId="0" borderId="0" applyNumberFormat="0" applyFill="0" applyBorder="0" applyAlignment="0" applyProtection="0"/>
    <xf numFmtId="228" fontId="219" fillId="0" borderId="0" applyNumberFormat="0" applyFill="0" applyBorder="0" applyAlignment="0" applyProtection="0"/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228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64" fillId="122" borderId="46" applyNumberFormat="0" applyAlignment="0" applyProtection="0"/>
    <xf numFmtId="0" fontId="64" fillId="122" borderId="46" applyNumberFormat="0" applyAlignment="0" applyProtection="0"/>
    <xf numFmtId="228" fontId="64" fillId="122" borderId="46" applyNumberFormat="0" applyAlignment="0" applyProtection="0"/>
    <xf numFmtId="0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0" fontId="174" fillId="47" borderId="46" applyNumberFormat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217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41" fontId="217" fillId="0" borderId="0" applyFont="0" applyFill="0" applyBorder="0" applyAlignment="0" applyProtection="0">
      <alignment vertical="center"/>
    </xf>
    <xf numFmtId="41" fontId="217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41" fontId="217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41" fontId="217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41" fontId="217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179" fontId="133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41" fontId="217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179" fontId="217" fillId="0" borderId="0" applyFont="0" applyFill="0" applyBorder="0" applyAlignment="0" applyProtection="0">
      <alignment vertical="center"/>
    </xf>
    <xf numFmtId="179" fontId="133" fillId="0" borderId="0" applyFont="0" applyFill="0" applyBorder="0" applyAlignment="0" applyProtection="0">
      <alignment vertical="center"/>
    </xf>
    <xf numFmtId="179" fontId="217" fillId="0" borderId="0" applyFont="0" applyFill="0" applyBorder="0" applyAlignment="0" applyProtection="0">
      <alignment vertical="center"/>
    </xf>
    <xf numFmtId="179" fontId="133" fillId="0" borderId="0" applyFont="0" applyFill="0" applyBorder="0" applyAlignment="0" applyProtection="0">
      <alignment vertical="center"/>
    </xf>
    <xf numFmtId="179" fontId="217" fillId="0" borderId="0" applyFont="0" applyFill="0" applyBorder="0" applyAlignment="0" applyProtection="0">
      <alignment vertical="center"/>
    </xf>
    <xf numFmtId="179" fontId="133" fillId="0" borderId="0" applyFont="0" applyFill="0" applyBorder="0" applyAlignment="0" applyProtection="0">
      <alignment vertical="center"/>
    </xf>
    <xf numFmtId="179" fontId="217" fillId="0" borderId="0" applyFont="0" applyFill="0" applyBorder="0" applyAlignment="0" applyProtection="0">
      <alignment vertical="center"/>
    </xf>
    <xf numFmtId="179" fontId="133" fillId="0" borderId="0" applyFont="0" applyFill="0" applyBorder="0" applyAlignment="0" applyProtection="0">
      <alignment vertical="center"/>
    </xf>
    <xf numFmtId="41" fontId="133" fillId="0" borderId="0" applyFont="0" applyFill="0" applyBorder="0" applyAlignment="0" applyProtection="0">
      <alignment vertical="center"/>
    </xf>
    <xf numFmtId="179" fontId="133" fillId="0" borderId="0" applyFont="0" applyFill="0" applyBorder="0" applyAlignment="0" applyProtection="0">
      <alignment vertical="center"/>
    </xf>
    <xf numFmtId="41" fontId="139" fillId="0" borderId="0" applyFont="0" applyFill="0" applyBorder="0" applyAlignment="0" applyProtection="0">
      <alignment vertical="center"/>
    </xf>
    <xf numFmtId="41" fontId="13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3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3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3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3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3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9" fontId="139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179" fontId="139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/>
    <xf numFmtId="179" fontId="7" fillId="0" borderId="0" applyFont="0" applyFill="0" applyBorder="0" applyAlignment="0" applyProtection="0"/>
    <xf numFmtId="179" fontId="7" fillId="0" borderId="0" applyFont="0" applyFill="0" applyBorder="0" applyAlignment="0" applyProtection="0"/>
    <xf numFmtId="179" fontId="7" fillId="0" borderId="0" applyFont="0" applyFill="0" applyBorder="0" applyAlignment="0" applyProtection="0"/>
    <xf numFmtId="41" fontId="21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179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179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179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179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179" fontId="215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/>
    <xf numFmtId="179" fontId="7" fillId="0" borderId="0" applyFont="0" applyFill="0" applyBorder="0" applyAlignment="0" applyProtection="0"/>
    <xf numFmtId="179" fontId="7" fillId="0" borderId="0" applyFont="0" applyFill="0" applyBorder="0" applyAlignment="0" applyProtection="0"/>
    <xf numFmtId="179" fontId="7" fillId="0" borderId="0" applyFont="0" applyFill="0" applyBorder="0" applyAlignment="0" applyProtection="0"/>
    <xf numFmtId="179" fontId="7" fillId="0" borderId="0" applyFont="0" applyFill="0" applyBorder="0" applyAlignment="0" applyProtection="0"/>
    <xf numFmtId="179" fontId="7" fillId="0" borderId="0" applyFont="0" applyFill="0" applyBorder="0" applyAlignment="0" applyProtection="0"/>
    <xf numFmtId="179" fontId="7" fillId="0" borderId="0" applyFont="0" applyFill="0" applyBorder="0" applyAlignment="0" applyProtection="0"/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215" fillId="0" borderId="0" applyFont="0" applyFill="0" applyBorder="0" applyAlignment="0" applyProtection="0">
      <alignment vertical="center"/>
    </xf>
    <xf numFmtId="179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179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41" fontId="215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228" fontId="40" fillId="0" borderId="0" applyFont="0" applyFill="0" applyBorder="0" applyAlignment="0" applyProtection="0"/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0" fontId="40" fillId="0" borderId="0" applyFont="0" applyFill="0" applyBorder="0" applyAlignment="0" applyProtection="0"/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139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179" fontId="139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41" fontId="16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41" fontId="110" fillId="0" borderId="0" applyFont="0" applyFill="0" applyBorder="0" applyAlignment="0" applyProtection="0">
      <alignment vertical="center"/>
    </xf>
    <xf numFmtId="179" fontId="11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216" fillId="0" borderId="0" applyFont="0" applyFill="0" applyBorder="0" applyAlignment="0" applyProtection="0">
      <alignment vertical="center"/>
    </xf>
    <xf numFmtId="41" fontId="216" fillId="0" borderId="0" applyFont="0" applyFill="0" applyBorder="0" applyAlignment="0" applyProtection="0">
      <alignment vertical="center"/>
    </xf>
    <xf numFmtId="41" fontId="216" fillId="0" borderId="0" applyFont="0" applyFill="0" applyBorder="0" applyAlignment="0" applyProtection="0">
      <alignment vertical="center"/>
    </xf>
    <xf numFmtId="179" fontId="216" fillId="0" borderId="0" applyFont="0" applyFill="0" applyBorder="0" applyAlignment="0" applyProtection="0">
      <alignment vertical="center"/>
    </xf>
    <xf numFmtId="179" fontId="216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9" fontId="9" fillId="0" borderId="0" applyFont="0" applyFill="0" applyBorder="0" applyAlignment="0" applyProtection="0">
      <alignment vertical="center"/>
    </xf>
    <xf numFmtId="43" fontId="160" fillId="0" borderId="0" applyFont="0" applyFill="0" applyBorder="0" applyAlignment="0" applyProtection="0">
      <alignment vertical="center"/>
    </xf>
    <xf numFmtId="43" fontId="139" fillId="0" borderId="0" applyFont="0" applyFill="0" applyBorder="0" applyAlignment="0" applyProtection="0">
      <alignment vertical="center"/>
    </xf>
    <xf numFmtId="43" fontId="110" fillId="0" borderId="0" applyFont="0" applyFill="0" applyBorder="0" applyAlignment="0" applyProtection="0">
      <alignment vertical="center"/>
    </xf>
    <xf numFmtId="43" fontId="139" fillId="0" borderId="0" applyFont="0" applyFill="0" applyBorder="0" applyAlignment="0" applyProtection="0">
      <alignment vertical="center"/>
    </xf>
    <xf numFmtId="43" fontId="110" fillId="0" borderId="0" applyFont="0" applyFill="0" applyBorder="0" applyAlignment="0" applyProtection="0">
      <alignment vertical="center"/>
    </xf>
    <xf numFmtId="43" fontId="139" fillId="0" borderId="0" applyFont="0" applyFill="0" applyBorder="0" applyAlignment="0" applyProtection="0">
      <alignment vertical="center"/>
    </xf>
    <xf numFmtId="43" fontId="110" fillId="0" borderId="0" applyFont="0" applyFill="0" applyBorder="0" applyAlignment="0" applyProtection="0">
      <alignment vertical="center"/>
    </xf>
    <xf numFmtId="198" fontId="139" fillId="0" borderId="0" applyFont="0" applyFill="0" applyBorder="0" applyAlignment="0" applyProtection="0">
      <alignment vertical="center"/>
    </xf>
    <xf numFmtId="198" fontId="110" fillId="0" borderId="0" applyFont="0" applyFill="0" applyBorder="0" applyAlignment="0" applyProtection="0">
      <alignment vertical="center"/>
    </xf>
    <xf numFmtId="198" fontId="139" fillId="0" borderId="0" applyFont="0" applyFill="0" applyBorder="0" applyAlignment="0" applyProtection="0">
      <alignment vertical="center"/>
    </xf>
    <xf numFmtId="198" fontId="110" fillId="0" borderId="0" applyFont="0" applyFill="0" applyBorder="0" applyAlignment="0" applyProtection="0">
      <alignment vertical="center"/>
    </xf>
    <xf numFmtId="198" fontId="139" fillId="0" borderId="0" applyFont="0" applyFill="0" applyBorder="0" applyAlignment="0" applyProtection="0">
      <alignment vertical="center"/>
    </xf>
    <xf numFmtId="198" fontId="110" fillId="0" borderId="0" applyFont="0" applyFill="0" applyBorder="0" applyAlignment="0" applyProtection="0">
      <alignment vertical="center"/>
    </xf>
    <xf numFmtId="198" fontId="139" fillId="0" borderId="0" applyFont="0" applyFill="0" applyBorder="0" applyAlignment="0" applyProtection="0">
      <alignment vertical="center"/>
    </xf>
    <xf numFmtId="198" fontId="110" fillId="0" borderId="0" applyFont="0" applyFill="0" applyBorder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228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81" fillId="0" borderId="53" applyNumberFormat="0" applyFill="0" applyAlignment="0" applyProtection="0"/>
    <xf numFmtId="0" fontId="81" fillId="0" borderId="53" applyNumberFormat="0" applyFill="0" applyAlignment="0" applyProtection="0"/>
    <xf numFmtId="228" fontId="81" fillId="0" borderId="53" applyNumberFormat="0" applyFill="0" applyAlignment="0" applyProtection="0"/>
    <xf numFmtId="0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205" fillId="0" borderId="58" applyNumberFormat="0" applyFill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0" fontId="205" fillId="0" borderId="58" applyNumberFormat="0" applyFill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0" fontId="205" fillId="0" borderId="58" applyNumberFormat="0" applyFill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0" fontId="205" fillId="0" borderId="58" applyNumberFormat="0" applyFill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0" fontId="205" fillId="0" borderId="58" applyNumberFormat="0" applyFill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0" fontId="205" fillId="0" borderId="58" applyNumberFormat="0" applyFill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0" fontId="205" fillId="0" borderId="58" applyNumberFormat="0" applyFill="0" applyAlignment="0" applyProtection="0">
      <alignment vertical="center"/>
    </xf>
    <xf numFmtId="228" fontId="205" fillId="0" borderId="58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201" fillId="0" borderId="56" applyNumberFormat="0" applyFill="0" applyAlignment="0" applyProtection="0">
      <alignment vertical="center"/>
    </xf>
    <xf numFmtId="0" fontId="201" fillId="0" borderId="56" applyNumberFormat="0" applyFill="0" applyAlignment="0" applyProtection="0">
      <alignment vertical="center"/>
    </xf>
    <xf numFmtId="0" fontId="201" fillId="0" borderId="56" applyNumberFormat="0" applyFill="0" applyAlignment="0" applyProtection="0">
      <alignment vertical="center"/>
    </xf>
    <xf numFmtId="228" fontId="201" fillId="0" borderId="56" applyNumberFormat="0" applyFill="0" applyAlignment="0" applyProtection="0">
      <alignment vertical="center"/>
    </xf>
    <xf numFmtId="228" fontId="201" fillId="0" borderId="56" applyNumberFormat="0" applyFill="0" applyAlignment="0" applyProtection="0">
      <alignment vertical="center"/>
    </xf>
    <xf numFmtId="0" fontId="201" fillId="0" borderId="56" applyNumberFormat="0" applyFill="0" applyAlignment="0" applyProtection="0">
      <alignment vertical="center"/>
    </xf>
    <xf numFmtId="228" fontId="201" fillId="0" borderId="56" applyNumberFormat="0" applyFill="0" applyAlignment="0" applyProtection="0">
      <alignment vertical="center"/>
    </xf>
    <xf numFmtId="0" fontId="201" fillId="0" borderId="56" applyNumberFormat="0" applyFill="0" applyAlignment="0" applyProtection="0">
      <alignment vertical="center"/>
    </xf>
    <xf numFmtId="228" fontId="201" fillId="0" borderId="56" applyNumberFormat="0" applyFill="0" applyAlignment="0" applyProtection="0">
      <alignment vertical="center"/>
    </xf>
    <xf numFmtId="228" fontId="201" fillId="0" borderId="56" applyNumberFormat="0" applyFill="0" applyAlignment="0" applyProtection="0">
      <alignment vertical="center"/>
    </xf>
    <xf numFmtId="0" fontId="201" fillId="0" borderId="56" applyNumberFormat="0" applyFill="0" applyAlignment="0" applyProtection="0">
      <alignment vertical="center"/>
    </xf>
    <xf numFmtId="228" fontId="201" fillId="0" borderId="56" applyNumberFormat="0" applyFill="0" applyAlignment="0" applyProtection="0">
      <alignment vertical="center"/>
    </xf>
    <xf numFmtId="0" fontId="201" fillId="0" borderId="56" applyNumberFormat="0" applyFill="0" applyAlignment="0" applyProtection="0">
      <alignment vertical="center"/>
    </xf>
    <xf numFmtId="228" fontId="201" fillId="0" borderId="56" applyNumberFormat="0" applyFill="0" applyAlignment="0" applyProtection="0">
      <alignment vertical="center"/>
    </xf>
    <xf numFmtId="228" fontId="201" fillId="0" borderId="56" applyNumberFormat="0" applyFill="0" applyAlignment="0" applyProtection="0">
      <alignment vertical="center"/>
    </xf>
    <xf numFmtId="0" fontId="201" fillId="0" borderId="56" applyNumberFormat="0" applyFill="0" applyAlignment="0" applyProtection="0">
      <alignment vertical="center"/>
    </xf>
    <xf numFmtId="228" fontId="201" fillId="0" borderId="56" applyNumberFormat="0" applyFill="0" applyAlignment="0" applyProtection="0">
      <alignment vertical="center"/>
    </xf>
    <xf numFmtId="228" fontId="201" fillId="0" borderId="56" applyNumberFormat="0" applyFill="0" applyAlignment="0" applyProtection="0">
      <alignment vertical="center"/>
    </xf>
    <xf numFmtId="228" fontId="201" fillId="0" borderId="56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201" fillId="0" borderId="56" applyNumberFormat="0" applyFill="0" applyAlignment="0" applyProtection="0">
      <alignment vertical="center"/>
    </xf>
    <xf numFmtId="228" fontId="201" fillId="0" borderId="56" applyNumberFormat="0" applyFill="0" applyAlignment="0" applyProtection="0">
      <alignment vertical="center"/>
    </xf>
    <xf numFmtId="0" fontId="201" fillId="0" borderId="56" applyNumberFormat="0" applyFill="0" applyAlignment="0" applyProtection="0">
      <alignment vertical="center"/>
    </xf>
    <xf numFmtId="0" fontId="201" fillId="0" borderId="56" applyNumberFormat="0" applyFill="0" applyAlignment="0" applyProtection="0">
      <alignment vertical="center"/>
    </xf>
    <xf numFmtId="228" fontId="201" fillId="0" borderId="56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95" fillId="0" borderId="56" applyNumberFormat="0" applyFill="0" applyAlignment="0" applyProtection="0"/>
    <xf numFmtId="0" fontId="95" fillId="0" borderId="56" applyNumberFormat="0" applyFill="0" applyAlignment="0" applyProtection="0"/>
    <xf numFmtId="0" fontId="95" fillId="0" borderId="56" applyNumberFormat="0" applyFill="0" applyAlignment="0" applyProtection="0"/>
    <xf numFmtId="228" fontId="95" fillId="0" borderId="56" applyNumberFormat="0" applyFill="0" applyAlignment="0" applyProtection="0"/>
    <xf numFmtId="228" fontId="95" fillId="0" borderId="56" applyNumberFormat="0" applyFill="0" applyAlignment="0" applyProtection="0"/>
    <xf numFmtId="0" fontId="95" fillId="0" borderId="56" applyNumberFormat="0" applyFill="0" applyAlignment="0" applyProtection="0"/>
    <xf numFmtId="228" fontId="95" fillId="0" borderId="56" applyNumberFormat="0" applyFill="0" applyAlignment="0" applyProtection="0"/>
    <xf numFmtId="0" fontId="95" fillId="0" borderId="56" applyNumberFormat="0" applyFill="0" applyAlignment="0" applyProtection="0"/>
    <xf numFmtId="228" fontId="95" fillId="0" borderId="56" applyNumberFormat="0" applyFill="0" applyAlignment="0" applyProtection="0"/>
    <xf numFmtId="228" fontId="95" fillId="0" borderId="56" applyNumberFormat="0" applyFill="0" applyAlignment="0" applyProtection="0"/>
    <xf numFmtId="0" fontId="95" fillId="0" borderId="56" applyNumberFormat="0" applyFill="0" applyAlignment="0" applyProtection="0"/>
    <xf numFmtId="228" fontId="95" fillId="0" borderId="56" applyNumberFormat="0" applyFill="0" applyAlignment="0" applyProtection="0"/>
    <xf numFmtId="0" fontId="95" fillId="0" borderId="56" applyNumberFormat="0" applyFill="0" applyAlignment="0" applyProtection="0"/>
    <xf numFmtId="228" fontId="95" fillId="0" borderId="56" applyNumberFormat="0" applyFill="0" applyAlignment="0" applyProtection="0"/>
    <xf numFmtId="228" fontId="95" fillId="0" borderId="56" applyNumberFormat="0" applyFill="0" applyAlignment="0" applyProtection="0"/>
    <xf numFmtId="0" fontId="95" fillId="0" borderId="56" applyNumberFormat="0" applyFill="0" applyAlignment="0" applyProtection="0"/>
    <xf numFmtId="228" fontId="95" fillId="0" borderId="56" applyNumberFormat="0" applyFill="0" applyAlignment="0" applyProtection="0"/>
    <xf numFmtId="228" fontId="95" fillId="0" borderId="56" applyNumberFormat="0" applyFill="0" applyAlignment="0" applyProtection="0"/>
    <xf numFmtId="228" fontId="95" fillId="0" borderId="56" applyNumberFormat="0" applyFill="0" applyAlignment="0" applyProtection="0"/>
    <xf numFmtId="0" fontId="95" fillId="0" borderId="56" applyNumberFormat="0" applyFill="0" applyAlignment="0" applyProtection="0"/>
    <xf numFmtId="228" fontId="95" fillId="0" borderId="56" applyNumberFormat="0" applyFill="0" applyAlignment="0" applyProtection="0"/>
    <xf numFmtId="0" fontId="95" fillId="0" borderId="56" applyNumberFormat="0" applyFill="0" applyAlignment="0" applyProtection="0"/>
    <xf numFmtId="228" fontId="95" fillId="0" borderId="56" applyNumberFormat="0" applyFill="0" applyAlignment="0" applyProtection="0"/>
    <xf numFmtId="0" fontId="201" fillId="0" borderId="58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201" fillId="0" borderId="58" applyNumberFormat="0" applyFill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0" fontId="172" fillId="40" borderId="45" applyNumberFormat="0" applyAlignment="0" applyProtection="0">
      <alignment vertical="center"/>
    </xf>
    <xf numFmtId="0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0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0" fontId="172" fillId="40" borderId="45" applyNumberFormat="0" applyAlignment="0" applyProtection="0">
      <alignment vertical="center"/>
    </xf>
    <xf numFmtId="0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0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0" fontId="172" fillId="40" borderId="45" applyNumberFormat="0" applyAlignment="0" applyProtection="0">
      <alignment vertical="center"/>
    </xf>
    <xf numFmtId="0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0" fontId="172" fillId="40" borderId="45" applyNumberFormat="0" applyAlignment="0" applyProtection="0">
      <alignment vertical="center"/>
    </xf>
    <xf numFmtId="0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228" fontId="172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228" fontId="161" fillId="40" borderId="45" applyNumberFormat="0" applyAlignment="0" applyProtection="0">
      <alignment vertical="center"/>
    </xf>
    <xf numFmtId="228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228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228" fontId="161" fillId="40" borderId="45" applyNumberFormat="0" applyAlignment="0" applyProtection="0">
      <alignment vertical="center"/>
    </xf>
    <xf numFmtId="228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228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228" fontId="161" fillId="40" borderId="45" applyNumberFormat="0" applyAlignment="0" applyProtection="0">
      <alignment vertical="center"/>
    </xf>
    <xf numFmtId="228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228" fontId="161" fillId="40" borderId="45" applyNumberFormat="0" applyAlignment="0" applyProtection="0">
      <alignment vertical="center"/>
    </xf>
    <xf numFmtId="228" fontId="161" fillId="40" borderId="45" applyNumberFormat="0" applyAlignment="0" applyProtection="0">
      <alignment vertical="center"/>
    </xf>
    <xf numFmtId="228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228" fontId="161" fillId="40" borderId="45" applyNumberFormat="0" applyAlignment="0" applyProtection="0">
      <alignment vertical="center"/>
    </xf>
    <xf numFmtId="228" fontId="161" fillId="40" borderId="45" applyNumberFormat="0" applyAlignment="0" applyProtection="0">
      <alignment vertical="center"/>
    </xf>
    <xf numFmtId="228" fontId="161" fillId="40" borderId="45" applyNumberFormat="0" applyAlignment="0" applyProtection="0">
      <alignment vertical="center"/>
    </xf>
    <xf numFmtId="228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228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4" fillId="40" borderId="54" applyNumberFormat="0" applyAlignment="0" applyProtection="0"/>
    <xf numFmtId="0" fontId="164" fillId="40" borderId="54" applyNumberFormat="0" applyAlignment="0" applyProtection="0"/>
    <xf numFmtId="0" fontId="164" fillId="40" borderId="54" applyNumberFormat="0" applyAlignment="0" applyProtection="0"/>
    <xf numFmtId="228" fontId="164" fillId="40" borderId="54" applyNumberFormat="0" applyAlignment="0" applyProtection="0"/>
    <xf numFmtId="228" fontId="164" fillId="40" borderId="54" applyNumberFormat="0" applyAlignment="0" applyProtection="0"/>
    <xf numFmtId="0" fontId="164" fillId="40" borderId="54" applyNumberFormat="0" applyAlignment="0" applyProtection="0"/>
    <xf numFmtId="228" fontId="164" fillId="40" borderId="54" applyNumberFormat="0" applyAlignment="0" applyProtection="0"/>
    <xf numFmtId="0" fontId="164" fillId="40" borderId="54" applyNumberFormat="0" applyAlignment="0" applyProtection="0"/>
    <xf numFmtId="228" fontId="164" fillId="40" borderId="54" applyNumberFormat="0" applyAlignment="0" applyProtection="0"/>
    <xf numFmtId="228" fontId="164" fillId="40" borderId="54" applyNumberFormat="0" applyAlignment="0" applyProtection="0"/>
    <xf numFmtId="0" fontId="164" fillId="40" borderId="54" applyNumberFormat="0" applyAlignment="0" applyProtection="0"/>
    <xf numFmtId="228" fontId="164" fillId="40" borderId="54" applyNumberFormat="0" applyAlignment="0" applyProtection="0"/>
    <xf numFmtId="0" fontId="164" fillId="40" borderId="54" applyNumberFormat="0" applyAlignment="0" applyProtection="0"/>
    <xf numFmtId="228" fontId="164" fillId="40" borderId="54" applyNumberFormat="0" applyAlignment="0" applyProtection="0"/>
    <xf numFmtId="228" fontId="164" fillId="40" borderId="54" applyNumberFormat="0" applyAlignment="0" applyProtection="0"/>
    <xf numFmtId="0" fontId="164" fillId="40" borderId="54" applyNumberFormat="0" applyAlignment="0" applyProtection="0"/>
    <xf numFmtId="228" fontId="164" fillId="40" borderId="54" applyNumberFormat="0" applyAlignment="0" applyProtection="0"/>
    <xf numFmtId="228" fontId="164" fillId="40" borderId="54" applyNumberFormat="0" applyAlignment="0" applyProtection="0"/>
    <xf numFmtId="228" fontId="164" fillId="40" borderId="54" applyNumberFormat="0" applyAlignment="0" applyProtection="0"/>
    <xf numFmtId="0" fontId="164" fillId="40" borderId="54" applyNumberFormat="0" applyAlignment="0" applyProtection="0"/>
    <xf numFmtId="228" fontId="164" fillId="40" borderId="54" applyNumberFormat="0" applyAlignment="0" applyProtection="0"/>
    <xf numFmtId="0" fontId="164" fillId="40" borderId="54" applyNumberFormat="0" applyAlignment="0" applyProtection="0"/>
    <xf numFmtId="228" fontId="164" fillId="40" borderId="54" applyNumberFormat="0" applyAlignment="0" applyProtection="0"/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161" fillId="40" borderId="45" applyNumberFormat="0" applyAlignment="0" applyProtection="0">
      <alignment vertical="center"/>
    </xf>
    <xf numFmtId="0" fontId="73" fillId="0" borderId="50" applyNumberFormat="0" applyFill="0" applyAlignment="0" applyProtection="0"/>
    <xf numFmtId="0" fontId="73" fillId="0" borderId="50" applyNumberFormat="0" applyFill="0" applyAlignment="0" applyProtection="0"/>
    <xf numFmtId="228" fontId="73" fillId="0" borderId="50" applyNumberFormat="0" applyFill="0" applyAlignment="0" applyProtection="0"/>
    <xf numFmtId="0" fontId="167" fillId="0" borderId="65" applyNumberFormat="0" applyFill="0" applyAlignment="0" applyProtection="0">
      <alignment vertical="center"/>
    </xf>
    <xf numFmtId="0" fontId="167" fillId="0" borderId="65" applyNumberFormat="0" applyFill="0" applyAlignment="0" applyProtection="0">
      <alignment vertical="center"/>
    </xf>
    <xf numFmtId="0" fontId="167" fillId="0" borderId="65" applyNumberFormat="0" applyFill="0" applyAlignment="0" applyProtection="0">
      <alignment vertical="center"/>
    </xf>
    <xf numFmtId="0" fontId="167" fillId="0" borderId="65" applyNumberFormat="0" applyFill="0" applyAlignment="0" applyProtection="0">
      <alignment vertical="center"/>
    </xf>
    <xf numFmtId="0" fontId="167" fillId="0" borderId="65" applyNumberFormat="0" applyFill="0" applyAlignment="0" applyProtection="0">
      <alignment vertical="center"/>
    </xf>
    <xf numFmtId="0" fontId="167" fillId="0" borderId="65" applyNumberFormat="0" applyFill="0" applyAlignment="0" applyProtection="0">
      <alignment vertical="center"/>
    </xf>
    <xf numFmtId="0" fontId="167" fillId="0" borderId="65" applyNumberFormat="0" applyFill="0" applyAlignment="0" applyProtection="0">
      <alignment vertical="center"/>
    </xf>
    <xf numFmtId="0" fontId="167" fillId="0" borderId="65" applyNumberFormat="0" applyFill="0" applyAlignment="0" applyProtection="0">
      <alignment vertical="center"/>
    </xf>
    <xf numFmtId="0" fontId="167" fillId="0" borderId="65" applyNumberFormat="0" applyFill="0" applyAlignment="0" applyProtection="0">
      <alignment vertical="center"/>
    </xf>
    <xf numFmtId="0" fontId="220" fillId="0" borderId="50" applyNumberFormat="0" applyFill="0" applyAlignment="0" applyProtection="0">
      <alignment vertical="center"/>
    </xf>
    <xf numFmtId="0" fontId="220" fillId="0" borderId="50" applyNumberFormat="0" applyFill="0" applyAlignment="0" applyProtection="0">
      <alignment vertical="center"/>
    </xf>
    <xf numFmtId="228" fontId="220" fillId="0" borderId="50" applyNumberFormat="0" applyFill="0" applyAlignment="0" applyProtection="0">
      <alignment vertical="center"/>
    </xf>
    <xf numFmtId="0" fontId="167" fillId="0" borderId="65" applyNumberFormat="0" applyFill="0" applyAlignment="0" applyProtection="0">
      <alignment vertical="center"/>
    </xf>
    <xf numFmtId="0" fontId="220" fillId="0" borderId="50" applyNumberFormat="0" applyFill="0" applyAlignment="0" applyProtection="0">
      <alignment vertical="center"/>
    </xf>
    <xf numFmtId="228" fontId="220" fillId="0" borderId="50" applyNumberFormat="0" applyFill="0" applyAlignment="0" applyProtection="0">
      <alignment vertical="center"/>
    </xf>
    <xf numFmtId="0" fontId="220" fillId="0" borderId="50" applyNumberFormat="0" applyFill="0" applyAlignment="0" applyProtection="0">
      <alignment vertical="center"/>
    </xf>
    <xf numFmtId="0" fontId="220" fillId="0" borderId="50" applyNumberFormat="0" applyFill="0" applyAlignment="0" applyProtection="0">
      <alignment vertical="center"/>
    </xf>
    <xf numFmtId="0" fontId="167" fillId="0" borderId="65" applyNumberFormat="0" applyFill="0" applyAlignment="0" applyProtection="0">
      <alignment vertical="center"/>
    </xf>
    <xf numFmtId="0" fontId="167" fillId="0" borderId="65" applyNumberFormat="0" applyFill="0" applyAlignment="0" applyProtection="0">
      <alignment vertical="center"/>
    </xf>
    <xf numFmtId="0" fontId="167" fillId="0" borderId="65" applyNumberFormat="0" applyFill="0" applyAlignment="0" applyProtection="0">
      <alignment vertical="center"/>
    </xf>
    <xf numFmtId="0" fontId="167" fillId="0" borderId="65" applyNumberFormat="0" applyFill="0" applyAlignment="0" applyProtection="0">
      <alignment vertical="center"/>
    </xf>
    <xf numFmtId="0" fontId="167" fillId="0" borderId="65" applyNumberFormat="0" applyFill="0" applyAlignment="0" applyProtection="0">
      <alignment vertical="center"/>
    </xf>
    <xf numFmtId="0" fontId="167" fillId="0" borderId="65" applyNumberFormat="0" applyFill="0" applyAlignment="0" applyProtection="0">
      <alignment vertical="center"/>
    </xf>
    <xf numFmtId="0" fontId="167" fillId="0" borderId="65" applyNumberFormat="0" applyFill="0" applyAlignment="0" applyProtection="0">
      <alignment vertical="center"/>
    </xf>
    <xf numFmtId="0" fontId="167" fillId="0" borderId="65" applyNumberFormat="0" applyFill="0" applyAlignment="0" applyProtection="0">
      <alignment vertical="center"/>
    </xf>
    <xf numFmtId="0" fontId="167" fillId="0" borderId="65" applyNumberFormat="0" applyFill="0" applyAlignment="0" applyProtection="0">
      <alignment vertical="center"/>
    </xf>
    <xf numFmtId="0" fontId="167" fillId="0" borderId="65" applyNumberFormat="0" applyFill="0" applyAlignment="0" applyProtection="0">
      <alignment vertical="center"/>
    </xf>
    <xf numFmtId="0" fontId="167" fillId="0" borderId="65" applyNumberFormat="0" applyFill="0" applyAlignment="0" applyProtection="0">
      <alignment vertical="center"/>
    </xf>
    <xf numFmtId="0" fontId="167" fillId="0" borderId="65" applyNumberFormat="0" applyFill="0" applyAlignment="0" applyProtection="0">
      <alignment vertical="center"/>
    </xf>
    <xf numFmtId="228" fontId="167" fillId="0" borderId="65" applyNumberFormat="0" applyFill="0" applyAlignment="0" applyProtection="0">
      <alignment vertical="center"/>
    </xf>
    <xf numFmtId="0" fontId="167" fillId="0" borderId="65" applyNumberFormat="0" applyFill="0" applyAlignment="0" applyProtection="0">
      <alignment vertical="center"/>
    </xf>
    <xf numFmtId="0" fontId="167" fillId="0" borderId="65" applyNumberFormat="0" applyFill="0" applyAlignment="0" applyProtection="0">
      <alignment vertical="center"/>
    </xf>
    <xf numFmtId="0" fontId="167" fillId="0" borderId="65" applyNumberFormat="0" applyFill="0" applyAlignment="0" applyProtection="0">
      <alignment vertical="center"/>
    </xf>
    <xf numFmtId="0" fontId="73" fillId="0" borderId="50" applyNumberFormat="0" applyFill="0" applyAlignment="0" applyProtection="0"/>
    <xf numFmtId="0" fontId="73" fillId="0" borderId="50" applyNumberFormat="0" applyFill="0" applyAlignment="0" applyProtection="0"/>
    <xf numFmtId="228" fontId="73" fillId="0" borderId="50" applyNumberFormat="0" applyFill="0" applyAlignment="0" applyProtection="0"/>
    <xf numFmtId="0" fontId="73" fillId="0" borderId="50" applyNumberFormat="0" applyFill="0" applyAlignment="0" applyProtection="0"/>
    <xf numFmtId="0" fontId="73" fillId="0" borderId="50" applyNumberFormat="0" applyFill="0" applyAlignment="0" applyProtection="0"/>
    <xf numFmtId="228" fontId="73" fillId="0" borderId="50" applyNumberFormat="0" applyFill="0" applyAlignment="0" applyProtection="0"/>
    <xf numFmtId="0" fontId="73" fillId="0" borderId="50" applyNumberFormat="0" applyFill="0" applyAlignment="0" applyProtection="0"/>
    <xf numFmtId="0" fontId="73" fillId="0" borderId="50" applyNumberFormat="0" applyFill="0" applyAlignment="0" applyProtection="0"/>
    <xf numFmtId="228" fontId="73" fillId="0" borderId="50" applyNumberFormat="0" applyFill="0" applyAlignment="0" applyProtection="0"/>
    <xf numFmtId="0" fontId="73" fillId="0" borderId="50" applyNumberFormat="0" applyFill="0" applyAlignment="0" applyProtection="0"/>
    <xf numFmtId="0" fontId="73" fillId="0" borderId="50" applyNumberFormat="0" applyFill="0" applyAlignment="0" applyProtection="0"/>
    <xf numFmtId="228" fontId="73" fillId="0" borderId="50" applyNumberFormat="0" applyFill="0" applyAlignment="0" applyProtection="0"/>
    <xf numFmtId="0" fontId="73" fillId="0" borderId="50" applyNumberFormat="0" applyFill="0" applyAlignment="0" applyProtection="0"/>
    <xf numFmtId="0" fontId="73" fillId="0" borderId="50" applyNumberFormat="0" applyFill="0" applyAlignment="0" applyProtection="0"/>
    <xf numFmtId="228" fontId="73" fillId="0" borderId="50" applyNumberFormat="0" applyFill="0" applyAlignment="0" applyProtection="0"/>
    <xf numFmtId="0" fontId="73" fillId="0" borderId="50" applyNumberFormat="0" applyFill="0" applyAlignment="0" applyProtection="0"/>
    <xf numFmtId="0" fontId="73" fillId="0" borderId="50" applyNumberFormat="0" applyFill="0" applyAlignment="0" applyProtection="0"/>
    <xf numFmtId="228" fontId="73" fillId="0" borderId="50" applyNumberFormat="0" applyFill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8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8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8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8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8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8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8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8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8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228" fontId="92" fillId="0" borderId="0" applyNumberFormat="0" applyFill="0" applyBorder="0" applyAlignment="0" applyProtection="0"/>
    <xf numFmtId="0" fontId="168" fillId="0" borderId="66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221" fillId="0" borderId="66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221" fillId="0" borderId="66" applyNumberFormat="0" applyFill="0" applyAlignment="0" applyProtection="0">
      <alignment vertical="center"/>
    </xf>
    <xf numFmtId="228" fontId="221" fillId="0" borderId="66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74" fillId="0" borderId="66" applyNumberFormat="0" applyFill="0" applyAlignment="0" applyProtection="0"/>
    <xf numFmtId="0" fontId="74" fillId="0" borderId="66" applyNumberFormat="0" applyFill="0" applyAlignment="0" applyProtection="0"/>
    <xf numFmtId="228" fontId="74" fillId="0" borderId="66" applyNumberFormat="0" applyFill="0" applyAlignment="0" applyProtection="0"/>
    <xf numFmtId="0" fontId="168" fillId="0" borderId="66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168" fillId="0" borderId="66" applyNumberFormat="0" applyFill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75" fillId="0" borderId="79" applyNumberFormat="0" applyFill="0" applyAlignment="0" applyProtection="0"/>
    <xf numFmtId="0" fontId="75" fillId="0" borderId="79" applyNumberFormat="0" applyFill="0" applyAlignment="0" applyProtection="0"/>
    <xf numFmtId="228" fontId="75" fillId="0" borderId="79" applyNumberFormat="0" applyFill="0" applyAlignment="0" applyProtection="0"/>
    <xf numFmtId="0" fontId="169" fillId="0" borderId="67" applyNumberFormat="0" applyFill="0" applyAlignment="0" applyProtection="0">
      <alignment vertical="center"/>
    </xf>
    <xf numFmtId="0" fontId="169" fillId="0" borderId="67" applyNumberFormat="0" applyFill="0" applyAlignment="0" applyProtection="0">
      <alignment vertical="center"/>
    </xf>
    <xf numFmtId="0" fontId="169" fillId="0" borderId="67" applyNumberFormat="0" applyFill="0" applyAlignment="0" applyProtection="0">
      <alignment vertical="center"/>
    </xf>
    <xf numFmtId="0" fontId="169" fillId="0" borderId="67" applyNumberFormat="0" applyFill="0" applyAlignment="0" applyProtection="0">
      <alignment vertical="center"/>
    </xf>
    <xf numFmtId="0" fontId="169" fillId="0" borderId="67" applyNumberFormat="0" applyFill="0" applyAlignment="0" applyProtection="0">
      <alignment vertical="center"/>
    </xf>
    <xf numFmtId="0" fontId="169" fillId="0" borderId="67" applyNumberFormat="0" applyFill="0" applyAlignment="0" applyProtection="0">
      <alignment vertical="center"/>
    </xf>
    <xf numFmtId="0" fontId="169" fillId="0" borderId="67" applyNumberFormat="0" applyFill="0" applyAlignment="0" applyProtection="0">
      <alignment vertical="center"/>
    </xf>
    <xf numFmtId="0" fontId="169" fillId="0" borderId="67" applyNumberFormat="0" applyFill="0" applyAlignment="0" applyProtection="0">
      <alignment vertical="center"/>
    </xf>
    <xf numFmtId="0" fontId="169" fillId="0" borderId="67" applyNumberFormat="0" applyFill="0" applyAlignment="0" applyProtection="0">
      <alignment vertical="center"/>
    </xf>
    <xf numFmtId="0" fontId="213" fillId="0" borderId="51" applyNumberFormat="0" applyFill="0" applyAlignment="0" applyProtection="0">
      <alignment vertical="center"/>
    </xf>
    <xf numFmtId="0" fontId="213" fillId="0" borderId="51" applyNumberFormat="0" applyFill="0" applyAlignment="0" applyProtection="0">
      <alignment vertical="center"/>
    </xf>
    <xf numFmtId="228" fontId="213" fillId="0" borderId="51" applyNumberFormat="0" applyFill="0" applyAlignment="0" applyProtection="0">
      <alignment vertical="center"/>
    </xf>
    <xf numFmtId="0" fontId="169" fillId="0" borderId="67" applyNumberFormat="0" applyFill="0" applyAlignment="0" applyProtection="0">
      <alignment vertical="center"/>
    </xf>
    <xf numFmtId="0" fontId="213" fillId="0" borderId="51" applyNumberFormat="0" applyFill="0" applyAlignment="0" applyProtection="0">
      <alignment vertical="center"/>
    </xf>
    <xf numFmtId="228" fontId="213" fillId="0" borderId="51" applyNumberFormat="0" applyFill="0" applyAlignment="0" applyProtection="0">
      <alignment vertical="center"/>
    </xf>
    <xf numFmtId="0" fontId="213" fillId="0" borderId="51" applyNumberFormat="0" applyFill="0" applyAlignment="0" applyProtection="0">
      <alignment vertical="center"/>
    </xf>
    <xf numFmtId="0" fontId="169" fillId="0" borderId="67" applyNumberFormat="0" applyFill="0" applyAlignment="0" applyProtection="0">
      <alignment vertical="center"/>
    </xf>
    <xf numFmtId="0" fontId="169" fillId="0" borderId="67" applyNumberFormat="0" applyFill="0" applyAlignment="0" applyProtection="0">
      <alignment vertical="center"/>
    </xf>
    <xf numFmtId="0" fontId="169" fillId="0" borderId="67" applyNumberFormat="0" applyFill="0" applyAlignment="0" applyProtection="0">
      <alignment vertical="center"/>
    </xf>
    <xf numFmtId="0" fontId="169" fillId="0" borderId="67" applyNumberFormat="0" applyFill="0" applyAlignment="0" applyProtection="0">
      <alignment vertical="center"/>
    </xf>
    <xf numFmtId="0" fontId="169" fillId="0" borderId="67" applyNumberFormat="0" applyFill="0" applyAlignment="0" applyProtection="0">
      <alignment vertical="center"/>
    </xf>
    <xf numFmtId="0" fontId="169" fillId="0" borderId="67" applyNumberFormat="0" applyFill="0" applyAlignment="0" applyProtection="0">
      <alignment vertical="center"/>
    </xf>
    <xf numFmtId="0" fontId="169" fillId="0" borderId="67" applyNumberFormat="0" applyFill="0" applyAlignment="0" applyProtection="0">
      <alignment vertical="center"/>
    </xf>
    <xf numFmtId="0" fontId="169" fillId="0" borderId="67" applyNumberFormat="0" applyFill="0" applyAlignment="0" applyProtection="0">
      <alignment vertical="center"/>
    </xf>
    <xf numFmtId="0" fontId="169" fillId="0" borderId="67" applyNumberFormat="0" applyFill="0" applyAlignment="0" applyProtection="0">
      <alignment vertical="center"/>
    </xf>
    <xf numFmtId="0" fontId="169" fillId="0" borderId="67" applyNumberFormat="0" applyFill="0" applyAlignment="0" applyProtection="0">
      <alignment vertical="center"/>
    </xf>
    <xf numFmtId="0" fontId="169" fillId="0" borderId="67" applyNumberFormat="0" applyFill="0" applyAlignment="0" applyProtection="0">
      <alignment vertical="center"/>
    </xf>
    <xf numFmtId="0" fontId="169" fillId="0" borderId="67" applyNumberFormat="0" applyFill="0" applyAlignment="0" applyProtection="0">
      <alignment vertical="center"/>
    </xf>
    <xf numFmtId="228" fontId="169" fillId="0" borderId="67" applyNumberFormat="0" applyFill="0" applyAlignment="0" applyProtection="0">
      <alignment vertical="center"/>
    </xf>
    <xf numFmtId="0" fontId="169" fillId="0" borderId="67" applyNumberFormat="0" applyFill="0" applyAlignment="0" applyProtection="0">
      <alignment vertical="center"/>
    </xf>
    <xf numFmtId="0" fontId="169" fillId="0" borderId="67" applyNumberFormat="0" applyFill="0" applyAlignment="0" applyProtection="0">
      <alignment vertical="center"/>
    </xf>
    <xf numFmtId="0" fontId="169" fillId="0" borderId="67" applyNumberFormat="0" applyFill="0" applyAlignment="0" applyProtection="0">
      <alignment vertical="center"/>
    </xf>
    <xf numFmtId="0" fontId="75" fillId="0" borderId="79" applyNumberFormat="0" applyFill="0" applyAlignment="0" applyProtection="0"/>
    <xf numFmtId="0" fontId="75" fillId="0" borderId="79" applyNumberFormat="0" applyFill="0" applyAlignment="0" applyProtection="0"/>
    <xf numFmtId="228" fontId="75" fillId="0" borderId="79" applyNumberFormat="0" applyFill="0" applyAlignment="0" applyProtection="0"/>
    <xf numFmtId="0" fontId="75" fillId="0" borderId="79" applyNumberFormat="0" applyFill="0" applyAlignment="0" applyProtection="0"/>
    <xf numFmtId="0" fontId="75" fillId="0" borderId="79" applyNumberFormat="0" applyFill="0" applyAlignment="0" applyProtection="0"/>
    <xf numFmtId="228" fontId="75" fillId="0" borderId="79" applyNumberFormat="0" applyFill="0" applyAlignment="0" applyProtection="0"/>
    <xf numFmtId="0" fontId="75" fillId="0" borderId="79" applyNumberFormat="0" applyFill="0" applyAlignment="0" applyProtection="0"/>
    <xf numFmtId="0" fontId="75" fillId="0" borderId="79" applyNumberFormat="0" applyFill="0" applyAlignment="0" applyProtection="0"/>
    <xf numFmtId="228" fontId="75" fillId="0" borderId="79" applyNumberFormat="0" applyFill="0" applyAlignment="0" applyProtection="0"/>
    <xf numFmtId="0" fontId="75" fillId="0" borderId="79" applyNumberFormat="0" applyFill="0" applyAlignment="0" applyProtection="0"/>
    <xf numFmtId="0" fontId="75" fillId="0" borderId="79" applyNumberFormat="0" applyFill="0" applyAlignment="0" applyProtection="0"/>
    <xf numFmtId="228" fontId="75" fillId="0" borderId="79" applyNumberFormat="0" applyFill="0" applyAlignment="0" applyProtection="0"/>
    <xf numFmtId="0" fontId="75" fillId="0" borderId="79" applyNumberFormat="0" applyFill="0" applyAlignment="0" applyProtection="0"/>
    <xf numFmtId="0" fontId="75" fillId="0" borderId="79" applyNumberFormat="0" applyFill="0" applyAlignment="0" applyProtection="0"/>
    <xf numFmtId="228" fontId="75" fillId="0" borderId="79" applyNumberFormat="0" applyFill="0" applyAlignment="0" applyProtection="0"/>
    <xf numFmtId="0" fontId="75" fillId="0" borderId="79" applyNumberFormat="0" applyFill="0" applyAlignment="0" applyProtection="0"/>
    <xf numFmtId="0" fontId="75" fillId="0" borderId="79" applyNumberFormat="0" applyFill="0" applyAlignment="0" applyProtection="0"/>
    <xf numFmtId="228" fontId="75" fillId="0" borderId="79" applyNumberFormat="0" applyFill="0" applyAlignment="0" applyProtection="0"/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228" fontId="75" fillId="0" borderId="0" applyNumberFormat="0" applyFill="0" applyBorder="0" applyAlignment="0" applyProtection="0"/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  <xf numFmtId="228" fontId="213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  <xf numFmtId="228" fontId="213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228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228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228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228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228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228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228" fontId="75" fillId="0" borderId="0" applyNumberFormat="0" applyFill="0" applyBorder="0" applyAlignment="0" applyProtection="0"/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22" fillId="0" borderId="0" applyNumberFormat="0" applyFill="0" applyBorder="0" applyAlignment="0" applyProtection="0">
      <alignment vertical="center"/>
    </xf>
    <xf numFmtId="0" fontId="222" fillId="0" borderId="0" applyNumberFormat="0" applyFill="0" applyBorder="0" applyAlignment="0" applyProtection="0">
      <alignment vertical="center"/>
    </xf>
    <xf numFmtId="0" fontId="222" fillId="0" borderId="0" applyNumberFormat="0" applyFill="0" applyBorder="0" applyAlignment="0" applyProtection="0">
      <alignment vertical="center"/>
    </xf>
    <xf numFmtId="228" fontId="222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22" fillId="0" borderId="0" applyNumberFormat="0" applyFill="0" applyBorder="0" applyAlignment="0" applyProtection="0">
      <alignment vertical="center"/>
    </xf>
    <xf numFmtId="228" fontId="222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228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22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228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228" fontId="204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/>
    <xf numFmtId="228" fontId="92" fillId="0" borderId="0" applyNumberFormat="0" applyFill="0" applyBorder="0" applyAlignment="0" applyProtection="0"/>
    <xf numFmtId="0" fontId="204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/>
    <xf numFmtId="228" fontId="92" fillId="0" borderId="0" applyNumberFormat="0" applyFill="0" applyBorder="0" applyAlignment="0" applyProtection="0"/>
    <xf numFmtId="0" fontId="204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/>
    <xf numFmtId="228" fontId="92" fillId="0" borderId="0" applyNumberFormat="0" applyFill="0" applyBorder="0" applyAlignment="0" applyProtection="0"/>
    <xf numFmtId="0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228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223" fillId="56" borderId="0" applyNumberFormat="0" applyBorder="0" applyAlignment="0" applyProtection="0"/>
    <xf numFmtId="0" fontId="223" fillId="56" borderId="0" applyNumberFormat="0" applyBorder="0" applyAlignment="0" applyProtection="0"/>
    <xf numFmtId="228" fontId="223" fillId="56" borderId="0" applyNumberFormat="0" applyBorder="0" applyAlignment="0" applyProtection="0"/>
    <xf numFmtId="0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163" fillId="56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24" fillId="0" borderId="0">
      <alignment vertical="center"/>
    </xf>
    <xf numFmtId="0" fontId="162" fillId="67" borderId="5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181" fillId="67" borderId="5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0" fontId="181" fillId="67" borderId="5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0" fontId="181" fillId="67" borderId="5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0" fontId="181" fillId="67" borderId="5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0" fontId="181" fillId="67" borderId="5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0" fontId="181" fillId="67" borderId="5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0" fontId="181" fillId="67" borderId="55" applyNumberFormat="0" applyAlignment="0" applyProtection="0">
      <alignment vertical="center"/>
    </xf>
    <xf numFmtId="228" fontId="181" fillId="67" borderId="5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162" fillId="58" borderId="55" applyNumberFormat="0" applyAlignment="0" applyProtection="0">
      <alignment vertical="center"/>
    </xf>
    <xf numFmtId="0" fontId="162" fillId="58" borderId="55" applyNumberFormat="0" applyAlignment="0" applyProtection="0">
      <alignment vertical="center"/>
    </xf>
    <xf numFmtId="0" fontId="162" fillId="58" borderId="55" applyNumberFormat="0" applyAlignment="0" applyProtection="0">
      <alignment vertical="center"/>
    </xf>
    <xf numFmtId="228" fontId="162" fillId="58" borderId="55" applyNumberFormat="0" applyAlignment="0" applyProtection="0">
      <alignment vertical="center"/>
    </xf>
    <xf numFmtId="228" fontId="162" fillId="58" borderId="55" applyNumberFormat="0" applyAlignment="0" applyProtection="0">
      <alignment vertical="center"/>
    </xf>
    <xf numFmtId="0" fontId="162" fillId="58" borderId="55" applyNumberFormat="0" applyAlignment="0" applyProtection="0">
      <alignment vertical="center"/>
    </xf>
    <xf numFmtId="228" fontId="162" fillId="58" borderId="55" applyNumberFormat="0" applyAlignment="0" applyProtection="0">
      <alignment vertical="center"/>
    </xf>
    <xf numFmtId="0" fontId="162" fillId="58" borderId="55" applyNumberFormat="0" applyAlignment="0" applyProtection="0">
      <alignment vertical="center"/>
    </xf>
    <xf numFmtId="228" fontId="162" fillId="58" borderId="55" applyNumberFormat="0" applyAlignment="0" applyProtection="0">
      <alignment vertical="center"/>
    </xf>
    <xf numFmtId="228" fontId="162" fillId="58" borderId="55" applyNumberFormat="0" applyAlignment="0" applyProtection="0">
      <alignment vertical="center"/>
    </xf>
    <xf numFmtId="0" fontId="162" fillId="58" borderId="55" applyNumberFormat="0" applyAlignment="0" applyProtection="0">
      <alignment vertical="center"/>
    </xf>
    <xf numFmtId="228" fontId="162" fillId="58" borderId="55" applyNumberFormat="0" applyAlignment="0" applyProtection="0">
      <alignment vertical="center"/>
    </xf>
    <xf numFmtId="0" fontId="162" fillId="58" borderId="55" applyNumberFormat="0" applyAlignment="0" applyProtection="0">
      <alignment vertical="center"/>
    </xf>
    <xf numFmtId="228" fontId="162" fillId="58" borderId="55" applyNumberFormat="0" applyAlignment="0" applyProtection="0">
      <alignment vertical="center"/>
    </xf>
    <xf numFmtId="228" fontId="162" fillId="58" borderId="55" applyNumberFormat="0" applyAlignment="0" applyProtection="0">
      <alignment vertical="center"/>
    </xf>
    <xf numFmtId="0" fontId="162" fillId="58" borderId="55" applyNumberFormat="0" applyAlignment="0" applyProtection="0">
      <alignment vertical="center"/>
    </xf>
    <xf numFmtId="228" fontId="162" fillId="58" borderId="55" applyNumberFormat="0" applyAlignment="0" applyProtection="0">
      <alignment vertical="center"/>
    </xf>
    <xf numFmtId="228" fontId="162" fillId="58" borderId="55" applyNumberFormat="0" applyAlignment="0" applyProtection="0">
      <alignment vertical="center"/>
    </xf>
    <xf numFmtId="228" fontId="162" fillId="58" borderId="5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162" fillId="58" borderId="55" applyNumberFormat="0" applyAlignment="0" applyProtection="0">
      <alignment vertical="center"/>
    </xf>
    <xf numFmtId="228" fontId="162" fillId="58" borderId="55" applyNumberFormat="0" applyAlignment="0" applyProtection="0">
      <alignment vertical="center"/>
    </xf>
    <xf numFmtId="0" fontId="162" fillId="58" borderId="55" applyNumberFormat="0" applyAlignment="0" applyProtection="0">
      <alignment vertical="center"/>
    </xf>
    <xf numFmtId="0" fontId="162" fillId="58" borderId="55" applyNumberFormat="0" applyAlignment="0" applyProtection="0">
      <alignment vertical="center"/>
    </xf>
    <xf numFmtId="228" fontId="162" fillId="58" borderId="5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86" fillId="70" borderId="55" applyNumberFormat="0" applyAlignment="0" applyProtection="0"/>
    <xf numFmtId="0" fontId="86" fillId="70" borderId="55" applyNumberFormat="0" applyAlignment="0" applyProtection="0"/>
    <xf numFmtId="0" fontId="86" fillId="70" borderId="55" applyNumberFormat="0" applyAlignment="0" applyProtection="0"/>
    <xf numFmtId="228" fontId="86" fillId="70" borderId="55" applyNumberFormat="0" applyAlignment="0" applyProtection="0"/>
    <xf numFmtId="228" fontId="86" fillId="70" borderId="55" applyNumberFormat="0" applyAlignment="0" applyProtection="0"/>
    <xf numFmtId="0" fontId="86" fillId="70" borderId="55" applyNumberFormat="0" applyAlignment="0" applyProtection="0"/>
    <xf numFmtId="228" fontId="86" fillId="70" borderId="55" applyNumberFormat="0" applyAlignment="0" applyProtection="0"/>
    <xf numFmtId="0" fontId="86" fillId="70" borderId="55" applyNumberFormat="0" applyAlignment="0" applyProtection="0"/>
    <xf numFmtId="228" fontId="86" fillId="70" borderId="55" applyNumberFormat="0" applyAlignment="0" applyProtection="0"/>
    <xf numFmtId="228" fontId="86" fillId="70" borderId="55" applyNumberFormat="0" applyAlignment="0" applyProtection="0"/>
    <xf numFmtId="0" fontId="86" fillId="70" borderId="55" applyNumberFormat="0" applyAlignment="0" applyProtection="0"/>
    <xf numFmtId="228" fontId="86" fillId="70" borderId="55" applyNumberFormat="0" applyAlignment="0" applyProtection="0"/>
    <xf numFmtId="0" fontId="86" fillId="70" borderId="55" applyNumberFormat="0" applyAlignment="0" applyProtection="0"/>
    <xf numFmtId="228" fontId="86" fillId="70" borderId="55" applyNumberFormat="0" applyAlignment="0" applyProtection="0"/>
    <xf numFmtId="228" fontId="86" fillId="70" borderId="55" applyNumberFormat="0" applyAlignment="0" applyProtection="0"/>
    <xf numFmtId="0" fontId="86" fillId="70" borderId="55" applyNumberFormat="0" applyAlignment="0" applyProtection="0"/>
    <xf numFmtId="228" fontId="86" fillId="70" borderId="55" applyNumberFormat="0" applyAlignment="0" applyProtection="0"/>
    <xf numFmtId="228" fontId="86" fillId="70" borderId="55" applyNumberFormat="0" applyAlignment="0" applyProtection="0"/>
    <xf numFmtId="228" fontId="86" fillId="70" borderId="55" applyNumberFormat="0" applyAlignment="0" applyProtection="0"/>
    <xf numFmtId="0" fontId="86" fillId="70" borderId="55" applyNumberFormat="0" applyAlignment="0" applyProtection="0"/>
    <xf numFmtId="228" fontId="86" fillId="70" borderId="55" applyNumberFormat="0" applyAlignment="0" applyProtection="0"/>
    <xf numFmtId="0" fontId="86" fillId="70" borderId="55" applyNumberFormat="0" applyAlignment="0" applyProtection="0"/>
    <xf numFmtId="228" fontId="86" fillId="70" borderId="55" applyNumberFormat="0" applyAlignment="0" applyProtection="0"/>
    <xf numFmtId="0" fontId="162" fillId="67" borderId="5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162" fillId="67" borderId="55" applyNumberFormat="0" applyAlignment="0" applyProtection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13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8" fontId="139" fillId="0" borderId="0">
      <alignment vertical="center"/>
    </xf>
    <xf numFmtId="0" fontId="13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8" fontId="139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0" fontId="133" fillId="0" borderId="0"/>
    <xf numFmtId="228" fontId="133" fillId="0" borderId="0"/>
    <xf numFmtId="0" fontId="225" fillId="0" borderId="0">
      <alignment vertical="center"/>
    </xf>
    <xf numFmtId="0" fontId="139" fillId="0" borderId="0">
      <alignment vertical="center"/>
    </xf>
    <xf numFmtId="228" fontId="225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226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8" fontId="110" fillId="0" borderId="0">
      <alignment vertical="center"/>
    </xf>
    <xf numFmtId="0" fontId="216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216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0" fontId="225" fillId="0" borderId="0">
      <alignment vertical="center"/>
    </xf>
    <xf numFmtId="228" fontId="225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226" fillId="0" borderId="0">
      <alignment vertical="center"/>
    </xf>
    <xf numFmtId="0" fontId="225" fillId="0" borderId="0">
      <alignment vertical="center"/>
    </xf>
    <xf numFmtId="0" fontId="110" fillId="0" borderId="0">
      <alignment vertical="center"/>
    </xf>
    <xf numFmtId="0" fontId="225" fillId="0" borderId="0">
      <alignment vertical="center"/>
    </xf>
    <xf numFmtId="228" fontId="225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225" fillId="0" borderId="0">
      <alignment vertical="center"/>
    </xf>
    <xf numFmtId="0" fontId="9" fillId="0" borderId="0">
      <alignment vertical="center"/>
    </xf>
    <xf numFmtId="0" fontId="225" fillId="0" borderId="0">
      <alignment vertical="center"/>
    </xf>
    <xf numFmtId="0" fontId="225" fillId="0" borderId="0">
      <alignment vertical="center"/>
    </xf>
    <xf numFmtId="0" fontId="225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8" fontId="225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8" fontId="117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225" fillId="0" borderId="0">
      <alignment vertical="center"/>
    </xf>
    <xf numFmtId="0" fontId="225" fillId="0" borderId="0">
      <alignment vertical="center"/>
    </xf>
    <xf numFmtId="228" fontId="225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216" fillId="0" borderId="0">
      <alignment vertical="center"/>
    </xf>
    <xf numFmtId="0" fontId="117" fillId="0" borderId="0">
      <alignment vertical="center"/>
    </xf>
    <xf numFmtId="228" fontId="11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117" fillId="0" borderId="0">
      <alignment vertical="center"/>
    </xf>
    <xf numFmtId="228" fontId="117" fillId="0" borderId="0">
      <alignment vertical="center"/>
    </xf>
    <xf numFmtId="0" fontId="227" fillId="0" borderId="0">
      <alignment vertical="center"/>
    </xf>
    <xf numFmtId="0" fontId="227" fillId="0" borderId="0">
      <alignment vertical="center"/>
    </xf>
    <xf numFmtId="0" fontId="227" fillId="0" borderId="0">
      <alignment vertical="center"/>
    </xf>
    <xf numFmtId="228" fontId="227" fillId="0" borderId="0">
      <alignment vertical="center"/>
    </xf>
    <xf numFmtId="0" fontId="110" fillId="0" borderId="0">
      <alignment vertical="center"/>
    </xf>
    <xf numFmtId="0" fontId="216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227" fillId="0" borderId="0">
      <alignment vertical="center"/>
    </xf>
    <xf numFmtId="0" fontId="225" fillId="0" borderId="0">
      <alignment vertical="center"/>
    </xf>
    <xf numFmtId="0" fontId="216" fillId="0" borderId="0">
      <alignment vertical="center"/>
    </xf>
    <xf numFmtId="0" fontId="225" fillId="0" borderId="0">
      <alignment vertical="center"/>
    </xf>
    <xf numFmtId="228" fontId="225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228" fontId="227" fillId="0" borderId="0">
      <alignment vertical="center"/>
    </xf>
    <xf numFmtId="0" fontId="225" fillId="0" borderId="0">
      <alignment vertical="center"/>
    </xf>
    <xf numFmtId="0" fontId="225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228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117" fillId="0" borderId="0">
      <alignment vertical="center"/>
    </xf>
    <xf numFmtId="0" fontId="216" fillId="0" borderId="0">
      <alignment vertical="center"/>
    </xf>
    <xf numFmtId="0" fontId="216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216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8" fontId="11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216" fillId="0" borderId="0">
      <alignment vertical="center"/>
    </xf>
    <xf numFmtId="0" fontId="216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216" fillId="0" borderId="0">
      <alignment vertical="center"/>
    </xf>
    <xf numFmtId="0" fontId="110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216" fillId="0" borderId="0">
      <alignment vertical="center"/>
    </xf>
    <xf numFmtId="0" fontId="216" fillId="0" borderId="0">
      <alignment vertical="center"/>
    </xf>
    <xf numFmtId="228" fontId="216" fillId="0" borderId="0">
      <alignment vertical="center"/>
    </xf>
    <xf numFmtId="0" fontId="227" fillId="0" borderId="0">
      <alignment vertical="center"/>
    </xf>
    <xf numFmtId="0" fontId="110" fillId="0" borderId="0">
      <alignment vertical="center"/>
    </xf>
    <xf numFmtId="0" fontId="226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7" fillId="0" borderId="0"/>
    <xf numFmtId="0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216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117" fillId="0" borderId="0">
      <alignment vertical="center"/>
    </xf>
    <xf numFmtId="0" fontId="216" fillId="0" borderId="0">
      <alignment vertical="center"/>
    </xf>
    <xf numFmtId="0" fontId="117" fillId="0" borderId="0">
      <alignment vertical="center"/>
    </xf>
    <xf numFmtId="228" fontId="117" fillId="0" borderId="0">
      <alignment vertical="center"/>
    </xf>
    <xf numFmtId="0" fontId="9" fillId="0" borderId="0">
      <alignment vertical="center"/>
    </xf>
    <xf numFmtId="0" fontId="216" fillId="0" borderId="0">
      <alignment vertical="center"/>
    </xf>
    <xf numFmtId="0" fontId="216" fillId="0" borderId="0">
      <alignment vertical="center"/>
    </xf>
    <xf numFmtId="0" fontId="216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8" fontId="117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117" fillId="0" borderId="0">
      <alignment vertical="center"/>
    </xf>
    <xf numFmtId="0" fontId="9" fillId="0" borderId="0">
      <alignment vertical="center"/>
    </xf>
    <xf numFmtId="228" fontId="117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139" fillId="0" borderId="0">
      <alignment vertical="center"/>
    </xf>
    <xf numFmtId="228" fontId="13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/>
    <xf numFmtId="0" fontId="9" fillId="0" borderId="0"/>
    <xf numFmtId="0" fontId="135" fillId="0" borderId="0"/>
    <xf numFmtId="0" fontId="9" fillId="0" borderId="0">
      <alignment vertical="center"/>
    </xf>
    <xf numFmtId="0" fontId="135" fillId="0" borderId="0"/>
    <xf numFmtId="0" fontId="9" fillId="0" borderId="0">
      <alignment vertical="center"/>
    </xf>
    <xf numFmtId="228" fontId="9" fillId="0" borderId="0">
      <alignment vertical="center"/>
    </xf>
    <xf numFmtId="0" fontId="135" fillId="0" borderId="0"/>
    <xf numFmtId="0" fontId="135" fillId="0" borderId="0"/>
    <xf numFmtId="0" fontId="9" fillId="0" borderId="0">
      <alignment vertical="center"/>
    </xf>
    <xf numFmtId="0" fontId="135" fillId="0" borderId="0"/>
    <xf numFmtId="228" fontId="135" fillId="0" borderId="0"/>
    <xf numFmtId="0" fontId="9" fillId="0" borderId="0">
      <alignment vertical="center"/>
    </xf>
    <xf numFmtId="0" fontId="135" fillId="0" borderId="0"/>
    <xf numFmtId="0" fontId="9" fillId="0" borderId="0">
      <alignment vertical="center"/>
    </xf>
    <xf numFmtId="0" fontId="135" fillId="0" borderId="0"/>
    <xf numFmtId="228" fontId="135" fillId="0" borderId="0"/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135" fillId="0" borderId="0"/>
    <xf numFmtId="0" fontId="9" fillId="0" borderId="0">
      <alignment vertical="center"/>
    </xf>
    <xf numFmtId="0" fontId="135" fillId="0" borderId="0"/>
    <xf numFmtId="0" fontId="9" fillId="0" borderId="0">
      <alignment vertical="center"/>
    </xf>
    <xf numFmtId="228" fontId="135" fillId="0" borderId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35" fillId="0" borderId="0"/>
    <xf numFmtId="0" fontId="135" fillId="0" borderId="0"/>
    <xf numFmtId="228" fontId="135" fillId="0" borderId="0"/>
    <xf numFmtId="0" fontId="9" fillId="0" borderId="0">
      <alignment vertical="center"/>
    </xf>
    <xf numFmtId="0" fontId="135" fillId="0" borderId="0"/>
    <xf numFmtId="228" fontId="135" fillId="0" borderId="0"/>
    <xf numFmtId="0" fontId="135" fillId="0" borderId="0"/>
    <xf numFmtId="0" fontId="135" fillId="0" borderId="0"/>
    <xf numFmtId="0" fontId="135" fillId="0" borderId="0"/>
    <xf numFmtId="0" fontId="9" fillId="0" borderId="0">
      <alignment vertical="center"/>
    </xf>
    <xf numFmtId="0" fontId="9" fillId="0" borderId="0">
      <alignment vertical="center"/>
    </xf>
    <xf numFmtId="0" fontId="135" fillId="0" borderId="0"/>
    <xf numFmtId="228" fontId="135" fillId="0" borderId="0"/>
    <xf numFmtId="228" fontId="9" fillId="0" borderId="0">
      <alignment vertical="center"/>
    </xf>
    <xf numFmtId="0" fontId="9" fillId="0" borderId="0">
      <alignment vertical="center"/>
    </xf>
    <xf numFmtId="0" fontId="135" fillId="0" borderId="0"/>
    <xf numFmtId="0" fontId="9" fillId="0" borderId="0">
      <alignment vertical="center"/>
    </xf>
    <xf numFmtId="0" fontId="135" fillId="0" borderId="0"/>
    <xf numFmtId="0" fontId="135" fillId="0" borderId="0"/>
    <xf numFmtId="228" fontId="135" fillId="0" borderId="0"/>
    <xf numFmtId="228" fontId="135" fillId="0" borderId="0"/>
    <xf numFmtId="228" fontId="135" fillId="0" borderId="0"/>
    <xf numFmtId="0" fontId="9" fillId="0" borderId="0">
      <alignment vertical="center"/>
    </xf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9" fillId="0" borderId="0">
      <alignment vertical="center"/>
    </xf>
    <xf numFmtId="0" fontId="135" fillId="0" borderId="0"/>
    <xf numFmtId="0" fontId="135" fillId="0" borderId="0"/>
    <xf numFmtId="0" fontId="9" fillId="0" borderId="0">
      <alignment vertical="center"/>
    </xf>
    <xf numFmtId="0" fontId="135" fillId="0" borderId="0"/>
    <xf numFmtId="228" fontId="135" fillId="0" borderId="0"/>
    <xf numFmtId="0" fontId="135" fillId="0" borderId="0"/>
    <xf numFmtId="0" fontId="9" fillId="0" borderId="0">
      <alignment vertical="center"/>
    </xf>
    <xf numFmtId="0" fontId="135" fillId="0" borderId="0"/>
    <xf numFmtId="0" fontId="135" fillId="0" borderId="0"/>
    <xf numFmtId="0" fontId="135" fillId="0" borderId="0"/>
    <xf numFmtId="0" fontId="135" fillId="0" borderId="0"/>
    <xf numFmtId="228" fontId="135" fillId="0" borderId="0"/>
    <xf numFmtId="0" fontId="135" fillId="0" borderId="0"/>
    <xf numFmtId="0" fontId="9" fillId="0" borderId="0">
      <alignment vertical="center"/>
    </xf>
    <xf numFmtId="0" fontId="135" fillId="0" borderId="0"/>
    <xf numFmtId="0" fontId="135" fillId="0" borderId="0"/>
    <xf numFmtId="0" fontId="135" fillId="0" borderId="0"/>
    <xf numFmtId="0" fontId="9" fillId="0" borderId="0">
      <alignment vertical="center"/>
    </xf>
    <xf numFmtId="0" fontId="9" fillId="0" borderId="0">
      <alignment vertical="center"/>
    </xf>
    <xf numFmtId="0" fontId="135" fillId="0" borderId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35" fillId="0" borderId="0"/>
    <xf numFmtId="0" fontId="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228" fontId="110" fillId="0" borderId="0">
      <alignment vertical="center"/>
    </xf>
    <xf numFmtId="0" fontId="9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117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228" fontId="117" fillId="0" borderId="0">
      <alignment vertical="center"/>
    </xf>
    <xf numFmtId="0" fontId="9" fillId="0" borderId="0">
      <alignment vertical="center"/>
    </xf>
    <xf numFmtId="0" fontId="117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117" fillId="0" borderId="0">
      <alignment vertical="center"/>
    </xf>
    <xf numFmtId="0" fontId="9" fillId="0" borderId="0">
      <alignment vertical="center"/>
    </xf>
    <xf numFmtId="228" fontId="117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228" fontId="13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228" fontId="13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228" fontId="13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225" fillId="0" borderId="0">
      <alignment vertical="center"/>
    </xf>
    <xf numFmtId="0" fontId="225" fillId="0" borderId="0">
      <alignment vertical="center"/>
    </xf>
    <xf numFmtId="0" fontId="9" fillId="0" borderId="0">
      <alignment vertical="center"/>
    </xf>
    <xf numFmtId="228" fontId="225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139" fillId="0" borderId="0">
      <alignment vertical="center"/>
    </xf>
    <xf numFmtId="228" fontId="13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228" fontId="139" fillId="0" borderId="0">
      <alignment vertical="center"/>
    </xf>
    <xf numFmtId="0" fontId="228" fillId="0" borderId="0">
      <alignment vertical="center"/>
    </xf>
    <xf numFmtId="0" fontId="229" fillId="0" borderId="0">
      <alignment vertical="center"/>
    </xf>
    <xf numFmtId="0" fontId="117" fillId="0" borderId="0">
      <alignment vertical="center"/>
    </xf>
    <xf numFmtId="0" fontId="229" fillId="0" borderId="0">
      <alignment vertical="center"/>
    </xf>
    <xf numFmtId="228" fontId="22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228" fontId="139" fillId="0" borderId="0">
      <alignment vertical="center"/>
    </xf>
    <xf numFmtId="0" fontId="117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229" fillId="0" borderId="0">
      <alignment vertical="center"/>
    </xf>
    <xf numFmtId="0" fontId="22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0" fontId="228" fillId="0" borderId="0">
      <alignment vertical="center"/>
    </xf>
    <xf numFmtId="228" fontId="22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8" fontId="117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8" fontId="11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228" fontId="117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8" fontId="117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139" fillId="0" borderId="0">
      <alignment vertical="center"/>
    </xf>
    <xf numFmtId="0" fontId="228" fillId="0" borderId="0">
      <alignment vertical="center"/>
    </xf>
    <xf numFmtId="0" fontId="139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228" fontId="13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229" fillId="0" borderId="0">
      <alignment vertical="center"/>
    </xf>
    <xf numFmtId="0" fontId="229" fillId="0" borderId="0">
      <alignment vertical="center"/>
    </xf>
    <xf numFmtId="0" fontId="117" fillId="0" borderId="0">
      <alignment vertical="center"/>
    </xf>
    <xf numFmtId="0" fontId="9" fillId="0" borderId="0">
      <alignment vertical="center"/>
    </xf>
    <xf numFmtId="228" fontId="229" fillId="0" borderId="0">
      <alignment vertical="center"/>
    </xf>
    <xf numFmtId="0" fontId="117" fillId="0" borderId="0">
      <alignment vertical="center"/>
    </xf>
    <xf numFmtId="0" fontId="229" fillId="0" borderId="0">
      <alignment vertical="center"/>
    </xf>
    <xf numFmtId="0" fontId="9" fillId="0" borderId="0">
      <alignment vertical="center"/>
    </xf>
    <xf numFmtId="0" fontId="229" fillId="0" borderId="0">
      <alignment vertical="center"/>
    </xf>
    <xf numFmtId="228" fontId="229" fillId="0" borderId="0">
      <alignment vertical="center"/>
    </xf>
    <xf numFmtId="0" fontId="117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228" fontId="139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228" fontId="139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228" fontId="139" fillId="0" borderId="0">
      <alignment vertical="center"/>
    </xf>
    <xf numFmtId="0" fontId="217" fillId="0" borderId="0">
      <alignment vertical="center"/>
    </xf>
    <xf numFmtId="0" fontId="217" fillId="0" borderId="0">
      <alignment vertical="center"/>
    </xf>
    <xf numFmtId="0" fontId="217" fillId="0" borderId="0">
      <alignment vertical="center"/>
    </xf>
    <xf numFmtId="0" fontId="217" fillId="0" borderId="0">
      <alignment vertical="center"/>
    </xf>
    <xf numFmtId="0" fontId="217" fillId="0" borderId="0">
      <alignment vertical="center"/>
    </xf>
    <xf numFmtId="0" fontId="217" fillId="0" borderId="0">
      <alignment vertical="center"/>
    </xf>
    <xf numFmtId="0" fontId="217" fillId="0" borderId="0">
      <alignment vertical="center"/>
    </xf>
    <xf numFmtId="0" fontId="217" fillId="0" borderId="0">
      <alignment vertical="center"/>
    </xf>
    <xf numFmtId="228" fontId="217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228" fontId="9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228" fontId="9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228" fontId="117" fillId="0" borderId="0">
      <alignment vertical="center"/>
    </xf>
    <xf numFmtId="0" fontId="139" fillId="0" borderId="0">
      <alignment vertical="center"/>
    </xf>
    <xf numFmtId="0" fontId="117" fillId="0" borderId="0">
      <alignment vertical="center"/>
    </xf>
    <xf numFmtId="0" fontId="139" fillId="0" borderId="0">
      <alignment vertical="center"/>
    </xf>
    <xf numFmtId="228" fontId="139" fillId="0" borderId="0">
      <alignment vertical="center"/>
    </xf>
    <xf numFmtId="0" fontId="13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8" fontId="139" fillId="0" borderId="0">
      <alignment vertical="center"/>
    </xf>
    <xf numFmtId="0" fontId="139" fillId="0" borderId="0">
      <alignment vertical="center"/>
    </xf>
    <xf numFmtId="228" fontId="110" fillId="0" borderId="0">
      <alignment vertical="center"/>
    </xf>
    <xf numFmtId="228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8" fontId="117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8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8" fontId="117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228" fontId="9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227" fillId="0" borderId="0">
      <alignment vertical="center"/>
    </xf>
    <xf numFmtId="0" fontId="227" fillId="0" borderId="0">
      <alignment vertical="center"/>
    </xf>
    <xf numFmtId="228" fontId="9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8" fontId="117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228" fontId="9" fillId="0" borderId="0">
      <alignment vertical="center"/>
    </xf>
    <xf numFmtId="0" fontId="117" fillId="0" borderId="0">
      <alignment vertical="center"/>
    </xf>
    <xf numFmtId="0" fontId="9" fillId="0" borderId="0">
      <alignment vertical="center"/>
    </xf>
    <xf numFmtId="0" fontId="227" fillId="0" borderId="0">
      <alignment vertical="center"/>
    </xf>
    <xf numFmtId="228" fontId="117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228" fontId="117" fillId="0" borderId="0">
      <alignment vertical="center"/>
    </xf>
    <xf numFmtId="0" fontId="117" fillId="0" borderId="0">
      <alignment vertical="center"/>
    </xf>
    <xf numFmtId="228" fontId="110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8" fontId="117" fillId="0" borderId="0">
      <alignment vertical="center"/>
    </xf>
    <xf numFmtId="0" fontId="216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216" fillId="0" borderId="0">
      <alignment vertical="center"/>
    </xf>
    <xf numFmtId="228" fontId="216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0" fontId="9" fillId="0" borderId="0">
      <alignment vertical="center"/>
    </xf>
    <xf numFmtId="0" fontId="117" fillId="0" borderId="0">
      <alignment vertical="center"/>
    </xf>
    <xf numFmtId="228" fontId="117" fillId="0" borderId="0">
      <alignment vertical="center"/>
    </xf>
    <xf numFmtId="0" fontId="227" fillId="0" borderId="0">
      <alignment vertical="center"/>
    </xf>
    <xf numFmtId="0" fontId="216" fillId="0" borderId="0">
      <alignment vertical="center"/>
    </xf>
    <xf numFmtId="0" fontId="227" fillId="0" borderId="0">
      <alignment vertical="center"/>
    </xf>
    <xf numFmtId="228" fontId="227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228" fontId="227" fillId="0" borderId="0">
      <alignment vertical="center"/>
    </xf>
    <xf numFmtId="0" fontId="227" fillId="0" borderId="0">
      <alignment vertical="center"/>
    </xf>
    <xf numFmtId="0" fontId="7" fillId="0" borderId="0"/>
    <xf numFmtId="0" fontId="139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13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8" fontId="117" fillId="0" borderId="0">
      <alignment vertical="center"/>
    </xf>
    <xf numFmtId="0" fontId="117" fillId="0" borderId="0">
      <alignment vertical="center"/>
    </xf>
    <xf numFmtId="228" fontId="117" fillId="0" borderId="0">
      <alignment vertical="center"/>
    </xf>
    <xf numFmtId="0" fontId="117" fillId="0" borderId="0">
      <alignment vertical="center"/>
    </xf>
    <xf numFmtId="228" fontId="117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228" fontId="117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228" fontId="227" fillId="0" borderId="0">
      <alignment vertical="center"/>
    </xf>
    <xf numFmtId="0" fontId="227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228" fontId="227" fillId="0" borderId="0">
      <alignment vertical="center"/>
    </xf>
    <xf numFmtId="0" fontId="117" fillId="0" borderId="0">
      <alignment vertical="center"/>
    </xf>
    <xf numFmtId="0" fontId="227" fillId="0" borderId="0">
      <alignment vertical="center"/>
    </xf>
    <xf numFmtId="228" fontId="117" fillId="0" borderId="0">
      <alignment vertical="center"/>
    </xf>
    <xf numFmtId="0" fontId="117" fillId="0" borderId="0">
      <alignment vertical="center"/>
    </xf>
    <xf numFmtId="0" fontId="139" fillId="0" borderId="0">
      <alignment vertical="center"/>
    </xf>
    <xf numFmtId="228" fontId="13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60" fillId="0" borderId="0">
      <alignment vertical="center"/>
    </xf>
    <xf numFmtId="0" fontId="9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7" fillId="0" borderId="0">
      <alignment vertical="center"/>
    </xf>
    <xf numFmtId="0" fontId="117" fillId="0" borderId="0">
      <alignment vertical="center"/>
    </xf>
    <xf numFmtId="228" fontId="117" fillId="0" borderId="0">
      <alignment vertical="center"/>
    </xf>
    <xf numFmtId="0" fontId="117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13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8" fontId="139" fillId="0" borderId="0">
      <alignment vertical="center"/>
    </xf>
    <xf numFmtId="0" fontId="13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8" fontId="139" fillId="0" borderId="0">
      <alignment vertical="center"/>
    </xf>
    <xf numFmtId="0" fontId="139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228" fontId="110" fillId="0" borderId="0">
      <alignment vertical="center"/>
    </xf>
    <xf numFmtId="0" fontId="13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8" fontId="139" fillId="0" borderId="0">
      <alignment vertical="center"/>
    </xf>
    <xf numFmtId="0" fontId="13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8" fontId="139" fillId="0" borderId="0">
      <alignment vertical="center"/>
    </xf>
    <xf numFmtId="0" fontId="110" fillId="0" borderId="0">
      <alignment vertical="center"/>
    </xf>
    <xf numFmtId="0" fontId="139" fillId="0" borderId="0">
      <alignment vertical="center"/>
    </xf>
    <xf numFmtId="228" fontId="110" fillId="0" borderId="0">
      <alignment vertical="center"/>
    </xf>
    <xf numFmtId="0" fontId="110" fillId="0" borderId="0">
      <alignment vertical="center"/>
    </xf>
    <xf numFmtId="0" fontId="171" fillId="0" borderId="0" applyNumberFormat="0" applyFill="0" applyBorder="0" applyAlignment="0" applyProtection="0">
      <alignment vertical="top"/>
      <protection locked="0"/>
    </xf>
    <xf numFmtId="0" fontId="170" fillId="0" borderId="0" applyNumberFormat="0" applyFill="0" applyBorder="0" applyAlignment="0" applyProtection="0">
      <alignment vertical="top"/>
      <protection locked="0"/>
    </xf>
    <xf numFmtId="0" fontId="230" fillId="0" borderId="0" applyNumberFormat="0" applyFill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30" fillId="0" borderId="0" applyNumberFormat="0" applyFill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228" fontId="231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130"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left" vertical="center"/>
    </xf>
    <xf numFmtId="0" fontId="0" fillId="2" borderId="2" xfId="0" applyFill="1" applyBorder="1">
      <alignment vertical="center"/>
    </xf>
    <xf numFmtId="0" fontId="0" fillId="0" borderId="2" xfId="0" quotePrefix="1" applyBorder="1" applyAlignment="1">
      <alignment horizontal="left" vertical="center"/>
    </xf>
    <xf numFmtId="41" fontId="7" fillId="0" borderId="0" xfId="1" applyFont="1" applyAlignment="1">
      <alignment vertical="center" shrinkToFit="1"/>
    </xf>
    <xf numFmtId="0" fontId="0" fillId="0" borderId="2" xfId="0" applyFill="1" applyBorder="1">
      <alignment vertical="center"/>
    </xf>
    <xf numFmtId="0" fontId="0" fillId="0" borderId="2" xfId="0" applyFill="1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3" borderId="2" xfId="0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5" borderId="2" xfId="0" applyFill="1" applyBorder="1">
      <alignment vertical="center"/>
    </xf>
    <xf numFmtId="176" fontId="0" fillId="0" borderId="15" xfId="1" applyNumberFormat="1" applyFont="1" applyBorder="1" applyAlignment="1">
      <alignment vertical="center" shrinkToFit="1"/>
    </xf>
    <xf numFmtId="176" fontId="0" fillId="0" borderId="3" xfId="1" applyNumberFormat="1" applyFont="1" applyBorder="1" applyAlignment="1">
      <alignment vertical="center" shrinkToFit="1"/>
    </xf>
    <xf numFmtId="176" fontId="0" fillId="0" borderId="16" xfId="1" applyNumberFormat="1" applyFont="1" applyBorder="1" applyAlignment="1">
      <alignment vertical="center" shrinkToFit="1"/>
    </xf>
    <xf numFmtId="176" fontId="0" fillId="0" borderId="0" xfId="1" applyNumberFormat="1" applyFont="1" applyAlignment="1">
      <alignment vertical="center" shrinkToFit="1"/>
    </xf>
    <xf numFmtId="0" fontId="6" fillId="6" borderId="0" xfId="0" applyFont="1" applyFill="1">
      <alignment vertical="center"/>
    </xf>
    <xf numFmtId="0" fontId="0" fillId="6" borderId="0" xfId="0" applyFill="1">
      <alignment vertical="center"/>
    </xf>
    <xf numFmtId="0" fontId="0" fillId="2" borderId="3" xfId="0" applyFill="1" applyBorder="1">
      <alignment vertical="center"/>
    </xf>
    <xf numFmtId="0" fontId="6" fillId="2" borderId="3" xfId="0" applyFont="1" applyFill="1" applyBorder="1">
      <alignment vertical="center"/>
    </xf>
    <xf numFmtId="0" fontId="6" fillId="2" borderId="3" xfId="0" applyFont="1" applyFill="1" applyBorder="1" applyAlignment="1">
      <alignment horizontal="center" vertical="center"/>
    </xf>
    <xf numFmtId="0" fontId="0" fillId="0" borderId="17" xfId="0" applyFill="1" applyBorder="1">
      <alignment vertical="center"/>
    </xf>
    <xf numFmtId="0" fontId="0" fillId="4" borderId="2" xfId="0" applyFill="1" applyBorder="1">
      <alignment vertical="center"/>
    </xf>
    <xf numFmtId="0" fontId="0" fillId="0" borderId="18" xfId="0" applyBorder="1">
      <alignment vertical="center"/>
    </xf>
    <xf numFmtId="0" fontId="0" fillId="0" borderId="23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4" borderId="19" xfId="0" applyFill="1" applyBorder="1">
      <alignment vertical="center"/>
    </xf>
    <xf numFmtId="0" fontId="0" fillId="4" borderId="27" xfId="0" applyFill="1" applyBorder="1">
      <alignment vertical="center"/>
    </xf>
    <xf numFmtId="0" fontId="0" fillId="4" borderId="28" xfId="0" applyFill="1" applyBorder="1">
      <alignment vertical="center"/>
    </xf>
    <xf numFmtId="0" fontId="0" fillId="7" borderId="19" xfId="0" applyFill="1" applyBorder="1">
      <alignment vertical="center"/>
    </xf>
    <xf numFmtId="0" fontId="0" fillId="7" borderId="23" xfId="0" applyFill="1" applyBorder="1">
      <alignment vertical="center"/>
    </xf>
    <xf numFmtId="14" fontId="0" fillId="0" borderId="18" xfId="0" applyNumberFormat="1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31" xfId="0" applyBorder="1" applyAlignment="1">
      <alignment horizontal="left" vertical="center"/>
    </xf>
    <xf numFmtId="177" fontId="0" fillId="0" borderId="3" xfId="1" applyNumberFormat="1" applyFont="1" applyBorder="1" applyAlignment="1">
      <alignment vertical="center" shrinkToFit="1"/>
    </xf>
    <xf numFmtId="9" fontId="0" fillId="0" borderId="3" xfId="2" applyFont="1" applyBorder="1" applyAlignment="1">
      <alignment vertical="center" shrinkToFit="1"/>
    </xf>
    <xf numFmtId="0" fontId="0" fillId="0" borderId="3" xfId="2" applyNumberFormat="1" applyFont="1" applyBorder="1" applyAlignment="1">
      <alignment vertical="center" shrinkToFit="1"/>
    </xf>
    <xf numFmtId="0" fontId="10" fillId="0" borderId="0" xfId="3" applyFont="1">
      <alignment vertical="center"/>
    </xf>
    <xf numFmtId="0" fontId="11" fillId="0" borderId="0" xfId="3" applyFont="1">
      <alignment vertical="center"/>
    </xf>
    <xf numFmtId="0" fontId="14" fillId="0" borderId="0" xfId="3" applyFont="1">
      <alignment vertical="center"/>
    </xf>
    <xf numFmtId="0" fontId="15" fillId="0" borderId="0" xfId="3" applyFont="1" applyAlignment="1"/>
    <xf numFmtId="0" fontId="15" fillId="0" borderId="0" xfId="3" applyFont="1" applyAlignment="1">
      <alignment vertical="top"/>
    </xf>
    <xf numFmtId="0" fontId="12" fillId="0" borderId="0" xfId="3" applyFont="1" applyAlignment="1">
      <alignment vertical="top"/>
    </xf>
    <xf numFmtId="0" fontId="11" fillId="0" borderId="0" xfId="3" applyFont="1" applyAlignment="1"/>
    <xf numFmtId="0" fontId="14" fillId="0" borderId="0" xfId="3" applyFont="1" applyAlignment="1"/>
    <xf numFmtId="0" fontId="11" fillId="0" borderId="0" xfId="3" applyFont="1" applyAlignment="1">
      <alignment vertical="top"/>
    </xf>
    <xf numFmtId="0" fontId="16" fillId="0" borderId="0" xfId="3" applyFont="1" applyAlignment="1">
      <alignment vertical="top"/>
    </xf>
    <xf numFmtId="0" fontId="12" fillId="0" borderId="0" xfId="3" applyFont="1" applyAlignment="1"/>
    <xf numFmtId="0" fontId="12" fillId="0" borderId="0" xfId="3" applyFont="1" applyAlignment="1">
      <alignment vertical="center"/>
    </xf>
    <xf numFmtId="0" fontId="11" fillId="0" borderId="0" xfId="3" applyFont="1" applyFill="1">
      <alignment vertical="center"/>
    </xf>
    <xf numFmtId="0" fontId="33" fillId="0" borderId="0" xfId="3" applyFont="1" applyBorder="1">
      <alignment vertical="center"/>
    </xf>
    <xf numFmtId="0" fontId="10" fillId="0" borderId="0" xfId="3" applyFont="1" applyBorder="1">
      <alignment vertical="center"/>
    </xf>
    <xf numFmtId="0" fontId="11" fillId="0" borderId="0" xfId="3" applyFont="1" applyBorder="1">
      <alignment vertical="center"/>
    </xf>
    <xf numFmtId="0" fontId="14" fillId="63" borderId="0" xfId="3" applyFont="1" applyFill="1">
      <alignment vertical="center"/>
    </xf>
    <xf numFmtId="0" fontId="142" fillId="64" borderId="0" xfId="0" applyFont="1" applyFill="1">
      <alignment vertical="center"/>
    </xf>
    <xf numFmtId="0" fontId="143" fillId="2" borderId="2" xfId="0" applyFont="1" applyFill="1" applyBorder="1">
      <alignment vertical="center"/>
    </xf>
    <xf numFmtId="0" fontId="143" fillId="0" borderId="2" xfId="0" applyFont="1" applyBorder="1">
      <alignment vertical="center"/>
    </xf>
    <xf numFmtId="226" fontId="144" fillId="63" borderId="0" xfId="14491" applyNumberFormat="1" applyFont="1" applyFill="1" applyBorder="1" applyAlignment="1">
      <alignment horizontal="right" vertical="center" shrinkToFit="1"/>
    </xf>
    <xf numFmtId="0" fontId="145" fillId="0" borderId="0" xfId="15208" applyFont="1">
      <alignment vertical="center"/>
    </xf>
    <xf numFmtId="0" fontId="0" fillId="63" borderId="0" xfId="0" applyFill="1">
      <alignment vertical="center"/>
    </xf>
    <xf numFmtId="0" fontId="232" fillId="0" borderId="80" xfId="0" applyFont="1" applyBorder="1" applyAlignment="1">
      <alignment horizontal="right"/>
    </xf>
    <xf numFmtId="225" fontId="232" fillId="0" borderId="81" xfId="0" applyNumberFormat="1" applyFont="1" applyBorder="1" applyAlignment="1">
      <alignment horizontal="right" vertical="center"/>
    </xf>
    <xf numFmtId="0" fontId="1" fillId="0" borderId="0" xfId="19759" applyBorder="1" applyAlignment="1">
      <alignment vertical="center"/>
    </xf>
    <xf numFmtId="0" fontId="1" fillId="0" borderId="0" xfId="19759" applyBorder="1" applyAlignment="1">
      <alignment horizontal="left" vertical="center"/>
    </xf>
    <xf numFmtId="0" fontId="233" fillId="0" borderId="0" xfId="19759" applyFont="1" applyBorder="1" applyAlignment="1">
      <alignment vertical="center"/>
    </xf>
    <xf numFmtId="0" fontId="1" fillId="0" borderId="0" xfId="19759" applyAlignment="1">
      <alignment vertical="center"/>
    </xf>
    <xf numFmtId="0" fontId="149" fillId="0" borderId="61" xfId="19759" applyFont="1" applyBorder="1" applyAlignment="1">
      <alignment horizontal="right" wrapText="1" readingOrder="1"/>
    </xf>
    <xf numFmtId="0" fontId="150" fillId="0" borderId="61" xfId="19759" applyFont="1" applyBorder="1" applyAlignment="1">
      <alignment horizontal="right" wrapText="1" readingOrder="1"/>
    </xf>
    <xf numFmtId="0" fontId="1" fillId="0" borderId="0" xfId="19759" applyAlignment="1"/>
    <xf numFmtId="0" fontId="1" fillId="0" borderId="0" xfId="19759" applyAlignment="1">
      <alignment vertical="top"/>
    </xf>
    <xf numFmtId="0" fontId="149" fillId="0" borderId="0" xfId="19759" applyFont="1" applyFill="1" applyBorder="1" applyAlignment="1">
      <alignment horizontal="center" vertical="center" wrapText="1" readingOrder="1"/>
    </xf>
    <xf numFmtId="0" fontId="150" fillId="0" borderId="0" xfId="19759" applyFont="1" applyFill="1" applyBorder="1" applyAlignment="1">
      <alignment horizontal="left" wrapText="1" readingOrder="1"/>
    </xf>
    <xf numFmtId="1" fontId="236" fillId="0" borderId="0" xfId="19759" applyNumberFormat="1" applyFont="1" applyFill="1" applyBorder="1" applyAlignment="1">
      <alignment horizontal="right" readingOrder="1"/>
    </xf>
    <xf numFmtId="0" fontId="237" fillId="0" borderId="0" xfId="19759" applyFont="1" applyFill="1" applyBorder="1" applyAlignment="1">
      <alignment horizontal="right" vertical="center" readingOrder="1"/>
    </xf>
    <xf numFmtId="227" fontId="237" fillId="0" borderId="0" xfId="19759" applyNumberFormat="1" applyFont="1" applyFill="1" applyBorder="1" applyAlignment="1">
      <alignment horizontal="right" vertical="center" readingOrder="1"/>
    </xf>
    <xf numFmtId="0" fontId="149" fillId="0" borderId="0" xfId="19759" applyFont="1" applyBorder="1" applyAlignment="1">
      <alignment horizontal="center" vertical="center" wrapText="1" readingOrder="1"/>
    </xf>
    <xf numFmtId="0" fontId="150" fillId="0" borderId="0" xfId="19759" applyFont="1" applyFill="1" applyBorder="1" applyAlignment="1">
      <alignment horizontal="left" vertical="center" wrapText="1" readingOrder="1"/>
    </xf>
    <xf numFmtId="0" fontId="151" fillId="0" borderId="0" xfId="19759" applyFont="1" applyFill="1" applyBorder="1" applyAlignment="1">
      <alignment horizontal="right" vertical="center" readingOrder="1"/>
    </xf>
    <xf numFmtId="0" fontId="238" fillId="0" borderId="0" xfId="19759" applyFont="1" applyFill="1" applyBorder="1" applyAlignment="1">
      <alignment horizontal="right" vertical="center" readingOrder="1"/>
    </xf>
    <xf numFmtId="0" fontId="152" fillId="0" borderId="0" xfId="19759" applyFont="1" applyFill="1" applyBorder="1" applyAlignment="1">
      <alignment horizontal="left" vertical="top" wrapText="1" readingOrder="1"/>
    </xf>
    <xf numFmtId="0" fontId="239" fillId="0" borderId="0" xfId="19759" applyFont="1" applyFill="1" applyBorder="1" applyAlignment="1">
      <alignment horizontal="right" vertical="top" readingOrder="1"/>
    </xf>
    <xf numFmtId="0" fontId="240" fillId="0" borderId="62" xfId="19759" applyFont="1" applyFill="1" applyBorder="1" applyAlignment="1">
      <alignment horizontal="center" vertical="center" wrapText="1" readingOrder="1"/>
    </xf>
    <xf numFmtId="0" fontId="241" fillId="0" borderId="62" xfId="19759" applyFont="1" applyFill="1" applyBorder="1" applyAlignment="1">
      <alignment horizontal="left" vertical="top" wrapText="1" readingOrder="1"/>
    </xf>
    <xf numFmtId="0" fontId="242" fillId="0" borderId="62" xfId="19759" applyFont="1" applyFill="1" applyBorder="1" applyAlignment="1">
      <alignment horizontal="right" vertical="top" readingOrder="1"/>
    </xf>
    <xf numFmtId="0" fontId="243" fillId="0" borderId="0" xfId="19759" applyFont="1" applyAlignment="1">
      <alignment vertical="center"/>
    </xf>
    <xf numFmtId="0" fontId="237" fillId="0" borderId="0" xfId="19759" applyFont="1" applyBorder="1" applyAlignment="1">
      <alignment horizontal="right" vertical="center" readingOrder="1"/>
    </xf>
    <xf numFmtId="0" fontId="238" fillId="0" borderId="0" xfId="19759" applyFont="1" applyBorder="1" applyAlignment="1">
      <alignment horizontal="right" vertical="center" readingOrder="1"/>
    </xf>
    <xf numFmtId="0" fontId="240" fillId="0" borderId="63" xfId="19759" applyFont="1" applyFill="1" applyBorder="1" applyAlignment="1">
      <alignment horizontal="center" vertical="center" wrapText="1" readingOrder="1"/>
    </xf>
    <xf numFmtId="0" fontId="241" fillId="0" borderId="63" xfId="19759" applyFont="1" applyFill="1" applyBorder="1" applyAlignment="1">
      <alignment horizontal="left" vertical="top" wrapText="1" readingOrder="1"/>
    </xf>
    <xf numFmtId="0" fontId="242" fillId="0" borderId="63" xfId="19759" applyFont="1" applyFill="1" applyBorder="1" applyAlignment="1">
      <alignment horizontal="right" vertical="top" readingOrder="1"/>
    </xf>
    <xf numFmtId="0" fontId="149" fillId="0" borderId="64" xfId="19759" applyFont="1" applyBorder="1" applyAlignment="1">
      <alignment horizontal="center" vertical="center" wrapText="1" readingOrder="1"/>
    </xf>
    <xf numFmtId="0" fontId="1" fillId="0" borderId="0" xfId="19759" applyAlignment="1">
      <alignment horizontal="left" vertical="center"/>
    </xf>
    <xf numFmtId="0" fontId="11" fillId="63" borderId="0" xfId="3" applyFont="1" applyFill="1">
      <alignment vertical="center"/>
    </xf>
    <xf numFmtId="0" fontId="244" fillId="0" borderId="0" xfId="0" applyFont="1" applyAlignment="1">
      <alignment horizontal="right" vertical="center" readingOrder="1"/>
    </xf>
    <xf numFmtId="0" fontId="149" fillId="0" borderId="62" xfId="19759" applyFont="1" applyBorder="1" applyAlignment="1">
      <alignment horizontal="right" vertical="top" readingOrder="1"/>
    </xf>
    <xf numFmtId="0" fontId="245" fillId="64" borderId="0" xfId="0" applyFont="1" applyFill="1">
      <alignment vertical="center"/>
    </xf>
    <xf numFmtId="0" fontId="5" fillId="0" borderId="2" xfId="15202" applyFont="1" applyBorder="1">
      <alignment vertical="center"/>
    </xf>
    <xf numFmtId="231" fontId="151" fillId="0" borderId="0" xfId="19759" applyNumberFormat="1" applyFont="1" applyFill="1" applyBorder="1" applyAlignment="1">
      <alignment horizontal="right" vertical="center" readingOrder="1"/>
    </xf>
    <xf numFmtId="231" fontId="239" fillId="0" borderId="0" xfId="19759" applyNumberFormat="1" applyFont="1" applyFill="1" applyBorder="1" applyAlignment="1">
      <alignment horizontal="right" vertical="top" readingOrder="1"/>
    </xf>
    <xf numFmtId="0" fontId="0" fillId="0" borderId="2" xfId="0" applyBorder="1" applyAlignment="1">
      <alignment horizontal="left" vertical="center"/>
    </xf>
    <xf numFmtId="0" fontId="234" fillId="0" borderId="0" xfId="19759" applyFont="1" applyBorder="1" applyAlignment="1">
      <alignment horizontal="center" wrapText="1" readingOrder="1"/>
    </xf>
    <xf numFmtId="0" fontId="149" fillId="0" borderId="61" xfId="19759" applyFont="1" applyBorder="1" applyAlignment="1">
      <alignment horizontal="center" vertical="center" wrapText="1" readingOrder="1"/>
    </xf>
    <xf numFmtId="0" fontId="149" fillId="0" borderId="62" xfId="19759" applyFont="1" applyBorder="1" applyAlignment="1">
      <alignment horizontal="center" vertical="center" wrapText="1" readingOrder="1"/>
    </xf>
    <xf numFmtId="0" fontId="147" fillId="0" borderId="61" xfId="15232" applyFont="1" applyBorder="1" applyAlignment="1">
      <alignment horizontal="center" vertical="center" wrapText="1" readingOrder="1"/>
    </xf>
    <xf numFmtId="0" fontId="149" fillId="0" borderId="61" xfId="15232" applyFont="1" applyBorder="1" applyAlignment="1">
      <alignment horizontal="center" vertical="center" wrapText="1" readingOrder="1"/>
    </xf>
    <xf numFmtId="0" fontId="149" fillId="0" borderId="62" xfId="15232" applyFont="1" applyBorder="1" applyAlignment="1">
      <alignment horizontal="center" vertical="center" wrapText="1" readingOrder="1"/>
    </xf>
    <xf numFmtId="0" fontId="0" fillId="0" borderId="33" xfId="0" applyBorder="1" applyAlignment="1">
      <alignment horizontal="left" vertical="center"/>
    </xf>
    <xf numFmtId="0" fontId="0" fillId="0" borderId="34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7" borderId="20" xfId="0" applyFill="1" applyBorder="1" applyAlignment="1">
      <alignment horizontal="left" vertical="center"/>
    </xf>
    <xf numFmtId="0" fontId="0" fillId="7" borderId="21" xfId="0" applyFill="1" applyBorder="1" applyAlignment="1">
      <alignment horizontal="left" vertical="center"/>
    </xf>
    <xf numFmtId="0" fontId="0" fillId="7" borderId="22" xfId="0" applyFill="1" applyBorder="1" applyAlignment="1">
      <alignment horizontal="left" vertical="center"/>
    </xf>
    <xf numFmtId="0" fontId="0" fillId="7" borderId="24" xfId="0" applyFill="1" applyBorder="1" applyAlignment="1">
      <alignment horizontal="left" vertical="center"/>
    </xf>
    <xf numFmtId="0" fontId="0" fillId="7" borderId="25" xfId="0" applyFill="1" applyBorder="1" applyAlignment="1">
      <alignment horizontal="left" vertical="center"/>
    </xf>
    <xf numFmtId="0" fontId="0" fillId="7" borderId="26" xfId="0" applyFill="1" applyBorder="1" applyAlignment="1">
      <alignment horizontal="left" vertical="center"/>
    </xf>
  </cellXfs>
  <cellStyles count="19760">
    <cellStyle name="_x0002_" xfId="15233"/>
    <cellStyle name="_x0012_" xfId="7"/>
    <cellStyle name=" " xfId="8"/>
    <cellStyle name="  2" xfId="15234"/>
    <cellStyle name="  3" xfId="15235"/>
    <cellStyle name="_x0002_._x0011__x0002_._x001b__x0002_ _x0015_%_x0018__x0001_" xfId="15236"/>
    <cellStyle name="?" xfId="15237"/>
    <cellStyle name="??&amp;O?&amp;H?_x0008__x000f__x0007_?_x0007__x0001__x0001_" xfId="9"/>
    <cellStyle name="??&amp;O?&amp;H?_x0008_??_x0007__x0001__x0001_" xfId="10"/>
    <cellStyle name="????_city" xfId="11"/>
    <cellStyle name="??_??? _??? " xfId="12"/>
    <cellStyle name="_(요청)_제품별 MS_장D" xfId="13"/>
    <cellStyle name="__ [0]_____ " xfId="14"/>
    <cellStyle name="__ [0]___BS('98) " xfId="15"/>
    <cellStyle name="__ [0]_SP ___ __ " xfId="16"/>
    <cellStyle name="_______ " xfId="17"/>
    <cellStyle name="_______ __ " xfId="18"/>
    <cellStyle name="_____BS('98) " xfId="19"/>
    <cellStyle name="___12_ " xfId="20"/>
    <cellStyle name="___CD-ROM " xfId="21"/>
    <cellStyle name="___SP ___ __ " xfId="22"/>
    <cellStyle name="_☆Report_0223_S&amp;OP Weekly" xfId="23"/>
    <cellStyle name="_★0408_19시_BEP by Model(Division) Master(B2B구분완료)" xfId="24"/>
    <cellStyle name="_★05년 매출,손익" xfId="25"/>
    <cellStyle name="_★05년 매출,손익_8월 예상손익 점검" xfId="26"/>
    <cellStyle name="_★05년 매출,손익_8월 예상손익 점검_DM_환율영향분석_본부" xfId="27"/>
    <cellStyle name="_★05년 매출,손익_DM_환율영향분석_본부" xfId="28"/>
    <cellStyle name="_★090220_`09전략CM 지역별매출 Template" xfId="29"/>
    <cellStyle name="_★GSI_L1,L3_Account_ValueSet,Mapping_v1.6_20070716" xfId="30"/>
    <cellStyle name="_★GSI_L1,L3_Account_ValueSet,Mapping_v2.8_20080805_미배포" xfId="31"/>
    <cellStyle name="_★Report_S&amp;OP Weekly_PBL 090212" xfId="32"/>
    <cellStyle name="_0221_Global_Daily Sales(RBL예상)" xfId="33"/>
    <cellStyle name="_0506_15시_Sales (Month) by Modelv3" xfId="34"/>
    <cellStyle name="_0512 15 자재재고 계획(유재종)" xfId="35"/>
    <cellStyle name="_'05년 손익차이-GPU" xfId="36"/>
    <cellStyle name="_'05년 손익차이-GPU_8월 예상손익 점검" xfId="37"/>
    <cellStyle name="_'05년 손익차이-GPU_8월 예상손익 점검_DM_환율영향분석_본부" xfId="38"/>
    <cellStyle name="_'05년 손익차이-GPU_DM_환율영향분석_본부" xfId="39"/>
    <cellStyle name="_'08년 4분기 조정금액" xfId="40"/>
    <cellStyle name="_'08년 MC본부 재료비율(실적 포함)" xfId="41"/>
    <cellStyle name="_'08년 기본 재료비율CI율 기본계획" xfId="42"/>
    <cellStyle name="_'08재고실적_전진법" xfId="43"/>
    <cellStyle name="_09년 Global 법인별 재고 Actual &amp; DIO" xfId="44"/>
    <cellStyle name="_09년 실적 Entity별 DIO ver2" xfId="45"/>
    <cellStyle name="_09년 실적 Entity별 DIO ver2 환율조정본" xfId="46"/>
    <cellStyle name="_10 RAC 법인별 재고 DIO ver3-2월실적" xfId="47"/>
    <cellStyle name="_2" xfId="48"/>
    <cellStyle name="_2005-6월 이동 Company손익물동 최종(0625)" xfId="49"/>
    <cellStyle name="_2005-6월 이동 Company손익물동 최종(0625)_2005-6월 이동 GPU 손익물동 최종(0625)" xfId="50"/>
    <cellStyle name="_2005-6월 이동 Company손익물동 최종(0625)_2005-6월 이동 GPU 손익물동 최종(0625)_8월 예상손익 점검" xfId="51"/>
    <cellStyle name="_2005-6월 이동 Company손익물동 최종(0625)_2005-6월 이동 GPU 손익물동 최종(0625)_8월 예상손익 점검_8월 예상손익 점검" xfId="52"/>
    <cellStyle name="_2005-6월 이동 Company손익물동 최종(0625)_2005-6월 이동 GPU 손익물동 최종(0625)_8월 예상손익 점검_8월 예상손익 점검_DM_환율영향분석_본부" xfId="53"/>
    <cellStyle name="_2005-6월 이동 Company손익물동 최종(0625)_2005-6월 이동 GPU 손익물동 최종(0625)_8월 예상손익 점검_DM_환율영향분석_본부" xfId="54"/>
    <cellStyle name="_2005-6월 이동 Company손익물동 최종(0625)_2005-6월 이동 GPU 손익물동 최종(0625)_DM_환율영향분석_본부" xfId="55"/>
    <cellStyle name="_2005-6월 이동 Company손익물동 최종(0625)_8월 예상손익 점검" xfId="56"/>
    <cellStyle name="_2005-6월 이동 Company손익물동 최종(0625)_8월 예상손익 점검_8월 예상손익 점검" xfId="57"/>
    <cellStyle name="_2005-6월 이동 Company손익물동 최종(0625)_8월 예상손익 점검_8월 예상손익 점검_DM_환율영향분석_본부" xfId="58"/>
    <cellStyle name="_2005-6월 이동 Company손익물동 최종(0625)_8월 예상손익 점검_DM_환율영향분석_본부" xfId="59"/>
    <cellStyle name="_2005-6월 이동 Company손익물동 최종(0625)_DM_환율영향분석_본부" xfId="60"/>
    <cellStyle name="_2005-6월 이동 GPU 손익물동 최종(0625)" xfId="61"/>
    <cellStyle name="_2005-6월 이동 GPU 손익물동 최종(0625)_2005-6월 이동 GPU 손익물동 최종(0625)" xfId="62"/>
    <cellStyle name="_2005-6월 이동 GPU 손익물동 최종(0625)_2005-6월 이동 GPU 손익물동 최종(0625)_8월 예상손익 점검" xfId="63"/>
    <cellStyle name="_2005-6월 이동 GPU 손익물동 최종(0625)_2005-6월 이동 GPU 손익물동 최종(0625)_8월 예상손익 점검_8월 예상손익 점검" xfId="64"/>
    <cellStyle name="_2005-6월 이동 GPU 손익물동 최종(0625)_2005-6월 이동 GPU 손익물동 최종(0625)_8월 예상손익 점검_8월 예상손익 점검_DM_환율영향분석_본부" xfId="65"/>
    <cellStyle name="_2005-6월 이동 GPU 손익물동 최종(0625)_2005-6월 이동 GPU 손익물동 최종(0625)_8월 예상손익 점검_DM_환율영향분석_본부" xfId="66"/>
    <cellStyle name="_2005-6월 이동 GPU 손익물동 최종(0625)_2005-6월 이동 GPU 손익물동 최종(0625)_DM_환율영향분석_본부" xfId="67"/>
    <cellStyle name="_2005-6월 이동 GPU 손익물동 최종(0625)_8월 예상손익 점검" xfId="68"/>
    <cellStyle name="_2005-6월 이동 GPU 손익물동 최종(0625)_8월 예상손익 점검_8월 예상손익 점검" xfId="69"/>
    <cellStyle name="_2005-6월 이동 GPU 손익물동 최종(0625)_8월 예상손익 점검_8월 예상손익 점검_DM_환율영향분석_본부" xfId="70"/>
    <cellStyle name="_2005-6월 이동 GPU 손익물동 최종(0625)_8월 예상손익 점검_DM_환율영향분석_본부" xfId="71"/>
    <cellStyle name="_2005-6월 이동 GPU 손익물동 최종(0625)_DM_환율영향분석_본부" xfId="72"/>
    <cellStyle name="_2010 Sep COI_LGEAG" xfId="15238"/>
    <cellStyle name="_2010 Sep COI_LGEAG_2011 Jan Sales Performance" xfId="15239"/>
    <cellStyle name="_2010 Sep COI_LGEAG_2011 Jan Sales Performance_2011 Jan OI Performance" xfId="15240"/>
    <cellStyle name="_2011 Jan OI Performance" xfId="15241"/>
    <cellStyle name="_2011 June COI_LGEAG_summary(Excluding B2B Cost)" xfId="15242"/>
    <cellStyle name="_2011 June COI_LGEAG_summary(Excluding B2B Cost)_20110808 2009년 ~ 2011년 연결수익성 기준 매출 &amp; COI" xfId="15243"/>
    <cellStyle name="_2011 Mar COI_LGEAG_summary(Including B2B Cost)" xfId="15244"/>
    <cellStyle name="_2011 Mar COI_LGEAG_summary(Including B2B Cost)_20110808 2009년 ~ 2011년 연결수익성 기준 매출 &amp; COI" xfId="15245"/>
    <cellStyle name="_20110808 2009년 ~ 2011년 연결수익성 기준 매출 &amp; COI" xfId="15246"/>
    <cellStyle name="_21c판매물량" xfId="73"/>
    <cellStyle name="_8월 예상손익 점검" xfId="74"/>
    <cellStyle name="_8월 예상손익 점검_8월 예상손익 점검" xfId="75"/>
    <cellStyle name="_8월 예상손익 점검_8월 예상손익 점검_DM_환율영향분석_본부" xfId="76"/>
    <cellStyle name="_8월 예상손익 점검_DM_환율영향분석_본부" xfId="77"/>
    <cellStyle name="_9월 Pa&amp;Glo_v7" xfId="78"/>
    <cellStyle name="_AV 2005년 환영향분석_0808_DI" xfId="79"/>
    <cellStyle name="_AV 2005년 환영향분석_0808_DI_DM_환율영향분석_본부" xfId="80"/>
    <cellStyle name="_AV 수출물동회의결과송부(0708)" xfId="81"/>
    <cellStyle name="_AV 수출물동회의결과송부(0708)_8월 예상손익 점검" xfId="82"/>
    <cellStyle name="_AV 수출물동회의결과송부(0708)_8월 예상손익 점검_8월 예상손익 점검" xfId="83"/>
    <cellStyle name="_AV 수출물동회의결과송부(0708)_8월 예상손익 점검_8월 예상손익 점검_DM_환율영향분석_본부" xfId="84"/>
    <cellStyle name="_AV 수출물동회의결과송부(0708)_8월 예상손익 점검_DM_환율영향분석_본부" xfId="85"/>
    <cellStyle name="_AV 수출물동회의결과송부(0708)_DM_환율영향분석_본부" xfId="86"/>
    <cellStyle name="_Biz-plan" xfId="87"/>
    <cellStyle name="_Book5" xfId="88"/>
    <cellStyle name="_Book6" xfId="89"/>
    <cellStyle name="_comany_0907_1_유상철D" xfId="90"/>
    <cellStyle name="_comany_0907_1_유상철D_2005-10월차 이동 Company 손익물동(0907)_MBR" xfId="91"/>
    <cellStyle name="_comany_0907_1_유상철D_2005-10월차 이동 Company 손익물동(0907)_MBR_DM_환율영향분석_본부" xfId="92"/>
    <cellStyle name="_comany_0907_1_유상철D_DM_환율영향분석_본부" xfId="93"/>
    <cellStyle name="_COMP" xfId="94"/>
    <cellStyle name="_Copy of 2010 Target_EHQ_PM회의물량" xfId="95"/>
    <cellStyle name="_DM_환율영향분석_본부" xfId="96"/>
    <cellStyle name="_Monthly Fundamental Index" xfId="15247"/>
    <cellStyle name="_Monthly Fundamental Index_국문" xfId="15248"/>
    <cellStyle name="_P4_NPV" xfId="97"/>
    <cellStyle name="_p4bp" xfId="98"/>
    <cellStyle name="_RawData" xfId="15249"/>
    <cellStyle name="_구주 내부계획 Raw_ver.1" xfId="99"/>
    <cellStyle name="_당월예상" xfId="100"/>
    <cellStyle name="_손익차이분석_05년 GPU O_H_CP,CM포함" xfId="101"/>
    <cellStyle name="_손익차이분석_05년 GPU O_H_CP,CM포함_DM_환율영향분석_본부" xfId="102"/>
    <cellStyle name="_손익차이분석_05년 GPU O_H_CP,CM포함_손익차이분석_05년 GPU O_H_CP,CM포함" xfId="103"/>
    <cellStyle name="_손익차이분석_05년 GPU O_H_CP,CM포함_손익차이분석_05년 GPU O_H_CP,CM포함_DM_환율영향분석_본부" xfId="104"/>
    <cellStyle name="_인건비" xfId="105"/>
    <cellStyle name="»õ±Ò[0]_8price1" xfId="106"/>
    <cellStyle name="»õ±Ò_8price1" xfId="107"/>
    <cellStyle name="0,0_x000d__x000a_NA_x000d__x000a_" xfId="108"/>
    <cellStyle name="19990216" xfId="109"/>
    <cellStyle name="20% - Accent1" xfId="110"/>
    <cellStyle name="20% - Accent1 2" xfId="15250"/>
    <cellStyle name="20% - Accent1 3" xfId="15251"/>
    <cellStyle name="20% - Accent2" xfId="111"/>
    <cellStyle name="20% - Accent2 2" xfId="15252"/>
    <cellStyle name="20% - Accent2 3" xfId="15253"/>
    <cellStyle name="20% - Accent3" xfId="112"/>
    <cellStyle name="20% - Accent3 2" xfId="15254"/>
    <cellStyle name="20% - Accent3 3" xfId="15255"/>
    <cellStyle name="20% - Accent4" xfId="113"/>
    <cellStyle name="20% - Accent4 2" xfId="15256"/>
    <cellStyle name="20% - Accent4 3" xfId="15257"/>
    <cellStyle name="20% - Accent5" xfId="114"/>
    <cellStyle name="20% - Accent5 2" xfId="15258"/>
    <cellStyle name="20% - Accent5 3" xfId="15259"/>
    <cellStyle name="20% - Accent6" xfId="115"/>
    <cellStyle name="20% - Accent6 2" xfId="15260"/>
    <cellStyle name="20% - Accent6 3" xfId="15261"/>
    <cellStyle name="20% - akcent 1" xfId="15262"/>
    <cellStyle name="20% - akcent 2" xfId="15263"/>
    <cellStyle name="20% - akcent 3" xfId="15264"/>
    <cellStyle name="20% - akcent 4" xfId="15265"/>
    <cellStyle name="20% - akcent 5" xfId="15266"/>
    <cellStyle name="20% - akcent 6" xfId="15267"/>
    <cellStyle name="20% - Akzent1" xfId="15268"/>
    <cellStyle name="20% - Akzent2" xfId="15269"/>
    <cellStyle name="20% - Akzent3" xfId="15270"/>
    <cellStyle name="20% - Akzent4" xfId="15271"/>
    <cellStyle name="20% - Akzent5" xfId="15272"/>
    <cellStyle name="20% - Akzent6" xfId="15273"/>
    <cellStyle name="20% - 强调文字颜色 1" xfId="116"/>
    <cellStyle name="20% - 强调文字颜色 2" xfId="117"/>
    <cellStyle name="20% - 强调文字颜色 3" xfId="118"/>
    <cellStyle name="20% - 强调文字颜色 4" xfId="119"/>
    <cellStyle name="20% - 强调文字颜色 5" xfId="120"/>
    <cellStyle name="20% - 强调文字颜色 6" xfId="121"/>
    <cellStyle name="20% - 강조색1 10" xfId="15274"/>
    <cellStyle name="20% - 강조색1 11" xfId="15275"/>
    <cellStyle name="20% - 강조색1 12" xfId="15276"/>
    <cellStyle name="20% - 강조색1 13" xfId="15277"/>
    <cellStyle name="20% - 강조색1 14" xfId="15278"/>
    <cellStyle name="20% - 강조색1 15" xfId="15279"/>
    <cellStyle name="20% - 강조색1 16" xfId="15280"/>
    <cellStyle name="20% - 강조색1 17" xfId="15281"/>
    <cellStyle name="20% - 강조색1 18" xfId="15282"/>
    <cellStyle name="20% - 강조색1 19" xfId="15283"/>
    <cellStyle name="20% - 강조색1 2" xfId="122"/>
    <cellStyle name="20% - 강조색1 2 10" xfId="123"/>
    <cellStyle name="20% - 강조색1 2 100" xfId="124"/>
    <cellStyle name="20% - 강조색1 2 101" xfId="125"/>
    <cellStyle name="20% - 강조색1 2 102" xfId="126"/>
    <cellStyle name="20% - 강조색1 2 103" xfId="127"/>
    <cellStyle name="20% - 강조색1 2 104" xfId="128"/>
    <cellStyle name="20% - 강조색1 2 105" xfId="129"/>
    <cellStyle name="20% - 강조색1 2 106" xfId="130"/>
    <cellStyle name="20% - 강조색1 2 107" xfId="131"/>
    <cellStyle name="20% - 강조색1 2 108" xfId="132"/>
    <cellStyle name="20% - 강조색1 2 109" xfId="133"/>
    <cellStyle name="20% - 강조색1 2 11" xfId="134"/>
    <cellStyle name="20% - 강조색1 2 110" xfId="135"/>
    <cellStyle name="20% - 강조색1 2 111" xfId="136"/>
    <cellStyle name="20% - 강조색1 2 112" xfId="137"/>
    <cellStyle name="20% - 강조색1 2 113" xfId="138"/>
    <cellStyle name="20% - 강조색1 2 114" xfId="139"/>
    <cellStyle name="20% - 강조색1 2 115" xfId="140"/>
    <cellStyle name="20% - 강조색1 2 116" xfId="141"/>
    <cellStyle name="20% - 강조색1 2 117" xfId="142"/>
    <cellStyle name="20% - 강조색1 2 118" xfId="143"/>
    <cellStyle name="20% - 강조색1 2 119" xfId="144"/>
    <cellStyle name="20% - 강조색1 2 12" xfId="145"/>
    <cellStyle name="20% - 강조색1 2 120" xfId="146"/>
    <cellStyle name="20% - 강조색1 2 121" xfId="147"/>
    <cellStyle name="20% - 강조색1 2 122" xfId="148"/>
    <cellStyle name="20% - 강조색1 2 123" xfId="149"/>
    <cellStyle name="20% - 강조색1 2 124" xfId="150"/>
    <cellStyle name="20% - 강조색1 2 125" xfId="151"/>
    <cellStyle name="20% - 강조색1 2 126" xfId="152"/>
    <cellStyle name="20% - 강조색1 2 127" xfId="153"/>
    <cellStyle name="20% - 강조색1 2 128" xfId="154"/>
    <cellStyle name="20% - 강조색1 2 129" xfId="155"/>
    <cellStyle name="20% - 강조색1 2 13" xfId="156"/>
    <cellStyle name="20% - 강조색1 2 130" xfId="157"/>
    <cellStyle name="20% - 강조색1 2 131" xfId="158"/>
    <cellStyle name="20% - 강조색1 2 132" xfId="159"/>
    <cellStyle name="20% - 강조색1 2 133" xfId="160"/>
    <cellStyle name="20% - 강조색1 2 134" xfId="161"/>
    <cellStyle name="20% - 강조색1 2 135" xfId="162"/>
    <cellStyle name="20% - 강조색1 2 136" xfId="163"/>
    <cellStyle name="20% - 강조색1 2 137" xfId="164"/>
    <cellStyle name="20% - 강조색1 2 138" xfId="165"/>
    <cellStyle name="20% - 강조색1 2 139" xfId="166"/>
    <cellStyle name="20% - 강조색1 2 14" xfId="167"/>
    <cellStyle name="20% - 강조색1 2 140" xfId="168"/>
    <cellStyle name="20% - 강조색1 2 141" xfId="169"/>
    <cellStyle name="20% - 강조색1 2 142" xfId="170"/>
    <cellStyle name="20% - 강조색1 2 143" xfId="171"/>
    <cellStyle name="20% - 강조색1 2 144" xfId="172"/>
    <cellStyle name="20% - 강조색1 2 145" xfId="173"/>
    <cellStyle name="20% - 강조색1 2 146" xfId="174"/>
    <cellStyle name="20% - 강조색1 2 147" xfId="175"/>
    <cellStyle name="20% - 강조색1 2 148" xfId="176"/>
    <cellStyle name="20% - 강조색1 2 149" xfId="177"/>
    <cellStyle name="20% - 강조색1 2 15" xfId="178"/>
    <cellStyle name="20% - 강조색1 2 150" xfId="179"/>
    <cellStyle name="20% - 강조색1 2 151" xfId="180"/>
    <cellStyle name="20% - 강조색1 2 152" xfId="181"/>
    <cellStyle name="20% - 강조색1 2 153" xfId="182"/>
    <cellStyle name="20% - 강조색1 2 154" xfId="183"/>
    <cellStyle name="20% - 강조색1 2 155" xfId="184"/>
    <cellStyle name="20% - 강조색1 2 156" xfId="185"/>
    <cellStyle name="20% - 강조색1 2 157" xfId="186"/>
    <cellStyle name="20% - 강조색1 2 158" xfId="187"/>
    <cellStyle name="20% - 강조색1 2 159" xfId="188"/>
    <cellStyle name="20% - 강조색1 2 16" xfId="189"/>
    <cellStyle name="20% - 강조색1 2 160" xfId="190"/>
    <cellStyle name="20% - 강조색1 2 161" xfId="191"/>
    <cellStyle name="20% - 강조색1 2 162" xfId="192"/>
    <cellStyle name="20% - 강조색1 2 163" xfId="193"/>
    <cellStyle name="20% - 강조색1 2 164" xfId="194"/>
    <cellStyle name="20% - 강조색1 2 165" xfId="195"/>
    <cellStyle name="20% - 강조색1 2 166" xfId="196"/>
    <cellStyle name="20% - 강조색1 2 167" xfId="197"/>
    <cellStyle name="20% - 강조색1 2 168" xfId="198"/>
    <cellStyle name="20% - 강조색1 2 169" xfId="199"/>
    <cellStyle name="20% - 강조색1 2 17" xfId="200"/>
    <cellStyle name="20% - 강조색1 2 170" xfId="201"/>
    <cellStyle name="20% - 강조색1 2 171" xfId="202"/>
    <cellStyle name="20% - 강조색1 2 172" xfId="203"/>
    <cellStyle name="20% - 강조색1 2 173" xfId="204"/>
    <cellStyle name="20% - 강조색1 2 174" xfId="205"/>
    <cellStyle name="20% - 강조색1 2 175" xfId="206"/>
    <cellStyle name="20% - 강조색1 2 176" xfId="207"/>
    <cellStyle name="20% - 강조색1 2 177" xfId="208"/>
    <cellStyle name="20% - 강조색1 2 178" xfId="209"/>
    <cellStyle name="20% - 강조색1 2 179" xfId="210"/>
    <cellStyle name="20% - 강조색1 2 18" xfId="211"/>
    <cellStyle name="20% - 강조색1 2 180" xfId="212"/>
    <cellStyle name="20% - 강조색1 2 181" xfId="213"/>
    <cellStyle name="20% - 강조색1 2 182" xfId="214"/>
    <cellStyle name="20% - 강조색1 2 183" xfId="215"/>
    <cellStyle name="20% - 강조색1 2 184" xfId="216"/>
    <cellStyle name="20% - 강조색1 2 185" xfId="217"/>
    <cellStyle name="20% - 강조색1 2 186" xfId="218"/>
    <cellStyle name="20% - 강조색1 2 187" xfId="219"/>
    <cellStyle name="20% - 강조색1 2 188" xfId="220"/>
    <cellStyle name="20% - 강조색1 2 189" xfId="221"/>
    <cellStyle name="20% - 강조색1 2 19" xfId="222"/>
    <cellStyle name="20% - 강조색1 2 190" xfId="223"/>
    <cellStyle name="20% - 강조색1 2 191" xfId="224"/>
    <cellStyle name="20% - 강조색1 2 192" xfId="225"/>
    <cellStyle name="20% - 강조색1 2 193" xfId="226"/>
    <cellStyle name="20% - 강조색1 2 194" xfId="227"/>
    <cellStyle name="20% - 강조색1 2 195" xfId="228"/>
    <cellStyle name="20% - 강조색1 2 196" xfId="229"/>
    <cellStyle name="20% - 강조색1 2 197" xfId="230"/>
    <cellStyle name="20% - 강조색1 2 198" xfId="231"/>
    <cellStyle name="20% - 강조색1 2 199" xfId="232"/>
    <cellStyle name="20% - 강조색1 2 2" xfId="233"/>
    <cellStyle name="20% - 강조색1 2 20" xfId="234"/>
    <cellStyle name="20% - 강조색1 2 200" xfId="235"/>
    <cellStyle name="20% - 강조색1 2 201" xfId="236"/>
    <cellStyle name="20% - 강조색1 2 202" xfId="237"/>
    <cellStyle name="20% - 강조색1 2 203" xfId="238"/>
    <cellStyle name="20% - 강조색1 2 204" xfId="239"/>
    <cellStyle name="20% - 강조색1 2 205" xfId="240"/>
    <cellStyle name="20% - 강조색1 2 206" xfId="241"/>
    <cellStyle name="20% - 강조색1 2 207" xfId="242"/>
    <cellStyle name="20% - 강조색1 2 208" xfId="243"/>
    <cellStyle name="20% - 강조색1 2 209" xfId="244"/>
    <cellStyle name="20% - 강조색1 2 21" xfId="245"/>
    <cellStyle name="20% - 강조색1 2 210" xfId="246"/>
    <cellStyle name="20% - 강조색1 2 211" xfId="247"/>
    <cellStyle name="20% - 강조색1 2 212" xfId="248"/>
    <cellStyle name="20% - 강조색1 2 213" xfId="249"/>
    <cellStyle name="20% - 강조색1 2 214" xfId="250"/>
    <cellStyle name="20% - 강조색1 2 215" xfId="251"/>
    <cellStyle name="20% - 강조색1 2 216" xfId="252"/>
    <cellStyle name="20% - 강조색1 2 217" xfId="253"/>
    <cellStyle name="20% - 강조색1 2 218" xfId="254"/>
    <cellStyle name="20% - 강조색1 2 219" xfId="255"/>
    <cellStyle name="20% - 강조색1 2 22" xfId="256"/>
    <cellStyle name="20% - 강조색1 2 220" xfId="257"/>
    <cellStyle name="20% - 강조색1 2 221" xfId="258"/>
    <cellStyle name="20% - 강조색1 2 222" xfId="259"/>
    <cellStyle name="20% - 강조색1 2 223" xfId="260"/>
    <cellStyle name="20% - 강조색1 2 224" xfId="261"/>
    <cellStyle name="20% - 강조색1 2 225" xfId="262"/>
    <cellStyle name="20% - 강조색1 2 226" xfId="263"/>
    <cellStyle name="20% - 강조색1 2 227" xfId="264"/>
    <cellStyle name="20% - 강조색1 2 228" xfId="265"/>
    <cellStyle name="20% - 강조색1 2 229" xfId="266"/>
    <cellStyle name="20% - 강조색1 2 23" xfId="267"/>
    <cellStyle name="20% - 강조색1 2 230" xfId="268"/>
    <cellStyle name="20% - 강조색1 2 231" xfId="269"/>
    <cellStyle name="20% - 강조색1 2 232" xfId="270"/>
    <cellStyle name="20% - 강조색1 2 233" xfId="271"/>
    <cellStyle name="20% - 강조색1 2 234" xfId="272"/>
    <cellStyle name="20% - 강조색1 2 235" xfId="273"/>
    <cellStyle name="20% - 강조색1 2 236" xfId="274"/>
    <cellStyle name="20% - 강조색1 2 237" xfId="275"/>
    <cellStyle name="20% - 강조색1 2 238" xfId="276"/>
    <cellStyle name="20% - 강조색1 2 239" xfId="277"/>
    <cellStyle name="20% - 강조색1 2 24" xfId="278"/>
    <cellStyle name="20% - 강조색1 2 240" xfId="279"/>
    <cellStyle name="20% - 강조색1 2 241" xfId="280"/>
    <cellStyle name="20% - 강조색1 2 242" xfId="281"/>
    <cellStyle name="20% - 강조색1 2 25" xfId="282"/>
    <cellStyle name="20% - 강조색1 2 26" xfId="283"/>
    <cellStyle name="20% - 강조색1 2 27" xfId="284"/>
    <cellStyle name="20% - 강조색1 2 28" xfId="285"/>
    <cellStyle name="20% - 강조색1 2 29" xfId="286"/>
    <cellStyle name="20% - 강조색1 2 3" xfId="287"/>
    <cellStyle name="20% - 강조색1 2 30" xfId="288"/>
    <cellStyle name="20% - 강조색1 2 31" xfId="289"/>
    <cellStyle name="20% - 강조색1 2 32" xfId="290"/>
    <cellStyle name="20% - 강조색1 2 33" xfId="291"/>
    <cellStyle name="20% - 강조색1 2 34" xfId="292"/>
    <cellStyle name="20% - 강조색1 2 35" xfId="293"/>
    <cellStyle name="20% - 강조색1 2 36" xfId="294"/>
    <cellStyle name="20% - 강조색1 2 37" xfId="295"/>
    <cellStyle name="20% - 강조색1 2 38" xfId="296"/>
    <cellStyle name="20% - 강조색1 2 39" xfId="297"/>
    <cellStyle name="20% - 강조색1 2 4" xfId="298"/>
    <cellStyle name="20% - 강조색1 2 40" xfId="299"/>
    <cellStyle name="20% - 강조색1 2 41" xfId="300"/>
    <cellStyle name="20% - 강조색1 2 42" xfId="301"/>
    <cellStyle name="20% - 강조색1 2 43" xfId="302"/>
    <cellStyle name="20% - 강조색1 2 44" xfId="303"/>
    <cellStyle name="20% - 강조색1 2 45" xfId="304"/>
    <cellStyle name="20% - 강조색1 2 46" xfId="305"/>
    <cellStyle name="20% - 강조색1 2 47" xfId="306"/>
    <cellStyle name="20% - 강조색1 2 48" xfId="307"/>
    <cellStyle name="20% - 강조색1 2 49" xfId="308"/>
    <cellStyle name="20% - 강조색1 2 5" xfId="309"/>
    <cellStyle name="20% - 강조색1 2 50" xfId="310"/>
    <cellStyle name="20% - 강조색1 2 51" xfId="311"/>
    <cellStyle name="20% - 강조색1 2 52" xfId="312"/>
    <cellStyle name="20% - 강조색1 2 53" xfId="313"/>
    <cellStyle name="20% - 강조색1 2 54" xfId="314"/>
    <cellStyle name="20% - 강조색1 2 55" xfId="315"/>
    <cellStyle name="20% - 강조색1 2 56" xfId="316"/>
    <cellStyle name="20% - 강조색1 2 57" xfId="317"/>
    <cellStyle name="20% - 강조색1 2 58" xfId="318"/>
    <cellStyle name="20% - 강조색1 2 59" xfId="319"/>
    <cellStyle name="20% - 강조색1 2 6" xfId="320"/>
    <cellStyle name="20% - 강조색1 2 60" xfId="321"/>
    <cellStyle name="20% - 강조색1 2 61" xfId="322"/>
    <cellStyle name="20% - 강조색1 2 62" xfId="323"/>
    <cellStyle name="20% - 강조색1 2 63" xfId="324"/>
    <cellStyle name="20% - 강조색1 2 64" xfId="325"/>
    <cellStyle name="20% - 강조색1 2 65" xfId="326"/>
    <cellStyle name="20% - 강조색1 2 66" xfId="327"/>
    <cellStyle name="20% - 강조색1 2 67" xfId="328"/>
    <cellStyle name="20% - 강조색1 2 68" xfId="329"/>
    <cellStyle name="20% - 강조색1 2 69" xfId="330"/>
    <cellStyle name="20% - 강조색1 2 7" xfId="331"/>
    <cellStyle name="20% - 강조색1 2 70" xfId="332"/>
    <cellStyle name="20% - 강조색1 2 71" xfId="333"/>
    <cellStyle name="20% - 강조색1 2 72" xfId="334"/>
    <cellStyle name="20% - 강조색1 2 73" xfId="335"/>
    <cellStyle name="20% - 강조색1 2 74" xfId="336"/>
    <cellStyle name="20% - 강조색1 2 75" xfId="337"/>
    <cellStyle name="20% - 강조색1 2 76" xfId="338"/>
    <cellStyle name="20% - 강조색1 2 77" xfId="339"/>
    <cellStyle name="20% - 강조색1 2 78" xfId="340"/>
    <cellStyle name="20% - 강조색1 2 79" xfId="341"/>
    <cellStyle name="20% - 강조색1 2 8" xfId="342"/>
    <cellStyle name="20% - 강조색1 2 80" xfId="343"/>
    <cellStyle name="20% - 강조색1 2 81" xfId="344"/>
    <cellStyle name="20% - 강조색1 2 82" xfId="345"/>
    <cellStyle name="20% - 강조색1 2 83" xfId="346"/>
    <cellStyle name="20% - 강조색1 2 84" xfId="347"/>
    <cellStyle name="20% - 강조색1 2 85" xfId="348"/>
    <cellStyle name="20% - 강조색1 2 86" xfId="349"/>
    <cellStyle name="20% - 강조색1 2 87" xfId="350"/>
    <cellStyle name="20% - 강조색1 2 88" xfId="351"/>
    <cellStyle name="20% - 강조색1 2 89" xfId="352"/>
    <cellStyle name="20% - 강조색1 2 9" xfId="353"/>
    <cellStyle name="20% - 강조색1 2 90" xfId="354"/>
    <cellStyle name="20% - 강조색1 2 91" xfId="355"/>
    <cellStyle name="20% - 강조색1 2 92" xfId="356"/>
    <cellStyle name="20% - 강조색1 2 93" xfId="357"/>
    <cellStyle name="20% - 강조색1 2 94" xfId="358"/>
    <cellStyle name="20% - 강조색1 2 95" xfId="359"/>
    <cellStyle name="20% - 강조색1 2 96" xfId="360"/>
    <cellStyle name="20% - 강조색1 2 97" xfId="361"/>
    <cellStyle name="20% - 강조색1 2 98" xfId="362"/>
    <cellStyle name="20% - 강조색1 2 99" xfId="363"/>
    <cellStyle name="20% - 강조색1 20" xfId="15284"/>
    <cellStyle name="20% - 강조색1 21" xfId="15285"/>
    <cellStyle name="20% - 강조색1 22" xfId="15286"/>
    <cellStyle name="20% - 강조색1 23" xfId="15287"/>
    <cellStyle name="20% - 강조색1 24" xfId="15288"/>
    <cellStyle name="20% - 강조색1 25" xfId="15289"/>
    <cellStyle name="20% - 강조색1 26" xfId="15290"/>
    <cellStyle name="20% - 강조색1 27" xfId="15291"/>
    <cellStyle name="20% - 강조색1 28" xfId="15292"/>
    <cellStyle name="20% - 강조색1 29" xfId="15293"/>
    <cellStyle name="20% - 강조색1 3" xfId="364"/>
    <cellStyle name="20% - 강조색1 3 2" xfId="15294"/>
    <cellStyle name="20% - 강조색1 3 3" xfId="15295"/>
    <cellStyle name="20% - 강조색1 3 4" xfId="15296"/>
    <cellStyle name="20% - 강조색1 30" xfId="15297"/>
    <cellStyle name="20% - 강조색1 31" xfId="15298"/>
    <cellStyle name="20% - 강조색1 32" xfId="15299"/>
    <cellStyle name="20% - 강조색1 4" xfId="15300"/>
    <cellStyle name="20% - 강조색1 4 2" xfId="15301"/>
    <cellStyle name="20% - 강조색1 4 3" xfId="15302"/>
    <cellStyle name="20% - 강조색1 5" xfId="15303"/>
    <cellStyle name="20% - 강조색1 6" xfId="15304"/>
    <cellStyle name="20% - 강조색1 7" xfId="15305"/>
    <cellStyle name="20% - 강조색1 8" xfId="15306"/>
    <cellStyle name="20% - 강조색1 9" xfId="15307"/>
    <cellStyle name="20% - 강조색2 10" xfId="15308"/>
    <cellStyle name="20% - 강조색2 11" xfId="15309"/>
    <cellStyle name="20% - 강조색2 12" xfId="15310"/>
    <cellStyle name="20% - 강조색2 13" xfId="15311"/>
    <cellStyle name="20% - 강조색2 14" xfId="15312"/>
    <cellStyle name="20% - 강조색2 15" xfId="15313"/>
    <cellStyle name="20% - 강조색2 16" xfId="15314"/>
    <cellStyle name="20% - 강조색2 17" xfId="15315"/>
    <cellStyle name="20% - 강조색2 18" xfId="15316"/>
    <cellStyle name="20% - 강조색2 19" xfId="15317"/>
    <cellStyle name="20% - 강조색2 2" xfId="365"/>
    <cellStyle name="20% - 강조색2 2 10" xfId="366"/>
    <cellStyle name="20% - 강조색2 2 100" xfId="367"/>
    <cellStyle name="20% - 강조색2 2 101" xfId="368"/>
    <cellStyle name="20% - 강조색2 2 102" xfId="369"/>
    <cellStyle name="20% - 강조색2 2 103" xfId="370"/>
    <cellStyle name="20% - 강조색2 2 104" xfId="371"/>
    <cellStyle name="20% - 강조색2 2 105" xfId="372"/>
    <cellStyle name="20% - 강조색2 2 106" xfId="373"/>
    <cellStyle name="20% - 강조색2 2 107" xfId="374"/>
    <cellStyle name="20% - 강조색2 2 108" xfId="375"/>
    <cellStyle name="20% - 강조색2 2 109" xfId="376"/>
    <cellStyle name="20% - 강조색2 2 11" xfId="377"/>
    <cellStyle name="20% - 강조색2 2 110" xfId="378"/>
    <cellStyle name="20% - 강조색2 2 111" xfId="379"/>
    <cellStyle name="20% - 강조색2 2 112" xfId="380"/>
    <cellStyle name="20% - 강조색2 2 113" xfId="381"/>
    <cellStyle name="20% - 강조색2 2 114" xfId="382"/>
    <cellStyle name="20% - 강조색2 2 115" xfId="383"/>
    <cellStyle name="20% - 강조색2 2 116" xfId="384"/>
    <cellStyle name="20% - 강조색2 2 117" xfId="385"/>
    <cellStyle name="20% - 강조색2 2 118" xfId="386"/>
    <cellStyle name="20% - 강조색2 2 119" xfId="387"/>
    <cellStyle name="20% - 강조색2 2 12" xfId="388"/>
    <cellStyle name="20% - 강조색2 2 120" xfId="389"/>
    <cellStyle name="20% - 강조색2 2 121" xfId="390"/>
    <cellStyle name="20% - 강조색2 2 122" xfId="391"/>
    <cellStyle name="20% - 강조색2 2 123" xfId="392"/>
    <cellStyle name="20% - 강조색2 2 124" xfId="393"/>
    <cellStyle name="20% - 강조색2 2 125" xfId="394"/>
    <cellStyle name="20% - 강조색2 2 126" xfId="395"/>
    <cellStyle name="20% - 강조색2 2 127" xfId="396"/>
    <cellStyle name="20% - 강조색2 2 128" xfId="397"/>
    <cellStyle name="20% - 강조색2 2 129" xfId="398"/>
    <cellStyle name="20% - 강조색2 2 13" xfId="399"/>
    <cellStyle name="20% - 강조색2 2 130" xfId="400"/>
    <cellStyle name="20% - 강조색2 2 131" xfId="401"/>
    <cellStyle name="20% - 강조색2 2 132" xfId="402"/>
    <cellStyle name="20% - 강조색2 2 133" xfId="403"/>
    <cellStyle name="20% - 강조색2 2 134" xfId="404"/>
    <cellStyle name="20% - 강조색2 2 135" xfId="405"/>
    <cellStyle name="20% - 강조색2 2 136" xfId="406"/>
    <cellStyle name="20% - 강조색2 2 137" xfId="407"/>
    <cellStyle name="20% - 강조색2 2 138" xfId="408"/>
    <cellStyle name="20% - 강조색2 2 139" xfId="409"/>
    <cellStyle name="20% - 강조색2 2 14" xfId="410"/>
    <cellStyle name="20% - 강조색2 2 140" xfId="411"/>
    <cellStyle name="20% - 강조색2 2 141" xfId="412"/>
    <cellStyle name="20% - 강조색2 2 142" xfId="413"/>
    <cellStyle name="20% - 강조색2 2 143" xfId="414"/>
    <cellStyle name="20% - 강조색2 2 144" xfId="415"/>
    <cellStyle name="20% - 강조색2 2 145" xfId="416"/>
    <cellStyle name="20% - 강조색2 2 146" xfId="417"/>
    <cellStyle name="20% - 강조색2 2 147" xfId="418"/>
    <cellStyle name="20% - 강조색2 2 148" xfId="419"/>
    <cellStyle name="20% - 강조색2 2 149" xfId="420"/>
    <cellStyle name="20% - 강조색2 2 15" xfId="421"/>
    <cellStyle name="20% - 강조색2 2 150" xfId="422"/>
    <cellStyle name="20% - 강조색2 2 151" xfId="423"/>
    <cellStyle name="20% - 강조색2 2 152" xfId="424"/>
    <cellStyle name="20% - 강조색2 2 153" xfId="425"/>
    <cellStyle name="20% - 강조색2 2 154" xfId="426"/>
    <cellStyle name="20% - 강조색2 2 155" xfId="427"/>
    <cellStyle name="20% - 강조색2 2 156" xfId="428"/>
    <cellStyle name="20% - 강조색2 2 157" xfId="429"/>
    <cellStyle name="20% - 강조색2 2 158" xfId="430"/>
    <cellStyle name="20% - 강조색2 2 159" xfId="431"/>
    <cellStyle name="20% - 강조색2 2 16" xfId="432"/>
    <cellStyle name="20% - 강조색2 2 160" xfId="433"/>
    <cellStyle name="20% - 강조색2 2 161" xfId="434"/>
    <cellStyle name="20% - 강조색2 2 162" xfId="435"/>
    <cellStyle name="20% - 강조색2 2 163" xfId="436"/>
    <cellStyle name="20% - 강조색2 2 164" xfId="437"/>
    <cellStyle name="20% - 강조색2 2 165" xfId="438"/>
    <cellStyle name="20% - 강조색2 2 166" xfId="439"/>
    <cellStyle name="20% - 강조색2 2 167" xfId="440"/>
    <cellStyle name="20% - 강조색2 2 168" xfId="441"/>
    <cellStyle name="20% - 강조색2 2 169" xfId="442"/>
    <cellStyle name="20% - 강조색2 2 17" xfId="443"/>
    <cellStyle name="20% - 강조색2 2 170" xfId="444"/>
    <cellStyle name="20% - 강조색2 2 171" xfId="445"/>
    <cellStyle name="20% - 강조색2 2 172" xfId="446"/>
    <cellStyle name="20% - 강조색2 2 173" xfId="447"/>
    <cellStyle name="20% - 강조색2 2 174" xfId="448"/>
    <cellStyle name="20% - 강조색2 2 175" xfId="449"/>
    <cellStyle name="20% - 강조색2 2 176" xfId="450"/>
    <cellStyle name="20% - 강조색2 2 177" xfId="451"/>
    <cellStyle name="20% - 강조색2 2 178" xfId="452"/>
    <cellStyle name="20% - 강조색2 2 179" xfId="453"/>
    <cellStyle name="20% - 강조색2 2 18" xfId="454"/>
    <cellStyle name="20% - 강조색2 2 180" xfId="455"/>
    <cellStyle name="20% - 강조색2 2 181" xfId="456"/>
    <cellStyle name="20% - 강조색2 2 182" xfId="457"/>
    <cellStyle name="20% - 강조색2 2 183" xfId="458"/>
    <cellStyle name="20% - 강조색2 2 184" xfId="459"/>
    <cellStyle name="20% - 강조색2 2 185" xfId="460"/>
    <cellStyle name="20% - 강조색2 2 186" xfId="461"/>
    <cellStyle name="20% - 강조색2 2 187" xfId="462"/>
    <cellStyle name="20% - 강조색2 2 188" xfId="463"/>
    <cellStyle name="20% - 강조색2 2 189" xfId="464"/>
    <cellStyle name="20% - 강조색2 2 19" xfId="465"/>
    <cellStyle name="20% - 강조색2 2 190" xfId="466"/>
    <cellStyle name="20% - 강조색2 2 191" xfId="467"/>
    <cellStyle name="20% - 강조색2 2 192" xfId="468"/>
    <cellStyle name="20% - 강조색2 2 193" xfId="469"/>
    <cellStyle name="20% - 강조색2 2 194" xfId="470"/>
    <cellStyle name="20% - 강조색2 2 195" xfId="471"/>
    <cellStyle name="20% - 강조색2 2 196" xfId="472"/>
    <cellStyle name="20% - 강조색2 2 197" xfId="473"/>
    <cellStyle name="20% - 강조색2 2 198" xfId="474"/>
    <cellStyle name="20% - 강조색2 2 199" xfId="475"/>
    <cellStyle name="20% - 강조색2 2 2" xfId="476"/>
    <cellStyle name="20% - 강조색2 2 20" xfId="477"/>
    <cellStyle name="20% - 강조색2 2 200" xfId="478"/>
    <cellStyle name="20% - 강조색2 2 201" xfId="479"/>
    <cellStyle name="20% - 강조색2 2 202" xfId="480"/>
    <cellStyle name="20% - 강조색2 2 203" xfId="481"/>
    <cellStyle name="20% - 강조색2 2 204" xfId="482"/>
    <cellStyle name="20% - 강조색2 2 205" xfId="483"/>
    <cellStyle name="20% - 강조색2 2 206" xfId="484"/>
    <cellStyle name="20% - 강조색2 2 207" xfId="485"/>
    <cellStyle name="20% - 강조색2 2 208" xfId="486"/>
    <cellStyle name="20% - 강조색2 2 209" xfId="487"/>
    <cellStyle name="20% - 강조색2 2 21" xfId="488"/>
    <cellStyle name="20% - 강조색2 2 210" xfId="489"/>
    <cellStyle name="20% - 강조색2 2 211" xfId="490"/>
    <cellStyle name="20% - 강조색2 2 212" xfId="491"/>
    <cellStyle name="20% - 강조색2 2 213" xfId="492"/>
    <cellStyle name="20% - 강조색2 2 214" xfId="493"/>
    <cellStyle name="20% - 강조색2 2 215" xfId="494"/>
    <cellStyle name="20% - 강조색2 2 216" xfId="495"/>
    <cellStyle name="20% - 강조색2 2 217" xfId="496"/>
    <cellStyle name="20% - 강조색2 2 218" xfId="497"/>
    <cellStyle name="20% - 강조색2 2 219" xfId="498"/>
    <cellStyle name="20% - 강조색2 2 22" xfId="499"/>
    <cellStyle name="20% - 강조색2 2 220" xfId="500"/>
    <cellStyle name="20% - 강조색2 2 221" xfId="501"/>
    <cellStyle name="20% - 강조색2 2 222" xfId="502"/>
    <cellStyle name="20% - 강조색2 2 223" xfId="503"/>
    <cellStyle name="20% - 강조색2 2 224" xfId="504"/>
    <cellStyle name="20% - 강조색2 2 225" xfId="505"/>
    <cellStyle name="20% - 강조색2 2 226" xfId="506"/>
    <cellStyle name="20% - 강조색2 2 227" xfId="507"/>
    <cellStyle name="20% - 강조색2 2 228" xfId="508"/>
    <cellStyle name="20% - 강조색2 2 229" xfId="509"/>
    <cellStyle name="20% - 강조색2 2 23" xfId="510"/>
    <cellStyle name="20% - 강조색2 2 230" xfId="511"/>
    <cellStyle name="20% - 강조색2 2 231" xfId="512"/>
    <cellStyle name="20% - 강조색2 2 232" xfId="513"/>
    <cellStyle name="20% - 강조색2 2 233" xfId="514"/>
    <cellStyle name="20% - 강조색2 2 234" xfId="515"/>
    <cellStyle name="20% - 강조색2 2 235" xfId="516"/>
    <cellStyle name="20% - 강조색2 2 236" xfId="517"/>
    <cellStyle name="20% - 강조색2 2 237" xfId="518"/>
    <cellStyle name="20% - 강조색2 2 238" xfId="519"/>
    <cellStyle name="20% - 강조색2 2 239" xfId="520"/>
    <cellStyle name="20% - 강조색2 2 24" xfId="521"/>
    <cellStyle name="20% - 강조색2 2 240" xfId="522"/>
    <cellStyle name="20% - 강조색2 2 241" xfId="523"/>
    <cellStyle name="20% - 강조색2 2 242" xfId="524"/>
    <cellStyle name="20% - 강조색2 2 25" xfId="525"/>
    <cellStyle name="20% - 강조색2 2 26" xfId="526"/>
    <cellStyle name="20% - 강조색2 2 27" xfId="527"/>
    <cellStyle name="20% - 강조색2 2 28" xfId="528"/>
    <cellStyle name="20% - 강조색2 2 29" xfId="529"/>
    <cellStyle name="20% - 강조색2 2 3" xfId="530"/>
    <cellStyle name="20% - 강조색2 2 30" xfId="531"/>
    <cellStyle name="20% - 강조색2 2 31" xfId="532"/>
    <cellStyle name="20% - 강조색2 2 32" xfId="533"/>
    <cellStyle name="20% - 강조색2 2 33" xfId="534"/>
    <cellStyle name="20% - 강조색2 2 34" xfId="535"/>
    <cellStyle name="20% - 강조색2 2 35" xfId="536"/>
    <cellStyle name="20% - 강조색2 2 36" xfId="537"/>
    <cellStyle name="20% - 강조색2 2 37" xfId="538"/>
    <cellStyle name="20% - 강조색2 2 38" xfId="539"/>
    <cellStyle name="20% - 강조색2 2 39" xfId="540"/>
    <cellStyle name="20% - 강조색2 2 4" xfId="541"/>
    <cellStyle name="20% - 강조색2 2 40" xfId="542"/>
    <cellStyle name="20% - 강조색2 2 41" xfId="543"/>
    <cellStyle name="20% - 강조색2 2 42" xfId="544"/>
    <cellStyle name="20% - 강조색2 2 43" xfId="545"/>
    <cellStyle name="20% - 강조색2 2 44" xfId="546"/>
    <cellStyle name="20% - 강조색2 2 45" xfId="547"/>
    <cellStyle name="20% - 강조색2 2 46" xfId="548"/>
    <cellStyle name="20% - 강조색2 2 47" xfId="549"/>
    <cellStyle name="20% - 강조색2 2 48" xfId="550"/>
    <cellStyle name="20% - 강조색2 2 49" xfId="551"/>
    <cellStyle name="20% - 강조색2 2 5" xfId="552"/>
    <cellStyle name="20% - 강조색2 2 50" xfId="553"/>
    <cellStyle name="20% - 강조색2 2 51" xfId="554"/>
    <cellStyle name="20% - 강조색2 2 52" xfId="555"/>
    <cellStyle name="20% - 강조색2 2 53" xfId="556"/>
    <cellStyle name="20% - 강조색2 2 54" xfId="557"/>
    <cellStyle name="20% - 강조색2 2 55" xfId="558"/>
    <cellStyle name="20% - 강조색2 2 56" xfId="559"/>
    <cellStyle name="20% - 강조색2 2 57" xfId="560"/>
    <cellStyle name="20% - 강조색2 2 58" xfId="561"/>
    <cellStyle name="20% - 강조색2 2 59" xfId="562"/>
    <cellStyle name="20% - 강조색2 2 6" xfId="563"/>
    <cellStyle name="20% - 강조색2 2 60" xfId="564"/>
    <cellStyle name="20% - 강조색2 2 61" xfId="565"/>
    <cellStyle name="20% - 강조색2 2 62" xfId="566"/>
    <cellStyle name="20% - 강조색2 2 63" xfId="567"/>
    <cellStyle name="20% - 강조색2 2 64" xfId="568"/>
    <cellStyle name="20% - 강조색2 2 65" xfId="569"/>
    <cellStyle name="20% - 강조색2 2 66" xfId="570"/>
    <cellStyle name="20% - 강조색2 2 67" xfId="571"/>
    <cellStyle name="20% - 강조색2 2 68" xfId="572"/>
    <cellStyle name="20% - 강조색2 2 69" xfId="573"/>
    <cellStyle name="20% - 강조색2 2 7" xfId="574"/>
    <cellStyle name="20% - 강조색2 2 70" xfId="575"/>
    <cellStyle name="20% - 강조색2 2 71" xfId="576"/>
    <cellStyle name="20% - 강조색2 2 72" xfId="577"/>
    <cellStyle name="20% - 강조색2 2 73" xfId="578"/>
    <cellStyle name="20% - 강조색2 2 74" xfId="579"/>
    <cellStyle name="20% - 강조색2 2 75" xfId="580"/>
    <cellStyle name="20% - 강조색2 2 76" xfId="581"/>
    <cellStyle name="20% - 강조색2 2 77" xfId="582"/>
    <cellStyle name="20% - 강조색2 2 78" xfId="583"/>
    <cellStyle name="20% - 강조색2 2 79" xfId="584"/>
    <cellStyle name="20% - 강조색2 2 8" xfId="585"/>
    <cellStyle name="20% - 강조색2 2 80" xfId="586"/>
    <cellStyle name="20% - 강조색2 2 81" xfId="587"/>
    <cellStyle name="20% - 강조색2 2 82" xfId="588"/>
    <cellStyle name="20% - 강조색2 2 83" xfId="589"/>
    <cellStyle name="20% - 강조색2 2 84" xfId="590"/>
    <cellStyle name="20% - 강조색2 2 85" xfId="591"/>
    <cellStyle name="20% - 강조색2 2 86" xfId="592"/>
    <cellStyle name="20% - 강조색2 2 87" xfId="593"/>
    <cellStyle name="20% - 강조색2 2 88" xfId="594"/>
    <cellStyle name="20% - 강조색2 2 89" xfId="595"/>
    <cellStyle name="20% - 강조색2 2 9" xfId="596"/>
    <cellStyle name="20% - 강조색2 2 90" xfId="597"/>
    <cellStyle name="20% - 강조색2 2 91" xfId="598"/>
    <cellStyle name="20% - 강조색2 2 92" xfId="599"/>
    <cellStyle name="20% - 강조색2 2 93" xfId="600"/>
    <cellStyle name="20% - 강조색2 2 94" xfId="601"/>
    <cellStyle name="20% - 강조색2 2 95" xfId="602"/>
    <cellStyle name="20% - 강조색2 2 96" xfId="603"/>
    <cellStyle name="20% - 강조색2 2 97" xfId="604"/>
    <cellStyle name="20% - 강조색2 2 98" xfId="605"/>
    <cellStyle name="20% - 강조색2 2 99" xfId="606"/>
    <cellStyle name="20% - 강조색2 20" xfId="15318"/>
    <cellStyle name="20% - 강조색2 21" xfId="15319"/>
    <cellStyle name="20% - 강조색2 22" xfId="15320"/>
    <cellStyle name="20% - 강조색2 23" xfId="15321"/>
    <cellStyle name="20% - 강조색2 24" xfId="15322"/>
    <cellStyle name="20% - 강조색2 25" xfId="15323"/>
    <cellStyle name="20% - 강조색2 26" xfId="15324"/>
    <cellStyle name="20% - 강조색2 27" xfId="15325"/>
    <cellStyle name="20% - 강조색2 28" xfId="15326"/>
    <cellStyle name="20% - 강조색2 29" xfId="15327"/>
    <cellStyle name="20% - 강조색2 3" xfId="607"/>
    <cellStyle name="20% - 강조색2 3 2" xfId="15328"/>
    <cellStyle name="20% - 강조색2 3 3" xfId="15329"/>
    <cellStyle name="20% - 강조색2 3 4" xfId="15330"/>
    <cellStyle name="20% - 강조색2 30" xfId="15331"/>
    <cellStyle name="20% - 강조색2 31" xfId="15332"/>
    <cellStyle name="20% - 강조색2 32" xfId="15333"/>
    <cellStyle name="20% - 강조색2 4" xfId="15334"/>
    <cellStyle name="20% - 강조색2 4 2" xfId="15335"/>
    <cellStyle name="20% - 강조색2 4 3" xfId="15336"/>
    <cellStyle name="20% - 강조색2 5" xfId="15337"/>
    <cellStyle name="20% - 강조색2 6" xfId="15338"/>
    <cellStyle name="20% - 강조색2 7" xfId="15339"/>
    <cellStyle name="20% - 강조색2 8" xfId="15340"/>
    <cellStyle name="20% - 강조색2 9" xfId="15341"/>
    <cellStyle name="20% - 강조색3 10" xfId="15342"/>
    <cellStyle name="20% - 강조색3 11" xfId="15343"/>
    <cellStyle name="20% - 강조색3 12" xfId="15344"/>
    <cellStyle name="20% - 강조색3 13" xfId="15345"/>
    <cellStyle name="20% - 강조색3 14" xfId="15346"/>
    <cellStyle name="20% - 강조색3 15" xfId="15347"/>
    <cellStyle name="20% - 강조색3 16" xfId="15348"/>
    <cellStyle name="20% - 강조색3 17" xfId="15349"/>
    <cellStyle name="20% - 강조색3 18" xfId="15350"/>
    <cellStyle name="20% - 강조색3 19" xfId="15351"/>
    <cellStyle name="20% - 강조색3 2" xfId="608"/>
    <cellStyle name="20% - 강조색3 2 10" xfId="609"/>
    <cellStyle name="20% - 강조색3 2 100" xfId="610"/>
    <cellStyle name="20% - 강조색3 2 101" xfId="611"/>
    <cellStyle name="20% - 강조색3 2 102" xfId="612"/>
    <cellStyle name="20% - 강조색3 2 103" xfId="613"/>
    <cellStyle name="20% - 강조색3 2 104" xfId="614"/>
    <cellStyle name="20% - 강조색3 2 105" xfId="615"/>
    <cellStyle name="20% - 강조색3 2 106" xfId="616"/>
    <cellStyle name="20% - 강조색3 2 107" xfId="617"/>
    <cellStyle name="20% - 강조색3 2 108" xfId="618"/>
    <cellStyle name="20% - 강조색3 2 109" xfId="619"/>
    <cellStyle name="20% - 강조색3 2 11" xfId="620"/>
    <cellStyle name="20% - 강조색3 2 110" xfId="621"/>
    <cellStyle name="20% - 강조색3 2 111" xfId="622"/>
    <cellStyle name="20% - 강조색3 2 112" xfId="623"/>
    <cellStyle name="20% - 강조색3 2 113" xfId="624"/>
    <cellStyle name="20% - 강조색3 2 114" xfId="625"/>
    <cellStyle name="20% - 강조색3 2 115" xfId="626"/>
    <cellStyle name="20% - 강조색3 2 116" xfId="627"/>
    <cellStyle name="20% - 강조색3 2 117" xfId="628"/>
    <cellStyle name="20% - 강조색3 2 118" xfId="629"/>
    <cellStyle name="20% - 강조색3 2 119" xfId="630"/>
    <cellStyle name="20% - 강조색3 2 12" xfId="631"/>
    <cellStyle name="20% - 강조색3 2 120" xfId="632"/>
    <cellStyle name="20% - 강조색3 2 121" xfId="633"/>
    <cellStyle name="20% - 강조색3 2 122" xfId="634"/>
    <cellStyle name="20% - 강조색3 2 123" xfId="635"/>
    <cellStyle name="20% - 강조색3 2 124" xfId="636"/>
    <cellStyle name="20% - 강조색3 2 125" xfId="637"/>
    <cellStyle name="20% - 강조색3 2 126" xfId="638"/>
    <cellStyle name="20% - 강조색3 2 127" xfId="639"/>
    <cellStyle name="20% - 강조색3 2 128" xfId="640"/>
    <cellStyle name="20% - 강조색3 2 129" xfId="641"/>
    <cellStyle name="20% - 강조색3 2 13" xfId="642"/>
    <cellStyle name="20% - 강조색3 2 130" xfId="643"/>
    <cellStyle name="20% - 강조색3 2 131" xfId="644"/>
    <cellStyle name="20% - 강조색3 2 132" xfId="645"/>
    <cellStyle name="20% - 강조색3 2 133" xfId="646"/>
    <cellStyle name="20% - 강조색3 2 134" xfId="647"/>
    <cellStyle name="20% - 강조색3 2 135" xfId="648"/>
    <cellStyle name="20% - 강조색3 2 136" xfId="649"/>
    <cellStyle name="20% - 강조색3 2 137" xfId="650"/>
    <cellStyle name="20% - 강조색3 2 138" xfId="651"/>
    <cellStyle name="20% - 강조색3 2 139" xfId="652"/>
    <cellStyle name="20% - 강조색3 2 14" xfId="653"/>
    <cellStyle name="20% - 강조색3 2 140" xfId="654"/>
    <cellStyle name="20% - 강조색3 2 141" xfId="655"/>
    <cellStyle name="20% - 강조색3 2 142" xfId="656"/>
    <cellStyle name="20% - 강조색3 2 143" xfId="657"/>
    <cellStyle name="20% - 강조색3 2 144" xfId="658"/>
    <cellStyle name="20% - 강조색3 2 145" xfId="659"/>
    <cellStyle name="20% - 강조색3 2 146" xfId="660"/>
    <cellStyle name="20% - 강조색3 2 147" xfId="661"/>
    <cellStyle name="20% - 강조색3 2 148" xfId="662"/>
    <cellStyle name="20% - 강조색3 2 149" xfId="663"/>
    <cellStyle name="20% - 강조색3 2 15" xfId="664"/>
    <cellStyle name="20% - 강조색3 2 150" xfId="665"/>
    <cellStyle name="20% - 강조색3 2 151" xfId="666"/>
    <cellStyle name="20% - 강조색3 2 152" xfId="667"/>
    <cellStyle name="20% - 강조색3 2 153" xfId="668"/>
    <cellStyle name="20% - 강조색3 2 154" xfId="669"/>
    <cellStyle name="20% - 강조색3 2 155" xfId="670"/>
    <cellStyle name="20% - 강조색3 2 156" xfId="671"/>
    <cellStyle name="20% - 강조색3 2 157" xfId="672"/>
    <cellStyle name="20% - 강조색3 2 158" xfId="673"/>
    <cellStyle name="20% - 강조색3 2 159" xfId="674"/>
    <cellStyle name="20% - 강조색3 2 16" xfId="675"/>
    <cellStyle name="20% - 강조색3 2 160" xfId="676"/>
    <cellStyle name="20% - 강조색3 2 161" xfId="677"/>
    <cellStyle name="20% - 강조색3 2 162" xfId="678"/>
    <cellStyle name="20% - 강조색3 2 163" xfId="679"/>
    <cellStyle name="20% - 강조색3 2 164" xfId="680"/>
    <cellStyle name="20% - 강조색3 2 165" xfId="681"/>
    <cellStyle name="20% - 강조색3 2 166" xfId="682"/>
    <cellStyle name="20% - 강조색3 2 167" xfId="683"/>
    <cellStyle name="20% - 강조색3 2 168" xfId="684"/>
    <cellStyle name="20% - 강조색3 2 169" xfId="685"/>
    <cellStyle name="20% - 강조색3 2 17" xfId="686"/>
    <cellStyle name="20% - 강조색3 2 170" xfId="687"/>
    <cellStyle name="20% - 강조색3 2 171" xfId="688"/>
    <cellStyle name="20% - 강조색3 2 172" xfId="689"/>
    <cellStyle name="20% - 강조색3 2 173" xfId="690"/>
    <cellStyle name="20% - 강조색3 2 174" xfId="691"/>
    <cellStyle name="20% - 강조색3 2 175" xfId="692"/>
    <cellStyle name="20% - 강조색3 2 176" xfId="693"/>
    <cellStyle name="20% - 강조색3 2 177" xfId="694"/>
    <cellStyle name="20% - 강조색3 2 178" xfId="695"/>
    <cellStyle name="20% - 강조색3 2 179" xfId="696"/>
    <cellStyle name="20% - 강조색3 2 18" xfId="697"/>
    <cellStyle name="20% - 강조색3 2 180" xfId="698"/>
    <cellStyle name="20% - 강조색3 2 181" xfId="699"/>
    <cellStyle name="20% - 강조색3 2 182" xfId="700"/>
    <cellStyle name="20% - 강조색3 2 183" xfId="701"/>
    <cellStyle name="20% - 강조색3 2 184" xfId="702"/>
    <cellStyle name="20% - 강조색3 2 185" xfId="703"/>
    <cellStyle name="20% - 강조색3 2 186" xfId="704"/>
    <cellStyle name="20% - 강조색3 2 187" xfId="705"/>
    <cellStyle name="20% - 강조색3 2 188" xfId="706"/>
    <cellStyle name="20% - 강조색3 2 189" xfId="707"/>
    <cellStyle name="20% - 강조색3 2 19" xfId="708"/>
    <cellStyle name="20% - 강조색3 2 190" xfId="709"/>
    <cellStyle name="20% - 강조색3 2 191" xfId="710"/>
    <cellStyle name="20% - 강조색3 2 192" xfId="711"/>
    <cellStyle name="20% - 강조색3 2 193" xfId="712"/>
    <cellStyle name="20% - 강조색3 2 194" xfId="713"/>
    <cellStyle name="20% - 강조색3 2 195" xfId="714"/>
    <cellStyle name="20% - 강조색3 2 196" xfId="715"/>
    <cellStyle name="20% - 강조색3 2 197" xfId="716"/>
    <cellStyle name="20% - 강조색3 2 198" xfId="717"/>
    <cellStyle name="20% - 강조색3 2 199" xfId="718"/>
    <cellStyle name="20% - 강조색3 2 2" xfId="719"/>
    <cellStyle name="20% - 강조색3 2 20" xfId="720"/>
    <cellStyle name="20% - 강조색3 2 200" xfId="721"/>
    <cellStyle name="20% - 강조색3 2 201" xfId="722"/>
    <cellStyle name="20% - 강조색3 2 202" xfId="723"/>
    <cellStyle name="20% - 강조색3 2 203" xfId="724"/>
    <cellStyle name="20% - 강조색3 2 204" xfId="725"/>
    <cellStyle name="20% - 강조색3 2 205" xfId="726"/>
    <cellStyle name="20% - 강조색3 2 206" xfId="727"/>
    <cellStyle name="20% - 강조색3 2 207" xfId="728"/>
    <cellStyle name="20% - 강조색3 2 208" xfId="729"/>
    <cellStyle name="20% - 강조색3 2 209" xfId="730"/>
    <cellStyle name="20% - 강조색3 2 21" xfId="731"/>
    <cellStyle name="20% - 강조색3 2 210" xfId="732"/>
    <cellStyle name="20% - 강조색3 2 211" xfId="733"/>
    <cellStyle name="20% - 강조색3 2 212" xfId="734"/>
    <cellStyle name="20% - 강조색3 2 213" xfId="735"/>
    <cellStyle name="20% - 강조색3 2 214" xfId="736"/>
    <cellStyle name="20% - 강조색3 2 215" xfId="737"/>
    <cellStyle name="20% - 강조색3 2 216" xfId="738"/>
    <cellStyle name="20% - 강조색3 2 217" xfId="739"/>
    <cellStyle name="20% - 강조색3 2 218" xfId="740"/>
    <cellStyle name="20% - 강조색3 2 219" xfId="741"/>
    <cellStyle name="20% - 강조색3 2 22" xfId="742"/>
    <cellStyle name="20% - 강조색3 2 220" xfId="743"/>
    <cellStyle name="20% - 강조색3 2 221" xfId="744"/>
    <cellStyle name="20% - 강조색3 2 222" xfId="745"/>
    <cellStyle name="20% - 강조색3 2 223" xfId="746"/>
    <cellStyle name="20% - 강조색3 2 224" xfId="747"/>
    <cellStyle name="20% - 강조색3 2 225" xfId="748"/>
    <cellStyle name="20% - 강조색3 2 226" xfId="749"/>
    <cellStyle name="20% - 강조색3 2 227" xfId="750"/>
    <cellStyle name="20% - 강조색3 2 228" xfId="751"/>
    <cellStyle name="20% - 강조색3 2 229" xfId="752"/>
    <cellStyle name="20% - 강조색3 2 23" xfId="753"/>
    <cellStyle name="20% - 강조색3 2 230" xfId="754"/>
    <cellStyle name="20% - 강조색3 2 231" xfId="755"/>
    <cellStyle name="20% - 강조색3 2 232" xfId="756"/>
    <cellStyle name="20% - 강조색3 2 233" xfId="757"/>
    <cellStyle name="20% - 강조색3 2 234" xfId="758"/>
    <cellStyle name="20% - 강조색3 2 235" xfId="759"/>
    <cellStyle name="20% - 강조색3 2 236" xfId="760"/>
    <cellStyle name="20% - 강조색3 2 237" xfId="761"/>
    <cellStyle name="20% - 강조색3 2 238" xfId="762"/>
    <cellStyle name="20% - 강조색3 2 239" xfId="763"/>
    <cellStyle name="20% - 강조색3 2 24" xfId="764"/>
    <cellStyle name="20% - 강조색3 2 240" xfId="765"/>
    <cellStyle name="20% - 강조색3 2 241" xfId="766"/>
    <cellStyle name="20% - 강조색3 2 242" xfId="767"/>
    <cellStyle name="20% - 강조색3 2 25" xfId="768"/>
    <cellStyle name="20% - 강조색3 2 26" xfId="769"/>
    <cellStyle name="20% - 강조색3 2 27" xfId="770"/>
    <cellStyle name="20% - 강조색3 2 28" xfId="771"/>
    <cellStyle name="20% - 강조색3 2 29" xfId="772"/>
    <cellStyle name="20% - 강조색3 2 3" xfId="773"/>
    <cellStyle name="20% - 강조색3 2 30" xfId="774"/>
    <cellStyle name="20% - 강조색3 2 31" xfId="775"/>
    <cellStyle name="20% - 강조색3 2 32" xfId="776"/>
    <cellStyle name="20% - 강조색3 2 33" xfId="777"/>
    <cellStyle name="20% - 강조색3 2 34" xfId="778"/>
    <cellStyle name="20% - 강조색3 2 35" xfId="779"/>
    <cellStyle name="20% - 강조색3 2 36" xfId="780"/>
    <cellStyle name="20% - 강조색3 2 37" xfId="781"/>
    <cellStyle name="20% - 강조색3 2 38" xfId="782"/>
    <cellStyle name="20% - 강조색3 2 39" xfId="783"/>
    <cellStyle name="20% - 강조색3 2 4" xfId="784"/>
    <cellStyle name="20% - 강조색3 2 40" xfId="785"/>
    <cellStyle name="20% - 강조색3 2 41" xfId="786"/>
    <cellStyle name="20% - 강조색3 2 42" xfId="787"/>
    <cellStyle name="20% - 강조색3 2 43" xfId="788"/>
    <cellStyle name="20% - 강조색3 2 44" xfId="789"/>
    <cellStyle name="20% - 강조색3 2 45" xfId="790"/>
    <cellStyle name="20% - 강조색3 2 46" xfId="791"/>
    <cellStyle name="20% - 강조색3 2 47" xfId="792"/>
    <cellStyle name="20% - 강조색3 2 48" xfId="793"/>
    <cellStyle name="20% - 강조색3 2 49" xfId="794"/>
    <cellStyle name="20% - 강조색3 2 5" xfId="795"/>
    <cellStyle name="20% - 강조색3 2 50" xfId="796"/>
    <cellStyle name="20% - 강조색3 2 51" xfId="797"/>
    <cellStyle name="20% - 강조색3 2 52" xfId="798"/>
    <cellStyle name="20% - 강조색3 2 53" xfId="799"/>
    <cellStyle name="20% - 강조색3 2 54" xfId="800"/>
    <cellStyle name="20% - 강조색3 2 55" xfId="801"/>
    <cellStyle name="20% - 강조색3 2 56" xfId="802"/>
    <cellStyle name="20% - 강조색3 2 57" xfId="803"/>
    <cellStyle name="20% - 강조색3 2 58" xfId="804"/>
    <cellStyle name="20% - 강조색3 2 59" xfId="805"/>
    <cellStyle name="20% - 강조색3 2 6" xfId="806"/>
    <cellStyle name="20% - 강조색3 2 60" xfId="807"/>
    <cellStyle name="20% - 강조색3 2 61" xfId="808"/>
    <cellStyle name="20% - 강조색3 2 62" xfId="809"/>
    <cellStyle name="20% - 강조색3 2 63" xfId="810"/>
    <cellStyle name="20% - 강조색3 2 64" xfId="811"/>
    <cellStyle name="20% - 강조색3 2 65" xfId="812"/>
    <cellStyle name="20% - 강조색3 2 66" xfId="813"/>
    <cellStyle name="20% - 강조색3 2 67" xfId="814"/>
    <cellStyle name="20% - 강조색3 2 68" xfId="815"/>
    <cellStyle name="20% - 강조색3 2 69" xfId="816"/>
    <cellStyle name="20% - 강조색3 2 7" xfId="817"/>
    <cellStyle name="20% - 강조색3 2 70" xfId="818"/>
    <cellStyle name="20% - 강조색3 2 71" xfId="819"/>
    <cellStyle name="20% - 강조색3 2 72" xfId="820"/>
    <cellStyle name="20% - 강조색3 2 73" xfId="821"/>
    <cellStyle name="20% - 강조색3 2 74" xfId="822"/>
    <cellStyle name="20% - 강조색3 2 75" xfId="823"/>
    <cellStyle name="20% - 강조색3 2 76" xfId="824"/>
    <cellStyle name="20% - 강조색3 2 77" xfId="825"/>
    <cellStyle name="20% - 강조색3 2 78" xfId="826"/>
    <cellStyle name="20% - 강조색3 2 79" xfId="827"/>
    <cellStyle name="20% - 강조색3 2 8" xfId="828"/>
    <cellStyle name="20% - 강조색3 2 80" xfId="829"/>
    <cellStyle name="20% - 강조색3 2 81" xfId="830"/>
    <cellStyle name="20% - 강조색3 2 82" xfId="831"/>
    <cellStyle name="20% - 강조색3 2 83" xfId="832"/>
    <cellStyle name="20% - 강조색3 2 84" xfId="833"/>
    <cellStyle name="20% - 강조색3 2 85" xfId="834"/>
    <cellStyle name="20% - 강조색3 2 86" xfId="835"/>
    <cellStyle name="20% - 강조색3 2 87" xfId="836"/>
    <cellStyle name="20% - 강조색3 2 88" xfId="837"/>
    <cellStyle name="20% - 강조색3 2 89" xfId="838"/>
    <cellStyle name="20% - 강조색3 2 9" xfId="839"/>
    <cellStyle name="20% - 강조색3 2 90" xfId="840"/>
    <cellStyle name="20% - 강조색3 2 91" xfId="841"/>
    <cellStyle name="20% - 강조색3 2 92" xfId="842"/>
    <cellStyle name="20% - 강조색3 2 93" xfId="843"/>
    <cellStyle name="20% - 강조색3 2 94" xfId="844"/>
    <cellStyle name="20% - 강조색3 2 95" xfId="845"/>
    <cellStyle name="20% - 강조색3 2 96" xfId="846"/>
    <cellStyle name="20% - 강조색3 2 97" xfId="847"/>
    <cellStyle name="20% - 강조색3 2 98" xfId="848"/>
    <cellStyle name="20% - 강조색3 2 99" xfId="849"/>
    <cellStyle name="20% - 강조색3 20" xfId="15352"/>
    <cellStyle name="20% - 강조색3 21" xfId="15353"/>
    <cellStyle name="20% - 강조색3 22" xfId="15354"/>
    <cellStyle name="20% - 강조색3 23" xfId="15355"/>
    <cellStyle name="20% - 강조색3 24" xfId="15356"/>
    <cellStyle name="20% - 강조색3 25" xfId="15357"/>
    <cellStyle name="20% - 강조색3 26" xfId="15358"/>
    <cellStyle name="20% - 강조색3 27" xfId="15359"/>
    <cellStyle name="20% - 강조색3 28" xfId="15360"/>
    <cellStyle name="20% - 강조색3 29" xfId="15361"/>
    <cellStyle name="20% - 강조색3 3" xfId="850"/>
    <cellStyle name="20% - 강조색3 3 2" xfId="15362"/>
    <cellStyle name="20% - 강조색3 3 3" xfId="15363"/>
    <cellStyle name="20% - 강조색3 3 4" xfId="15364"/>
    <cellStyle name="20% - 강조색3 30" xfId="15365"/>
    <cellStyle name="20% - 강조색3 31" xfId="15366"/>
    <cellStyle name="20% - 강조색3 32" xfId="15367"/>
    <cellStyle name="20% - 강조색3 4" xfId="15368"/>
    <cellStyle name="20% - 강조색3 4 2" xfId="15369"/>
    <cellStyle name="20% - 강조색3 4 3" xfId="15370"/>
    <cellStyle name="20% - 강조색3 5" xfId="15371"/>
    <cellStyle name="20% - 강조색3 6" xfId="15372"/>
    <cellStyle name="20% - 강조색3 7" xfId="15373"/>
    <cellStyle name="20% - 강조색3 8" xfId="15374"/>
    <cellStyle name="20% - 강조색3 9" xfId="15375"/>
    <cellStyle name="20% - 강조색4 10" xfId="15376"/>
    <cellStyle name="20% - 강조색4 11" xfId="15377"/>
    <cellStyle name="20% - 강조색4 12" xfId="15378"/>
    <cellStyle name="20% - 강조색4 13" xfId="15379"/>
    <cellStyle name="20% - 강조색4 14" xfId="15380"/>
    <cellStyle name="20% - 강조색4 15" xfId="15381"/>
    <cellStyle name="20% - 강조색4 16" xfId="15382"/>
    <cellStyle name="20% - 강조색4 17" xfId="15383"/>
    <cellStyle name="20% - 강조색4 18" xfId="15384"/>
    <cellStyle name="20% - 강조색4 19" xfId="15385"/>
    <cellStyle name="20% - 강조색4 2" xfId="851"/>
    <cellStyle name="20% - 강조색4 2 10" xfId="852"/>
    <cellStyle name="20% - 강조색4 2 100" xfId="853"/>
    <cellStyle name="20% - 강조색4 2 101" xfId="854"/>
    <cellStyle name="20% - 강조색4 2 102" xfId="855"/>
    <cellStyle name="20% - 강조색4 2 103" xfId="856"/>
    <cellStyle name="20% - 강조색4 2 104" xfId="857"/>
    <cellStyle name="20% - 강조색4 2 105" xfId="858"/>
    <cellStyle name="20% - 강조색4 2 106" xfId="859"/>
    <cellStyle name="20% - 강조색4 2 107" xfId="860"/>
    <cellStyle name="20% - 강조색4 2 108" xfId="861"/>
    <cellStyle name="20% - 강조색4 2 109" xfId="862"/>
    <cellStyle name="20% - 강조색4 2 11" xfId="863"/>
    <cellStyle name="20% - 강조색4 2 110" xfId="864"/>
    <cellStyle name="20% - 강조색4 2 111" xfId="865"/>
    <cellStyle name="20% - 강조색4 2 112" xfId="866"/>
    <cellStyle name="20% - 강조색4 2 113" xfId="867"/>
    <cellStyle name="20% - 강조색4 2 114" xfId="868"/>
    <cellStyle name="20% - 강조색4 2 115" xfId="869"/>
    <cellStyle name="20% - 강조색4 2 116" xfId="870"/>
    <cellStyle name="20% - 강조색4 2 117" xfId="871"/>
    <cellStyle name="20% - 강조색4 2 118" xfId="872"/>
    <cellStyle name="20% - 강조색4 2 119" xfId="873"/>
    <cellStyle name="20% - 강조색4 2 12" xfId="874"/>
    <cellStyle name="20% - 강조색4 2 120" xfId="875"/>
    <cellStyle name="20% - 강조색4 2 121" xfId="876"/>
    <cellStyle name="20% - 강조색4 2 122" xfId="877"/>
    <cellStyle name="20% - 강조색4 2 123" xfId="878"/>
    <cellStyle name="20% - 강조색4 2 124" xfId="879"/>
    <cellStyle name="20% - 강조색4 2 125" xfId="880"/>
    <cellStyle name="20% - 강조색4 2 126" xfId="881"/>
    <cellStyle name="20% - 강조색4 2 127" xfId="882"/>
    <cellStyle name="20% - 강조색4 2 128" xfId="883"/>
    <cellStyle name="20% - 강조색4 2 129" xfId="884"/>
    <cellStyle name="20% - 강조색4 2 13" xfId="885"/>
    <cellStyle name="20% - 강조색4 2 130" xfId="886"/>
    <cellStyle name="20% - 강조색4 2 131" xfId="887"/>
    <cellStyle name="20% - 강조색4 2 132" xfId="888"/>
    <cellStyle name="20% - 강조색4 2 133" xfId="889"/>
    <cellStyle name="20% - 강조색4 2 134" xfId="890"/>
    <cellStyle name="20% - 강조색4 2 135" xfId="891"/>
    <cellStyle name="20% - 강조색4 2 136" xfId="892"/>
    <cellStyle name="20% - 강조색4 2 137" xfId="893"/>
    <cellStyle name="20% - 강조색4 2 138" xfId="894"/>
    <cellStyle name="20% - 강조색4 2 139" xfId="895"/>
    <cellStyle name="20% - 강조색4 2 14" xfId="896"/>
    <cellStyle name="20% - 강조색4 2 140" xfId="897"/>
    <cellStyle name="20% - 강조색4 2 141" xfId="898"/>
    <cellStyle name="20% - 강조색4 2 142" xfId="899"/>
    <cellStyle name="20% - 강조색4 2 143" xfId="900"/>
    <cellStyle name="20% - 강조색4 2 144" xfId="901"/>
    <cellStyle name="20% - 강조색4 2 145" xfId="902"/>
    <cellStyle name="20% - 강조색4 2 146" xfId="903"/>
    <cellStyle name="20% - 강조색4 2 147" xfId="904"/>
    <cellStyle name="20% - 강조색4 2 148" xfId="905"/>
    <cellStyle name="20% - 강조색4 2 149" xfId="906"/>
    <cellStyle name="20% - 강조색4 2 15" xfId="907"/>
    <cellStyle name="20% - 강조색4 2 150" xfId="908"/>
    <cellStyle name="20% - 강조색4 2 151" xfId="909"/>
    <cellStyle name="20% - 강조색4 2 152" xfId="910"/>
    <cellStyle name="20% - 강조색4 2 153" xfId="911"/>
    <cellStyle name="20% - 강조색4 2 154" xfId="912"/>
    <cellStyle name="20% - 강조색4 2 155" xfId="913"/>
    <cellStyle name="20% - 강조색4 2 156" xfId="914"/>
    <cellStyle name="20% - 강조색4 2 157" xfId="915"/>
    <cellStyle name="20% - 강조색4 2 158" xfId="916"/>
    <cellStyle name="20% - 강조색4 2 159" xfId="917"/>
    <cellStyle name="20% - 강조색4 2 16" xfId="918"/>
    <cellStyle name="20% - 강조색4 2 160" xfId="919"/>
    <cellStyle name="20% - 강조색4 2 161" xfId="920"/>
    <cellStyle name="20% - 강조색4 2 162" xfId="921"/>
    <cellStyle name="20% - 강조색4 2 163" xfId="922"/>
    <cellStyle name="20% - 강조색4 2 164" xfId="923"/>
    <cellStyle name="20% - 강조색4 2 165" xfId="924"/>
    <cellStyle name="20% - 강조색4 2 166" xfId="925"/>
    <cellStyle name="20% - 강조색4 2 167" xfId="926"/>
    <cellStyle name="20% - 강조색4 2 168" xfId="927"/>
    <cellStyle name="20% - 강조색4 2 169" xfId="928"/>
    <cellStyle name="20% - 강조색4 2 17" xfId="929"/>
    <cellStyle name="20% - 강조색4 2 170" xfId="930"/>
    <cellStyle name="20% - 강조색4 2 171" xfId="931"/>
    <cellStyle name="20% - 강조색4 2 172" xfId="932"/>
    <cellStyle name="20% - 강조색4 2 173" xfId="933"/>
    <cellStyle name="20% - 강조색4 2 174" xfId="934"/>
    <cellStyle name="20% - 강조색4 2 175" xfId="935"/>
    <cellStyle name="20% - 강조색4 2 176" xfId="936"/>
    <cellStyle name="20% - 강조색4 2 177" xfId="937"/>
    <cellStyle name="20% - 강조색4 2 178" xfId="938"/>
    <cellStyle name="20% - 강조색4 2 179" xfId="939"/>
    <cellStyle name="20% - 강조색4 2 18" xfId="940"/>
    <cellStyle name="20% - 강조색4 2 180" xfId="941"/>
    <cellStyle name="20% - 강조색4 2 181" xfId="942"/>
    <cellStyle name="20% - 강조색4 2 182" xfId="943"/>
    <cellStyle name="20% - 강조색4 2 183" xfId="944"/>
    <cellStyle name="20% - 강조색4 2 184" xfId="945"/>
    <cellStyle name="20% - 강조색4 2 185" xfId="946"/>
    <cellStyle name="20% - 강조색4 2 186" xfId="947"/>
    <cellStyle name="20% - 강조색4 2 187" xfId="948"/>
    <cellStyle name="20% - 강조색4 2 188" xfId="949"/>
    <cellStyle name="20% - 강조색4 2 189" xfId="950"/>
    <cellStyle name="20% - 강조색4 2 19" xfId="951"/>
    <cellStyle name="20% - 강조색4 2 190" xfId="952"/>
    <cellStyle name="20% - 강조색4 2 191" xfId="953"/>
    <cellStyle name="20% - 강조색4 2 192" xfId="954"/>
    <cellStyle name="20% - 강조색4 2 193" xfId="955"/>
    <cellStyle name="20% - 강조색4 2 194" xfId="956"/>
    <cellStyle name="20% - 강조색4 2 195" xfId="957"/>
    <cellStyle name="20% - 강조색4 2 196" xfId="958"/>
    <cellStyle name="20% - 강조색4 2 197" xfId="959"/>
    <cellStyle name="20% - 강조색4 2 198" xfId="960"/>
    <cellStyle name="20% - 강조색4 2 199" xfId="961"/>
    <cellStyle name="20% - 강조색4 2 2" xfId="962"/>
    <cellStyle name="20% - 강조색4 2 20" xfId="963"/>
    <cellStyle name="20% - 강조색4 2 200" xfId="964"/>
    <cellStyle name="20% - 강조색4 2 201" xfId="965"/>
    <cellStyle name="20% - 강조색4 2 202" xfId="966"/>
    <cellStyle name="20% - 강조색4 2 203" xfId="967"/>
    <cellStyle name="20% - 강조색4 2 204" xfId="968"/>
    <cellStyle name="20% - 강조색4 2 205" xfId="969"/>
    <cellStyle name="20% - 강조색4 2 206" xfId="970"/>
    <cellStyle name="20% - 강조색4 2 207" xfId="971"/>
    <cellStyle name="20% - 강조색4 2 208" xfId="972"/>
    <cellStyle name="20% - 강조색4 2 209" xfId="973"/>
    <cellStyle name="20% - 강조색4 2 21" xfId="974"/>
    <cellStyle name="20% - 강조색4 2 210" xfId="975"/>
    <cellStyle name="20% - 강조색4 2 211" xfId="976"/>
    <cellStyle name="20% - 강조색4 2 212" xfId="977"/>
    <cellStyle name="20% - 강조색4 2 213" xfId="978"/>
    <cellStyle name="20% - 강조색4 2 214" xfId="979"/>
    <cellStyle name="20% - 강조색4 2 215" xfId="980"/>
    <cellStyle name="20% - 강조색4 2 216" xfId="981"/>
    <cellStyle name="20% - 강조색4 2 217" xfId="982"/>
    <cellStyle name="20% - 강조색4 2 218" xfId="983"/>
    <cellStyle name="20% - 강조색4 2 219" xfId="984"/>
    <cellStyle name="20% - 강조색4 2 22" xfId="985"/>
    <cellStyle name="20% - 강조색4 2 220" xfId="986"/>
    <cellStyle name="20% - 강조색4 2 221" xfId="987"/>
    <cellStyle name="20% - 강조색4 2 222" xfId="988"/>
    <cellStyle name="20% - 강조색4 2 223" xfId="989"/>
    <cellStyle name="20% - 강조색4 2 224" xfId="990"/>
    <cellStyle name="20% - 강조색4 2 225" xfId="991"/>
    <cellStyle name="20% - 강조색4 2 226" xfId="992"/>
    <cellStyle name="20% - 강조색4 2 227" xfId="993"/>
    <cellStyle name="20% - 강조색4 2 228" xfId="994"/>
    <cellStyle name="20% - 강조색4 2 229" xfId="995"/>
    <cellStyle name="20% - 강조색4 2 23" xfId="996"/>
    <cellStyle name="20% - 강조색4 2 230" xfId="997"/>
    <cellStyle name="20% - 강조색4 2 231" xfId="998"/>
    <cellStyle name="20% - 강조색4 2 232" xfId="999"/>
    <cellStyle name="20% - 강조색4 2 233" xfId="1000"/>
    <cellStyle name="20% - 강조색4 2 234" xfId="1001"/>
    <cellStyle name="20% - 강조색4 2 235" xfId="1002"/>
    <cellStyle name="20% - 강조색4 2 236" xfId="1003"/>
    <cellStyle name="20% - 강조색4 2 237" xfId="1004"/>
    <cellStyle name="20% - 강조색4 2 238" xfId="1005"/>
    <cellStyle name="20% - 강조색4 2 239" xfId="1006"/>
    <cellStyle name="20% - 강조색4 2 24" xfId="1007"/>
    <cellStyle name="20% - 강조색4 2 240" xfId="1008"/>
    <cellStyle name="20% - 강조색4 2 241" xfId="1009"/>
    <cellStyle name="20% - 강조색4 2 242" xfId="1010"/>
    <cellStyle name="20% - 강조색4 2 25" xfId="1011"/>
    <cellStyle name="20% - 강조색4 2 26" xfId="1012"/>
    <cellStyle name="20% - 강조색4 2 27" xfId="1013"/>
    <cellStyle name="20% - 강조색4 2 28" xfId="1014"/>
    <cellStyle name="20% - 강조색4 2 29" xfId="1015"/>
    <cellStyle name="20% - 강조색4 2 3" xfId="1016"/>
    <cellStyle name="20% - 강조색4 2 30" xfId="1017"/>
    <cellStyle name="20% - 강조색4 2 31" xfId="1018"/>
    <cellStyle name="20% - 강조색4 2 32" xfId="1019"/>
    <cellStyle name="20% - 강조색4 2 33" xfId="1020"/>
    <cellStyle name="20% - 강조색4 2 34" xfId="1021"/>
    <cellStyle name="20% - 강조색4 2 35" xfId="1022"/>
    <cellStyle name="20% - 강조색4 2 36" xfId="1023"/>
    <cellStyle name="20% - 강조색4 2 37" xfId="1024"/>
    <cellStyle name="20% - 강조색4 2 38" xfId="1025"/>
    <cellStyle name="20% - 강조색4 2 39" xfId="1026"/>
    <cellStyle name="20% - 강조색4 2 4" xfId="1027"/>
    <cellStyle name="20% - 강조색4 2 40" xfId="1028"/>
    <cellStyle name="20% - 강조색4 2 41" xfId="1029"/>
    <cellStyle name="20% - 강조색4 2 42" xfId="1030"/>
    <cellStyle name="20% - 강조색4 2 43" xfId="1031"/>
    <cellStyle name="20% - 강조색4 2 44" xfId="1032"/>
    <cellStyle name="20% - 강조색4 2 45" xfId="1033"/>
    <cellStyle name="20% - 강조색4 2 46" xfId="1034"/>
    <cellStyle name="20% - 강조색4 2 47" xfId="1035"/>
    <cellStyle name="20% - 강조색4 2 48" xfId="1036"/>
    <cellStyle name="20% - 강조색4 2 49" xfId="1037"/>
    <cellStyle name="20% - 강조색4 2 5" xfId="1038"/>
    <cellStyle name="20% - 강조색4 2 50" xfId="1039"/>
    <cellStyle name="20% - 강조색4 2 51" xfId="1040"/>
    <cellStyle name="20% - 강조색4 2 52" xfId="1041"/>
    <cellStyle name="20% - 강조색4 2 53" xfId="1042"/>
    <cellStyle name="20% - 강조색4 2 54" xfId="1043"/>
    <cellStyle name="20% - 강조색4 2 55" xfId="1044"/>
    <cellStyle name="20% - 강조색4 2 56" xfId="1045"/>
    <cellStyle name="20% - 강조색4 2 57" xfId="1046"/>
    <cellStyle name="20% - 강조색4 2 58" xfId="1047"/>
    <cellStyle name="20% - 강조색4 2 59" xfId="1048"/>
    <cellStyle name="20% - 강조색4 2 6" xfId="1049"/>
    <cellStyle name="20% - 강조색4 2 60" xfId="1050"/>
    <cellStyle name="20% - 강조색4 2 61" xfId="1051"/>
    <cellStyle name="20% - 강조색4 2 62" xfId="1052"/>
    <cellStyle name="20% - 강조색4 2 63" xfId="1053"/>
    <cellStyle name="20% - 강조색4 2 64" xfId="1054"/>
    <cellStyle name="20% - 강조색4 2 65" xfId="1055"/>
    <cellStyle name="20% - 강조색4 2 66" xfId="1056"/>
    <cellStyle name="20% - 강조색4 2 67" xfId="1057"/>
    <cellStyle name="20% - 강조색4 2 68" xfId="1058"/>
    <cellStyle name="20% - 강조색4 2 69" xfId="1059"/>
    <cellStyle name="20% - 강조색4 2 7" xfId="1060"/>
    <cellStyle name="20% - 강조색4 2 70" xfId="1061"/>
    <cellStyle name="20% - 강조색4 2 71" xfId="1062"/>
    <cellStyle name="20% - 강조색4 2 72" xfId="1063"/>
    <cellStyle name="20% - 강조색4 2 73" xfId="1064"/>
    <cellStyle name="20% - 강조색4 2 74" xfId="1065"/>
    <cellStyle name="20% - 강조색4 2 75" xfId="1066"/>
    <cellStyle name="20% - 강조색4 2 76" xfId="1067"/>
    <cellStyle name="20% - 강조색4 2 77" xfId="1068"/>
    <cellStyle name="20% - 강조색4 2 78" xfId="1069"/>
    <cellStyle name="20% - 강조색4 2 79" xfId="1070"/>
    <cellStyle name="20% - 강조색4 2 8" xfId="1071"/>
    <cellStyle name="20% - 강조색4 2 80" xfId="1072"/>
    <cellStyle name="20% - 강조색4 2 81" xfId="1073"/>
    <cellStyle name="20% - 강조색4 2 82" xfId="1074"/>
    <cellStyle name="20% - 강조색4 2 83" xfId="1075"/>
    <cellStyle name="20% - 강조색4 2 84" xfId="1076"/>
    <cellStyle name="20% - 강조색4 2 85" xfId="1077"/>
    <cellStyle name="20% - 강조색4 2 86" xfId="1078"/>
    <cellStyle name="20% - 강조색4 2 87" xfId="1079"/>
    <cellStyle name="20% - 강조색4 2 88" xfId="1080"/>
    <cellStyle name="20% - 강조색4 2 89" xfId="1081"/>
    <cellStyle name="20% - 강조색4 2 9" xfId="1082"/>
    <cellStyle name="20% - 강조색4 2 90" xfId="1083"/>
    <cellStyle name="20% - 강조색4 2 91" xfId="1084"/>
    <cellStyle name="20% - 강조색4 2 92" xfId="1085"/>
    <cellStyle name="20% - 강조색4 2 93" xfId="1086"/>
    <cellStyle name="20% - 강조색4 2 94" xfId="1087"/>
    <cellStyle name="20% - 강조색4 2 95" xfId="1088"/>
    <cellStyle name="20% - 강조색4 2 96" xfId="1089"/>
    <cellStyle name="20% - 강조색4 2 97" xfId="1090"/>
    <cellStyle name="20% - 강조색4 2 98" xfId="1091"/>
    <cellStyle name="20% - 강조색4 2 99" xfId="1092"/>
    <cellStyle name="20% - 강조색4 20" xfId="15386"/>
    <cellStyle name="20% - 강조색4 21" xfId="15387"/>
    <cellStyle name="20% - 강조색4 22" xfId="15388"/>
    <cellStyle name="20% - 강조색4 23" xfId="15389"/>
    <cellStyle name="20% - 강조색4 24" xfId="15390"/>
    <cellStyle name="20% - 강조색4 25" xfId="15391"/>
    <cellStyle name="20% - 강조색4 26" xfId="15392"/>
    <cellStyle name="20% - 강조색4 27" xfId="15393"/>
    <cellStyle name="20% - 강조색4 28" xfId="15394"/>
    <cellStyle name="20% - 강조색4 29" xfId="15395"/>
    <cellStyle name="20% - 강조색4 3" xfId="1093"/>
    <cellStyle name="20% - 강조색4 3 2" xfId="15396"/>
    <cellStyle name="20% - 강조색4 3 3" xfId="15397"/>
    <cellStyle name="20% - 강조색4 3 4" xfId="15398"/>
    <cellStyle name="20% - 강조색4 30" xfId="15399"/>
    <cellStyle name="20% - 강조색4 31" xfId="15400"/>
    <cellStyle name="20% - 강조색4 32" xfId="15401"/>
    <cellStyle name="20% - 강조색4 4" xfId="15402"/>
    <cellStyle name="20% - 강조색4 4 2" xfId="15403"/>
    <cellStyle name="20% - 강조색4 4 3" xfId="15404"/>
    <cellStyle name="20% - 강조색4 5" xfId="15405"/>
    <cellStyle name="20% - 강조색4 6" xfId="15406"/>
    <cellStyle name="20% - 강조색4 7" xfId="15407"/>
    <cellStyle name="20% - 강조색4 8" xfId="15408"/>
    <cellStyle name="20% - 강조색4 9" xfId="15409"/>
    <cellStyle name="20% - 강조색5 10" xfId="15410"/>
    <cellStyle name="20% - 강조색5 11" xfId="15411"/>
    <cellStyle name="20% - 강조색5 12" xfId="15412"/>
    <cellStyle name="20% - 강조색5 13" xfId="15413"/>
    <cellStyle name="20% - 강조색5 14" xfId="15414"/>
    <cellStyle name="20% - 강조색5 15" xfId="15415"/>
    <cellStyle name="20% - 강조색5 16" xfId="15416"/>
    <cellStyle name="20% - 강조색5 17" xfId="15417"/>
    <cellStyle name="20% - 강조색5 18" xfId="15418"/>
    <cellStyle name="20% - 강조색5 19" xfId="15419"/>
    <cellStyle name="20% - 강조색5 2" xfId="1094"/>
    <cellStyle name="20% - 강조색5 2 10" xfId="1095"/>
    <cellStyle name="20% - 강조색5 2 100" xfId="1096"/>
    <cellStyle name="20% - 강조색5 2 101" xfId="1097"/>
    <cellStyle name="20% - 강조색5 2 102" xfId="1098"/>
    <cellStyle name="20% - 강조색5 2 103" xfId="1099"/>
    <cellStyle name="20% - 강조색5 2 104" xfId="1100"/>
    <cellStyle name="20% - 강조색5 2 105" xfId="1101"/>
    <cellStyle name="20% - 강조색5 2 106" xfId="1102"/>
    <cellStyle name="20% - 강조색5 2 107" xfId="1103"/>
    <cellStyle name="20% - 강조색5 2 108" xfId="1104"/>
    <cellStyle name="20% - 강조색5 2 109" xfId="1105"/>
    <cellStyle name="20% - 강조색5 2 11" xfId="1106"/>
    <cellStyle name="20% - 강조색5 2 110" xfId="1107"/>
    <cellStyle name="20% - 강조색5 2 111" xfId="1108"/>
    <cellStyle name="20% - 강조색5 2 112" xfId="1109"/>
    <cellStyle name="20% - 강조색5 2 113" xfId="1110"/>
    <cellStyle name="20% - 강조색5 2 114" xfId="1111"/>
    <cellStyle name="20% - 강조색5 2 115" xfId="1112"/>
    <cellStyle name="20% - 강조색5 2 116" xfId="1113"/>
    <cellStyle name="20% - 강조색5 2 117" xfId="1114"/>
    <cellStyle name="20% - 강조색5 2 118" xfId="1115"/>
    <cellStyle name="20% - 강조색5 2 119" xfId="1116"/>
    <cellStyle name="20% - 강조색5 2 12" xfId="1117"/>
    <cellStyle name="20% - 강조색5 2 120" xfId="1118"/>
    <cellStyle name="20% - 강조색5 2 121" xfId="1119"/>
    <cellStyle name="20% - 강조색5 2 122" xfId="1120"/>
    <cellStyle name="20% - 강조색5 2 123" xfId="1121"/>
    <cellStyle name="20% - 강조색5 2 124" xfId="1122"/>
    <cellStyle name="20% - 강조색5 2 125" xfId="1123"/>
    <cellStyle name="20% - 강조색5 2 126" xfId="1124"/>
    <cellStyle name="20% - 강조색5 2 127" xfId="1125"/>
    <cellStyle name="20% - 강조색5 2 128" xfId="1126"/>
    <cellStyle name="20% - 강조색5 2 129" xfId="1127"/>
    <cellStyle name="20% - 강조색5 2 13" xfId="1128"/>
    <cellStyle name="20% - 강조색5 2 130" xfId="1129"/>
    <cellStyle name="20% - 강조색5 2 131" xfId="1130"/>
    <cellStyle name="20% - 강조색5 2 132" xfId="1131"/>
    <cellStyle name="20% - 강조색5 2 133" xfId="1132"/>
    <cellStyle name="20% - 강조색5 2 134" xfId="1133"/>
    <cellStyle name="20% - 강조색5 2 135" xfId="1134"/>
    <cellStyle name="20% - 강조색5 2 136" xfId="1135"/>
    <cellStyle name="20% - 강조색5 2 137" xfId="1136"/>
    <cellStyle name="20% - 강조색5 2 138" xfId="1137"/>
    <cellStyle name="20% - 강조색5 2 139" xfId="1138"/>
    <cellStyle name="20% - 강조색5 2 14" xfId="1139"/>
    <cellStyle name="20% - 강조색5 2 140" xfId="1140"/>
    <cellStyle name="20% - 강조색5 2 141" xfId="1141"/>
    <cellStyle name="20% - 강조색5 2 142" xfId="1142"/>
    <cellStyle name="20% - 강조색5 2 143" xfId="1143"/>
    <cellStyle name="20% - 강조색5 2 144" xfId="1144"/>
    <cellStyle name="20% - 강조색5 2 145" xfId="1145"/>
    <cellStyle name="20% - 강조색5 2 146" xfId="1146"/>
    <cellStyle name="20% - 강조색5 2 147" xfId="1147"/>
    <cellStyle name="20% - 강조색5 2 148" xfId="1148"/>
    <cellStyle name="20% - 강조색5 2 149" xfId="1149"/>
    <cellStyle name="20% - 강조색5 2 15" xfId="1150"/>
    <cellStyle name="20% - 강조색5 2 150" xfId="1151"/>
    <cellStyle name="20% - 강조색5 2 151" xfId="1152"/>
    <cellStyle name="20% - 강조색5 2 152" xfId="1153"/>
    <cellStyle name="20% - 강조색5 2 153" xfId="1154"/>
    <cellStyle name="20% - 강조색5 2 154" xfId="1155"/>
    <cellStyle name="20% - 강조색5 2 155" xfId="1156"/>
    <cellStyle name="20% - 강조색5 2 156" xfId="1157"/>
    <cellStyle name="20% - 강조색5 2 157" xfId="1158"/>
    <cellStyle name="20% - 강조색5 2 158" xfId="1159"/>
    <cellStyle name="20% - 강조색5 2 159" xfId="1160"/>
    <cellStyle name="20% - 강조색5 2 16" xfId="1161"/>
    <cellStyle name="20% - 강조색5 2 160" xfId="1162"/>
    <cellStyle name="20% - 강조색5 2 161" xfId="1163"/>
    <cellStyle name="20% - 강조색5 2 162" xfId="1164"/>
    <cellStyle name="20% - 강조색5 2 163" xfId="1165"/>
    <cellStyle name="20% - 강조색5 2 164" xfId="1166"/>
    <cellStyle name="20% - 강조색5 2 165" xfId="1167"/>
    <cellStyle name="20% - 강조색5 2 166" xfId="1168"/>
    <cellStyle name="20% - 강조색5 2 167" xfId="1169"/>
    <cellStyle name="20% - 강조색5 2 168" xfId="1170"/>
    <cellStyle name="20% - 강조색5 2 169" xfId="1171"/>
    <cellStyle name="20% - 강조색5 2 17" xfId="1172"/>
    <cellStyle name="20% - 강조색5 2 170" xfId="1173"/>
    <cellStyle name="20% - 강조색5 2 171" xfId="1174"/>
    <cellStyle name="20% - 강조색5 2 172" xfId="1175"/>
    <cellStyle name="20% - 강조색5 2 173" xfId="1176"/>
    <cellStyle name="20% - 강조색5 2 174" xfId="1177"/>
    <cellStyle name="20% - 강조색5 2 175" xfId="1178"/>
    <cellStyle name="20% - 강조색5 2 176" xfId="1179"/>
    <cellStyle name="20% - 강조색5 2 177" xfId="1180"/>
    <cellStyle name="20% - 강조색5 2 178" xfId="1181"/>
    <cellStyle name="20% - 강조색5 2 179" xfId="1182"/>
    <cellStyle name="20% - 강조색5 2 18" xfId="1183"/>
    <cellStyle name="20% - 강조색5 2 180" xfId="1184"/>
    <cellStyle name="20% - 강조색5 2 181" xfId="1185"/>
    <cellStyle name="20% - 강조색5 2 182" xfId="1186"/>
    <cellStyle name="20% - 강조색5 2 183" xfId="1187"/>
    <cellStyle name="20% - 강조색5 2 184" xfId="1188"/>
    <cellStyle name="20% - 강조색5 2 185" xfId="1189"/>
    <cellStyle name="20% - 강조색5 2 186" xfId="1190"/>
    <cellStyle name="20% - 강조색5 2 187" xfId="1191"/>
    <cellStyle name="20% - 강조색5 2 188" xfId="1192"/>
    <cellStyle name="20% - 강조색5 2 189" xfId="1193"/>
    <cellStyle name="20% - 강조색5 2 19" xfId="1194"/>
    <cellStyle name="20% - 강조색5 2 190" xfId="1195"/>
    <cellStyle name="20% - 강조색5 2 191" xfId="1196"/>
    <cellStyle name="20% - 강조색5 2 192" xfId="1197"/>
    <cellStyle name="20% - 강조색5 2 193" xfId="1198"/>
    <cellStyle name="20% - 강조색5 2 194" xfId="1199"/>
    <cellStyle name="20% - 강조색5 2 195" xfId="1200"/>
    <cellStyle name="20% - 강조색5 2 196" xfId="1201"/>
    <cellStyle name="20% - 강조색5 2 197" xfId="1202"/>
    <cellStyle name="20% - 강조색5 2 198" xfId="1203"/>
    <cellStyle name="20% - 강조색5 2 199" xfId="1204"/>
    <cellStyle name="20% - 강조색5 2 2" xfId="1205"/>
    <cellStyle name="20% - 강조색5 2 20" xfId="1206"/>
    <cellStyle name="20% - 강조색5 2 200" xfId="1207"/>
    <cellStyle name="20% - 강조색5 2 201" xfId="1208"/>
    <cellStyle name="20% - 강조색5 2 202" xfId="1209"/>
    <cellStyle name="20% - 강조색5 2 203" xfId="1210"/>
    <cellStyle name="20% - 강조색5 2 204" xfId="1211"/>
    <cellStyle name="20% - 강조색5 2 205" xfId="1212"/>
    <cellStyle name="20% - 강조색5 2 206" xfId="1213"/>
    <cellStyle name="20% - 강조색5 2 207" xfId="1214"/>
    <cellStyle name="20% - 강조색5 2 208" xfId="1215"/>
    <cellStyle name="20% - 강조색5 2 209" xfId="1216"/>
    <cellStyle name="20% - 강조색5 2 21" xfId="1217"/>
    <cellStyle name="20% - 강조색5 2 210" xfId="1218"/>
    <cellStyle name="20% - 강조색5 2 211" xfId="1219"/>
    <cellStyle name="20% - 강조색5 2 212" xfId="1220"/>
    <cellStyle name="20% - 강조색5 2 213" xfId="1221"/>
    <cellStyle name="20% - 강조색5 2 214" xfId="1222"/>
    <cellStyle name="20% - 강조색5 2 215" xfId="1223"/>
    <cellStyle name="20% - 강조색5 2 216" xfId="1224"/>
    <cellStyle name="20% - 강조색5 2 217" xfId="1225"/>
    <cellStyle name="20% - 강조색5 2 218" xfId="1226"/>
    <cellStyle name="20% - 강조색5 2 219" xfId="1227"/>
    <cellStyle name="20% - 강조색5 2 22" xfId="1228"/>
    <cellStyle name="20% - 강조색5 2 220" xfId="1229"/>
    <cellStyle name="20% - 강조색5 2 221" xfId="1230"/>
    <cellStyle name="20% - 강조색5 2 222" xfId="1231"/>
    <cellStyle name="20% - 강조색5 2 223" xfId="1232"/>
    <cellStyle name="20% - 강조색5 2 224" xfId="1233"/>
    <cellStyle name="20% - 강조색5 2 225" xfId="1234"/>
    <cellStyle name="20% - 강조색5 2 226" xfId="1235"/>
    <cellStyle name="20% - 강조색5 2 227" xfId="1236"/>
    <cellStyle name="20% - 강조색5 2 228" xfId="1237"/>
    <cellStyle name="20% - 강조색5 2 229" xfId="1238"/>
    <cellStyle name="20% - 강조색5 2 23" xfId="1239"/>
    <cellStyle name="20% - 강조색5 2 230" xfId="1240"/>
    <cellStyle name="20% - 강조색5 2 231" xfId="1241"/>
    <cellStyle name="20% - 강조색5 2 232" xfId="1242"/>
    <cellStyle name="20% - 강조색5 2 233" xfId="1243"/>
    <cellStyle name="20% - 강조색5 2 234" xfId="1244"/>
    <cellStyle name="20% - 강조색5 2 235" xfId="1245"/>
    <cellStyle name="20% - 강조색5 2 236" xfId="1246"/>
    <cellStyle name="20% - 강조색5 2 237" xfId="1247"/>
    <cellStyle name="20% - 강조색5 2 238" xfId="1248"/>
    <cellStyle name="20% - 강조색5 2 239" xfId="1249"/>
    <cellStyle name="20% - 강조색5 2 24" xfId="1250"/>
    <cellStyle name="20% - 강조색5 2 240" xfId="1251"/>
    <cellStyle name="20% - 강조색5 2 241" xfId="1252"/>
    <cellStyle name="20% - 강조색5 2 242" xfId="1253"/>
    <cellStyle name="20% - 강조색5 2 25" xfId="1254"/>
    <cellStyle name="20% - 강조색5 2 26" xfId="1255"/>
    <cellStyle name="20% - 강조색5 2 27" xfId="1256"/>
    <cellStyle name="20% - 강조색5 2 28" xfId="1257"/>
    <cellStyle name="20% - 강조색5 2 29" xfId="1258"/>
    <cellStyle name="20% - 강조색5 2 3" xfId="1259"/>
    <cellStyle name="20% - 강조색5 2 30" xfId="1260"/>
    <cellStyle name="20% - 강조색5 2 31" xfId="1261"/>
    <cellStyle name="20% - 강조색5 2 32" xfId="1262"/>
    <cellStyle name="20% - 강조색5 2 33" xfId="1263"/>
    <cellStyle name="20% - 강조색5 2 34" xfId="1264"/>
    <cellStyle name="20% - 강조색5 2 35" xfId="1265"/>
    <cellStyle name="20% - 강조색5 2 36" xfId="1266"/>
    <cellStyle name="20% - 강조색5 2 37" xfId="1267"/>
    <cellStyle name="20% - 강조색5 2 38" xfId="1268"/>
    <cellStyle name="20% - 강조색5 2 39" xfId="1269"/>
    <cellStyle name="20% - 강조색5 2 4" xfId="1270"/>
    <cellStyle name="20% - 강조색5 2 40" xfId="1271"/>
    <cellStyle name="20% - 강조색5 2 41" xfId="1272"/>
    <cellStyle name="20% - 강조색5 2 42" xfId="1273"/>
    <cellStyle name="20% - 강조색5 2 43" xfId="1274"/>
    <cellStyle name="20% - 강조색5 2 44" xfId="1275"/>
    <cellStyle name="20% - 강조색5 2 45" xfId="1276"/>
    <cellStyle name="20% - 강조색5 2 46" xfId="1277"/>
    <cellStyle name="20% - 강조색5 2 47" xfId="1278"/>
    <cellStyle name="20% - 강조색5 2 48" xfId="1279"/>
    <cellStyle name="20% - 강조색5 2 49" xfId="1280"/>
    <cellStyle name="20% - 강조색5 2 5" xfId="1281"/>
    <cellStyle name="20% - 강조색5 2 50" xfId="1282"/>
    <cellStyle name="20% - 강조색5 2 51" xfId="1283"/>
    <cellStyle name="20% - 강조색5 2 52" xfId="1284"/>
    <cellStyle name="20% - 강조색5 2 53" xfId="1285"/>
    <cellStyle name="20% - 강조색5 2 54" xfId="1286"/>
    <cellStyle name="20% - 강조색5 2 55" xfId="1287"/>
    <cellStyle name="20% - 강조색5 2 56" xfId="1288"/>
    <cellStyle name="20% - 강조색5 2 57" xfId="1289"/>
    <cellStyle name="20% - 강조색5 2 58" xfId="1290"/>
    <cellStyle name="20% - 강조색5 2 59" xfId="1291"/>
    <cellStyle name="20% - 강조색5 2 6" xfId="1292"/>
    <cellStyle name="20% - 강조색5 2 60" xfId="1293"/>
    <cellStyle name="20% - 강조색5 2 61" xfId="1294"/>
    <cellStyle name="20% - 강조색5 2 62" xfId="1295"/>
    <cellStyle name="20% - 강조색5 2 63" xfId="1296"/>
    <cellStyle name="20% - 강조색5 2 64" xfId="1297"/>
    <cellStyle name="20% - 강조색5 2 65" xfId="1298"/>
    <cellStyle name="20% - 강조색5 2 66" xfId="1299"/>
    <cellStyle name="20% - 강조색5 2 67" xfId="1300"/>
    <cellStyle name="20% - 강조색5 2 68" xfId="1301"/>
    <cellStyle name="20% - 강조색5 2 69" xfId="1302"/>
    <cellStyle name="20% - 강조색5 2 7" xfId="1303"/>
    <cellStyle name="20% - 강조색5 2 70" xfId="1304"/>
    <cellStyle name="20% - 강조색5 2 71" xfId="1305"/>
    <cellStyle name="20% - 강조색5 2 72" xfId="1306"/>
    <cellStyle name="20% - 강조색5 2 73" xfId="1307"/>
    <cellStyle name="20% - 강조색5 2 74" xfId="1308"/>
    <cellStyle name="20% - 강조색5 2 75" xfId="1309"/>
    <cellStyle name="20% - 강조색5 2 76" xfId="1310"/>
    <cellStyle name="20% - 강조색5 2 77" xfId="1311"/>
    <cellStyle name="20% - 강조색5 2 78" xfId="1312"/>
    <cellStyle name="20% - 강조색5 2 79" xfId="1313"/>
    <cellStyle name="20% - 강조색5 2 8" xfId="1314"/>
    <cellStyle name="20% - 강조색5 2 80" xfId="1315"/>
    <cellStyle name="20% - 강조색5 2 81" xfId="1316"/>
    <cellStyle name="20% - 강조색5 2 82" xfId="1317"/>
    <cellStyle name="20% - 강조색5 2 83" xfId="1318"/>
    <cellStyle name="20% - 강조색5 2 84" xfId="1319"/>
    <cellStyle name="20% - 강조색5 2 85" xfId="1320"/>
    <cellStyle name="20% - 강조색5 2 86" xfId="1321"/>
    <cellStyle name="20% - 강조색5 2 87" xfId="1322"/>
    <cellStyle name="20% - 강조색5 2 88" xfId="1323"/>
    <cellStyle name="20% - 강조색5 2 89" xfId="1324"/>
    <cellStyle name="20% - 강조색5 2 9" xfId="1325"/>
    <cellStyle name="20% - 강조색5 2 90" xfId="1326"/>
    <cellStyle name="20% - 강조색5 2 91" xfId="1327"/>
    <cellStyle name="20% - 강조색5 2 92" xfId="1328"/>
    <cellStyle name="20% - 강조색5 2 93" xfId="1329"/>
    <cellStyle name="20% - 강조색5 2 94" xfId="1330"/>
    <cellStyle name="20% - 강조색5 2 95" xfId="1331"/>
    <cellStyle name="20% - 강조색5 2 96" xfId="1332"/>
    <cellStyle name="20% - 강조색5 2 97" xfId="1333"/>
    <cellStyle name="20% - 강조색5 2 98" xfId="1334"/>
    <cellStyle name="20% - 강조색5 2 99" xfId="1335"/>
    <cellStyle name="20% - 강조색5 20" xfId="15420"/>
    <cellStyle name="20% - 강조색5 21" xfId="15421"/>
    <cellStyle name="20% - 강조색5 22" xfId="15422"/>
    <cellStyle name="20% - 강조색5 23" xfId="15423"/>
    <cellStyle name="20% - 강조색5 24" xfId="15424"/>
    <cellStyle name="20% - 강조색5 25" xfId="15425"/>
    <cellStyle name="20% - 강조색5 26" xfId="15426"/>
    <cellStyle name="20% - 강조색5 27" xfId="15427"/>
    <cellStyle name="20% - 강조색5 28" xfId="15428"/>
    <cellStyle name="20% - 강조색5 29" xfId="15429"/>
    <cellStyle name="20% - 강조색5 3" xfId="1336"/>
    <cellStyle name="20% - 강조색5 3 2" xfId="15430"/>
    <cellStyle name="20% - 강조색5 3 3" xfId="15431"/>
    <cellStyle name="20% - 강조색5 30" xfId="15432"/>
    <cellStyle name="20% - 강조색5 31" xfId="15433"/>
    <cellStyle name="20% - 강조색5 32" xfId="15434"/>
    <cellStyle name="20% - 강조색5 4" xfId="15435"/>
    <cellStyle name="20% - 강조색5 4 2" xfId="15436"/>
    <cellStyle name="20% - 강조색5 4 3" xfId="15437"/>
    <cellStyle name="20% - 강조색5 5" xfId="15438"/>
    <cellStyle name="20% - 강조색5 6" xfId="15439"/>
    <cellStyle name="20% - 강조색5 7" xfId="15440"/>
    <cellStyle name="20% - 강조색5 8" xfId="15441"/>
    <cellStyle name="20% - 강조색5 9" xfId="15442"/>
    <cellStyle name="20% - 강조색6 10" xfId="15443"/>
    <cellStyle name="20% - 강조색6 11" xfId="15444"/>
    <cellStyle name="20% - 강조색6 12" xfId="15445"/>
    <cellStyle name="20% - 강조색6 13" xfId="15446"/>
    <cellStyle name="20% - 강조색6 14" xfId="15447"/>
    <cellStyle name="20% - 강조색6 15" xfId="15448"/>
    <cellStyle name="20% - 강조색6 16" xfId="15449"/>
    <cellStyle name="20% - 강조색6 17" xfId="15450"/>
    <cellStyle name="20% - 강조색6 18" xfId="15451"/>
    <cellStyle name="20% - 강조색6 19" xfId="15452"/>
    <cellStyle name="20% - 강조색6 2" xfId="1337"/>
    <cellStyle name="20% - 강조색6 2 10" xfId="1338"/>
    <cellStyle name="20% - 강조색6 2 100" xfId="1339"/>
    <cellStyle name="20% - 강조색6 2 101" xfId="1340"/>
    <cellStyle name="20% - 강조색6 2 102" xfId="1341"/>
    <cellStyle name="20% - 강조색6 2 103" xfId="1342"/>
    <cellStyle name="20% - 강조색6 2 104" xfId="1343"/>
    <cellStyle name="20% - 강조색6 2 105" xfId="1344"/>
    <cellStyle name="20% - 강조색6 2 106" xfId="1345"/>
    <cellStyle name="20% - 강조색6 2 107" xfId="1346"/>
    <cellStyle name="20% - 강조색6 2 108" xfId="1347"/>
    <cellStyle name="20% - 강조색6 2 109" xfId="1348"/>
    <cellStyle name="20% - 강조색6 2 11" xfId="1349"/>
    <cellStyle name="20% - 강조색6 2 110" xfId="1350"/>
    <cellStyle name="20% - 강조색6 2 111" xfId="1351"/>
    <cellStyle name="20% - 강조색6 2 112" xfId="1352"/>
    <cellStyle name="20% - 강조색6 2 113" xfId="1353"/>
    <cellStyle name="20% - 강조색6 2 114" xfId="1354"/>
    <cellStyle name="20% - 강조색6 2 115" xfId="1355"/>
    <cellStyle name="20% - 강조색6 2 116" xfId="1356"/>
    <cellStyle name="20% - 강조색6 2 117" xfId="1357"/>
    <cellStyle name="20% - 강조색6 2 118" xfId="1358"/>
    <cellStyle name="20% - 강조색6 2 119" xfId="1359"/>
    <cellStyle name="20% - 강조색6 2 12" xfId="1360"/>
    <cellStyle name="20% - 강조색6 2 120" xfId="1361"/>
    <cellStyle name="20% - 강조색6 2 121" xfId="1362"/>
    <cellStyle name="20% - 강조색6 2 122" xfId="1363"/>
    <cellStyle name="20% - 강조색6 2 123" xfId="1364"/>
    <cellStyle name="20% - 강조색6 2 124" xfId="1365"/>
    <cellStyle name="20% - 강조색6 2 125" xfId="1366"/>
    <cellStyle name="20% - 강조색6 2 126" xfId="1367"/>
    <cellStyle name="20% - 강조색6 2 127" xfId="1368"/>
    <cellStyle name="20% - 강조색6 2 128" xfId="1369"/>
    <cellStyle name="20% - 강조색6 2 129" xfId="1370"/>
    <cellStyle name="20% - 강조색6 2 13" xfId="1371"/>
    <cellStyle name="20% - 강조색6 2 130" xfId="1372"/>
    <cellStyle name="20% - 강조색6 2 131" xfId="1373"/>
    <cellStyle name="20% - 강조색6 2 132" xfId="1374"/>
    <cellStyle name="20% - 강조색6 2 133" xfId="1375"/>
    <cellStyle name="20% - 강조색6 2 134" xfId="1376"/>
    <cellStyle name="20% - 강조색6 2 135" xfId="1377"/>
    <cellStyle name="20% - 강조색6 2 136" xfId="1378"/>
    <cellStyle name="20% - 강조색6 2 137" xfId="1379"/>
    <cellStyle name="20% - 강조색6 2 138" xfId="1380"/>
    <cellStyle name="20% - 강조색6 2 139" xfId="1381"/>
    <cellStyle name="20% - 강조색6 2 14" xfId="1382"/>
    <cellStyle name="20% - 강조색6 2 140" xfId="1383"/>
    <cellStyle name="20% - 강조색6 2 141" xfId="1384"/>
    <cellStyle name="20% - 강조색6 2 142" xfId="1385"/>
    <cellStyle name="20% - 강조색6 2 143" xfId="1386"/>
    <cellStyle name="20% - 강조색6 2 144" xfId="1387"/>
    <cellStyle name="20% - 강조색6 2 145" xfId="1388"/>
    <cellStyle name="20% - 강조색6 2 146" xfId="1389"/>
    <cellStyle name="20% - 강조색6 2 147" xfId="1390"/>
    <cellStyle name="20% - 강조색6 2 148" xfId="1391"/>
    <cellStyle name="20% - 강조색6 2 149" xfId="1392"/>
    <cellStyle name="20% - 강조색6 2 15" xfId="1393"/>
    <cellStyle name="20% - 강조색6 2 150" xfId="1394"/>
    <cellStyle name="20% - 강조색6 2 151" xfId="1395"/>
    <cellStyle name="20% - 강조색6 2 152" xfId="1396"/>
    <cellStyle name="20% - 강조색6 2 153" xfId="1397"/>
    <cellStyle name="20% - 강조색6 2 154" xfId="1398"/>
    <cellStyle name="20% - 강조색6 2 155" xfId="1399"/>
    <cellStyle name="20% - 강조색6 2 156" xfId="1400"/>
    <cellStyle name="20% - 강조색6 2 157" xfId="1401"/>
    <cellStyle name="20% - 강조색6 2 158" xfId="1402"/>
    <cellStyle name="20% - 강조색6 2 159" xfId="1403"/>
    <cellStyle name="20% - 강조색6 2 16" xfId="1404"/>
    <cellStyle name="20% - 강조색6 2 160" xfId="1405"/>
    <cellStyle name="20% - 강조색6 2 161" xfId="1406"/>
    <cellStyle name="20% - 강조색6 2 162" xfId="1407"/>
    <cellStyle name="20% - 강조색6 2 163" xfId="1408"/>
    <cellStyle name="20% - 강조색6 2 164" xfId="1409"/>
    <cellStyle name="20% - 강조색6 2 165" xfId="1410"/>
    <cellStyle name="20% - 강조색6 2 166" xfId="1411"/>
    <cellStyle name="20% - 강조색6 2 167" xfId="1412"/>
    <cellStyle name="20% - 강조색6 2 168" xfId="1413"/>
    <cellStyle name="20% - 강조색6 2 169" xfId="1414"/>
    <cellStyle name="20% - 강조색6 2 17" xfId="1415"/>
    <cellStyle name="20% - 강조색6 2 170" xfId="1416"/>
    <cellStyle name="20% - 강조색6 2 171" xfId="1417"/>
    <cellStyle name="20% - 강조색6 2 172" xfId="1418"/>
    <cellStyle name="20% - 강조색6 2 173" xfId="1419"/>
    <cellStyle name="20% - 강조색6 2 174" xfId="1420"/>
    <cellStyle name="20% - 강조색6 2 175" xfId="1421"/>
    <cellStyle name="20% - 강조색6 2 176" xfId="1422"/>
    <cellStyle name="20% - 강조색6 2 177" xfId="1423"/>
    <cellStyle name="20% - 강조색6 2 178" xfId="1424"/>
    <cellStyle name="20% - 강조색6 2 179" xfId="1425"/>
    <cellStyle name="20% - 강조색6 2 18" xfId="1426"/>
    <cellStyle name="20% - 강조색6 2 180" xfId="1427"/>
    <cellStyle name="20% - 강조색6 2 181" xfId="1428"/>
    <cellStyle name="20% - 강조색6 2 182" xfId="1429"/>
    <cellStyle name="20% - 강조색6 2 183" xfId="1430"/>
    <cellStyle name="20% - 강조색6 2 184" xfId="1431"/>
    <cellStyle name="20% - 강조색6 2 185" xfId="1432"/>
    <cellStyle name="20% - 강조색6 2 186" xfId="1433"/>
    <cellStyle name="20% - 강조색6 2 187" xfId="1434"/>
    <cellStyle name="20% - 강조색6 2 188" xfId="1435"/>
    <cellStyle name="20% - 강조색6 2 189" xfId="1436"/>
    <cellStyle name="20% - 강조색6 2 19" xfId="1437"/>
    <cellStyle name="20% - 강조색6 2 190" xfId="1438"/>
    <cellStyle name="20% - 강조색6 2 191" xfId="1439"/>
    <cellStyle name="20% - 강조색6 2 192" xfId="1440"/>
    <cellStyle name="20% - 강조색6 2 193" xfId="1441"/>
    <cellStyle name="20% - 강조색6 2 194" xfId="1442"/>
    <cellStyle name="20% - 강조색6 2 195" xfId="1443"/>
    <cellStyle name="20% - 강조색6 2 196" xfId="1444"/>
    <cellStyle name="20% - 강조색6 2 197" xfId="1445"/>
    <cellStyle name="20% - 강조색6 2 198" xfId="1446"/>
    <cellStyle name="20% - 강조색6 2 199" xfId="1447"/>
    <cellStyle name="20% - 강조색6 2 2" xfId="1448"/>
    <cellStyle name="20% - 강조색6 2 20" xfId="1449"/>
    <cellStyle name="20% - 강조색6 2 200" xfId="1450"/>
    <cellStyle name="20% - 강조색6 2 201" xfId="1451"/>
    <cellStyle name="20% - 강조색6 2 202" xfId="1452"/>
    <cellStyle name="20% - 강조색6 2 203" xfId="1453"/>
    <cellStyle name="20% - 강조색6 2 204" xfId="1454"/>
    <cellStyle name="20% - 강조색6 2 205" xfId="1455"/>
    <cellStyle name="20% - 강조색6 2 206" xfId="1456"/>
    <cellStyle name="20% - 강조색6 2 207" xfId="1457"/>
    <cellStyle name="20% - 강조색6 2 208" xfId="1458"/>
    <cellStyle name="20% - 강조색6 2 209" xfId="1459"/>
    <cellStyle name="20% - 강조색6 2 21" xfId="1460"/>
    <cellStyle name="20% - 강조색6 2 210" xfId="1461"/>
    <cellStyle name="20% - 강조색6 2 211" xfId="1462"/>
    <cellStyle name="20% - 강조색6 2 212" xfId="1463"/>
    <cellStyle name="20% - 강조색6 2 213" xfId="1464"/>
    <cellStyle name="20% - 강조색6 2 214" xfId="1465"/>
    <cellStyle name="20% - 강조색6 2 215" xfId="1466"/>
    <cellStyle name="20% - 강조색6 2 216" xfId="1467"/>
    <cellStyle name="20% - 강조색6 2 217" xfId="1468"/>
    <cellStyle name="20% - 강조색6 2 218" xfId="1469"/>
    <cellStyle name="20% - 강조색6 2 219" xfId="1470"/>
    <cellStyle name="20% - 강조색6 2 22" xfId="1471"/>
    <cellStyle name="20% - 강조색6 2 220" xfId="1472"/>
    <cellStyle name="20% - 강조색6 2 221" xfId="1473"/>
    <cellStyle name="20% - 강조색6 2 222" xfId="1474"/>
    <cellStyle name="20% - 강조색6 2 223" xfId="1475"/>
    <cellStyle name="20% - 강조색6 2 224" xfId="1476"/>
    <cellStyle name="20% - 강조색6 2 225" xfId="1477"/>
    <cellStyle name="20% - 강조색6 2 226" xfId="1478"/>
    <cellStyle name="20% - 강조색6 2 227" xfId="1479"/>
    <cellStyle name="20% - 강조색6 2 228" xfId="1480"/>
    <cellStyle name="20% - 강조색6 2 229" xfId="1481"/>
    <cellStyle name="20% - 강조색6 2 23" xfId="1482"/>
    <cellStyle name="20% - 강조색6 2 230" xfId="1483"/>
    <cellStyle name="20% - 강조색6 2 231" xfId="1484"/>
    <cellStyle name="20% - 강조색6 2 232" xfId="1485"/>
    <cellStyle name="20% - 강조색6 2 233" xfId="1486"/>
    <cellStyle name="20% - 강조색6 2 234" xfId="1487"/>
    <cellStyle name="20% - 강조색6 2 235" xfId="1488"/>
    <cellStyle name="20% - 강조색6 2 236" xfId="1489"/>
    <cellStyle name="20% - 강조색6 2 237" xfId="1490"/>
    <cellStyle name="20% - 강조색6 2 238" xfId="1491"/>
    <cellStyle name="20% - 강조색6 2 239" xfId="1492"/>
    <cellStyle name="20% - 강조색6 2 24" xfId="1493"/>
    <cellStyle name="20% - 강조색6 2 240" xfId="1494"/>
    <cellStyle name="20% - 강조색6 2 241" xfId="1495"/>
    <cellStyle name="20% - 강조색6 2 242" xfId="1496"/>
    <cellStyle name="20% - 강조색6 2 25" xfId="1497"/>
    <cellStyle name="20% - 강조색6 2 26" xfId="1498"/>
    <cellStyle name="20% - 강조색6 2 27" xfId="1499"/>
    <cellStyle name="20% - 강조색6 2 28" xfId="1500"/>
    <cellStyle name="20% - 강조색6 2 29" xfId="1501"/>
    <cellStyle name="20% - 강조색6 2 3" xfId="1502"/>
    <cellStyle name="20% - 강조색6 2 30" xfId="1503"/>
    <cellStyle name="20% - 강조색6 2 31" xfId="1504"/>
    <cellStyle name="20% - 강조색6 2 32" xfId="1505"/>
    <cellStyle name="20% - 강조색6 2 33" xfId="1506"/>
    <cellStyle name="20% - 강조색6 2 34" xfId="1507"/>
    <cellStyle name="20% - 강조색6 2 35" xfId="1508"/>
    <cellStyle name="20% - 강조색6 2 36" xfId="1509"/>
    <cellStyle name="20% - 강조색6 2 37" xfId="1510"/>
    <cellStyle name="20% - 강조색6 2 38" xfId="1511"/>
    <cellStyle name="20% - 강조색6 2 39" xfId="1512"/>
    <cellStyle name="20% - 강조색6 2 4" xfId="1513"/>
    <cellStyle name="20% - 강조색6 2 40" xfId="1514"/>
    <cellStyle name="20% - 강조색6 2 41" xfId="1515"/>
    <cellStyle name="20% - 강조색6 2 42" xfId="1516"/>
    <cellStyle name="20% - 강조색6 2 43" xfId="1517"/>
    <cellStyle name="20% - 강조색6 2 44" xfId="1518"/>
    <cellStyle name="20% - 강조색6 2 45" xfId="1519"/>
    <cellStyle name="20% - 강조색6 2 46" xfId="1520"/>
    <cellStyle name="20% - 강조색6 2 47" xfId="1521"/>
    <cellStyle name="20% - 강조색6 2 48" xfId="1522"/>
    <cellStyle name="20% - 강조색6 2 49" xfId="1523"/>
    <cellStyle name="20% - 강조색6 2 5" xfId="1524"/>
    <cellStyle name="20% - 강조색6 2 50" xfId="1525"/>
    <cellStyle name="20% - 강조색6 2 51" xfId="1526"/>
    <cellStyle name="20% - 강조색6 2 52" xfId="1527"/>
    <cellStyle name="20% - 강조색6 2 53" xfId="1528"/>
    <cellStyle name="20% - 강조색6 2 54" xfId="1529"/>
    <cellStyle name="20% - 강조색6 2 55" xfId="1530"/>
    <cellStyle name="20% - 강조색6 2 56" xfId="1531"/>
    <cellStyle name="20% - 강조색6 2 57" xfId="1532"/>
    <cellStyle name="20% - 강조색6 2 58" xfId="1533"/>
    <cellStyle name="20% - 강조색6 2 59" xfId="1534"/>
    <cellStyle name="20% - 강조색6 2 6" xfId="1535"/>
    <cellStyle name="20% - 강조색6 2 60" xfId="1536"/>
    <cellStyle name="20% - 강조색6 2 61" xfId="1537"/>
    <cellStyle name="20% - 강조색6 2 62" xfId="1538"/>
    <cellStyle name="20% - 강조색6 2 63" xfId="1539"/>
    <cellStyle name="20% - 강조색6 2 64" xfId="1540"/>
    <cellStyle name="20% - 강조색6 2 65" xfId="1541"/>
    <cellStyle name="20% - 강조색6 2 66" xfId="1542"/>
    <cellStyle name="20% - 강조색6 2 67" xfId="1543"/>
    <cellStyle name="20% - 강조색6 2 68" xfId="1544"/>
    <cellStyle name="20% - 강조색6 2 69" xfId="1545"/>
    <cellStyle name="20% - 강조색6 2 7" xfId="1546"/>
    <cellStyle name="20% - 강조색6 2 70" xfId="1547"/>
    <cellStyle name="20% - 강조색6 2 71" xfId="1548"/>
    <cellStyle name="20% - 강조색6 2 72" xfId="1549"/>
    <cellStyle name="20% - 강조색6 2 73" xfId="1550"/>
    <cellStyle name="20% - 강조색6 2 74" xfId="1551"/>
    <cellStyle name="20% - 강조색6 2 75" xfId="1552"/>
    <cellStyle name="20% - 강조색6 2 76" xfId="1553"/>
    <cellStyle name="20% - 강조색6 2 77" xfId="1554"/>
    <cellStyle name="20% - 강조색6 2 78" xfId="1555"/>
    <cellStyle name="20% - 강조색6 2 79" xfId="1556"/>
    <cellStyle name="20% - 강조색6 2 8" xfId="1557"/>
    <cellStyle name="20% - 강조색6 2 80" xfId="1558"/>
    <cellStyle name="20% - 강조색6 2 81" xfId="1559"/>
    <cellStyle name="20% - 강조색6 2 82" xfId="1560"/>
    <cellStyle name="20% - 강조색6 2 83" xfId="1561"/>
    <cellStyle name="20% - 강조색6 2 84" xfId="1562"/>
    <cellStyle name="20% - 강조색6 2 85" xfId="1563"/>
    <cellStyle name="20% - 강조색6 2 86" xfId="1564"/>
    <cellStyle name="20% - 강조색6 2 87" xfId="1565"/>
    <cellStyle name="20% - 강조색6 2 88" xfId="1566"/>
    <cellStyle name="20% - 강조색6 2 89" xfId="1567"/>
    <cellStyle name="20% - 강조색6 2 9" xfId="1568"/>
    <cellStyle name="20% - 강조색6 2 90" xfId="1569"/>
    <cellStyle name="20% - 강조색6 2 91" xfId="1570"/>
    <cellStyle name="20% - 강조색6 2 92" xfId="1571"/>
    <cellStyle name="20% - 강조색6 2 93" xfId="1572"/>
    <cellStyle name="20% - 강조색6 2 94" xfId="1573"/>
    <cellStyle name="20% - 강조색6 2 95" xfId="1574"/>
    <cellStyle name="20% - 강조색6 2 96" xfId="1575"/>
    <cellStyle name="20% - 강조색6 2 97" xfId="1576"/>
    <cellStyle name="20% - 강조색6 2 98" xfId="1577"/>
    <cellStyle name="20% - 강조색6 2 99" xfId="1578"/>
    <cellStyle name="20% - 강조색6 20" xfId="15453"/>
    <cellStyle name="20% - 강조색6 21" xfId="15454"/>
    <cellStyle name="20% - 강조색6 22" xfId="15455"/>
    <cellStyle name="20% - 강조색6 23" xfId="15456"/>
    <cellStyle name="20% - 강조색6 24" xfId="15457"/>
    <cellStyle name="20% - 강조색6 25" xfId="15458"/>
    <cellStyle name="20% - 강조색6 26" xfId="15459"/>
    <cellStyle name="20% - 강조색6 27" xfId="15460"/>
    <cellStyle name="20% - 강조색6 28" xfId="15461"/>
    <cellStyle name="20% - 강조색6 29" xfId="15462"/>
    <cellStyle name="20% - 강조색6 3" xfId="1579"/>
    <cellStyle name="20% - 강조색6 3 2" xfId="15463"/>
    <cellStyle name="20% - 강조색6 3 3" xfId="15464"/>
    <cellStyle name="20% - 강조색6 30" xfId="15465"/>
    <cellStyle name="20% - 강조색6 31" xfId="15466"/>
    <cellStyle name="20% - 강조색6 32" xfId="15467"/>
    <cellStyle name="20% - 강조색6 4" xfId="15468"/>
    <cellStyle name="20% - 강조색6 4 2" xfId="15469"/>
    <cellStyle name="20% - 강조색6 4 3" xfId="15470"/>
    <cellStyle name="20% - 강조색6 5" xfId="15471"/>
    <cellStyle name="20% - 강조색6 6" xfId="15472"/>
    <cellStyle name="20% - 강조색6 7" xfId="15473"/>
    <cellStyle name="20% - 강조색6 8" xfId="15474"/>
    <cellStyle name="20% - 강조색6 9" xfId="15475"/>
    <cellStyle name="³£¹æ_8price1" xfId="1580"/>
    <cellStyle name="³¬¼¶Á´½Ó" xfId="1581"/>
    <cellStyle name="40% - Accent1" xfId="1582"/>
    <cellStyle name="40% - Accent1 2" xfId="15476"/>
    <cellStyle name="40% - Accent1 3" xfId="15477"/>
    <cellStyle name="40% - Accent2" xfId="1583"/>
    <cellStyle name="40% - Accent2 2" xfId="15478"/>
    <cellStyle name="40% - Accent2 3" xfId="15479"/>
    <cellStyle name="40% - Accent3" xfId="1584"/>
    <cellStyle name="40% - Accent3 2" xfId="15480"/>
    <cellStyle name="40% - Accent3 3" xfId="15481"/>
    <cellStyle name="40% - Accent4" xfId="1585"/>
    <cellStyle name="40% - Accent4 2" xfId="15482"/>
    <cellStyle name="40% - Accent4 3" xfId="15483"/>
    <cellStyle name="40% - Accent5" xfId="1586"/>
    <cellStyle name="40% - Accent5 2" xfId="15484"/>
    <cellStyle name="40% - Accent5 3" xfId="15485"/>
    <cellStyle name="40% - Accent6" xfId="1587"/>
    <cellStyle name="40% - Accent6 2" xfId="15486"/>
    <cellStyle name="40% - Accent6 3" xfId="15487"/>
    <cellStyle name="40% - akcent 1" xfId="15488"/>
    <cellStyle name="40% - akcent 2" xfId="15489"/>
    <cellStyle name="40% - akcent 3" xfId="15490"/>
    <cellStyle name="40% - akcent 4" xfId="15491"/>
    <cellStyle name="40% - akcent 5" xfId="15492"/>
    <cellStyle name="40% - akcent 6" xfId="15493"/>
    <cellStyle name="40% - Akzent1" xfId="15494"/>
    <cellStyle name="40% - Akzent2" xfId="15495"/>
    <cellStyle name="40% - Akzent3" xfId="15496"/>
    <cellStyle name="40% - Akzent4" xfId="15497"/>
    <cellStyle name="40% - Akzent5" xfId="15498"/>
    <cellStyle name="40% - Akzent6" xfId="15499"/>
    <cellStyle name="40% - 强调文字颜色 1" xfId="1588"/>
    <cellStyle name="40% - 强调文字颜色 2" xfId="1589"/>
    <cellStyle name="40% - 强调文字颜色 3" xfId="1590"/>
    <cellStyle name="40% - 强调文字颜色 4" xfId="1591"/>
    <cellStyle name="40% - 强调文字颜色 5" xfId="1592"/>
    <cellStyle name="40% - 强调文字颜色 6" xfId="1593"/>
    <cellStyle name="40% - 강조색1 10" xfId="15500"/>
    <cellStyle name="40% - 강조색1 11" xfId="15501"/>
    <cellStyle name="40% - 강조색1 12" xfId="15502"/>
    <cellStyle name="40% - 강조색1 13" xfId="15503"/>
    <cellStyle name="40% - 강조색1 14" xfId="15504"/>
    <cellStyle name="40% - 강조색1 15" xfId="15505"/>
    <cellStyle name="40% - 강조색1 16" xfId="15506"/>
    <cellStyle name="40% - 강조색1 17" xfId="15507"/>
    <cellStyle name="40% - 강조색1 18" xfId="15508"/>
    <cellStyle name="40% - 강조색1 19" xfId="15509"/>
    <cellStyle name="40% - 강조색1 2" xfId="1594"/>
    <cellStyle name="40% - 강조색1 2 10" xfId="1595"/>
    <cellStyle name="40% - 강조색1 2 100" xfId="1596"/>
    <cellStyle name="40% - 강조색1 2 101" xfId="1597"/>
    <cellStyle name="40% - 강조색1 2 102" xfId="1598"/>
    <cellStyle name="40% - 강조색1 2 103" xfId="1599"/>
    <cellStyle name="40% - 강조색1 2 104" xfId="1600"/>
    <cellStyle name="40% - 강조색1 2 105" xfId="1601"/>
    <cellStyle name="40% - 강조색1 2 106" xfId="1602"/>
    <cellStyle name="40% - 강조색1 2 107" xfId="1603"/>
    <cellStyle name="40% - 강조색1 2 108" xfId="1604"/>
    <cellStyle name="40% - 강조색1 2 109" xfId="1605"/>
    <cellStyle name="40% - 강조색1 2 11" xfId="1606"/>
    <cellStyle name="40% - 강조색1 2 110" xfId="1607"/>
    <cellStyle name="40% - 강조색1 2 111" xfId="1608"/>
    <cellStyle name="40% - 강조색1 2 112" xfId="1609"/>
    <cellStyle name="40% - 강조색1 2 113" xfId="1610"/>
    <cellStyle name="40% - 강조색1 2 114" xfId="1611"/>
    <cellStyle name="40% - 강조색1 2 115" xfId="1612"/>
    <cellStyle name="40% - 강조색1 2 116" xfId="1613"/>
    <cellStyle name="40% - 강조색1 2 117" xfId="1614"/>
    <cellStyle name="40% - 강조색1 2 118" xfId="1615"/>
    <cellStyle name="40% - 강조색1 2 119" xfId="1616"/>
    <cellStyle name="40% - 강조색1 2 12" xfId="1617"/>
    <cellStyle name="40% - 강조색1 2 120" xfId="1618"/>
    <cellStyle name="40% - 강조색1 2 121" xfId="1619"/>
    <cellStyle name="40% - 강조색1 2 122" xfId="1620"/>
    <cellStyle name="40% - 강조색1 2 123" xfId="1621"/>
    <cellStyle name="40% - 강조색1 2 124" xfId="1622"/>
    <cellStyle name="40% - 강조색1 2 125" xfId="1623"/>
    <cellStyle name="40% - 강조색1 2 126" xfId="1624"/>
    <cellStyle name="40% - 강조색1 2 127" xfId="1625"/>
    <cellStyle name="40% - 강조색1 2 128" xfId="1626"/>
    <cellStyle name="40% - 강조색1 2 129" xfId="1627"/>
    <cellStyle name="40% - 강조색1 2 13" xfId="1628"/>
    <cellStyle name="40% - 강조색1 2 130" xfId="1629"/>
    <cellStyle name="40% - 강조색1 2 131" xfId="1630"/>
    <cellStyle name="40% - 강조색1 2 132" xfId="1631"/>
    <cellStyle name="40% - 강조색1 2 133" xfId="1632"/>
    <cellStyle name="40% - 강조색1 2 134" xfId="1633"/>
    <cellStyle name="40% - 강조색1 2 135" xfId="1634"/>
    <cellStyle name="40% - 강조색1 2 136" xfId="1635"/>
    <cellStyle name="40% - 강조색1 2 137" xfId="1636"/>
    <cellStyle name="40% - 강조색1 2 138" xfId="1637"/>
    <cellStyle name="40% - 강조색1 2 139" xfId="1638"/>
    <cellStyle name="40% - 강조색1 2 14" xfId="1639"/>
    <cellStyle name="40% - 강조색1 2 140" xfId="1640"/>
    <cellStyle name="40% - 강조색1 2 141" xfId="1641"/>
    <cellStyle name="40% - 강조색1 2 142" xfId="1642"/>
    <cellStyle name="40% - 강조색1 2 143" xfId="1643"/>
    <cellStyle name="40% - 강조색1 2 144" xfId="1644"/>
    <cellStyle name="40% - 강조색1 2 145" xfId="1645"/>
    <cellStyle name="40% - 강조색1 2 146" xfId="1646"/>
    <cellStyle name="40% - 강조색1 2 147" xfId="1647"/>
    <cellStyle name="40% - 강조색1 2 148" xfId="1648"/>
    <cellStyle name="40% - 강조색1 2 149" xfId="1649"/>
    <cellStyle name="40% - 강조색1 2 15" xfId="1650"/>
    <cellStyle name="40% - 강조색1 2 150" xfId="1651"/>
    <cellStyle name="40% - 강조색1 2 151" xfId="1652"/>
    <cellStyle name="40% - 강조색1 2 152" xfId="1653"/>
    <cellStyle name="40% - 강조색1 2 153" xfId="1654"/>
    <cellStyle name="40% - 강조색1 2 154" xfId="1655"/>
    <cellStyle name="40% - 강조색1 2 155" xfId="1656"/>
    <cellStyle name="40% - 강조색1 2 156" xfId="1657"/>
    <cellStyle name="40% - 강조색1 2 157" xfId="1658"/>
    <cellStyle name="40% - 강조색1 2 158" xfId="1659"/>
    <cellStyle name="40% - 강조색1 2 159" xfId="1660"/>
    <cellStyle name="40% - 강조색1 2 16" xfId="1661"/>
    <cellStyle name="40% - 강조색1 2 160" xfId="1662"/>
    <cellStyle name="40% - 강조색1 2 161" xfId="1663"/>
    <cellStyle name="40% - 강조색1 2 162" xfId="1664"/>
    <cellStyle name="40% - 강조색1 2 163" xfId="1665"/>
    <cellStyle name="40% - 강조색1 2 164" xfId="1666"/>
    <cellStyle name="40% - 강조색1 2 165" xfId="1667"/>
    <cellStyle name="40% - 강조색1 2 166" xfId="1668"/>
    <cellStyle name="40% - 강조색1 2 167" xfId="1669"/>
    <cellStyle name="40% - 강조색1 2 168" xfId="1670"/>
    <cellStyle name="40% - 강조색1 2 169" xfId="1671"/>
    <cellStyle name="40% - 강조색1 2 17" xfId="1672"/>
    <cellStyle name="40% - 강조색1 2 170" xfId="1673"/>
    <cellStyle name="40% - 강조색1 2 171" xfId="1674"/>
    <cellStyle name="40% - 강조색1 2 172" xfId="1675"/>
    <cellStyle name="40% - 강조색1 2 173" xfId="1676"/>
    <cellStyle name="40% - 강조색1 2 174" xfId="1677"/>
    <cellStyle name="40% - 강조색1 2 175" xfId="1678"/>
    <cellStyle name="40% - 강조색1 2 176" xfId="1679"/>
    <cellStyle name="40% - 강조색1 2 177" xfId="1680"/>
    <cellStyle name="40% - 강조색1 2 178" xfId="1681"/>
    <cellStyle name="40% - 강조색1 2 179" xfId="1682"/>
    <cellStyle name="40% - 강조색1 2 18" xfId="1683"/>
    <cellStyle name="40% - 강조색1 2 180" xfId="1684"/>
    <cellStyle name="40% - 강조색1 2 181" xfId="1685"/>
    <cellStyle name="40% - 강조색1 2 182" xfId="1686"/>
    <cellStyle name="40% - 강조색1 2 183" xfId="1687"/>
    <cellStyle name="40% - 강조색1 2 184" xfId="1688"/>
    <cellStyle name="40% - 강조색1 2 185" xfId="1689"/>
    <cellStyle name="40% - 강조색1 2 186" xfId="1690"/>
    <cellStyle name="40% - 강조색1 2 187" xfId="1691"/>
    <cellStyle name="40% - 강조색1 2 188" xfId="1692"/>
    <cellStyle name="40% - 강조색1 2 189" xfId="1693"/>
    <cellStyle name="40% - 강조색1 2 19" xfId="1694"/>
    <cellStyle name="40% - 강조색1 2 190" xfId="1695"/>
    <cellStyle name="40% - 강조색1 2 191" xfId="1696"/>
    <cellStyle name="40% - 강조색1 2 192" xfId="1697"/>
    <cellStyle name="40% - 강조색1 2 193" xfId="1698"/>
    <cellStyle name="40% - 강조색1 2 194" xfId="1699"/>
    <cellStyle name="40% - 강조색1 2 195" xfId="1700"/>
    <cellStyle name="40% - 강조색1 2 196" xfId="1701"/>
    <cellStyle name="40% - 강조색1 2 197" xfId="1702"/>
    <cellStyle name="40% - 강조색1 2 198" xfId="1703"/>
    <cellStyle name="40% - 강조색1 2 199" xfId="1704"/>
    <cellStyle name="40% - 강조색1 2 2" xfId="1705"/>
    <cellStyle name="40% - 강조색1 2 20" xfId="1706"/>
    <cellStyle name="40% - 강조색1 2 200" xfId="1707"/>
    <cellStyle name="40% - 강조색1 2 201" xfId="1708"/>
    <cellStyle name="40% - 강조색1 2 202" xfId="1709"/>
    <cellStyle name="40% - 강조색1 2 203" xfId="1710"/>
    <cellStyle name="40% - 강조색1 2 204" xfId="1711"/>
    <cellStyle name="40% - 강조색1 2 205" xfId="1712"/>
    <cellStyle name="40% - 강조색1 2 206" xfId="1713"/>
    <cellStyle name="40% - 강조색1 2 207" xfId="1714"/>
    <cellStyle name="40% - 강조색1 2 208" xfId="1715"/>
    <cellStyle name="40% - 강조색1 2 209" xfId="1716"/>
    <cellStyle name="40% - 강조색1 2 21" xfId="1717"/>
    <cellStyle name="40% - 강조색1 2 210" xfId="1718"/>
    <cellStyle name="40% - 강조색1 2 211" xfId="1719"/>
    <cellStyle name="40% - 강조색1 2 212" xfId="1720"/>
    <cellStyle name="40% - 강조색1 2 213" xfId="1721"/>
    <cellStyle name="40% - 강조색1 2 214" xfId="1722"/>
    <cellStyle name="40% - 강조색1 2 215" xfId="1723"/>
    <cellStyle name="40% - 강조색1 2 216" xfId="1724"/>
    <cellStyle name="40% - 강조색1 2 217" xfId="1725"/>
    <cellStyle name="40% - 강조색1 2 218" xfId="1726"/>
    <cellStyle name="40% - 강조색1 2 219" xfId="1727"/>
    <cellStyle name="40% - 강조색1 2 22" xfId="1728"/>
    <cellStyle name="40% - 강조색1 2 220" xfId="1729"/>
    <cellStyle name="40% - 강조색1 2 221" xfId="1730"/>
    <cellStyle name="40% - 강조색1 2 222" xfId="1731"/>
    <cellStyle name="40% - 강조색1 2 223" xfId="1732"/>
    <cellStyle name="40% - 강조색1 2 224" xfId="1733"/>
    <cellStyle name="40% - 강조색1 2 225" xfId="1734"/>
    <cellStyle name="40% - 강조색1 2 226" xfId="1735"/>
    <cellStyle name="40% - 강조색1 2 227" xfId="1736"/>
    <cellStyle name="40% - 강조색1 2 228" xfId="1737"/>
    <cellStyle name="40% - 강조색1 2 229" xfId="1738"/>
    <cellStyle name="40% - 강조색1 2 23" xfId="1739"/>
    <cellStyle name="40% - 강조색1 2 230" xfId="1740"/>
    <cellStyle name="40% - 강조색1 2 231" xfId="1741"/>
    <cellStyle name="40% - 강조색1 2 232" xfId="1742"/>
    <cellStyle name="40% - 강조색1 2 233" xfId="1743"/>
    <cellStyle name="40% - 강조색1 2 234" xfId="1744"/>
    <cellStyle name="40% - 강조색1 2 235" xfId="1745"/>
    <cellStyle name="40% - 강조색1 2 236" xfId="1746"/>
    <cellStyle name="40% - 강조색1 2 237" xfId="1747"/>
    <cellStyle name="40% - 강조색1 2 238" xfId="1748"/>
    <cellStyle name="40% - 강조색1 2 239" xfId="1749"/>
    <cellStyle name="40% - 강조색1 2 24" xfId="1750"/>
    <cellStyle name="40% - 강조색1 2 240" xfId="1751"/>
    <cellStyle name="40% - 강조색1 2 241" xfId="1752"/>
    <cellStyle name="40% - 강조색1 2 242" xfId="1753"/>
    <cellStyle name="40% - 강조색1 2 25" xfId="1754"/>
    <cellStyle name="40% - 강조색1 2 26" xfId="1755"/>
    <cellStyle name="40% - 강조색1 2 27" xfId="1756"/>
    <cellStyle name="40% - 강조색1 2 28" xfId="1757"/>
    <cellStyle name="40% - 강조색1 2 29" xfId="1758"/>
    <cellStyle name="40% - 강조색1 2 3" xfId="1759"/>
    <cellStyle name="40% - 강조색1 2 30" xfId="1760"/>
    <cellStyle name="40% - 강조색1 2 31" xfId="1761"/>
    <cellStyle name="40% - 강조색1 2 32" xfId="1762"/>
    <cellStyle name="40% - 강조색1 2 33" xfId="1763"/>
    <cellStyle name="40% - 강조색1 2 34" xfId="1764"/>
    <cellStyle name="40% - 강조색1 2 35" xfId="1765"/>
    <cellStyle name="40% - 강조색1 2 36" xfId="1766"/>
    <cellStyle name="40% - 강조색1 2 37" xfId="1767"/>
    <cellStyle name="40% - 강조색1 2 38" xfId="1768"/>
    <cellStyle name="40% - 강조색1 2 39" xfId="1769"/>
    <cellStyle name="40% - 강조색1 2 4" xfId="1770"/>
    <cellStyle name="40% - 강조색1 2 40" xfId="1771"/>
    <cellStyle name="40% - 강조색1 2 41" xfId="1772"/>
    <cellStyle name="40% - 강조색1 2 42" xfId="1773"/>
    <cellStyle name="40% - 강조색1 2 43" xfId="1774"/>
    <cellStyle name="40% - 강조색1 2 44" xfId="1775"/>
    <cellStyle name="40% - 강조색1 2 45" xfId="1776"/>
    <cellStyle name="40% - 강조색1 2 46" xfId="1777"/>
    <cellStyle name="40% - 강조색1 2 47" xfId="1778"/>
    <cellStyle name="40% - 강조색1 2 48" xfId="1779"/>
    <cellStyle name="40% - 강조색1 2 49" xfId="1780"/>
    <cellStyle name="40% - 강조색1 2 5" xfId="1781"/>
    <cellStyle name="40% - 강조색1 2 50" xfId="1782"/>
    <cellStyle name="40% - 강조색1 2 51" xfId="1783"/>
    <cellStyle name="40% - 강조색1 2 52" xfId="1784"/>
    <cellStyle name="40% - 강조색1 2 53" xfId="1785"/>
    <cellStyle name="40% - 강조색1 2 54" xfId="1786"/>
    <cellStyle name="40% - 강조색1 2 55" xfId="1787"/>
    <cellStyle name="40% - 강조색1 2 56" xfId="1788"/>
    <cellStyle name="40% - 강조색1 2 57" xfId="1789"/>
    <cellStyle name="40% - 강조색1 2 58" xfId="1790"/>
    <cellStyle name="40% - 강조색1 2 59" xfId="1791"/>
    <cellStyle name="40% - 강조색1 2 6" xfId="1792"/>
    <cellStyle name="40% - 강조색1 2 60" xfId="1793"/>
    <cellStyle name="40% - 강조색1 2 61" xfId="1794"/>
    <cellStyle name="40% - 강조색1 2 62" xfId="1795"/>
    <cellStyle name="40% - 강조색1 2 63" xfId="1796"/>
    <cellStyle name="40% - 강조색1 2 64" xfId="1797"/>
    <cellStyle name="40% - 강조색1 2 65" xfId="1798"/>
    <cellStyle name="40% - 강조색1 2 66" xfId="1799"/>
    <cellStyle name="40% - 강조색1 2 67" xfId="1800"/>
    <cellStyle name="40% - 강조색1 2 68" xfId="1801"/>
    <cellStyle name="40% - 강조색1 2 69" xfId="1802"/>
    <cellStyle name="40% - 강조색1 2 7" xfId="1803"/>
    <cellStyle name="40% - 강조색1 2 70" xfId="1804"/>
    <cellStyle name="40% - 강조색1 2 71" xfId="1805"/>
    <cellStyle name="40% - 강조색1 2 72" xfId="1806"/>
    <cellStyle name="40% - 강조색1 2 73" xfId="1807"/>
    <cellStyle name="40% - 강조색1 2 74" xfId="1808"/>
    <cellStyle name="40% - 강조색1 2 75" xfId="1809"/>
    <cellStyle name="40% - 강조색1 2 76" xfId="1810"/>
    <cellStyle name="40% - 강조색1 2 77" xfId="1811"/>
    <cellStyle name="40% - 강조색1 2 78" xfId="1812"/>
    <cellStyle name="40% - 강조색1 2 79" xfId="1813"/>
    <cellStyle name="40% - 강조색1 2 8" xfId="1814"/>
    <cellStyle name="40% - 강조색1 2 80" xfId="1815"/>
    <cellStyle name="40% - 강조색1 2 81" xfId="1816"/>
    <cellStyle name="40% - 강조색1 2 82" xfId="1817"/>
    <cellStyle name="40% - 강조색1 2 83" xfId="1818"/>
    <cellStyle name="40% - 강조색1 2 84" xfId="1819"/>
    <cellStyle name="40% - 강조색1 2 85" xfId="1820"/>
    <cellStyle name="40% - 강조색1 2 86" xfId="1821"/>
    <cellStyle name="40% - 강조색1 2 87" xfId="1822"/>
    <cellStyle name="40% - 강조색1 2 88" xfId="1823"/>
    <cellStyle name="40% - 강조색1 2 89" xfId="1824"/>
    <cellStyle name="40% - 강조색1 2 9" xfId="1825"/>
    <cellStyle name="40% - 강조색1 2 90" xfId="1826"/>
    <cellStyle name="40% - 강조색1 2 91" xfId="1827"/>
    <cellStyle name="40% - 강조색1 2 92" xfId="1828"/>
    <cellStyle name="40% - 강조색1 2 93" xfId="1829"/>
    <cellStyle name="40% - 강조색1 2 94" xfId="1830"/>
    <cellStyle name="40% - 강조색1 2 95" xfId="1831"/>
    <cellStyle name="40% - 강조색1 2 96" xfId="1832"/>
    <cellStyle name="40% - 강조색1 2 97" xfId="1833"/>
    <cellStyle name="40% - 강조색1 2 98" xfId="1834"/>
    <cellStyle name="40% - 강조색1 2 99" xfId="1835"/>
    <cellStyle name="40% - 강조색1 20" xfId="15510"/>
    <cellStyle name="40% - 강조색1 21" xfId="15511"/>
    <cellStyle name="40% - 강조색1 22" xfId="15512"/>
    <cellStyle name="40% - 강조색1 23" xfId="15513"/>
    <cellStyle name="40% - 강조색1 24" xfId="15514"/>
    <cellStyle name="40% - 강조색1 25" xfId="15515"/>
    <cellStyle name="40% - 강조색1 26" xfId="15516"/>
    <cellStyle name="40% - 강조색1 27" xfId="15517"/>
    <cellStyle name="40% - 강조색1 28" xfId="15518"/>
    <cellStyle name="40% - 강조색1 29" xfId="15519"/>
    <cellStyle name="40% - 강조색1 3" xfId="1836"/>
    <cellStyle name="40% - 강조색1 3 2" xfId="15520"/>
    <cellStyle name="40% - 강조색1 3 3" xfId="15521"/>
    <cellStyle name="40% - 강조색1 3 4" xfId="15522"/>
    <cellStyle name="40% - 강조색1 30" xfId="15523"/>
    <cellStyle name="40% - 강조색1 31" xfId="15524"/>
    <cellStyle name="40% - 강조색1 32" xfId="15525"/>
    <cellStyle name="40% - 강조색1 4" xfId="15526"/>
    <cellStyle name="40% - 강조색1 4 2" xfId="15527"/>
    <cellStyle name="40% - 강조색1 4 3" xfId="15528"/>
    <cellStyle name="40% - 강조색1 5" xfId="15529"/>
    <cellStyle name="40% - 강조색1 6" xfId="15530"/>
    <cellStyle name="40% - 강조색1 7" xfId="15531"/>
    <cellStyle name="40% - 강조색1 8" xfId="15532"/>
    <cellStyle name="40% - 강조색1 9" xfId="15533"/>
    <cellStyle name="40% - 강조색2 10" xfId="15534"/>
    <cellStyle name="40% - 강조색2 11" xfId="15535"/>
    <cellStyle name="40% - 강조색2 12" xfId="15536"/>
    <cellStyle name="40% - 강조색2 13" xfId="15537"/>
    <cellStyle name="40% - 강조색2 14" xfId="15538"/>
    <cellStyle name="40% - 강조색2 15" xfId="15539"/>
    <cellStyle name="40% - 강조색2 16" xfId="15540"/>
    <cellStyle name="40% - 강조색2 17" xfId="15541"/>
    <cellStyle name="40% - 강조색2 18" xfId="15542"/>
    <cellStyle name="40% - 강조색2 19" xfId="15543"/>
    <cellStyle name="40% - 강조색2 2" xfId="1837"/>
    <cellStyle name="40% - 강조색2 2 10" xfId="1838"/>
    <cellStyle name="40% - 강조색2 2 100" xfId="1839"/>
    <cellStyle name="40% - 강조색2 2 101" xfId="1840"/>
    <cellStyle name="40% - 강조색2 2 102" xfId="1841"/>
    <cellStyle name="40% - 강조색2 2 103" xfId="1842"/>
    <cellStyle name="40% - 강조색2 2 104" xfId="1843"/>
    <cellStyle name="40% - 강조색2 2 105" xfId="1844"/>
    <cellStyle name="40% - 강조색2 2 106" xfId="1845"/>
    <cellStyle name="40% - 강조색2 2 107" xfId="1846"/>
    <cellStyle name="40% - 강조색2 2 108" xfId="1847"/>
    <cellStyle name="40% - 강조색2 2 109" xfId="1848"/>
    <cellStyle name="40% - 강조색2 2 11" xfId="1849"/>
    <cellStyle name="40% - 강조색2 2 110" xfId="1850"/>
    <cellStyle name="40% - 강조색2 2 111" xfId="1851"/>
    <cellStyle name="40% - 강조색2 2 112" xfId="1852"/>
    <cellStyle name="40% - 강조색2 2 113" xfId="1853"/>
    <cellStyle name="40% - 강조색2 2 114" xfId="1854"/>
    <cellStyle name="40% - 강조색2 2 115" xfId="1855"/>
    <cellStyle name="40% - 강조색2 2 116" xfId="1856"/>
    <cellStyle name="40% - 강조색2 2 117" xfId="1857"/>
    <cellStyle name="40% - 강조색2 2 118" xfId="1858"/>
    <cellStyle name="40% - 강조색2 2 119" xfId="1859"/>
    <cellStyle name="40% - 강조색2 2 12" xfId="1860"/>
    <cellStyle name="40% - 강조색2 2 120" xfId="1861"/>
    <cellStyle name="40% - 강조색2 2 121" xfId="1862"/>
    <cellStyle name="40% - 강조색2 2 122" xfId="1863"/>
    <cellStyle name="40% - 강조색2 2 123" xfId="1864"/>
    <cellStyle name="40% - 강조색2 2 124" xfId="1865"/>
    <cellStyle name="40% - 강조색2 2 125" xfId="1866"/>
    <cellStyle name="40% - 강조색2 2 126" xfId="1867"/>
    <cellStyle name="40% - 강조색2 2 127" xfId="1868"/>
    <cellStyle name="40% - 강조색2 2 128" xfId="1869"/>
    <cellStyle name="40% - 강조색2 2 129" xfId="1870"/>
    <cellStyle name="40% - 강조색2 2 13" xfId="1871"/>
    <cellStyle name="40% - 강조색2 2 130" xfId="1872"/>
    <cellStyle name="40% - 강조색2 2 131" xfId="1873"/>
    <cellStyle name="40% - 강조색2 2 132" xfId="1874"/>
    <cellStyle name="40% - 강조색2 2 133" xfId="1875"/>
    <cellStyle name="40% - 강조색2 2 134" xfId="1876"/>
    <cellStyle name="40% - 강조색2 2 135" xfId="1877"/>
    <cellStyle name="40% - 강조색2 2 136" xfId="1878"/>
    <cellStyle name="40% - 강조색2 2 137" xfId="1879"/>
    <cellStyle name="40% - 강조색2 2 138" xfId="1880"/>
    <cellStyle name="40% - 강조색2 2 139" xfId="1881"/>
    <cellStyle name="40% - 강조색2 2 14" xfId="1882"/>
    <cellStyle name="40% - 강조색2 2 140" xfId="1883"/>
    <cellStyle name="40% - 강조색2 2 141" xfId="1884"/>
    <cellStyle name="40% - 강조색2 2 142" xfId="1885"/>
    <cellStyle name="40% - 강조색2 2 143" xfId="1886"/>
    <cellStyle name="40% - 강조색2 2 144" xfId="1887"/>
    <cellStyle name="40% - 강조색2 2 145" xfId="1888"/>
    <cellStyle name="40% - 강조색2 2 146" xfId="1889"/>
    <cellStyle name="40% - 강조색2 2 147" xfId="1890"/>
    <cellStyle name="40% - 강조색2 2 148" xfId="1891"/>
    <cellStyle name="40% - 강조색2 2 149" xfId="1892"/>
    <cellStyle name="40% - 강조색2 2 15" xfId="1893"/>
    <cellStyle name="40% - 강조색2 2 150" xfId="1894"/>
    <cellStyle name="40% - 강조색2 2 151" xfId="1895"/>
    <cellStyle name="40% - 강조색2 2 152" xfId="1896"/>
    <cellStyle name="40% - 강조색2 2 153" xfId="1897"/>
    <cellStyle name="40% - 강조색2 2 154" xfId="1898"/>
    <cellStyle name="40% - 강조색2 2 155" xfId="1899"/>
    <cellStyle name="40% - 강조색2 2 156" xfId="1900"/>
    <cellStyle name="40% - 강조색2 2 157" xfId="1901"/>
    <cellStyle name="40% - 강조색2 2 158" xfId="1902"/>
    <cellStyle name="40% - 강조색2 2 159" xfId="1903"/>
    <cellStyle name="40% - 강조색2 2 16" xfId="1904"/>
    <cellStyle name="40% - 강조색2 2 160" xfId="1905"/>
    <cellStyle name="40% - 강조색2 2 161" xfId="1906"/>
    <cellStyle name="40% - 강조색2 2 162" xfId="1907"/>
    <cellStyle name="40% - 강조색2 2 163" xfId="1908"/>
    <cellStyle name="40% - 강조색2 2 164" xfId="1909"/>
    <cellStyle name="40% - 강조색2 2 165" xfId="1910"/>
    <cellStyle name="40% - 강조색2 2 166" xfId="1911"/>
    <cellStyle name="40% - 강조색2 2 167" xfId="1912"/>
    <cellStyle name="40% - 강조색2 2 168" xfId="1913"/>
    <cellStyle name="40% - 강조색2 2 169" xfId="1914"/>
    <cellStyle name="40% - 강조색2 2 17" xfId="1915"/>
    <cellStyle name="40% - 강조색2 2 170" xfId="1916"/>
    <cellStyle name="40% - 강조색2 2 171" xfId="1917"/>
    <cellStyle name="40% - 강조색2 2 172" xfId="1918"/>
    <cellStyle name="40% - 강조색2 2 173" xfId="1919"/>
    <cellStyle name="40% - 강조색2 2 174" xfId="1920"/>
    <cellStyle name="40% - 강조색2 2 175" xfId="1921"/>
    <cellStyle name="40% - 강조색2 2 176" xfId="1922"/>
    <cellStyle name="40% - 강조색2 2 177" xfId="1923"/>
    <cellStyle name="40% - 강조색2 2 178" xfId="1924"/>
    <cellStyle name="40% - 강조색2 2 179" xfId="1925"/>
    <cellStyle name="40% - 강조색2 2 18" xfId="1926"/>
    <cellStyle name="40% - 강조색2 2 180" xfId="1927"/>
    <cellStyle name="40% - 강조색2 2 181" xfId="1928"/>
    <cellStyle name="40% - 강조색2 2 182" xfId="1929"/>
    <cellStyle name="40% - 강조색2 2 183" xfId="1930"/>
    <cellStyle name="40% - 강조색2 2 184" xfId="1931"/>
    <cellStyle name="40% - 강조색2 2 185" xfId="1932"/>
    <cellStyle name="40% - 강조색2 2 186" xfId="1933"/>
    <cellStyle name="40% - 강조색2 2 187" xfId="1934"/>
    <cellStyle name="40% - 강조색2 2 188" xfId="1935"/>
    <cellStyle name="40% - 강조색2 2 189" xfId="1936"/>
    <cellStyle name="40% - 강조색2 2 19" xfId="1937"/>
    <cellStyle name="40% - 강조색2 2 190" xfId="1938"/>
    <cellStyle name="40% - 강조색2 2 191" xfId="1939"/>
    <cellStyle name="40% - 강조색2 2 192" xfId="1940"/>
    <cellStyle name="40% - 강조색2 2 193" xfId="1941"/>
    <cellStyle name="40% - 강조색2 2 194" xfId="1942"/>
    <cellStyle name="40% - 강조색2 2 195" xfId="1943"/>
    <cellStyle name="40% - 강조색2 2 196" xfId="1944"/>
    <cellStyle name="40% - 강조색2 2 197" xfId="1945"/>
    <cellStyle name="40% - 강조색2 2 198" xfId="1946"/>
    <cellStyle name="40% - 강조색2 2 199" xfId="1947"/>
    <cellStyle name="40% - 강조색2 2 2" xfId="1948"/>
    <cellStyle name="40% - 강조색2 2 20" xfId="1949"/>
    <cellStyle name="40% - 강조색2 2 200" xfId="1950"/>
    <cellStyle name="40% - 강조색2 2 201" xfId="1951"/>
    <cellStyle name="40% - 강조색2 2 202" xfId="1952"/>
    <cellStyle name="40% - 강조색2 2 203" xfId="1953"/>
    <cellStyle name="40% - 강조색2 2 204" xfId="1954"/>
    <cellStyle name="40% - 강조색2 2 205" xfId="1955"/>
    <cellStyle name="40% - 강조색2 2 206" xfId="1956"/>
    <cellStyle name="40% - 강조색2 2 207" xfId="1957"/>
    <cellStyle name="40% - 강조색2 2 208" xfId="1958"/>
    <cellStyle name="40% - 강조색2 2 209" xfId="1959"/>
    <cellStyle name="40% - 강조색2 2 21" xfId="1960"/>
    <cellStyle name="40% - 강조색2 2 210" xfId="1961"/>
    <cellStyle name="40% - 강조색2 2 211" xfId="1962"/>
    <cellStyle name="40% - 강조색2 2 212" xfId="1963"/>
    <cellStyle name="40% - 강조색2 2 213" xfId="1964"/>
    <cellStyle name="40% - 강조색2 2 214" xfId="1965"/>
    <cellStyle name="40% - 강조색2 2 215" xfId="1966"/>
    <cellStyle name="40% - 강조색2 2 216" xfId="1967"/>
    <cellStyle name="40% - 강조색2 2 217" xfId="1968"/>
    <cellStyle name="40% - 강조색2 2 218" xfId="1969"/>
    <cellStyle name="40% - 강조색2 2 219" xfId="1970"/>
    <cellStyle name="40% - 강조색2 2 22" xfId="1971"/>
    <cellStyle name="40% - 강조색2 2 220" xfId="1972"/>
    <cellStyle name="40% - 강조색2 2 221" xfId="1973"/>
    <cellStyle name="40% - 강조색2 2 222" xfId="1974"/>
    <cellStyle name="40% - 강조색2 2 223" xfId="1975"/>
    <cellStyle name="40% - 강조색2 2 224" xfId="1976"/>
    <cellStyle name="40% - 강조색2 2 225" xfId="1977"/>
    <cellStyle name="40% - 강조색2 2 226" xfId="1978"/>
    <cellStyle name="40% - 강조색2 2 227" xfId="1979"/>
    <cellStyle name="40% - 강조색2 2 228" xfId="1980"/>
    <cellStyle name="40% - 강조색2 2 229" xfId="1981"/>
    <cellStyle name="40% - 강조색2 2 23" xfId="1982"/>
    <cellStyle name="40% - 강조색2 2 230" xfId="1983"/>
    <cellStyle name="40% - 강조색2 2 231" xfId="1984"/>
    <cellStyle name="40% - 강조색2 2 232" xfId="1985"/>
    <cellStyle name="40% - 강조색2 2 233" xfId="1986"/>
    <cellStyle name="40% - 강조색2 2 234" xfId="1987"/>
    <cellStyle name="40% - 강조색2 2 235" xfId="1988"/>
    <cellStyle name="40% - 강조색2 2 236" xfId="1989"/>
    <cellStyle name="40% - 강조색2 2 237" xfId="1990"/>
    <cellStyle name="40% - 강조색2 2 238" xfId="1991"/>
    <cellStyle name="40% - 강조색2 2 239" xfId="1992"/>
    <cellStyle name="40% - 강조색2 2 24" xfId="1993"/>
    <cellStyle name="40% - 강조색2 2 240" xfId="1994"/>
    <cellStyle name="40% - 강조색2 2 241" xfId="1995"/>
    <cellStyle name="40% - 강조색2 2 242" xfId="1996"/>
    <cellStyle name="40% - 강조색2 2 25" xfId="1997"/>
    <cellStyle name="40% - 강조색2 2 26" xfId="1998"/>
    <cellStyle name="40% - 강조색2 2 27" xfId="1999"/>
    <cellStyle name="40% - 강조색2 2 28" xfId="2000"/>
    <cellStyle name="40% - 강조색2 2 29" xfId="2001"/>
    <cellStyle name="40% - 강조색2 2 3" xfId="2002"/>
    <cellStyle name="40% - 강조색2 2 30" xfId="2003"/>
    <cellStyle name="40% - 강조색2 2 31" xfId="2004"/>
    <cellStyle name="40% - 강조색2 2 32" xfId="2005"/>
    <cellStyle name="40% - 강조색2 2 33" xfId="2006"/>
    <cellStyle name="40% - 강조색2 2 34" xfId="2007"/>
    <cellStyle name="40% - 강조색2 2 35" xfId="2008"/>
    <cellStyle name="40% - 강조색2 2 36" xfId="2009"/>
    <cellStyle name="40% - 강조색2 2 37" xfId="2010"/>
    <cellStyle name="40% - 강조색2 2 38" xfId="2011"/>
    <cellStyle name="40% - 강조색2 2 39" xfId="2012"/>
    <cellStyle name="40% - 강조색2 2 4" xfId="2013"/>
    <cellStyle name="40% - 강조색2 2 40" xfId="2014"/>
    <cellStyle name="40% - 강조색2 2 41" xfId="2015"/>
    <cellStyle name="40% - 강조색2 2 42" xfId="2016"/>
    <cellStyle name="40% - 강조색2 2 43" xfId="2017"/>
    <cellStyle name="40% - 강조색2 2 44" xfId="2018"/>
    <cellStyle name="40% - 강조색2 2 45" xfId="2019"/>
    <cellStyle name="40% - 강조색2 2 46" xfId="2020"/>
    <cellStyle name="40% - 강조색2 2 47" xfId="2021"/>
    <cellStyle name="40% - 강조색2 2 48" xfId="2022"/>
    <cellStyle name="40% - 강조색2 2 49" xfId="2023"/>
    <cellStyle name="40% - 강조색2 2 5" xfId="2024"/>
    <cellStyle name="40% - 강조색2 2 50" xfId="2025"/>
    <cellStyle name="40% - 강조색2 2 51" xfId="2026"/>
    <cellStyle name="40% - 강조색2 2 52" xfId="2027"/>
    <cellStyle name="40% - 강조색2 2 53" xfId="2028"/>
    <cellStyle name="40% - 강조색2 2 54" xfId="2029"/>
    <cellStyle name="40% - 강조색2 2 55" xfId="2030"/>
    <cellStyle name="40% - 강조색2 2 56" xfId="2031"/>
    <cellStyle name="40% - 강조색2 2 57" xfId="2032"/>
    <cellStyle name="40% - 강조색2 2 58" xfId="2033"/>
    <cellStyle name="40% - 강조색2 2 59" xfId="2034"/>
    <cellStyle name="40% - 강조색2 2 6" xfId="2035"/>
    <cellStyle name="40% - 강조색2 2 60" xfId="2036"/>
    <cellStyle name="40% - 강조색2 2 61" xfId="2037"/>
    <cellStyle name="40% - 강조색2 2 62" xfId="2038"/>
    <cellStyle name="40% - 강조색2 2 63" xfId="2039"/>
    <cellStyle name="40% - 강조색2 2 64" xfId="2040"/>
    <cellStyle name="40% - 강조색2 2 65" xfId="2041"/>
    <cellStyle name="40% - 강조색2 2 66" xfId="2042"/>
    <cellStyle name="40% - 강조색2 2 67" xfId="2043"/>
    <cellStyle name="40% - 강조색2 2 68" xfId="2044"/>
    <cellStyle name="40% - 강조색2 2 69" xfId="2045"/>
    <cellStyle name="40% - 강조색2 2 7" xfId="2046"/>
    <cellStyle name="40% - 강조색2 2 70" xfId="2047"/>
    <cellStyle name="40% - 강조색2 2 71" xfId="2048"/>
    <cellStyle name="40% - 강조색2 2 72" xfId="2049"/>
    <cellStyle name="40% - 강조색2 2 73" xfId="2050"/>
    <cellStyle name="40% - 강조색2 2 74" xfId="2051"/>
    <cellStyle name="40% - 강조색2 2 75" xfId="2052"/>
    <cellStyle name="40% - 강조색2 2 76" xfId="2053"/>
    <cellStyle name="40% - 강조색2 2 77" xfId="2054"/>
    <cellStyle name="40% - 강조색2 2 78" xfId="2055"/>
    <cellStyle name="40% - 강조색2 2 79" xfId="2056"/>
    <cellStyle name="40% - 강조색2 2 8" xfId="2057"/>
    <cellStyle name="40% - 강조색2 2 80" xfId="2058"/>
    <cellStyle name="40% - 강조색2 2 81" xfId="2059"/>
    <cellStyle name="40% - 강조색2 2 82" xfId="2060"/>
    <cellStyle name="40% - 강조색2 2 83" xfId="2061"/>
    <cellStyle name="40% - 강조색2 2 84" xfId="2062"/>
    <cellStyle name="40% - 강조색2 2 85" xfId="2063"/>
    <cellStyle name="40% - 강조색2 2 86" xfId="2064"/>
    <cellStyle name="40% - 강조색2 2 87" xfId="2065"/>
    <cellStyle name="40% - 강조색2 2 88" xfId="2066"/>
    <cellStyle name="40% - 강조색2 2 89" xfId="2067"/>
    <cellStyle name="40% - 강조색2 2 9" xfId="2068"/>
    <cellStyle name="40% - 강조색2 2 90" xfId="2069"/>
    <cellStyle name="40% - 강조색2 2 91" xfId="2070"/>
    <cellStyle name="40% - 강조색2 2 92" xfId="2071"/>
    <cellStyle name="40% - 강조색2 2 93" xfId="2072"/>
    <cellStyle name="40% - 강조색2 2 94" xfId="2073"/>
    <cellStyle name="40% - 강조색2 2 95" xfId="2074"/>
    <cellStyle name="40% - 강조색2 2 96" xfId="2075"/>
    <cellStyle name="40% - 강조색2 2 97" xfId="2076"/>
    <cellStyle name="40% - 강조색2 2 98" xfId="2077"/>
    <cellStyle name="40% - 강조색2 2 99" xfId="2078"/>
    <cellStyle name="40% - 강조색2 20" xfId="15544"/>
    <cellStyle name="40% - 강조색2 21" xfId="15545"/>
    <cellStyle name="40% - 강조색2 22" xfId="15546"/>
    <cellStyle name="40% - 강조색2 23" xfId="15547"/>
    <cellStyle name="40% - 강조색2 24" xfId="15548"/>
    <cellStyle name="40% - 강조색2 25" xfId="15549"/>
    <cellStyle name="40% - 강조색2 26" xfId="15550"/>
    <cellStyle name="40% - 강조색2 27" xfId="15551"/>
    <cellStyle name="40% - 강조색2 28" xfId="15552"/>
    <cellStyle name="40% - 강조색2 29" xfId="15553"/>
    <cellStyle name="40% - 강조색2 3" xfId="2079"/>
    <cellStyle name="40% - 강조색2 3 2" xfId="15554"/>
    <cellStyle name="40% - 강조색2 3 3" xfId="15555"/>
    <cellStyle name="40% - 강조색2 30" xfId="15556"/>
    <cellStyle name="40% - 강조색2 31" xfId="15557"/>
    <cellStyle name="40% - 강조색2 32" xfId="15558"/>
    <cellStyle name="40% - 강조색2 4" xfId="15559"/>
    <cellStyle name="40% - 강조색2 4 2" xfId="15560"/>
    <cellStyle name="40% - 강조색2 4 3" xfId="15561"/>
    <cellStyle name="40% - 강조색2 5" xfId="15562"/>
    <cellStyle name="40% - 강조색2 6" xfId="15563"/>
    <cellStyle name="40% - 강조색2 7" xfId="15564"/>
    <cellStyle name="40% - 강조색2 8" xfId="15565"/>
    <cellStyle name="40% - 강조색2 9" xfId="15566"/>
    <cellStyle name="40% - 강조색3 10" xfId="15567"/>
    <cellStyle name="40% - 강조색3 11" xfId="15568"/>
    <cellStyle name="40% - 강조색3 12" xfId="15569"/>
    <cellStyle name="40% - 강조색3 13" xfId="15570"/>
    <cellStyle name="40% - 강조색3 14" xfId="15571"/>
    <cellStyle name="40% - 강조색3 15" xfId="15572"/>
    <cellStyle name="40% - 강조색3 16" xfId="15573"/>
    <cellStyle name="40% - 강조색3 17" xfId="15574"/>
    <cellStyle name="40% - 강조색3 18" xfId="15575"/>
    <cellStyle name="40% - 강조색3 19" xfId="15576"/>
    <cellStyle name="40% - 강조색3 2" xfId="2080"/>
    <cellStyle name="40% - 강조색3 2 10" xfId="2081"/>
    <cellStyle name="40% - 강조색3 2 100" xfId="2082"/>
    <cellStyle name="40% - 강조색3 2 101" xfId="2083"/>
    <cellStyle name="40% - 강조색3 2 102" xfId="2084"/>
    <cellStyle name="40% - 강조색3 2 103" xfId="2085"/>
    <cellStyle name="40% - 강조색3 2 104" xfId="2086"/>
    <cellStyle name="40% - 강조색3 2 105" xfId="2087"/>
    <cellStyle name="40% - 강조색3 2 106" xfId="2088"/>
    <cellStyle name="40% - 강조색3 2 107" xfId="2089"/>
    <cellStyle name="40% - 강조색3 2 108" xfId="2090"/>
    <cellStyle name="40% - 강조색3 2 109" xfId="2091"/>
    <cellStyle name="40% - 강조색3 2 11" xfId="2092"/>
    <cellStyle name="40% - 강조색3 2 110" xfId="2093"/>
    <cellStyle name="40% - 강조색3 2 111" xfId="2094"/>
    <cellStyle name="40% - 강조색3 2 112" xfId="2095"/>
    <cellStyle name="40% - 강조색3 2 113" xfId="2096"/>
    <cellStyle name="40% - 강조색3 2 114" xfId="2097"/>
    <cellStyle name="40% - 강조색3 2 115" xfId="2098"/>
    <cellStyle name="40% - 강조색3 2 116" xfId="2099"/>
    <cellStyle name="40% - 강조색3 2 117" xfId="2100"/>
    <cellStyle name="40% - 강조색3 2 118" xfId="2101"/>
    <cellStyle name="40% - 강조색3 2 119" xfId="2102"/>
    <cellStyle name="40% - 강조색3 2 12" xfId="2103"/>
    <cellStyle name="40% - 강조색3 2 120" xfId="2104"/>
    <cellStyle name="40% - 강조색3 2 121" xfId="2105"/>
    <cellStyle name="40% - 강조색3 2 122" xfId="2106"/>
    <cellStyle name="40% - 강조색3 2 123" xfId="2107"/>
    <cellStyle name="40% - 강조색3 2 124" xfId="2108"/>
    <cellStyle name="40% - 강조색3 2 125" xfId="2109"/>
    <cellStyle name="40% - 강조색3 2 126" xfId="2110"/>
    <cellStyle name="40% - 강조색3 2 127" xfId="2111"/>
    <cellStyle name="40% - 강조색3 2 128" xfId="2112"/>
    <cellStyle name="40% - 강조색3 2 129" xfId="2113"/>
    <cellStyle name="40% - 강조색3 2 13" xfId="2114"/>
    <cellStyle name="40% - 강조색3 2 130" xfId="2115"/>
    <cellStyle name="40% - 강조색3 2 131" xfId="2116"/>
    <cellStyle name="40% - 강조색3 2 132" xfId="2117"/>
    <cellStyle name="40% - 강조색3 2 133" xfId="2118"/>
    <cellStyle name="40% - 강조색3 2 134" xfId="2119"/>
    <cellStyle name="40% - 강조색3 2 135" xfId="2120"/>
    <cellStyle name="40% - 강조색3 2 136" xfId="2121"/>
    <cellStyle name="40% - 강조색3 2 137" xfId="2122"/>
    <cellStyle name="40% - 강조색3 2 138" xfId="2123"/>
    <cellStyle name="40% - 강조색3 2 139" xfId="2124"/>
    <cellStyle name="40% - 강조색3 2 14" xfId="2125"/>
    <cellStyle name="40% - 강조색3 2 140" xfId="2126"/>
    <cellStyle name="40% - 강조색3 2 141" xfId="2127"/>
    <cellStyle name="40% - 강조색3 2 142" xfId="2128"/>
    <cellStyle name="40% - 강조색3 2 143" xfId="2129"/>
    <cellStyle name="40% - 강조색3 2 144" xfId="2130"/>
    <cellStyle name="40% - 강조색3 2 145" xfId="2131"/>
    <cellStyle name="40% - 강조색3 2 146" xfId="2132"/>
    <cellStyle name="40% - 강조색3 2 147" xfId="2133"/>
    <cellStyle name="40% - 강조색3 2 148" xfId="2134"/>
    <cellStyle name="40% - 강조색3 2 149" xfId="2135"/>
    <cellStyle name="40% - 강조색3 2 15" xfId="2136"/>
    <cellStyle name="40% - 강조색3 2 150" xfId="2137"/>
    <cellStyle name="40% - 강조색3 2 151" xfId="2138"/>
    <cellStyle name="40% - 강조색3 2 152" xfId="2139"/>
    <cellStyle name="40% - 강조색3 2 153" xfId="2140"/>
    <cellStyle name="40% - 강조색3 2 154" xfId="2141"/>
    <cellStyle name="40% - 강조색3 2 155" xfId="2142"/>
    <cellStyle name="40% - 강조색3 2 156" xfId="2143"/>
    <cellStyle name="40% - 강조색3 2 157" xfId="2144"/>
    <cellStyle name="40% - 강조색3 2 158" xfId="2145"/>
    <cellStyle name="40% - 강조색3 2 159" xfId="2146"/>
    <cellStyle name="40% - 강조색3 2 16" xfId="2147"/>
    <cellStyle name="40% - 강조색3 2 160" xfId="2148"/>
    <cellStyle name="40% - 강조색3 2 161" xfId="2149"/>
    <cellStyle name="40% - 강조색3 2 162" xfId="2150"/>
    <cellStyle name="40% - 강조색3 2 163" xfId="2151"/>
    <cellStyle name="40% - 강조색3 2 164" xfId="2152"/>
    <cellStyle name="40% - 강조색3 2 165" xfId="2153"/>
    <cellStyle name="40% - 강조색3 2 166" xfId="2154"/>
    <cellStyle name="40% - 강조색3 2 167" xfId="2155"/>
    <cellStyle name="40% - 강조색3 2 168" xfId="2156"/>
    <cellStyle name="40% - 강조색3 2 169" xfId="2157"/>
    <cellStyle name="40% - 강조색3 2 17" xfId="2158"/>
    <cellStyle name="40% - 강조색3 2 170" xfId="2159"/>
    <cellStyle name="40% - 강조색3 2 171" xfId="2160"/>
    <cellStyle name="40% - 강조색3 2 172" xfId="2161"/>
    <cellStyle name="40% - 강조색3 2 173" xfId="2162"/>
    <cellStyle name="40% - 강조색3 2 174" xfId="2163"/>
    <cellStyle name="40% - 강조색3 2 175" xfId="2164"/>
    <cellStyle name="40% - 강조색3 2 176" xfId="2165"/>
    <cellStyle name="40% - 강조색3 2 177" xfId="2166"/>
    <cellStyle name="40% - 강조색3 2 178" xfId="2167"/>
    <cellStyle name="40% - 강조색3 2 179" xfId="2168"/>
    <cellStyle name="40% - 강조색3 2 18" xfId="2169"/>
    <cellStyle name="40% - 강조색3 2 180" xfId="2170"/>
    <cellStyle name="40% - 강조색3 2 181" xfId="2171"/>
    <cellStyle name="40% - 강조색3 2 182" xfId="2172"/>
    <cellStyle name="40% - 강조색3 2 183" xfId="2173"/>
    <cellStyle name="40% - 강조색3 2 184" xfId="2174"/>
    <cellStyle name="40% - 강조색3 2 185" xfId="2175"/>
    <cellStyle name="40% - 강조색3 2 186" xfId="2176"/>
    <cellStyle name="40% - 강조색3 2 187" xfId="2177"/>
    <cellStyle name="40% - 강조색3 2 188" xfId="2178"/>
    <cellStyle name="40% - 강조색3 2 189" xfId="2179"/>
    <cellStyle name="40% - 강조색3 2 19" xfId="2180"/>
    <cellStyle name="40% - 강조색3 2 190" xfId="2181"/>
    <cellStyle name="40% - 강조색3 2 191" xfId="2182"/>
    <cellStyle name="40% - 강조색3 2 192" xfId="2183"/>
    <cellStyle name="40% - 강조색3 2 193" xfId="2184"/>
    <cellStyle name="40% - 강조색3 2 194" xfId="2185"/>
    <cellStyle name="40% - 강조색3 2 195" xfId="2186"/>
    <cellStyle name="40% - 강조색3 2 196" xfId="2187"/>
    <cellStyle name="40% - 강조색3 2 197" xfId="2188"/>
    <cellStyle name="40% - 강조색3 2 198" xfId="2189"/>
    <cellStyle name="40% - 강조색3 2 199" xfId="2190"/>
    <cellStyle name="40% - 강조색3 2 2" xfId="2191"/>
    <cellStyle name="40% - 강조색3 2 20" xfId="2192"/>
    <cellStyle name="40% - 강조색3 2 200" xfId="2193"/>
    <cellStyle name="40% - 강조색3 2 201" xfId="2194"/>
    <cellStyle name="40% - 강조색3 2 202" xfId="2195"/>
    <cellStyle name="40% - 강조색3 2 203" xfId="2196"/>
    <cellStyle name="40% - 강조색3 2 204" xfId="2197"/>
    <cellStyle name="40% - 강조색3 2 205" xfId="2198"/>
    <cellStyle name="40% - 강조색3 2 206" xfId="2199"/>
    <cellStyle name="40% - 강조색3 2 207" xfId="2200"/>
    <cellStyle name="40% - 강조색3 2 208" xfId="2201"/>
    <cellStyle name="40% - 강조색3 2 209" xfId="2202"/>
    <cellStyle name="40% - 강조색3 2 21" xfId="2203"/>
    <cellStyle name="40% - 강조색3 2 210" xfId="2204"/>
    <cellStyle name="40% - 강조색3 2 211" xfId="2205"/>
    <cellStyle name="40% - 강조색3 2 212" xfId="2206"/>
    <cellStyle name="40% - 강조색3 2 213" xfId="2207"/>
    <cellStyle name="40% - 강조색3 2 214" xfId="2208"/>
    <cellStyle name="40% - 강조색3 2 215" xfId="2209"/>
    <cellStyle name="40% - 강조색3 2 216" xfId="2210"/>
    <cellStyle name="40% - 강조색3 2 217" xfId="2211"/>
    <cellStyle name="40% - 강조색3 2 218" xfId="2212"/>
    <cellStyle name="40% - 강조색3 2 219" xfId="2213"/>
    <cellStyle name="40% - 강조색3 2 22" xfId="2214"/>
    <cellStyle name="40% - 강조색3 2 220" xfId="2215"/>
    <cellStyle name="40% - 강조색3 2 221" xfId="2216"/>
    <cellStyle name="40% - 강조색3 2 222" xfId="2217"/>
    <cellStyle name="40% - 강조색3 2 223" xfId="2218"/>
    <cellStyle name="40% - 강조색3 2 224" xfId="2219"/>
    <cellStyle name="40% - 강조색3 2 225" xfId="2220"/>
    <cellStyle name="40% - 강조색3 2 226" xfId="2221"/>
    <cellStyle name="40% - 강조색3 2 227" xfId="2222"/>
    <cellStyle name="40% - 강조색3 2 228" xfId="2223"/>
    <cellStyle name="40% - 강조색3 2 229" xfId="2224"/>
    <cellStyle name="40% - 강조색3 2 23" xfId="2225"/>
    <cellStyle name="40% - 강조색3 2 230" xfId="2226"/>
    <cellStyle name="40% - 강조색3 2 231" xfId="2227"/>
    <cellStyle name="40% - 강조색3 2 232" xfId="2228"/>
    <cellStyle name="40% - 강조색3 2 233" xfId="2229"/>
    <cellStyle name="40% - 강조색3 2 234" xfId="2230"/>
    <cellStyle name="40% - 강조색3 2 235" xfId="2231"/>
    <cellStyle name="40% - 강조색3 2 236" xfId="2232"/>
    <cellStyle name="40% - 강조색3 2 237" xfId="2233"/>
    <cellStyle name="40% - 강조색3 2 238" xfId="2234"/>
    <cellStyle name="40% - 강조색3 2 239" xfId="2235"/>
    <cellStyle name="40% - 강조색3 2 24" xfId="2236"/>
    <cellStyle name="40% - 강조색3 2 240" xfId="2237"/>
    <cellStyle name="40% - 강조색3 2 241" xfId="2238"/>
    <cellStyle name="40% - 강조색3 2 242" xfId="2239"/>
    <cellStyle name="40% - 강조색3 2 25" xfId="2240"/>
    <cellStyle name="40% - 강조색3 2 26" xfId="2241"/>
    <cellStyle name="40% - 강조색3 2 27" xfId="2242"/>
    <cellStyle name="40% - 강조색3 2 28" xfId="2243"/>
    <cellStyle name="40% - 강조색3 2 29" xfId="2244"/>
    <cellStyle name="40% - 강조색3 2 3" xfId="2245"/>
    <cellStyle name="40% - 강조색3 2 30" xfId="2246"/>
    <cellStyle name="40% - 강조색3 2 31" xfId="2247"/>
    <cellStyle name="40% - 강조색3 2 32" xfId="2248"/>
    <cellStyle name="40% - 강조색3 2 33" xfId="2249"/>
    <cellStyle name="40% - 강조색3 2 34" xfId="2250"/>
    <cellStyle name="40% - 강조색3 2 35" xfId="2251"/>
    <cellStyle name="40% - 강조색3 2 36" xfId="2252"/>
    <cellStyle name="40% - 강조색3 2 37" xfId="2253"/>
    <cellStyle name="40% - 강조색3 2 38" xfId="2254"/>
    <cellStyle name="40% - 강조색3 2 39" xfId="2255"/>
    <cellStyle name="40% - 강조색3 2 4" xfId="2256"/>
    <cellStyle name="40% - 강조색3 2 40" xfId="2257"/>
    <cellStyle name="40% - 강조색3 2 41" xfId="2258"/>
    <cellStyle name="40% - 강조색3 2 42" xfId="2259"/>
    <cellStyle name="40% - 강조색3 2 43" xfId="2260"/>
    <cellStyle name="40% - 강조색3 2 44" xfId="2261"/>
    <cellStyle name="40% - 강조색3 2 45" xfId="2262"/>
    <cellStyle name="40% - 강조색3 2 46" xfId="2263"/>
    <cellStyle name="40% - 강조색3 2 47" xfId="2264"/>
    <cellStyle name="40% - 강조색3 2 48" xfId="2265"/>
    <cellStyle name="40% - 강조색3 2 49" xfId="2266"/>
    <cellStyle name="40% - 강조색3 2 5" xfId="2267"/>
    <cellStyle name="40% - 강조색3 2 50" xfId="2268"/>
    <cellStyle name="40% - 강조색3 2 51" xfId="2269"/>
    <cellStyle name="40% - 강조색3 2 52" xfId="2270"/>
    <cellStyle name="40% - 강조색3 2 53" xfId="2271"/>
    <cellStyle name="40% - 강조색3 2 54" xfId="2272"/>
    <cellStyle name="40% - 강조색3 2 55" xfId="2273"/>
    <cellStyle name="40% - 강조색3 2 56" xfId="2274"/>
    <cellStyle name="40% - 강조색3 2 57" xfId="2275"/>
    <cellStyle name="40% - 강조색3 2 58" xfId="2276"/>
    <cellStyle name="40% - 강조색3 2 59" xfId="2277"/>
    <cellStyle name="40% - 강조색3 2 6" xfId="2278"/>
    <cellStyle name="40% - 강조색3 2 60" xfId="2279"/>
    <cellStyle name="40% - 강조색3 2 61" xfId="2280"/>
    <cellStyle name="40% - 강조색3 2 62" xfId="2281"/>
    <cellStyle name="40% - 강조색3 2 63" xfId="2282"/>
    <cellStyle name="40% - 강조색3 2 64" xfId="2283"/>
    <cellStyle name="40% - 강조색3 2 65" xfId="2284"/>
    <cellStyle name="40% - 강조색3 2 66" xfId="2285"/>
    <cellStyle name="40% - 강조색3 2 67" xfId="2286"/>
    <cellStyle name="40% - 강조색3 2 68" xfId="2287"/>
    <cellStyle name="40% - 강조색3 2 69" xfId="2288"/>
    <cellStyle name="40% - 강조색3 2 7" xfId="2289"/>
    <cellStyle name="40% - 강조색3 2 70" xfId="2290"/>
    <cellStyle name="40% - 강조색3 2 71" xfId="2291"/>
    <cellStyle name="40% - 강조색3 2 72" xfId="2292"/>
    <cellStyle name="40% - 강조색3 2 73" xfId="2293"/>
    <cellStyle name="40% - 강조색3 2 74" xfId="2294"/>
    <cellStyle name="40% - 강조색3 2 75" xfId="2295"/>
    <cellStyle name="40% - 강조색3 2 76" xfId="2296"/>
    <cellStyle name="40% - 강조색3 2 77" xfId="2297"/>
    <cellStyle name="40% - 강조색3 2 78" xfId="2298"/>
    <cellStyle name="40% - 강조색3 2 79" xfId="2299"/>
    <cellStyle name="40% - 강조색3 2 8" xfId="2300"/>
    <cellStyle name="40% - 강조색3 2 80" xfId="2301"/>
    <cellStyle name="40% - 강조색3 2 81" xfId="2302"/>
    <cellStyle name="40% - 강조색3 2 82" xfId="2303"/>
    <cellStyle name="40% - 강조색3 2 83" xfId="2304"/>
    <cellStyle name="40% - 강조색3 2 84" xfId="2305"/>
    <cellStyle name="40% - 강조색3 2 85" xfId="2306"/>
    <cellStyle name="40% - 강조색3 2 86" xfId="2307"/>
    <cellStyle name="40% - 강조색3 2 87" xfId="2308"/>
    <cellStyle name="40% - 강조색3 2 88" xfId="2309"/>
    <cellStyle name="40% - 강조색3 2 89" xfId="2310"/>
    <cellStyle name="40% - 강조색3 2 9" xfId="2311"/>
    <cellStyle name="40% - 강조색3 2 90" xfId="2312"/>
    <cellStyle name="40% - 강조색3 2 91" xfId="2313"/>
    <cellStyle name="40% - 강조색3 2 92" xfId="2314"/>
    <cellStyle name="40% - 강조색3 2 93" xfId="2315"/>
    <cellStyle name="40% - 강조색3 2 94" xfId="2316"/>
    <cellStyle name="40% - 강조색3 2 95" xfId="2317"/>
    <cellStyle name="40% - 강조색3 2 96" xfId="2318"/>
    <cellStyle name="40% - 강조색3 2 97" xfId="2319"/>
    <cellStyle name="40% - 강조색3 2 98" xfId="2320"/>
    <cellStyle name="40% - 강조색3 2 99" xfId="2321"/>
    <cellStyle name="40% - 강조색3 20" xfId="15577"/>
    <cellStyle name="40% - 강조색3 21" xfId="15578"/>
    <cellStyle name="40% - 강조색3 22" xfId="15579"/>
    <cellStyle name="40% - 강조색3 23" xfId="15580"/>
    <cellStyle name="40% - 강조색3 24" xfId="15581"/>
    <cellStyle name="40% - 강조색3 25" xfId="15582"/>
    <cellStyle name="40% - 강조색3 26" xfId="15583"/>
    <cellStyle name="40% - 강조색3 27" xfId="15584"/>
    <cellStyle name="40% - 강조색3 28" xfId="15585"/>
    <cellStyle name="40% - 강조색3 29" xfId="15586"/>
    <cellStyle name="40% - 강조색3 3" xfId="2322"/>
    <cellStyle name="40% - 강조색3 3 2" xfId="15587"/>
    <cellStyle name="40% - 강조색3 3 3" xfId="15588"/>
    <cellStyle name="40% - 강조색3 3 4" xfId="15589"/>
    <cellStyle name="40% - 강조색3 30" xfId="15590"/>
    <cellStyle name="40% - 강조색3 31" xfId="15591"/>
    <cellStyle name="40% - 강조색3 32" xfId="15592"/>
    <cellStyle name="40% - 강조색3 4" xfId="15593"/>
    <cellStyle name="40% - 강조색3 4 2" xfId="15594"/>
    <cellStyle name="40% - 강조색3 4 3" xfId="15595"/>
    <cellStyle name="40% - 강조색3 5" xfId="15596"/>
    <cellStyle name="40% - 강조색3 6" xfId="15597"/>
    <cellStyle name="40% - 강조색3 7" xfId="15598"/>
    <cellStyle name="40% - 강조색3 8" xfId="15599"/>
    <cellStyle name="40% - 강조색3 9" xfId="15600"/>
    <cellStyle name="40% - 강조색4 10" xfId="15601"/>
    <cellStyle name="40% - 강조색4 11" xfId="15602"/>
    <cellStyle name="40% - 강조색4 12" xfId="15603"/>
    <cellStyle name="40% - 강조색4 13" xfId="15604"/>
    <cellStyle name="40% - 강조색4 14" xfId="15605"/>
    <cellStyle name="40% - 강조색4 15" xfId="15606"/>
    <cellStyle name="40% - 강조색4 16" xfId="15607"/>
    <cellStyle name="40% - 강조색4 17" xfId="15608"/>
    <cellStyle name="40% - 강조색4 18" xfId="15609"/>
    <cellStyle name="40% - 강조색4 19" xfId="15610"/>
    <cellStyle name="40% - 강조색4 2" xfId="2323"/>
    <cellStyle name="40% - 강조색4 2 10" xfId="2324"/>
    <cellStyle name="40% - 강조색4 2 100" xfId="2325"/>
    <cellStyle name="40% - 강조색4 2 101" xfId="2326"/>
    <cellStyle name="40% - 강조색4 2 102" xfId="2327"/>
    <cellStyle name="40% - 강조색4 2 103" xfId="2328"/>
    <cellStyle name="40% - 강조색4 2 104" xfId="2329"/>
    <cellStyle name="40% - 강조색4 2 105" xfId="2330"/>
    <cellStyle name="40% - 강조색4 2 106" xfId="2331"/>
    <cellStyle name="40% - 강조색4 2 107" xfId="2332"/>
    <cellStyle name="40% - 강조색4 2 108" xfId="2333"/>
    <cellStyle name="40% - 강조색4 2 109" xfId="2334"/>
    <cellStyle name="40% - 강조색4 2 11" xfId="2335"/>
    <cellStyle name="40% - 강조색4 2 110" xfId="2336"/>
    <cellStyle name="40% - 강조색4 2 111" xfId="2337"/>
    <cellStyle name="40% - 강조색4 2 112" xfId="2338"/>
    <cellStyle name="40% - 강조색4 2 113" xfId="2339"/>
    <cellStyle name="40% - 강조색4 2 114" xfId="2340"/>
    <cellStyle name="40% - 강조색4 2 115" xfId="2341"/>
    <cellStyle name="40% - 강조색4 2 116" xfId="2342"/>
    <cellStyle name="40% - 강조색4 2 117" xfId="2343"/>
    <cellStyle name="40% - 강조색4 2 118" xfId="2344"/>
    <cellStyle name="40% - 강조색4 2 119" xfId="2345"/>
    <cellStyle name="40% - 강조색4 2 12" xfId="2346"/>
    <cellStyle name="40% - 강조색4 2 120" xfId="2347"/>
    <cellStyle name="40% - 강조색4 2 121" xfId="2348"/>
    <cellStyle name="40% - 강조색4 2 122" xfId="2349"/>
    <cellStyle name="40% - 강조색4 2 123" xfId="2350"/>
    <cellStyle name="40% - 강조색4 2 124" xfId="2351"/>
    <cellStyle name="40% - 강조색4 2 125" xfId="2352"/>
    <cellStyle name="40% - 강조색4 2 126" xfId="2353"/>
    <cellStyle name="40% - 강조색4 2 127" xfId="2354"/>
    <cellStyle name="40% - 강조색4 2 128" xfId="2355"/>
    <cellStyle name="40% - 강조색4 2 129" xfId="2356"/>
    <cellStyle name="40% - 강조색4 2 13" xfId="2357"/>
    <cellStyle name="40% - 강조색4 2 130" xfId="2358"/>
    <cellStyle name="40% - 강조색4 2 131" xfId="2359"/>
    <cellStyle name="40% - 강조색4 2 132" xfId="2360"/>
    <cellStyle name="40% - 강조색4 2 133" xfId="2361"/>
    <cellStyle name="40% - 강조색4 2 134" xfId="2362"/>
    <cellStyle name="40% - 강조색4 2 135" xfId="2363"/>
    <cellStyle name="40% - 강조색4 2 136" xfId="2364"/>
    <cellStyle name="40% - 강조색4 2 137" xfId="2365"/>
    <cellStyle name="40% - 강조색4 2 138" xfId="2366"/>
    <cellStyle name="40% - 강조색4 2 139" xfId="2367"/>
    <cellStyle name="40% - 강조색4 2 14" xfId="2368"/>
    <cellStyle name="40% - 강조색4 2 140" xfId="2369"/>
    <cellStyle name="40% - 강조색4 2 141" xfId="2370"/>
    <cellStyle name="40% - 강조색4 2 142" xfId="2371"/>
    <cellStyle name="40% - 강조색4 2 143" xfId="2372"/>
    <cellStyle name="40% - 강조색4 2 144" xfId="2373"/>
    <cellStyle name="40% - 강조색4 2 145" xfId="2374"/>
    <cellStyle name="40% - 강조색4 2 146" xfId="2375"/>
    <cellStyle name="40% - 강조색4 2 147" xfId="2376"/>
    <cellStyle name="40% - 강조색4 2 148" xfId="2377"/>
    <cellStyle name="40% - 강조색4 2 149" xfId="2378"/>
    <cellStyle name="40% - 강조색4 2 15" xfId="2379"/>
    <cellStyle name="40% - 강조색4 2 150" xfId="2380"/>
    <cellStyle name="40% - 강조색4 2 151" xfId="2381"/>
    <cellStyle name="40% - 강조색4 2 152" xfId="2382"/>
    <cellStyle name="40% - 강조색4 2 153" xfId="2383"/>
    <cellStyle name="40% - 강조색4 2 154" xfId="2384"/>
    <cellStyle name="40% - 강조색4 2 155" xfId="2385"/>
    <cellStyle name="40% - 강조색4 2 156" xfId="2386"/>
    <cellStyle name="40% - 강조색4 2 157" xfId="2387"/>
    <cellStyle name="40% - 강조색4 2 158" xfId="2388"/>
    <cellStyle name="40% - 강조색4 2 159" xfId="2389"/>
    <cellStyle name="40% - 강조색4 2 16" xfId="2390"/>
    <cellStyle name="40% - 강조색4 2 160" xfId="2391"/>
    <cellStyle name="40% - 강조색4 2 161" xfId="2392"/>
    <cellStyle name="40% - 강조색4 2 162" xfId="2393"/>
    <cellStyle name="40% - 강조색4 2 163" xfId="2394"/>
    <cellStyle name="40% - 강조색4 2 164" xfId="2395"/>
    <cellStyle name="40% - 강조색4 2 165" xfId="2396"/>
    <cellStyle name="40% - 강조색4 2 166" xfId="2397"/>
    <cellStyle name="40% - 강조색4 2 167" xfId="2398"/>
    <cellStyle name="40% - 강조색4 2 168" xfId="2399"/>
    <cellStyle name="40% - 강조색4 2 169" xfId="2400"/>
    <cellStyle name="40% - 강조색4 2 17" xfId="2401"/>
    <cellStyle name="40% - 강조색4 2 170" xfId="2402"/>
    <cellStyle name="40% - 강조색4 2 171" xfId="2403"/>
    <cellStyle name="40% - 강조색4 2 172" xfId="2404"/>
    <cellStyle name="40% - 강조색4 2 173" xfId="2405"/>
    <cellStyle name="40% - 강조색4 2 174" xfId="2406"/>
    <cellStyle name="40% - 강조색4 2 175" xfId="2407"/>
    <cellStyle name="40% - 강조색4 2 176" xfId="2408"/>
    <cellStyle name="40% - 강조색4 2 177" xfId="2409"/>
    <cellStyle name="40% - 강조색4 2 178" xfId="2410"/>
    <cellStyle name="40% - 강조색4 2 179" xfId="2411"/>
    <cellStyle name="40% - 강조색4 2 18" xfId="2412"/>
    <cellStyle name="40% - 강조색4 2 180" xfId="2413"/>
    <cellStyle name="40% - 강조색4 2 181" xfId="2414"/>
    <cellStyle name="40% - 강조색4 2 182" xfId="2415"/>
    <cellStyle name="40% - 강조색4 2 183" xfId="2416"/>
    <cellStyle name="40% - 강조색4 2 184" xfId="2417"/>
    <cellStyle name="40% - 강조색4 2 185" xfId="2418"/>
    <cellStyle name="40% - 강조색4 2 186" xfId="2419"/>
    <cellStyle name="40% - 강조색4 2 187" xfId="2420"/>
    <cellStyle name="40% - 강조색4 2 188" xfId="2421"/>
    <cellStyle name="40% - 강조색4 2 189" xfId="2422"/>
    <cellStyle name="40% - 강조색4 2 19" xfId="2423"/>
    <cellStyle name="40% - 강조색4 2 190" xfId="2424"/>
    <cellStyle name="40% - 강조색4 2 191" xfId="2425"/>
    <cellStyle name="40% - 강조색4 2 192" xfId="2426"/>
    <cellStyle name="40% - 강조색4 2 193" xfId="2427"/>
    <cellStyle name="40% - 강조색4 2 194" xfId="2428"/>
    <cellStyle name="40% - 강조색4 2 195" xfId="2429"/>
    <cellStyle name="40% - 강조색4 2 196" xfId="2430"/>
    <cellStyle name="40% - 강조색4 2 197" xfId="2431"/>
    <cellStyle name="40% - 강조색4 2 198" xfId="2432"/>
    <cellStyle name="40% - 강조색4 2 199" xfId="2433"/>
    <cellStyle name="40% - 강조색4 2 2" xfId="2434"/>
    <cellStyle name="40% - 강조색4 2 20" xfId="2435"/>
    <cellStyle name="40% - 강조색4 2 200" xfId="2436"/>
    <cellStyle name="40% - 강조색4 2 201" xfId="2437"/>
    <cellStyle name="40% - 강조색4 2 202" xfId="2438"/>
    <cellStyle name="40% - 강조색4 2 203" xfId="2439"/>
    <cellStyle name="40% - 강조색4 2 204" xfId="2440"/>
    <cellStyle name="40% - 강조색4 2 205" xfId="2441"/>
    <cellStyle name="40% - 강조색4 2 206" xfId="2442"/>
    <cellStyle name="40% - 강조색4 2 207" xfId="2443"/>
    <cellStyle name="40% - 강조색4 2 208" xfId="2444"/>
    <cellStyle name="40% - 강조색4 2 209" xfId="2445"/>
    <cellStyle name="40% - 강조색4 2 21" xfId="2446"/>
    <cellStyle name="40% - 강조색4 2 210" xfId="2447"/>
    <cellStyle name="40% - 강조색4 2 211" xfId="2448"/>
    <cellStyle name="40% - 강조색4 2 212" xfId="2449"/>
    <cellStyle name="40% - 강조색4 2 213" xfId="2450"/>
    <cellStyle name="40% - 강조색4 2 214" xfId="2451"/>
    <cellStyle name="40% - 강조색4 2 215" xfId="2452"/>
    <cellStyle name="40% - 강조색4 2 216" xfId="2453"/>
    <cellStyle name="40% - 강조색4 2 217" xfId="2454"/>
    <cellStyle name="40% - 강조색4 2 218" xfId="2455"/>
    <cellStyle name="40% - 강조색4 2 219" xfId="2456"/>
    <cellStyle name="40% - 강조색4 2 22" xfId="2457"/>
    <cellStyle name="40% - 강조색4 2 220" xfId="2458"/>
    <cellStyle name="40% - 강조색4 2 221" xfId="2459"/>
    <cellStyle name="40% - 강조색4 2 222" xfId="2460"/>
    <cellStyle name="40% - 강조색4 2 223" xfId="2461"/>
    <cellStyle name="40% - 강조색4 2 224" xfId="2462"/>
    <cellStyle name="40% - 강조색4 2 225" xfId="2463"/>
    <cellStyle name="40% - 강조색4 2 226" xfId="2464"/>
    <cellStyle name="40% - 강조색4 2 227" xfId="2465"/>
    <cellStyle name="40% - 강조색4 2 228" xfId="2466"/>
    <cellStyle name="40% - 강조색4 2 229" xfId="2467"/>
    <cellStyle name="40% - 강조색4 2 23" xfId="2468"/>
    <cellStyle name="40% - 강조색4 2 230" xfId="2469"/>
    <cellStyle name="40% - 강조색4 2 231" xfId="2470"/>
    <cellStyle name="40% - 강조색4 2 232" xfId="2471"/>
    <cellStyle name="40% - 강조색4 2 233" xfId="2472"/>
    <cellStyle name="40% - 강조색4 2 234" xfId="2473"/>
    <cellStyle name="40% - 강조색4 2 235" xfId="2474"/>
    <cellStyle name="40% - 강조색4 2 236" xfId="2475"/>
    <cellStyle name="40% - 강조색4 2 237" xfId="2476"/>
    <cellStyle name="40% - 강조색4 2 238" xfId="2477"/>
    <cellStyle name="40% - 강조색4 2 239" xfId="2478"/>
    <cellStyle name="40% - 강조색4 2 24" xfId="2479"/>
    <cellStyle name="40% - 강조색4 2 240" xfId="2480"/>
    <cellStyle name="40% - 강조색4 2 241" xfId="2481"/>
    <cellStyle name="40% - 강조색4 2 242" xfId="2482"/>
    <cellStyle name="40% - 강조색4 2 25" xfId="2483"/>
    <cellStyle name="40% - 강조색4 2 26" xfId="2484"/>
    <cellStyle name="40% - 강조색4 2 27" xfId="2485"/>
    <cellStyle name="40% - 강조색4 2 28" xfId="2486"/>
    <cellStyle name="40% - 강조색4 2 29" xfId="2487"/>
    <cellStyle name="40% - 강조색4 2 3" xfId="2488"/>
    <cellStyle name="40% - 강조색4 2 30" xfId="2489"/>
    <cellStyle name="40% - 강조색4 2 31" xfId="2490"/>
    <cellStyle name="40% - 강조색4 2 32" xfId="2491"/>
    <cellStyle name="40% - 강조색4 2 33" xfId="2492"/>
    <cellStyle name="40% - 강조색4 2 34" xfId="2493"/>
    <cellStyle name="40% - 강조색4 2 35" xfId="2494"/>
    <cellStyle name="40% - 강조색4 2 36" xfId="2495"/>
    <cellStyle name="40% - 강조색4 2 37" xfId="2496"/>
    <cellStyle name="40% - 강조색4 2 38" xfId="2497"/>
    <cellStyle name="40% - 강조색4 2 39" xfId="2498"/>
    <cellStyle name="40% - 강조색4 2 4" xfId="2499"/>
    <cellStyle name="40% - 강조색4 2 40" xfId="2500"/>
    <cellStyle name="40% - 강조색4 2 41" xfId="2501"/>
    <cellStyle name="40% - 강조색4 2 42" xfId="2502"/>
    <cellStyle name="40% - 강조색4 2 43" xfId="2503"/>
    <cellStyle name="40% - 강조색4 2 44" xfId="2504"/>
    <cellStyle name="40% - 강조색4 2 45" xfId="2505"/>
    <cellStyle name="40% - 강조색4 2 46" xfId="2506"/>
    <cellStyle name="40% - 강조색4 2 47" xfId="2507"/>
    <cellStyle name="40% - 강조색4 2 48" xfId="2508"/>
    <cellStyle name="40% - 강조색4 2 49" xfId="2509"/>
    <cellStyle name="40% - 강조색4 2 5" xfId="2510"/>
    <cellStyle name="40% - 강조색4 2 50" xfId="2511"/>
    <cellStyle name="40% - 강조색4 2 51" xfId="2512"/>
    <cellStyle name="40% - 강조색4 2 52" xfId="2513"/>
    <cellStyle name="40% - 강조색4 2 53" xfId="2514"/>
    <cellStyle name="40% - 강조색4 2 54" xfId="2515"/>
    <cellStyle name="40% - 강조색4 2 55" xfId="2516"/>
    <cellStyle name="40% - 강조색4 2 56" xfId="2517"/>
    <cellStyle name="40% - 강조색4 2 57" xfId="2518"/>
    <cellStyle name="40% - 강조색4 2 58" xfId="2519"/>
    <cellStyle name="40% - 강조색4 2 59" xfId="2520"/>
    <cellStyle name="40% - 강조색4 2 6" xfId="2521"/>
    <cellStyle name="40% - 강조색4 2 60" xfId="2522"/>
    <cellStyle name="40% - 강조색4 2 61" xfId="2523"/>
    <cellStyle name="40% - 강조색4 2 62" xfId="2524"/>
    <cellStyle name="40% - 강조색4 2 63" xfId="2525"/>
    <cellStyle name="40% - 강조색4 2 64" xfId="2526"/>
    <cellStyle name="40% - 강조색4 2 65" xfId="2527"/>
    <cellStyle name="40% - 강조색4 2 66" xfId="2528"/>
    <cellStyle name="40% - 강조색4 2 67" xfId="2529"/>
    <cellStyle name="40% - 강조색4 2 68" xfId="2530"/>
    <cellStyle name="40% - 강조색4 2 69" xfId="2531"/>
    <cellStyle name="40% - 강조색4 2 7" xfId="2532"/>
    <cellStyle name="40% - 강조색4 2 70" xfId="2533"/>
    <cellStyle name="40% - 강조색4 2 71" xfId="2534"/>
    <cellStyle name="40% - 강조색4 2 72" xfId="2535"/>
    <cellStyle name="40% - 강조색4 2 73" xfId="2536"/>
    <cellStyle name="40% - 강조색4 2 74" xfId="2537"/>
    <cellStyle name="40% - 강조색4 2 75" xfId="2538"/>
    <cellStyle name="40% - 강조색4 2 76" xfId="2539"/>
    <cellStyle name="40% - 강조색4 2 77" xfId="2540"/>
    <cellStyle name="40% - 강조색4 2 78" xfId="2541"/>
    <cellStyle name="40% - 강조색4 2 79" xfId="2542"/>
    <cellStyle name="40% - 강조색4 2 8" xfId="2543"/>
    <cellStyle name="40% - 강조색4 2 80" xfId="2544"/>
    <cellStyle name="40% - 강조색4 2 81" xfId="2545"/>
    <cellStyle name="40% - 강조색4 2 82" xfId="2546"/>
    <cellStyle name="40% - 강조색4 2 83" xfId="2547"/>
    <cellStyle name="40% - 강조색4 2 84" xfId="2548"/>
    <cellStyle name="40% - 강조색4 2 85" xfId="2549"/>
    <cellStyle name="40% - 강조색4 2 86" xfId="2550"/>
    <cellStyle name="40% - 강조색4 2 87" xfId="2551"/>
    <cellStyle name="40% - 강조색4 2 88" xfId="2552"/>
    <cellStyle name="40% - 강조색4 2 89" xfId="2553"/>
    <cellStyle name="40% - 강조색4 2 9" xfId="2554"/>
    <cellStyle name="40% - 강조색4 2 90" xfId="2555"/>
    <cellStyle name="40% - 강조색4 2 91" xfId="2556"/>
    <cellStyle name="40% - 강조색4 2 92" xfId="2557"/>
    <cellStyle name="40% - 강조색4 2 93" xfId="2558"/>
    <cellStyle name="40% - 강조색4 2 94" xfId="2559"/>
    <cellStyle name="40% - 강조색4 2 95" xfId="2560"/>
    <cellStyle name="40% - 강조색4 2 96" xfId="2561"/>
    <cellStyle name="40% - 강조색4 2 97" xfId="2562"/>
    <cellStyle name="40% - 강조색4 2 98" xfId="2563"/>
    <cellStyle name="40% - 강조색4 2 99" xfId="2564"/>
    <cellStyle name="40% - 강조색4 20" xfId="15611"/>
    <cellStyle name="40% - 강조색4 21" xfId="15612"/>
    <cellStyle name="40% - 강조색4 22" xfId="15613"/>
    <cellStyle name="40% - 강조색4 23" xfId="15614"/>
    <cellStyle name="40% - 강조색4 24" xfId="15615"/>
    <cellStyle name="40% - 강조색4 25" xfId="15616"/>
    <cellStyle name="40% - 강조색4 26" xfId="15617"/>
    <cellStyle name="40% - 강조색4 27" xfId="15618"/>
    <cellStyle name="40% - 강조색4 28" xfId="15619"/>
    <cellStyle name="40% - 강조색4 29" xfId="15620"/>
    <cellStyle name="40% - 강조색4 3" xfId="2565"/>
    <cellStyle name="40% - 강조색4 3 2" xfId="15621"/>
    <cellStyle name="40% - 강조색4 3 3" xfId="15622"/>
    <cellStyle name="40% - 강조색4 3 4" xfId="15623"/>
    <cellStyle name="40% - 강조색4 30" xfId="15624"/>
    <cellStyle name="40% - 강조색4 31" xfId="15625"/>
    <cellStyle name="40% - 강조색4 32" xfId="15626"/>
    <cellStyle name="40% - 강조색4 4" xfId="15627"/>
    <cellStyle name="40% - 강조색4 4 2" xfId="15628"/>
    <cellStyle name="40% - 강조색4 4 3" xfId="15629"/>
    <cellStyle name="40% - 강조색4 5" xfId="15630"/>
    <cellStyle name="40% - 강조색4 6" xfId="15631"/>
    <cellStyle name="40% - 강조색4 7" xfId="15632"/>
    <cellStyle name="40% - 강조색4 8" xfId="15633"/>
    <cellStyle name="40% - 강조색4 9" xfId="15634"/>
    <cellStyle name="40% - 강조색5 10" xfId="15635"/>
    <cellStyle name="40% - 강조색5 11" xfId="15636"/>
    <cellStyle name="40% - 강조색5 12" xfId="15637"/>
    <cellStyle name="40% - 강조색5 13" xfId="15638"/>
    <cellStyle name="40% - 강조색5 14" xfId="15639"/>
    <cellStyle name="40% - 강조색5 15" xfId="15640"/>
    <cellStyle name="40% - 강조색5 16" xfId="15641"/>
    <cellStyle name="40% - 강조색5 17" xfId="15642"/>
    <cellStyle name="40% - 강조색5 18" xfId="15643"/>
    <cellStyle name="40% - 강조색5 19" xfId="15644"/>
    <cellStyle name="40% - 강조색5 2" xfId="2566"/>
    <cellStyle name="40% - 강조색5 2 10" xfId="2567"/>
    <cellStyle name="40% - 강조색5 2 100" xfId="2568"/>
    <cellStyle name="40% - 강조색5 2 101" xfId="2569"/>
    <cellStyle name="40% - 강조색5 2 102" xfId="2570"/>
    <cellStyle name="40% - 강조색5 2 103" xfId="2571"/>
    <cellStyle name="40% - 강조색5 2 104" xfId="2572"/>
    <cellStyle name="40% - 강조색5 2 105" xfId="2573"/>
    <cellStyle name="40% - 강조색5 2 106" xfId="2574"/>
    <cellStyle name="40% - 강조색5 2 107" xfId="2575"/>
    <cellStyle name="40% - 강조색5 2 108" xfId="2576"/>
    <cellStyle name="40% - 강조색5 2 109" xfId="2577"/>
    <cellStyle name="40% - 강조색5 2 11" xfId="2578"/>
    <cellStyle name="40% - 강조색5 2 110" xfId="2579"/>
    <cellStyle name="40% - 강조색5 2 111" xfId="2580"/>
    <cellStyle name="40% - 강조색5 2 112" xfId="2581"/>
    <cellStyle name="40% - 강조색5 2 113" xfId="2582"/>
    <cellStyle name="40% - 강조색5 2 114" xfId="2583"/>
    <cellStyle name="40% - 강조색5 2 115" xfId="2584"/>
    <cellStyle name="40% - 강조색5 2 116" xfId="2585"/>
    <cellStyle name="40% - 강조색5 2 117" xfId="2586"/>
    <cellStyle name="40% - 강조색5 2 118" xfId="2587"/>
    <cellStyle name="40% - 강조색5 2 119" xfId="2588"/>
    <cellStyle name="40% - 강조색5 2 12" xfId="2589"/>
    <cellStyle name="40% - 강조색5 2 120" xfId="2590"/>
    <cellStyle name="40% - 강조색5 2 121" xfId="2591"/>
    <cellStyle name="40% - 강조색5 2 122" xfId="2592"/>
    <cellStyle name="40% - 강조색5 2 123" xfId="2593"/>
    <cellStyle name="40% - 강조색5 2 124" xfId="2594"/>
    <cellStyle name="40% - 강조색5 2 125" xfId="2595"/>
    <cellStyle name="40% - 강조색5 2 126" xfId="2596"/>
    <cellStyle name="40% - 강조색5 2 127" xfId="2597"/>
    <cellStyle name="40% - 강조색5 2 128" xfId="2598"/>
    <cellStyle name="40% - 강조색5 2 129" xfId="2599"/>
    <cellStyle name="40% - 강조색5 2 13" xfId="2600"/>
    <cellStyle name="40% - 강조색5 2 130" xfId="2601"/>
    <cellStyle name="40% - 강조색5 2 131" xfId="2602"/>
    <cellStyle name="40% - 강조색5 2 132" xfId="2603"/>
    <cellStyle name="40% - 강조색5 2 133" xfId="2604"/>
    <cellStyle name="40% - 강조색5 2 134" xfId="2605"/>
    <cellStyle name="40% - 강조색5 2 135" xfId="2606"/>
    <cellStyle name="40% - 강조색5 2 136" xfId="2607"/>
    <cellStyle name="40% - 강조색5 2 137" xfId="2608"/>
    <cellStyle name="40% - 강조색5 2 138" xfId="2609"/>
    <cellStyle name="40% - 강조색5 2 139" xfId="2610"/>
    <cellStyle name="40% - 강조색5 2 14" xfId="2611"/>
    <cellStyle name="40% - 강조색5 2 140" xfId="2612"/>
    <cellStyle name="40% - 강조색5 2 141" xfId="2613"/>
    <cellStyle name="40% - 강조색5 2 142" xfId="2614"/>
    <cellStyle name="40% - 강조색5 2 143" xfId="2615"/>
    <cellStyle name="40% - 강조색5 2 144" xfId="2616"/>
    <cellStyle name="40% - 강조색5 2 145" xfId="2617"/>
    <cellStyle name="40% - 강조색5 2 146" xfId="2618"/>
    <cellStyle name="40% - 강조색5 2 147" xfId="2619"/>
    <cellStyle name="40% - 강조색5 2 148" xfId="2620"/>
    <cellStyle name="40% - 강조색5 2 149" xfId="2621"/>
    <cellStyle name="40% - 강조색5 2 15" xfId="2622"/>
    <cellStyle name="40% - 강조색5 2 150" xfId="2623"/>
    <cellStyle name="40% - 강조색5 2 151" xfId="2624"/>
    <cellStyle name="40% - 강조색5 2 152" xfId="2625"/>
    <cellStyle name="40% - 강조색5 2 153" xfId="2626"/>
    <cellStyle name="40% - 강조색5 2 154" xfId="2627"/>
    <cellStyle name="40% - 강조색5 2 155" xfId="2628"/>
    <cellStyle name="40% - 강조색5 2 156" xfId="2629"/>
    <cellStyle name="40% - 강조색5 2 157" xfId="2630"/>
    <cellStyle name="40% - 강조색5 2 158" xfId="2631"/>
    <cellStyle name="40% - 강조색5 2 159" xfId="2632"/>
    <cellStyle name="40% - 강조색5 2 16" xfId="2633"/>
    <cellStyle name="40% - 강조색5 2 160" xfId="2634"/>
    <cellStyle name="40% - 강조색5 2 161" xfId="2635"/>
    <cellStyle name="40% - 강조색5 2 162" xfId="2636"/>
    <cellStyle name="40% - 강조색5 2 163" xfId="2637"/>
    <cellStyle name="40% - 강조색5 2 164" xfId="2638"/>
    <cellStyle name="40% - 강조색5 2 165" xfId="2639"/>
    <cellStyle name="40% - 강조색5 2 166" xfId="2640"/>
    <cellStyle name="40% - 강조색5 2 167" xfId="2641"/>
    <cellStyle name="40% - 강조색5 2 168" xfId="2642"/>
    <cellStyle name="40% - 강조색5 2 169" xfId="2643"/>
    <cellStyle name="40% - 강조색5 2 17" xfId="2644"/>
    <cellStyle name="40% - 강조색5 2 170" xfId="2645"/>
    <cellStyle name="40% - 강조색5 2 171" xfId="2646"/>
    <cellStyle name="40% - 강조색5 2 172" xfId="2647"/>
    <cellStyle name="40% - 강조색5 2 173" xfId="2648"/>
    <cellStyle name="40% - 강조색5 2 174" xfId="2649"/>
    <cellStyle name="40% - 강조색5 2 175" xfId="2650"/>
    <cellStyle name="40% - 강조색5 2 176" xfId="2651"/>
    <cellStyle name="40% - 강조색5 2 177" xfId="2652"/>
    <cellStyle name="40% - 강조색5 2 178" xfId="2653"/>
    <cellStyle name="40% - 강조색5 2 179" xfId="2654"/>
    <cellStyle name="40% - 강조색5 2 18" xfId="2655"/>
    <cellStyle name="40% - 강조색5 2 180" xfId="2656"/>
    <cellStyle name="40% - 강조색5 2 181" xfId="2657"/>
    <cellStyle name="40% - 강조색5 2 182" xfId="2658"/>
    <cellStyle name="40% - 강조색5 2 183" xfId="2659"/>
    <cellStyle name="40% - 강조색5 2 184" xfId="2660"/>
    <cellStyle name="40% - 강조색5 2 185" xfId="2661"/>
    <cellStyle name="40% - 강조색5 2 186" xfId="2662"/>
    <cellStyle name="40% - 강조색5 2 187" xfId="2663"/>
    <cellStyle name="40% - 강조색5 2 188" xfId="2664"/>
    <cellStyle name="40% - 강조색5 2 189" xfId="2665"/>
    <cellStyle name="40% - 강조색5 2 19" xfId="2666"/>
    <cellStyle name="40% - 강조색5 2 190" xfId="2667"/>
    <cellStyle name="40% - 강조색5 2 191" xfId="2668"/>
    <cellStyle name="40% - 강조색5 2 192" xfId="2669"/>
    <cellStyle name="40% - 강조색5 2 193" xfId="2670"/>
    <cellStyle name="40% - 강조색5 2 194" xfId="2671"/>
    <cellStyle name="40% - 강조색5 2 195" xfId="2672"/>
    <cellStyle name="40% - 강조색5 2 196" xfId="2673"/>
    <cellStyle name="40% - 강조색5 2 197" xfId="2674"/>
    <cellStyle name="40% - 강조색5 2 198" xfId="2675"/>
    <cellStyle name="40% - 강조색5 2 199" xfId="2676"/>
    <cellStyle name="40% - 강조색5 2 2" xfId="2677"/>
    <cellStyle name="40% - 강조색5 2 20" xfId="2678"/>
    <cellStyle name="40% - 강조색5 2 200" xfId="2679"/>
    <cellStyle name="40% - 강조색5 2 201" xfId="2680"/>
    <cellStyle name="40% - 강조색5 2 202" xfId="2681"/>
    <cellStyle name="40% - 강조색5 2 203" xfId="2682"/>
    <cellStyle name="40% - 강조색5 2 204" xfId="2683"/>
    <cellStyle name="40% - 강조색5 2 205" xfId="2684"/>
    <cellStyle name="40% - 강조색5 2 206" xfId="2685"/>
    <cellStyle name="40% - 강조색5 2 207" xfId="2686"/>
    <cellStyle name="40% - 강조색5 2 208" xfId="2687"/>
    <cellStyle name="40% - 강조색5 2 209" xfId="2688"/>
    <cellStyle name="40% - 강조색5 2 21" xfId="2689"/>
    <cellStyle name="40% - 강조색5 2 210" xfId="2690"/>
    <cellStyle name="40% - 강조색5 2 211" xfId="2691"/>
    <cellStyle name="40% - 강조색5 2 212" xfId="2692"/>
    <cellStyle name="40% - 강조색5 2 213" xfId="2693"/>
    <cellStyle name="40% - 강조색5 2 214" xfId="2694"/>
    <cellStyle name="40% - 강조색5 2 215" xfId="2695"/>
    <cellStyle name="40% - 강조색5 2 216" xfId="2696"/>
    <cellStyle name="40% - 강조색5 2 217" xfId="2697"/>
    <cellStyle name="40% - 강조색5 2 218" xfId="2698"/>
    <cellStyle name="40% - 강조색5 2 219" xfId="2699"/>
    <cellStyle name="40% - 강조색5 2 22" xfId="2700"/>
    <cellStyle name="40% - 강조색5 2 220" xfId="2701"/>
    <cellStyle name="40% - 강조색5 2 221" xfId="2702"/>
    <cellStyle name="40% - 강조색5 2 222" xfId="2703"/>
    <cellStyle name="40% - 강조색5 2 223" xfId="2704"/>
    <cellStyle name="40% - 강조색5 2 224" xfId="2705"/>
    <cellStyle name="40% - 강조색5 2 225" xfId="2706"/>
    <cellStyle name="40% - 강조색5 2 226" xfId="2707"/>
    <cellStyle name="40% - 강조색5 2 227" xfId="2708"/>
    <cellStyle name="40% - 강조색5 2 228" xfId="2709"/>
    <cellStyle name="40% - 강조색5 2 229" xfId="2710"/>
    <cellStyle name="40% - 강조색5 2 23" xfId="2711"/>
    <cellStyle name="40% - 강조색5 2 230" xfId="2712"/>
    <cellStyle name="40% - 강조색5 2 231" xfId="2713"/>
    <cellStyle name="40% - 강조색5 2 232" xfId="2714"/>
    <cellStyle name="40% - 강조색5 2 233" xfId="2715"/>
    <cellStyle name="40% - 강조색5 2 234" xfId="2716"/>
    <cellStyle name="40% - 강조색5 2 235" xfId="2717"/>
    <cellStyle name="40% - 강조색5 2 236" xfId="2718"/>
    <cellStyle name="40% - 강조색5 2 237" xfId="2719"/>
    <cellStyle name="40% - 강조색5 2 238" xfId="2720"/>
    <cellStyle name="40% - 강조색5 2 239" xfId="2721"/>
    <cellStyle name="40% - 강조색5 2 24" xfId="2722"/>
    <cellStyle name="40% - 강조색5 2 240" xfId="2723"/>
    <cellStyle name="40% - 강조색5 2 241" xfId="2724"/>
    <cellStyle name="40% - 강조색5 2 242" xfId="2725"/>
    <cellStyle name="40% - 강조색5 2 25" xfId="2726"/>
    <cellStyle name="40% - 강조색5 2 26" xfId="2727"/>
    <cellStyle name="40% - 강조색5 2 27" xfId="2728"/>
    <cellStyle name="40% - 강조색5 2 28" xfId="2729"/>
    <cellStyle name="40% - 강조색5 2 29" xfId="2730"/>
    <cellStyle name="40% - 강조색5 2 3" xfId="2731"/>
    <cellStyle name="40% - 강조색5 2 30" xfId="2732"/>
    <cellStyle name="40% - 강조색5 2 31" xfId="2733"/>
    <cellStyle name="40% - 강조색5 2 32" xfId="2734"/>
    <cellStyle name="40% - 강조색5 2 33" xfId="2735"/>
    <cellStyle name="40% - 강조색5 2 34" xfId="2736"/>
    <cellStyle name="40% - 강조색5 2 35" xfId="2737"/>
    <cellStyle name="40% - 강조색5 2 36" xfId="2738"/>
    <cellStyle name="40% - 강조색5 2 37" xfId="2739"/>
    <cellStyle name="40% - 강조색5 2 38" xfId="2740"/>
    <cellStyle name="40% - 강조색5 2 39" xfId="2741"/>
    <cellStyle name="40% - 강조색5 2 4" xfId="2742"/>
    <cellStyle name="40% - 강조색5 2 40" xfId="2743"/>
    <cellStyle name="40% - 강조색5 2 41" xfId="2744"/>
    <cellStyle name="40% - 강조색5 2 42" xfId="2745"/>
    <cellStyle name="40% - 강조색5 2 43" xfId="2746"/>
    <cellStyle name="40% - 강조색5 2 44" xfId="2747"/>
    <cellStyle name="40% - 강조색5 2 45" xfId="2748"/>
    <cellStyle name="40% - 강조색5 2 46" xfId="2749"/>
    <cellStyle name="40% - 강조색5 2 47" xfId="2750"/>
    <cellStyle name="40% - 강조색5 2 48" xfId="2751"/>
    <cellStyle name="40% - 강조색5 2 49" xfId="2752"/>
    <cellStyle name="40% - 강조색5 2 5" xfId="2753"/>
    <cellStyle name="40% - 강조색5 2 50" xfId="2754"/>
    <cellStyle name="40% - 강조색5 2 51" xfId="2755"/>
    <cellStyle name="40% - 강조색5 2 52" xfId="2756"/>
    <cellStyle name="40% - 강조색5 2 53" xfId="2757"/>
    <cellStyle name="40% - 강조색5 2 54" xfId="2758"/>
    <cellStyle name="40% - 강조색5 2 55" xfId="2759"/>
    <cellStyle name="40% - 강조색5 2 56" xfId="2760"/>
    <cellStyle name="40% - 강조색5 2 57" xfId="2761"/>
    <cellStyle name="40% - 강조색5 2 58" xfId="2762"/>
    <cellStyle name="40% - 강조색5 2 59" xfId="2763"/>
    <cellStyle name="40% - 강조색5 2 6" xfId="2764"/>
    <cellStyle name="40% - 강조색5 2 60" xfId="2765"/>
    <cellStyle name="40% - 강조색5 2 61" xfId="2766"/>
    <cellStyle name="40% - 강조색5 2 62" xfId="2767"/>
    <cellStyle name="40% - 강조색5 2 63" xfId="2768"/>
    <cellStyle name="40% - 강조색5 2 64" xfId="2769"/>
    <cellStyle name="40% - 강조색5 2 65" xfId="2770"/>
    <cellStyle name="40% - 강조색5 2 66" xfId="2771"/>
    <cellStyle name="40% - 강조색5 2 67" xfId="2772"/>
    <cellStyle name="40% - 강조색5 2 68" xfId="2773"/>
    <cellStyle name="40% - 강조색5 2 69" xfId="2774"/>
    <cellStyle name="40% - 강조색5 2 7" xfId="2775"/>
    <cellStyle name="40% - 강조색5 2 70" xfId="2776"/>
    <cellStyle name="40% - 강조색5 2 71" xfId="2777"/>
    <cellStyle name="40% - 강조색5 2 72" xfId="2778"/>
    <cellStyle name="40% - 강조색5 2 73" xfId="2779"/>
    <cellStyle name="40% - 강조색5 2 74" xfId="2780"/>
    <cellStyle name="40% - 강조색5 2 75" xfId="2781"/>
    <cellStyle name="40% - 강조색5 2 76" xfId="2782"/>
    <cellStyle name="40% - 강조색5 2 77" xfId="2783"/>
    <cellStyle name="40% - 강조색5 2 78" xfId="2784"/>
    <cellStyle name="40% - 강조색5 2 79" xfId="2785"/>
    <cellStyle name="40% - 강조색5 2 8" xfId="2786"/>
    <cellStyle name="40% - 강조색5 2 80" xfId="2787"/>
    <cellStyle name="40% - 강조색5 2 81" xfId="2788"/>
    <cellStyle name="40% - 강조색5 2 82" xfId="2789"/>
    <cellStyle name="40% - 강조색5 2 83" xfId="2790"/>
    <cellStyle name="40% - 강조색5 2 84" xfId="2791"/>
    <cellStyle name="40% - 강조색5 2 85" xfId="2792"/>
    <cellStyle name="40% - 강조색5 2 86" xfId="2793"/>
    <cellStyle name="40% - 강조색5 2 87" xfId="2794"/>
    <cellStyle name="40% - 강조색5 2 88" xfId="2795"/>
    <cellStyle name="40% - 강조색5 2 89" xfId="2796"/>
    <cellStyle name="40% - 강조색5 2 9" xfId="2797"/>
    <cellStyle name="40% - 강조색5 2 90" xfId="2798"/>
    <cellStyle name="40% - 강조색5 2 91" xfId="2799"/>
    <cellStyle name="40% - 강조색5 2 92" xfId="2800"/>
    <cellStyle name="40% - 강조색5 2 93" xfId="2801"/>
    <cellStyle name="40% - 강조색5 2 94" xfId="2802"/>
    <cellStyle name="40% - 강조색5 2 95" xfId="2803"/>
    <cellStyle name="40% - 강조색5 2 96" xfId="2804"/>
    <cellStyle name="40% - 강조색5 2 97" xfId="2805"/>
    <cellStyle name="40% - 강조색5 2 98" xfId="2806"/>
    <cellStyle name="40% - 강조색5 2 99" xfId="2807"/>
    <cellStyle name="40% - 강조색5 20" xfId="15645"/>
    <cellStyle name="40% - 강조색5 21" xfId="15646"/>
    <cellStyle name="40% - 강조색5 22" xfId="15647"/>
    <cellStyle name="40% - 강조색5 23" xfId="15648"/>
    <cellStyle name="40% - 강조색5 24" xfId="15649"/>
    <cellStyle name="40% - 강조색5 25" xfId="15650"/>
    <cellStyle name="40% - 강조색5 26" xfId="15651"/>
    <cellStyle name="40% - 강조색5 27" xfId="15652"/>
    <cellStyle name="40% - 강조색5 28" xfId="15653"/>
    <cellStyle name="40% - 강조색5 29" xfId="15654"/>
    <cellStyle name="40% - 강조색5 3" xfId="2808"/>
    <cellStyle name="40% - 강조색5 3 2" xfId="15655"/>
    <cellStyle name="40% - 강조색5 3 3" xfId="15656"/>
    <cellStyle name="40% - 강조색5 30" xfId="15657"/>
    <cellStyle name="40% - 강조색5 31" xfId="15658"/>
    <cellStyle name="40% - 강조색5 32" xfId="15659"/>
    <cellStyle name="40% - 강조색5 4" xfId="15660"/>
    <cellStyle name="40% - 강조색5 4 2" xfId="15661"/>
    <cellStyle name="40% - 강조색5 4 3" xfId="15662"/>
    <cellStyle name="40% - 강조색5 5" xfId="15663"/>
    <cellStyle name="40% - 강조색5 6" xfId="15664"/>
    <cellStyle name="40% - 강조색5 7" xfId="15665"/>
    <cellStyle name="40% - 강조색5 8" xfId="15666"/>
    <cellStyle name="40% - 강조색5 9" xfId="15667"/>
    <cellStyle name="40% - 강조색6 10" xfId="15668"/>
    <cellStyle name="40% - 강조색6 11" xfId="15669"/>
    <cellStyle name="40% - 강조색6 12" xfId="15670"/>
    <cellStyle name="40% - 강조색6 13" xfId="15671"/>
    <cellStyle name="40% - 강조색6 14" xfId="15672"/>
    <cellStyle name="40% - 강조색6 15" xfId="15673"/>
    <cellStyle name="40% - 강조색6 16" xfId="15674"/>
    <cellStyle name="40% - 강조색6 17" xfId="15675"/>
    <cellStyle name="40% - 강조색6 18" xfId="15676"/>
    <cellStyle name="40% - 강조색6 19" xfId="15677"/>
    <cellStyle name="40% - 강조색6 2" xfId="2809"/>
    <cellStyle name="40% - 강조색6 2 10" xfId="2810"/>
    <cellStyle name="40% - 강조색6 2 100" xfId="2811"/>
    <cellStyle name="40% - 강조색6 2 101" xfId="2812"/>
    <cellStyle name="40% - 강조색6 2 102" xfId="2813"/>
    <cellStyle name="40% - 강조색6 2 103" xfId="2814"/>
    <cellStyle name="40% - 강조색6 2 104" xfId="2815"/>
    <cellStyle name="40% - 강조색6 2 105" xfId="2816"/>
    <cellStyle name="40% - 강조색6 2 106" xfId="2817"/>
    <cellStyle name="40% - 강조색6 2 107" xfId="2818"/>
    <cellStyle name="40% - 강조색6 2 108" xfId="2819"/>
    <cellStyle name="40% - 강조색6 2 109" xfId="2820"/>
    <cellStyle name="40% - 강조색6 2 11" xfId="2821"/>
    <cellStyle name="40% - 강조색6 2 110" xfId="2822"/>
    <cellStyle name="40% - 강조색6 2 111" xfId="2823"/>
    <cellStyle name="40% - 강조색6 2 112" xfId="2824"/>
    <cellStyle name="40% - 강조색6 2 113" xfId="2825"/>
    <cellStyle name="40% - 강조색6 2 114" xfId="2826"/>
    <cellStyle name="40% - 강조색6 2 115" xfId="2827"/>
    <cellStyle name="40% - 강조색6 2 116" xfId="2828"/>
    <cellStyle name="40% - 강조색6 2 117" xfId="2829"/>
    <cellStyle name="40% - 강조색6 2 118" xfId="2830"/>
    <cellStyle name="40% - 강조색6 2 119" xfId="2831"/>
    <cellStyle name="40% - 강조색6 2 12" xfId="2832"/>
    <cellStyle name="40% - 강조색6 2 120" xfId="2833"/>
    <cellStyle name="40% - 강조색6 2 121" xfId="2834"/>
    <cellStyle name="40% - 강조색6 2 122" xfId="2835"/>
    <cellStyle name="40% - 강조색6 2 123" xfId="2836"/>
    <cellStyle name="40% - 강조색6 2 124" xfId="2837"/>
    <cellStyle name="40% - 강조색6 2 125" xfId="2838"/>
    <cellStyle name="40% - 강조색6 2 126" xfId="2839"/>
    <cellStyle name="40% - 강조색6 2 127" xfId="2840"/>
    <cellStyle name="40% - 강조색6 2 128" xfId="2841"/>
    <cellStyle name="40% - 강조색6 2 129" xfId="2842"/>
    <cellStyle name="40% - 강조색6 2 13" xfId="2843"/>
    <cellStyle name="40% - 강조색6 2 130" xfId="2844"/>
    <cellStyle name="40% - 강조색6 2 131" xfId="2845"/>
    <cellStyle name="40% - 강조색6 2 132" xfId="2846"/>
    <cellStyle name="40% - 강조색6 2 133" xfId="2847"/>
    <cellStyle name="40% - 강조색6 2 134" xfId="2848"/>
    <cellStyle name="40% - 강조색6 2 135" xfId="2849"/>
    <cellStyle name="40% - 강조색6 2 136" xfId="2850"/>
    <cellStyle name="40% - 강조색6 2 137" xfId="2851"/>
    <cellStyle name="40% - 강조색6 2 138" xfId="2852"/>
    <cellStyle name="40% - 강조색6 2 139" xfId="2853"/>
    <cellStyle name="40% - 강조색6 2 14" xfId="2854"/>
    <cellStyle name="40% - 강조색6 2 140" xfId="2855"/>
    <cellStyle name="40% - 강조색6 2 141" xfId="2856"/>
    <cellStyle name="40% - 강조색6 2 142" xfId="2857"/>
    <cellStyle name="40% - 강조색6 2 143" xfId="2858"/>
    <cellStyle name="40% - 강조색6 2 144" xfId="2859"/>
    <cellStyle name="40% - 강조색6 2 145" xfId="2860"/>
    <cellStyle name="40% - 강조색6 2 146" xfId="2861"/>
    <cellStyle name="40% - 강조색6 2 147" xfId="2862"/>
    <cellStyle name="40% - 강조색6 2 148" xfId="2863"/>
    <cellStyle name="40% - 강조색6 2 149" xfId="2864"/>
    <cellStyle name="40% - 강조색6 2 15" xfId="2865"/>
    <cellStyle name="40% - 강조색6 2 150" xfId="2866"/>
    <cellStyle name="40% - 강조색6 2 151" xfId="2867"/>
    <cellStyle name="40% - 강조색6 2 152" xfId="2868"/>
    <cellStyle name="40% - 강조색6 2 153" xfId="2869"/>
    <cellStyle name="40% - 강조색6 2 154" xfId="2870"/>
    <cellStyle name="40% - 강조색6 2 155" xfId="2871"/>
    <cellStyle name="40% - 강조색6 2 156" xfId="2872"/>
    <cellStyle name="40% - 강조색6 2 157" xfId="2873"/>
    <cellStyle name="40% - 강조색6 2 158" xfId="2874"/>
    <cellStyle name="40% - 강조색6 2 159" xfId="2875"/>
    <cellStyle name="40% - 강조색6 2 16" xfId="2876"/>
    <cellStyle name="40% - 강조색6 2 160" xfId="2877"/>
    <cellStyle name="40% - 강조색6 2 161" xfId="2878"/>
    <cellStyle name="40% - 강조색6 2 162" xfId="2879"/>
    <cellStyle name="40% - 강조색6 2 163" xfId="2880"/>
    <cellStyle name="40% - 강조색6 2 164" xfId="2881"/>
    <cellStyle name="40% - 강조색6 2 165" xfId="2882"/>
    <cellStyle name="40% - 강조색6 2 166" xfId="2883"/>
    <cellStyle name="40% - 강조색6 2 167" xfId="2884"/>
    <cellStyle name="40% - 강조색6 2 168" xfId="2885"/>
    <cellStyle name="40% - 강조색6 2 169" xfId="2886"/>
    <cellStyle name="40% - 강조색6 2 17" xfId="2887"/>
    <cellStyle name="40% - 강조색6 2 170" xfId="2888"/>
    <cellStyle name="40% - 강조색6 2 171" xfId="2889"/>
    <cellStyle name="40% - 강조색6 2 172" xfId="2890"/>
    <cellStyle name="40% - 강조색6 2 173" xfId="2891"/>
    <cellStyle name="40% - 강조색6 2 174" xfId="2892"/>
    <cellStyle name="40% - 강조색6 2 175" xfId="2893"/>
    <cellStyle name="40% - 강조색6 2 176" xfId="2894"/>
    <cellStyle name="40% - 강조색6 2 177" xfId="2895"/>
    <cellStyle name="40% - 강조색6 2 178" xfId="2896"/>
    <cellStyle name="40% - 강조색6 2 179" xfId="2897"/>
    <cellStyle name="40% - 강조색6 2 18" xfId="2898"/>
    <cellStyle name="40% - 강조색6 2 180" xfId="2899"/>
    <cellStyle name="40% - 강조색6 2 181" xfId="2900"/>
    <cellStyle name="40% - 강조색6 2 182" xfId="2901"/>
    <cellStyle name="40% - 강조색6 2 183" xfId="2902"/>
    <cellStyle name="40% - 강조색6 2 184" xfId="2903"/>
    <cellStyle name="40% - 강조색6 2 185" xfId="2904"/>
    <cellStyle name="40% - 강조색6 2 186" xfId="2905"/>
    <cellStyle name="40% - 강조색6 2 187" xfId="2906"/>
    <cellStyle name="40% - 강조색6 2 188" xfId="2907"/>
    <cellStyle name="40% - 강조색6 2 189" xfId="2908"/>
    <cellStyle name="40% - 강조색6 2 19" xfId="2909"/>
    <cellStyle name="40% - 강조색6 2 190" xfId="2910"/>
    <cellStyle name="40% - 강조색6 2 191" xfId="2911"/>
    <cellStyle name="40% - 강조색6 2 192" xfId="2912"/>
    <cellStyle name="40% - 강조색6 2 193" xfId="2913"/>
    <cellStyle name="40% - 강조색6 2 194" xfId="2914"/>
    <cellStyle name="40% - 강조색6 2 195" xfId="2915"/>
    <cellStyle name="40% - 강조색6 2 196" xfId="2916"/>
    <cellStyle name="40% - 강조색6 2 197" xfId="2917"/>
    <cellStyle name="40% - 강조색6 2 198" xfId="2918"/>
    <cellStyle name="40% - 강조색6 2 199" xfId="2919"/>
    <cellStyle name="40% - 강조색6 2 2" xfId="2920"/>
    <cellStyle name="40% - 강조색6 2 20" xfId="2921"/>
    <cellStyle name="40% - 강조색6 2 200" xfId="2922"/>
    <cellStyle name="40% - 강조색6 2 201" xfId="2923"/>
    <cellStyle name="40% - 강조색6 2 202" xfId="2924"/>
    <cellStyle name="40% - 강조색6 2 203" xfId="2925"/>
    <cellStyle name="40% - 강조색6 2 204" xfId="2926"/>
    <cellStyle name="40% - 강조색6 2 205" xfId="2927"/>
    <cellStyle name="40% - 강조색6 2 206" xfId="2928"/>
    <cellStyle name="40% - 강조색6 2 207" xfId="2929"/>
    <cellStyle name="40% - 강조색6 2 208" xfId="2930"/>
    <cellStyle name="40% - 강조색6 2 209" xfId="2931"/>
    <cellStyle name="40% - 강조색6 2 21" xfId="2932"/>
    <cellStyle name="40% - 강조색6 2 210" xfId="2933"/>
    <cellStyle name="40% - 강조색6 2 211" xfId="2934"/>
    <cellStyle name="40% - 강조색6 2 212" xfId="2935"/>
    <cellStyle name="40% - 강조색6 2 213" xfId="2936"/>
    <cellStyle name="40% - 강조색6 2 214" xfId="2937"/>
    <cellStyle name="40% - 강조색6 2 215" xfId="2938"/>
    <cellStyle name="40% - 강조색6 2 216" xfId="2939"/>
    <cellStyle name="40% - 강조색6 2 217" xfId="2940"/>
    <cellStyle name="40% - 강조색6 2 218" xfId="2941"/>
    <cellStyle name="40% - 강조색6 2 219" xfId="2942"/>
    <cellStyle name="40% - 강조색6 2 22" xfId="2943"/>
    <cellStyle name="40% - 강조색6 2 220" xfId="2944"/>
    <cellStyle name="40% - 강조색6 2 221" xfId="2945"/>
    <cellStyle name="40% - 강조색6 2 222" xfId="2946"/>
    <cellStyle name="40% - 강조색6 2 223" xfId="2947"/>
    <cellStyle name="40% - 강조색6 2 224" xfId="2948"/>
    <cellStyle name="40% - 강조색6 2 225" xfId="2949"/>
    <cellStyle name="40% - 강조색6 2 226" xfId="2950"/>
    <cellStyle name="40% - 강조색6 2 227" xfId="2951"/>
    <cellStyle name="40% - 강조색6 2 228" xfId="2952"/>
    <cellStyle name="40% - 강조색6 2 229" xfId="2953"/>
    <cellStyle name="40% - 강조색6 2 23" xfId="2954"/>
    <cellStyle name="40% - 강조색6 2 230" xfId="2955"/>
    <cellStyle name="40% - 강조색6 2 231" xfId="2956"/>
    <cellStyle name="40% - 강조색6 2 232" xfId="2957"/>
    <cellStyle name="40% - 강조색6 2 233" xfId="2958"/>
    <cellStyle name="40% - 강조색6 2 234" xfId="2959"/>
    <cellStyle name="40% - 강조색6 2 235" xfId="2960"/>
    <cellStyle name="40% - 강조색6 2 236" xfId="2961"/>
    <cellStyle name="40% - 강조색6 2 237" xfId="2962"/>
    <cellStyle name="40% - 강조색6 2 238" xfId="2963"/>
    <cellStyle name="40% - 강조색6 2 239" xfId="2964"/>
    <cellStyle name="40% - 강조색6 2 24" xfId="2965"/>
    <cellStyle name="40% - 강조색6 2 240" xfId="2966"/>
    <cellStyle name="40% - 강조색6 2 241" xfId="2967"/>
    <cellStyle name="40% - 강조색6 2 242" xfId="2968"/>
    <cellStyle name="40% - 강조색6 2 25" xfId="2969"/>
    <cellStyle name="40% - 강조색6 2 26" xfId="2970"/>
    <cellStyle name="40% - 강조색6 2 27" xfId="2971"/>
    <cellStyle name="40% - 강조색6 2 28" xfId="2972"/>
    <cellStyle name="40% - 강조색6 2 29" xfId="2973"/>
    <cellStyle name="40% - 강조색6 2 3" xfId="2974"/>
    <cellStyle name="40% - 강조색6 2 30" xfId="2975"/>
    <cellStyle name="40% - 강조색6 2 31" xfId="2976"/>
    <cellStyle name="40% - 강조색6 2 32" xfId="2977"/>
    <cellStyle name="40% - 강조색6 2 33" xfId="2978"/>
    <cellStyle name="40% - 강조색6 2 34" xfId="2979"/>
    <cellStyle name="40% - 강조색6 2 35" xfId="2980"/>
    <cellStyle name="40% - 강조색6 2 36" xfId="2981"/>
    <cellStyle name="40% - 강조색6 2 37" xfId="2982"/>
    <cellStyle name="40% - 강조색6 2 38" xfId="2983"/>
    <cellStyle name="40% - 강조색6 2 39" xfId="2984"/>
    <cellStyle name="40% - 강조색6 2 4" xfId="2985"/>
    <cellStyle name="40% - 강조색6 2 40" xfId="2986"/>
    <cellStyle name="40% - 강조색6 2 41" xfId="2987"/>
    <cellStyle name="40% - 강조색6 2 42" xfId="2988"/>
    <cellStyle name="40% - 강조색6 2 43" xfId="2989"/>
    <cellStyle name="40% - 강조색6 2 44" xfId="2990"/>
    <cellStyle name="40% - 강조색6 2 45" xfId="2991"/>
    <cellStyle name="40% - 강조색6 2 46" xfId="2992"/>
    <cellStyle name="40% - 강조색6 2 47" xfId="2993"/>
    <cellStyle name="40% - 강조색6 2 48" xfId="2994"/>
    <cellStyle name="40% - 강조색6 2 49" xfId="2995"/>
    <cellStyle name="40% - 강조색6 2 5" xfId="2996"/>
    <cellStyle name="40% - 강조색6 2 50" xfId="2997"/>
    <cellStyle name="40% - 강조색6 2 51" xfId="2998"/>
    <cellStyle name="40% - 강조색6 2 52" xfId="2999"/>
    <cellStyle name="40% - 강조색6 2 53" xfId="3000"/>
    <cellStyle name="40% - 강조색6 2 54" xfId="3001"/>
    <cellStyle name="40% - 강조색6 2 55" xfId="3002"/>
    <cellStyle name="40% - 강조색6 2 56" xfId="3003"/>
    <cellStyle name="40% - 강조색6 2 57" xfId="3004"/>
    <cellStyle name="40% - 강조색6 2 58" xfId="3005"/>
    <cellStyle name="40% - 강조색6 2 59" xfId="3006"/>
    <cellStyle name="40% - 강조색6 2 6" xfId="3007"/>
    <cellStyle name="40% - 강조색6 2 60" xfId="3008"/>
    <cellStyle name="40% - 강조색6 2 61" xfId="3009"/>
    <cellStyle name="40% - 강조색6 2 62" xfId="3010"/>
    <cellStyle name="40% - 강조색6 2 63" xfId="3011"/>
    <cellStyle name="40% - 강조색6 2 64" xfId="3012"/>
    <cellStyle name="40% - 강조색6 2 65" xfId="3013"/>
    <cellStyle name="40% - 강조색6 2 66" xfId="3014"/>
    <cellStyle name="40% - 강조색6 2 67" xfId="3015"/>
    <cellStyle name="40% - 강조색6 2 68" xfId="3016"/>
    <cellStyle name="40% - 강조색6 2 69" xfId="3017"/>
    <cellStyle name="40% - 강조색6 2 7" xfId="3018"/>
    <cellStyle name="40% - 강조색6 2 70" xfId="3019"/>
    <cellStyle name="40% - 강조색6 2 71" xfId="3020"/>
    <cellStyle name="40% - 강조색6 2 72" xfId="3021"/>
    <cellStyle name="40% - 강조색6 2 73" xfId="3022"/>
    <cellStyle name="40% - 강조색6 2 74" xfId="3023"/>
    <cellStyle name="40% - 강조색6 2 75" xfId="3024"/>
    <cellStyle name="40% - 강조색6 2 76" xfId="3025"/>
    <cellStyle name="40% - 강조색6 2 77" xfId="3026"/>
    <cellStyle name="40% - 강조색6 2 78" xfId="3027"/>
    <cellStyle name="40% - 강조색6 2 79" xfId="3028"/>
    <cellStyle name="40% - 강조색6 2 8" xfId="3029"/>
    <cellStyle name="40% - 강조색6 2 80" xfId="3030"/>
    <cellStyle name="40% - 강조색6 2 81" xfId="3031"/>
    <cellStyle name="40% - 강조색6 2 82" xfId="3032"/>
    <cellStyle name="40% - 강조색6 2 83" xfId="3033"/>
    <cellStyle name="40% - 강조색6 2 84" xfId="3034"/>
    <cellStyle name="40% - 강조색6 2 85" xfId="3035"/>
    <cellStyle name="40% - 강조색6 2 86" xfId="3036"/>
    <cellStyle name="40% - 강조색6 2 87" xfId="3037"/>
    <cellStyle name="40% - 강조색6 2 88" xfId="3038"/>
    <cellStyle name="40% - 강조색6 2 89" xfId="3039"/>
    <cellStyle name="40% - 강조색6 2 9" xfId="3040"/>
    <cellStyle name="40% - 강조색6 2 90" xfId="3041"/>
    <cellStyle name="40% - 강조색6 2 91" xfId="3042"/>
    <cellStyle name="40% - 강조색6 2 92" xfId="3043"/>
    <cellStyle name="40% - 강조색6 2 93" xfId="3044"/>
    <cellStyle name="40% - 강조색6 2 94" xfId="3045"/>
    <cellStyle name="40% - 강조색6 2 95" xfId="3046"/>
    <cellStyle name="40% - 강조색6 2 96" xfId="3047"/>
    <cellStyle name="40% - 강조색6 2 97" xfId="3048"/>
    <cellStyle name="40% - 강조색6 2 98" xfId="3049"/>
    <cellStyle name="40% - 강조색6 2 99" xfId="3050"/>
    <cellStyle name="40% - 강조색6 20" xfId="15678"/>
    <cellStyle name="40% - 강조색6 21" xfId="15679"/>
    <cellStyle name="40% - 강조색6 22" xfId="15680"/>
    <cellStyle name="40% - 강조색6 23" xfId="15681"/>
    <cellStyle name="40% - 강조색6 24" xfId="15682"/>
    <cellStyle name="40% - 강조색6 25" xfId="15683"/>
    <cellStyle name="40% - 강조색6 26" xfId="15684"/>
    <cellStyle name="40% - 강조색6 27" xfId="15685"/>
    <cellStyle name="40% - 강조색6 28" xfId="15686"/>
    <cellStyle name="40% - 강조색6 29" xfId="15687"/>
    <cellStyle name="40% - 강조색6 3" xfId="3051"/>
    <cellStyle name="40% - 강조색6 3 2" xfId="15688"/>
    <cellStyle name="40% - 강조색6 3 3" xfId="15689"/>
    <cellStyle name="40% - 강조색6 3 4" xfId="15690"/>
    <cellStyle name="40% - 강조색6 30" xfId="15691"/>
    <cellStyle name="40% - 강조색6 31" xfId="15692"/>
    <cellStyle name="40% - 강조색6 32" xfId="15693"/>
    <cellStyle name="40% - 강조색6 4" xfId="15694"/>
    <cellStyle name="40% - 강조색6 4 2" xfId="15695"/>
    <cellStyle name="40% - 강조색6 4 3" xfId="15696"/>
    <cellStyle name="40% - 강조색6 5" xfId="15697"/>
    <cellStyle name="40% - 강조색6 6" xfId="15698"/>
    <cellStyle name="40% - 강조색6 7" xfId="15699"/>
    <cellStyle name="40% - 강조색6 8" xfId="15700"/>
    <cellStyle name="40% - 강조색6 9" xfId="15701"/>
    <cellStyle name="4PL0 _x0008_" xfId="3052"/>
    <cellStyle name="60% - Accent1" xfId="3053"/>
    <cellStyle name="60% - Accent1 2" xfId="15702"/>
    <cellStyle name="60% - Accent1 3" xfId="15703"/>
    <cellStyle name="60% - Accent2" xfId="3054"/>
    <cellStyle name="60% - Accent2 2" xfId="15704"/>
    <cellStyle name="60% - Accent2 3" xfId="15705"/>
    <cellStyle name="60% - Accent3" xfId="3055"/>
    <cellStyle name="60% - Accent3 2" xfId="15706"/>
    <cellStyle name="60% - Accent3 3" xfId="15707"/>
    <cellStyle name="60% - Accent4" xfId="3056"/>
    <cellStyle name="60% - Accent4 2" xfId="15708"/>
    <cellStyle name="60% - Accent4 3" xfId="15709"/>
    <cellStyle name="60% - Accent5" xfId="3057"/>
    <cellStyle name="60% - Accent5 2" xfId="15710"/>
    <cellStyle name="60% - Accent5 3" xfId="15711"/>
    <cellStyle name="60% - Accent6" xfId="3058"/>
    <cellStyle name="60% - Accent6 2" xfId="15712"/>
    <cellStyle name="60% - Accent6 3" xfId="15713"/>
    <cellStyle name="60% - akcent 1" xfId="15714"/>
    <cellStyle name="60% - akcent 2" xfId="15715"/>
    <cellStyle name="60% - akcent 3" xfId="15716"/>
    <cellStyle name="60% - akcent 4" xfId="15717"/>
    <cellStyle name="60% - akcent 5" xfId="15718"/>
    <cellStyle name="60% - akcent 6" xfId="15719"/>
    <cellStyle name="60% - Akzent1" xfId="15720"/>
    <cellStyle name="60% - Akzent2" xfId="15721"/>
    <cellStyle name="60% - Akzent3" xfId="15722"/>
    <cellStyle name="60% - Akzent4" xfId="15723"/>
    <cellStyle name="60% - Akzent5" xfId="15724"/>
    <cellStyle name="60% - Akzent6" xfId="15725"/>
    <cellStyle name="60% - 强调文字颜色 1" xfId="3059"/>
    <cellStyle name="60% - 强调文字颜色 2" xfId="3060"/>
    <cellStyle name="60% - 强调文字颜色 3" xfId="3061"/>
    <cellStyle name="60% - 强调文字颜色 4" xfId="3062"/>
    <cellStyle name="60% - 强调文字颜色 5" xfId="3063"/>
    <cellStyle name="60% - 强调文字颜色 6" xfId="3064"/>
    <cellStyle name="60% - 강조색1 10" xfId="15726"/>
    <cellStyle name="60% - 강조색1 11" xfId="15727"/>
    <cellStyle name="60% - 강조색1 12" xfId="15728"/>
    <cellStyle name="60% - 강조색1 13" xfId="15729"/>
    <cellStyle name="60% - 강조색1 14" xfId="15730"/>
    <cellStyle name="60% - 강조색1 15" xfId="15731"/>
    <cellStyle name="60% - 강조색1 16" xfId="15732"/>
    <cellStyle name="60% - 강조색1 17" xfId="15733"/>
    <cellStyle name="60% - 강조색1 18" xfId="15734"/>
    <cellStyle name="60% - 강조색1 19" xfId="15735"/>
    <cellStyle name="60% - 강조색1 2" xfId="3065"/>
    <cellStyle name="60% - 강조색1 2 10" xfId="3066"/>
    <cellStyle name="60% - 강조색1 2 100" xfId="3067"/>
    <cellStyle name="60% - 강조색1 2 101" xfId="3068"/>
    <cellStyle name="60% - 강조색1 2 102" xfId="3069"/>
    <cellStyle name="60% - 강조색1 2 103" xfId="3070"/>
    <cellStyle name="60% - 강조색1 2 104" xfId="3071"/>
    <cellStyle name="60% - 강조색1 2 105" xfId="3072"/>
    <cellStyle name="60% - 강조색1 2 106" xfId="3073"/>
    <cellStyle name="60% - 강조색1 2 107" xfId="3074"/>
    <cellStyle name="60% - 강조색1 2 108" xfId="3075"/>
    <cellStyle name="60% - 강조색1 2 109" xfId="3076"/>
    <cellStyle name="60% - 강조색1 2 11" xfId="3077"/>
    <cellStyle name="60% - 강조색1 2 110" xfId="3078"/>
    <cellStyle name="60% - 강조색1 2 111" xfId="3079"/>
    <cellStyle name="60% - 강조색1 2 112" xfId="3080"/>
    <cellStyle name="60% - 강조색1 2 113" xfId="3081"/>
    <cellStyle name="60% - 강조색1 2 114" xfId="3082"/>
    <cellStyle name="60% - 강조색1 2 115" xfId="3083"/>
    <cellStyle name="60% - 강조색1 2 116" xfId="3084"/>
    <cellStyle name="60% - 강조색1 2 117" xfId="3085"/>
    <cellStyle name="60% - 강조색1 2 118" xfId="3086"/>
    <cellStyle name="60% - 강조색1 2 119" xfId="3087"/>
    <cellStyle name="60% - 강조색1 2 12" xfId="3088"/>
    <cellStyle name="60% - 강조색1 2 120" xfId="3089"/>
    <cellStyle name="60% - 강조색1 2 121" xfId="3090"/>
    <cellStyle name="60% - 강조색1 2 122" xfId="3091"/>
    <cellStyle name="60% - 강조색1 2 123" xfId="3092"/>
    <cellStyle name="60% - 강조색1 2 124" xfId="3093"/>
    <cellStyle name="60% - 강조색1 2 125" xfId="3094"/>
    <cellStyle name="60% - 강조색1 2 126" xfId="3095"/>
    <cellStyle name="60% - 강조색1 2 127" xfId="3096"/>
    <cellStyle name="60% - 강조색1 2 128" xfId="3097"/>
    <cellStyle name="60% - 강조색1 2 129" xfId="3098"/>
    <cellStyle name="60% - 강조색1 2 13" xfId="3099"/>
    <cellStyle name="60% - 강조색1 2 130" xfId="3100"/>
    <cellStyle name="60% - 강조색1 2 131" xfId="3101"/>
    <cellStyle name="60% - 강조색1 2 132" xfId="3102"/>
    <cellStyle name="60% - 강조색1 2 133" xfId="3103"/>
    <cellStyle name="60% - 강조색1 2 134" xfId="3104"/>
    <cellStyle name="60% - 강조색1 2 135" xfId="3105"/>
    <cellStyle name="60% - 강조색1 2 136" xfId="3106"/>
    <cellStyle name="60% - 강조색1 2 137" xfId="3107"/>
    <cellStyle name="60% - 강조색1 2 138" xfId="3108"/>
    <cellStyle name="60% - 강조색1 2 139" xfId="3109"/>
    <cellStyle name="60% - 강조색1 2 14" xfId="3110"/>
    <cellStyle name="60% - 강조색1 2 140" xfId="3111"/>
    <cellStyle name="60% - 강조색1 2 141" xfId="3112"/>
    <cellStyle name="60% - 강조색1 2 142" xfId="3113"/>
    <cellStyle name="60% - 강조색1 2 143" xfId="3114"/>
    <cellStyle name="60% - 강조색1 2 144" xfId="3115"/>
    <cellStyle name="60% - 강조색1 2 145" xfId="3116"/>
    <cellStyle name="60% - 강조색1 2 146" xfId="3117"/>
    <cellStyle name="60% - 강조색1 2 147" xfId="3118"/>
    <cellStyle name="60% - 강조색1 2 148" xfId="3119"/>
    <cellStyle name="60% - 강조색1 2 149" xfId="3120"/>
    <cellStyle name="60% - 강조색1 2 15" xfId="3121"/>
    <cellStyle name="60% - 강조색1 2 150" xfId="3122"/>
    <cellStyle name="60% - 강조색1 2 151" xfId="3123"/>
    <cellStyle name="60% - 강조색1 2 152" xfId="3124"/>
    <cellStyle name="60% - 강조색1 2 153" xfId="3125"/>
    <cellStyle name="60% - 강조색1 2 154" xfId="3126"/>
    <cellStyle name="60% - 강조색1 2 155" xfId="3127"/>
    <cellStyle name="60% - 강조색1 2 156" xfId="3128"/>
    <cellStyle name="60% - 강조색1 2 157" xfId="3129"/>
    <cellStyle name="60% - 강조색1 2 158" xfId="3130"/>
    <cellStyle name="60% - 강조색1 2 159" xfId="3131"/>
    <cellStyle name="60% - 강조색1 2 16" xfId="3132"/>
    <cellStyle name="60% - 강조색1 2 160" xfId="3133"/>
    <cellStyle name="60% - 강조색1 2 161" xfId="3134"/>
    <cellStyle name="60% - 강조색1 2 162" xfId="3135"/>
    <cellStyle name="60% - 강조색1 2 163" xfId="3136"/>
    <cellStyle name="60% - 강조색1 2 164" xfId="3137"/>
    <cellStyle name="60% - 강조색1 2 165" xfId="3138"/>
    <cellStyle name="60% - 강조색1 2 166" xfId="3139"/>
    <cellStyle name="60% - 강조색1 2 167" xfId="3140"/>
    <cellStyle name="60% - 강조색1 2 168" xfId="3141"/>
    <cellStyle name="60% - 강조색1 2 169" xfId="3142"/>
    <cellStyle name="60% - 강조색1 2 17" xfId="3143"/>
    <cellStyle name="60% - 강조색1 2 170" xfId="3144"/>
    <cellStyle name="60% - 강조색1 2 171" xfId="3145"/>
    <cellStyle name="60% - 강조색1 2 172" xfId="3146"/>
    <cellStyle name="60% - 강조색1 2 173" xfId="3147"/>
    <cellStyle name="60% - 강조색1 2 174" xfId="3148"/>
    <cellStyle name="60% - 강조색1 2 175" xfId="3149"/>
    <cellStyle name="60% - 강조색1 2 176" xfId="3150"/>
    <cellStyle name="60% - 강조색1 2 177" xfId="3151"/>
    <cellStyle name="60% - 강조색1 2 178" xfId="3152"/>
    <cellStyle name="60% - 강조색1 2 179" xfId="3153"/>
    <cellStyle name="60% - 강조색1 2 18" xfId="3154"/>
    <cellStyle name="60% - 강조색1 2 180" xfId="3155"/>
    <cellStyle name="60% - 강조색1 2 181" xfId="3156"/>
    <cellStyle name="60% - 강조색1 2 182" xfId="3157"/>
    <cellStyle name="60% - 강조색1 2 183" xfId="3158"/>
    <cellStyle name="60% - 강조색1 2 184" xfId="3159"/>
    <cellStyle name="60% - 강조색1 2 185" xfId="3160"/>
    <cellStyle name="60% - 강조색1 2 186" xfId="3161"/>
    <cellStyle name="60% - 강조색1 2 187" xfId="3162"/>
    <cellStyle name="60% - 강조색1 2 188" xfId="3163"/>
    <cellStyle name="60% - 강조색1 2 189" xfId="3164"/>
    <cellStyle name="60% - 강조색1 2 19" xfId="3165"/>
    <cellStyle name="60% - 강조색1 2 190" xfId="3166"/>
    <cellStyle name="60% - 강조색1 2 191" xfId="3167"/>
    <cellStyle name="60% - 강조색1 2 192" xfId="3168"/>
    <cellStyle name="60% - 강조색1 2 193" xfId="3169"/>
    <cellStyle name="60% - 강조색1 2 194" xfId="3170"/>
    <cellStyle name="60% - 강조색1 2 195" xfId="3171"/>
    <cellStyle name="60% - 강조색1 2 196" xfId="3172"/>
    <cellStyle name="60% - 강조색1 2 197" xfId="3173"/>
    <cellStyle name="60% - 강조색1 2 198" xfId="3174"/>
    <cellStyle name="60% - 강조색1 2 199" xfId="3175"/>
    <cellStyle name="60% - 강조색1 2 2" xfId="3176"/>
    <cellStyle name="60% - 강조색1 2 20" xfId="3177"/>
    <cellStyle name="60% - 강조색1 2 200" xfId="3178"/>
    <cellStyle name="60% - 강조색1 2 201" xfId="3179"/>
    <cellStyle name="60% - 강조색1 2 202" xfId="3180"/>
    <cellStyle name="60% - 강조색1 2 203" xfId="3181"/>
    <cellStyle name="60% - 강조색1 2 204" xfId="3182"/>
    <cellStyle name="60% - 강조색1 2 205" xfId="3183"/>
    <cellStyle name="60% - 강조색1 2 206" xfId="3184"/>
    <cellStyle name="60% - 강조색1 2 207" xfId="3185"/>
    <cellStyle name="60% - 강조색1 2 208" xfId="3186"/>
    <cellStyle name="60% - 강조색1 2 209" xfId="3187"/>
    <cellStyle name="60% - 강조색1 2 21" xfId="3188"/>
    <cellStyle name="60% - 강조색1 2 210" xfId="3189"/>
    <cellStyle name="60% - 강조색1 2 211" xfId="3190"/>
    <cellStyle name="60% - 강조색1 2 212" xfId="3191"/>
    <cellStyle name="60% - 강조색1 2 213" xfId="3192"/>
    <cellStyle name="60% - 강조색1 2 214" xfId="3193"/>
    <cellStyle name="60% - 강조색1 2 215" xfId="3194"/>
    <cellStyle name="60% - 강조색1 2 216" xfId="3195"/>
    <cellStyle name="60% - 강조색1 2 217" xfId="3196"/>
    <cellStyle name="60% - 강조색1 2 218" xfId="3197"/>
    <cellStyle name="60% - 강조색1 2 219" xfId="3198"/>
    <cellStyle name="60% - 강조색1 2 22" xfId="3199"/>
    <cellStyle name="60% - 강조색1 2 220" xfId="3200"/>
    <cellStyle name="60% - 강조색1 2 221" xfId="3201"/>
    <cellStyle name="60% - 강조색1 2 222" xfId="3202"/>
    <cellStyle name="60% - 강조색1 2 223" xfId="3203"/>
    <cellStyle name="60% - 강조색1 2 224" xfId="3204"/>
    <cellStyle name="60% - 강조색1 2 225" xfId="3205"/>
    <cellStyle name="60% - 강조색1 2 226" xfId="3206"/>
    <cellStyle name="60% - 강조색1 2 227" xfId="3207"/>
    <cellStyle name="60% - 강조색1 2 228" xfId="3208"/>
    <cellStyle name="60% - 강조색1 2 229" xfId="3209"/>
    <cellStyle name="60% - 강조색1 2 23" xfId="3210"/>
    <cellStyle name="60% - 강조색1 2 230" xfId="3211"/>
    <cellStyle name="60% - 강조색1 2 231" xfId="3212"/>
    <cellStyle name="60% - 강조색1 2 232" xfId="3213"/>
    <cellStyle name="60% - 강조색1 2 233" xfId="3214"/>
    <cellStyle name="60% - 강조색1 2 234" xfId="3215"/>
    <cellStyle name="60% - 강조색1 2 235" xfId="3216"/>
    <cellStyle name="60% - 강조색1 2 236" xfId="3217"/>
    <cellStyle name="60% - 강조색1 2 237" xfId="3218"/>
    <cellStyle name="60% - 강조색1 2 238" xfId="3219"/>
    <cellStyle name="60% - 강조색1 2 239" xfId="3220"/>
    <cellStyle name="60% - 강조색1 2 24" xfId="3221"/>
    <cellStyle name="60% - 강조색1 2 240" xfId="3222"/>
    <cellStyle name="60% - 강조색1 2 241" xfId="3223"/>
    <cellStyle name="60% - 강조색1 2 25" xfId="3224"/>
    <cellStyle name="60% - 강조색1 2 26" xfId="3225"/>
    <cellStyle name="60% - 강조색1 2 27" xfId="3226"/>
    <cellStyle name="60% - 강조색1 2 28" xfId="3227"/>
    <cellStyle name="60% - 강조색1 2 29" xfId="3228"/>
    <cellStyle name="60% - 강조색1 2 3" xfId="3229"/>
    <cellStyle name="60% - 강조색1 2 30" xfId="3230"/>
    <cellStyle name="60% - 강조색1 2 31" xfId="3231"/>
    <cellStyle name="60% - 강조색1 2 32" xfId="3232"/>
    <cellStyle name="60% - 강조색1 2 33" xfId="3233"/>
    <cellStyle name="60% - 강조색1 2 34" xfId="3234"/>
    <cellStyle name="60% - 강조색1 2 35" xfId="3235"/>
    <cellStyle name="60% - 강조색1 2 36" xfId="3236"/>
    <cellStyle name="60% - 강조색1 2 37" xfId="3237"/>
    <cellStyle name="60% - 강조색1 2 38" xfId="3238"/>
    <cellStyle name="60% - 강조색1 2 39" xfId="3239"/>
    <cellStyle name="60% - 강조색1 2 4" xfId="3240"/>
    <cellStyle name="60% - 강조색1 2 40" xfId="3241"/>
    <cellStyle name="60% - 강조색1 2 41" xfId="3242"/>
    <cellStyle name="60% - 강조색1 2 42" xfId="3243"/>
    <cellStyle name="60% - 강조색1 2 43" xfId="3244"/>
    <cellStyle name="60% - 강조색1 2 44" xfId="3245"/>
    <cellStyle name="60% - 강조색1 2 45" xfId="3246"/>
    <cellStyle name="60% - 강조색1 2 46" xfId="3247"/>
    <cellStyle name="60% - 강조색1 2 47" xfId="3248"/>
    <cellStyle name="60% - 강조색1 2 48" xfId="3249"/>
    <cellStyle name="60% - 강조색1 2 49" xfId="3250"/>
    <cellStyle name="60% - 강조색1 2 5" xfId="3251"/>
    <cellStyle name="60% - 강조색1 2 50" xfId="3252"/>
    <cellStyle name="60% - 강조색1 2 51" xfId="3253"/>
    <cellStyle name="60% - 강조색1 2 52" xfId="3254"/>
    <cellStyle name="60% - 강조색1 2 53" xfId="3255"/>
    <cellStyle name="60% - 강조색1 2 54" xfId="3256"/>
    <cellStyle name="60% - 강조색1 2 55" xfId="3257"/>
    <cellStyle name="60% - 강조색1 2 56" xfId="3258"/>
    <cellStyle name="60% - 강조색1 2 57" xfId="3259"/>
    <cellStyle name="60% - 강조색1 2 58" xfId="3260"/>
    <cellStyle name="60% - 강조색1 2 59" xfId="3261"/>
    <cellStyle name="60% - 강조색1 2 6" xfId="3262"/>
    <cellStyle name="60% - 강조색1 2 60" xfId="3263"/>
    <cellStyle name="60% - 강조색1 2 61" xfId="3264"/>
    <cellStyle name="60% - 강조색1 2 62" xfId="3265"/>
    <cellStyle name="60% - 강조색1 2 63" xfId="3266"/>
    <cellStyle name="60% - 강조색1 2 64" xfId="3267"/>
    <cellStyle name="60% - 강조색1 2 65" xfId="3268"/>
    <cellStyle name="60% - 강조색1 2 66" xfId="3269"/>
    <cellStyle name="60% - 강조색1 2 67" xfId="3270"/>
    <cellStyle name="60% - 강조색1 2 68" xfId="3271"/>
    <cellStyle name="60% - 강조색1 2 69" xfId="3272"/>
    <cellStyle name="60% - 강조색1 2 7" xfId="3273"/>
    <cellStyle name="60% - 강조색1 2 70" xfId="3274"/>
    <cellStyle name="60% - 강조색1 2 71" xfId="3275"/>
    <cellStyle name="60% - 강조색1 2 72" xfId="3276"/>
    <cellStyle name="60% - 강조색1 2 73" xfId="3277"/>
    <cellStyle name="60% - 강조색1 2 74" xfId="3278"/>
    <cellStyle name="60% - 강조색1 2 75" xfId="3279"/>
    <cellStyle name="60% - 강조색1 2 76" xfId="3280"/>
    <cellStyle name="60% - 강조색1 2 77" xfId="3281"/>
    <cellStyle name="60% - 강조색1 2 78" xfId="3282"/>
    <cellStyle name="60% - 강조색1 2 79" xfId="3283"/>
    <cellStyle name="60% - 강조색1 2 8" xfId="3284"/>
    <cellStyle name="60% - 강조색1 2 80" xfId="3285"/>
    <cellStyle name="60% - 강조색1 2 81" xfId="3286"/>
    <cellStyle name="60% - 강조색1 2 82" xfId="3287"/>
    <cellStyle name="60% - 강조색1 2 83" xfId="3288"/>
    <cellStyle name="60% - 강조색1 2 84" xfId="3289"/>
    <cellStyle name="60% - 강조색1 2 85" xfId="3290"/>
    <cellStyle name="60% - 강조색1 2 86" xfId="3291"/>
    <cellStyle name="60% - 강조색1 2 87" xfId="3292"/>
    <cellStyle name="60% - 강조색1 2 88" xfId="3293"/>
    <cellStyle name="60% - 강조색1 2 89" xfId="3294"/>
    <cellStyle name="60% - 강조색1 2 9" xfId="3295"/>
    <cellStyle name="60% - 강조색1 2 90" xfId="3296"/>
    <cellStyle name="60% - 강조색1 2 91" xfId="3297"/>
    <cellStyle name="60% - 강조색1 2 92" xfId="3298"/>
    <cellStyle name="60% - 강조색1 2 93" xfId="3299"/>
    <cellStyle name="60% - 강조색1 2 94" xfId="3300"/>
    <cellStyle name="60% - 강조색1 2 95" xfId="3301"/>
    <cellStyle name="60% - 강조색1 2 96" xfId="3302"/>
    <cellStyle name="60% - 강조색1 2 97" xfId="3303"/>
    <cellStyle name="60% - 강조색1 2 98" xfId="3304"/>
    <cellStyle name="60% - 강조색1 2 99" xfId="3305"/>
    <cellStyle name="60% - 강조색1 20" xfId="15736"/>
    <cellStyle name="60% - 강조색1 21" xfId="15737"/>
    <cellStyle name="60% - 강조색1 22" xfId="15738"/>
    <cellStyle name="60% - 강조색1 23" xfId="15739"/>
    <cellStyle name="60% - 강조색1 24" xfId="15740"/>
    <cellStyle name="60% - 강조색1 25" xfId="15741"/>
    <cellStyle name="60% - 강조색1 26" xfId="15742"/>
    <cellStyle name="60% - 강조색1 27" xfId="15743"/>
    <cellStyle name="60% - 강조색1 28" xfId="15744"/>
    <cellStyle name="60% - 강조색1 29" xfId="15745"/>
    <cellStyle name="60% - 강조색1 3" xfId="15746"/>
    <cellStyle name="60% - 강조색1 3 2" xfId="15747"/>
    <cellStyle name="60% - 강조색1 3 3" xfId="15748"/>
    <cellStyle name="60% - 강조색1 3 4" xfId="15749"/>
    <cellStyle name="60% - 강조색1 30" xfId="15750"/>
    <cellStyle name="60% - 강조색1 31" xfId="15751"/>
    <cellStyle name="60% - 강조색1 32" xfId="15752"/>
    <cellStyle name="60% - 강조색1 4" xfId="15753"/>
    <cellStyle name="60% - 강조색1 4 2" xfId="15754"/>
    <cellStyle name="60% - 강조색1 4 3" xfId="15755"/>
    <cellStyle name="60% - 강조색1 5" xfId="15756"/>
    <cellStyle name="60% - 강조색1 6" xfId="15757"/>
    <cellStyle name="60% - 강조색1 7" xfId="15758"/>
    <cellStyle name="60% - 강조색1 8" xfId="15759"/>
    <cellStyle name="60% - 강조색1 9" xfId="15760"/>
    <cellStyle name="60% - 강조색2 10" xfId="15761"/>
    <cellStyle name="60% - 강조색2 10 2" xfId="15762"/>
    <cellStyle name="60% - 강조색2 11" xfId="15763"/>
    <cellStyle name="60% - 강조색2 11 2" xfId="15764"/>
    <cellStyle name="60% - 강조색2 12" xfId="15765"/>
    <cellStyle name="60% - 강조색2 13" xfId="15766"/>
    <cellStyle name="60% - 강조색2 14" xfId="15767"/>
    <cellStyle name="60% - 강조색2 15" xfId="15768"/>
    <cellStyle name="60% - 강조색2 16" xfId="15769"/>
    <cellStyle name="60% - 강조색2 17" xfId="15770"/>
    <cellStyle name="60% - 강조색2 18" xfId="15771"/>
    <cellStyle name="60% - 강조색2 19" xfId="15772"/>
    <cellStyle name="60% - 강조색2 2" xfId="3306"/>
    <cellStyle name="60% - 강조색2 2 10" xfId="3307"/>
    <cellStyle name="60% - 강조색2 2 100" xfId="3308"/>
    <cellStyle name="60% - 강조색2 2 101" xfId="3309"/>
    <cellStyle name="60% - 강조색2 2 102" xfId="3310"/>
    <cellStyle name="60% - 강조색2 2 103" xfId="3311"/>
    <cellStyle name="60% - 강조색2 2 104" xfId="3312"/>
    <cellStyle name="60% - 강조색2 2 105" xfId="3313"/>
    <cellStyle name="60% - 강조색2 2 106" xfId="3314"/>
    <cellStyle name="60% - 강조색2 2 107" xfId="3315"/>
    <cellStyle name="60% - 강조색2 2 108" xfId="3316"/>
    <cellStyle name="60% - 강조색2 2 109" xfId="3317"/>
    <cellStyle name="60% - 강조색2 2 11" xfId="3318"/>
    <cellStyle name="60% - 강조색2 2 110" xfId="3319"/>
    <cellStyle name="60% - 강조색2 2 111" xfId="3320"/>
    <cellStyle name="60% - 강조색2 2 112" xfId="3321"/>
    <cellStyle name="60% - 강조색2 2 113" xfId="3322"/>
    <cellStyle name="60% - 강조색2 2 114" xfId="3323"/>
    <cellStyle name="60% - 강조색2 2 115" xfId="3324"/>
    <cellStyle name="60% - 강조색2 2 116" xfId="3325"/>
    <cellStyle name="60% - 강조색2 2 117" xfId="3326"/>
    <cellStyle name="60% - 강조색2 2 118" xfId="3327"/>
    <cellStyle name="60% - 강조색2 2 119" xfId="3328"/>
    <cellStyle name="60% - 강조색2 2 12" xfId="3329"/>
    <cellStyle name="60% - 강조색2 2 120" xfId="3330"/>
    <cellStyle name="60% - 강조색2 2 121" xfId="3331"/>
    <cellStyle name="60% - 강조색2 2 122" xfId="3332"/>
    <cellStyle name="60% - 강조색2 2 123" xfId="3333"/>
    <cellStyle name="60% - 강조색2 2 124" xfId="3334"/>
    <cellStyle name="60% - 강조색2 2 125" xfId="3335"/>
    <cellStyle name="60% - 강조색2 2 126" xfId="3336"/>
    <cellStyle name="60% - 강조색2 2 127" xfId="3337"/>
    <cellStyle name="60% - 강조색2 2 128" xfId="3338"/>
    <cellStyle name="60% - 강조색2 2 129" xfId="3339"/>
    <cellStyle name="60% - 강조색2 2 13" xfId="3340"/>
    <cellStyle name="60% - 강조색2 2 130" xfId="3341"/>
    <cellStyle name="60% - 강조색2 2 131" xfId="3342"/>
    <cellStyle name="60% - 강조색2 2 132" xfId="3343"/>
    <cellStyle name="60% - 강조색2 2 133" xfId="3344"/>
    <cellStyle name="60% - 강조색2 2 134" xfId="3345"/>
    <cellStyle name="60% - 강조색2 2 135" xfId="3346"/>
    <cellStyle name="60% - 강조색2 2 136" xfId="3347"/>
    <cellStyle name="60% - 강조색2 2 137" xfId="3348"/>
    <cellStyle name="60% - 강조색2 2 138" xfId="3349"/>
    <cellStyle name="60% - 강조색2 2 139" xfId="3350"/>
    <cellStyle name="60% - 강조색2 2 14" xfId="3351"/>
    <cellStyle name="60% - 강조색2 2 140" xfId="3352"/>
    <cellStyle name="60% - 강조색2 2 141" xfId="3353"/>
    <cellStyle name="60% - 강조색2 2 142" xfId="3354"/>
    <cellStyle name="60% - 강조색2 2 143" xfId="3355"/>
    <cellStyle name="60% - 강조색2 2 144" xfId="3356"/>
    <cellStyle name="60% - 강조색2 2 145" xfId="3357"/>
    <cellStyle name="60% - 강조색2 2 146" xfId="3358"/>
    <cellStyle name="60% - 강조색2 2 147" xfId="3359"/>
    <cellStyle name="60% - 강조색2 2 148" xfId="3360"/>
    <cellStyle name="60% - 강조색2 2 149" xfId="3361"/>
    <cellStyle name="60% - 강조색2 2 15" xfId="3362"/>
    <cellStyle name="60% - 강조색2 2 150" xfId="3363"/>
    <cellStyle name="60% - 강조색2 2 151" xfId="3364"/>
    <cellStyle name="60% - 강조색2 2 152" xfId="3365"/>
    <cellStyle name="60% - 강조색2 2 153" xfId="3366"/>
    <cellStyle name="60% - 강조색2 2 154" xfId="3367"/>
    <cellStyle name="60% - 강조색2 2 155" xfId="3368"/>
    <cellStyle name="60% - 강조색2 2 156" xfId="3369"/>
    <cellStyle name="60% - 강조색2 2 157" xfId="3370"/>
    <cellStyle name="60% - 강조색2 2 158" xfId="3371"/>
    <cellStyle name="60% - 강조색2 2 159" xfId="3372"/>
    <cellStyle name="60% - 강조색2 2 16" xfId="3373"/>
    <cellStyle name="60% - 강조색2 2 160" xfId="3374"/>
    <cellStyle name="60% - 강조색2 2 161" xfId="3375"/>
    <cellStyle name="60% - 강조색2 2 162" xfId="3376"/>
    <cellStyle name="60% - 강조색2 2 163" xfId="3377"/>
    <cellStyle name="60% - 강조색2 2 164" xfId="3378"/>
    <cellStyle name="60% - 강조색2 2 165" xfId="3379"/>
    <cellStyle name="60% - 강조색2 2 166" xfId="3380"/>
    <cellStyle name="60% - 강조색2 2 167" xfId="3381"/>
    <cellStyle name="60% - 강조색2 2 168" xfId="3382"/>
    <cellStyle name="60% - 강조색2 2 169" xfId="3383"/>
    <cellStyle name="60% - 강조색2 2 17" xfId="3384"/>
    <cellStyle name="60% - 강조색2 2 170" xfId="3385"/>
    <cellStyle name="60% - 강조색2 2 171" xfId="3386"/>
    <cellStyle name="60% - 강조색2 2 172" xfId="3387"/>
    <cellStyle name="60% - 강조색2 2 173" xfId="3388"/>
    <cellStyle name="60% - 강조색2 2 174" xfId="3389"/>
    <cellStyle name="60% - 강조색2 2 175" xfId="3390"/>
    <cellStyle name="60% - 강조색2 2 176" xfId="3391"/>
    <cellStyle name="60% - 강조색2 2 177" xfId="3392"/>
    <cellStyle name="60% - 강조색2 2 178" xfId="3393"/>
    <cellStyle name="60% - 강조색2 2 179" xfId="3394"/>
    <cellStyle name="60% - 강조색2 2 18" xfId="3395"/>
    <cellStyle name="60% - 강조색2 2 180" xfId="3396"/>
    <cellStyle name="60% - 강조색2 2 181" xfId="3397"/>
    <cellStyle name="60% - 강조색2 2 182" xfId="3398"/>
    <cellStyle name="60% - 강조색2 2 183" xfId="3399"/>
    <cellStyle name="60% - 강조색2 2 184" xfId="3400"/>
    <cellStyle name="60% - 강조색2 2 185" xfId="3401"/>
    <cellStyle name="60% - 강조색2 2 186" xfId="3402"/>
    <cellStyle name="60% - 강조색2 2 187" xfId="3403"/>
    <cellStyle name="60% - 강조색2 2 188" xfId="3404"/>
    <cellStyle name="60% - 강조색2 2 189" xfId="3405"/>
    <cellStyle name="60% - 강조색2 2 19" xfId="3406"/>
    <cellStyle name="60% - 강조색2 2 190" xfId="3407"/>
    <cellStyle name="60% - 강조색2 2 191" xfId="3408"/>
    <cellStyle name="60% - 강조색2 2 192" xfId="3409"/>
    <cellStyle name="60% - 강조색2 2 193" xfId="3410"/>
    <cellStyle name="60% - 강조색2 2 194" xfId="3411"/>
    <cellStyle name="60% - 강조색2 2 195" xfId="3412"/>
    <cellStyle name="60% - 강조색2 2 196" xfId="3413"/>
    <cellStyle name="60% - 강조색2 2 197" xfId="3414"/>
    <cellStyle name="60% - 강조색2 2 198" xfId="3415"/>
    <cellStyle name="60% - 강조색2 2 199" xfId="3416"/>
    <cellStyle name="60% - 강조색2 2 2" xfId="3417"/>
    <cellStyle name="60% - 강조색2 2 20" xfId="3418"/>
    <cellStyle name="60% - 강조색2 2 200" xfId="3419"/>
    <cellStyle name="60% - 강조색2 2 201" xfId="3420"/>
    <cellStyle name="60% - 강조색2 2 202" xfId="3421"/>
    <cellStyle name="60% - 강조색2 2 203" xfId="3422"/>
    <cellStyle name="60% - 강조색2 2 204" xfId="3423"/>
    <cellStyle name="60% - 강조색2 2 205" xfId="3424"/>
    <cellStyle name="60% - 강조색2 2 206" xfId="3425"/>
    <cellStyle name="60% - 강조색2 2 207" xfId="3426"/>
    <cellStyle name="60% - 강조색2 2 208" xfId="3427"/>
    <cellStyle name="60% - 강조색2 2 209" xfId="3428"/>
    <cellStyle name="60% - 강조색2 2 21" xfId="3429"/>
    <cellStyle name="60% - 강조색2 2 210" xfId="3430"/>
    <cellStyle name="60% - 강조색2 2 211" xfId="3431"/>
    <cellStyle name="60% - 강조색2 2 212" xfId="3432"/>
    <cellStyle name="60% - 강조색2 2 213" xfId="3433"/>
    <cellStyle name="60% - 강조색2 2 214" xfId="3434"/>
    <cellStyle name="60% - 강조색2 2 215" xfId="3435"/>
    <cellStyle name="60% - 강조색2 2 216" xfId="3436"/>
    <cellStyle name="60% - 강조색2 2 217" xfId="3437"/>
    <cellStyle name="60% - 강조색2 2 218" xfId="3438"/>
    <cellStyle name="60% - 강조색2 2 219" xfId="3439"/>
    <cellStyle name="60% - 강조색2 2 22" xfId="3440"/>
    <cellStyle name="60% - 강조색2 2 220" xfId="3441"/>
    <cellStyle name="60% - 강조색2 2 221" xfId="3442"/>
    <cellStyle name="60% - 강조색2 2 222" xfId="3443"/>
    <cellStyle name="60% - 강조색2 2 223" xfId="3444"/>
    <cellStyle name="60% - 강조색2 2 224" xfId="3445"/>
    <cellStyle name="60% - 강조색2 2 225" xfId="3446"/>
    <cellStyle name="60% - 강조색2 2 226" xfId="3447"/>
    <cellStyle name="60% - 강조색2 2 227" xfId="3448"/>
    <cellStyle name="60% - 강조색2 2 228" xfId="3449"/>
    <cellStyle name="60% - 강조색2 2 229" xfId="3450"/>
    <cellStyle name="60% - 강조색2 2 23" xfId="3451"/>
    <cellStyle name="60% - 강조색2 2 230" xfId="3452"/>
    <cellStyle name="60% - 강조색2 2 231" xfId="3453"/>
    <cellStyle name="60% - 강조색2 2 232" xfId="3454"/>
    <cellStyle name="60% - 강조색2 2 233" xfId="3455"/>
    <cellStyle name="60% - 강조색2 2 234" xfId="3456"/>
    <cellStyle name="60% - 강조색2 2 235" xfId="3457"/>
    <cellStyle name="60% - 강조색2 2 236" xfId="3458"/>
    <cellStyle name="60% - 강조색2 2 237" xfId="3459"/>
    <cellStyle name="60% - 강조색2 2 238" xfId="3460"/>
    <cellStyle name="60% - 강조색2 2 239" xfId="3461"/>
    <cellStyle name="60% - 강조색2 2 24" xfId="3462"/>
    <cellStyle name="60% - 강조색2 2 240" xfId="3463"/>
    <cellStyle name="60% - 강조색2 2 241" xfId="3464"/>
    <cellStyle name="60% - 강조색2 2 25" xfId="3465"/>
    <cellStyle name="60% - 강조색2 2 26" xfId="3466"/>
    <cellStyle name="60% - 강조색2 2 27" xfId="3467"/>
    <cellStyle name="60% - 강조색2 2 28" xfId="3468"/>
    <cellStyle name="60% - 강조색2 2 29" xfId="3469"/>
    <cellStyle name="60% - 강조색2 2 3" xfId="3470"/>
    <cellStyle name="60% - 강조색2 2 30" xfId="3471"/>
    <cellStyle name="60% - 강조색2 2 31" xfId="3472"/>
    <cellStyle name="60% - 강조색2 2 32" xfId="3473"/>
    <cellStyle name="60% - 강조색2 2 33" xfId="3474"/>
    <cellStyle name="60% - 강조색2 2 34" xfId="3475"/>
    <cellStyle name="60% - 강조색2 2 35" xfId="3476"/>
    <cellStyle name="60% - 강조색2 2 36" xfId="3477"/>
    <cellStyle name="60% - 강조색2 2 37" xfId="3478"/>
    <cellStyle name="60% - 강조색2 2 38" xfId="3479"/>
    <cellStyle name="60% - 강조색2 2 39" xfId="3480"/>
    <cellStyle name="60% - 강조색2 2 4" xfId="3481"/>
    <cellStyle name="60% - 강조색2 2 40" xfId="3482"/>
    <cellStyle name="60% - 강조색2 2 41" xfId="3483"/>
    <cellStyle name="60% - 강조색2 2 42" xfId="3484"/>
    <cellStyle name="60% - 강조색2 2 43" xfId="3485"/>
    <cellStyle name="60% - 강조색2 2 44" xfId="3486"/>
    <cellStyle name="60% - 강조색2 2 45" xfId="3487"/>
    <cellStyle name="60% - 강조색2 2 46" xfId="3488"/>
    <cellStyle name="60% - 강조색2 2 47" xfId="3489"/>
    <cellStyle name="60% - 강조색2 2 48" xfId="3490"/>
    <cellStyle name="60% - 강조색2 2 49" xfId="3491"/>
    <cellStyle name="60% - 강조색2 2 5" xfId="3492"/>
    <cellStyle name="60% - 강조색2 2 50" xfId="3493"/>
    <cellStyle name="60% - 강조색2 2 51" xfId="3494"/>
    <cellStyle name="60% - 강조색2 2 52" xfId="3495"/>
    <cellStyle name="60% - 강조색2 2 53" xfId="3496"/>
    <cellStyle name="60% - 강조색2 2 54" xfId="3497"/>
    <cellStyle name="60% - 강조색2 2 55" xfId="3498"/>
    <cellStyle name="60% - 강조색2 2 56" xfId="3499"/>
    <cellStyle name="60% - 강조색2 2 57" xfId="3500"/>
    <cellStyle name="60% - 강조색2 2 58" xfId="3501"/>
    <cellStyle name="60% - 강조색2 2 59" xfId="3502"/>
    <cellStyle name="60% - 강조색2 2 6" xfId="3503"/>
    <cellStyle name="60% - 강조색2 2 60" xfId="3504"/>
    <cellStyle name="60% - 강조색2 2 61" xfId="3505"/>
    <cellStyle name="60% - 강조색2 2 62" xfId="3506"/>
    <cellStyle name="60% - 강조색2 2 63" xfId="3507"/>
    <cellStyle name="60% - 강조색2 2 64" xfId="3508"/>
    <cellStyle name="60% - 강조색2 2 65" xfId="3509"/>
    <cellStyle name="60% - 강조색2 2 66" xfId="3510"/>
    <cellStyle name="60% - 강조색2 2 67" xfId="3511"/>
    <cellStyle name="60% - 강조색2 2 68" xfId="3512"/>
    <cellStyle name="60% - 강조색2 2 69" xfId="3513"/>
    <cellStyle name="60% - 강조색2 2 7" xfId="3514"/>
    <cellStyle name="60% - 강조색2 2 70" xfId="3515"/>
    <cellStyle name="60% - 강조색2 2 71" xfId="3516"/>
    <cellStyle name="60% - 강조색2 2 72" xfId="3517"/>
    <cellStyle name="60% - 강조색2 2 73" xfId="3518"/>
    <cellStyle name="60% - 강조색2 2 74" xfId="3519"/>
    <cellStyle name="60% - 강조색2 2 75" xfId="3520"/>
    <cellStyle name="60% - 강조색2 2 76" xfId="3521"/>
    <cellStyle name="60% - 강조색2 2 77" xfId="3522"/>
    <cellStyle name="60% - 강조색2 2 78" xfId="3523"/>
    <cellStyle name="60% - 강조색2 2 79" xfId="3524"/>
    <cellStyle name="60% - 강조색2 2 8" xfId="3525"/>
    <cellStyle name="60% - 강조색2 2 80" xfId="3526"/>
    <cellStyle name="60% - 강조색2 2 81" xfId="3527"/>
    <cellStyle name="60% - 강조색2 2 82" xfId="3528"/>
    <cellStyle name="60% - 강조색2 2 83" xfId="3529"/>
    <cellStyle name="60% - 강조색2 2 84" xfId="3530"/>
    <cellStyle name="60% - 강조색2 2 85" xfId="3531"/>
    <cellStyle name="60% - 강조색2 2 86" xfId="3532"/>
    <cellStyle name="60% - 강조색2 2 87" xfId="3533"/>
    <cellStyle name="60% - 강조색2 2 88" xfId="3534"/>
    <cellStyle name="60% - 강조색2 2 89" xfId="3535"/>
    <cellStyle name="60% - 강조색2 2 9" xfId="3536"/>
    <cellStyle name="60% - 강조색2 2 90" xfId="3537"/>
    <cellStyle name="60% - 강조색2 2 91" xfId="3538"/>
    <cellStyle name="60% - 강조색2 2 92" xfId="3539"/>
    <cellStyle name="60% - 강조색2 2 93" xfId="3540"/>
    <cellStyle name="60% - 강조색2 2 94" xfId="3541"/>
    <cellStyle name="60% - 강조색2 2 95" xfId="3542"/>
    <cellStyle name="60% - 강조색2 2 96" xfId="3543"/>
    <cellStyle name="60% - 강조색2 2 97" xfId="3544"/>
    <cellStyle name="60% - 강조색2 2 98" xfId="3545"/>
    <cellStyle name="60% - 강조색2 2 99" xfId="3546"/>
    <cellStyle name="60% - 강조색2 20" xfId="15773"/>
    <cellStyle name="60% - 강조색2 21" xfId="15774"/>
    <cellStyle name="60% - 강조색2 22" xfId="15775"/>
    <cellStyle name="60% - 강조색2 23" xfId="15776"/>
    <cellStyle name="60% - 강조색2 24" xfId="15777"/>
    <cellStyle name="60% - 강조색2 25" xfId="15778"/>
    <cellStyle name="60% - 강조색2 26" xfId="15779"/>
    <cellStyle name="60% - 강조색2 27" xfId="15780"/>
    <cellStyle name="60% - 강조색2 28" xfId="15781"/>
    <cellStyle name="60% - 강조색2 29" xfId="15782"/>
    <cellStyle name="60% - 강조색2 3" xfId="15783"/>
    <cellStyle name="60% - 강조색2 3 2" xfId="15784"/>
    <cellStyle name="60% - 강조색2 3 3" xfId="15785"/>
    <cellStyle name="60% - 강조색2 30" xfId="15786"/>
    <cellStyle name="60% - 강조색2 31" xfId="15787"/>
    <cellStyle name="60% - 강조색2 32" xfId="15788"/>
    <cellStyle name="60% - 강조색2 4" xfId="15789"/>
    <cellStyle name="60% - 강조색2 4 2" xfId="15790"/>
    <cellStyle name="60% - 강조색2 4 3" xfId="15791"/>
    <cellStyle name="60% - 강조색2 5" xfId="15792"/>
    <cellStyle name="60% - 강조색2 5 2" xfId="15793"/>
    <cellStyle name="60% - 강조색2 6" xfId="15794"/>
    <cellStyle name="60% - 강조색2 6 2" xfId="15795"/>
    <cellStyle name="60% - 강조색2 7" xfId="15796"/>
    <cellStyle name="60% - 강조색2 7 2" xfId="15797"/>
    <cellStyle name="60% - 강조색2 8" xfId="15798"/>
    <cellStyle name="60% - 강조색2 8 2" xfId="15799"/>
    <cellStyle name="60% - 강조색2 9" xfId="15800"/>
    <cellStyle name="60% - 강조색2 9 2" xfId="15801"/>
    <cellStyle name="60% - 강조색3 10" xfId="15802"/>
    <cellStyle name="60% - 강조색3 11" xfId="15803"/>
    <cellStyle name="60% - 강조색3 12" xfId="15804"/>
    <cellStyle name="60% - 강조색3 13" xfId="15805"/>
    <cellStyle name="60% - 강조색3 14" xfId="15806"/>
    <cellStyle name="60% - 강조색3 15" xfId="15807"/>
    <cellStyle name="60% - 강조색3 16" xfId="15808"/>
    <cellStyle name="60% - 강조색3 17" xfId="15809"/>
    <cellStyle name="60% - 강조색3 18" xfId="15810"/>
    <cellStyle name="60% - 강조색3 19" xfId="15811"/>
    <cellStyle name="60% - 강조색3 2" xfId="3547"/>
    <cellStyle name="60% - 강조색3 2 10" xfId="3548"/>
    <cellStyle name="60% - 강조색3 2 100" xfId="3549"/>
    <cellStyle name="60% - 강조색3 2 101" xfId="3550"/>
    <cellStyle name="60% - 강조색3 2 102" xfId="3551"/>
    <cellStyle name="60% - 강조색3 2 103" xfId="3552"/>
    <cellStyle name="60% - 강조색3 2 104" xfId="3553"/>
    <cellStyle name="60% - 강조색3 2 105" xfId="3554"/>
    <cellStyle name="60% - 강조색3 2 106" xfId="3555"/>
    <cellStyle name="60% - 강조색3 2 107" xfId="3556"/>
    <cellStyle name="60% - 강조색3 2 108" xfId="3557"/>
    <cellStyle name="60% - 강조색3 2 109" xfId="3558"/>
    <cellStyle name="60% - 강조색3 2 11" xfId="3559"/>
    <cellStyle name="60% - 강조색3 2 110" xfId="3560"/>
    <cellStyle name="60% - 강조색3 2 111" xfId="3561"/>
    <cellStyle name="60% - 강조색3 2 112" xfId="3562"/>
    <cellStyle name="60% - 강조색3 2 113" xfId="3563"/>
    <cellStyle name="60% - 강조색3 2 114" xfId="3564"/>
    <cellStyle name="60% - 강조색3 2 115" xfId="3565"/>
    <cellStyle name="60% - 강조색3 2 116" xfId="3566"/>
    <cellStyle name="60% - 강조색3 2 117" xfId="3567"/>
    <cellStyle name="60% - 강조색3 2 118" xfId="3568"/>
    <cellStyle name="60% - 강조색3 2 119" xfId="3569"/>
    <cellStyle name="60% - 강조색3 2 12" xfId="3570"/>
    <cellStyle name="60% - 강조색3 2 120" xfId="3571"/>
    <cellStyle name="60% - 강조색3 2 121" xfId="3572"/>
    <cellStyle name="60% - 강조색3 2 122" xfId="3573"/>
    <cellStyle name="60% - 강조색3 2 123" xfId="3574"/>
    <cellStyle name="60% - 강조색3 2 124" xfId="3575"/>
    <cellStyle name="60% - 강조색3 2 125" xfId="3576"/>
    <cellStyle name="60% - 강조색3 2 126" xfId="3577"/>
    <cellStyle name="60% - 강조색3 2 127" xfId="3578"/>
    <cellStyle name="60% - 강조색3 2 128" xfId="3579"/>
    <cellStyle name="60% - 강조색3 2 129" xfId="3580"/>
    <cellStyle name="60% - 강조색3 2 13" xfId="3581"/>
    <cellStyle name="60% - 강조색3 2 130" xfId="3582"/>
    <cellStyle name="60% - 강조색3 2 131" xfId="3583"/>
    <cellStyle name="60% - 강조색3 2 132" xfId="3584"/>
    <cellStyle name="60% - 강조색3 2 133" xfId="3585"/>
    <cellStyle name="60% - 강조색3 2 134" xfId="3586"/>
    <cellStyle name="60% - 강조색3 2 135" xfId="3587"/>
    <cellStyle name="60% - 강조색3 2 136" xfId="3588"/>
    <cellStyle name="60% - 강조색3 2 137" xfId="3589"/>
    <cellStyle name="60% - 강조색3 2 138" xfId="3590"/>
    <cellStyle name="60% - 강조색3 2 139" xfId="3591"/>
    <cellStyle name="60% - 강조색3 2 14" xfId="3592"/>
    <cellStyle name="60% - 강조색3 2 140" xfId="3593"/>
    <cellStyle name="60% - 강조색3 2 141" xfId="3594"/>
    <cellStyle name="60% - 강조색3 2 142" xfId="3595"/>
    <cellStyle name="60% - 강조색3 2 143" xfId="3596"/>
    <cellStyle name="60% - 강조색3 2 144" xfId="3597"/>
    <cellStyle name="60% - 강조색3 2 145" xfId="3598"/>
    <cellStyle name="60% - 강조색3 2 146" xfId="3599"/>
    <cellStyle name="60% - 강조색3 2 147" xfId="3600"/>
    <cellStyle name="60% - 강조색3 2 148" xfId="3601"/>
    <cellStyle name="60% - 강조색3 2 149" xfId="3602"/>
    <cellStyle name="60% - 강조색3 2 15" xfId="3603"/>
    <cellStyle name="60% - 강조색3 2 150" xfId="3604"/>
    <cellStyle name="60% - 강조색3 2 151" xfId="3605"/>
    <cellStyle name="60% - 강조색3 2 152" xfId="3606"/>
    <cellStyle name="60% - 강조색3 2 153" xfId="3607"/>
    <cellStyle name="60% - 강조색3 2 154" xfId="3608"/>
    <cellStyle name="60% - 강조색3 2 155" xfId="3609"/>
    <cellStyle name="60% - 강조색3 2 156" xfId="3610"/>
    <cellStyle name="60% - 강조색3 2 157" xfId="3611"/>
    <cellStyle name="60% - 강조색3 2 158" xfId="3612"/>
    <cellStyle name="60% - 강조색3 2 159" xfId="3613"/>
    <cellStyle name="60% - 강조색3 2 16" xfId="3614"/>
    <cellStyle name="60% - 강조색3 2 160" xfId="3615"/>
    <cellStyle name="60% - 강조색3 2 161" xfId="3616"/>
    <cellStyle name="60% - 강조색3 2 162" xfId="3617"/>
    <cellStyle name="60% - 강조색3 2 163" xfId="3618"/>
    <cellStyle name="60% - 강조색3 2 164" xfId="3619"/>
    <cellStyle name="60% - 강조색3 2 165" xfId="3620"/>
    <cellStyle name="60% - 강조색3 2 166" xfId="3621"/>
    <cellStyle name="60% - 강조색3 2 167" xfId="3622"/>
    <cellStyle name="60% - 강조색3 2 168" xfId="3623"/>
    <cellStyle name="60% - 강조색3 2 169" xfId="3624"/>
    <cellStyle name="60% - 강조색3 2 17" xfId="3625"/>
    <cellStyle name="60% - 강조색3 2 170" xfId="3626"/>
    <cellStyle name="60% - 강조색3 2 171" xfId="3627"/>
    <cellStyle name="60% - 강조색3 2 172" xfId="3628"/>
    <cellStyle name="60% - 강조색3 2 173" xfId="3629"/>
    <cellStyle name="60% - 강조색3 2 174" xfId="3630"/>
    <cellStyle name="60% - 강조색3 2 175" xfId="3631"/>
    <cellStyle name="60% - 강조색3 2 176" xfId="3632"/>
    <cellStyle name="60% - 강조색3 2 177" xfId="3633"/>
    <cellStyle name="60% - 강조색3 2 178" xfId="3634"/>
    <cellStyle name="60% - 강조색3 2 179" xfId="3635"/>
    <cellStyle name="60% - 강조색3 2 18" xfId="3636"/>
    <cellStyle name="60% - 강조색3 2 180" xfId="3637"/>
    <cellStyle name="60% - 강조색3 2 181" xfId="3638"/>
    <cellStyle name="60% - 강조색3 2 182" xfId="3639"/>
    <cellStyle name="60% - 강조색3 2 183" xfId="3640"/>
    <cellStyle name="60% - 강조색3 2 184" xfId="3641"/>
    <cellStyle name="60% - 강조색3 2 185" xfId="3642"/>
    <cellStyle name="60% - 강조색3 2 186" xfId="3643"/>
    <cellStyle name="60% - 강조색3 2 187" xfId="3644"/>
    <cellStyle name="60% - 강조색3 2 188" xfId="3645"/>
    <cellStyle name="60% - 강조색3 2 189" xfId="3646"/>
    <cellStyle name="60% - 강조색3 2 19" xfId="3647"/>
    <cellStyle name="60% - 강조색3 2 190" xfId="3648"/>
    <cellStyle name="60% - 강조색3 2 191" xfId="3649"/>
    <cellStyle name="60% - 강조색3 2 192" xfId="3650"/>
    <cellStyle name="60% - 강조색3 2 193" xfId="3651"/>
    <cellStyle name="60% - 강조색3 2 194" xfId="3652"/>
    <cellStyle name="60% - 강조색3 2 195" xfId="3653"/>
    <cellStyle name="60% - 강조색3 2 196" xfId="3654"/>
    <cellStyle name="60% - 강조색3 2 197" xfId="3655"/>
    <cellStyle name="60% - 강조색3 2 198" xfId="3656"/>
    <cellStyle name="60% - 강조색3 2 199" xfId="3657"/>
    <cellStyle name="60% - 강조색3 2 2" xfId="3658"/>
    <cellStyle name="60% - 강조색3 2 20" xfId="3659"/>
    <cellStyle name="60% - 강조색3 2 200" xfId="3660"/>
    <cellStyle name="60% - 강조색3 2 201" xfId="3661"/>
    <cellStyle name="60% - 강조색3 2 202" xfId="3662"/>
    <cellStyle name="60% - 강조색3 2 203" xfId="3663"/>
    <cellStyle name="60% - 강조색3 2 204" xfId="3664"/>
    <cellStyle name="60% - 강조색3 2 205" xfId="3665"/>
    <cellStyle name="60% - 강조색3 2 206" xfId="3666"/>
    <cellStyle name="60% - 강조색3 2 207" xfId="3667"/>
    <cellStyle name="60% - 강조색3 2 208" xfId="3668"/>
    <cellStyle name="60% - 강조색3 2 209" xfId="3669"/>
    <cellStyle name="60% - 강조색3 2 21" xfId="3670"/>
    <cellStyle name="60% - 강조색3 2 210" xfId="3671"/>
    <cellStyle name="60% - 강조색3 2 211" xfId="3672"/>
    <cellStyle name="60% - 강조색3 2 212" xfId="3673"/>
    <cellStyle name="60% - 강조색3 2 213" xfId="3674"/>
    <cellStyle name="60% - 강조색3 2 214" xfId="3675"/>
    <cellStyle name="60% - 강조색3 2 215" xfId="3676"/>
    <cellStyle name="60% - 강조색3 2 216" xfId="3677"/>
    <cellStyle name="60% - 강조색3 2 217" xfId="3678"/>
    <cellStyle name="60% - 강조색3 2 218" xfId="3679"/>
    <cellStyle name="60% - 강조색3 2 219" xfId="3680"/>
    <cellStyle name="60% - 강조색3 2 22" xfId="3681"/>
    <cellStyle name="60% - 강조색3 2 220" xfId="3682"/>
    <cellStyle name="60% - 강조색3 2 221" xfId="3683"/>
    <cellStyle name="60% - 강조색3 2 222" xfId="3684"/>
    <cellStyle name="60% - 강조색3 2 223" xfId="3685"/>
    <cellStyle name="60% - 강조색3 2 224" xfId="3686"/>
    <cellStyle name="60% - 강조색3 2 225" xfId="3687"/>
    <cellStyle name="60% - 강조색3 2 226" xfId="3688"/>
    <cellStyle name="60% - 강조색3 2 227" xfId="3689"/>
    <cellStyle name="60% - 강조색3 2 228" xfId="3690"/>
    <cellStyle name="60% - 강조색3 2 229" xfId="3691"/>
    <cellStyle name="60% - 강조색3 2 23" xfId="3692"/>
    <cellStyle name="60% - 강조색3 2 230" xfId="3693"/>
    <cellStyle name="60% - 강조색3 2 231" xfId="3694"/>
    <cellStyle name="60% - 강조색3 2 232" xfId="3695"/>
    <cellStyle name="60% - 강조색3 2 233" xfId="3696"/>
    <cellStyle name="60% - 강조색3 2 234" xfId="3697"/>
    <cellStyle name="60% - 강조색3 2 235" xfId="3698"/>
    <cellStyle name="60% - 강조색3 2 236" xfId="3699"/>
    <cellStyle name="60% - 강조색3 2 237" xfId="3700"/>
    <cellStyle name="60% - 강조색3 2 238" xfId="3701"/>
    <cellStyle name="60% - 강조색3 2 239" xfId="3702"/>
    <cellStyle name="60% - 강조색3 2 24" xfId="3703"/>
    <cellStyle name="60% - 강조색3 2 240" xfId="3704"/>
    <cellStyle name="60% - 강조색3 2 241" xfId="3705"/>
    <cellStyle name="60% - 강조색3 2 25" xfId="3706"/>
    <cellStyle name="60% - 강조색3 2 26" xfId="3707"/>
    <cellStyle name="60% - 강조색3 2 27" xfId="3708"/>
    <cellStyle name="60% - 강조색3 2 28" xfId="3709"/>
    <cellStyle name="60% - 강조색3 2 29" xfId="3710"/>
    <cellStyle name="60% - 강조색3 2 3" xfId="3711"/>
    <cellStyle name="60% - 강조색3 2 30" xfId="3712"/>
    <cellStyle name="60% - 강조색3 2 31" xfId="3713"/>
    <cellStyle name="60% - 강조색3 2 32" xfId="3714"/>
    <cellStyle name="60% - 강조색3 2 33" xfId="3715"/>
    <cellStyle name="60% - 강조색3 2 34" xfId="3716"/>
    <cellStyle name="60% - 강조색3 2 35" xfId="3717"/>
    <cellStyle name="60% - 강조색3 2 36" xfId="3718"/>
    <cellStyle name="60% - 강조색3 2 37" xfId="3719"/>
    <cellStyle name="60% - 강조색3 2 38" xfId="3720"/>
    <cellStyle name="60% - 강조색3 2 39" xfId="3721"/>
    <cellStyle name="60% - 강조색3 2 4" xfId="3722"/>
    <cellStyle name="60% - 강조색3 2 40" xfId="3723"/>
    <cellStyle name="60% - 강조색3 2 41" xfId="3724"/>
    <cellStyle name="60% - 강조색3 2 42" xfId="3725"/>
    <cellStyle name="60% - 강조색3 2 43" xfId="3726"/>
    <cellStyle name="60% - 강조색3 2 44" xfId="3727"/>
    <cellStyle name="60% - 강조색3 2 45" xfId="3728"/>
    <cellStyle name="60% - 강조색3 2 46" xfId="3729"/>
    <cellStyle name="60% - 강조색3 2 47" xfId="3730"/>
    <cellStyle name="60% - 강조색3 2 48" xfId="3731"/>
    <cellStyle name="60% - 강조색3 2 49" xfId="3732"/>
    <cellStyle name="60% - 강조색3 2 5" xfId="3733"/>
    <cellStyle name="60% - 강조색3 2 50" xfId="3734"/>
    <cellStyle name="60% - 강조색3 2 51" xfId="3735"/>
    <cellStyle name="60% - 강조색3 2 52" xfId="3736"/>
    <cellStyle name="60% - 강조색3 2 53" xfId="3737"/>
    <cellStyle name="60% - 강조색3 2 54" xfId="3738"/>
    <cellStyle name="60% - 강조색3 2 55" xfId="3739"/>
    <cellStyle name="60% - 강조색3 2 56" xfId="3740"/>
    <cellStyle name="60% - 강조색3 2 57" xfId="3741"/>
    <cellStyle name="60% - 강조색3 2 58" xfId="3742"/>
    <cellStyle name="60% - 강조색3 2 59" xfId="3743"/>
    <cellStyle name="60% - 강조색3 2 6" xfId="3744"/>
    <cellStyle name="60% - 강조색3 2 60" xfId="3745"/>
    <cellStyle name="60% - 강조색3 2 61" xfId="3746"/>
    <cellStyle name="60% - 강조색3 2 62" xfId="3747"/>
    <cellStyle name="60% - 강조색3 2 63" xfId="3748"/>
    <cellStyle name="60% - 강조색3 2 64" xfId="3749"/>
    <cellStyle name="60% - 강조색3 2 65" xfId="3750"/>
    <cellStyle name="60% - 강조색3 2 66" xfId="3751"/>
    <cellStyle name="60% - 강조색3 2 67" xfId="3752"/>
    <cellStyle name="60% - 강조색3 2 68" xfId="3753"/>
    <cellStyle name="60% - 강조색3 2 69" xfId="3754"/>
    <cellStyle name="60% - 강조색3 2 7" xfId="3755"/>
    <cellStyle name="60% - 강조색3 2 70" xfId="3756"/>
    <cellStyle name="60% - 강조색3 2 71" xfId="3757"/>
    <cellStyle name="60% - 강조색3 2 72" xfId="3758"/>
    <cellStyle name="60% - 강조색3 2 73" xfId="3759"/>
    <cellStyle name="60% - 강조색3 2 74" xfId="3760"/>
    <cellStyle name="60% - 강조색3 2 75" xfId="3761"/>
    <cellStyle name="60% - 강조색3 2 76" xfId="3762"/>
    <cellStyle name="60% - 강조색3 2 77" xfId="3763"/>
    <cellStyle name="60% - 강조색3 2 78" xfId="3764"/>
    <cellStyle name="60% - 강조색3 2 79" xfId="3765"/>
    <cellStyle name="60% - 강조색3 2 8" xfId="3766"/>
    <cellStyle name="60% - 강조색3 2 80" xfId="3767"/>
    <cellStyle name="60% - 강조색3 2 81" xfId="3768"/>
    <cellStyle name="60% - 강조색3 2 82" xfId="3769"/>
    <cellStyle name="60% - 강조색3 2 83" xfId="3770"/>
    <cellStyle name="60% - 강조색3 2 84" xfId="3771"/>
    <cellStyle name="60% - 강조색3 2 85" xfId="3772"/>
    <cellStyle name="60% - 강조색3 2 86" xfId="3773"/>
    <cellStyle name="60% - 강조색3 2 87" xfId="3774"/>
    <cellStyle name="60% - 강조색3 2 88" xfId="3775"/>
    <cellStyle name="60% - 강조색3 2 89" xfId="3776"/>
    <cellStyle name="60% - 강조색3 2 9" xfId="3777"/>
    <cellStyle name="60% - 강조색3 2 90" xfId="3778"/>
    <cellStyle name="60% - 강조색3 2 91" xfId="3779"/>
    <cellStyle name="60% - 강조색3 2 92" xfId="3780"/>
    <cellStyle name="60% - 강조색3 2 93" xfId="3781"/>
    <cellStyle name="60% - 강조색3 2 94" xfId="3782"/>
    <cellStyle name="60% - 강조색3 2 95" xfId="3783"/>
    <cellStyle name="60% - 강조색3 2 96" xfId="3784"/>
    <cellStyle name="60% - 강조색3 2 97" xfId="3785"/>
    <cellStyle name="60% - 강조색3 2 98" xfId="3786"/>
    <cellStyle name="60% - 강조색3 2 99" xfId="3787"/>
    <cellStyle name="60% - 강조색3 20" xfId="15812"/>
    <cellStyle name="60% - 강조색3 21" xfId="15813"/>
    <cellStyle name="60% - 강조색3 22" xfId="15814"/>
    <cellStyle name="60% - 강조색3 23" xfId="15815"/>
    <cellStyle name="60% - 강조색3 24" xfId="15816"/>
    <cellStyle name="60% - 강조색3 25" xfId="15817"/>
    <cellStyle name="60% - 강조색3 26" xfId="15818"/>
    <cellStyle name="60% - 강조색3 27" xfId="15819"/>
    <cellStyle name="60% - 강조색3 28" xfId="15820"/>
    <cellStyle name="60% - 강조색3 29" xfId="15821"/>
    <cellStyle name="60% - 강조색3 3" xfId="15822"/>
    <cellStyle name="60% - 강조색3 3 2" xfId="15823"/>
    <cellStyle name="60% - 강조색3 3 3" xfId="15824"/>
    <cellStyle name="60% - 강조색3 3 4" xfId="15825"/>
    <cellStyle name="60% - 강조색3 30" xfId="15826"/>
    <cellStyle name="60% - 강조색3 31" xfId="15827"/>
    <cellStyle name="60% - 강조색3 32" xfId="15828"/>
    <cellStyle name="60% - 강조색3 4" xfId="15829"/>
    <cellStyle name="60% - 강조색3 4 2" xfId="15830"/>
    <cellStyle name="60% - 강조색3 4 3" xfId="15831"/>
    <cellStyle name="60% - 강조색3 5" xfId="15832"/>
    <cellStyle name="60% - 강조색3 6" xfId="15833"/>
    <cellStyle name="60% - 강조색3 7" xfId="15834"/>
    <cellStyle name="60% - 강조색3 8" xfId="15835"/>
    <cellStyle name="60% - 강조색3 9" xfId="15836"/>
    <cellStyle name="60% - 강조색4 10" xfId="15837"/>
    <cellStyle name="60% - 강조색4 11" xfId="15838"/>
    <cellStyle name="60% - 강조색4 12" xfId="15839"/>
    <cellStyle name="60% - 강조색4 13" xfId="15840"/>
    <cellStyle name="60% - 강조색4 14" xfId="15841"/>
    <cellStyle name="60% - 강조색4 15" xfId="15842"/>
    <cellStyle name="60% - 강조색4 16" xfId="15843"/>
    <cellStyle name="60% - 강조색4 17" xfId="15844"/>
    <cellStyle name="60% - 강조색4 18" xfId="15845"/>
    <cellStyle name="60% - 강조색4 19" xfId="15846"/>
    <cellStyle name="60% - 강조색4 2" xfId="3788"/>
    <cellStyle name="60% - 강조색4 2 10" xfId="3789"/>
    <cellStyle name="60% - 강조색4 2 100" xfId="3790"/>
    <cellStyle name="60% - 강조색4 2 101" xfId="3791"/>
    <cellStyle name="60% - 강조색4 2 102" xfId="3792"/>
    <cellStyle name="60% - 강조색4 2 103" xfId="3793"/>
    <cellStyle name="60% - 강조색4 2 104" xfId="3794"/>
    <cellStyle name="60% - 강조색4 2 105" xfId="3795"/>
    <cellStyle name="60% - 강조색4 2 106" xfId="3796"/>
    <cellStyle name="60% - 강조색4 2 107" xfId="3797"/>
    <cellStyle name="60% - 강조색4 2 108" xfId="3798"/>
    <cellStyle name="60% - 강조색4 2 109" xfId="3799"/>
    <cellStyle name="60% - 강조색4 2 11" xfId="3800"/>
    <cellStyle name="60% - 강조색4 2 110" xfId="3801"/>
    <cellStyle name="60% - 강조색4 2 111" xfId="3802"/>
    <cellStyle name="60% - 강조색4 2 112" xfId="3803"/>
    <cellStyle name="60% - 강조색4 2 113" xfId="3804"/>
    <cellStyle name="60% - 강조색4 2 114" xfId="3805"/>
    <cellStyle name="60% - 강조색4 2 115" xfId="3806"/>
    <cellStyle name="60% - 강조색4 2 116" xfId="3807"/>
    <cellStyle name="60% - 강조색4 2 117" xfId="3808"/>
    <cellStyle name="60% - 강조색4 2 118" xfId="3809"/>
    <cellStyle name="60% - 강조색4 2 119" xfId="3810"/>
    <cellStyle name="60% - 강조색4 2 12" xfId="3811"/>
    <cellStyle name="60% - 강조색4 2 120" xfId="3812"/>
    <cellStyle name="60% - 강조색4 2 121" xfId="3813"/>
    <cellStyle name="60% - 강조색4 2 122" xfId="3814"/>
    <cellStyle name="60% - 강조색4 2 123" xfId="3815"/>
    <cellStyle name="60% - 강조색4 2 124" xfId="3816"/>
    <cellStyle name="60% - 강조색4 2 125" xfId="3817"/>
    <cellStyle name="60% - 강조색4 2 126" xfId="3818"/>
    <cellStyle name="60% - 강조색4 2 127" xfId="3819"/>
    <cellStyle name="60% - 강조색4 2 128" xfId="3820"/>
    <cellStyle name="60% - 강조색4 2 129" xfId="3821"/>
    <cellStyle name="60% - 강조색4 2 13" xfId="3822"/>
    <cellStyle name="60% - 강조색4 2 130" xfId="3823"/>
    <cellStyle name="60% - 강조색4 2 131" xfId="3824"/>
    <cellStyle name="60% - 강조색4 2 132" xfId="3825"/>
    <cellStyle name="60% - 강조색4 2 133" xfId="3826"/>
    <cellStyle name="60% - 강조색4 2 134" xfId="3827"/>
    <cellStyle name="60% - 강조색4 2 135" xfId="3828"/>
    <cellStyle name="60% - 강조색4 2 136" xfId="3829"/>
    <cellStyle name="60% - 강조색4 2 137" xfId="3830"/>
    <cellStyle name="60% - 강조색4 2 138" xfId="3831"/>
    <cellStyle name="60% - 강조색4 2 139" xfId="3832"/>
    <cellStyle name="60% - 강조색4 2 14" xfId="3833"/>
    <cellStyle name="60% - 강조색4 2 140" xfId="3834"/>
    <cellStyle name="60% - 강조색4 2 141" xfId="3835"/>
    <cellStyle name="60% - 강조색4 2 142" xfId="3836"/>
    <cellStyle name="60% - 강조색4 2 143" xfId="3837"/>
    <cellStyle name="60% - 강조색4 2 144" xfId="3838"/>
    <cellStyle name="60% - 강조색4 2 145" xfId="3839"/>
    <cellStyle name="60% - 강조색4 2 146" xfId="3840"/>
    <cellStyle name="60% - 강조색4 2 147" xfId="3841"/>
    <cellStyle name="60% - 강조색4 2 148" xfId="3842"/>
    <cellStyle name="60% - 강조색4 2 149" xfId="3843"/>
    <cellStyle name="60% - 강조색4 2 15" xfId="3844"/>
    <cellStyle name="60% - 강조색4 2 150" xfId="3845"/>
    <cellStyle name="60% - 강조색4 2 151" xfId="3846"/>
    <cellStyle name="60% - 강조색4 2 152" xfId="3847"/>
    <cellStyle name="60% - 강조색4 2 153" xfId="3848"/>
    <cellStyle name="60% - 강조색4 2 154" xfId="3849"/>
    <cellStyle name="60% - 강조색4 2 155" xfId="3850"/>
    <cellStyle name="60% - 강조색4 2 156" xfId="3851"/>
    <cellStyle name="60% - 강조색4 2 157" xfId="3852"/>
    <cellStyle name="60% - 강조색4 2 158" xfId="3853"/>
    <cellStyle name="60% - 강조색4 2 159" xfId="3854"/>
    <cellStyle name="60% - 강조색4 2 16" xfId="3855"/>
    <cellStyle name="60% - 강조색4 2 160" xfId="3856"/>
    <cellStyle name="60% - 강조색4 2 161" xfId="3857"/>
    <cellStyle name="60% - 강조색4 2 162" xfId="3858"/>
    <cellStyle name="60% - 강조색4 2 163" xfId="3859"/>
    <cellStyle name="60% - 강조색4 2 164" xfId="3860"/>
    <cellStyle name="60% - 강조색4 2 165" xfId="3861"/>
    <cellStyle name="60% - 강조색4 2 166" xfId="3862"/>
    <cellStyle name="60% - 강조색4 2 167" xfId="3863"/>
    <cellStyle name="60% - 강조색4 2 168" xfId="3864"/>
    <cellStyle name="60% - 강조색4 2 169" xfId="3865"/>
    <cellStyle name="60% - 강조색4 2 17" xfId="3866"/>
    <cellStyle name="60% - 강조색4 2 170" xfId="3867"/>
    <cellStyle name="60% - 강조색4 2 171" xfId="3868"/>
    <cellStyle name="60% - 강조색4 2 172" xfId="3869"/>
    <cellStyle name="60% - 강조색4 2 173" xfId="3870"/>
    <cellStyle name="60% - 강조색4 2 174" xfId="3871"/>
    <cellStyle name="60% - 강조색4 2 175" xfId="3872"/>
    <cellStyle name="60% - 강조색4 2 176" xfId="3873"/>
    <cellStyle name="60% - 강조색4 2 177" xfId="3874"/>
    <cellStyle name="60% - 강조색4 2 178" xfId="3875"/>
    <cellStyle name="60% - 강조색4 2 179" xfId="3876"/>
    <cellStyle name="60% - 강조색4 2 18" xfId="3877"/>
    <cellStyle name="60% - 강조색4 2 180" xfId="3878"/>
    <cellStyle name="60% - 강조색4 2 181" xfId="3879"/>
    <cellStyle name="60% - 강조색4 2 182" xfId="3880"/>
    <cellStyle name="60% - 강조색4 2 183" xfId="3881"/>
    <cellStyle name="60% - 강조색4 2 184" xfId="3882"/>
    <cellStyle name="60% - 강조색4 2 185" xfId="3883"/>
    <cellStyle name="60% - 강조색4 2 186" xfId="3884"/>
    <cellStyle name="60% - 강조색4 2 187" xfId="3885"/>
    <cellStyle name="60% - 강조색4 2 188" xfId="3886"/>
    <cellStyle name="60% - 강조색4 2 189" xfId="3887"/>
    <cellStyle name="60% - 강조색4 2 19" xfId="3888"/>
    <cellStyle name="60% - 강조색4 2 190" xfId="3889"/>
    <cellStyle name="60% - 강조색4 2 191" xfId="3890"/>
    <cellStyle name="60% - 강조색4 2 192" xfId="3891"/>
    <cellStyle name="60% - 강조색4 2 193" xfId="3892"/>
    <cellStyle name="60% - 강조색4 2 194" xfId="3893"/>
    <cellStyle name="60% - 강조색4 2 195" xfId="3894"/>
    <cellStyle name="60% - 강조색4 2 196" xfId="3895"/>
    <cellStyle name="60% - 강조색4 2 197" xfId="3896"/>
    <cellStyle name="60% - 강조색4 2 198" xfId="3897"/>
    <cellStyle name="60% - 강조색4 2 199" xfId="3898"/>
    <cellStyle name="60% - 강조색4 2 2" xfId="3899"/>
    <cellStyle name="60% - 강조색4 2 20" xfId="3900"/>
    <cellStyle name="60% - 강조색4 2 200" xfId="3901"/>
    <cellStyle name="60% - 강조색4 2 201" xfId="3902"/>
    <cellStyle name="60% - 강조색4 2 202" xfId="3903"/>
    <cellStyle name="60% - 강조색4 2 203" xfId="3904"/>
    <cellStyle name="60% - 강조색4 2 204" xfId="3905"/>
    <cellStyle name="60% - 강조색4 2 205" xfId="3906"/>
    <cellStyle name="60% - 강조색4 2 206" xfId="3907"/>
    <cellStyle name="60% - 강조색4 2 207" xfId="3908"/>
    <cellStyle name="60% - 강조색4 2 208" xfId="3909"/>
    <cellStyle name="60% - 강조색4 2 209" xfId="3910"/>
    <cellStyle name="60% - 강조색4 2 21" xfId="3911"/>
    <cellStyle name="60% - 강조색4 2 210" xfId="3912"/>
    <cellStyle name="60% - 강조색4 2 211" xfId="3913"/>
    <cellStyle name="60% - 강조색4 2 212" xfId="3914"/>
    <cellStyle name="60% - 강조색4 2 213" xfId="3915"/>
    <cellStyle name="60% - 강조색4 2 214" xfId="3916"/>
    <cellStyle name="60% - 강조색4 2 215" xfId="3917"/>
    <cellStyle name="60% - 강조색4 2 216" xfId="3918"/>
    <cellStyle name="60% - 강조색4 2 217" xfId="3919"/>
    <cellStyle name="60% - 강조색4 2 218" xfId="3920"/>
    <cellStyle name="60% - 강조색4 2 219" xfId="3921"/>
    <cellStyle name="60% - 강조색4 2 22" xfId="3922"/>
    <cellStyle name="60% - 강조색4 2 220" xfId="3923"/>
    <cellStyle name="60% - 강조색4 2 221" xfId="3924"/>
    <cellStyle name="60% - 강조색4 2 222" xfId="3925"/>
    <cellStyle name="60% - 강조색4 2 223" xfId="3926"/>
    <cellStyle name="60% - 강조색4 2 224" xfId="3927"/>
    <cellStyle name="60% - 강조색4 2 225" xfId="3928"/>
    <cellStyle name="60% - 강조색4 2 226" xfId="3929"/>
    <cellStyle name="60% - 강조색4 2 227" xfId="3930"/>
    <cellStyle name="60% - 강조색4 2 228" xfId="3931"/>
    <cellStyle name="60% - 강조색4 2 229" xfId="3932"/>
    <cellStyle name="60% - 강조색4 2 23" xfId="3933"/>
    <cellStyle name="60% - 강조색4 2 230" xfId="3934"/>
    <cellStyle name="60% - 강조색4 2 231" xfId="3935"/>
    <cellStyle name="60% - 강조색4 2 232" xfId="3936"/>
    <cellStyle name="60% - 강조색4 2 233" xfId="3937"/>
    <cellStyle name="60% - 강조색4 2 234" xfId="3938"/>
    <cellStyle name="60% - 강조색4 2 235" xfId="3939"/>
    <cellStyle name="60% - 강조색4 2 236" xfId="3940"/>
    <cellStyle name="60% - 강조색4 2 237" xfId="3941"/>
    <cellStyle name="60% - 강조색4 2 238" xfId="3942"/>
    <cellStyle name="60% - 강조색4 2 239" xfId="3943"/>
    <cellStyle name="60% - 강조색4 2 24" xfId="3944"/>
    <cellStyle name="60% - 강조색4 2 240" xfId="3945"/>
    <cellStyle name="60% - 강조색4 2 241" xfId="3946"/>
    <cellStyle name="60% - 강조색4 2 25" xfId="3947"/>
    <cellStyle name="60% - 강조색4 2 26" xfId="3948"/>
    <cellStyle name="60% - 강조색4 2 27" xfId="3949"/>
    <cellStyle name="60% - 강조색4 2 28" xfId="3950"/>
    <cellStyle name="60% - 강조색4 2 29" xfId="3951"/>
    <cellStyle name="60% - 강조색4 2 3" xfId="3952"/>
    <cellStyle name="60% - 강조색4 2 30" xfId="3953"/>
    <cellStyle name="60% - 강조색4 2 31" xfId="3954"/>
    <cellStyle name="60% - 강조색4 2 32" xfId="3955"/>
    <cellStyle name="60% - 강조색4 2 33" xfId="3956"/>
    <cellStyle name="60% - 강조색4 2 34" xfId="3957"/>
    <cellStyle name="60% - 강조색4 2 35" xfId="3958"/>
    <cellStyle name="60% - 강조색4 2 36" xfId="3959"/>
    <cellStyle name="60% - 강조색4 2 37" xfId="3960"/>
    <cellStyle name="60% - 강조색4 2 38" xfId="3961"/>
    <cellStyle name="60% - 강조색4 2 39" xfId="3962"/>
    <cellStyle name="60% - 강조색4 2 4" xfId="3963"/>
    <cellStyle name="60% - 강조색4 2 40" xfId="3964"/>
    <cellStyle name="60% - 강조색4 2 41" xfId="3965"/>
    <cellStyle name="60% - 강조색4 2 42" xfId="3966"/>
    <cellStyle name="60% - 강조색4 2 43" xfId="3967"/>
    <cellStyle name="60% - 강조색4 2 44" xfId="3968"/>
    <cellStyle name="60% - 강조색4 2 45" xfId="3969"/>
    <cellStyle name="60% - 강조색4 2 46" xfId="3970"/>
    <cellStyle name="60% - 강조색4 2 47" xfId="3971"/>
    <cellStyle name="60% - 강조색4 2 48" xfId="3972"/>
    <cellStyle name="60% - 강조색4 2 49" xfId="3973"/>
    <cellStyle name="60% - 강조색4 2 5" xfId="3974"/>
    <cellStyle name="60% - 강조색4 2 50" xfId="3975"/>
    <cellStyle name="60% - 강조색4 2 51" xfId="3976"/>
    <cellStyle name="60% - 강조색4 2 52" xfId="3977"/>
    <cellStyle name="60% - 강조색4 2 53" xfId="3978"/>
    <cellStyle name="60% - 강조색4 2 54" xfId="3979"/>
    <cellStyle name="60% - 강조색4 2 55" xfId="3980"/>
    <cellStyle name="60% - 강조색4 2 56" xfId="3981"/>
    <cellStyle name="60% - 강조색4 2 57" xfId="3982"/>
    <cellStyle name="60% - 강조색4 2 58" xfId="3983"/>
    <cellStyle name="60% - 강조색4 2 59" xfId="3984"/>
    <cellStyle name="60% - 강조색4 2 6" xfId="3985"/>
    <cellStyle name="60% - 강조색4 2 60" xfId="3986"/>
    <cellStyle name="60% - 강조색4 2 61" xfId="3987"/>
    <cellStyle name="60% - 강조색4 2 62" xfId="3988"/>
    <cellStyle name="60% - 강조색4 2 63" xfId="3989"/>
    <cellStyle name="60% - 강조색4 2 64" xfId="3990"/>
    <cellStyle name="60% - 강조색4 2 65" xfId="3991"/>
    <cellStyle name="60% - 강조색4 2 66" xfId="3992"/>
    <cellStyle name="60% - 강조색4 2 67" xfId="3993"/>
    <cellStyle name="60% - 강조색4 2 68" xfId="3994"/>
    <cellStyle name="60% - 강조색4 2 69" xfId="3995"/>
    <cellStyle name="60% - 강조색4 2 7" xfId="3996"/>
    <cellStyle name="60% - 강조색4 2 70" xfId="3997"/>
    <cellStyle name="60% - 강조색4 2 71" xfId="3998"/>
    <cellStyle name="60% - 강조색4 2 72" xfId="3999"/>
    <cellStyle name="60% - 강조색4 2 73" xfId="4000"/>
    <cellStyle name="60% - 강조색4 2 74" xfId="4001"/>
    <cellStyle name="60% - 강조색4 2 75" xfId="4002"/>
    <cellStyle name="60% - 강조색4 2 76" xfId="4003"/>
    <cellStyle name="60% - 강조색4 2 77" xfId="4004"/>
    <cellStyle name="60% - 강조색4 2 78" xfId="4005"/>
    <cellStyle name="60% - 강조색4 2 79" xfId="4006"/>
    <cellStyle name="60% - 강조색4 2 8" xfId="4007"/>
    <cellStyle name="60% - 강조색4 2 80" xfId="4008"/>
    <cellStyle name="60% - 강조색4 2 81" xfId="4009"/>
    <cellStyle name="60% - 강조색4 2 82" xfId="4010"/>
    <cellStyle name="60% - 강조색4 2 83" xfId="4011"/>
    <cellStyle name="60% - 강조색4 2 84" xfId="4012"/>
    <cellStyle name="60% - 강조색4 2 85" xfId="4013"/>
    <cellStyle name="60% - 강조색4 2 86" xfId="4014"/>
    <cellStyle name="60% - 강조색4 2 87" xfId="4015"/>
    <cellStyle name="60% - 강조색4 2 88" xfId="4016"/>
    <cellStyle name="60% - 강조색4 2 89" xfId="4017"/>
    <cellStyle name="60% - 강조색4 2 9" xfId="4018"/>
    <cellStyle name="60% - 강조색4 2 90" xfId="4019"/>
    <cellStyle name="60% - 강조색4 2 91" xfId="4020"/>
    <cellStyle name="60% - 강조색4 2 92" xfId="4021"/>
    <cellStyle name="60% - 강조색4 2 93" xfId="4022"/>
    <cellStyle name="60% - 강조색4 2 94" xfId="4023"/>
    <cellStyle name="60% - 강조색4 2 95" xfId="4024"/>
    <cellStyle name="60% - 강조색4 2 96" xfId="4025"/>
    <cellStyle name="60% - 강조색4 2 97" xfId="4026"/>
    <cellStyle name="60% - 강조색4 2 98" xfId="4027"/>
    <cellStyle name="60% - 강조색4 2 99" xfId="4028"/>
    <cellStyle name="60% - 강조색4 20" xfId="15847"/>
    <cellStyle name="60% - 강조색4 21" xfId="15848"/>
    <cellStyle name="60% - 강조색4 22" xfId="15849"/>
    <cellStyle name="60% - 강조색4 23" xfId="15850"/>
    <cellStyle name="60% - 강조색4 24" xfId="15851"/>
    <cellStyle name="60% - 강조색4 25" xfId="15852"/>
    <cellStyle name="60% - 강조색4 26" xfId="15853"/>
    <cellStyle name="60% - 강조색4 27" xfId="15854"/>
    <cellStyle name="60% - 강조색4 28" xfId="15855"/>
    <cellStyle name="60% - 강조색4 29" xfId="15856"/>
    <cellStyle name="60% - 강조색4 3" xfId="15857"/>
    <cellStyle name="60% - 강조색4 3 2" xfId="15858"/>
    <cellStyle name="60% - 강조색4 3 3" xfId="15859"/>
    <cellStyle name="60% - 강조색4 3 4" xfId="15860"/>
    <cellStyle name="60% - 강조색4 30" xfId="15861"/>
    <cellStyle name="60% - 강조색4 31" xfId="15862"/>
    <cellStyle name="60% - 강조색4 32" xfId="15863"/>
    <cellStyle name="60% - 강조색4 4" xfId="15864"/>
    <cellStyle name="60% - 강조색4 4 2" xfId="15865"/>
    <cellStyle name="60% - 강조색4 4 3" xfId="15866"/>
    <cellStyle name="60% - 강조색4 5" xfId="15867"/>
    <cellStyle name="60% - 강조색4 6" xfId="15868"/>
    <cellStyle name="60% - 강조색4 7" xfId="15869"/>
    <cellStyle name="60% - 강조색4 8" xfId="15870"/>
    <cellStyle name="60% - 강조색4 9" xfId="15871"/>
    <cellStyle name="60% - 강조색5 10" xfId="15872"/>
    <cellStyle name="60% - 강조색5 11" xfId="15873"/>
    <cellStyle name="60% - 강조색5 12" xfId="15874"/>
    <cellStyle name="60% - 강조색5 13" xfId="15875"/>
    <cellStyle name="60% - 강조색5 14" xfId="15876"/>
    <cellStyle name="60% - 강조색5 15" xfId="15877"/>
    <cellStyle name="60% - 강조색5 16" xfId="15878"/>
    <cellStyle name="60% - 강조색5 17" xfId="15879"/>
    <cellStyle name="60% - 강조색5 18" xfId="15880"/>
    <cellStyle name="60% - 강조색5 19" xfId="15881"/>
    <cellStyle name="60% - 강조색5 2" xfId="4029"/>
    <cellStyle name="60% - 강조색5 2 10" xfId="4030"/>
    <cellStyle name="60% - 강조색5 2 100" xfId="4031"/>
    <cellStyle name="60% - 강조색5 2 101" xfId="4032"/>
    <cellStyle name="60% - 강조색5 2 102" xfId="4033"/>
    <cellStyle name="60% - 강조색5 2 103" xfId="4034"/>
    <cellStyle name="60% - 강조색5 2 104" xfId="4035"/>
    <cellStyle name="60% - 강조색5 2 105" xfId="4036"/>
    <cellStyle name="60% - 강조색5 2 106" xfId="4037"/>
    <cellStyle name="60% - 강조색5 2 107" xfId="4038"/>
    <cellStyle name="60% - 강조색5 2 108" xfId="4039"/>
    <cellStyle name="60% - 강조색5 2 109" xfId="4040"/>
    <cellStyle name="60% - 강조색5 2 11" xfId="4041"/>
    <cellStyle name="60% - 강조색5 2 110" xfId="4042"/>
    <cellStyle name="60% - 강조색5 2 111" xfId="4043"/>
    <cellStyle name="60% - 강조색5 2 112" xfId="4044"/>
    <cellStyle name="60% - 강조색5 2 113" xfId="4045"/>
    <cellStyle name="60% - 강조색5 2 114" xfId="4046"/>
    <cellStyle name="60% - 강조색5 2 115" xfId="4047"/>
    <cellStyle name="60% - 강조색5 2 116" xfId="4048"/>
    <cellStyle name="60% - 강조색5 2 117" xfId="4049"/>
    <cellStyle name="60% - 강조색5 2 118" xfId="4050"/>
    <cellStyle name="60% - 강조색5 2 119" xfId="4051"/>
    <cellStyle name="60% - 강조색5 2 12" xfId="4052"/>
    <cellStyle name="60% - 강조색5 2 120" xfId="4053"/>
    <cellStyle name="60% - 강조색5 2 121" xfId="4054"/>
    <cellStyle name="60% - 강조색5 2 122" xfId="4055"/>
    <cellStyle name="60% - 강조색5 2 123" xfId="4056"/>
    <cellStyle name="60% - 강조색5 2 124" xfId="4057"/>
    <cellStyle name="60% - 강조색5 2 125" xfId="4058"/>
    <cellStyle name="60% - 강조색5 2 126" xfId="4059"/>
    <cellStyle name="60% - 강조색5 2 127" xfId="4060"/>
    <cellStyle name="60% - 강조색5 2 128" xfId="4061"/>
    <cellStyle name="60% - 강조색5 2 129" xfId="4062"/>
    <cellStyle name="60% - 강조색5 2 13" xfId="4063"/>
    <cellStyle name="60% - 강조색5 2 130" xfId="4064"/>
    <cellStyle name="60% - 강조색5 2 131" xfId="4065"/>
    <cellStyle name="60% - 강조색5 2 132" xfId="4066"/>
    <cellStyle name="60% - 강조색5 2 133" xfId="4067"/>
    <cellStyle name="60% - 강조색5 2 134" xfId="4068"/>
    <cellStyle name="60% - 강조색5 2 135" xfId="4069"/>
    <cellStyle name="60% - 강조색5 2 136" xfId="4070"/>
    <cellStyle name="60% - 강조색5 2 137" xfId="4071"/>
    <cellStyle name="60% - 강조색5 2 138" xfId="4072"/>
    <cellStyle name="60% - 강조색5 2 139" xfId="4073"/>
    <cellStyle name="60% - 강조색5 2 14" xfId="4074"/>
    <cellStyle name="60% - 강조색5 2 140" xfId="4075"/>
    <cellStyle name="60% - 강조색5 2 141" xfId="4076"/>
    <cellStyle name="60% - 강조색5 2 142" xfId="4077"/>
    <cellStyle name="60% - 강조색5 2 143" xfId="4078"/>
    <cellStyle name="60% - 강조색5 2 144" xfId="4079"/>
    <cellStyle name="60% - 강조색5 2 145" xfId="4080"/>
    <cellStyle name="60% - 강조색5 2 146" xfId="4081"/>
    <cellStyle name="60% - 강조색5 2 147" xfId="4082"/>
    <cellStyle name="60% - 강조색5 2 148" xfId="4083"/>
    <cellStyle name="60% - 강조색5 2 149" xfId="4084"/>
    <cellStyle name="60% - 강조색5 2 15" xfId="4085"/>
    <cellStyle name="60% - 강조색5 2 150" xfId="4086"/>
    <cellStyle name="60% - 강조색5 2 151" xfId="4087"/>
    <cellStyle name="60% - 강조색5 2 152" xfId="4088"/>
    <cellStyle name="60% - 강조색5 2 153" xfId="4089"/>
    <cellStyle name="60% - 강조색5 2 154" xfId="4090"/>
    <cellStyle name="60% - 강조색5 2 155" xfId="4091"/>
    <cellStyle name="60% - 강조색5 2 156" xfId="4092"/>
    <cellStyle name="60% - 강조색5 2 157" xfId="4093"/>
    <cellStyle name="60% - 강조색5 2 158" xfId="4094"/>
    <cellStyle name="60% - 강조색5 2 159" xfId="4095"/>
    <cellStyle name="60% - 강조색5 2 16" xfId="4096"/>
    <cellStyle name="60% - 강조색5 2 160" xfId="4097"/>
    <cellStyle name="60% - 강조색5 2 161" xfId="4098"/>
    <cellStyle name="60% - 강조색5 2 162" xfId="4099"/>
    <cellStyle name="60% - 강조색5 2 163" xfId="4100"/>
    <cellStyle name="60% - 강조색5 2 164" xfId="4101"/>
    <cellStyle name="60% - 강조색5 2 165" xfId="4102"/>
    <cellStyle name="60% - 강조색5 2 166" xfId="4103"/>
    <cellStyle name="60% - 강조색5 2 167" xfId="4104"/>
    <cellStyle name="60% - 강조색5 2 168" xfId="4105"/>
    <cellStyle name="60% - 강조색5 2 169" xfId="4106"/>
    <cellStyle name="60% - 강조색5 2 17" xfId="4107"/>
    <cellStyle name="60% - 강조색5 2 170" xfId="4108"/>
    <cellStyle name="60% - 강조색5 2 171" xfId="4109"/>
    <cellStyle name="60% - 강조색5 2 172" xfId="4110"/>
    <cellStyle name="60% - 강조색5 2 173" xfId="4111"/>
    <cellStyle name="60% - 강조색5 2 174" xfId="4112"/>
    <cellStyle name="60% - 강조색5 2 175" xfId="4113"/>
    <cellStyle name="60% - 강조색5 2 176" xfId="4114"/>
    <cellStyle name="60% - 강조색5 2 177" xfId="4115"/>
    <cellStyle name="60% - 강조색5 2 178" xfId="4116"/>
    <cellStyle name="60% - 강조색5 2 179" xfId="4117"/>
    <cellStyle name="60% - 강조색5 2 18" xfId="4118"/>
    <cellStyle name="60% - 강조색5 2 180" xfId="4119"/>
    <cellStyle name="60% - 강조색5 2 181" xfId="4120"/>
    <cellStyle name="60% - 강조색5 2 182" xfId="4121"/>
    <cellStyle name="60% - 강조색5 2 183" xfId="4122"/>
    <cellStyle name="60% - 강조색5 2 184" xfId="4123"/>
    <cellStyle name="60% - 강조색5 2 185" xfId="4124"/>
    <cellStyle name="60% - 강조색5 2 186" xfId="4125"/>
    <cellStyle name="60% - 강조색5 2 187" xfId="4126"/>
    <cellStyle name="60% - 강조색5 2 188" xfId="4127"/>
    <cellStyle name="60% - 강조색5 2 189" xfId="4128"/>
    <cellStyle name="60% - 강조색5 2 19" xfId="4129"/>
    <cellStyle name="60% - 강조색5 2 190" xfId="4130"/>
    <cellStyle name="60% - 강조색5 2 191" xfId="4131"/>
    <cellStyle name="60% - 강조색5 2 192" xfId="4132"/>
    <cellStyle name="60% - 강조색5 2 193" xfId="4133"/>
    <cellStyle name="60% - 강조색5 2 194" xfId="4134"/>
    <cellStyle name="60% - 강조색5 2 195" xfId="4135"/>
    <cellStyle name="60% - 강조색5 2 196" xfId="4136"/>
    <cellStyle name="60% - 강조색5 2 197" xfId="4137"/>
    <cellStyle name="60% - 강조색5 2 198" xfId="4138"/>
    <cellStyle name="60% - 강조색5 2 199" xfId="4139"/>
    <cellStyle name="60% - 강조색5 2 2" xfId="4140"/>
    <cellStyle name="60% - 강조색5 2 20" xfId="4141"/>
    <cellStyle name="60% - 강조색5 2 200" xfId="4142"/>
    <cellStyle name="60% - 강조색5 2 201" xfId="4143"/>
    <cellStyle name="60% - 강조색5 2 202" xfId="4144"/>
    <cellStyle name="60% - 강조색5 2 203" xfId="4145"/>
    <cellStyle name="60% - 강조색5 2 204" xfId="4146"/>
    <cellStyle name="60% - 강조색5 2 205" xfId="4147"/>
    <cellStyle name="60% - 강조색5 2 206" xfId="4148"/>
    <cellStyle name="60% - 강조색5 2 207" xfId="4149"/>
    <cellStyle name="60% - 강조색5 2 208" xfId="4150"/>
    <cellStyle name="60% - 강조색5 2 209" xfId="4151"/>
    <cellStyle name="60% - 강조색5 2 21" xfId="4152"/>
    <cellStyle name="60% - 강조색5 2 210" xfId="4153"/>
    <cellStyle name="60% - 강조색5 2 211" xfId="4154"/>
    <cellStyle name="60% - 강조색5 2 212" xfId="4155"/>
    <cellStyle name="60% - 강조색5 2 213" xfId="4156"/>
    <cellStyle name="60% - 강조색5 2 214" xfId="4157"/>
    <cellStyle name="60% - 강조색5 2 215" xfId="4158"/>
    <cellStyle name="60% - 강조색5 2 216" xfId="4159"/>
    <cellStyle name="60% - 강조색5 2 217" xfId="4160"/>
    <cellStyle name="60% - 강조색5 2 218" xfId="4161"/>
    <cellStyle name="60% - 강조색5 2 219" xfId="4162"/>
    <cellStyle name="60% - 강조색5 2 22" xfId="4163"/>
    <cellStyle name="60% - 강조색5 2 220" xfId="4164"/>
    <cellStyle name="60% - 강조색5 2 221" xfId="4165"/>
    <cellStyle name="60% - 강조색5 2 222" xfId="4166"/>
    <cellStyle name="60% - 강조색5 2 223" xfId="4167"/>
    <cellStyle name="60% - 강조색5 2 224" xfId="4168"/>
    <cellStyle name="60% - 강조색5 2 225" xfId="4169"/>
    <cellStyle name="60% - 강조색5 2 226" xfId="4170"/>
    <cellStyle name="60% - 강조색5 2 227" xfId="4171"/>
    <cellStyle name="60% - 강조색5 2 228" xfId="4172"/>
    <cellStyle name="60% - 강조색5 2 229" xfId="4173"/>
    <cellStyle name="60% - 강조색5 2 23" xfId="4174"/>
    <cellStyle name="60% - 강조색5 2 230" xfId="4175"/>
    <cellStyle name="60% - 강조색5 2 231" xfId="4176"/>
    <cellStyle name="60% - 강조색5 2 232" xfId="4177"/>
    <cellStyle name="60% - 강조색5 2 233" xfId="4178"/>
    <cellStyle name="60% - 강조색5 2 234" xfId="4179"/>
    <cellStyle name="60% - 강조색5 2 235" xfId="4180"/>
    <cellStyle name="60% - 강조색5 2 236" xfId="4181"/>
    <cellStyle name="60% - 강조색5 2 237" xfId="4182"/>
    <cellStyle name="60% - 강조색5 2 238" xfId="4183"/>
    <cellStyle name="60% - 강조색5 2 239" xfId="4184"/>
    <cellStyle name="60% - 강조색5 2 24" xfId="4185"/>
    <cellStyle name="60% - 강조색5 2 240" xfId="4186"/>
    <cellStyle name="60% - 강조색5 2 241" xfId="4187"/>
    <cellStyle name="60% - 강조색5 2 25" xfId="4188"/>
    <cellStyle name="60% - 강조색5 2 26" xfId="4189"/>
    <cellStyle name="60% - 강조색5 2 27" xfId="4190"/>
    <cellStyle name="60% - 강조색5 2 28" xfId="4191"/>
    <cellStyle name="60% - 강조색5 2 29" xfId="4192"/>
    <cellStyle name="60% - 강조색5 2 3" xfId="4193"/>
    <cellStyle name="60% - 강조색5 2 30" xfId="4194"/>
    <cellStyle name="60% - 강조색5 2 31" xfId="4195"/>
    <cellStyle name="60% - 강조색5 2 32" xfId="4196"/>
    <cellStyle name="60% - 강조색5 2 33" xfId="4197"/>
    <cellStyle name="60% - 강조색5 2 34" xfId="4198"/>
    <cellStyle name="60% - 강조색5 2 35" xfId="4199"/>
    <cellStyle name="60% - 강조색5 2 36" xfId="4200"/>
    <cellStyle name="60% - 강조색5 2 37" xfId="4201"/>
    <cellStyle name="60% - 강조색5 2 38" xfId="4202"/>
    <cellStyle name="60% - 강조색5 2 39" xfId="4203"/>
    <cellStyle name="60% - 강조색5 2 4" xfId="4204"/>
    <cellStyle name="60% - 강조색5 2 40" xfId="4205"/>
    <cellStyle name="60% - 강조색5 2 41" xfId="4206"/>
    <cellStyle name="60% - 강조색5 2 42" xfId="4207"/>
    <cellStyle name="60% - 강조색5 2 43" xfId="4208"/>
    <cellStyle name="60% - 강조색5 2 44" xfId="4209"/>
    <cellStyle name="60% - 강조색5 2 45" xfId="4210"/>
    <cellStyle name="60% - 강조색5 2 46" xfId="4211"/>
    <cellStyle name="60% - 강조색5 2 47" xfId="4212"/>
    <cellStyle name="60% - 강조색5 2 48" xfId="4213"/>
    <cellStyle name="60% - 강조색5 2 49" xfId="4214"/>
    <cellStyle name="60% - 강조색5 2 5" xfId="4215"/>
    <cellStyle name="60% - 강조색5 2 50" xfId="4216"/>
    <cellStyle name="60% - 강조색5 2 51" xfId="4217"/>
    <cellStyle name="60% - 강조색5 2 52" xfId="4218"/>
    <cellStyle name="60% - 강조색5 2 53" xfId="4219"/>
    <cellStyle name="60% - 강조색5 2 54" xfId="4220"/>
    <cellStyle name="60% - 강조색5 2 55" xfId="4221"/>
    <cellStyle name="60% - 강조색5 2 56" xfId="4222"/>
    <cellStyle name="60% - 강조색5 2 57" xfId="4223"/>
    <cellStyle name="60% - 강조색5 2 58" xfId="4224"/>
    <cellStyle name="60% - 강조색5 2 59" xfId="4225"/>
    <cellStyle name="60% - 강조색5 2 6" xfId="4226"/>
    <cellStyle name="60% - 강조색5 2 60" xfId="4227"/>
    <cellStyle name="60% - 강조색5 2 61" xfId="4228"/>
    <cellStyle name="60% - 강조색5 2 62" xfId="4229"/>
    <cellStyle name="60% - 강조색5 2 63" xfId="4230"/>
    <cellStyle name="60% - 강조색5 2 64" xfId="4231"/>
    <cellStyle name="60% - 강조색5 2 65" xfId="4232"/>
    <cellStyle name="60% - 강조색5 2 66" xfId="4233"/>
    <cellStyle name="60% - 강조색5 2 67" xfId="4234"/>
    <cellStyle name="60% - 강조색5 2 68" xfId="4235"/>
    <cellStyle name="60% - 강조색5 2 69" xfId="4236"/>
    <cellStyle name="60% - 강조색5 2 7" xfId="4237"/>
    <cellStyle name="60% - 강조색5 2 70" xfId="4238"/>
    <cellStyle name="60% - 강조색5 2 71" xfId="4239"/>
    <cellStyle name="60% - 강조색5 2 72" xfId="4240"/>
    <cellStyle name="60% - 강조색5 2 73" xfId="4241"/>
    <cellStyle name="60% - 강조색5 2 74" xfId="4242"/>
    <cellStyle name="60% - 강조색5 2 75" xfId="4243"/>
    <cellStyle name="60% - 강조색5 2 76" xfId="4244"/>
    <cellStyle name="60% - 강조색5 2 77" xfId="4245"/>
    <cellStyle name="60% - 강조색5 2 78" xfId="4246"/>
    <cellStyle name="60% - 강조색5 2 79" xfId="4247"/>
    <cellStyle name="60% - 강조색5 2 8" xfId="4248"/>
    <cellStyle name="60% - 강조색5 2 80" xfId="4249"/>
    <cellStyle name="60% - 강조색5 2 81" xfId="4250"/>
    <cellStyle name="60% - 강조색5 2 82" xfId="4251"/>
    <cellStyle name="60% - 강조색5 2 83" xfId="4252"/>
    <cellStyle name="60% - 강조색5 2 84" xfId="4253"/>
    <cellStyle name="60% - 강조색5 2 85" xfId="4254"/>
    <cellStyle name="60% - 강조색5 2 86" xfId="4255"/>
    <cellStyle name="60% - 강조색5 2 87" xfId="4256"/>
    <cellStyle name="60% - 강조색5 2 88" xfId="4257"/>
    <cellStyle name="60% - 강조색5 2 89" xfId="4258"/>
    <cellStyle name="60% - 강조색5 2 9" xfId="4259"/>
    <cellStyle name="60% - 강조색5 2 90" xfId="4260"/>
    <cellStyle name="60% - 강조색5 2 91" xfId="4261"/>
    <cellStyle name="60% - 강조색5 2 92" xfId="4262"/>
    <cellStyle name="60% - 강조색5 2 93" xfId="4263"/>
    <cellStyle name="60% - 강조색5 2 94" xfId="4264"/>
    <cellStyle name="60% - 강조색5 2 95" xfId="4265"/>
    <cellStyle name="60% - 강조색5 2 96" xfId="4266"/>
    <cellStyle name="60% - 강조색5 2 97" xfId="4267"/>
    <cellStyle name="60% - 강조색5 2 98" xfId="4268"/>
    <cellStyle name="60% - 강조색5 2 99" xfId="4269"/>
    <cellStyle name="60% - 강조색5 20" xfId="15882"/>
    <cellStyle name="60% - 강조색5 21" xfId="15883"/>
    <cellStyle name="60% - 강조색5 22" xfId="15884"/>
    <cellStyle name="60% - 강조색5 23" xfId="15885"/>
    <cellStyle name="60% - 강조색5 24" xfId="15886"/>
    <cellStyle name="60% - 강조색5 25" xfId="15887"/>
    <cellStyle name="60% - 강조색5 26" xfId="15888"/>
    <cellStyle name="60% - 강조색5 27" xfId="15889"/>
    <cellStyle name="60% - 강조색5 28" xfId="15890"/>
    <cellStyle name="60% - 강조색5 29" xfId="15891"/>
    <cellStyle name="60% - 강조색5 3" xfId="15892"/>
    <cellStyle name="60% - 강조색5 3 2" xfId="15893"/>
    <cellStyle name="60% - 강조색5 3 3" xfId="15894"/>
    <cellStyle name="60% - 강조색5 30" xfId="15895"/>
    <cellStyle name="60% - 강조색5 31" xfId="15896"/>
    <cellStyle name="60% - 강조색5 32" xfId="15897"/>
    <cellStyle name="60% - 강조색5 4" xfId="15898"/>
    <cellStyle name="60% - 강조색5 4 2" xfId="15899"/>
    <cellStyle name="60% - 강조색5 4 3" xfId="15900"/>
    <cellStyle name="60% - 강조색5 5" xfId="15901"/>
    <cellStyle name="60% - 강조색5 6" xfId="15902"/>
    <cellStyle name="60% - 강조색5 7" xfId="15903"/>
    <cellStyle name="60% - 강조색5 8" xfId="15904"/>
    <cellStyle name="60% - 강조색5 9" xfId="15905"/>
    <cellStyle name="60% - 강조색6 10" xfId="15906"/>
    <cellStyle name="60% - 강조색6 11" xfId="15907"/>
    <cellStyle name="60% - 강조색6 12" xfId="15908"/>
    <cellStyle name="60% - 강조색6 13" xfId="15909"/>
    <cellStyle name="60% - 강조색6 14" xfId="15910"/>
    <cellStyle name="60% - 강조색6 15" xfId="15911"/>
    <cellStyle name="60% - 강조색6 16" xfId="15912"/>
    <cellStyle name="60% - 강조색6 17" xfId="15913"/>
    <cellStyle name="60% - 강조색6 18" xfId="15914"/>
    <cellStyle name="60% - 강조색6 19" xfId="15915"/>
    <cellStyle name="60% - 강조색6 2" xfId="4270"/>
    <cellStyle name="60% - 강조색6 2 10" xfId="4271"/>
    <cellStyle name="60% - 강조색6 2 100" xfId="4272"/>
    <cellStyle name="60% - 강조색6 2 101" xfId="4273"/>
    <cellStyle name="60% - 강조색6 2 102" xfId="4274"/>
    <cellStyle name="60% - 강조색6 2 103" xfId="4275"/>
    <cellStyle name="60% - 강조색6 2 104" xfId="4276"/>
    <cellStyle name="60% - 강조색6 2 105" xfId="4277"/>
    <cellStyle name="60% - 강조색6 2 106" xfId="4278"/>
    <cellStyle name="60% - 강조색6 2 107" xfId="4279"/>
    <cellStyle name="60% - 강조색6 2 108" xfId="4280"/>
    <cellStyle name="60% - 강조색6 2 109" xfId="4281"/>
    <cellStyle name="60% - 강조색6 2 11" xfId="4282"/>
    <cellStyle name="60% - 강조색6 2 110" xfId="4283"/>
    <cellStyle name="60% - 강조색6 2 111" xfId="4284"/>
    <cellStyle name="60% - 강조색6 2 112" xfId="4285"/>
    <cellStyle name="60% - 강조색6 2 113" xfId="4286"/>
    <cellStyle name="60% - 강조색6 2 114" xfId="4287"/>
    <cellStyle name="60% - 강조색6 2 115" xfId="4288"/>
    <cellStyle name="60% - 강조색6 2 116" xfId="4289"/>
    <cellStyle name="60% - 강조색6 2 117" xfId="4290"/>
    <cellStyle name="60% - 강조색6 2 118" xfId="4291"/>
    <cellStyle name="60% - 강조색6 2 119" xfId="4292"/>
    <cellStyle name="60% - 강조색6 2 12" xfId="4293"/>
    <cellStyle name="60% - 강조색6 2 120" xfId="4294"/>
    <cellStyle name="60% - 강조색6 2 121" xfId="4295"/>
    <cellStyle name="60% - 강조색6 2 122" xfId="4296"/>
    <cellStyle name="60% - 강조색6 2 123" xfId="4297"/>
    <cellStyle name="60% - 강조색6 2 124" xfId="4298"/>
    <cellStyle name="60% - 강조색6 2 125" xfId="4299"/>
    <cellStyle name="60% - 강조색6 2 126" xfId="4300"/>
    <cellStyle name="60% - 강조색6 2 127" xfId="4301"/>
    <cellStyle name="60% - 강조색6 2 128" xfId="4302"/>
    <cellStyle name="60% - 강조색6 2 129" xfId="4303"/>
    <cellStyle name="60% - 강조색6 2 13" xfId="4304"/>
    <cellStyle name="60% - 강조색6 2 130" xfId="4305"/>
    <cellStyle name="60% - 강조색6 2 131" xfId="4306"/>
    <cellStyle name="60% - 강조색6 2 132" xfId="4307"/>
    <cellStyle name="60% - 강조색6 2 133" xfId="4308"/>
    <cellStyle name="60% - 강조색6 2 134" xfId="4309"/>
    <cellStyle name="60% - 강조색6 2 135" xfId="4310"/>
    <cellStyle name="60% - 강조색6 2 136" xfId="4311"/>
    <cellStyle name="60% - 강조색6 2 137" xfId="4312"/>
    <cellStyle name="60% - 강조색6 2 138" xfId="4313"/>
    <cellStyle name="60% - 강조색6 2 139" xfId="4314"/>
    <cellStyle name="60% - 강조색6 2 14" xfId="4315"/>
    <cellStyle name="60% - 강조색6 2 140" xfId="4316"/>
    <cellStyle name="60% - 강조색6 2 141" xfId="4317"/>
    <cellStyle name="60% - 강조색6 2 142" xfId="4318"/>
    <cellStyle name="60% - 강조색6 2 143" xfId="4319"/>
    <cellStyle name="60% - 강조색6 2 144" xfId="4320"/>
    <cellStyle name="60% - 강조색6 2 145" xfId="4321"/>
    <cellStyle name="60% - 강조색6 2 146" xfId="4322"/>
    <cellStyle name="60% - 강조색6 2 147" xfId="4323"/>
    <cellStyle name="60% - 강조색6 2 148" xfId="4324"/>
    <cellStyle name="60% - 강조색6 2 149" xfId="4325"/>
    <cellStyle name="60% - 강조색6 2 15" xfId="4326"/>
    <cellStyle name="60% - 강조색6 2 150" xfId="4327"/>
    <cellStyle name="60% - 강조색6 2 151" xfId="4328"/>
    <cellStyle name="60% - 강조색6 2 152" xfId="4329"/>
    <cellStyle name="60% - 강조색6 2 153" xfId="4330"/>
    <cellStyle name="60% - 강조색6 2 154" xfId="4331"/>
    <cellStyle name="60% - 강조색6 2 155" xfId="4332"/>
    <cellStyle name="60% - 강조색6 2 156" xfId="4333"/>
    <cellStyle name="60% - 강조색6 2 157" xfId="4334"/>
    <cellStyle name="60% - 강조색6 2 158" xfId="4335"/>
    <cellStyle name="60% - 강조색6 2 159" xfId="4336"/>
    <cellStyle name="60% - 강조색6 2 16" xfId="4337"/>
    <cellStyle name="60% - 강조색6 2 160" xfId="4338"/>
    <cellStyle name="60% - 강조색6 2 161" xfId="4339"/>
    <cellStyle name="60% - 강조색6 2 162" xfId="4340"/>
    <cellStyle name="60% - 강조색6 2 163" xfId="4341"/>
    <cellStyle name="60% - 강조색6 2 164" xfId="4342"/>
    <cellStyle name="60% - 강조색6 2 165" xfId="4343"/>
    <cellStyle name="60% - 강조색6 2 166" xfId="4344"/>
    <cellStyle name="60% - 강조색6 2 167" xfId="4345"/>
    <cellStyle name="60% - 강조색6 2 168" xfId="4346"/>
    <cellStyle name="60% - 강조색6 2 169" xfId="4347"/>
    <cellStyle name="60% - 강조색6 2 17" xfId="4348"/>
    <cellStyle name="60% - 강조색6 2 170" xfId="4349"/>
    <cellStyle name="60% - 강조색6 2 171" xfId="4350"/>
    <cellStyle name="60% - 강조색6 2 172" xfId="4351"/>
    <cellStyle name="60% - 강조색6 2 173" xfId="4352"/>
    <cellStyle name="60% - 강조색6 2 174" xfId="4353"/>
    <cellStyle name="60% - 강조색6 2 175" xfId="4354"/>
    <cellStyle name="60% - 강조색6 2 176" xfId="4355"/>
    <cellStyle name="60% - 강조색6 2 177" xfId="4356"/>
    <cellStyle name="60% - 강조색6 2 178" xfId="4357"/>
    <cellStyle name="60% - 강조색6 2 179" xfId="4358"/>
    <cellStyle name="60% - 강조색6 2 18" xfId="4359"/>
    <cellStyle name="60% - 강조색6 2 180" xfId="4360"/>
    <cellStyle name="60% - 강조색6 2 181" xfId="4361"/>
    <cellStyle name="60% - 강조색6 2 182" xfId="4362"/>
    <cellStyle name="60% - 강조색6 2 183" xfId="4363"/>
    <cellStyle name="60% - 강조색6 2 184" xfId="4364"/>
    <cellStyle name="60% - 강조색6 2 185" xfId="4365"/>
    <cellStyle name="60% - 강조색6 2 186" xfId="4366"/>
    <cellStyle name="60% - 강조색6 2 187" xfId="4367"/>
    <cellStyle name="60% - 강조색6 2 188" xfId="4368"/>
    <cellStyle name="60% - 강조색6 2 189" xfId="4369"/>
    <cellStyle name="60% - 강조색6 2 19" xfId="4370"/>
    <cellStyle name="60% - 강조색6 2 190" xfId="4371"/>
    <cellStyle name="60% - 강조색6 2 191" xfId="4372"/>
    <cellStyle name="60% - 강조색6 2 192" xfId="4373"/>
    <cellStyle name="60% - 강조색6 2 193" xfId="4374"/>
    <cellStyle name="60% - 강조색6 2 194" xfId="4375"/>
    <cellStyle name="60% - 강조색6 2 195" xfId="4376"/>
    <cellStyle name="60% - 강조색6 2 196" xfId="4377"/>
    <cellStyle name="60% - 강조색6 2 197" xfId="4378"/>
    <cellStyle name="60% - 강조색6 2 198" xfId="4379"/>
    <cellStyle name="60% - 강조색6 2 199" xfId="4380"/>
    <cellStyle name="60% - 강조색6 2 2" xfId="4381"/>
    <cellStyle name="60% - 강조색6 2 20" xfId="4382"/>
    <cellStyle name="60% - 강조색6 2 200" xfId="4383"/>
    <cellStyle name="60% - 강조색6 2 201" xfId="4384"/>
    <cellStyle name="60% - 강조색6 2 202" xfId="4385"/>
    <cellStyle name="60% - 강조색6 2 203" xfId="4386"/>
    <cellStyle name="60% - 강조색6 2 204" xfId="4387"/>
    <cellStyle name="60% - 강조색6 2 205" xfId="4388"/>
    <cellStyle name="60% - 강조색6 2 206" xfId="4389"/>
    <cellStyle name="60% - 강조색6 2 207" xfId="4390"/>
    <cellStyle name="60% - 강조색6 2 208" xfId="4391"/>
    <cellStyle name="60% - 강조색6 2 209" xfId="4392"/>
    <cellStyle name="60% - 강조색6 2 21" xfId="4393"/>
    <cellStyle name="60% - 강조색6 2 210" xfId="4394"/>
    <cellStyle name="60% - 강조색6 2 211" xfId="4395"/>
    <cellStyle name="60% - 강조색6 2 212" xfId="4396"/>
    <cellStyle name="60% - 강조색6 2 213" xfId="4397"/>
    <cellStyle name="60% - 강조색6 2 214" xfId="4398"/>
    <cellStyle name="60% - 강조색6 2 215" xfId="4399"/>
    <cellStyle name="60% - 강조색6 2 216" xfId="4400"/>
    <cellStyle name="60% - 강조색6 2 217" xfId="4401"/>
    <cellStyle name="60% - 강조색6 2 218" xfId="4402"/>
    <cellStyle name="60% - 강조색6 2 219" xfId="4403"/>
    <cellStyle name="60% - 강조색6 2 22" xfId="4404"/>
    <cellStyle name="60% - 강조색6 2 220" xfId="4405"/>
    <cellStyle name="60% - 강조색6 2 221" xfId="4406"/>
    <cellStyle name="60% - 강조색6 2 222" xfId="4407"/>
    <cellStyle name="60% - 강조색6 2 223" xfId="4408"/>
    <cellStyle name="60% - 강조색6 2 224" xfId="4409"/>
    <cellStyle name="60% - 강조색6 2 225" xfId="4410"/>
    <cellStyle name="60% - 강조색6 2 226" xfId="4411"/>
    <cellStyle name="60% - 강조색6 2 227" xfId="4412"/>
    <cellStyle name="60% - 강조색6 2 228" xfId="4413"/>
    <cellStyle name="60% - 강조색6 2 229" xfId="4414"/>
    <cellStyle name="60% - 강조색6 2 23" xfId="4415"/>
    <cellStyle name="60% - 강조색6 2 230" xfId="4416"/>
    <cellStyle name="60% - 강조색6 2 231" xfId="4417"/>
    <cellStyle name="60% - 강조색6 2 232" xfId="4418"/>
    <cellStyle name="60% - 강조색6 2 233" xfId="4419"/>
    <cellStyle name="60% - 강조색6 2 234" xfId="4420"/>
    <cellStyle name="60% - 강조색6 2 235" xfId="4421"/>
    <cellStyle name="60% - 강조색6 2 236" xfId="4422"/>
    <cellStyle name="60% - 강조색6 2 237" xfId="4423"/>
    <cellStyle name="60% - 강조색6 2 238" xfId="4424"/>
    <cellStyle name="60% - 강조색6 2 239" xfId="4425"/>
    <cellStyle name="60% - 강조색6 2 24" xfId="4426"/>
    <cellStyle name="60% - 강조색6 2 240" xfId="4427"/>
    <cellStyle name="60% - 강조색6 2 241" xfId="4428"/>
    <cellStyle name="60% - 강조색6 2 25" xfId="4429"/>
    <cellStyle name="60% - 강조색6 2 26" xfId="4430"/>
    <cellStyle name="60% - 강조색6 2 27" xfId="4431"/>
    <cellStyle name="60% - 강조색6 2 28" xfId="4432"/>
    <cellStyle name="60% - 강조색6 2 29" xfId="4433"/>
    <cellStyle name="60% - 강조색6 2 3" xfId="4434"/>
    <cellStyle name="60% - 강조색6 2 30" xfId="4435"/>
    <cellStyle name="60% - 강조색6 2 31" xfId="4436"/>
    <cellStyle name="60% - 강조색6 2 32" xfId="4437"/>
    <cellStyle name="60% - 강조색6 2 33" xfId="4438"/>
    <cellStyle name="60% - 강조색6 2 34" xfId="4439"/>
    <cellStyle name="60% - 강조색6 2 35" xfId="4440"/>
    <cellStyle name="60% - 강조색6 2 36" xfId="4441"/>
    <cellStyle name="60% - 강조색6 2 37" xfId="4442"/>
    <cellStyle name="60% - 강조색6 2 38" xfId="4443"/>
    <cellStyle name="60% - 강조색6 2 39" xfId="4444"/>
    <cellStyle name="60% - 강조색6 2 4" xfId="4445"/>
    <cellStyle name="60% - 강조색6 2 40" xfId="4446"/>
    <cellStyle name="60% - 강조색6 2 41" xfId="4447"/>
    <cellStyle name="60% - 강조색6 2 42" xfId="4448"/>
    <cellStyle name="60% - 강조색6 2 43" xfId="4449"/>
    <cellStyle name="60% - 강조색6 2 44" xfId="4450"/>
    <cellStyle name="60% - 강조색6 2 45" xfId="4451"/>
    <cellStyle name="60% - 강조색6 2 46" xfId="4452"/>
    <cellStyle name="60% - 강조색6 2 47" xfId="4453"/>
    <cellStyle name="60% - 강조색6 2 48" xfId="4454"/>
    <cellStyle name="60% - 강조색6 2 49" xfId="4455"/>
    <cellStyle name="60% - 강조색6 2 5" xfId="4456"/>
    <cellStyle name="60% - 강조색6 2 50" xfId="4457"/>
    <cellStyle name="60% - 강조색6 2 51" xfId="4458"/>
    <cellStyle name="60% - 강조색6 2 52" xfId="4459"/>
    <cellStyle name="60% - 강조색6 2 53" xfId="4460"/>
    <cellStyle name="60% - 강조색6 2 54" xfId="4461"/>
    <cellStyle name="60% - 강조색6 2 55" xfId="4462"/>
    <cellStyle name="60% - 강조색6 2 56" xfId="4463"/>
    <cellStyle name="60% - 강조색6 2 57" xfId="4464"/>
    <cellStyle name="60% - 강조색6 2 58" xfId="4465"/>
    <cellStyle name="60% - 강조색6 2 59" xfId="4466"/>
    <cellStyle name="60% - 강조색6 2 6" xfId="4467"/>
    <cellStyle name="60% - 강조색6 2 60" xfId="4468"/>
    <cellStyle name="60% - 강조색6 2 61" xfId="4469"/>
    <cellStyle name="60% - 강조색6 2 62" xfId="4470"/>
    <cellStyle name="60% - 강조색6 2 63" xfId="4471"/>
    <cellStyle name="60% - 강조색6 2 64" xfId="4472"/>
    <cellStyle name="60% - 강조색6 2 65" xfId="4473"/>
    <cellStyle name="60% - 강조색6 2 66" xfId="4474"/>
    <cellStyle name="60% - 강조색6 2 67" xfId="4475"/>
    <cellStyle name="60% - 강조색6 2 68" xfId="4476"/>
    <cellStyle name="60% - 강조색6 2 69" xfId="4477"/>
    <cellStyle name="60% - 강조색6 2 7" xfId="4478"/>
    <cellStyle name="60% - 강조색6 2 70" xfId="4479"/>
    <cellStyle name="60% - 강조색6 2 71" xfId="4480"/>
    <cellStyle name="60% - 강조색6 2 72" xfId="4481"/>
    <cellStyle name="60% - 강조색6 2 73" xfId="4482"/>
    <cellStyle name="60% - 강조색6 2 74" xfId="4483"/>
    <cellStyle name="60% - 강조색6 2 75" xfId="4484"/>
    <cellStyle name="60% - 강조색6 2 76" xfId="4485"/>
    <cellStyle name="60% - 강조색6 2 77" xfId="4486"/>
    <cellStyle name="60% - 강조색6 2 78" xfId="4487"/>
    <cellStyle name="60% - 강조색6 2 79" xfId="4488"/>
    <cellStyle name="60% - 강조색6 2 8" xfId="4489"/>
    <cellStyle name="60% - 강조색6 2 80" xfId="4490"/>
    <cellStyle name="60% - 강조색6 2 81" xfId="4491"/>
    <cellStyle name="60% - 강조색6 2 82" xfId="4492"/>
    <cellStyle name="60% - 강조색6 2 83" xfId="4493"/>
    <cellStyle name="60% - 강조색6 2 84" xfId="4494"/>
    <cellStyle name="60% - 강조색6 2 85" xfId="4495"/>
    <cellStyle name="60% - 강조색6 2 86" xfId="4496"/>
    <cellStyle name="60% - 강조색6 2 87" xfId="4497"/>
    <cellStyle name="60% - 강조색6 2 88" xfId="4498"/>
    <cellStyle name="60% - 강조색6 2 89" xfId="4499"/>
    <cellStyle name="60% - 강조색6 2 9" xfId="4500"/>
    <cellStyle name="60% - 강조색6 2 90" xfId="4501"/>
    <cellStyle name="60% - 강조색6 2 91" xfId="4502"/>
    <cellStyle name="60% - 강조색6 2 92" xfId="4503"/>
    <cellStyle name="60% - 강조색6 2 93" xfId="4504"/>
    <cellStyle name="60% - 강조색6 2 94" xfId="4505"/>
    <cellStyle name="60% - 강조색6 2 95" xfId="4506"/>
    <cellStyle name="60% - 강조색6 2 96" xfId="4507"/>
    <cellStyle name="60% - 강조색6 2 97" xfId="4508"/>
    <cellStyle name="60% - 강조색6 2 98" xfId="4509"/>
    <cellStyle name="60% - 강조색6 2 99" xfId="4510"/>
    <cellStyle name="60% - 강조색6 20" xfId="15916"/>
    <cellStyle name="60% - 강조색6 21" xfId="15917"/>
    <cellStyle name="60% - 강조색6 22" xfId="15918"/>
    <cellStyle name="60% - 강조색6 23" xfId="15919"/>
    <cellStyle name="60% - 강조색6 24" xfId="15920"/>
    <cellStyle name="60% - 강조색6 25" xfId="15921"/>
    <cellStyle name="60% - 강조색6 26" xfId="15922"/>
    <cellStyle name="60% - 강조색6 27" xfId="15923"/>
    <cellStyle name="60% - 강조색6 28" xfId="15924"/>
    <cellStyle name="60% - 강조색6 29" xfId="15925"/>
    <cellStyle name="60% - 강조색6 3" xfId="15926"/>
    <cellStyle name="60% - 강조색6 3 2" xfId="15927"/>
    <cellStyle name="60% - 강조색6 3 3" xfId="15928"/>
    <cellStyle name="60% - 강조색6 3 4" xfId="15929"/>
    <cellStyle name="60% - 강조색6 30" xfId="15930"/>
    <cellStyle name="60% - 강조색6 31" xfId="15931"/>
    <cellStyle name="60% - 강조색6 32" xfId="15932"/>
    <cellStyle name="60% - 강조색6 4" xfId="15933"/>
    <cellStyle name="60% - 강조색6 4 2" xfId="15934"/>
    <cellStyle name="60% - 강조색6 4 3" xfId="15935"/>
    <cellStyle name="60% - 강조색6 5" xfId="15936"/>
    <cellStyle name="60% - 강조색6 6" xfId="15937"/>
    <cellStyle name="60% - 강조색6 7" xfId="15938"/>
    <cellStyle name="60% - 강조색6 8" xfId="15939"/>
    <cellStyle name="60% - 강조색6 9" xfId="15940"/>
    <cellStyle name="7" xfId="4511"/>
    <cellStyle name="7_(정우일K)+03년+전략보고+재무구조(030702)" xfId="4512"/>
    <cellStyle name="7_★05년 매출,손익" xfId="4513"/>
    <cellStyle name="7_★05년 매출,손익_8월 예상손익 점검" xfId="4514"/>
    <cellStyle name="7_★05년 매출,손익_8월 예상손익 점검_DM_환율영향분석_본부" xfId="4515"/>
    <cellStyle name="7_★05년 매출,손익_DM_환율영향분석_본부" xfId="4516"/>
    <cellStyle name="7_01_예상매출(총액)" xfId="4517"/>
    <cellStyle name="7_01_예상매출(총액)_01년간예상손익(12월이동)" xfId="4518"/>
    <cellStyle name="7_01_예상매출(총액)_01년간예상손익(12월이동)_2" xfId="4519"/>
    <cellStyle name="7_01_예상매출(총액)_02년 2월 이동_예상손익" xfId="4520"/>
    <cellStyle name="7_01_예상매출(총액)_02년 2월 이동_예상손익_1" xfId="4521"/>
    <cellStyle name="7_01_예상매출(총액)_02년 3월 이동_예상손익(전사취합)" xfId="4522"/>
    <cellStyle name="7_01_예상매출(총액)_02년 6월 이동_예상손익(전사취합)" xfId="4523"/>
    <cellStyle name="7_01_예상매출(총액)_02년간예상손익" xfId="4524"/>
    <cellStyle name="7_01_예상매출(총액)_04월 이동계획_전사예상pl" xfId="4525"/>
    <cellStyle name="7_01_예상매출(총액)_1월이동손익_전사예상pl" xfId="4526"/>
    <cellStyle name="7_01_예상매출(총액)_obu별손익0112이동" xfId="4527"/>
    <cellStyle name="7_01년간예상손익" xfId="4528"/>
    <cellStyle name="7_01년간예상손익_01년간예상손익(12월이동)" xfId="4529"/>
    <cellStyle name="7_01년간예상손익_01년간예상손익(12월이동)_2" xfId="4530"/>
    <cellStyle name="7_01년간예상손익_02년 2월 이동_예상손익" xfId="4531"/>
    <cellStyle name="7_01년간예상손익_02년 2월 이동_예상손익_1" xfId="4532"/>
    <cellStyle name="7_01년간예상손익_02년 3월 이동_예상손익(전사취합)" xfId="4533"/>
    <cellStyle name="7_01년간예상손익_02년 6월 이동_예상손익(전사취합)" xfId="4534"/>
    <cellStyle name="7_01년간예상손익_02년간예상손익" xfId="4535"/>
    <cellStyle name="7_01년간예상손익_04월 이동계획_전사예상pl" xfId="4536"/>
    <cellStyle name="7_01년간예상손익_1월이동손익_전사예상pl" xfId="4537"/>
    <cellStyle name="7_01년간예상손익_obu별손익0112이동" xfId="4538"/>
    <cellStyle name="7_01매출손익(6월 실적반영)" xfId="4539"/>
    <cellStyle name="7_01매출손익(6월 실적반영)_01년간예상손익(12월이동)" xfId="4540"/>
    <cellStyle name="7_01매출손익(6월 실적반영)_01년간예상손익(12월이동)_2" xfId="4541"/>
    <cellStyle name="7_01매출손익(6월 실적반영)_02년 2월 이동_예상손익" xfId="4542"/>
    <cellStyle name="7_01매출손익(6월 실적반영)_02년 2월 이동_예상손익_1" xfId="4543"/>
    <cellStyle name="7_01매출손익(6월 실적반영)_02년 3월 이동_예상손익(전사취합)" xfId="4544"/>
    <cellStyle name="7_01매출손익(6월 실적반영)_02년 6월 이동_예상손익(전사취합)" xfId="4545"/>
    <cellStyle name="7_01매출손익(6월 실적반영)_02년간예상손익" xfId="4546"/>
    <cellStyle name="7_01매출손익(6월 실적반영)_04월 이동계획_전사예상pl" xfId="4547"/>
    <cellStyle name="7_01매출손익(6월 실적반영)_1월이동손익_전사예상pl" xfId="4548"/>
    <cellStyle name="7_01매출손익(6월 실적반영)_obu별손익0112이동" xfId="4549"/>
    <cellStyle name="7_02기본_종합장표" xfId="4550"/>
    <cellStyle name="7_02년사업계획양식V1.0" xfId="4551"/>
    <cellStyle name="7_02년사업계획양식V1.0_02년사업계획양식V1.0_고동욱_011205" xfId="4552"/>
    <cellStyle name="7_02년사업계획양식V1.0_02년사업계획양식V1.0_고동욱_011205_02년사업계획양식V2.0" xfId="4553"/>
    <cellStyle name="7_02년사업계획양식V1.0_02년사업계획양식V1.0_고동욱_011205_02년사업계획양식V2.0_02년사업계획양식V2.0" xfId="4554"/>
    <cellStyle name="7_02년사업계획양식V1.0_02년사업계획양식V1.0_고동욱_011205_02년사업계획양식V2.0_02년사업계획양식V2.0_02년사업계획양식V3.0" xfId="4555"/>
    <cellStyle name="7_02년사업계획양식V1.0_02년사업계획양식V1.0_고동욱_011205_02년사업계획양식V2.0_02년사업계획양식V2.0_02년사업계획양식V3.0_02년사업계획양식V3.0" xfId="4556"/>
    <cellStyle name="7_02년사업계획양식V1.0_02년사업계획양식V1.0_고동욱_011205_02년사업계획양식V2.0_02년사업계획양식V2.0_02년사업계획양식V3.0_02년사업계획양식V3.0(원본)" xfId="4557"/>
    <cellStyle name="7_02년사업계획양식V1.0_02년사업계획양식V1.0_고동욱_011205_02년사업계획양식V2.0_02년사업계획양식V2.0_02년사업계획양식V3.0_02년사업계획양식V3.0(원본)_1" xfId="4558"/>
    <cellStyle name="7_02년사업계획양식V1.0_02년사업계획양식V1.0_고동욱_011205_02년사업계획양식V2.0_02년사업계획양식V3.0" xfId="4559"/>
    <cellStyle name="7_02년사업계획양식V1.0_02년사업계획양식V1.0_고동욱_011205_02년사업계획양식V2.0_02년사업계획양식V3.0(원본)" xfId="4560"/>
    <cellStyle name="7_02년사업계획양식V1.0_02년사업계획양식V1.0_고동욱_011205_02년사업계획양식V2.0_02년사업계획양식V3.0(원본)_1" xfId="4561"/>
    <cellStyle name="7_02년사업계획양식V1.0_02년사업계획양식V1.0_고동욱_011205_02년사업계획양식V2.0_02년사업계획양식V3.0_02년사업계획양식V3.0" xfId="4562"/>
    <cellStyle name="7_02년사업계획양식V1.0_02년사업계획양식V1.0_고동욱_011205_02년사업계획양식V2.0_02년사업계획양식V3.0_02년사업계획양식V3.0_02년사업계획양식V3.0" xfId="4563"/>
    <cellStyle name="7_02년사업계획양식V1.0_02년사업계획양식V1.0_고동욱_011205_02년사업계획양식V2.0_02년사업계획양식V3.0_02년사업계획양식V3.0_02년사업계획양식V3.0(원본)" xfId="4564"/>
    <cellStyle name="7_02년사업계획양식V1.0_02년사업계획양식V1.0_고동욱_011205_02년사업계획양식V2.0_02년사업계획양식V3.0_02년사업계획양식V3.0_02년사업계획양식V3.0(원본)_1" xfId="4565"/>
    <cellStyle name="7_02년사업계획양식V1.0_02년사업계획양식V1.0_고동욱_011205_02년사업계획양식V3.0" xfId="4566"/>
    <cellStyle name="7_02년사업계획양식V1.0_02년사업계획양식V1.0_고동욱_011205_02년사업계획양식V3.0_02년사업계획양식V3.0" xfId="4567"/>
    <cellStyle name="7_02년사업계획양식V1.0_02년사업계획양식V1.0_고동욱_011205_02년사업계획양식V3.0_02년사업계획양식V3.0(원본)" xfId="4568"/>
    <cellStyle name="7_02년사업계획양식V1.0_02년사업계획양식V1.0_고동욱_011205_02년사업계획양식V3.0_02년사업계획양식V3.0(원본)_1" xfId="4569"/>
    <cellStyle name="7_02년사업계획양식V1.0_02년사업계획양식V1.0_대호(bs수정)" xfId="4570"/>
    <cellStyle name="7_02년사업계획양식V1.0_02년사업계획양식V1.0_대호(bs수정)_02년사업계획양식V2.0" xfId="4571"/>
    <cellStyle name="7_02년사업계획양식V1.0_02년사업계획양식V1.0_대호(bs수정)_02년사업계획양식V2.0_02년사업계획양식V2.0" xfId="4572"/>
    <cellStyle name="7_02년사업계획양식V1.0_02년사업계획양식V1.0_대호(bs수정)_02년사업계획양식V2.0_02년사업계획양식V2.0_02년사업계획양식V3.0" xfId="4573"/>
    <cellStyle name="7_02년사업계획양식V1.0_02년사업계획양식V1.0_대호(bs수정)_02년사업계획양식V2.0_02년사업계획양식V2.0_02년사업계획양식V3.0_02년사업계획양식V3.0" xfId="4574"/>
    <cellStyle name="7_02년사업계획양식V1.0_02년사업계획양식V1.0_대호(bs수정)_02년사업계획양식V2.0_02년사업계획양식V2.0_02년사업계획양식V3.0_02년사업계획양식V3.0(원본)" xfId="4575"/>
    <cellStyle name="7_02년사업계획양식V1.0_02년사업계획양식V1.0_대호(bs수정)_02년사업계획양식V2.0_02년사업계획양식V2.0_02년사업계획양식V3.0_02년사업계획양식V3.0(원본)_1" xfId="4576"/>
    <cellStyle name="7_02년사업계획양식V1.0_02년사업계획양식V1.0_대호(bs수정)_02년사업계획양식V2.0_02년사업계획양식V3.0" xfId="4577"/>
    <cellStyle name="7_02년사업계획양식V1.0_02년사업계획양식V1.0_대호(bs수정)_02년사업계획양식V2.0_02년사업계획양식V3.0(원본)" xfId="4578"/>
    <cellStyle name="7_02년사업계획양식V1.0_02년사업계획양식V1.0_대호(bs수정)_02년사업계획양식V2.0_02년사업계획양식V3.0(원본)_1" xfId="4579"/>
    <cellStyle name="7_02년사업계획양식V1.0_02년사업계획양식V1.0_대호(bs수정)_02년사업계획양식V2.0_02년사업계획양식V3.0_02년사업계획양식V3.0" xfId="4580"/>
    <cellStyle name="7_02년사업계획양식V1.0_02년사업계획양식V1.0_대호(bs수정)_02년사업계획양식V2.0_02년사업계획양식V3.0_02년사업계획양식V3.0_02년사업계획양식V3.0" xfId="4581"/>
    <cellStyle name="7_02년사업계획양식V1.0_02년사업계획양식V1.0_대호(bs수정)_02년사업계획양식V2.0_02년사업계획양식V3.0_02년사업계획양식V3.0_02년사업계획양식V3.0(원본)" xfId="4582"/>
    <cellStyle name="7_02년사업계획양식V1.0_02년사업계획양식V1.0_대호(bs수정)_02년사업계획양식V2.0_02년사업계획양식V3.0_02년사업계획양식V3.0_02년사업계획양식V3.0(원본)_1" xfId="4583"/>
    <cellStyle name="7_02년사업계획양식V1.0_02년사업계획양식V1.0_대호(bs수정)_02년사업계획양식V3.0" xfId="4584"/>
    <cellStyle name="7_02년사업계획양식V1.0_02년사업계획양식V1.0_대호(bs수정)_02년사업계획양식V3.0_02년사업계획양식V3.0" xfId="4585"/>
    <cellStyle name="7_02년사업계획양식V1.0_02년사업계획양식V1.0_대호(bs수정)_02년사업계획양식V3.0_02년사업계획양식V3.0(원본)" xfId="4586"/>
    <cellStyle name="7_02년사업계획양식V1.0_02년사업계획양식V1.0_대호(bs수정)_02년사업계획양식V3.0_02년사업계획양식V3.0(원본)_1" xfId="4587"/>
    <cellStyle name="7_02년사업계획양식V1.0_02년사업계획양식V2.0" xfId="4588"/>
    <cellStyle name="7_02년사업계획양식V1.0_02년사업계획양식V2.0_02년사업계획양식V3.0" xfId="4589"/>
    <cellStyle name="7_02년사업계획양식V1.0_02년사업계획양식V2.0_02년사업계획양식V3.0_02년사업계획양식V3.0" xfId="4590"/>
    <cellStyle name="7_02년사업계획양식V1.0_02년사업계획양식V2.0_02년사업계획양식V3.0_02년사업계획양식V3.0(원본)" xfId="4591"/>
    <cellStyle name="7_02년사업계획양식V1.0_02년사업계획양식V2.0_02년사업계획양식V3.0_02년사업계획양식V3.0(원본)_1" xfId="4592"/>
    <cellStyle name="7_02년사업계획양식V1.0_02년사업계획양식V3.0" xfId="4593"/>
    <cellStyle name="7_02년사업계획양식V1.0_02년사업계획양식V3.0(원본)" xfId="4594"/>
    <cellStyle name="7_02년사업계획양식V1.0_02년사업계획양식V3.0(원본)_1" xfId="4595"/>
    <cellStyle name="7_02년사업계획양식V1.0_02년사업계획양식V3.0_02년사업계획양식V3.0" xfId="4596"/>
    <cellStyle name="7_02년사업계획양식V1.0_02년사업계획양식V3.0_02년사업계획양식V3.0_02년사업계획양식V3.0" xfId="4597"/>
    <cellStyle name="7_02년사업계획양식V1.0_02년사업계획양식V3.0_02년사업계획양식V3.0_02년사업계획양식V3.0(원본)" xfId="4598"/>
    <cellStyle name="7_02년사업계획양식V1.0_02년사업계획양식V3.0_02년사업계획양식V3.0_02년사업계획양식V3.0(원본)_1" xfId="4599"/>
    <cellStyle name="7_02년사업계획양식V1.0_고동욱_011130" xfId="4600"/>
    <cellStyle name="7_02년사업계획양식V1.0_고동욱_011130_02년사업계획양식V2.0" xfId="4601"/>
    <cellStyle name="7_02년사업계획양식V1.0_고동욱_011130_02년사업계획양식V2.0_02년사업계획양식V2.0" xfId="4602"/>
    <cellStyle name="7_02년사업계획양식V1.0_고동욱_011130_02년사업계획양식V2.0_02년사업계획양식V2.0_02년사업계획양식V3.0" xfId="4603"/>
    <cellStyle name="7_02년사업계획양식V1.0_고동욱_011130_02년사업계획양식V2.0_02년사업계획양식V2.0_02년사업계획양식V3.0_02년사업계획양식V3.0" xfId="4604"/>
    <cellStyle name="7_02년사업계획양식V1.0_고동욱_011130_02년사업계획양식V2.0_02년사업계획양식V2.0_02년사업계획양식V3.0_02년사업계획양식V3.0(원본)" xfId="4605"/>
    <cellStyle name="7_02년사업계획양식V1.0_고동욱_011130_02년사업계획양식V2.0_02년사업계획양식V2.0_02년사업계획양식V3.0_02년사업계획양식V3.0(원본)_1" xfId="4606"/>
    <cellStyle name="7_02년사업계획양식V1.0_고동욱_011130_02년사업계획양식V2.0_02년사업계획양식V3.0" xfId="4607"/>
    <cellStyle name="7_02년사업계획양식V1.0_고동욱_011130_02년사업계획양식V2.0_02년사업계획양식V3.0(원본)" xfId="4608"/>
    <cellStyle name="7_02년사업계획양식V1.0_고동욱_011130_02년사업계획양식V2.0_02년사업계획양식V3.0(원본)_1" xfId="4609"/>
    <cellStyle name="7_02년사업계획양식V1.0_고동욱_011130_02년사업계획양식V2.0_02년사업계획양식V3.0_02년사업계획양식V3.0" xfId="4610"/>
    <cellStyle name="7_02년사업계획양식V1.0_고동욱_011130_02년사업계획양식V2.0_02년사업계획양식V3.0_02년사업계획양식V3.0_02년사업계획양식V3.0" xfId="4611"/>
    <cellStyle name="7_02년사업계획양식V1.0_고동욱_011130_02년사업계획양식V2.0_02년사업계획양식V3.0_02년사업계획양식V3.0_02년사업계획양식V3.0(원본)" xfId="4612"/>
    <cellStyle name="7_02년사업계획양식V1.0_고동욱_011130_02년사업계획양식V2.0_02년사업계획양식V3.0_02년사업계획양식V3.0_02년사업계획양식V3.0(원본)_1" xfId="4613"/>
    <cellStyle name="7_02년사업계획양식V1.0_고동욱_011130_02년사업계획양식V3.0" xfId="4614"/>
    <cellStyle name="7_02년사업계획양식V1.0_고동욱_011130_02년사업계획양식V3.0_02년사업계획양식V3.0" xfId="4615"/>
    <cellStyle name="7_02년사업계획양식V1.0_고동욱_011130_02년사업계획양식V3.0_02년사업계획양식V3.0(원본)" xfId="4616"/>
    <cellStyle name="7_02년사업계획양식V1.0_고동욱_011130_02년사업계획양식V3.0_02년사업계획양식V3.0(원본)_1" xfId="4617"/>
    <cellStyle name="7_02년사업계획양식V1.0_고동욱_011205" xfId="4618"/>
    <cellStyle name="7_02년사업계획양식V1.0_고동욱_011205_02년사업계획양식V2.0" xfId="4619"/>
    <cellStyle name="7_02년사업계획양식V1.0_고동욱_011205_02년사업계획양식V2.0_02년사업계획양식V2.0" xfId="4620"/>
    <cellStyle name="7_02년사업계획양식V1.0_고동욱_011205_02년사업계획양식V2.0_02년사업계획양식V2.0_02년사업계획양식V3.0" xfId="4621"/>
    <cellStyle name="7_02년사업계획양식V1.0_고동욱_011205_02년사업계획양식V2.0_02년사업계획양식V2.0_02년사업계획양식V3.0_02년사업계획양식V3.0" xfId="4622"/>
    <cellStyle name="7_02년사업계획양식V1.0_고동욱_011205_02년사업계획양식V2.0_02년사업계획양식V2.0_02년사업계획양식V3.0_02년사업계획양식V3.0(원본)" xfId="4623"/>
    <cellStyle name="7_02년사업계획양식V1.0_고동욱_011205_02년사업계획양식V2.0_02년사업계획양식V2.0_02년사업계획양식V3.0_02년사업계획양식V3.0(원본)_1" xfId="4624"/>
    <cellStyle name="7_02년사업계획양식V1.0_고동욱_011205_02년사업계획양식V2.0_02년사업계획양식V3.0" xfId="4625"/>
    <cellStyle name="7_02년사업계획양식V1.0_고동욱_011205_02년사업계획양식V2.0_02년사업계획양식V3.0(원본)" xfId="4626"/>
    <cellStyle name="7_02년사업계획양식V1.0_고동욱_011205_02년사업계획양식V2.0_02년사업계획양식V3.0(원본)_1" xfId="4627"/>
    <cellStyle name="7_02년사업계획양식V1.0_고동욱_011205_02년사업계획양식V2.0_02년사업계획양식V3.0_02년사업계획양식V3.0" xfId="4628"/>
    <cellStyle name="7_02년사업계획양식V1.0_고동욱_011205_02년사업계획양식V2.0_02년사업계획양식V3.0_02년사업계획양식V3.0_02년사업계획양식V3.0" xfId="4629"/>
    <cellStyle name="7_02년사업계획양식V1.0_고동욱_011205_02년사업계획양식V2.0_02년사업계획양식V3.0_02년사업계획양식V3.0_02년사업계획양식V3.0(원본)" xfId="4630"/>
    <cellStyle name="7_02년사업계획양식V1.0_고동욱_011205_02년사업계획양식V2.0_02년사업계획양식V3.0_02년사업계획양식V3.0_02년사업계획양식V3.0(원본)_1" xfId="4631"/>
    <cellStyle name="7_02년사업계획양식V1.0_고동욱_011205_02년사업계획양식V3.0" xfId="4632"/>
    <cellStyle name="7_02년사업계획양식V1.0_고동욱_011205_02년사업계획양식V3.0_02년사업계획양식V3.0" xfId="4633"/>
    <cellStyle name="7_02년사업계획양식V1.0_고동욱_011205_02년사업계획양식V3.0_02년사업계획양식V3.0(원본)" xfId="4634"/>
    <cellStyle name="7_02년사업계획양식V1.0_고동욱_011205_02년사업계획양식V3.0_02년사업계획양식V3.0(원본)_1" xfId="4635"/>
    <cellStyle name="7_02년사업계획양식V1.0_대호(bs수정)" xfId="4636"/>
    <cellStyle name="7_02년사업계획양식V1.0_대호(bs수정)_02년사업계획양식V2.0" xfId="4637"/>
    <cellStyle name="7_02년사업계획양식V1.0_대호(bs수정)_02년사업계획양식V2.0_02년사업계획양식V2.0" xfId="4638"/>
    <cellStyle name="7_02년사업계획양식V1.0_대호(bs수정)_02년사업계획양식V2.0_02년사업계획양식V2.0_02년사업계획양식V3.0" xfId="4639"/>
    <cellStyle name="7_02년사업계획양식V1.0_대호(bs수정)_02년사업계획양식V2.0_02년사업계획양식V2.0_02년사업계획양식V3.0_02년사업계획양식V3.0" xfId="4640"/>
    <cellStyle name="7_02년사업계획양식V1.0_대호(bs수정)_02년사업계획양식V2.0_02년사업계획양식V2.0_02년사업계획양식V3.0_02년사업계획양식V3.0(원본)" xfId="4641"/>
    <cellStyle name="7_02년사업계획양식V1.0_대호(bs수정)_02년사업계획양식V2.0_02년사업계획양식V2.0_02년사업계획양식V3.0_02년사업계획양식V3.0(원본)_1" xfId="4642"/>
    <cellStyle name="7_02년사업계획양식V1.0_대호(bs수정)_02년사업계획양식V2.0_02년사업계획양식V3.0" xfId="4643"/>
    <cellStyle name="7_02년사업계획양식V1.0_대호(bs수정)_02년사업계획양식V2.0_02년사업계획양식V3.0(원본)" xfId="4644"/>
    <cellStyle name="7_02년사업계획양식V1.0_대호(bs수정)_02년사업계획양식V2.0_02년사업계획양식V3.0(원본)_1" xfId="4645"/>
    <cellStyle name="7_02년사업계획양식V1.0_대호(bs수정)_02년사업계획양식V2.0_02년사업계획양식V3.0_02년사업계획양식V3.0" xfId="4646"/>
    <cellStyle name="7_02년사업계획양식V1.0_대호(bs수정)_02년사업계획양식V2.0_02년사업계획양식V3.0_02년사업계획양식V3.0_02년사업계획양식V3.0" xfId="4647"/>
    <cellStyle name="7_02년사업계획양식V1.0_대호(bs수정)_02년사업계획양식V2.0_02년사업계획양식V3.0_02년사업계획양식V3.0_02년사업계획양식V3.0(원본)" xfId="4648"/>
    <cellStyle name="7_02년사업계획양식V1.0_대호(bs수정)_02년사업계획양식V2.0_02년사업계획양식V3.0_02년사업계획양식V3.0_02년사업계획양식V3.0(원본)_1" xfId="4649"/>
    <cellStyle name="7_02년사업계획양식V1.0_대호(bs수정)_02년사업계획양식V3.0" xfId="4650"/>
    <cellStyle name="7_02년사업계획양식V1.0_대호(bs수정)_02년사업계획양식V3.0_02년사업계획양식V3.0" xfId="4651"/>
    <cellStyle name="7_02년사업계획양식V1.0_대호(bs수정)_02년사업계획양식V3.0_02년사업계획양식V3.0(원본)" xfId="4652"/>
    <cellStyle name="7_02년사업계획양식V1.0_대호(bs수정)_02년사업계획양식V3.0_02년사업계획양식V3.0(원본)_1" xfId="4653"/>
    <cellStyle name="7_02년사업계획양식V2.0" xfId="4654"/>
    <cellStyle name="7_02년사업계획양식V2.0_02년사업계획양식V3.0" xfId="4655"/>
    <cellStyle name="7_02년사업계획양식V2.0_02년사업계획양식V3.0_02년사업계획양식V3.0" xfId="4656"/>
    <cellStyle name="7_02년사업계획양식V2.0_02년사업계획양식V3.0_02년사업계획양식V3.0(원본)" xfId="4657"/>
    <cellStyle name="7_02년사업계획양식V2.0_02년사업계획양식V3.0_02년사업계획양식V3.0(원본)_1" xfId="4658"/>
    <cellStyle name="7_02년사업계획양식V3.0" xfId="4659"/>
    <cellStyle name="7_02년사업계획양식V3.0(원본)" xfId="4660"/>
    <cellStyle name="7_02년사업계획양식V3.0(원본)_1" xfId="4661"/>
    <cellStyle name="7_02년사업계획양식V3.0_02년사업계획양식V3.0" xfId="4662"/>
    <cellStyle name="7_02년사업계획양식V3.0_02년사업계획양식V3.0_02년사업계획양식V3.0" xfId="4663"/>
    <cellStyle name="7_02년사업계획양식V3.0_02년사업계획양식V3.0_02년사업계획양식V3.0(원본)" xfId="4664"/>
    <cellStyle name="7_02년사업계획양식V3.0_02년사업계획양식V3.0_02년사업계획양식V3.0(원본)_1" xfId="4665"/>
    <cellStyle name="7_02년예상+연결기초자료+이익율+배당금+경영지원금" xfId="4666"/>
    <cellStyle name="7_02년예상+연결자료(GSM)" xfId="4667"/>
    <cellStyle name="7_02혁신_종합장표" xfId="4668"/>
    <cellStyle name="7_03 01 10 혁신(사업부양식)" xfId="4669"/>
    <cellStyle name="7_03_사업계획양식(MASS_Link)_1104" xfId="4670"/>
    <cellStyle name="7_030124 혁신재료비9" xfId="4671"/>
    <cellStyle name="7_03기본_종합장표" xfId="4672"/>
    <cellStyle name="7_03법인비용_회수양식_AC" xfId="4673"/>
    <cellStyle name="7_03혁신_종합장표" xfId="4674"/>
    <cellStyle name="7_10월차이동계획" xfId="4675"/>
    <cellStyle name="7_10월차이동계획_01년간예상손익(12월이동)" xfId="4676"/>
    <cellStyle name="7_10월차이동계획_01년간예상손익(12월이동)_2" xfId="4677"/>
    <cellStyle name="7_10월차이동계획_02년 2월 이동_예상손익" xfId="4678"/>
    <cellStyle name="7_10월차이동계획_02년 2월 이동_예상손익_1" xfId="4679"/>
    <cellStyle name="7_10월차이동계획_02년 3월 이동_예상손익(전사취합)" xfId="4680"/>
    <cellStyle name="7_10월차이동계획_02년 6월 이동_예상손익(전사취합)" xfId="4681"/>
    <cellStyle name="7_10월차이동계획_02년간예상손익" xfId="4682"/>
    <cellStyle name="7_10월차이동계획_04월 이동계획_전사예상pl" xfId="4683"/>
    <cellStyle name="7_10월차이동계획_1월이동손익_전사예상pl" xfId="4684"/>
    <cellStyle name="7_10월차이동계획_obu별손익0112이동" xfId="4685"/>
    <cellStyle name="7_2001년 01월차 이동계획_0102" xfId="4686"/>
    <cellStyle name="7_2001년 01월차 이동계획_0102_2001년 05월 이동계획_" xfId="4687"/>
    <cellStyle name="7_2001년 01월차 이동계획_0102_2001년 06월 이동계획_(Maximum)" xfId="4688"/>
    <cellStyle name="7_2001년 01월차 이동계획_0102_2001년 07월차 이동계획보고_" xfId="4689"/>
    <cellStyle name="7_2001년 01월차 이동계획_0102_2002년_02월차_이동계획보고_" xfId="4690"/>
    <cellStyle name="7_2001년 01월차 이동계획_0102_2002년_03월차_이동계획보고_" xfId="4691"/>
    <cellStyle name="7_2001년 01월차 이동계획_0102_2002년_03월차_이동계획보고_1차수정" xfId="4692"/>
    <cellStyle name="7_2001년 01월차 이동계획_0102_2002년_05월차_이동계획보고_" xfId="4693"/>
    <cellStyle name="7_2001년 01월차 이동계획_0102_2002년_06월차_이동계획보고_기종별수정" xfId="4694"/>
    <cellStyle name="7_2001년 01월차 이동계획_0102_2002년_07월차_이동계획보고_수정중_철판 반영후_최종" xfId="4695"/>
    <cellStyle name="7_2001년 01월차 이동계획_0102_2002년_07월차_이동계획보고_수정중0628_2" xfId="4696"/>
    <cellStyle name="7_2001년 01월차 이동계획_0102_VVR0J9DV" xfId="4697"/>
    <cellStyle name="7_2001년 02월 실적예상_02월21일기준" xfId="4698"/>
    <cellStyle name="7_2001년 02월 실적예상_02월21일기준_2001년 05월 이동계획_" xfId="4699"/>
    <cellStyle name="7_2001년 02월 실적예상_02월21일기준_2001년 06월 이동계획_(Maximum)" xfId="4700"/>
    <cellStyle name="7_2001년 02월 실적예상_02월21일기준_2001년 07월차 이동계획보고_" xfId="4701"/>
    <cellStyle name="7_2001년 02월 실적예상_02월21일기준_2002년_02월차_이동계획보고_" xfId="4702"/>
    <cellStyle name="7_2001년 02월 실적예상_02월21일기준_2002년_03월차_이동계획보고_" xfId="4703"/>
    <cellStyle name="7_2001년 02월 실적예상_02월21일기준_2002년_03월차_이동계획보고_1차수정" xfId="4704"/>
    <cellStyle name="7_2001년 02월 실적예상_02월21일기준_2002년_05월차_이동계획보고_" xfId="4705"/>
    <cellStyle name="7_2001년 02월 실적예상_02월21일기준_2002년_06월차_이동계획보고_기종별수정" xfId="4706"/>
    <cellStyle name="7_2001년 02월 실적예상_02월21일기준_2002년_07월차_이동계획보고_수정중_철판 반영후_최종" xfId="4707"/>
    <cellStyle name="7_2001년 02월 실적예상_02월21일기준_2002년_07월차_이동계획보고_수정중0628_2" xfId="4708"/>
    <cellStyle name="7_2001년 02월 실적예상_02월21일기준_VVR0J9DV" xfId="4709"/>
    <cellStyle name="7_2001년 02월차 이동계획_" xfId="4710"/>
    <cellStyle name="7_2001년 02월차 이동계획__2001년 05월 이동계획_" xfId="4711"/>
    <cellStyle name="7_2001년 02월차 이동계획__2001년 06월 이동계획_(Maximum)" xfId="4712"/>
    <cellStyle name="7_2001년 02월차 이동계획__2001년 07월차 이동계획보고_" xfId="4713"/>
    <cellStyle name="7_2001년 02월차 이동계획__2002년_02월차_이동계획보고_" xfId="4714"/>
    <cellStyle name="7_2001년 02월차 이동계획__2002년_03월차_이동계획보고_" xfId="4715"/>
    <cellStyle name="7_2001년 02월차 이동계획__2002년_03월차_이동계획보고_1차수정" xfId="4716"/>
    <cellStyle name="7_2001년 02월차 이동계획__2002년_05월차_이동계획보고_" xfId="4717"/>
    <cellStyle name="7_2001년 02월차 이동계획__2002년_06월차_이동계획보고_기종별수정" xfId="4718"/>
    <cellStyle name="7_2001년 02월차 이동계획__2002년_07월차_이동계획보고_수정중_철판 반영후_최종" xfId="4719"/>
    <cellStyle name="7_2001년 02월차 이동계획__2002년_07월차_이동계획보고_수정중0628_2" xfId="4720"/>
    <cellStyle name="7_2001년 02월차 이동계획__VVR0J9DV" xfId="4721"/>
    <cellStyle name="7_2002년_월별사업계획전산_DM" xfId="4722"/>
    <cellStyle name="7_2002년_월별사업계획전산_DM_02년사업계획양식V1.0_대호(bs수정)" xfId="4723"/>
    <cellStyle name="7_2002년_월별사업계획전산_DM_02년사업계획양식V1.0_대호(bs수정)_02년사업계획양식V2.0" xfId="4724"/>
    <cellStyle name="7_2002년_월별사업계획전산_DM_02년사업계획양식V1.0_대호(bs수정)_02년사업계획양식V2.0_02년사업계획양식V2.0" xfId="4725"/>
    <cellStyle name="7_2002년_월별사업계획전산_DM_02년사업계획양식V1.0_대호(bs수정)_02년사업계획양식V2.0_02년사업계획양식V2.0_02년사업계획양식V3.0" xfId="4726"/>
    <cellStyle name="7_2002년_월별사업계획전산_DM_02년사업계획양식V1.0_대호(bs수정)_02년사업계획양식V2.0_02년사업계획양식V2.0_02년사업계획양식V3.0_02년사업계획양식V3.0" xfId="4727"/>
    <cellStyle name="7_2002년_월별사업계획전산_DM_02년사업계획양식V1.0_대호(bs수정)_02년사업계획양식V2.0_02년사업계획양식V2.0_02년사업계획양식V3.0_02년사업계획양식V3.0(원본)" xfId="4728"/>
    <cellStyle name="7_2002년_월별사업계획전산_DM_02년사업계획양식V1.0_대호(bs수정)_02년사업계획양식V2.0_02년사업계획양식V2.0_02년사업계획양식V3.0_02년사업계획양식V3.0(원본)_1" xfId="4729"/>
    <cellStyle name="7_2002년_월별사업계획전산_DM_02년사업계획양식V1.0_대호(bs수정)_02년사업계획양식V2.0_02년사업계획양식V3.0" xfId="4730"/>
    <cellStyle name="7_2002년_월별사업계획전산_DM_02년사업계획양식V1.0_대호(bs수정)_02년사업계획양식V2.0_02년사업계획양식V3.0(원본)" xfId="4731"/>
    <cellStyle name="7_2002년_월별사업계획전산_DM_02년사업계획양식V1.0_대호(bs수정)_02년사업계획양식V2.0_02년사업계획양식V3.0(원본)_1" xfId="4732"/>
    <cellStyle name="7_2002년_월별사업계획전산_DM_02년사업계획양식V1.0_대호(bs수정)_02년사업계획양식V2.0_02년사업계획양식V3.0_02년사업계획양식V3.0" xfId="4733"/>
    <cellStyle name="7_2002년_월별사업계획전산_DM_02년사업계획양식V1.0_대호(bs수정)_02년사업계획양식V2.0_02년사업계획양식V3.0_02년사업계획양식V3.0_02년사업계획양식V3.0" xfId="4734"/>
    <cellStyle name="7_2002년_월별사업계획전산_DM_02년사업계획양식V1.0_대호(bs수정)_02년사업계획양식V2.0_02년사업계획양식V3.0_02년사업계획양식V3.0_02년사업계획양식V3.0(원본)" xfId="4735"/>
    <cellStyle name="7_2002년_월별사업계획전산_DM_02년사업계획양식V1.0_대호(bs수정)_02년사업계획양식V2.0_02년사업계획양식V3.0_02년사업계획양식V3.0_02년사업계획양식V3.0(원본)_1" xfId="4736"/>
    <cellStyle name="7_2002년_월별사업계획전산_DM_02년사업계획양식V1.0_대호(bs수정)_02년사업계획양식V3.0" xfId="4737"/>
    <cellStyle name="7_2002년_월별사업계획전산_DM_02년사업계획양식V1.0_대호(bs수정)_02년사업계획양식V3.0_02년사업계획양식V3.0" xfId="4738"/>
    <cellStyle name="7_2002년_월별사업계획전산_DM_02년사업계획양식V1.0_대호(bs수정)_02년사업계획양식V3.0_02년사업계획양식V3.0(원본)" xfId="4739"/>
    <cellStyle name="7_2002년_월별사업계획전산_DM_02년사업계획양식V1.0_대호(bs수정)_02년사업계획양식V3.0_02년사업계획양식V3.0(원본)_1" xfId="4740"/>
    <cellStyle name="7_2002년_월별사업계획전산_DM_02년사업계획양식V2.0" xfId="4741"/>
    <cellStyle name="7_2002년_월별사업계획전산_DM_02년사업계획양식V2.0_02년사업계획양식V3.0" xfId="4742"/>
    <cellStyle name="7_2002년_월별사업계획전산_DM_02년사업계획양식V2.0_02년사업계획양식V3.0_02년사업계획양식V3.0" xfId="4743"/>
    <cellStyle name="7_2002년_월별사업계획전산_DM_02년사업계획양식V2.0_02년사업계획양식V3.0_02년사업계획양식V3.0(원본)" xfId="4744"/>
    <cellStyle name="7_2002년_월별사업계획전산_DM_02년사업계획양식V2.0_02년사업계획양식V3.0_02년사업계획양식V3.0(원본)_1" xfId="4745"/>
    <cellStyle name="7_2002년_월별사업계획전산_DM_02년사업계획양식V3.0" xfId="4746"/>
    <cellStyle name="7_2002년_월별사업계획전산_DM_02년사업계획양식V3.0(원본)" xfId="4747"/>
    <cellStyle name="7_2002년_월별사업계획전산_DM_02년사업계획양식V3.0(원본)_1" xfId="4748"/>
    <cellStyle name="7_2002년_월별사업계획전산_DM_02년사업계획양식V3.0_02년사업계획양식V3.0" xfId="4749"/>
    <cellStyle name="7_2002년_월별사업계획전산_DM_02년사업계획양식V3.0_02년사업계획양식V3.0_02년사업계획양식V3.0" xfId="4750"/>
    <cellStyle name="7_2002년_월별사업계획전산_DM_02년사업계획양식V3.0_02년사업계획양식V3.0_02년사업계획양식V3.0(원본)" xfId="4751"/>
    <cellStyle name="7_2002년_월별사업계획전산_DM_02년사업계획양식V3.0_02년사업계획양식V3.0_02년사업계획양식V3.0(원본)_1" xfId="4752"/>
    <cellStyle name="7_5월이동_전사손익" xfId="4753"/>
    <cellStyle name="7_5월이동_전사손익_01년간예상손익(12월이동)" xfId="4754"/>
    <cellStyle name="7_5월이동_전사손익_01년간예상손익(12월이동)_2" xfId="4755"/>
    <cellStyle name="7_5월이동_전사손익_01매출손익(6월 실적반영)" xfId="4756"/>
    <cellStyle name="7_5월이동_전사손익_01매출손익(6월 실적반영)_01년간예상손익(12월이동)" xfId="4757"/>
    <cellStyle name="7_5월이동_전사손익_01매출손익(6월 실적반영)_01년간예상손익(12월이동)_2" xfId="4758"/>
    <cellStyle name="7_5월이동_전사손익_01매출손익(6월 실적반영)_02년 2월 이동_예상손익" xfId="4759"/>
    <cellStyle name="7_5월이동_전사손익_01매출손익(6월 실적반영)_02년 2월 이동_예상손익_1" xfId="4760"/>
    <cellStyle name="7_5월이동_전사손익_01매출손익(6월 실적반영)_02년 3월 이동_예상손익(전사취합)" xfId="4761"/>
    <cellStyle name="7_5월이동_전사손익_01매출손익(6월 실적반영)_02년 6월 이동_예상손익(전사취합)" xfId="4762"/>
    <cellStyle name="7_5월이동_전사손익_01매출손익(6월 실적반영)_02년간예상손익" xfId="4763"/>
    <cellStyle name="7_5월이동_전사손익_01매출손익(6월 실적반영)_04월 이동계획_전사예상pl" xfId="4764"/>
    <cellStyle name="7_5월이동_전사손익_01매출손익(6월 실적반영)_1월이동손익_전사예상pl" xfId="4765"/>
    <cellStyle name="7_5월이동_전사손익_01매출손익(6월 실적반영)_obu별손익0112이동" xfId="4766"/>
    <cellStyle name="7_5월이동_전사손익_02년 2월 이동_예상손익" xfId="4767"/>
    <cellStyle name="7_5월이동_전사손익_02년 2월 이동_예상손익_1" xfId="4768"/>
    <cellStyle name="7_5월이동_전사손익_02년 3월 이동_예상손익(전사취합)" xfId="4769"/>
    <cellStyle name="7_5월이동_전사손익_02년 6월 이동_예상손익(전사취합)" xfId="4770"/>
    <cellStyle name="7_5월이동_전사손익_02년간예상손익" xfId="4771"/>
    <cellStyle name="7_5월이동_전사손익_04월 이동계획_전사예상pl" xfId="4772"/>
    <cellStyle name="7_5월이동_전사손익_06전사손익" xfId="4773"/>
    <cellStyle name="7_5월이동_전사손익_06전사손익_01년간예상손익(12월이동)" xfId="4774"/>
    <cellStyle name="7_5월이동_전사손익_06전사손익_01년간예상손익(12월이동)_2" xfId="4775"/>
    <cellStyle name="7_5월이동_전사손익_06전사손익_01매출손익(6월 실적반영)" xfId="4776"/>
    <cellStyle name="7_5월이동_전사손익_06전사손익_01매출손익(6월 실적반영)_01년간예상손익(12월이동)" xfId="4777"/>
    <cellStyle name="7_5월이동_전사손익_06전사손익_01매출손익(6월 실적반영)_01년간예상손익(12월이동)_2" xfId="4778"/>
    <cellStyle name="7_5월이동_전사손익_06전사손익_01매출손익(6월 실적반영)_02년 2월 이동_예상손익" xfId="4779"/>
    <cellStyle name="7_5월이동_전사손익_06전사손익_01매출손익(6월 실적반영)_02년 2월 이동_예상손익_1" xfId="4780"/>
    <cellStyle name="7_5월이동_전사손익_06전사손익_01매출손익(6월 실적반영)_02년 3월 이동_예상손익(전사취합)" xfId="4781"/>
    <cellStyle name="7_5월이동_전사손익_06전사손익_01매출손익(6월 실적반영)_02년 6월 이동_예상손익(전사취합)" xfId="4782"/>
    <cellStyle name="7_5월이동_전사손익_06전사손익_01매출손익(6월 실적반영)_02년간예상손익" xfId="4783"/>
    <cellStyle name="7_5월이동_전사손익_06전사손익_01매출손익(6월 실적반영)_04월 이동계획_전사예상pl" xfId="4784"/>
    <cellStyle name="7_5월이동_전사손익_06전사손익_01매출손익(6월 실적반영)_1월이동손익_전사예상pl" xfId="4785"/>
    <cellStyle name="7_5월이동_전사손익_06전사손익_01매출손익(6월 실적반영)_obu별손익0112이동" xfId="4786"/>
    <cellStyle name="7_5월이동_전사손익_06전사손익_02년 2월 이동_예상손익" xfId="4787"/>
    <cellStyle name="7_5월이동_전사손익_06전사손익_02년 2월 이동_예상손익_1" xfId="4788"/>
    <cellStyle name="7_5월이동_전사손익_06전사손익_02년 3월 이동_예상손익(전사취합)" xfId="4789"/>
    <cellStyle name="7_5월이동_전사손익_06전사손익_02년 6월 이동_예상손익(전사취합)" xfId="4790"/>
    <cellStyle name="7_5월이동_전사손익_06전사손익_02년간예상손익" xfId="4791"/>
    <cellStyle name="7_5월이동_전사손익_06전사손익_04월 이동계획_전사예상pl" xfId="4792"/>
    <cellStyle name="7_5월이동_전사손익_06전사손익_1월이동손익_전사예상pl" xfId="4793"/>
    <cellStyle name="7_5월이동_전사손익_06전사손익_8월예상" xfId="4794"/>
    <cellStyle name="7_5월이동_전사손익_06전사손익_8월예상_01년간예상손익(12월이동)" xfId="4795"/>
    <cellStyle name="7_5월이동_전사손익_06전사손익_8월예상_01년간예상손익(12월이동)_2" xfId="4796"/>
    <cellStyle name="7_5월이동_전사손익_06전사손익_8월예상_02년 2월 이동_예상손익" xfId="4797"/>
    <cellStyle name="7_5월이동_전사손익_06전사손익_8월예상_02년 2월 이동_예상손익_1" xfId="4798"/>
    <cellStyle name="7_5월이동_전사손익_06전사손익_8월예상_02년 3월 이동_예상손익(전사취합)" xfId="4799"/>
    <cellStyle name="7_5월이동_전사손익_06전사손익_8월예상_02년 6월 이동_예상손익(전사취합)" xfId="4800"/>
    <cellStyle name="7_5월이동_전사손익_06전사손익_8월예상_02년간예상손익" xfId="4801"/>
    <cellStyle name="7_5월이동_전사손익_06전사손익_8월예상_04월 이동계획_전사예상pl" xfId="4802"/>
    <cellStyle name="7_5월이동_전사손익_06전사손익_8월예상_1월이동손익_전사예상pl" xfId="4803"/>
    <cellStyle name="7_5월이동_전사손익_06전사손익_8월예상_obu별손익0112이동" xfId="4804"/>
    <cellStyle name="7_5월이동_전사손익_06전사손익_9-12월예상pl" xfId="4805"/>
    <cellStyle name="7_5월이동_전사손익_06전사손익_9-12월예상pl_01년간예상손익(12월이동)" xfId="4806"/>
    <cellStyle name="7_5월이동_전사손익_06전사손익_9-12월예상pl_01년간예상손익(12월이동)_2" xfId="4807"/>
    <cellStyle name="7_5월이동_전사손익_06전사손익_9-12월예상pl_02년 2월 이동_예상손익" xfId="4808"/>
    <cellStyle name="7_5월이동_전사손익_06전사손익_9-12월예상pl_02년 2월 이동_예상손익_1" xfId="4809"/>
    <cellStyle name="7_5월이동_전사손익_06전사손익_9-12월예상pl_02년 3월 이동_예상손익(전사취합)" xfId="4810"/>
    <cellStyle name="7_5월이동_전사손익_06전사손익_9-12월예상pl_02년 6월 이동_예상손익(전사취합)" xfId="4811"/>
    <cellStyle name="7_5월이동_전사손익_06전사손익_9-12월예상pl_02년간예상손익" xfId="4812"/>
    <cellStyle name="7_5월이동_전사손익_06전사손익_9-12월예상pl_04월 이동계획_전사예상pl" xfId="4813"/>
    <cellStyle name="7_5월이동_전사손익_06전사손익_9-12월예상pl_1월이동손익_전사예상pl" xfId="4814"/>
    <cellStyle name="7_5월이동_전사손익_06전사손익_9-12월예상pl_obu별손익0112이동" xfId="4815"/>
    <cellStyle name="7_5월이동_전사손익_06전사손익_obu별손익0112이동" xfId="4816"/>
    <cellStyle name="7_5월이동_전사손익_06전사손익_상반기_연간손익정리(서대호)" xfId="4817"/>
    <cellStyle name="7_5월이동_전사손익_06전사손익_상반기_연간손익정리(서대호)_01년간예상손익(12월이동)" xfId="4818"/>
    <cellStyle name="7_5월이동_전사손익_06전사손익_상반기_연간손익정리(서대호)_01년간예상손익(12월이동)_2" xfId="4819"/>
    <cellStyle name="7_5월이동_전사손익_06전사손익_상반기_연간손익정리(서대호)_01매출손익(6월 실적반영)" xfId="4820"/>
    <cellStyle name="7_5월이동_전사손익_06전사손익_상반기_연간손익정리(서대호)_01매출손익(6월 실적반영)_01년간예상손익(12월이동)" xfId="4821"/>
    <cellStyle name="7_5월이동_전사손익_06전사손익_상반기_연간손익정리(서대호)_01매출손익(6월 실적반영)_01년간예상손익(12월이동)_2" xfId="4822"/>
    <cellStyle name="7_5월이동_전사손익_06전사손익_상반기_연간손익정리(서대호)_01매출손익(6월 실적반영)_02년 2월 이동_예상손익" xfId="4823"/>
    <cellStyle name="7_5월이동_전사손익_06전사손익_상반기_연간손익정리(서대호)_01매출손익(6월 실적반영)_02년 2월 이동_예상손익_1" xfId="4824"/>
    <cellStyle name="7_5월이동_전사손익_06전사손익_상반기_연간손익정리(서대호)_01매출손익(6월 실적반영)_02년 3월 이동_예상손익(전사취합)" xfId="4825"/>
    <cellStyle name="7_5월이동_전사손익_06전사손익_상반기_연간손익정리(서대호)_01매출손익(6월 실적반영)_02년 6월 이동_예상손익(전사취합)" xfId="4826"/>
    <cellStyle name="7_5월이동_전사손익_06전사손익_상반기_연간손익정리(서대호)_01매출손익(6월 실적반영)_02년간예상손익" xfId="4827"/>
    <cellStyle name="7_5월이동_전사손익_06전사손익_상반기_연간손익정리(서대호)_01매출손익(6월 실적반영)_04월 이동계획_전사예상pl" xfId="4828"/>
    <cellStyle name="7_5월이동_전사손익_06전사손익_상반기_연간손익정리(서대호)_01매출손익(6월 실적반영)_1월이동손익_전사예상pl" xfId="4829"/>
    <cellStyle name="7_5월이동_전사손익_06전사손익_상반기_연간손익정리(서대호)_01매출손익(6월 실적반영)_obu별손익0112이동" xfId="4830"/>
    <cellStyle name="7_5월이동_전사손익_06전사손익_상반기_연간손익정리(서대호)_02년 2월 이동_예상손익" xfId="4831"/>
    <cellStyle name="7_5월이동_전사손익_06전사손익_상반기_연간손익정리(서대호)_02년 2월 이동_예상손익_1" xfId="4832"/>
    <cellStyle name="7_5월이동_전사손익_06전사손익_상반기_연간손익정리(서대호)_02년 3월 이동_예상손익(전사취합)" xfId="4833"/>
    <cellStyle name="7_5월이동_전사손익_06전사손익_상반기_연간손익정리(서대호)_02년 6월 이동_예상손익(전사취합)" xfId="4834"/>
    <cellStyle name="7_5월이동_전사손익_06전사손익_상반기_연간손익정리(서대호)_02년간예상손익" xfId="4835"/>
    <cellStyle name="7_5월이동_전사손익_06전사손익_상반기_연간손익정리(서대호)_04월 이동계획_전사예상pl" xfId="4836"/>
    <cellStyle name="7_5월이동_전사손익_06전사손익_상반기_연간손익정리(서대호)_1월이동손익_전사예상pl" xfId="4837"/>
    <cellStyle name="7_5월이동_전사손익_06전사손익_상반기_연간손익정리(서대호)_8월예상" xfId="4838"/>
    <cellStyle name="7_5월이동_전사손익_06전사손익_상반기_연간손익정리(서대호)_8월예상_01년간예상손익(12월이동)" xfId="4839"/>
    <cellStyle name="7_5월이동_전사손익_06전사손익_상반기_연간손익정리(서대호)_8월예상_01년간예상손익(12월이동)_2" xfId="4840"/>
    <cellStyle name="7_5월이동_전사손익_06전사손익_상반기_연간손익정리(서대호)_8월예상_02년 2월 이동_예상손익" xfId="4841"/>
    <cellStyle name="7_5월이동_전사손익_06전사손익_상반기_연간손익정리(서대호)_8월예상_02년 2월 이동_예상손익_1" xfId="4842"/>
    <cellStyle name="7_5월이동_전사손익_06전사손익_상반기_연간손익정리(서대호)_8월예상_02년 3월 이동_예상손익(전사취합)" xfId="4843"/>
    <cellStyle name="7_5월이동_전사손익_06전사손익_상반기_연간손익정리(서대호)_8월예상_02년 6월 이동_예상손익(전사취합)" xfId="4844"/>
    <cellStyle name="7_5월이동_전사손익_06전사손익_상반기_연간손익정리(서대호)_8월예상_02년간예상손익" xfId="4845"/>
    <cellStyle name="7_5월이동_전사손익_06전사손익_상반기_연간손익정리(서대호)_8월예상_04월 이동계획_전사예상pl" xfId="4846"/>
    <cellStyle name="7_5월이동_전사손익_06전사손익_상반기_연간손익정리(서대호)_8월예상_1월이동손익_전사예상pl" xfId="4847"/>
    <cellStyle name="7_5월이동_전사손익_06전사손익_상반기_연간손익정리(서대호)_8월예상_obu별손익0112이동" xfId="4848"/>
    <cellStyle name="7_5월이동_전사손익_06전사손익_상반기_연간손익정리(서대호)_obu별손익0112이동" xfId="4849"/>
    <cellStyle name="7_5월이동_전사손익_06전사손익_상반기_연간손익정리(서대호)_연간예상추정5886_0726" xfId="4850"/>
    <cellStyle name="7_5월이동_전사손익_06전사손익_상반기_연간손익정리(서대호)_연간예상추정5886_0726_01년간예상손익(12월이동)" xfId="4851"/>
    <cellStyle name="7_5월이동_전사손익_06전사손익_상반기_연간손익정리(서대호)_연간예상추정5886_0726_01년간예상손익(12월이동)_2" xfId="4852"/>
    <cellStyle name="7_5월이동_전사손익_06전사손익_상반기_연간손익정리(서대호)_연간예상추정5886_0726_02년 2월 이동_예상손익" xfId="4853"/>
    <cellStyle name="7_5월이동_전사손익_06전사손익_상반기_연간손익정리(서대호)_연간예상추정5886_0726_02년 2월 이동_예상손익_1" xfId="4854"/>
    <cellStyle name="7_5월이동_전사손익_06전사손익_상반기_연간손익정리(서대호)_연간예상추정5886_0726_02년 3월 이동_예상손익(전사취합)" xfId="4855"/>
    <cellStyle name="7_5월이동_전사손익_06전사손익_상반기_연간손익정리(서대호)_연간예상추정5886_0726_02년 6월 이동_예상손익(전사취합)" xfId="4856"/>
    <cellStyle name="7_5월이동_전사손익_06전사손익_상반기_연간손익정리(서대호)_연간예상추정5886_0726_02년간예상손익" xfId="4857"/>
    <cellStyle name="7_5월이동_전사손익_06전사손익_상반기_연간손익정리(서대호)_연간예상추정5886_0726_04월 이동계획_전사예상pl" xfId="4858"/>
    <cellStyle name="7_5월이동_전사손익_06전사손익_상반기_연간손익정리(서대호)_연간예상추정5886_0726_1월이동손익_전사예상pl" xfId="4859"/>
    <cellStyle name="7_5월이동_전사손익_06전사손익_상반기_연간손익정리(서대호)_연간예상추정5886_0726_obu별손익0112이동" xfId="4860"/>
    <cellStyle name="7_5월이동_전사손익_06전사손익_연간예상추정5886_0726" xfId="4861"/>
    <cellStyle name="7_5월이동_전사손익_06전사손익_연간예상추정5886_0726_01년간예상손익(12월이동)" xfId="4862"/>
    <cellStyle name="7_5월이동_전사손익_06전사손익_연간예상추정5886_0726_01년간예상손익(12월이동)_2" xfId="4863"/>
    <cellStyle name="7_5월이동_전사손익_06전사손익_연간예상추정5886_0726_02년 2월 이동_예상손익" xfId="4864"/>
    <cellStyle name="7_5월이동_전사손익_06전사손익_연간예상추정5886_0726_02년 2월 이동_예상손익_1" xfId="4865"/>
    <cellStyle name="7_5월이동_전사손익_06전사손익_연간예상추정5886_0726_02년 3월 이동_예상손익(전사취합)" xfId="4866"/>
    <cellStyle name="7_5월이동_전사손익_06전사손익_연간예상추정5886_0726_02년 6월 이동_예상손익(전사취합)" xfId="4867"/>
    <cellStyle name="7_5월이동_전사손익_06전사손익_연간예상추정5886_0726_02년간예상손익" xfId="4868"/>
    <cellStyle name="7_5월이동_전사손익_06전사손익_연간예상추정5886_0726_04월 이동계획_전사예상pl" xfId="4869"/>
    <cellStyle name="7_5월이동_전사손익_06전사손익_연간예상추정5886_0726_1월이동손익_전사예상pl" xfId="4870"/>
    <cellStyle name="7_5월이동_전사손익_06전사손익_연간예상추정5886_0726_obu별손익0112이동" xfId="4871"/>
    <cellStyle name="7_5월이동_전사손익_06전사손익1" xfId="4872"/>
    <cellStyle name="7_5월이동_전사손익_06전사손익1_01년간예상손익(12월이동)" xfId="4873"/>
    <cellStyle name="7_5월이동_전사손익_06전사손익1_01년간예상손익(12월이동)_2" xfId="4874"/>
    <cellStyle name="7_5월이동_전사손익_06전사손익1_01매출손익(6월 실적반영)" xfId="4875"/>
    <cellStyle name="7_5월이동_전사손익_06전사손익1_01매출손익(6월 실적반영)_01년간예상손익(12월이동)" xfId="4876"/>
    <cellStyle name="7_5월이동_전사손익_06전사손익1_01매출손익(6월 실적반영)_01년간예상손익(12월이동)_2" xfId="4877"/>
    <cellStyle name="7_5월이동_전사손익_06전사손익1_01매출손익(6월 실적반영)_02년 2월 이동_예상손익" xfId="4878"/>
    <cellStyle name="7_5월이동_전사손익_06전사손익1_01매출손익(6월 실적반영)_02년 2월 이동_예상손익_1" xfId="4879"/>
    <cellStyle name="7_5월이동_전사손익_06전사손익1_01매출손익(6월 실적반영)_02년 3월 이동_예상손익(전사취합)" xfId="4880"/>
    <cellStyle name="7_5월이동_전사손익_06전사손익1_01매출손익(6월 실적반영)_02년 6월 이동_예상손익(전사취합)" xfId="4881"/>
    <cellStyle name="7_5월이동_전사손익_06전사손익1_01매출손익(6월 실적반영)_02년간예상손익" xfId="4882"/>
    <cellStyle name="7_5월이동_전사손익_06전사손익1_01매출손익(6월 실적반영)_04월 이동계획_전사예상pl" xfId="4883"/>
    <cellStyle name="7_5월이동_전사손익_06전사손익1_01매출손익(6월 실적반영)_1월이동손익_전사예상pl" xfId="4884"/>
    <cellStyle name="7_5월이동_전사손익_06전사손익1_01매출손익(6월 실적반영)_obu별손익0112이동" xfId="4885"/>
    <cellStyle name="7_5월이동_전사손익_06전사손익1_02년 2월 이동_예상손익" xfId="4886"/>
    <cellStyle name="7_5월이동_전사손익_06전사손익1_02년 2월 이동_예상손익_1" xfId="4887"/>
    <cellStyle name="7_5월이동_전사손익_06전사손익1_02년 3월 이동_예상손익(전사취합)" xfId="4888"/>
    <cellStyle name="7_5월이동_전사손익_06전사손익1_02년 6월 이동_예상손익(전사취합)" xfId="4889"/>
    <cellStyle name="7_5월이동_전사손익_06전사손익1_02년간예상손익" xfId="4890"/>
    <cellStyle name="7_5월이동_전사손익_06전사손익1_04월 이동계획_전사예상pl" xfId="4891"/>
    <cellStyle name="7_5월이동_전사손익_06전사손익1_1월이동손익_전사예상pl" xfId="4892"/>
    <cellStyle name="7_5월이동_전사손익_06전사손익1_8월예상" xfId="4893"/>
    <cellStyle name="7_5월이동_전사손익_06전사손익1_8월예상_01년간예상손익(12월이동)" xfId="4894"/>
    <cellStyle name="7_5월이동_전사손익_06전사손익1_8월예상_01년간예상손익(12월이동)_2" xfId="4895"/>
    <cellStyle name="7_5월이동_전사손익_06전사손익1_8월예상_02년 2월 이동_예상손익" xfId="4896"/>
    <cellStyle name="7_5월이동_전사손익_06전사손익1_8월예상_02년 2월 이동_예상손익_1" xfId="4897"/>
    <cellStyle name="7_5월이동_전사손익_06전사손익1_8월예상_02년 3월 이동_예상손익(전사취합)" xfId="4898"/>
    <cellStyle name="7_5월이동_전사손익_06전사손익1_8월예상_02년 6월 이동_예상손익(전사취합)" xfId="4899"/>
    <cellStyle name="7_5월이동_전사손익_06전사손익1_8월예상_02년간예상손익" xfId="4900"/>
    <cellStyle name="7_5월이동_전사손익_06전사손익1_8월예상_04월 이동계획_전사예상pl" xfId="4901"/>
    <cellStyle name="7_5월이동_전사손익_06전사손익1_8월예상_1월이동손익_전사예상pl" xfId="4902"/>
    <cellStyle name="7_5월이동_전사손익_06전사손익1_8월예상_obu별손익0112이동" xfId="4903"/>
    <cellStyle name="7_5월이동_전사손익_06전사손익1_9-12월예상pl" xfId="4904"/>
    <cellStyle name="7_5월이동_전사손익_06전사손익1_9-12월예상pl_01년간예상손익(12월이동)" xfId="4905"/>
    <cellStyle name="7_5월이동_전사손익_06전사손익1_9-12월예상pl_01년간예상손익(12월이동)_2" xfId="4906"/>
    <cellStyle name="7_5월이동_전사손익_06전사손익1_9-12월예상pl_02년 2월 이동_예상손익" xfId="4907"/>
    <cellStyle name="7_5월이동_전사손익_06전사손익1_9-12월예상pl_02년 2월 이동_예상손익_1" xfId="4908"/>
    <cellStyle name="7_5월이동_전사손익_06전사손익1_9-12월예상pl_02년 3월 이동_예상손익(전사취합)" xfId="4909"/>
    <cellStyle name="7_5월이동_전사손익_06전사손익1_9-12월예상pl_02년 6월 이동_예상손익(전사취합)" xfId="4910"/>
    <cellStyle name="7_5월이동_전사손익_06전사손익1_9-12월예상pl_02년간예상손익" xfId="4911"/>
    <cellStyle name="7_5월이동_전사손익_06전사손익1_9-12월예상pl_04월 이동계획_전사예상pl" xfId="4912"/>
    <cellStyle name="7_5월이동_전사손익_06전사손익1_9-12월예상pl_1월이동손익_전사예상pl" xfId="4913"/>
    <cellStyle name="7_5월이동_전사손익_06전사손익1_9-12월예상pl_obu별손익0112이동" xfId="4914"/>
    <cellStyle name="7_5월이동_전사손익_06전사손익1_obu별손익0112이동" xfId="4915"/>
    <cellStyle name="7_5월이동_전사손익_06전사손익1_상반기_연간손익정리(서대호)" xfId="4916"/>
    <cellStyle name="7_5월이동_전사손익_06전사손익1_상반기_연간손익정리(서대호)_01년간예상손익(12월이동)" xfId="4917"/>
    <cellStyle name="7_5월이동_전사손익_06전사손익1_상반기_연간손익정리(서대호)_01년간예상손익(12월이동)_2" xfId="4918"/>
    <cellStyle name="7_5월이동_전사손익_06전사손익1_상반기_연간손익정리(서대호)_01매출손익(6월 실적반영)" xfId="4919"/>
    <cellStyle name="7_5월이동_전사손익_06전사손익1_상반기_연간손익정리(서대호)_01매출손익(6월 실적반영)_01년간예상손익(12월이동)" xfId="4920"/>
    <cellStyle name="7_5월이동_전사손익_06전사손익1_상반기_연간손익정리(서대호)_01매출손익(6월 실적반영)_01년간예상손익(12월이동)_2" xfId="4921"/>
    <cellStyle name="7_5월이동_전사손익_06전사손익1_상반기_연간손익정리(서대호)_01매출손익(6월 실적반영)_02년 2월 이동_예상손익" xfId="4922"/>
    <cellStyle name="7_5월이동_전사손익_06전사손익1_상반기_연간손익정리(서대호)_01매출손익(6월 실적반영)_02년 2월 이동_예상손익_1" xfId="4923"/>
    <cellStyle name="7_5월이동_전사손익_06전사손익1_상반기_연간손익정리(서대호)_01매출손익(6월 실적반영)_02년 3월 이동_예상손익(전사취합)" xfId="4924"/>
    <cellStyle name="7_5월이동_전사손익_06전사손익1_상반기_연간손익정리(서대호)_01매출손익(6월 실적반영)_02년 6월 이동_예상손익(전사취합)" xfId="4925"/>
    <cellStyle name="7_5월이동_전사손익_06전사손익1_상반기_연간손익정리(서대호)_01매출손익(6월 실적반영)_02년간예상손익" xfId="4926"/>
    <cellStyle name="7_5월이동_전사손익_06전사손익1_상반기_연간손익정리(서대호)_01매출손익(6월 실적반영)_04월 이동계획_전사예상pl" xfId="4927"/>
    <cellStyle name="7_5월이동_전사손익_06전사손익1_상반기_연간손익정리(서대호)_01매출손익(6월 실적반영)_1월이동손익_전사예상pl" xfId="4928"/>
    <cellStyle name="7_5월이동_전사손익_06전사손익1_상반기_연간손익정리(서대호)_01매출손익(6월 실적반영)_obu별손익0112이동" xfId="4929"/>
    <cellStyle name="7_5월이동_전사손익_06전사손익1_상반기_연간손익정리(서대호)_02년 2월 이동_예상손익" xfId="4930"/>
    <cellStyle name="7_5월이동_전사손익_06전사손익1_상반기_연간손익정리(서대호)_02년 2월 이동_예상손익_1" xfId="4931"/>
    <cellStyle name="7_5월이동_전사손익_06전사손익1_상반기_연간손익정리(서대호)_02년 3월 이동_예상손익(전사취합)" xfId="4932"/>
    <cellStyle name="7_5월이동_전사손익_06전사손익1_상반기_연간손익정리(서대호)_02년 6월 이동_예상손익(전사취합)" xfId="4933"/>
    <cellStyle name="7_5월이동_전사손익_06전사손익1_상반기_연간손익정리(서대호)_02년간예상손익" xfId="4934"/>
    <cellStyle name="7_5월이동_전사손익_06전사손익1_상반기_연간손익정리(서대호)_04월 이동계획_전사예상pl" xfId="4935"/>
    <cellStyle name="7_5월이동_전사손익_06전사손익1_상반기_연간손익정리(서대호)_1월이동손익_전사예상pl" xfId="4936"/>
    <cellStyle name="7_5월이동_전사손익_06전사손익1_상반기_연간손익정리(서대호)_8월예상" xfId="4937"/>
    <cellStyle name="7_5월이동_전사손익_06전사손익1_상반기_연간손익정리(서대호)_8월예상_01년간예상손익(12월이동)" xfId="4938"/>
    <cellStyle name="7_5월이동_전사손익_06전사손익1_상반기_연간손익정리(서대호)_8월예상_01년간예상손익(12월이동)_2" xfId="4939"/>
    <cellStyle name="7_5월이동_전사손익_06전사손익1_상반기_연간손익정리(서대호)_8월예상_02년 2월 이동_예상손익" xfId="4940"/>
    <cellStyle name="7_5월이동_전사손익_06전사손익1_상반기_연간손익정리(서대호)_8월예상_02년 2월 이동_예상손익_1" xfId="4941"/>
    <cellStyle name="7_5월이동_전사손익_06전사손익1_상반기_연간손익정리(서대호)_8월예상_02년 3월 이동_예상손익(전사취합)" xfId="4942"/>
    <cellStyle name="7_5월이동_전사손익_06전사손익1_상반기_연간손익정리(서대호)_8월예상_02년 6월 이동_예상손익(전사취합)" xfId="4943"/>
    <cellStyle name="7_5월이동_전사손익_06전사손익1_상반기_연간손익정리(서대호)_8월예상_02년간예상손익" xfId="4944"/>
    <cellStyle name="7_5월이동_전사손익_06전사손익1_상반기_연간손익정리(서대호)_8월예상_04월 이동계획_전사예상pl" xfId="4945"/>
    <cellStyle name="7_5월이동_전사손익_06전사손익1_상반기_연간손익정리(서대호)_8월예상_1월이동손익_전사예상pl" xfId="4946"/>
    <cellStyle name="7_5월이동_전사손익_06전사손익1_상반기_연간손익정리(서대호)_8월예상_obu별손익0112이동" xfId="4947"/>
    <cellStyle name="7_5월이동_전사손익_06전사손익1_상반기_연간손익정리(서대호)_obu별손익0112이동" xfId="4948"/>
    <cellStyle name="7_5월이동_전사손익_06전사손익1_상반기_연간손익정리(서대호)_연간예상추정5886_0726" xfId="4949"/>
    <cellStyle name="7_5월이동_전사손익_06전사손익1_상반기_연간손익정리(서대호)_연간예상추정5886_0726_01년간예상손익(12월이동)" xfId="4950"/>
    <cellStyle name="7_5월이동_전사손익_06전사손익1_상반기_연간손익정리(서대호)_연간예상추정5886_0726_01년간예상손익(12월이동)_2" xfId="4951"/>
    <cellStyle name="7_5월이동_전사손익_06전사손익1_상반기_연간손익정리(서대호)_연간예상추정5886_0726_02년 2월 이동_예상손익" xfId="4952"/>
    <cellStyle name="7_5월이동_전사손익_06전사손익1_상반기_연간손익정리(서대호)_연간예상추정5886_0726_02년 2월 이동_예상손익_1" xfId="4953"/>
    <cellStyle name="7_5월이동_전사손익_06전사손익1_상반기_연간손익정리(서대호)_연간예상추정5886_0726_02년 3월 이동_예상손익(전사취합)" xfId="4954"/>
    <cellStyle name="7_5월이동_전사손익_06전사손익1_상반기_연간손익정리(서대호)_연간예상추정5886_0726_02년 6월 이동_예상손익(전사취합)" xfId="4955"/>
    <cellStyle name="7_5월이동_전사손익_06전사손익1_상반기_연간손익정리(서대호)_연간예상추정5886_0726_02년간예상손익" xfId="4956"/>
    <cellStyle name="7_5월이동_전사손익_06전사손익1_상반기_연간손익정리(서대호)_연간예상추정5886_0726_04월 이동계획_전사예상pl" xfId="4957"/>
    <cellStyle name="7_5월이동_전사손익_06전사손익1_상반기_연간손익정리(서대호)_연간예상추정5886_0726_1월이동손익_전사예상pl" xfId="4958"/>
    <cellStyle name="7_5월이동_전사손익_06전사손익1_상반기_연간손익정리(서대호)_연간예상추정5886_0726_obu별손익0112이동" xfId="4959"/>
    <cellStyle name="7_5월이동_전사손익_06전사손익1_연간예상추정5886_0726" xfId="4960"/>
    <cellStyle name="7_5월이동_전사손익_06전사손익1_연간예상추정5886_0726_01년간예상손익(12월이동)" xfId="4961"/>
    <cellStyle name="7_5월이동_전사손익_06전사손익1_연간예상추정5886_0726_01년간예상손익(12월이동)_2" xfId="4962"/>
    <cellStyle name="7_5월이동_전사손익_06전사손익1_연간예상추정5886_0726_02년 2월 이동_예상손익" xfId="4963"/>
    <cellStyle name="7_5월이동_전사손익_06전사손익1_연간예상추정5886_0726_02년 2월 이동_예상손익_1" xfId="4964"/>
    <cellStyle name="7_5월이동_전사손익_06전사손익1_연간예상추정5886_0726_02년 3월 이동_예상손익(전사취합)" xfId="4965"/>
    <cellStyle name="7_5월이동_전사손익_06전사손익1_연간예상추정5886_0726_02년 6월 이동_예상손익(전사취합)" xfId="4966"/>
    <cellStyle name="7_5월이동_전사손익_06전사손익1_연간예상추정5886_0726_02년간예상손익" xfId="4967"/>
    <cellStyle name="7_5월이동_전사손익_06전사손익1_연간예상추정5886_0726_04월 이동계획_전사예상pl" xfId="4968"/>
    <cellStyle name="7_5월이동_전사손익_06전사손익1_연간예상추정5886_0726_1월이동손익_전사예상pl" xfId="4969"/>
    <cellStyle name="7_5월이동_전사손익_06전사손익1_연간예상추정5886_0726_obu별손익0112이동" xfId="4970"/>
    <cellStyle name="7_5월이동_전사손익_1월이동손익_전사예상pl" xfId="4971"/>
    <cellStyle name="7_5월이동_전사손익_8월예상" xfId="4972"/>
    <cellStyle name="7_5월이동_전사손익_8월예상_01년간예상손익(12월이동)" xfId="4973"/>
    <cellStyle name="7_5월이동_전사손익_8월예상_01년간예상손익(12월이동)_2" xfId="4974"/>
    <cellStyle name="7_5월이동_전사손익_8월예상_02년 2월 이동_예상손익" xfId="4975"/>
    <cellStyle name="7_5월이동_전사손익_8월예상_02년 2월 이동_예상손익_1" xfId="4976"/>
    <cellStyle name="7_5월이동_전사손익_8월예상_02년 3월 이동_예상손익(전사취합)" xfId="4977"/>
    <cellStyle name="7_5월이동_전사손익_8월예상_02년 6월 이동_예상손익(전사취합)" xfId="4978"/>
    <cellStyle name="7_5월이동_전사손익_8월예상_02년간예상손익" xfId="4979"/>
    <cellStyle name="7_5월이동_전사손익_8월예상_04월 이동계획_전사예상pl" xfId="4980"/>
    <cellStyle name="7_5월이동_전사손익_8월예상_1월이동손익_전사예상pl" xfId="4981"/>
    <cellStyle name="7_5월이동_전사손익_8월예상_obu별손익0112이동" xfId="4982"/>
    <cellStyle name="7_5월이동_전사손익_9-12월예상pl" xfId="4983"/>
    <cellStyle name="7_5월이동_전사손익_9-12월예상pl_01년간예상손익(12월이동)" xfId="4984"/>
    <cellStyle name="7_5월이동_전사손익_9-12월예상pl_01년간예상손익(12월이동)_2" xfId="4985"/>
    <cellStyle name="7_5월이동_전사손익_9-12월예상pl_02년 2월 이동_예상손익" xfId="4986"/>
    <cellStyle name="7_5월이동_전사손익_9-12월예상pl_02년 2월 이동_예상손익_1" xfId="4987"/>
    <cellStyle name="7_5월이동_전사손익_9-12월예상pl_02년 3월 이동_예상손익(전사취합)" xfId="4988"/>
    <cellStyle name="7_5월이동_전사손익_9-12월예상pl_02년 6월 이동_예상손익(전사취합)" xfId="4989"/>
    <cellStyle name="7_5월이동_전사손익_9-12월예상pl_02년간예상손익" xfId="4990"/>
    <cellStyle name="7_5월이동_전사손익_9-12월예상pl_04월 이동계획_전사예상pl" xfId="4991"/>
    <cellStyle name="7_5월이동_전사손익_9-12월예상pl_1월이동손익_전사예상pl" xfId="4992"/>
    <cellStyle name="7_5월이동_전사손익_9-12월예상pl_obu별손익0112이동" xfId="4993"/>
    <cellStyle name="7_5월이동_전사손익_obu별손익0112이동" xfId="4994"/>
    <cellStyle name="7_5월이동_전사손익_상반기_연간손익정리(서대호)" xfId="4995"/>
    <cellStyle name="7_5월이동_전사손익_상반기_연간손익정리(서대호)_01년간예상손익(12월이동)" xfId="4996"/>
    <cellStyle name="7_5월이동_전사손익_상반기_연간손익정리(서대호)_01년간예상손익(12월이동)_2" xfId="4997"/>
    <cellStyle name="7_5월이동_전사손익_상반기_연간손익정리(서대호)_01매출손익(6월 실적반영)" xfId="4998"/>
    <cellStyle name="7_5월이동_전사손익_상반기_연간손익정리(서대호)_01매출손익(6월 실적반영)_01년간예상손익(12월이동)" xfId="4999"/>
    <cellStyle name="7_5월이동_전사손익_상반기_연간손익정리(서대호)_01매출손익(6월 실적반영)_01년간예상손익(12월이동)_2" xfId="5000"/>
    <cellStyle name="7_5월이동_전사손익_상반기_연간손익정리(서대호)_01매출손익(6월 실적반영)_02년 2월 이동_예상손익" xfId="5001"/>
    <cellStyle name="7_5월이동_전사손익_상반기_연간손익정리(서대호)_01매출손익(6월 실적반영)_02년 2월 이동_예상손익_1" xfId="5002"/>
    <cellStyle name="7_5월이동_전사손익_상반기_연간손익정리(서대호)_01매출손익(6월 실적반영)_02년 3월 이동_예상손익(전사취합)" xfId="5003"/>
    <cellStyle name="7_5월이동_전사손익_상반기_연간손익정리(서대호)_01매출손익(6월 실적반영)_02년 6월 이동_예상손익(전사취합)" xfId="5004"/>
    <cellStyle name="7_5월이동_전사손익_상반기_연간손익정리(서대호)_01매출손익(6월 실적반영)_02년간예상손익" xfId="5005"/>
    <cellStyle name="7_5월이동_전사손익_상반기_연간손익정리(서대호)_01매출손익(6월 실적반영)_04월 이동계획_전사예상pl" xfId="5006"/>
    <cellStyle name="7_5월이동_전사손익_상반기_연간손익정리(서대호)_01매출손익(6월 실적반영)_1월이동손익_전사예상pl" xfId="5007"/>
    <cellStyle name="7_5월이동_전사손익_상반기_연간손익정리(서대호)_01매출손익(6월 실적반영)_obu별손익0112이동" xfId="5008"/>
    <cellStyle name="7_5월이동_전사손익_상반기_연간손익정리(서대호)_02년 2월 이동_예상손익" xfId="5009"/>
    <cellStyle name="7_5월이동_전사손익_상반기_연간손익정리(서대호)_02년 2월 이동_예상손익_1" xfId="5010"/>
    <cellStyle name="7_5월이동_전사손익_상반기_연간손익정리(서대호)_02년 3월 이동_예상손익(전사취합)" xfId="5011"/>
    <cellStyle name="7_5월이동_전사손익_상반기_연간손익정리(서대호)_02년 6월 이동_예상손익(전사취합)" xfId="5012"/>
    <cellStyle name="7_5월이동_전사손익_상반기_연간손익정리(서대호)_02년간예상손익" xfId="5013"/>
    <cellStyle name="7_5월이동_전사손익_상반기_연간손익정리(서대호)_04월 이동계획_전사예상pl" xfId="5014"/>
    <cellStyle name="7_5월이동_전사손익_상반기_연간손익정리(서대호)_1월이동손익_전사예상pl" xfId="5015"/>
    <cellStyle name="7_5월이동_전사손익_상반기_연간손익정리(서대호)_8월예상" xfId="5016"/>
    <cellStyle name="7_5월이동_전사손익_상반기_연간손익정리(서대호)_8월예상_01년간예상손익(12월이동)" xfId="5017"/>
    <cellStyle name="7_5월이동_전사손익_상반기_연간손익정리(서대호)_8월예상_01년간예상손익(12월이동)_2" xfId="5018"/>
    <cellStyle name="7_5월이동_전사손익_상반기_연간손익정리(서대호)_8월예상_02년 2월 이동_예상손익" xfId="5019"/>
    <cellStyle name="7_5월이동_전사손익_상반기_연간손익정리(서대호)_8월예상_02년 2월 이동_예상손익_1" xfId="5020"/>
    <cellStyle name="7_5월이동_전사손익_상반기_연간손익정리(서대호)_8월예상_02년 3월 이동_예상손익(전사취합)" xfId="5021"/>
    <cellStyle name="7_5월이동_전사손익_상반기_연간손익정리(서대호)_8월예상_02년 6월 이동_예상손익(전사취합)" xfId="5022"/>
    <cellStyle name="7_5월이동_전사손익_상반기_연간손익정리(서대호)_8월예상_02년간예상손익" xfId="5023"/>
    <cellStyle name="7_5월이동_전사손익_상반기_연간손익정리(서대호)_8월예상_04월 이동계획_전사예상pl" xfId="5024"/>
    <cellStyle name="7_5월이동_전사손익_상반기_연간손익정리(서대호)_8월예상_1월이동손익_전사예상pl" xfId="5025"/>
    <cellStyle name="7_5월이동_전사손익_상반기_연간손익정리(서대호)_8월예상_obu별손익0112이동" xfId="5026"/>
    <cellStyle name="7_5월이동_전사손익_상반기_연간손익정리(서대호)_obu별손익0112이동" xfId="5027"/>
    <cellStyle name="7_5월이동_전사손익_상반기_연간손익정리(서대호)_연간예상추정5886_0726" xfId="5028"/>
    <cellStyle name="7_5월이동_전사손익_상반기_연간손익정리(서대호)_연간예상추정5886_0726_01년간예상손익(12월이동)" xfId="5029"/>
    <cellStyle name="7_5월이동_전사손익_상반기_연간손익정리(서대호)_연간예상추정5886_0726_01년간예상손익(12월이동)_2" xfId="5030"/>
    <cellStyle name="7_5월이동_전사손익_상반기_연간손익정리(서대호)_연간예상추정5886_0726_02년 2월 이동_예상손익" xfId="5031"/>
    <cellStyle name="7_5월이동_전사손익_상반기_연간손익정리(서대호)_연간예상추정5886_0726_02년 2월 이동_예상손익_1" xfId="5032"/>
    <cellStyle name="7_5월이동_전사손익_상반기_연간손익정리(서대호)_연간예상추정5886_0726_02년 3월 이동_예상손익(전사취합)" xfId="5033"/>
    <cellStyle name="7_5월이동_전사손익_상반기_연간손익정리(서대호)_연간예상추정5886_0726_02년 6월 이동_예상손익(전사취합)" xfId="5034"/>
    <cellStyle name="7_5월이동_전사손익_상반기_연간손익정리(서대호)_연간예상추정5886_0726_02년간예상손익" xfId="5035"/>
    <cellStyle name="7_5월이동_전사손익_상반기_연간손익정리(서대호)_연간예상추정5886_0726_04월 이동계획_전사예상pl" xfId="5036"/>
    <cellStyle name="7_5월이동_전사손익_상반기_연간손익정리(서대호)_연간예상추정5886_0726_1월이동손익_전사예상pl" xfId="5037"/>
    <cellStyle name="7_5월이동_전사손익_상반기_연간손익정리(서대호)_연간예상추정5886_0726_obu별손익0112이동" xfId="5038"/>
    <cellStyle name="7_5월이동_전사손익_연간예상추정5886_0726" xfId="5039"/>
    <cellStyle name="7_5월이동_전사손익_연간예상추정5886_0726_01년간예상손익(12월이동)" xfId="5040"/>
    <cellStyle name="7_5월이동_전사손익_연간예상추정5886_0726_01년간예상손익(12월이동)_2" xfId="5041"/>
    <cellStyle name="7_5월이동_전사손익_연간예상추정5886_0726_02년 2월 이동_예상손익" xfId="5042"/>
    <cellStyle name="7_5월이동_전사손익_연간예상추정5886_0726_02년 2월 이동_예상손익_1" xfId="5043"/>
    <cellStyle name="7_5월이동_전사손익_연간예상추정5886_0726_02년 3월 이동_예상손익(전사취합)" xfId="5044"/>
    <cellStyle name="7_5월이동_전사손익_연간예상추정5886_0726_02년 6월 이동_예상손익(전사취합)" xfId="5045"/>
    <cellStyle name="7_5월이동_전사손익_연간예상추정5886_0726_02년간예상손익" xfId="5046"/>
    <cellStyle name="7_5월이동_전사손익_연간예상추정5886_0726_04월 이동계획_전사예상pl" xfId="5047"/>
    <cellStyle name="7_5월이동_전사손익_연간예상추정5886_0726_1월이동손익_전사예상pl" xfId="5048"/>
    <cellStyle name="7_5월이동_전사손익_연간예상추정5886_0726_obu별손익0112이동" xfId="5049"/>
    <cellStyle name="7_8월 예상손익 점검" xfId="5050"/>
    <cellStyle name="7_8월 예상손익 점검_8월 예상손익 점검" xfId="5051"/>
    <cellStyle name="7_8월 예상손익 점검_8월 예상손익 점검_DM_환율영향분석_본부" xfId="5052"/>
    <cellStyle name="7_8월 예상손익 점검_DM_환율영향분석_본부" xfId="5053"/>
    <cellStyle name="7_8월예상" xfId="5054"/>
    <cellStyle name="7_8월예상_01년간예상손익(12월이동)" xfId="5055"/>
    <cellStyle name="7_8월예상_01년간예상손익(12월이동)_2" xfId="5056"/>
    <cellStyle name="7_8월예상_02년 2월 이동_예상손익" xfId="5057"/>
    <cellStyle name="7_8월예상_02년 2월 이동_예상손익_1" xfId="5058"/>
    <cellStyle name="7_8월예상_02년 3월 이동_예상손익(전사취합)" xfId="5059"/>
    <cellStyle name="7_8월예상_02년 6월 이동_예상손익(전사취합)" xfId="5060"/>
    <cellStyle name="7_8월예상_02년간예상손익" xfId="5061"/>
    <cellStyle name="7_8월예상_04월 이동계획_전사예상pl" xfId="5062"/>
    <cellStyle name="7_8월예상_1월이동손익_전사예상pl" xfId="5063"/>
    <cellStyle name="7_8월예상_obu별손익0112이동" xfId="5064"/>
    <cellStyle name="7_8월전사예상(0903)" xfId="5065"/>
    <cellStyle name="7_8월전사예상(0903)_01년간예상손익(12월이동)" xfId="5066"/>
    <cellStyle name="7_8월전사예상(0903)_01년간예상손익(12월이동)_2" xfId="5067"/>
    <cellStyle name="7_8월전사예상(0903)_02년 2월 이동_예상손익" xfId="5068"/>
    <cellStyle name="7_8월전사예상(0903)_02년 2월 이동_예상손익_1" xfId="5069"/>
    <cellStyle name="7_8월전사예상(0903)_02년 3월 이동_예상손익(전사취합)" xfId="5070"/>
    <cellStyle name="7_8월전사예상(0903)_02년 6월 이동_예상손익(전사취합)" xfId="5071"/>
    <cellStyle name="7_8월전사예상(0903)_02년간예상손익" xfId="5072"/>
    <cellStyle name="7_8월전사예상(0903)_04월 이동계획_전사예상pl" xfId="5073"/>
    <cellStyle name="7_8월전사예상(0903)_1월이동손익_전사예상pl" xfId="5074"/>
    <cellStyle name="7_8월전사예상(0903)_obu별손익0112이동" xfId="5075"/>
    <cellStyle name="7_9-12월예상pl" xfId="5076"/>
    <cellStyle name="7_9-12월예상pl_01년간예상손익(12월이동)" xfId="5077"/>
    <cellStyle name="7_9-12월예상pl_01년간예상손익(12월이동)_2" xfId="5078"/>
    <cellStyle name="7_9-12월예상pl_02년 2월 이동_예상손익" xfId="5079"/>
    <cellStyle name="7_9-12월예상pl_02년 2월 이동_예상손익_1" xfId="5080"/>
    <cellStyle name="7_9-12월예상pl_02년 3월 이동_예상손익(전사취합)" xfId="5081"/>
    <cellStyle name="7_9-12월예상pl_02년 6월 이동_예상손익(전사취합)" xfId="5082"/>
    <cellStyle name="7_9-12월예상pl_02년간예상손익" xfId="5083"/>
    <cellStyle name="7_9-12월예상pl_04월 이동계획_전사예상pl" xfId="5084"/>
    <cellStyle name="7_9-12월예상pl_1월이동손익_전사예상pl" xfId="5085"/>
    <cellStyle name="7_9-12월예상pl_obu별손익0112이동" xfId="5086"/>
    <cellStyle name="7_9월차이동계획(0911)" xfId="5087"/>
    <cellStyle name="7_9월차이동계획(0911)_01년간예상손익(12월이동)" xfId="5088"/>
    <cellStyle name="7_9월차이동계획(0911)_01년간예상손익(12월이동)_2" xfId="5089"/>
    <cellStyle name="7_9월차이동계획(0911)_02년 2월 이동_예상손익" xfId="5090"/>
    <cellStyle name="7_9월차이동계획(0911)_02년 2월 이동_예상손익_1" xfId="5091"/>
    <cellStyle name="7_9월차이동계획(0911)_02년 3월 이동_예상손익(전사취합)" xfId="5092"/>
    <cellStyle name="7_9월차이동계획(0911)_02년 6월 이동_예상손익(전사취합)" xfId="5093"/>
    <cellStyle name="7_9월차이동계획(0911)_02년간예상손익" xfId="5094"/>
    <cellStyle name="7_9월차이동계획(0911)_04월 이동계획_전사예상pl" xfId="5095"/>
    <cellStyle name="7_9월차이동계획(0911)_1월이동손익_전사예상pl" xfId="5096"/>
    <cellStyle name="7_9월차이동계획(0911)_obu별손익0112이동" xfId="5097"/>
    <cellStyle name="7_Book1" xfId="5098"/>
    <cellStyle name="7_DM_환율영향분석_본부" xfId="5099"/>
    <cellStyle name="7_eva&amp;cash_02~05년 CM" xfId="5100"/>
    <cellStyle name="7_결산진실성EVA" xfId="5101"/>
    <cellStyle name="7_결산진실성EVA_(정우일K)+03년+전략보고+재무구조(030702)" xfId="5102"/>
    <cellStyle name="7_결산진실성EVA_★05년 매출,손익" xfId="5103"/>
    <cellStyle name="7_결산진실성EVA_★05년 매출,손익_8월 예상손익 점검" xfId="5104"/>
    <cellStyle name="7_결산진실성EVA_★05년 매출,손익_8월 예상손익 점검_DM_환율영향분석_본부" xfId="5105"/>
    <cellStyle name="7_결산진실성EVA_★05년 매출,손익_DM_환율영향분석_본부" xfId="5106"/>
    <cellStyle name="7_결산진실성EVA_01_예상매출(총액)" xfId="5107"/>
    <cellStyle name="7_결산진실성EVA_01_예상매출(총액)_01년간예상손익(12월이동)" xfId="5108"/>
    <cellStyle name="7_결산진실성EVA_01_예상매출(총액)_01년간예상손익(12월이동)_2" xfId="5109"/>
    <cellStyle name="7_결산진실성EVA_01_예상매출(총액)_02년 2월 이동_예상손익" xfId="5110"/>
    <cellStyle name="7_결산진실성EVA_01_예상매출(총액)_02년 2월 이동_예상손익_1" xfId="5111"/>
    <cellStyle name="7_결산진실성EVA_01_예상매출(총액)_02년 3월 이동_예상손익(전사취합)" xfId="5112"/>
    <cellStyle name="7_결산진실성EVA_01_예상매출(총액)_02년 6월 이동_예상손익(전사취합)" xfId="5113"/>
    <cellStyle name="7_결산진실성EVA_01_예상매출(총액)_02년간예상손익" xfId="5114"/>
    <cellStyle name="7_결산진실성EVA_01_예상매출(총액)_04월 이동계획_전사예상pl" xfId="5115"/>
    <cellStyle name="7_결산진실성EVA_01_예상매출(총액)_1월이동손익_전사예상pl" xfId="5116"/>
    <cellStyle name="7_결산진실성EVA_01_예상매출(총액)_obu별손익0112이동" xfId="5117"/>
    <cellStyle name="7_결산진실성EVA_01년간예상손익" xfId="5118"/>
    <cellStyle name="7_결산진실성EVA_01년간예상손익_01년간예상손익(12월이동)" xfId="5119"/>
    <cellStyle name="7_결산진실성EVA_01년간예상손익_01년간예상손익(12월이동)_2" xfId="5120"/>
    <cellStyle name="7_결산진실성EVA_01년간예상손익_02년 2월 이동_예상손익" xfId="5121"/>
    <cellStyle name="7_결산진실성EVA_01년간예상손익_02년 2월 이동_예상손익_1" xfId="5122"/>
    <cellStyle name="7_결산진실성EVA_01년간예상손익_02년 3월 이동_예상손익(전사취합)" xfId="5123"/>
    <cellStyle name="7_결산진실성EVA_01년간예상손익_02년 6월 이동_예상손익(전사취합)" xfId="5124"/>
    <cellStyle name="7_결산진실성EVA_01년간예상손익_02년간예상손익" xfId="5125"/>
    <cellStyle name="7_결산진실성EVA_01년간예상손익_04월 이동계획_전사예상pl" xfId="5126"/>
    <cellStyle name="7_결산진실성EVA_01년간예상손익_1월이동손익_전사예상pl" xfId="5127"/>
    <cellStyle name="7_결산진실성EVA_01년간예상손익_obu별손익0112이동" xfId="5128"/>
    <cellStyle name="7_결산진실성EVA_01매출손익(6월 실적반영)" xfId="5129"/>
    <cellStyle name="7_결산진실성EVA_01매출손익(6월 실적반영)_01년간예상손익(12월이동)" xfId="5130"/>
    <cellStyle name="7_결산진실성EVA_01매출손익(6월 실적반영)_01년간예상손익(12월이동)_2" xfId="5131"/>
    <cellStyle name="7_결산진실성EVA_01매출손익(6월 실적반영)_02년 2월 이동_예상손익" xfId="5132"/>
    <cellStyle name="7_결산진실성EVA_01매출손익(6월 실적반영)_02년 2월 이동_예상손익_1" xfId="5133"/>
    <cellStyle name="7_결산진실성EVA_01매출손익(6월 실적반영)_02년 3월 이동_예상손익(전사취합)" xfId="5134"/>
    <cellStyle name="7_결산진실성EVA_01매출손익(6월 실적반영)_02년 6월 이동_예상손익(전사취합)" xfId="5135"/>
    <cellStyle name="7_결산진실성EVA_01매출손익(6월 실적반영)_02년간예상손익" xfId="5136"/>
    <cellStyle name="7_결산진실성EVA_01매출손익(6월 실적반영)_04월 이동계획_전사예상pl" xfId="5137"/>
    <cellStyle name="7_결산진실성EVA_01매출손익(6월 실적반영)_1월이동손익_전사예상pl" xfId="5138"/>
    <cellStyle name="7_결산진실성EVA_01매출손익(6월 실적반영)_obu별손익0112이동" xfId="5139"/>
    <cellStyle name="7_결산진실성EVA_02기본_종합장표" xfId="5140"/>
    <cellStyle name="7_결산진실성EVA_02년사업계획양식V1.0" xfId="5141"/>
    <cellStyle name="7_결산진실성EVA_02년사업계획양식V1.0_02년사업계획양식V1.0_고동욱_011205" xfId="5142"/>
    <cellStyle name="7_결산진실성EVA_02년사업계획양식V1.0_02년사업계획양식V1.0_고동욱_011205_02년사업계획양식V2.0" xfId="5143"/>
    <cellStyle name="7_결산진실성EVA_02년사업계획양식V1.0_02년사업계획양식V1.0_고동욱_011205_02년사업계획양식V2.0_02년사업계획양식V2.0" xfId="5144"/>
    <cellStyle name="7_결산진실성EVA_02년사업계획양식V1.0_02년사업계획양식V1.0_고동욱_011205_02년사업계획양식V2.0_02년사업계획양식V2.0_02년사업계획양식V3.0" xfId="5145"/>
    <cellStyle name="7_결산진실성EVA_02년사업계획양식V1.0_02년사업계획양식V1.0_고동욱_011205_02년사업계획양식V2.0_02년사업계획양식V2.0_02년사업계획양식V3.0_02년사업계획양식V3.0" xfId="5146"/>
    <cellStyle name="7_결산진실성EVA_02년사업계획양식V1.0_02년사업계획양식V1.0_고동욱_011205_02년사업계획양식V2.0_02년사업계획양식V2.0_02년사업계획양식V3.0_02년사업계획양식V3.0(원본)" xfId="5147"/>
    <cellStyle name="7_결산진실성EVA_02년사업계획양식V1.0_02년사업계획양식V1.0_고동욱_011205_02년사업계획양식V2.0_02년사업계획양식V2.0_02년사업계획양식V3.0_02년사업계획양식V3.0(원본)_1" xfId="5148"/>
    <cellStyle name="7_결산진실성EVA_02년사업계획양식V1.0_02년사업계획양식V1.0_고동욱_011205_02년사업계획양식V2.0_02년사업계획양식V3.0" xfId="5149"/>
    <cellStyle name="7_결산진실성EVA_02년사업계획양식V1.0_02년사업계획양식V1.0_고동욱_011205_02년사업계획양식V2.0_02년사업계획양식V3.0(원본)" xfId="5150"/>
    <cellStyle name="7_결산진실성EVA_02년사업계획양식V1.0_02년사업계획양식V1.0_고동욱_011205_02년사업계획양식V2.0_02년사업계획양식V3.0(원본)_1" xfId="5151"/>
    <cellStyle name="7_결산진실성EVA_02년사업계획양식V1.0_02년사업계획양식V1.0_고동욱_011205_02년사업계획양식V2.0_02년사업계획양식V3.0_02년사업계획양식V3.0" xfId="5152"/>
    <cellStyle name="7_결산진실성EVA_02년사업계획양식V1.0_02년사업계획양식V1.0_고동욱_011205_02년사업계획양식V2.0_02년사업계획양식V3.0_02년사업계획양식V3.0_02년사업계획양식V3.0" xfId="5153"/>
    <cellStyle name="7_결산진실성EVA_02년사업계획양식V1.0_02년사업계획양식V1.0_고동욱_011205_02년사업계획양식V2.0_02년사업계획양식V3.0_02년사업계획양식V3.0_02년사업계획양식V3.0(원본)" xfId="5154"/>
    <cellStyle name="7_결산진실성EVA_02년사업계획양식V1.0_02년사업계획양식V1.0_고동욱_011205_02년사업계획양식V2.0_02년사업계획양식V3.0_02년사업계획양식V3.0_02년사업계획양식V3.0(원본)_1" xfId="5155"/>
    <cellStyle name="7_결산진실성EVA_02년사업계획양식V1.0_02년사업계획양식V1.0_고동욱_011205_02년사업계획양식V3.0" xfId="5156"/>
    <cellStyle name="7_결산진실성EVA_02년사업계획양식V1.0_02년사업계획양식V1.0_고동욱_011205_02년사업계획양식V3.0_02년사업계획양식V3.0" xfId="5157"/>
    <cellStyle name="7_결산진실성EVA_02년사업계획양식V1.0_02년사업계획양식V1.0_고동욱_011205_02년사업계획양식V3.0_02년사업계획양식V3.0(원본)" xfId="5158"/>
    <cellStyle name="7_결산진실성EVA_02년사업계획양식V1.0_02년사업계획양식V1.0_고동욱_011205_02년사업계획양식V3.0_02년사업계획양식V3.0(원본)_1" xfId="5159"/>
    <cellStyle name="7_결산진실성EVA_02년사업계획양식V1.0_02년사업계획양식V1.0_대호(bs수정)" xfId="5160"/>
    <cellStyle name="7_결산진실성EVA_02년사업계획양식V1.0_02년사업계획양식V1.0_대호(bs수정)_02년사업계획양식V2.0" xfId="5161"/>
    <cellStyle name="7_결산진실성EVA_02년사업계획양식V1.0_02년사업계획양식V1.0_대호(bs수정)_02년사업계획양식V2.0_02년사업계획양식V2.0" xfId="5162"/>
    <cellStyle name="7_결산진실성EVA_02년사업계획양식V1.0_02년사업계획양식V1.0_대호(bs수정)_02년사업계획양식V2.0_02년사업계획양식V2.0_02년사업계획양식V3.0" xfId="5163"/>
    <cellStyle name="7_결산진실성EVA_02년사업계획양식V1.0_02년사업계획양식V1.0_대호(bs수정)_02년사업계획양식V2.0_02년사업계획양식V2.0_02년사업계획양식V3.0_02년사업계획양식V3.0" xfId="5164"/>
    <cellStyle name="7_결산진실성EVA_02년사업계획양식V1.0_02년사업계획양식V1.0_대호(bs수정)_02년사업계획양식V2.0_02년사업계획양식V2.0_02년사업계획양식V3.0_02년사업계획양식V3.0(원본)" xfId="5165"/>
    <cellStyle name="7_결산진실성EVA_02년사업계획양식V1.0_02년사업계획양식V1.0_대호(bs수정)_02년사업계획양식V2.0_02년사업계획양식V2.0_02년사업계획양식V3.0_02년사업계획양식V3.0(원본)_1" xfId="5166"/>
    <cellStyle name="7_결산진실성EVA_02년사업계획양식V1.0_02년사업계획양식V1.0_대호(bs수정)_02년사업계획양식V2.0_02년사업계획양식V3.0" xfId="5167"/>
    <cellStyle name="7_결산진실성EVA_02년사업계획양식V1.0_02년사업계획양식V1.0_대호(bs수정)_02년사업계획양식V2.0_02년사업계획양식V3.0(원본)" xfId="5168"/>
    <cellStyle name="7_결산진실성EVA_02년사업계획양식V1.0_02년사업계획양식V1.0_대호(bs수정)_02년사업계획양식V2.0_02년사업계획양식V3.0(원본)_1" xfId="5169"/>
    <cellStyle name="7_결산진실성EVA_02년사업계획양식V1.0_02년사업계획양식V1.0_대호(bs수정)_02년사업계획양식V2.0_02년사업계획양식V3.0_02년사업계획양식V3.0" xfId="5170"/>
    <cellStyle name="7_결산진실성EVA_02년사업계획양식V1.0_02년사업계획양식V1.0_대호(bs수정)_02년사업계획양식V2.0_02년사업계획양식V3.0_02년사업계획양식V3.0_02년사업계획양식V3.0" xfId="5171"/>
    <cellStyle name="7_결산진실성EVA_02년사업계획양식V1.0_02년사업계획양식V1.0_대호(bs수정)_02년사업계획양식V2.0_02년사업계획양식V3.0_02년사업계획양식V3.0_02년사업계획양식V3.0(원본)" xfId="5172"/>
    <cellStyle name="7_결산진실성EVA_02년사업계획양식V1.0_02년사업계획양식V1.0_대호(bs수정)_02년사업계획양식V2.0_02년사업계획양식V3.0_02년사업계획양식V3.0_02년사업계획양식V3.0(원본)_1" xfId="5173"/>
    <cellStyle name="7_결산진실성EVA_02년사업계획양식V1.0_02년사업계획양식V1.0_대호(bs수정)_02년사업계획양식V3.0" xfId="5174"/>
    <cellStyle name="7_결산진실성EVA_02년사업계획양식V1.0_02년사업계획양식V1.0_대호(bs수정)_02년사업계획양식V3.0_02년사업계획양식V3.0" xfId="5175"/>
    <cellStyle name="7_결산진실성EVA_02년사업계획양식V1.0_02년사업계획양식V1.0_대호(bs수정)_02년사업계획양식V3.0_02년사업계획양식V3.0(원본)" xfId="5176"/>
    <cellStyle name="7_결산진실성EVA_02년사업계획양식V1.0_02년사업계획양식V1.0_대호(bs수정)_02년사업계획양식V3.0_02년사업계획양식V3.0(원본)_1" xfId="5177"/>
    <cellStyle name="7_결산진실성EVA_02년사업계획양식V1.0_02년사업계획양식V2.0" xfId="5178"/>
    <cellStyle name="7_결산진실성EVA_02년사업계획양식V1.0_02년사업계획양식V2.0_02년사업계획양식V3.0" xfId="5179"/>
    <cellStyle name="7_결산진실성EVA_02년사업계획양식V1.0_02년사업계획양식V2.0_02년사업계획양식V3.0_02년사업계획양식V3.0" xfId="5180"/>
    <cellStyle name="7_결산진실성EVA_02년사업계획양식V1.0_02년사업계획양식V2.0_02년사업계획양식V3.0_02년사업계획양식V3.0(원본)" xfId="5181"/>
    <cellStyle name="7_결산진실성EVA_02년사업계획양식V1.0_02년사업계획양식V2.0_02년사업계획양식V3.0_02년사업계획양식V3.0(원본)_1" xfId="5182"/>
    <cellStyle name="7_결산진실성EVA_02년사업계획양식V1.0_02년사업계획양식V3.0" xfId="5183"/>
    <cellStyle name="7_결산진실성EVA_02년사업계획양식V1.0_02년사업계획양식V3.0(원본)" xfId="5184"/>
    <cellStyle name="7_결산진실성EVA_02년사업계획양식V1.0_02년사업계획양식V3.0(원본)_1" xfId="5185"/>
    <cellStyle name="7_결산진실성EVA_02년사업계획양식V1.0_02년사업계획양식V3.0_02년사업계획양식V3.0" xfId="5186"/>
    <cellStyle name="7_결산진실성EVA_02년사업계획양식V1.0_02년사업계획양식V3.0_02년사업계획양식V3.0_02년사업계획양식V3.0" xfId="5187"/>
    <cellStyle name="7_결산진실성EVA_02년사업계획양식V1.0_02년사업계획양식V3.0_02년사업계획양식V3.0_02년사업계획양식V3.0(원본)" xfId="5188"/>
    <cellStyle name="7_결산진실성EVA_02년사업계획양식V1.0_02년사업계획양식V3.0_02년사업계획양식V3.0_02년사업계획양식V3.0(원본)_1" xfId="5189"/>
    <cellStyle name="7_결산진실성EVA_02년사업계획양식V1.0_고동욱_011130" xfId="5190"/>
    <cellStyle name="7_결산진실성EVA_02년사업계획양식V1.0_고동욱_011130_02년사업계획양식V2.0" xfId="5191"/>
    <cellStyle name="7_결산진실성EVA_02년사업계획양식V1.0_고동욱_011130_02년사업계획양식V2.0_02년사업계획양식V2.0" xfId="5192"/>
    <cellStyle name="7_결산진실성EVA_02년사업계획양식V1.0_고동욱_011130_02년사업계획양식V2.0_02년사업계획양식V2.0_02년사업계획양식V3.0" xfId="5193"/>
    <cellStyle name="7_결산진실성EVA_02년사업계획양식V1.0_고동욱_011130_02년사업계획양식V2.0_02년사업계획양식V2.0_02년사업계획양식V3.0_02년사업계획양식V3.0" xfId="5194"/>
    <cellStyle name="7_결산진실성EVA_02년사업계획양식V1.0_고동욱_011130_02년사업계획양식V2.0_02년사업계획양식V2.0_02년사업계획양식V3.0_02년사업계획양식V3.0(원본)" xfId="5195"/>
    <cellStyle name="7_결산진실성EVA_02년사업계획양식V1.0_고동욱_011130_02년사업계획양식V2.0_02년사업계획양식V2.0_02년사업계획양식V3.0_02년사업계획양식V3.0(원본)_1" xfId="5196"/>
    <cellStyle name="7_결산진실성EVA_02년사업계획양식V1.0_고동욱_011130_02년사업계획양식V2.0_02년사업계획양식V3.0" xfId="5197"/>
    <cellStyle name="7_결산진실성EVA_02년사업계획양식V1.0_고동욱_011130_02년사업계획양식V2.0_02년사업계획양식V3.0(원본)" xfId="5198"/>
    <cellStyle name="7_결산진실성EVA_02년사업계획양식V1.0_고동욱_011130_02년사업계획양식V2.0_02년사업계획양식V3.0(원본)_1" xfId="5199"/>
    <cellStyle name="7_결산진실성EVA_02년사업계획양식V1.0_고동욱_011130_02년사업계획양식V2.0_02년사업계획양식V3.0_02년사업계획양식V3.0" xfId="5200"/>
    <cellStyle name="7_결산진실성EVA_02년사업계획양식V1.0_고동욱_011130_02년사업계획양식V2.0_02년사업계획양식V3.0_02년사업계획양식V3.0_02년사업계획양식V3.0" xfId="5201"/>
    <cellStyle name="7_결산진실성EVA_02년사업계획양식V1.0_고동욱_011130_02년사업계획양식V2.0_02년사업계획양식V3.0_02년사업계획양식V3.0_02년사업계획양식V3.0(원본)" xfId="5202"/>
    <cellStyle name="7_결산진실성EVA_02년사업계획양식V1.0_고동욱_011130_02년사업계획양식V2.0_02년사업계획양식V3.0_02년사업계획양식V3.0_02년사업계획양식V3.0(원본)_1" xfId="5203"/>
    <cellStyle name="7_결산진실성EVA_02년사업계획양식V1.0_고동욱_011130_02년사업계획양식V3.0" xfId="5204"/>
    <cellStyle name="7_결산진실성EVA_02년사업계획양식V1.0_고동욱_011130_02년사업계획양식V3.0_02년사업계획양식V3.0" xfId="5205"/>
    <cellStyle name="7_결산진실성EVA_02년사업계획양식V1.0_고동욱_011130_02년사업계획양식V3.0_02년사업계획양식V3.0(원본)" xfId="5206"/>
    <cellStyle name="7_결산진실성EVA_02년사업계획양식V1.0_고동욱_011130_02년사업계획양식V3.0_02년사업계획양식V3.0(원본)_1" xfId="5207"/>
    <cellStyle name="7_결산진실성EVA_02년사업계획양식V1.0_고동욱_011205" xfId="5208"/>
    <cellStyle name="7_결산진실성EVA_02년사업계획양식V1.0_고동욱_011205_02년사업계획양식V2.0" xfId="5209"/>
    <cellStyle name="7_결산진실성EVA_02년사업계획양식V1.0_고동욱_011205_02년사업계획양식V2.0_02년사업계획양식V2.0" xfId="5210"/>
    <cellStyle name="7_결산진실성EVA_02년사업계획양식V1.0_고동욱_011205_02년사업계획양식V2.0_02년사업계획양식V2.0_02년사업계획양식V3.0" xfId="5211"/>
    <cellStyle name="7_결산진실성EVA_02년사업계획양식V1.0_고동욱_011205_02년사업계획양식V2.0_02년사업계획양식V2.0_02년사업계획양식V3.0_02년사업계획양식V3.0" xfId="5212"/>
    <cellStyle name="7_결산진실성EVA_02년사업계획양식V1.0_고동욱_011205_02년사업계획양식V2.0_02년사업계획양식V2.0_02년사업계획양식V3.0_02년사업계획양식V3.0(원본)" xfId="5213"/>
    <cellStyle name="7_결산진실성EVA_02년사업계획양식V1.0_고동욱_011205_02년사업계획양식V2.0_02년사업계획양식V2.0_02년사업계획양식V3.0_02년사업계획양식V3.0(원본)_1" xfId="5214"/>
    <cellStyle name="7_결산진실성EVA_02년사업계획양식V1.0_고동욱_011205_02년사업계획양식V2.0_02년사업계획양식V3.0" xfId="5215"/>
    <cellStyle name="7_결산진실성EVA_02년사업계획양식V1.0_고동욱_011205_02년사업계획양식V2.0_02년사업계획양식V3.0(원본)" xfId="5216"/>
    <cellStyle name="7_결산진실성EVA_02년사업계획양식V1.0_고동욱_011205_02년사업계획양식V2.0_02년사업계획양식V3.0(원본)_1" xfId="5217"/>
    <cellStyle name="7_결산진실성EVA_02년사업계획양식V1.0_고동욱_011205_02년사업계획양식V2.0_02년사업계획양식V3.0_02년사업계획양식V3.0" xfId="5218"/>
    <cellStyle name="7_결산진실성EVA_02년사업계획양식V1.0_고동욱_011205_02년사업계획양식V2.0_02년사업계획양식V3.0_02년사업계획양식V3.0_02년사업계획양식V3.0" xfId="5219"/>
    <cellStyle name="7_결산진실성EVA_02년사업계획양식V1.0_고동욱_011205_02년사업계획양식V2.0_02년사업계획양식V3.0_02년사업계획양식V3.0_02년사업계획양식V3.0(원본)" xfId="5220"/>
    <cellStyle name="7_결산진실성EVA_02년사업계획양식V1.0_고동욱_011205_02년사업계획양식V2.0_02년사업계획양식V3.0_02년사업계획양식V3.0_02년사업계획양식V3.0(원본)_1" xfId="5221"/>
    <cellStyle name="7_결산진실성EVA_02년사업계획양식V1.0_고동욱_011205_02년사업계획양식V3.0" xfId="5222"/>
    <cellStyle name="7_결산진실성EVA_02년사업계획양식V1.0_고동욱_011205_02년사업계획양식V3.0_02년사업계획양식V3.0" xfId="5223"/>
    <cellStyle name="7_결산진실성EVA_02년사업계획양식V1.0_고동욱_011205_02년사업계획양식V3.0_02년사업계획양식V3.0(원본)" xfId="5224"/>
    <cellStyle name="7_결산진실성EVA_02년사업계획양식V1.0_고동욱_011205_02년사업계획양식V3.0_02년사업계획양식V3.0(원본)_1" xfId="5225"/>
    <cellStyle name="7_결산진실성EVA_02년사업계획양식V1.0_대호(bs수정)" xfId="5226"/>
    <cellStyle name="7_결산진실성EVA_02년사업계획양식V1.0_대호(bs수정)_02년사업계획양식V2.0" xfId="5227"/>
    <cellStyle name="7_결산진실성EVA_02년사업계획양식V1.0_대호(bs수정)_02년사업계획양식V2.0_02년사업계획양식V2.0" xfId="5228"/>
    <cellStyle name="7_결산진실성EVA_02년사업계획양식V1.0_대호(bs수정)_02년사업계획양식V2.0_02년사업계획양식V2.0_02년사업계획양식V3.0" xfId="5229"/>
    <cellStyle name="7_결산진실성EVA_02년사업계획양식V1.0_대호(bs수정)_02년사업계획양식V2.0_02년사업계획양식V2.0_02년사업계획양식V3.0_02년사업계획양식V3.0" xfId="5230"/>
    <cellStyle name="7_결산진실성EVA_02년사업계획양식V1.0_대호(bs수정)_02년사업계획양식V2.0_02년사업계획양식V2.0_02년사업계획양식V3.0_02년사업계획양식V3.0(원본)" xfId="5231"/>
    <cellStyle name="7_결산진실성EVA_02년사업계획양식V1.0_대호(bs수정)_02년사업계획양식V2.0_02년사업계획양식V2.0_02년사업계획양식V3.0_02년사업계획양식V3.0(원본)_1" xfId="5232"/>
    <cellStyle name="7_결산진실성EVA_02년사업계획양식V1.0_대호(bs수정)_02년사업계획양식V2.0_02년사업계획양식V3.0" xfId="5233"/>
    <cellStyle name="7_결산진실성EVA_02년사업계획양식V1.0_대호(bs수정)_02년사업계획양식V2.0_02년사업계획양식V3.0(원본)" xfId="5234"/>
    <cellStyle name="7_결산진실성EVA_02년사업계획양식V1.0_대호(bs수정)_02년사업계획양식V2.0_02년사업계획양식V3.0(원본)_1" xfId="5235"/>
    <cellStyle name="7_결산진실성EVA_02년사업계획양식V1.0_대호(bs수정)_02년사업계획양식V2.0_02년사업계획양식V3.0_02년사업계획양식V3.0" xfId="5236"/>
    <cellStyle name="7_결산진실성EVA_02년사업계획양식V1.0_대호(bs수정)_02년사업계획양식V2.0_02년사업계획양식V3.0_02년사업계획양식V3.0_02년사업계획양식V3.0" xfId="5237"/>
    <cellStyle name="7_결산진실성EVA_02년사업계획양식V1.0_대호(bs수정)_02년사업계획양식V2.0_02년사업계획양식V3.0_02년사업계획양식V3.0_02년사업계획양식V3.0(원본)" xfId="5238"/>
    <cellStyle name="7_결산진실성EVA_02년사업계획양식V1.0_대호(bs수정)_02년사업계획양식V2.0_02년사업계획양식V3.0_02년사업계획양식V3.0_02년사업계획양식V3.0(원본)_1" xfId="5239"/>
    <cellStyle name="7_결산진실성EVA_02년사업계획양식V1.0_대호(bs수정)_02년사업계획양식V3.0" xfId="5240"/>
    <cellStyle name="7_결산진실성EVA_02년사업계획양식V1.0_대호(bs수정)_02년사업계획양식V3.0_02년사업계획양식V3.0" xfId="5241"/>
    <cellStyle name="7_결산진실성EVA_02년사업계획양식V1.0_대호(bs수정)_02년사업계획양식V3.0_02년사업계획양식V3.0(원본)" xfId="5242"/>
    <cellStyle name="7_결산진실성EVA_02년사업계획양식V1.0_대호(bs수정)_02년사업계획양식V3.0_02년사업계획양식V3.0(원본)_1" xfId="5243"/>
    <cellStyle name="7_결산진실성EVA_02년사업계획양식V2.0" xfId="5244"/>
    <cellStyle name="7_결산진실성EVA_02년사업계획양식V2.0_02년사업계획양식V3.0" xfId="5245"/>
    <cellStyle name="7_결산진실성EVA_02년사업계획양식V2.0_02년사업계획양식V3.0_02년사업계획양식V3.0" xfId="5246"/>
    <cellStyle name="7_결산진실성EVA_02년사업계획양식V2.0_02년사업계획양식V3.0_02년사업계획양식V3.0(원본)" xfId="5247"/>
    <cellStyle name="7_결산진실성EVA_02년사업계획양식V2.0_02년사업계획양식V3.0_02년사업계획양식V3.0(원본)_1" xfId="5248"/>
    <cellStyle name="7_결산진실성EVA_02년사업계획양식V3.0" xfId="5249"/>
    <cellStyle name="7_결산진실성EVA_02년사업계획양식V3.0(원본)" xfId="5250"/>
    <cellStyle name="7_결산진실성EVA_02년사업계획양식V3.0(원본)_1" xfId="5251"/>
    <cellStyle name="7_결산진실성EVA_02년사업계획양식V3.0_02년사업계획양식V3.0" xfId="5252"/>
    <cellStyle name="7_결산진실성EVA_02년사업계획양식V3.0_02년사업계획양식V3.0_02년사업계획양식V3.0" xfId="5253"/>
    <cellStyle name="7_결산진실성EVA_02년사업계획양식V3.0_02년사업계획양식V3.0_02년사업계획양식V3.0(원본)" xfId="5254"/>
    <cellStyle name="7_결산진실성EVA_02년사업계획양식V3.0_02년사업계획양식V3.0_02년사업계획양식V3.0(원본)_1" xfId="5255"/>
    <cellStyle name="7_결산진실성EVA_02년예상+연결기초자료+이익율+배당금+경영지원금" xfId="5256"/>
    <cellStyle name="7_결산진실성EVA_02년예상+연결자료(GSM)" xfId="5257"/>
    <cellStyle name="7_결산진실성EVA_02혁신_종합장표" xfId="5258"/>
    <cellStyle name="7_결산진실성EVA_03 01 10 혁신(사업부양식)" xfId="5259"/>
    <cellStyle name="7_결산진실성EVA_03_사업계획양식(MASS_Link)_1104" xfId="5260"/>
    <cellStyle name="7_결산진실성EVA_030124 혁신재료비9" xfId="5261"/>
    <cellStyle name="7_결산진실성EVA_03기본_종합장표" xfId="5262"/>
    <cellStyle name="7_결산진실성EVA_03법인비용_회수양식_AC" xfId="5263"/>
    <cellStyle name="7_결산진실성EVA_03혁신_종합장표" xfId="5264"/>
    <cellStyle name="7_결산진실성EVA_10월차이동계획" xfId="5265"/>
    <cellStyle name="7_결산진실성EVA_10월차이동계획_01년간예상손익(12월이동)" xfId="5266"/>
    <cellStyle name="7_결산진실성EVA_10월차이동계획_01년간예상손익(12월이동)_2" xfId="5267"/>
    <cellStyle name="7_결산진실성EVA_10월차이동계획_02년 2월 이동_예상손익" xfId="5268"/>
    <cellStyle name="7_결산진실성EVA_10월차이동계획_02년 2월 이동_예상손익_1" xfId="5269"/>
    <cellStyle name="7_결산진실성EVA_10월차이동계획_02년 3월 이동_예상손익(전사취합)" xfId="5270"/>
    <cellStyle name="7_결산진실성EVA_10월차이동계획_02년 6월 이동_예상손익(전사취합)" xfId="5271"/>
    <cellStyle name="7_결산진실성EVA_10월차이동계획_02년간예상손익" xfId="5272"/>
    <cellStyle name="7_결산진실성EVA_10월차이동계획_04월 이동계획_전사예상pl" xfId="5273"/>
    <cellStyle name="7_결산진실성EVA_10월차이동계획_1월이동손익_전사예상pl" xfId="5274"/>
    <cellStyle name="7_결산진실성EVA_10월차이동계획_obu별손익0112이동" xfId="5275"/>
    <cellStyle name="7_결산진실성EVA_2001년 01월차 이동계획_0102" xfId="5276"/>
    <cellStyle name="7_결산진실성EVA_2001년 01월차 이동계획_0102_2001년 05월 이동계획_" xfId="5277"/>
    <cellStyle name="7_결산진실성EVA_2001년 01월차 이동계획_0102_2001년 06월 이동계획_(Maximum)" xfId="5278"/>
    <cellStyle name="7_결산진실성EVA_2001년 01월차 이동계획_0102_2001년 07월차 이동계획보고_" xfId="5279"/>
    <cellStyle name="7_결산진실성EVA_2001년 01월차 이동계획_0102_2002년_02월차_이동계획보고_" xfId="5280"/>
    <cellStyle name="7_결산진실성EVA_2001년 01월차 이동계획_0102_2002년_03월차_이동계획보고_" xfId="5281"/>
    <cellStyle name="7_결산진실성EVA_2001년 01월차 이동계획_0102_2002년_03월차_이동계획보고_1차수정" xfId="5282"/>
    <cellStyle name="7_결산진실성EVA_2001년 01월차 이동계획_0102_2002년_05월차_이동계획보고_" xfId="5283"/>
    <cellStyle name="7_결산진실성EVA_2001년 01월차 이동계획_0102_2002년_06월차_이동계획보고_기종별수정" xfId="5284"/>
    <cellStyle name="7_결산진실성EVA_2001년 01월차 이동계획_0102_2002년_07월차_이동계획보고_수정중_철판 반영후_최종" xfId="5285"/>
    <cellStyle name="7_결산진실성EVA_2001년 01월차 이동계획_0102_2002년_07월차_이동계획보고_수정중0628_2" xfId="5286"/>
    <cellStyle name="7_결산진실성EVA_2001년 01월차 이동계획_0102_VVR0J9DV" xfId="5287"/>
    <cellStyle name="7_결산진실성EVA_2001년 02월 실적예상_02월21일기준" xfId="5288"/>
    <cellStyle name="7_결산진실성EVA_2001년 02월 실적예상_02월21일기준_2001년 05월 이동계획_" xfId="5289"/>
    <cellStyle name="7_결산진실성EVA_2001년 02월 실적예상_02월21일기준_2001년 06월 이동계획_(Maximum)" xfId="5290"/>
    <cellStyle name="7_결산진실성EVA_2001년 02월 실적예상_02월21일기준_2001년 07월차 이동계획보고_" xfId="5291"/>
    <cellStyle name="7_결산진실성EVA_2001년 02월 실적예상_02월21일기준_2002년_02월차_이동계획보고_" xfId="5292"/>
    <cellStyle name="7_결산진실성EVA_2001년 02월 실적예상_02월21일기준_2002년_03월차_이동계획보고_" xfId="5293"/>
    <cellStyle name="7_결산진실성EVA_2001년 02월 실적예상_02월21일기준_2002년_03월차_이동계획보고_1차수정" xfId="5294"/>
    <cellStyle name="7_결산진실성EVA_2001년 02월 실적예상_02월21일기준_2002년_05월차_이동계획보고_" xfId="5295"/>
    <cellStyle name="7_결산진실성EVA_2001년 02월 실적예상_02월21일기준_2002년_06월차_이동계획보고_기종별수정" xfId="5296"/>
    <cellStyle name="7_결산진실성EVA_2001년 02월 실적예상_02월21일기준_2002년_07월차_이동계획보고_수정중_철판 반영후_최종" xfId="5297"/>
    <cellStyle name="7_결산진실성EVA_2001년 02월 실적예상_02월21일기준_2002년_07월차_이동계획보고_수정중0628_2" xfId="5298"/>
    <cellStyle name="7_결산진실성EVA_2001년 02월 실적예상_02월21일기준_VVR0J9DV" xfId="5299"/>
    <cellStyle name="7_결산진실성EVA_2001년 02월차 이동계획_" xfId="5300"/>
    <cellStyle name="7_결산진실성EVA_2001년 02월차 이동계획__2001년 05월 이동계획_" xfId="5301"/>
    <cellStyle name="7_결산진실성EVA_2001년 02월차 이동계획__2001년 06월 이동계획_(Maximum)" xfId="5302"/>
    <cellStyle name="7_결산진실성EVA_2001년 02월차 이동계획__2001년 07월차 이동계획보고_" xfId="5303"/>
    <cellStyle name="7_결산진실성EVA_2001년 02월차 이동계획__2002년_02월차_이동계획보고_" xfId="5304"/>
    <cellStyle name="7_결산진실성EVA_2001년 02월차 이동계획__2002년_03월차_이동계획보고_" xfId="5305"/>
    <cellStyle name="7_결산진실성EVA_2001년 02월차 이동계획__2002년_03월차_이동계획보고_1차수정" xfId="5306"/>
    <cellStyle name="7_결산진실성EVA_2001년 02월차 이동계획__2002년_05월차_이동계획보고_" xfId="5307"/>
    <cellStyle name="7_결산진실성EVA_2001년 02월차 이동계획__2002년_06월차_이동계획보고_기종별수정" xfId="5308"/>
    <cellStyle name="7_결산진실성EVA_2001년 02월차 이동계획__2002년_07월차_이동계획보고_수정중_철판 반영후_최종" xfId="5309"/>
    <cellStyle name="7_결산진실성EVA_2001년 02월차 이동계획__2002년_07월차_이동계획보고_수정중0628_2" xfId="5310"/>
    <cellStyle name="7_결산진실성EVA_2001년 02월차 이동계획__VVR0J9DV" xfId="5311"/>
    <cellStyle name="7_결산진실성EVA_2002년_월별사업계획전산_DM" xfId="5312"/>
    <cellStyle name="7_결산진실성EVA_2002년_월별사업계획전산_DM_02년사업계획양식V1.0_대호(bs수정)" xfId="5313"/>
    <cellStyle name="7_결산진실성EVA_2002년_월별사업계획전산_DM_02년사업계획양식V1.0_대호(bs수정)_02년사업계획양식V2.0" xfId="5314"/>
    <cellStyle name="7_결산진실성EVA_2002년_월별사업계획전산_DM_02년사업계획양식V1.0_대호(bs수정)_02년사업계획양식V2.0_02년사업계획양식V2.0" xfId="5315"/>
    <cellStyle name="7_결산진실성EVA_2002년_월별사업계획전산_DM_02년사업계획양식V1.0_대호(bs수정)_02년사업계획양식V2.0_02년사업계획양식V2.0_02년사업계획양식V3.0" xfId="5316"/>
    <cellStyle name="7_결산진실성EVA_2002년_월별사업계획전산_DM_02년사업계획양식V1.0_대호(bs수정)_02년사업계획양식V2.0_02년사업계획양식V2.0_02년사업계획양식V3.0_02년사업계획양식V3.0" xfId="5317"/>
    <cellStyle name="7_결산진실성EVA_2002년_월별사업계획전산_DM_02년사업계획양식V1.0_대호(bs수정)_02년사업계획양식V2.0_02년사업계획양식V2.0_02년사업계획양식V3.0_02년사업계획양식V3.0(원본)" xfId="5318"/>
    <cellStyle name="7_결산진실성EVA_2002년_월별사업계획전산_DM_02년사업계획양식V1.0_대호(bs수정)_02년사업계획양식V2.0_02년사업계획양식V2.0_02년사업계획양식V3.0_02년사업계획양식V3.0(원본)_1" xfId="5319"/>
    <cellStyle name="7_결산진실성EVA_2002년_월별사업계획전산_DM_02년사업계획양식V1.0_대호(bs수정)_02년사업계획양식V2.0_02년사업계획양식V3.0" xfId="5320"/>
    <cellStyle name="7_결산진실성EVA_2002년_월별사업계획전산_DM_02년사업계획양식V1.0_대호(bs수정)_02년사업계획양식V2.0_02년사업계획양식V3.0(원본)" xfId="5321"/>
    <cellStyle name="7_결산진실성EVA_2002년_월별사업계획전산_DM_02년사업계획양식V1.0_대호(bs수정)_02년사업계획양식V2.0_02년사업계획양식V3.0(원본)_1" xfId="5322"/>
    <cellStyle name="7_결산진실성EVA_2002년_월별사업계획전산_DM_02년사업계획양식V1.0_대호(bs수정)_02년사업계획양식V2.0_02년사업계획양식V3.0_02년사업계획양식V3.0" xfId="5323"/>
    <cellStyle name="7_결산진실성EVA_2002년_월별사업계획전산_DM_02년사업계획양식V1.0_대호(bs수정)_02년사업계획양식V2.0_02년사업계획양식V3.0_02년사업계획양식V3.0_02년사업계획양식V3.0" xfId="5324"/>
    <cellStyle name="7_결산진실성EVA_2002년_월별사업계획전산_DM_02년사업계획양식V1.0_대호(bs수정)_02년사업계획양식V2.0_02년사업계획양식V3.0_02년사업계획양식V3.0_02년사업계획양식V3.0(원본)" xfId="5325"/>
    <cellStyle name="7_결산진실성EVA_2002년_월별사업계획전산_DM_02년사업계획양식V1.0_대호(bs수정)_02년사업계획양식V2.0_02년사업계획양식V3.0_02년사업계획양식V3.0_02년사업계획양식V3.0(원본)_1" xfId="5326"/>
    <cellStyle name="7_결산진실성EVA_2002년_월별사업계획전산_DM_02년사업계획양식V1.0_대호(bs수정)_02년사업계획양식V3.0" xfId="5327"/>
    <cellStyle name="7_결산진실성EVA_2002년_월별사업계획전산_DM_02년사업계획양식V1.0_대호(bs수정)_02년사업계획양식V3.0_02년사업계획양식V3.0" xfId="5328"/>
    <cellStyle name="7_결산진실성EVA_2002년_월별사업계획전산_DM_02년사업계획양식V1.0_대호(bs수정)_02년사업계획양식V3.0_02년사업계획양식V3.0(원본)" xfId="5329"/>
    <cellStyle name="7_결산진실성EVA_2002년_월별사업계획전산_DM_02년사업계획양식V1.0_대호(bs수정)_02년사업계획양식V3.0_02년사업계획양식V3.0(원본)_1" xfId="5330"/>
    <cellStyle name="7_결산진실성EVA_2002년_월별사업계획전산_DM_02년사업계획양식V2.0" xfId="5331"/>
    <cellStyle name="7_결산진실성EVA_2002년_월별사업계획전산_DM_02년사업계획양식V2.0_02년사업계획양식V3.0" xfId="5332"/>
    <cellStyle name="7_결산진실성EVA_2002년_월별사업계획전산_DM_02년사업계획양식V2.0_02년사업계획양식V3.0_02년사업계획양식V3.0" xfId="5333"/>
    <cellStyle name="7_결산진실성EVA_2002년_월별사업계획전산_DM_02년사업계획양식V2.0_02년사업계획양식V3.0_02년사업계획양식V3.0(원본)" xfId="5334"/>
    <cellStyle name="7_결산진실성EVA_2002년_월별사업계획전산_DM_02년사업계획양식V2.0_02년사업계획양식V3.0_02년사업계획양식V3.0(원본)_1" xfId="5335"/>
    <cellStyle name="7_결산진실성EVA_2002년_월별사업계획전산_DM_02년사업계획양식V3.0" xfId="5336"/>
    <cellStyle name="7_결산진실성EVA_2002년_월별사업계획전산_DM_02년사업계획양식V3.0(원본)" xfId="5337"/>
    <cellStyle name="7_결산진실성EVA_2002년_월별사업계획전산_DM_02년사업계획양식V3.0(원본)_1" xfId="5338"/>
    <cellStyle name="7_결산진실성EVA_2002년_월별사업계획전산_DM_02년사업계획양식V3.0_02년사업계획양식V3.0" xfId="5339"/>
    <cellStyle name="7_결산진실성EVA_2002년_월별사업계획전산_DM_02년사업계획양식V3.0_02년사업계획양식V3.0_02년사업계획양식V3.0" xfId="5340"/>
    <cellStyle name="7_결산진실성EVA_2002년_월별사업계획전산_DM_02년사업계획양식V3.0_02년사업계획양식V3.0_02년사업계획양식V3.0(원본)" xfId="5341"/>
    <cellStyle name="7_결산진실성EVA_2002년_월별사업계획전산_DM_02년사업계획양식V3.0_02년사업계획양식V3.0_02년사업계획양식V3.0(원본)_1" xfId="5342"/>
    <cellStyle name="7_결산진실성EVA_5월이동_전사손익" xfId="5343"/>
    <cellStyle name="7_결산진실성EVA_5월이동_전사손익_01년간예상손익(12월이동)" xfId="5344"/>
    <cellStyle name="7_결산진실성EVA_5월이동_전사손익_01년간예상손익(12월이동)_2" xfId="5345"/>
    <cellStyle name="7_결산진실성EVA_5월이동_전사손익_01매출손익(6월 실적반영)" xfId="5346"/>
    <cellStyle name="7_결산진실성EVA_5월이동_전사손익_01매출손익(6월 실적반영)_01년간예상손익(12월이동)" xfId="5347"/>
    <cellStyle name="7_결산진실성EVA_5월이동_전사손익_01매출손익(6월 실적반영)_01년간예상손익(12월이동)_2" xfId="5348"/>
    <cellStyle name="7_결산진실성EVA_5월이동_전사손익_01매출손익(6월 실적반영)_02년 2월 이동_예상손익" xfId="5349"/>
    <cellStyle name="7_결산진실성EVA_5월이동_전사손익_01매출손익(6월 실적반영)_02년 2월 이동_예상손익_1" xfId="5350"/>
    <cellStyle name="7_결산진실성EVA_5월이동_전사손익_01매출손익(6월 실적반영)_02년 3월 이동_예상손익(전사취합)" xfId="5351"/>
    <cellStyle name="7_결산진실성EVA_5월이동_전사손익_01매출손익(6월 실적반영)_02년 6월 이동_예상손익(전사취합)" xfId="5352"/>
    <cellStyle name="7_결산진실성EVA_5월이동_전사손익_01매출손익(6월 실적반영)_02년간예상손익" xfId="5353"/>
    <cellStyle name="7_결산진실성EVA_5월이동_전사손익_01매출손익(6월 실적반영)_04월 이동계획_전사예상pl" xfId="5354"/>
    <cellStyle name="7_결산진실성EVA_5월이동_전사손익_01매출손익(6월 실적반영)_1월이동손익_전사예상pl" xfId="5355"/>
    <cellStyle name="7_결산진실성EVA_5월이동_전사손익_01매출손익(6월 실적반영)_obu별손익0112이동" xfId="5356"/>
    <cellStyle name="7_결산진실성EVA_5월이동_전사손익_02년 2월 이동_예상손익" xfId="5357"/>
    <cellStyle name="7_결산진실성EVA_5월이동_전사손익_02년 2월 이동_예상손익_1" xfId="5358"/>
    <cellStyle name="7_결산진실성EVA_5월이동_전사손익_02년 3월 이동_예상손익(전사취합)" xfId="5359"/>
    <cellStyle name="7_결산진실성EVA_5월이동_전사손익_02년 6월 이동_예상손익(전사취합)" xfId="5360"/>
    <cellStyle name="7_결산진실성EVA_5월이동_전사손익_02년간예상손익" xfId="5361"/>
    <cellStyle name="7_결산진실성EVA_5월이동_전사손익_04월 이동계획_전사예상pl" xfId="5362"/>
    <cellStyle name="7_결산진실성EVA_5월이동_전사손익_06전사손익" xfId="5363"/>
    <cellStyle name="7_결산진실성EVA_5월이동_전사손익_06전사손익_01년간예상손익(12월이동)" xfId="5364"/>
    <cellStyle name="7_결산진실성EVA_5월이동_전사손익_06전사손익_01년간예상손익(12월이동)_2" xfId="5365"/>
    <cellStyle name="7_결산진실성EVA_5월이동_전사손익_06전사손익_01매출손익(6월 실적반영)" xfId="5366"/>
    <cellStyle name="7_결산진실성EVA_5월이동_전사손익_06전사손익_01매출손익(6월 실적반영)_01년간예상손익(12월이동)" xfId="5367"/>
    <cellStyle name="7_결산진실성EVA_5월이동_전사손익_06전사손익_01매출손익(6월 실적반영)_01년간예상손익(12월이동)_2" xfId="5368"/>
    <cellStyle name="7_결산진실성EVA_5월이동_전사손익_06전사손익_01매출손익(6월 실적반영)_02년 2월 이동_예상손익" xfId="5369"/>
    <cellStyle name="7_결산진실성EVA_5월이동_전사손익_06전사손익_01매출손익(6월 실적반영)_02년 2월 이동_예상손익_1" xfId="5370"/>
    <cellStyle name="7_결산진실성EVA_5월이동_전사손익_06전사손익_01매출손익(6월 실적반영)_02년 3월 이동_예상손익(전사취합)" xfId="5371"/>
    <cellStyle name="7_결산진실성EVA_5월이동_전사손익_06전사손익_01매출손익(6월 실적반영)_02년 6월 이동_예상손익(전사취합)" xfId="5372"/>
    <cellStyle name="7_결산진실성EVA_5월이동_전사손익_06전사손익_01매출손익(6월 실적반영)_02년간예상손익" xfId="5373"/>
    <cellStyle name="7_결산진실성EVA_5월이동_전사손익_06전사손익_01매출손익(6월 실적반영)_04월 이동계획_전사예상pl" xfId="5374"/>
    <cellStyle name="7_결산진실성EVA_5월이동_전사손익_06전사손익_01매출손익(6월 실적반영)_1월이동손익_전사예상pl" xfId="5375"/>
    <cellStyle name="7_결산진실성EVA_5월이동_전사손익_06전사손익_01매출손익(6월 실적반영)_obu별손익0112이동" xfId="5376"/>
    <cellStyle name="7_결산진실성EVA_5월이동_전사손익_06전사손익_02년 2월 이동_예상손익" xfId="5377"/>
    <cellStyle name="7_결산진실성EVA_5월이동_전사손익_06전사손익_02년 2월 이동_예상손익_1" xfId="5378"/>
    <cellStyle name="7_결산진실성EVA_5월이동_전사손익_06전사손익_02년 3월 이동_예상손익(전사취합)" xfId="5379"/>
    <cellStyle name="7_결산진실성EVA_5월이동_전사손익_06전사손익_02년 6월 이동_예상손익(전사취합)" xfId="5380"/>
    <cellStyle name="7_결산진실성EVA_5월이동_전사손익_06전사손익_02년간예상손익" xfId="5381"/>
    <cellStyle name="7_결산진실성EVA_5월이동_전사손익_06전사손익_04월 이동계획_전사예상pl" xfId="5382"/>
    <cellStyle name="7_결산진실성EVA_5월이동_전사손익_06전사손익_1월이동손익_전사예상pl" xfId="5383"/>
    <cellStyle name="7_결산진실성EVA_5월이동_전사손익_06전사손익_8월예상" xfId="5384"/>
    <cellStyle name="7_결산진실성EVA_5월이동_전사손익_06전사손익_8월예상_01년간예상손익(12월이동)" xfId="5385"/>
    <cellStyle name="7_결산진실성EVA_5월이동_전사손익_06전사손익_8월예상_01년간예상손익(12월이동)_2" xfId="5386"/>
    <cellStyle name="7_결산진실성EVA_5월이동_전사손익_06전사손익_8월예상_02년 2월 이동_예상손익" xfId="5387"/>
    <cellStyle name="7_결산진실성EVA_5월이동_전사손익_06전사손익_8월예상_02년 2월 이동_예상손익_1" xfId="5388"/>
    <cellStyle name="7_결산진실성EVA_5월이동_전사손익_06전사손익_8월예상_02년 3월 이동_예상손익(전사취합)" xfId="5389"/>
    <cellStyle name="7_결산진실성EVA_5월이동_전사손익_06전사손익_8월예상_02년 6월 이동_예상손익(전사취합)" xfId="5390"/>
    <cellStyle name="7_결산진실성EVA_5월이동_전사손익_06전사손익_8월예상_02년간예상손익" xfId="5391"/>
    <cellStyle name="7_결산진실성EVA_5월이동_전사손익_06전사손익_8월예상_04월 이동계획_전사예상pl" xfId="5392"/>
    <cellStyle name="7_결산진실성EVA_5월이동_전사손익_06전사손익_8월예상_1월이동손익_전사예상pl" xfId="5393"/>
    <cellStyle name="7_결산진실성EVA_5월이동_전사손익_06전사손익_8월예상_obu별손익0112이동" xfId="5394"/>
    <cellStyle name="7_결산진실성EVA_5월이동_전사손익_06전사손익_9-12월예상pl" xfId="5395"/>
    <cellStyle name="7_결산진실성EVA_5월이동_전사손익_06전사손익_9-12월예상pl_01년간예상손익(12월이동)" xfId="5396"/>
    <cellStyle name="7_결산진실성EVA_5월이동_전사손익_06전사손익_9-12월예상pl_01년간예상손익(12월이동)_2" xfId="5397"/>
    <cellStyle name="7_결산진실성EVA_5월이동_전사손익_06전사손익_9-12월예상pl_02년 2월 이동_예상손익" xfId="5398"/>
    <cellStyle name="7_결산진실성EVA_5월이동_전사손익_06전사손익_9-12월예상pl_02년 2월 이동_예상손익_1" xfId="5399"/>
    <cellStyle name="7_결산진실성EVA_5월이동_전사손익_06전사손익_9-12월예상pl_02년 3월 이동_예상손익(전사취합)" xfId="5400"/>
    <cellStyle name="7_결산진실성EVA_5월이동_전사손익_06전사손익_9-12월예상pl_02년 6월 이동_예상손익(전사취합)" xfId="5401"/>
    <cellStyle name="7_결산진실성EVA_5월이동_전사손익_06전사손익_9-12월예상pl_02년간예상손익" xfId="5402"/>
    <cellStyle name="7_결산진실성EVA_5월이동_전사손익_06전사손익_9-12월예상pl_04월 이동계획_전사예상pl" xfId="5403"/>
    <cellStyle name="7_결산진실성EVA_5월이동_전사손익_06전사손익_9-12월예상pl_1월이동손익_전사예상pl" xfId="5404"/>
    <cellStyle name="7_결산진실성EVA_5월이동_전사손익_06전사손익_9-12월예상pl_obu별손익0112이동" xfId="5405"/>
    <cellStyle name="7_결산진실성EVA_5월이동_전사손익_06전사손익_obu별손익0112이동" xfId="5406"/>
    <cellStyle name="7_결산진실성EVA_5월이동_전사손익_06전사손익_상반기_연간손익정리(서대호)" xfId="5407"/>
    <cellStyle name="7_결산진실성EVA_5월이동_전사손익_06전사손익_상반기_연간손익정리(서대호)_01년간예상손익(12월이동)" xfId="5408"/>
    <cellStyle name="7_결산진실성EVA_5월이동_전사손익_06전사손익_상반기_연간손익정리(서대호)_01년간예상손익(12월이동)_2" xfId="5409"/>
    <cellStyle name="7_결산진실성EVA_5월이동_전사손익_06전사손익_상반기_연간손익정리(서대호)_01매출손익(6월 실적반영)" xfId="5410"/>
    <cellStyle name="7_결산진실성EVA_5월이동_전사손익_06전사손익_상반기_연간손익정리(서대호)_01매출손익(6월 실적반영)_01년간예상손익(12월이동)" xfId="5411"/>
    <cellStyle name="7_결산진실성EVA_5월이동_전사손익_06전사손익_상반기_연간손익정리(서대호)_01매출손익(6월 실적반영)_01년간예상손익(12월이동)_2" xfId="5412"/>
    <cellStyle name="7_결산진실성EVA_5월이동_전사손익_06전사손익_상반기_연간손익정리(서대호)_01매출손익(6월 실적반영)_02년 2월 이동_예상손익" xfId="5413"/>
    <cellStyle name="7_결산진실성EVA_5월이동_전사손익_06전사손익_상반기_연간손익정리(서대호)_01매출손익(6월 실적반영)_02년 2월 이동_예상손익_1" xfId="5414"/>
    <cellStyle name="7_결산진실성EVA_5월이동_전사손익_06전사손익_상반기_연간손익정리(서대호)_01매출손익(6월 실적반영)_02년 3월 이동_예상손익(전사취합)" xfId="5415"/>
    <cellStyle name="7_결산진실성EVA_5월이동_전사손익_06전사손익_상반기_연간손익정리(서대호)_01매출손익(6월 실적반영)_02년 6월 이동_예상손익(전사취합)" xfId="5416"/>
    <cellStyle name="7_결산진실성EVA_5월이동_전사손익_06전사손익_상반기_연간손익정리(서대호)_01매출손익(6월 실적반영)_02년간예상손익" xfId="5417"/>
    <cellStyle name="7_결산진실성EVA_5월이동_전사손익_06전사손익_상반기_연간손익정리(서대호)_01매출손익(6월 실적반영)_04월 이동계획_전사예상pl" xfId="5418"/>
    <cellStyle name="7_결산진실성EVA_5월이동_전사손익_06전사손익_상반기_연간손익정리(서대호)_01매출손익(6월 실적반영)_1월이동손익_전사예상pl" xfId="5419"/>
    <cellStyle name="7_결산진실성EVA_5월이동_전사손익_06전사손익_상반기_연간손익정리(서대호)_01매출손익(6월 실적반영)_obu별손익0112이동" xfId="5420"/>
    <cellStyle name="7_결산진실성EVA_5월이동_전사손익_06전사손익_상반기_연간손익정리(서대호)_02년 2월 이동_예상손익" xfId="5421"/>
    <cellStyle name="7_결산진실성EVA_5월이동_전사손익_06전사손익_상반기_연간손익정리(서대호)_02년 2월 이동_예상손익_1" xfId="5422"/>
    <cellStyle name="7_결산진실성EVA_5월이동_전사손익_06전사손익_상반기_연간손익정리(서대호)_02년 3월 이동_예상손익(전사취합)" xfId="5423"/>
    <cellStyle name="7_결산진실성EVA_5월이동_전사손익_06전사손익_상반기_연간손익정리(서대호)_02년 6월 이동_예상손익(전사취합)" xfId="5424"/>
    <cellStyle name="7_결산진실성EVA_5월이동_전사손익_06전사손익_상반기_연간손익정리(서대호)_02년간예상손익" xfId="5425"/>
    <cellStyle name="7_결산진실성EVA_5월이동_전사손익_06전사손익_상반기_연간손익정리(서대호)_04월 이동계획_전사예상pl" xfId="5426"/>
    <cellStyle name="7_결산진실성EVA_5월이동_전사손익_06전사손익_상반기_연간손익정리(서대호)_1월이동손익_전사예상pl" xfId="5427"/>
    <cellStyle name="7_결산진실성EVA_5월이동_전사손익_06전사손익_상반기_연간손익정리(서대호)_8월예상" xfId="5428"/>
    <cellStyle name="7_결산진실성EVA_5월이동_전사손익_06전사손익_상반기_연간손익정리(서대호)_8월예상_01년간예상손익(12월이동)" xfId="5429"/>
    <cellStyle name="7_결산진실성EVA_5월이동_전사손익_06전사손익_상반기_연간손익정리(서대호)_8월예상_01년간예상손익(12월이동)_2" xfId="5430"/>
    <cellStyle name="7_결산진실성EVA_5월이동_전사손익_06전사손익_상반기_연간손익정리(서대호)_8월예상_02년 2월 이동_예상손익" xfId="5431"/>
    <cellStyle name="7_결산진실성EVA_5월이동_전사손익_06전사손익_상반기_연간손익정리(서대호)_8월예상_02년 2월 이동_예상손익_1" xfId="5432"/>
    <cellStyle name="7_결산진실성EVA_5월이동_전사손익_06전사손익_상반기_연간손익정리(서대호)_8월예상_02년 3월 이동_예상손익(전사취합)" xfId="5433"/>
    <cellStyle name="7_결산진실성EVA_5월이동_전사손익_06전사손익_상반기_연간손익정리(서대호)_8월예상_02년 6월 이동_예상손익(전사취합)" xfId="5434"/>
    <cellStyle name="7_결산진실성EVA_5월이동_전사손익_06전사손익_상반기_연간손익정리(서대호)_8월예상_02년간예상손익" xfId="5435"/>
    <cellStyle name="7_결산진실성EVA_5월이동_전사손익_06전사손익_상반기_연간손익정리(서대호)_8월예상_04월 이동계획_전사예상pl" xfId="5436"/>
    <cellStyle name="7_결산진실성EVA_5월이동_전사손익_06전사손익_상반기_연간손익정리(서대호)_8월예상_1월이동손익_전사예상pl" xfId="5437"/>
    <cellStyle name="7_결산진실성EVA_5월이동_전사손익_06전사손익_상반기_연간손익정리(서대호)_8월예상_obu별손익0112이동" xfId="5438"/>
    <cellStyle name="7_결산진실성EVA_5월이동_전사손익_06전사손익_상반기_연간손익정리(서대호)_obu별손익0112이동" xfId="5439"/>
    <cellStyle name="7_결산진실성EVA_5월이동_전사손익_06전사손익_상반기_연간손익정리(서대호)_연간예상추정5886_0726" xfId="5440"/>
    <cellStyle name="7_결산진실성EVA_5월이동_전사손익_06전사손익_상반기_연간손익정리(서대호)_연간예상추정5886_0726_01년간예상손익(12월이동)" xfId="5441"/>
    <cellStyle name="7_결산진실성EVA_5월이동_전사손익_06전사손익_상반기_연간손익정리(서대호)_연간예상추정5886_0726_01년간예상손익(12월이동)_2" xfId="5442"/>
    <cellStyle name="7_결산진실성EVA_5월이동_전사손익_06전사손익_상반기_연간손익정리(서대호)_연간예상추정5886_0726_02년 2월 이동_예상손익" xfId="5443"/>
    <cellStyle name="7_결산진실성EVA_5월이동_전사손익_06전사손익_상반기_연간손익정리(서대호)_연간예상추정5886_0726_02년 2월 이동_예상손익_1" xfId="5444"/>
    <cellStyle name="7_결산진실성EVA_5월이동_전사손익_06전사손익_상반기_연간손익정리(서대호)_연간예상추정5886_0726_02년 3월 이동_예상손익(전사취합)" xfId="5445"/>
    <cellStyle name="7_결산진실성EVA_5월이동_전사손익_06전사손익_상반기_연간손익정리(서대호)_연간예상추정5886_0726_02년 6월 이동_예상손익(전사취합)" xfId="5446"/>
    <cellStyle name="7_결산진실성EVA_5월이동_전사손익_06전사손익_상반기_연간손익정리(서대호)_연간예상추정5886_0726_02년간예상손익" xfId="5447"/>
    <cellStyle name="7_결산진실성EVA_5월이동_전사손익_06전사손익_상반기_연간손익정리(서대호)_연간예상추정5886_0726_04월 이동계획_전사예상pl" xfId="5448"/>
    <cellStyle name="7_결산진실성EVA_5월이동_전사손익_06전사손익_상반기_연간손익정리(서대호)_연간예상추정5886_0726_1월이동손익_전사예상pl" xfId="5449"/>
    <cellStyle name="7_결산진실성EVA_5월이동_전사손익_06전사손익_상반기_연간손익정리(서대호)_연간예상추정5886_0726_obu별손익0112이동" xfId="5450"/>
    <cellStyle name="7_결산진실성EVA_5월이동_전사손익_06전사손익_연간예상추정5886_0726" xfId="5451"/>
    <cellStyle name="7_결산진실성EVA_5월이동_전사손익_06전사손익_연간예상추정5886_0726_01년간예상손익(12월이동)" xfId="5452"/>
    <cellStyle name="7_결산진실성EVA_5월이동_전사손익_06전사손익_연간예상추정5886_0726_01년간예상손익(12월이동)_2" xfId="5453"/>
    <cellStyle name="7_결산진실성EVA_5월이동_전사손익_06전사손익_연간예상추정5886_0726_02년 2월 이동_예상손익" xfId="5454"/>
    <cellStyle name="7_결산진실성EVA_5월이동_전사손익_06전사손익_연간예상추정5886_0726_02년 2월 이동_예상손익_1" xfId="5455"/>
    <cellStyle name="7_결산진실성EVA_5월이동_전사손익_06전사손익_연간예상추정5886_0726_02년 3월 이동_예상손익(전사취합)" xfId="5456"/>
    <cellStyle name="7_결산진실성EVA_5월이동_전사손익_06전사손익_연간예상추정5886_0726_02년 6월 이동_예상손익(전사취합)" xfId="5457"/>
    <cellStyle name="7_결산진실성EVA_5월이동_전사손익_06전사손익_연간예상추정5886_0726_02년간예상손익" xfId="5458"/>
    <cellStyle name="7_결산진실성EVA_5월이동_전사손익_06전사손익_연간예상추정5886_0726_04월 이동계획_전사예상pl" xfId="5459"/>
    <cellStyle name="7_결산진실성EVA_5월이동_전사손익_06전사손익_연간예상추정5886_0726_1월이동손익_전사예상pl" xfId="5460"/>
    <cellStyle name="7_결산진실성EVA_5월이동_전사손익_06전사손익_연간예상추정5886_0726_obu별손익0112이동" xfId="5461"/>
    <cellStyle name="7_결산진실성EVA_5월이동_전사손익_06전사손익1" xfId="5462"/>
    <cellStyle name="7_결산진실성EVA_5월이동_전사손익_06전사손익1_01년간예상손익(12월이동)" xfId="5463"/>
    <cellStyle name="7_결산진실성EVA_5월이동_전사손익_06전사손익1_01년간예상손익(12월이동)_2" xfId="5464"/>
    <cellStyle name="7_결산진실성EVA_5월이동_전사손익_06전사손익1_01매출손익(6월 실적반영)" xfId="5465"/>
    <cellStyle name="7_결산진실성EVA_5월이동_전사손익_06전사손익1_01매출손익(6월 실적반영)_01년간예상손익(12월이동)" xfId="5466"/>
    <cellStyle name="7_결산진실성EVA_5월이동_전사손익_06전사손익1_01매출손익(6월 실적반영)_01년간예상손익(12월이동)_2" xfId="5467"/>
    <cellStyle name="7_결산진실성EVA_5월이동_전사손익_06전사손익1_01매출손익(6월 실적반영)_02년 2월 이동_예상손익" xfId="5468"/>
    <cellStyle name="7_결산진실성EVA_5월이동_전사손익_06전사손익1_01매출손익(6월 실적반영)_02년 2월 이동_예상손익_1" xfId="5469"/>
    <cellStyle name="7_결산진실성EVA_5월이동_전사손익_06전사손익1_01매출손익(6월 실적반영)_02년 3월 이동_예상손익(전사취합)" xfId="5470"/>
    <cellStyle name="7_결산진실성EVA_5월이동_전사손익_06전사손익1_01매출손익(6월 실적반영)_02년 6월 이동_예상손익(전사취합)" xfId="5471"/>
    <cellStyle name="7_결산진실성EVA_5월이동_전사손익_06전사손익1_01매출손익(6월 실적반영)_02년간예상손익" xfId="5472"/>
    <cellStyle name="7_결산진실성EVA_5월이동_전사손익_06전사손익1_01매출손익(6월 실적반영)_04월 이동계획_전사예상pl" xfId="5473"/>
    <cellStyle name="7_결산진실성EVA_5월이동_전사손익_06전사손익1_01매출손익(6월 실적반영)_1월이동손익_전사예상pl" xfId="5474"/>
    <cellStyle name="7_결산진실성EVA_5월이동_전사손익_06전사손익1_01매출손익(6월 실적반영)_obu별손익0112이동" xfId="5475"/>
    <cellStyle name="7_결산진실성EVA_5월이동_전사손익_06전사손익1_02년 2월 이동_예상손익" xfId="5476"/>
    <cellStyle name="7_결산진실성EVA_5월이동_전사손익_06전사손익1_02년 2월 이동_예상손익_1" xfId="5477"/>
    <cellStyle name="7_결산진실성EVA_5월이동_전사손익_06전사손익1_02년 3월 이동_예상손익(전사취합)" xfId="5478"/>
    <cellStyle name="7_결산진실성EVA_5월이동_전사손익_06전사손익1_02년 6월 이동_예상손익(전사취합)" xfId="5479"/>
    <cellStyle name="7_결산진실성EVA_5월이동_전사손익_06전사손익1_02년간예상손익" xfId="5480"/>
    <cellStyle name="7_결산진실성EVA_5월이동_전사손익_06전사손익1_04월 이동계획_전사예상pl" xfId="5481"/>
    <cellStyle name="7_결산진실성EVA_5월이동_전사손익_06전사손익1_1월이동손익_전사예상pl" xfId="5482"/>
    <cellStyle name="7_결산진실성EVA_5월이동_전사손익_06전사손익1_8월예상" xfId="5483"/>
    <cellStyle name="7_결산진실성EVA_5월이동_전사손익_06전사손익1_8월예상_01년간예상손익(12월이동)" xfId="5484"/>
    <cellStyle name="7_결산진실성EVA_5월이동_전사손익_06전사손익1_8월예상_01년간예상손익(12월이동)_2" xfId="5485"/>
    <cellStyle name="7_결산진실성EVA_5월이동_전사손익_06전사손익1_8월예상_02년 2월 이동_예상손익" xfId="5486"/>
    <cellStyle name="7_결산진실성EVA_5월이동_전사손익_06전사손익1_8월예상_02년 2월 이동_예상손익_1" xfId="5487"/>
    <cellStyle name="7_결산진실성EVA_5월이동_전사손익_06전사손익1_8월예상_02년 3월 이동_예상손익(전사취합)" xfId="5488"/>
    <cellStyle name="7_결산진실성EVA_5월이동_전사손익_06전사손익1_8월예상_02년 6월 이동_예상손익(전사취합)" xfId="5489"/>
    <cellStyle name="7_결산진실성EVA_5월이동_전사손익_06전사손익1_8월예상_02년간예상손익" xfId="5490"/>
    <cellStyle name="7_결산진실성EVA_5월이동_전사손익_06전사손익1_8월예상_04월 이동계획_전사예상pl" xfId="5491"/>
    <cellStyle name="7_결산진실성EVA_5월이동_전사손익_06전사손익1_8월예상_1월이동손익_전사예상pl" xfId="5492"/>
    <cellStyle name="7_결산진실성EVA_5월이동_전사손익_06전사손익1_8월예상_obu별손익0112이동" xfId="5493"/>
    <cellStyle name="7_결산진실성EVA_5월이동_전사손익_06전사손익1_9-12월예상pl" xfId="5494"/>
    <cellStyle name="7_결산진실성EVA_5월이동_전사손익_06전사손익1_9-12월예상pl_01년간예상손익(12월이동)" xfId="5495"/>
    <cellStyle name="7_결산진실성EVA_5월이동_전사손익_06전사손익1_9-12월예상pl_01년간예상손익(12월이동)_2" xfId="5496"/>
    <cellStyle name="7_결산진실성EVA_5월이동_전사손익_06전사손익1_9-12월예상pl_02년 2월 이동_예상손익" xfId="5497"/>
    <cellStyle name="7_결산진실성EVA_5월이동_전사손익_06전사손익1_9-12월예상pl_02년 2월 이동_예상손익_1" xfId="5498"/>
    <cellStyle name="7_결산진실성EVA_5월이동_전사손익_06전사손익1_9-12월예상pl_02년 3월 이동_예상손익(전사취합)" xfId="5499"/>
    <cellStyle name="7_결산진실성EVA_5월이동_전사손익_06전사손익1_9-12월예상pl_02년 6월 이동_예상손익(전사취합)" xfId="5500"/>
    <cellStyle name="7_결산진실성EVA_5월이동_전사손익_06전사손익1_9-12월예상pl_02년간예상손익" xfId="5501"/>
    <cellStyle name="7_결산진실성EVA_5월이동_전사손익_06전사손익1_9-12월예상pl_04월 이동계획_전사예상pl" xfId="5502"/>
    <cellStyle name="7_결산진실성EVA_5월이동_전사손익_06전사손익1_9-12월예상pl_1월이동손익_전사예상pl" xfId="5503"/>
    <cellStyle name="7_결산진실성EVA_5월이동_전사손익_06전사손익1_9-12월예상pl_obu별손익0112이동" xfId="5504"/>
    <cellStyle name="7_결산진실성EVA_5월이동_전사손익_06전사손익1_obu별손익0112이동" xfId="5505"/>
    <cellStyle name="7_결산진실성EVA_5월이동_전사손익_06전사손익1_상반기_연간손익정리(서대호)" xfId="5506"/>
    <cellStyle name="7_결산진실성EVA_5월이동_전사손익_06전사손익1_상반기_연간손익정리(서대호)_01년간예상손익(12월이동)" xfId="5507"/>
    <cellStyle name="7_결산진실성EVA_5월이동_전사손익_06전사손익1_상반기_연간손익정리(서대호)_01년간예상손익(12월이동)_2" xfId="5508"/>
    <cellStyle name="7_결산진실성EVA_5월이동_전사손익_06전사손익1_상반기_연간손익정리(서대호)_01매출손익(6월 실적반영)" xfId="5509"/>
    <cellStyle name="7_결산진실성EVA_5월이동_전사손익_06전사손익1_상반기_연간손익정리(서대호)_01매출손익(6월 실적반영)_01년간예상손익(12월이동)" xfId="5510"/>
    <cellStyle name="7_결산진실성EVA_5월이동_전사손익_06전사손익1_상반기_연간손익정리(서대호)_01매출손익(6월 실적반영)_01년간예상손익(12월이동)_2" xfId="5511"/>
    <cellStyle name="7_결산진실성EVA_5월이동_전사손익_06전사손익1_상반기_연간손익정리(서대호)_01매출손익(6월 실적반영)_02년 2월 이동_예상손익" xfId="5512"/>
    <cellStyle name="7_결산진실성EVA_5월이동_전사손익_06전사손익1_상반기_연간손익정리(서대호)_01매출손익(6월 실적반영)_02년 2월 이동_예상손익_1" xfId="5513"/>
    <cellStyle name="7_결산진실성EVA_5월이동_전사손익_06전사손익1_상반기_연간손익정리(서대호)_01매출손익(6월 실적반영)_02년 3월 이동_예상손익(전사취합)" xfId="5514"/>
    <cellStyle name="7_결산진실성EVA_5월이동_전사손익_06전사손익1_상반기_연간손익정리(서대호)_01매출손익(6월 실적반영)_02년 6월 이동_예상손익(전사취합)" xfId="5515"/>
    <cellStyle name="7_결산진실성EVA_5월이동_전사손익_06전사손익1_상반기_연간손익정리(서대호)_01매출손익(6월 실적반영)_02년간예상손익" xfId="5516"/>
    <cellStyle name="7_결산진실성EVA_5월이동_전사손익_06전사손익1_상반기_연간손익정리(서대호)_01매출손익(6월 실적반영)_04월 이동계획_전사예상pl" xfId="5517"/>
    <cellStyle name="7_결산진실성EVA_5월이동_전사손익_06전사손익1_상반기_연간손익정리(서대호)_01매출손익(6월 실적반영)_1월이동손익_전사예상pl" xfId="5518"/>
    <cellStyle name="7_결산진실성EVA_5월이동_전사손익_06전사손익1_상반기_연간손익정리(서대호)_01매출손익(6월 실적반영)_obu별손익0112이동" xfId="5519"/>
    <cellStyle name="7_결산진실성EVA_5월이동_전사손익_06전사손익1_상반기_연간손익정리(서대호)_02년 2월 이동_예상손익" xfId="5520"/>
    <cellStyle name="7_결산진실성EVA_5월이동_전사손익_06전사손익1_상반기_연간손익정리(서대호)_02년 2월 이동_예상손익_1" xfId="5521"/>
    <cellStyle name="7_결산진실성EVA_5월이동_전사손익_06전사손익1_상반기_연간손익정리(서대호)_02년 3월 이동_예상손익(전사취합)" xfId="5522"/>
    <cellStyle name="7_결산진실성EVA_5월이동_전사손익_06전사손익1_상반기_연간손익정리(서대호)_02년 6월 이동_예상손익(전사취합)" xfId="5523"/>
    <cellStyle name="7_결산진실성EVA_5월이동_전사손익_06전사손익1_상반기_연간손익정리(서대호)_02년간예상손익" xfId="5524"/>
    <cellStyle name="7_결산진실성EVA_5월이동_전사손익_06전사손익1_상반기_연간손익정리(서대호)_04월 이동계획_전사예상pl" xfId="5525"/>
    <cellStyle name="7_결산진실성EVA_5월이동_전사손익_06전사손익1_상반기_연간손익정리(서대호)_1월이동손익_전사예상pl" xfId="5526"/>
    <cellStyle name="7_결산진실성EVA_5월이동_전사손익_06전사손익1_상반기_연간손익정리(서대호)_8월예상" xfId="5527"/>
    <cellStyle name="7_결산진실성EVA_5월이동_전사손익_06전사손익1_상반기_연간손익정리(서대호)_8월예상_01년간예상손익(12월이동)" xfId="5528"/>
    <cellStyle name="7_결산진실성EVA_5월이동_전사손익_06전사손익1_상반기_연간손익정리(서대호)_8월예상_01년간예상손익(12월이동)_2" xfId="5529"/>
    <cellStyle name="7_결산진실성EVA_5월이동_전사손익_06전사손익1_상반기_연간손익정리(서대호)_8월예상_02년 2월 이동_예상손익" xfId="5530"/>
    <cellStyle name="7_결산진실성EVA_5월이동_전사손익_06전사손익1_상반기_연간손익정리(서대호)_8월예상_02년 2월 이동_예상손익_1" xfId="5531"/>
    <cellStyle name="7_결산진실성EVA_5월이동_전사손익_06전사손익1_상반기_연간손익정리(서대호)_8월예상_02년 3월 이동_예상손익(전사취합)" xfId="5532"/>
    <cellStyle name="7_결산진실성EVA_5월이동_전사손익_06전사손익1_상반기_연간손익정리(서대호)_8월예상_02년 6월 이동_예상손익(전사취합)" xfId="5533"/>
    <cellStyle name="7_결산진실성EVA_5월이동_전사손익_06전사손익1_상반기_연간손익정리(서대호)_8월예상_02년간예상손익" xfId="5534"/>
    <cellStyle name="7_결산진실성EVA_5월이동_전사손익_06전사손익1_상반기_연간손익정리(서대호)_8월예상_04월 이동계획_전사예상pl" xfId="5535"/>
    <cellStyle name="7_결산진실성EVA_5월이동_전사손익_06전사손익1_상반기_연간손익정리(서대호)_8월예상_1월이동손익_전사예상pl" xfId="5536"/>
    <cellStyle name="7_결산진실성EVA_5월이동_전사손익_06전사손익1_상반기_연간손익정리(서대호)_8월예상_obu별손익0112이동" xfId="5537"/>
    <cellStyle name="7_결산진실성EVA_5월이동_전사손익_06전사손익1_상반기_연간손익정리(서대호)_obu별손익0112이동" xfId="5538"/>
    <cellStyle name="7_결산진실성EVA_5월이동_전사손익_06전사손익1_상반기_연간손익정리(서대호)_연간예상추정5886_0726" xfId="5539"/>
    <cellStyle name="7_결산진실성EVA_5월이동_전사손익_06전사손익1_상반기_연간손익정리(서대호)_연간예상추정5886_0726_01년간예상손익(12월이동)" xfId="5540"/>
    <cellStyle name="7_결산진실성EVA_5월이동_전사손익_06전사손익1_상반기_연간손익정리(서대호)_연간예상추정5886_0726_01년간예상손익(12월이동)_2" xfId="5541"/>
    <cellStyle name="7_결산진실성EVA_5월이동_전사손익_06전사손익1_상반기_연간손익정리(서대호)_연간예상추정5886_0726_02년 2월 이동_예상손익" xfId="5542"/>
    <cellStyle name="7_결산진실성EVA_5월이동_전사손익_06전사손익1_상반기_연간손익정리(서대호)_연간예상추정5886_0726_02년 2월 이동_예상손익_1" xfId="5543"/>
    <cellStyle name="7_결산진실성EVA_5월이동_전사손익_06전사손익1_상반기_연간손익정리(서대호)_연간예상추정5886_0726_02년 3월 이동_예상손익(전사취합)" xfId="5544"/>
    <cellStyle name="7_결산진실성EVA_5월이동_전사손익_06전사손익1_상반기_연간손익정리(서대호)_연간예상추정5886_0726_02년 6월 이동_예상손익(전사취합)" xfId="5545"/>
    <cellStyle name="7_결산진실성EVA_5월이동_전사손익_06전사손익1_상반기_연간손익정리(서대호)_연간예상추정5886_0726_02년간예상손익" xfId="5546"/>
    <cellStyle name="7_결산진실성EVA_5월이동_전사손익_06전사손익1_상반기_연간손익정리(서대호)_연간예상추정5886_0726_04월 이동계획_전사예상pl" xfId="5547"/>
    <cellStyle name="7_결산진실성EVA_5월이동_전사손익_06전사손익1_상반기_연간손익정리(서대호)_연간예상추정5886_0726_1월이동손익_전사예상pl" xfId="5548"/>
    <cellStyle name="7_결산진실성EVA_5월이동_전사손익_06전사손익1_상반기_연간손익정리(서대호)_연간예상추정5886_0726_obu별손익0112이동" xfId="5549"/>
    <cellStyle name="7_결산진실성EVA_5월이동_전사손익_06전사손익1_연간예상추정5886_0726" xfId="5550"/>
    <cellStyle name="7_결산진실성EVA_5월이동_전사손익_06전사손익1_연간예상추정5886_0726_01년간예상손익(12월이동)" xfId="5551"/>
    <cellStyle name="7_결산진실성EVA_5월이동_전사손익_06전사손익1_연간예상추정5886_0726_01년간예상손익(12월이동)_2" xfId="5552"/>
    <cellStyle name="7_결산진실성EVA_5월이동_전사손익_06전사손익1_연간예상추정5886_0726_02년 2월 이동_예상손익" xfId="5553"/>
    <cellStyle name="7_결산진실성EVA_5월이동_전사손익_06전사손익1_연간예상추정5886_0726_02년 2월 이동_예상손익_1" xfId="5554"/>
    <cellStyle name="7_결산진실성EVA_5월이동_전사손익_06전사손익1_연간예상추정5886_0726_02년 3월 이동_예상손익(전사취합)" xfId="5555"/>
    <cellStyle name="7_결산진실성EVA_5월이동_전사손익_06전사손익1_연간예상추정5886_0726_02년 6월 이동_예상손익(전사취합)" xfId="5556"/>
    <cellStyle name="7_결산진실성EVA_5월이동_전사손익_06전사손익1_연간예상추정5886_0726_02년간예상손익" xfId="5557"/>
    <cellStyle name="7_결산진실성EVA_5월이동_전사손익_06전사손익1_연간예상추정5886_0726_04월 이동계획_전사예상pl" xfId="5558"/>
    <cellStyle name="7_결산진실성EVA_5월이동_전사손익_06전사손익1_연간예상추정5886_0726_1월이동손익_전사예상pl" xfId="5559"/>
    <cellStyle name="7_결산진실성EVA_5월이동_전사손익_06전사손익1_연간예상추정5886_0726_obu별손익0112이동" xfId="5560"/>
    <cellStyle name="7_결산진실성EVA_5월이동_전사손익_1월이동손익_전사예상pl" xfId="5561"/>
    <cellStyle name="7_결산진실성EVA_5월이동_전사손익_8월예상" xfId="5562"/>
    <cellStyle name="7_결산진실성EVA_5월이동_전사손익_8월예상_01년간예상손익(12월이동)" xfId="5563"/>
    <cellStyle name="7_결산진실성EVA_5월이동_전사손익_8월예상_01년간예상손익(12월이동)_2" xfId="5564"/>
    <cellStyle name="7_결산진실성EVA_5월이동_전사손익_8월예상_02년 2월 이동_예상손익" xfId="5565"/>
    <cellStyle name="7_결산진실성EVA_5월이동_전사손익_8월예상_02년 2월 이동_예상손익_1" xfId="5566"/>
    <cellStyle name="7_결산진실성EVA_5월이동_전사손익_8월예상_02년 3월 이동_예상손익(전사취합)" xfId="5567"/>
    <cellStyle name="7_결산진실성EVA_5월이동_전사손익_8월예상_02년 6월 이동_예상손익(전사취합)" xfId="5568"/>
    <cellStyle name="7_결산진실성EVA_5월이동_전사손익_8월예상_02년간예상손익" xfId="5569"/>
    <cellStyle name="7_결산진실성EVA_5월이동_전사손익_8월예상_04월 이동계획_전사예상pl" xfId="5570"/>
    <cellStyle name="7_결산진실성EVA_5월이동_전사손익_8월예상_1월이동손익_전사예상pl" xfId="5571"/>
    <cellStyle name="7_결산진실성EVA_5월이동_전사손익_8월예상_obu별손익0112이동" xfId="5572"/>
    <cellStyle name="7_결산진실성EVA_5월이동_전사손익_9-12월예상pl" xfId="5573"/>
    <cellStyle name="7_결산진실성EVA_5월이동_전사손익_9-12월예상pl_01년간예상손익(12월이동)" xfId="5574"/>
    <cellStyle name="7_결산진실성EVA_5월이동_전사손익_9-12월예상pl_01년간예상손익(12월이동)_2" xfId="5575"/>
    <cellStyle name="7_결산진실성EVA_5월이동_전사손익_9-12월예상pl_02년 2월 이동_예상손익" xfId="5576"/>
    <cellStyle name="7_결산진실성EVA_5월이동_전사손익_9-12월예상pl_02년 2월 이동_예상손익_1" xfId="5577"/>
    <cellStyle name="7_결산진실성EVA_5월이동_전사손익_9-12월예상pl_02년 3월 이동_예상손익(전사취합)" xfId="5578"/>
    <cellStyle name="7_결산진실성EVA_5월이동_전사손익_9-12월예상pl_02년 6월 이동_예상손익(전사취합)" xfId="5579"/>
    <cellStyle name="7_결산진실성EVA_5월이동_전사손익_9-12월예상pl_02년간예상손익" xfId="5580"/>
    <cellStyle name="7_결산진실성EVA_5월이동_전사손익_9-12월예상pl_04월 이동계획_전사예상pl" xfId="5581"/>
    <cellStyle name="7_결산진실성EVA_5월이동_전사손익_9-12월예상pl_1월이동손익_전사예상pl" xfId="5582"/>
    <cellStyle name="7_결산진실성EVA_5월이동_전사손익_9-12월예상pl_obu별손익0112이동" xfId="5583"/>
    <cellStyle name="7_결산진실성EVA_5월이동_전사손익_obu별손익0112이동" xfId="5584"/>
    <cellStyle name="7_결산진실성EVA_5월이동_전사손익_상반기_연간손익정리(서대호)" xfId="5585"/>
    <cellStyle name="7_결산진실성EVA_5월이동_전사손익_상반기_연간손익정리(서대호)_01년간예상손익(12월이동)" xfId="5586"/>
    <cellStyle name="7_결산진실성EVA_5월이동_전사손익_상반기_연간손익정리(서대호)_01년간예상손익(12월이동)_2" xfId="5587"/>
    <cellStyle name="7_결산진실성EVA_5월이동_전사손익_상반기_연간손익정리(서대호)_01매출손익(6월 실적반영)" xfId="5588"/>
    <cellStyle name="7_결산진실성EVA_5월이동_전사손익_상반기_연간손익정리(서대호)_01매출손익(6월 실적반영)_01년간예상손익(12월이동)" xfId="5589"/>
    <cellStyle name="7_결산진실성EVA_5월이동_전사손익_상반기_연간손익정리(서대호)_01매출손익(6월 실적반영)_01년간예상손익(12월이동)_2" xfId="5590"/>
    <cellStyle name="7_결산진실성EVA_5월이동_전사손익_상반기_연간손익정리(서대호)_01매출손익(6월 실적반영)_02년 2월 이동_예상손익" xfId="5591"/>
    <cellStyle name="7_결산진실성EVA_5월이동_전사손익_상반기_연간손익정리(서대호)_01매출손익(6월 실적반영)_02년 2월 이동_예상손익_1" xfId="5592"/>
    <cellStyle name="7_결산진실성EVA_5월이동_전사손익_상반기_연간손익정리(서대호)_01매출손익(6월 실적반영)_02년 3월 이동_예상손익(전사취합)" xfId="5593"/>
    <cellStyle name="7_결산진실성EVA_5월이동_전사손익_상반기_연간손익정리(서대호)_01매출손익(6월 실적반영)_02년 6월 이동_예상손익(전사취합)" xfId="5594"/>
    <cellStyle name="7_결산진실성EVA_5월이동_전사손익_상반기_연간손익정리(서대호)_01매출손익(6월 실적반영)_02년간예상손익" xfId="5595"/>
    <cellStyle name="7_결산진실성EVA_5월이동_전사손익_상반기_연간손익정리(서대호)_01매출손익(6월 실적반영)_04월 이동계획_전사예상pl" xfId="5596"/>
    <cellStyle name="7_결산진실성EVA_5월이동_전사손익_상반기_연간손익정리(서대호)_01매출손익(6월 실적반영)_1월이동손익_전사예상pl" xfId="5597"/>
    <cellStyle name="7_결산진실성EVA_5월이동_전사손익_상반기_연간손익정리(서대호)_01매출손익(6월 실적반영)_obu별손익0112이동" xfId="5598"/>
    <cellStyle name="7_결산진실성EVA_5월이동_전사손익_상반기_연간손익정리(서대호)_02년 2월 이동_예상손익" xfId="5599"/>
    <cellStyle name="7_결산진실성EVA_5월이동_전사손익_상반기_연간손익정리(서대호)_02년 2월 이동_예상손익_1" xfId="5600"/>
    <cellStyle name="7_결산진실성EVA_5월이동_전사손익_상반기_연간손익정리(서대호)_02년 3월 이동_예상손익(전사취합)" xfId="5601"/>
    <cellStyle name="7_결산진실성EVA_5월이동_전사손익_상반기_연간손익정리(서대호)_02년 6월 이동_예상손익(전사취합)" xfId="5602"/>
    <cellStyle name="7_결산진실성EVA_5월이동_전사손익_상반기_연간손익정리(서대호)_02년간예상손익" xfId="5603"/>
    <cellStyle name="7_결산진실성EVA_5월이동_전사손익_상반기_연간손익정리(서대호)_04월 이동계획_전사예상pl" xfId="5604"/>
    <cellStyle name="7_결산진실성EVA_5월이동_전사손익_상반기_연간손익정리(서대호)_1월이동손익_전사예상pl" xfId="5605"/>
    <cellStyle name="7_결산진실성EVA_5월이동_전사손익_상반기_연간손익정리(서대호)_8월예상" xfId="5606"/>
    <cellStyle name="7_결산진실성EVA_5월이동_전사손익_상반기_연간손익정리(서대호)_8월예상_01년간예상손익(12월이동)" xfId="5607"/>
    <cellStyle name="7_결산진실성EVA_5월이동_전사손익_상반기_연간손익정리(서대호)_8월예상_01년간예상손익(12월이동)_2" xfId="5608"/>
    <cellStyle name="7_결산진실성EVA_5월이동_전사손익_상반기_연간손익정리(서대호)_8월예상_02년 2월 이동_예상손익" xfId="5609"/>
    <cellStyle name="7_결산진실성EVA_5월이동_전사손익_상반기_연간손익정리(서대호)_8월예상_02년 2월 이동_예상손익_1" xfId="5610"/>
    <cellStyle name="7_결산진실성EVA_5월이동_전사손익_상반기_연간손익정리(서대호)_8월예상_02년 3월 이동_예상손익(전사취합)" xfId="5611"/>
    <cellStyle name="7_결산진실성EVA_5월이동_전사손익_상반기_연간손익정리(서대호)_8월예상_02년 6월 이동_예상손익(전사취합)" xfId="5612"/>
    <cellStyle name="7_결산진실성EVA_5월이동_전사손익_상반기_연간손익정리(서대호)_8월예상_02년간예상손익" xfId="5613"/>
    <cellStyle name="7_결산진실성EVA_5월이동_전사손익_상반기_연간손익정리(서대호)_8월예상_04월 이동계획_전사예상pl" xfId="5614"/>
    <cellStyle name="7_결산진실성EVA_5월이동_전사손익_상반기_연간손익정리(서대호)_8월예상_1월이동손익_전사예상pl" xfId="5615"/>
    <cellStyle name="7_결산진실성EVA_5월이동_전사손익_상반기_연간손익정리(서대호)_8월예상_obu별손익0112이동" xfId="5616"/>
    <cellStyle name="7_결산진실성EVA_5월이동_전사손익_상반기_연간손익정리(서대호)_obu별손익0112이동" xfId="5617"/>
    <cellStyle name="7_결산진실성EVA_5월이동_전사손익_상반기_연간손익정리(서대호)_연간예상추정5886_0726" xfId="5618"/>
    <cellStyle name="7_결산진실성EVA_5월이동_전사손익_상반기_연간손익정리(서대호)_연간예상추정5886_0726_01년간예상손익(12월이동)" xfId="5619"/>
    <cellStyle name="7_결산진실성EVA_5월이동_전사손익_상반기_연간손익정리(서대호)_연간예상추정5886_0726_01년간예상손익(12월이동)_2" xfId="5620"/>
    <cellStyle name="7_결산진실성EVA_5월이동_전사손익_상반기_연간손익정리(서대호)_연간예상추정5886_0726_02년 2월 이동_예상손익" xfId="5621"/>
    <cellStyle name="7_결산진실성EVA_5월이동_전사손익_상반기_연간손익정리(서대호)_연간예상추정5886_0726_02년 2월 이동_예상손익_1" xfId="5622"/>
    <cellStyle name="7_결산진실성EVA_5월이동_전사손익_상반기_연간손익정리(서대호)_연간예상추정5886_0726_02년 3월 이동_예상손익(전사취합)" xfId="5623"/>
    <cellStyle name="7_결산진실성EVA_5월이동_전사손익_상반기_연간손익정리(서대호)_연간예상추정5886_0726_02년 6월 이동_예상손익(전사취합)" xfId="5624"/>
    <cellStyle name="7_결산진실성EVA_5월이동_전사손익_상반기_연간손익정리(서대호)_연간예상추정5886_0726_02년간예상손익" xfId="5625"/>
    <cellStyle name="7_결산진실성EVA_5월이동_전사손익_상반기_연간손익정리(서대호)_연간예상추정5886_0726_04월 이동계획_전사예상pl" xfId="5626"/>
    <cellStyle name="7_결산진실성EVA_5월이동_전사손익_상반기_연간손익정리(서대호)_연간예상추정5886_0726_1월이동손익_전사예상pl" xfId="5627"/>
    <cellStyle name="7_결산진실성EVA_5월이동_전사손익_상반기_연간손익정리(서대호)_연간예상추정5886_0726_obu별손익0112이동" xfId="5628"/>
    <cellStyle name="7_결산진실성EVA_5월이동_전사손익_연간예상추정5886_0726" xfId="5629"/>
    <cellStyle name="7_결산진실성EVA_5월이동_전사손익_연간예상추정5886_0726_01년간예상손익(12월이동)" xfId="5630"/>
    <cellStyle name="7_결산진실성EVA_5월이동_전사손익_연간예상추정5886_0726_01년간예상손익(12월이동)_2" xfId="5631"/>
    <cellStyle name="7_결산진실성EVA_5월이동_전사손익_연간예상추정5886_0726_02년 2월 이동_예상손익" xfId="5632"/>
    <cellStyle name="7_결산진실성EVA_5월이동_전사손익_연간예상추정5886_0726_02년 2월 이동_예상손익_1" xfId="5633"/>
    <cellStyle name="7_결산진실성EVA_5월이동_전사손익_연간예상추정5886_0726_02년 3월 이동_예상손익(전사취합)" xfId="5634"/>
    <cellStyle name="7_결산진실성EVA_5월이동_전사손익_연간예상추정5886_0726_02년 6월 이동_예상손익(전사취합)" xfId="5635"/>
    <cellStyle name="7_결산진실성EVA_5월이동_전사손익_연간예상추정5886_0726_02년간예상손익" xfId="5636"/>
    <cellStyle name="7_결산진실성EVA_5월이동_전사손익_연간예상추정5886_0726_04월 이동계획_전사예상pl" xfId="5637"/>
    <cellStyle name="7_결산진실성EVA_5월이동_전사손익_연간예상추정5886_0726_1월이동손익_전사예상pl" xfId="5638"/>
    <cellStyle name="7_결산진실성EVA_5월이동_전사손익_연간예상추정5886_0726_obu별손익0112이동" xfId="5639"/>
    <cellStyle name="7_결산진실성EVA_8월 예상손익 점검" xfId="5640"/>
    <cellStyle name="7_결산진실성EVA_8월 예상손익 점검_8월 예상손익 점검" xfId="5641"/>
    <cellStyle name="7_결산진실성EVA_8월 예상손익 점검_8월 예상손익 점검_DM_환율영향분석_본부" xfId="5642"/>
    <cellStyle name="7_결산진실성EVA_8월 예상손익 점검_DM_환율영향분석_본부" xfId="5643"/>
    <cellStyle name="7_결산진실성EVA_8월예상" xfId="5644"/>
    <cellStyle name="7_결산진실성EVA_8월예상_01년간예상손익(12월이동)" xfId="5645"/>
    <cellStyle name="7_결산진실성EVA_8월예상_01년간예상손익(12월이동)_2" xfId="5646"/>
    <cellStyle name="7_결산진실성EVA_8월예상_02년 2월 이동_예상손익" xfId="5647"/>
    <cellStyle name="7_결산진실성EVA_8월예상_02년 2월 이동_예상손익_1" xfId="5648"/>
    <cellStyle name="7_결산진실성EVA_8월예상_02년 3월 이동_예상손익(전사취합)" xfId="5649"/>
    <cellStyle name="7_결산진실성EVA_8월예상_02년 6월 이동_예상손익(전사취합)" xfId="5650"/>
    <cellStyle name="7_결산진실성EVA_8월예상_02년간예상손익" xfId="5651"/>
    <cellStyle name="7_결산진실성EVA_8월예상_04월 이동계획_전사예상pl" xfId="5652"/>
    <cellStyle name="7_결산진실성EVA_8월예상_1월이동손익_전사예상pl" xfId="5653"/>
    <cellStyle name="7_결산진실성EVA_8월예상_obu별손익0112이동" xfId="5654"/>
    <cellStyle name="7_결산진실성EVA_8월전사예상(0903)" xfId="5655"/>
    <cellStyle name="7_결산진실성EVA_8월전사예상(0903)_01년간예상손익(12월이동)" xfId="5656"/>
    <cellStyle name="7_결산진실성EVA_8월전사예상(0903)_01년간예상손익(12월이동)_2" xfId="5657"/>
    <cellStyle name="7_결산진실성EVA_8월전사예상(0903)_02년 2월 이동_예상손익" xfId="5658"/>
    <cellStyle name="7_결산진실성EVA_8월전사예상(0903)_02년 2월 이동_예상손익_1" xfId="5659"/>
    <cellStyle name="7_결산진실성EVA_8월전사예상(0903)_02년 3월 이동_예상손익(전사취합)" xfId="5660"/>
    <cellStyle name="7_결산진실성EVA_8월전사예상(0903)_02년 6월 이동_예상손익(전사취합)" xfId="5661"/>
    <cellStyle name="7_결산진실성EVA_8월전사예상(0903)_02년간예상손익" xfId="5662"/>
    <cellStyle name="7_결산진실성EVA_8월전사예상(0903)_04월 이동계획_전사예상pl" xfId="5663"/>
    <cellStyle name="7_결산진실성EVA_8월전사예상(0903)_1월이동손익_전사예상pl" xfId="5664"/>
    <cellStyle name="7_결산진실성EVA_8월전사예상(0903)_obu별손익0112이동" xfId="5665"/>
    <cellStyle name="7_결산진실성EVA_9-12월예상pl" xfId="5666"/>
    <cellStyle name="7_결산진실성EVA_9-12월예상pl_01년간예상손익(12월이동)" xfId="5667"/>
    <cellStyle name="7_결산진실성EVA_9-12월예상pl_01년간예상손익(12월이동)_2" xfId="5668"/>
    <cellStyle name="7_결산진실성EVA_9-12월예상pl_02년 2월 이동_예상손익" xfId="5669"/>
    <cellStyle name="7_결산진실성EVA_9-12월예상pl_02년 2월 이동_예상손익_1" xfId="5670"/>
    <cellStyle name="7_결산진실성EVA_9-12월예상pl_02년 3월 이동_예상손익(전사취합)" xfId="5671"/>
    <cellStyle name="7_결산진실성EVA_9-12월예상pl_02년 6월 이동_예상손익(전사취합)" xfId="5672"/>
    <cellStyle name="7_결산진실성EVA_9-12월예상pl_02년간예상손익" xfId="5673"/>
    <cellStyle name="7_결산진실성EVA_9-12월예상pl_04월 이동계획_전사예상pl" xfId="5674"/>
    <cellStyle name="7_결산진실성EVA_9-12월예상pl_1월이동손익_전사예상pl" xfId="5675"/>
    <cellStyle name="7_결산진실성EVA_9-12월예상pl_obu별손익0112이동" xfId="5676"/>
    <cellStyle name="7_결산진실성EVA_9월차이동계획(0911)" xfId="5677"/>
    <cellStyle name="7_결산진실성EVA_9월차이동계획(0911)_01년간예상손익(12월이동)" xfId="5678"/>
    <cellStyle name="7_결산진실성EVA_9월차이동계획(0911)_01년간예상손익(12월이동)_2" xfId="5679"/>
    <cellStyle name="7_결산진실성EVA_9월차이동계획(0911)_02년 2월 이동_예상손익" xfId="5680"/>
    <cellStyle name="7_결산진실성EVA_9월차이동계획(0911)_02년 2월 이동_예상손익_1" xfId="5681"/>
    <cellStyle name="7_결산진실성EVA_9월차이동계획(0911)_02년 3월 이동_예상손익(전사취합)" xfId="5682"/>
    <cellStyle name="7_결산진실성EVA_9월차이동계획(0911)_02년 6월 이동_예상손익(전사취합)" xfId="5683"/>
    <cellStyle name="7_결산진실성EVA_9월차이동계획(0911)_02년간예상손익" xfId="5684"/>
    <cellStyle name="7_결산진실성EVA_9월차이동계획(0911)_04월 이동계획_전사예상pl" xfId="5685"/>
    <cellStyle name="7_결산진실성EVA_9월차이동계획(0911)_1월이동손익_전사예상pl" xfId="5686"/>
    <cellStyle name="7_결산진실성EVA_9월차이동계획(0911)_obu별손익0112이동" xfId="5687"/>
    <cellStyle name="7_결산진실성EVA_Book1" xfId="5688"/>
    <cellStyle name="7_결산진실성EVA_DM_환율영향분석_본부" xfId="5689"/>
    <cellStyle name="7_결산진실성EVA_eva&amp;cash_02~05년 CM" xfId="5690"/>
    <cellStyle name="7_결산진실성EVA_그룹+업적보고회+보완사항" xfId="5691"/>
    <cellStyle name="7_결산진실성EVA_본부본사배부_1022FINAL본사비축소_해외법인" xfId="5692"/>
    <cellStyle name="7_결산진실성EVA_사업계획 양식" xfId="5693"/>
    <cellStyle name="7_결산진실성EVA_사업계획 양식_02년사업계획양식V1.0_대호(bs수정)" xfId="5694"/>
    <cellStyle name="7_결산진실성EVA_사업계획 양식_02년사업계획양식V1.0_대호(bs수정)_02년사업계획양식V2.0" xfId="5695"/>
    <cellStyle name="7_결산진실성EVA_사업계획 양식_02년사업계획양식V1.0_대호(bs수정)_02년사업계획양식V2.0_02년사업계획양식V2.0" xfId="5696"/>
    <cellStyle name="7_결산진실성EVA_사업계획 양식_02년사업계획양식V1.0_대호(bs수정)_02년사업계획양식V2.0_02년사업계획양식V2.0_02년사업계획양식V3.0" xfId="5697"/>
    <cellStyle name="7_결산진실성EVA_사업계획 양식_02년사업계획양식V1.0_대호(bs수정)_02년사업계획양식V2.0_02년사업계획양식V2.0_02년사업계획양식V3.0_02년사업계획양식V3.0" xfId="5698"/>
    <cellStyle name="7_결산진실성EVA_사업계획 양식_02년사업계획양식V1.0_대호(bs수정)_02년사업계획양식V2.0_02년사업계획양식V2.0_02년사업계획양식V3.0_02년사업계획양식V3.0(원본)" xfId="5699"/>
    <cellStyle name="7_결산진실성EVA_사업계획 양식_02년사업계획양식V1.0_대호(bs수정)_02년사업계획양식V2.0_02년사업계획양식V2.0_02년사업계획양식V3.0_02년사업계획양식V3.0(원본)_1" xfId="5700"/>
    <cellStyle name="7_결산진실성EVA_사업계획 양식_02년사업계획양식V1.0_대호(bs수정)_02년사업계획양식V2.0_02년사업계획양식V3.0" xfId="5701"/>
    <cellStyle name="7_결산진실성EVA_사업계획 양식_02년사업계획양식V1.0_대호(bs수정)_02년사업계획양식V2.0_02년사업계획양식V3.0(원본)" xfId="5702"/>
    <cellStyle name="7_결산진실성EVA_사업계획 양식_02년사업계획양식V1.0_대호(bs수정)_02년사업계획양식V2.0_02년사업계획양식V3.0(원본)_1" xfId="5703"/>
    <cellStyle name="7_결산진실성EVA_사업계획 양식_02년사업계획양식V1.0_대호(bs수정)_02년사업계획양식V2.0_02년사업계획양식V3.0_02년사업계획양식V3.0" xfId="5704"/>
    <cellStyle name="7_결산진실성EVA_사업계획 양식_02년사업계획양식V1.0_대호(bs수정)_02년사업계획양식V2.0_02년사업계획양식V3.0_02년사업계획양식V3.0_02년사업계획양식V3.0" xfId="5705"/>
    <cellStyle name="7_결산진실성EVA_사업계획 양식_02년사업계획양식V1.0_대호(bs수정)_02년사업계획양식V2.0_02년사업계획양식V3.0_02년사업계획양식V3.0_02년사업계획양식V3.0(원본)" xfId="5706"/>
    <cellStyle name="7_결산진실성EVA_사업계획 양식_02년사업계획양식V1.0_대호(bs수정)_02년사업계획양식V2.0_02년사업계획양식V3.0_02년사업계획양식V3.0_02년사업계획양식V3.0(원본)_1" xfId="5707"/>
    <cellStyle name="7_결산진실성EVA_사업계획 양식_02년사업계획양식V1.0_대호(bs수정)_02년사업계획양식V3.0" xfId="5708"/>
    <cellStyle name="7_결산진실성EVA_사업계획 양식_02년사업계획양식V1.0_대호(bs수정)_02년사업계획양식V3.0_02년사업계획양식V3.0" xfId="5709"/>
    <cellStyle name="7_결산진실성EVA_사업계획 양식_02년사업계획양식V1.0_대호(bs수정)_02년사업계획양식V3.0_02년사업계획양식V3.0(원본)" xfId="5710"/>
    <cellStyle name="7_결산진실성EVA_사업계획 양식_02년사업계획양식V1.0_대호(bs수정)_02년사업계획양식V3.0_02년사업계획양식V3.0(원본)_1" xfId="5711"/>
    <cellStyle name="7_결산진실성EVA_사업계획 양식_02년사업계획양식V2.0" xfId="5712"/>
    <cellStyle name="7_결산진실성EVA_사업계획 양식_02년사업계획양식V2.0_02년사업계획양식V3.0" xfId="5713"/>
    <cellStyle name="7_결산진실성EVA_사업계획 양식_02년사업계획양식V2.0_02년사업계획양식V3.0_02년사업계획양식V3.0" xfId="5714"/>
    <cellStyle name="7_결산진실성EVA_사업계획 양식_02년사업계획양식V2.0_02년사업계획양식V3.0_02년사업계획양식V3.0(원본)" xfId="5715"/>
    <cellStyle name="7_결산진실성EVA_사업계획 양식_02년사업계획양식V2.0_02년사업계획양식V3.0_02년사업계획양식V3.0(원본)_1" xfId="5716"/>
    <cellStyle name="7_결산진실성EVA_사업계획 양식_02년사업계획양식V3.0" xfId="5717"/>
    <cellStyle name="7_결산진실성EVA_사업계획 양식_02년사업계획양식V3.0(원본)" xfId="5718"/>
    <cellStyle name="7_결산진실성EVA_사업계획 양식_02년사업계획양식V3.0(원본)_1" xfId="5719"/>
    <cellStyle name="7_결산진실성EVA_사업계획 양식_02년사업계획양식V3.0_02년사업계획양식V3.0" xfId="5720"/>
    <cellStyle name="7_결산진실성EVA_사업계획 양식_02년사업계획양식V3.0_02년사업계획양식V3.0_02년사업계획양식V3.0" xfId="5721"/>
    <cellStyle name="7_결산진실성EVA_사업계획 양식_02년사업계획양식V3.0_02년사업계획양식V3.0_02년사업계획양식V3.0(원본)" xfId="5722"/>
    <cellStyle name="7_결산진실성EVA_사업계획 양식_02년사업계획양식V3.0_02년사업계획양식V3.0_02년사업계획양식V3.0(원본)_1" xfId="5723"/>
    <cellStyle name="7_결산진실성EVA_상반기_연간손익정리(서대호)" xfId="5724"/>
    <cellStyle name="7_결산진실성EVA_상반기_연간손익정리(서대호)_01년간예상손익(12월이동)" xfId="5725"/>
    <cellStyle name="7_결산진실성EVA_상반기_연간손익정리(서대호)_01년간예상손익(12월이동)_2" xfId="5726"/>
    <cellStyle name="7_결산진실성EVA_상반기_연간손익정리(서대호)_01매출손익(6월 실적반영)" xfId="5727"/>
    <cellStyle name="7_결산진실성EVA_상반기_연간손익정리(서대호)_01매출손익(6월 실적반영)_01년간예상손익(12월이동)" xfId="5728"/>
    <cellStyle name="7_결산진실성EVA_상반기_연간손익정리(서대호)_01매출손익(6월 실적반영)_01년간예상손익(12월이동)_2" xfId="5729"/>
    <cellStyle name="7_결산진실성EVA_상반기_연간손익정리(서대호)_01매출손익(6월 실적반영)_02년 2월 이동_예상손익" xfId="5730"/>
    <cellStyle name="7_결산진실성EVA_상반기_연간손익정리(서대호)_01매출손익(6월 실적반영)_02년 2월 이동_예상손익_1" xfId="5731"/>
    <cellStyle name="7_결산진실성EVA_상반기_연간손익정리(서대호)_01매출손익(6월 실적반영)_02년 3월 이동_예상손익(전사취합)" xfId="5732"/>
    <cellStyle name="7_결산진실성EVA_상반기_연간손익정리(서대호)_01매출손익(6월 실적반영)_02년 6월 이동_예상손익(전사취합)" xfId="5733"/>
    <cellStyle name="7_결산진실성EVA_상반기_연간손익정리(서대호)_01매출손익(6월 실적반영)_02년간예상손익" xfId="5734"/>
    <cellStyle name="7_결산진실성EVA_상반기_연간손익정리(서대호)_01매출손익(6월 실적반영)_04월 이동계획_전사예상pl" xfId="5735"/>
    <cellStyle name="7_결산진실성EVA_상반기_연간손익정리(서대호)_01매출손익(6월 실적반영)_1월이동손익_전사예상pl" xfId="5736"/>
    <cellStyle name="7_결산진실성EVA_상반기_연간손익정리(서대호)_01매출손익(6월 실적반영)_obu별손익0112이동" xfId="5737"/>
    <cellStyle name="7_결산진실성EVA_상반기_연간손익정리(서대호)_02년 2월 이동_예상손익" xfId="5738"/>
    <cellStyle name="7_결산진실성EVA_상반기_연간손익정리(서대호)_02년 2월 이동_예상손익_1" xfId="5739"/>
    <cellStyle name="7_결산진실성EVA_상반기_연간손익정리(서대호)_02년 3월 이동_예상손익(전사취합)" xfId="5740"/>
    <cellStyle name="7_결산진실성EVA_상반기_연간손익정리(서대호)_02년 6월 이동_예상손익(전사취합)" xfId="5741"/>
    <cellStyle name="7_결산진실성EVA_상반기_연간손익정리(서대호)_02년간예상손익" xfId="5742"/>
    <cellStyle name="7_결산진실성EVA_상반기_연간손익정리(서대호)_04월 이동계획_전사예상pl" xfId="5743"/>
    <cellStyle name="7_결산진실성EVA_상반기_연간손익정리(서대호)_1월이동손익_전사예상pl" xfId="5744"/>
    <cellStyle name="7_결산진실성EVA_상반기_연간손익정리(서대호)_8월예상" xfId="5745"/>
    <cellStyle name="7_결산진실성EVA_상반기_연간손익정리(서대호)_8월예상_01년간예상손익(12월이동)" xfId="5746"/>
    <cellStyle name="7_결산진실성EVA_상반기_연간손익정리(서대호)_8월예상_01년간예상손익(12월이동)_2" xfId="5747"/>
    <cellStyle name="7_결산진실성EVA_상반기_연간손익정리(서대호)_8월예상_02년 2월 이동_예상손익" xfId="5748"/>
    <cellStyle name="7_결산진실성EVA_상반기_연간손익정리(서대호)_8월예상_02년 2월 이동_예상손익_1" xfId="5749"/>
    <cellStyle name="7_결산진실성EVA_상반기_연간손익정리(서대호)_8월예상_02년 3월 이동_예상손익(전사취합)" xfId="5750"/>
    <cellStyle name="7_결산진실성EVA_상반기_연간손익정리(서대호)_8월예상_02년 6월 이동_예상손익(전사취합)" xfId="5751"/>
    <cellStyle name="7_결산진실성EVA_상반기_연간손익정리(서대호)_8월예상_02년간예상손익" xfId="5752"/>
    <cellStyle name="7_결산진실성EVA_상반기_연간손익정리(서대호)_8월예상_04월 이동계획_전사예상pl" xfId="5753"/>
    <cellStyle name="7_결산진실성EVA_상반기_연간손익정리(서대호)_8월예상_1월이동손익_전사예상pl" xfId="5754"/>
    <cellStyle name="7_결산진실성EVA_상반기_연간손익정리(서대호)_8월예상_obu별손익0112이동" xfId="5755"/>
    <cellStyle name="7_결산진실성EVA_상반기_연간손익정리(서대호)_obu별손익0112이동" xfId="5756"/>
    <cellStyle name="7_결산진실성EVA_상반기_연간손익정리(서대호)_연간예상추정5886_0726" xfId="5757"/>
    <cellStyle name="7_결산진실성EVA_상반기_연간손익정리(서대호)_연간예상추정5886_0726_01년간예상손익(12월이동)" xfId="5758"/>
    <cellStyle name="7_결산진실성EVA_상반기_연간손익정리(서대호)_연간예상추정5886_0726_01년간예상손익(12월이동)_2" xfId="5759"/>
    <cellStyle name="7_결산진실성EVA_상반기_연간손익정리(서대호)_연간예상추정5886_0726_02년 2월 이동_예상손익" xfId="5760"/>
    <cellStyle name="7_결산진실성EVA_상반기_연간손익정리(서대호)_연간예상추정5886_0726_02년 2월 이동_예상손익_1" xfId="5761"/>
    <cellStyle name="7_결산진실성EVA_상반기_연간손익정리(서대호)_연간예상추정5886_0726_02년 3월 이동_예상손익(전사취합)" xfId="5762"/>
    <cellStyle name="7_결산진실성EVA_상반기_연간손익정리(서대호)_연간예상추정5886_0726_02년 6월 이동_예상손익(전사취합)" xfId="5763"/>
    <cellStyle name="7_결산진실성EVA_상반기_연간손익정리(서대호)_연간예상추정5886_0726_02년간예상손익" xfId="5764"/>
    <cellStyle name="7_결산진실성EVA_상반기_연간손익정리(서대호)_연간예상추정5886_0726_04월 이동계획_전사예상pl" xfId="5765"/>
    <cellStyle name="7_결산진실성EVA_상반기_연간손익정리(서대호)_연간예상추정5886_0726_1월이동손익_전사예상pl" xfId="5766"/>
    <cellStyle name="7_결산진실성EVA_상반기_연간손익정리(서대호)_연간예상추정5886_0726_obu별손익0112이동" xfId="5767"/>
    <cellStyle name="7_결산진실성EVA_연간예상추정5886_0726" xfId="5768"/>
    <cellStyle name="7_결산진실성EVA_연간예상추정5886_0726_01년간예상손익(12월이동)" xfId="5769"/>
    <cellStyle name="7_결산진실성EVA_연간예상추정5886_0726_01년간예상손익(12월이동)_2" xfId="5770"/>
    <cellStyle name="7_결산진실성EVA_연간예상추정5886_0726_02년 2월 이동_예상손익" xfId="5771"/>
    <cellStyle name="7_결산진실성EVA_연간예상추정5886_0726_02년 2월 이동_예상손익_1" xfId="5772"/>
    <cellStyle name="7_결산진실성EVA_연간예상추정5886_0726_02년 3월 이동_예상손익(전사취합)" xfId="5773"/>
    <cellStyle name="7_결산진실성EVA_연간예상추정5886_0726_02년 6월 이동_예상손익(전사취합)" xfId="5774"/>
    <cellStyle name="7_결산진실성EVA_연간예상추정5886_0726_02년간예상손익" xfId="5775"/>
    <cellStyle name="7_결산진실성EVA_연간예상추정5886_0726_04월 이동계획_전사예상pl" xfId="5776"/>
    <cellStyle name="7_결산진실성EVA_연간예상추정5886_0726_1월이동손익_전사예상pl" xfId="5777"/>
    <cellStyle name="7_결산진실성EVA_연간예상추정5886_0726_obu별손익0112이동" xfId="5778"/>
    <cellStyle name="7_그룹+업적보고회+보완사항" xfId="5779"/>
    <cellStyle name="7_본부본사배부_1022FINAL본사비축소_해외법인" xfId="5780"/>
    <cellStyle name="7_사업계획 양식" xfId="5781"/>
    <cellStyle name="7_사업계획 양식_02년사업계획양식V1.0_대호(bs수정)" xfId="5782"/>
    <cellStyle name="7_사업계획 양식_02년사업계획양식V1.0_대호(bs수정)_02년사업계획양식V2.0" xfId="5783"/>
    <cellStyle name="7_사업계획 양식_02년사업계획양식V1.0_대호(bs수정)_02년사업계획양식V2.0_02년사업계획양식V2.0" xfId="5784"/>
    <cellStyle name="7_사업계획 양식_02년사업계획양식V1.0_대호(bs수정)_02년사업계획양식V2.0_02년사업계획양식V2.0_02년사업계획양식V3.0" xfId="5785"/>
    <cellStyle name="7_사업계획 양식_02년사업계획양식V1.0_대호(bs수정)_02년사업계획양식V2.0_02년사업계획양식V2.0_02년사업계획양식V3.0_02년사업계획양식V3.0" xfId="5786"/>
    <cellStyle name="7_사업계획 양식_02년사업계획양식V1.0_대호(bs수정)_02년사업계획양식V2.0_02년사업계획양식V2.0_02년사업계획양식V3.0_02년사업계획양식V3.0(원본)" xfId="5787"/>
    <cellStyle name="7_사업계획 양식_02년사업계획양식V1.0_대호(bs수정)_02년사업계획양식V2.0_02년사업계획양식V2.0_02년사업계획양식V3.0_02년사업계획양식V3.0(원본)_1" xfId="5788"/>
    <cellStyle name="7_사업계획 양식_02년사업계획양식V1.0_대호(bs수정)_02년사업계획양식V2.0_02년사업계획양식V3.0" xfId="5789"/>
    <cellStyle name="7_사업계획 양식_02년사업계획양식V1.0_대호(bs수정)_02년사업계획양식V2.0_02년사업계획양식V3.0(원본)" xfId="5790"/>
    <cellStyle name="7_사업계획 양식_02년사업계획양식V1.0_대호(bs수정)_02년사업계획양식V2.0_02년사업계획양식V3.0(원본)_1" xfId="5791"/>
    <cellStyle name="7_사업계획 양식_02년사업계획양식V1.0_대호(bs수정)_02년사업계획양식V2.0_02년사업계획양식V3.0_02년사업계획양식V3.0" xfId="5792"/>
    <cellStyle name="7_사업계획 양식_02년사업계획양식V1.0_대호(bs수정)_02년사업계획양식V2.0_02년사업계획양식V3.0_02년사업계획양식V3.0_02년사업계획양식V3.0" xfId="5793"/>
    <cellStyle name="7_사업계획 양식_02년사업계획양식V1.0_대호(bs수정)_02년사업계획양식V2.0_02년사업계획양식V3.0_02년사업계획양식V3.0_02년사업계획양식V3.0(원본)" xfId="5794"/>
    <cellStyle name="7_사업계획 양식_02년사업계획양식V1.0_대호(bs수정)_02년사업계획양식V2.0_02년사업계획양식V3.0_02년사업계획양식V3.0_02년사업계획양식V3.0(원본)_1" xfId="5795"/>
    <cellStyle name="7_사업계획 양식_02년사업계획양식V1.0_대호(bs수정)_02년사업계획양식V3.0" xfId="5796"/>
    <cellStyle name="7_사업계획 양식_02년사업계획양식V1.0_대호(bs수정)_02년사업계획양식V3.0_02년사업계획양식V3.0" xfId="5797"/>
    <cellStyle name="7_사업계획 양식_02년사업계획양식V1.0_대호(bs수정)_02년사업계획양식V3.0_02년사업계획양식V3.0(원본)" xfId="5798"/>
    <cellStyle name="7_사업계획 양식_02년사업계획양식V1.0_대호(bs수정)_02년사업계획양식V3.0_02년사업계획양식V3.0(원본)_1" xfId="5799"/>
    <cellStyle name="7_사업계획 양식_02년사업계획양식V2.0" xfId="5800"/>
    <cellStyle name="7_사업계획 양식_02년사업계획양식V2.0_02년사업계획양식V3.0" xfId="5801"/>
    <cellStyle name="7_사업계획 양식_02년사업계획양식V2.0_02년사업계획양식V3.0_02년사업계획양식V3.0" xfId="5802"/>
    <cellStyle name="7_사업계획 양식_02년사업계획양식V2.0_02년사업계획양식V3.0_02년사업계획양식V3.0(원본)" xfId="5803"/>
    <cellStyle name="7_사업계획 양식_02년사업계획양식V2.0_02년사업계획양식V3.0_02년사업계획양식V3.0(원본)_1" xfId="5804"/>
    <cellStyle name="7_사업계획 양식_02년사업계획양식V3.0" xfId="5805"/>
    <cellStyle name="7_사업계획 양식_02년사업계획양식V3.0(원본)" xfId="5806"/>
    <cellStyle name="7_사업계획 양식_02년사업계획양식V3.0(원본)_1" xfId="5807"/>
    <cellStyle name="7_사업계획 양식_02년사업계획양식V3.0_02년사업계획양식V3.0" xfId="5808"/>
    <cellStyle name="7_사업계획 양식_02년사업계획양식V3.0_02년사업계획양식V3.0_02년사업계획양식V3.0" xfId="5809"/>
    <cellStyle name="7_사업계획 양식_02년사업계획양식V3.0_02년사업계획양식V3.0_02년사업계획양식V3.0(원본)" xfId="5810"/>
    <cellStyle name="7_사업계획 양식_02년사업계획양식V3.0_02년사업계획양식V3.0_02년사업계획양식V3.0(원본)_1" xfId="5811"/>
    <cellStyle name="7_상반기_연간손익정리(서대호)" xfId="5812"/>
    <cellStyle name="7_상반기_연간손익정리(서대호)_01년간예상손익(12월이동)" xfId="5813"/>
    <cellStyle name="7_상반기_연간손익정리(서대호)_01년간예상손익(12월이동)_2" xfId="5814"/>
    <cellStyle name="7_상반기_연간손익정리(서대호)_01매출손익(6월 실적반영)" xfId="5815"/>
    <cellStyle name="7_상반기_연간손익정리(서대호)_01매출손익(6월 실적반영)_01년간예상손익(12월이동)" xfId="5816"/>
    <cellStyle name="7_상반기_연간손익정리(서대호)_01매출손익(6월 실적반영)_01년간예상손익(12월이동)_2" xfId="5817"/>
    <cellStyle name="7_상반기_연간손익정리(서대호)_01매출손익(6월 실적반영)_02년 2월 이동_예상손익" xfId="5818"/>
    <cellStyle name="7_상반기_연간손익정리(서대호)_01매출손익(6월 실적반영)_02년 2월 이동_예상손익_1" xfId="5819"/>
    <cellStyle name="7_상반기_연간손익정리(서대호)_01매출손익(6월 실적반영)_02년 3월 이동_예상손익(전사취합)" xfId="5820"/>
    <cellStyle name="7_상반기_연간손익정리(서대호)_01매출손익(6월 실적반영)_02년 6월 이동_예상손익(전사취합)" xfId="5821"/>
    <cellStyle name="7_상반기_연간손익정리(서대호)_01매출손익(6월 실적반영)_02년간예상손익" xfId="5822"/>
    <cellStyle name="7_상반기_연간손익정리(서대호)_01매출손익(6월 실적반영)_04월 이동계획_전사예상pl" xfId="5823"/>
    <cellStyle name="7_상반기_연간손익정리(서대호)_01매출손익(6월 실적반영)_1월이동손익_전사예상pl" xfId="5824"/>
    <cellStyle name="7_상반기_연간손익정리(서대호)_01매출손익(6월 실적반영)_obu별손익0112이동" xfId="5825"/>
    <cellStyle name="7_상반기_연간손익정리(서대호)_02년 2월 이동_예상손익" xfId="5826"/>
    <cellStyle name="7_상반기_연간손익정리(서대호)_02년 2월 이동_예상손익_1" xfId="5827"/>
    <cellStyle name="7_상반기_연간손익정리(서대호)_02년 3월 이동_예상손익(전사취합)" xfId="5828"/>
    <cellStyle name="7_상반기_연간손익정리(서대호)_02년 6월 이동_예상손익(전사취합)" xfId="5829"/>
    <cellStyle name="7_상반기_연간손익정리(서대호)_02년간예상손익" xfId="5830"/>
    <cellStyle name="7_상반기_연간손익정리(서대호)_04월 이동계획_전사예상pl" xfId="5831"/>
    <cellStyle name="7_상반기_연간손익정리(서대호)_1월이동손익_전사예상pl" xfId="5832"/>
    <cellStyle name="7_상반기_연간손익정리(서대호)_8월예상" xfId="5833"/>
    <cellStyle name="7_상반기_연간손익정리(서대호)_8월예상_01년간예상손익(12월이동)" xfId="5834"/>
    <cellStyle name="7_상반기_연간손익정리(서대호)_8월예상_01년간예상손익(12월이동)_2" xfId="5835"/>
    <cellStyle name="7_상반기_연간손익정리(서대호)_8월예상_02년 2월 이동_예상손익" xfId="5836"/>
    <cellStyle name="7_상반기_연간손익정리(서대호)_8월예상_02년 2월 이동_예상손익_1" xfId="5837"/>
    <cellStyle name="7_상반기_연간손익정리(서대호)_8월예상_02년 3월 이동_예상손익(전사취합)" xfId="5838"/>
    <cellStyle name="7_상반기_연간손익정리(서대호)_8월예상_02년 6월 이동_예상손익(전사취합)" xfId="5839"/>
    <cellStyle name="7_상반기_연간손익정리(서대호)_8월예상_02년간예상손익" xfId="5840"/>
    <cellStyle name="7_상반기_연간손익정리(서대호)_8월예상_04월 이동계획_전사예상pl" xfId="5841"/>
    <cellStyle name="7_상반기_연간손익정리(서대호)_8월예상_1월이동손익_전사예상pl" xfId="5842"/>
    <cellStyle name="7_상반기_연간손익정리(서대호)_8월예상_obu별손익0112이동" xfId="5843"/>
    <cellStyle name="7_상반기_연간손익정리(서대호)_obu별손익0112이동" xfId="5844"/>
    <cellStyle name="7_상반기_연간손익정리(서대호)_연간예상추정5886_0726" xfId="5845"/>
    <cellStyle name="7_상반기_연간손익정리(서대호)_연간예상추정5886_0726_01년간예상손익(12월이동)" xfId="5846"/>
    <cellStyle name="7_상반기_연간손익정리(서대호)_연간예상추정5886_0726_01년간예상손익(12월이동)_2" xfId="5847"/>
    <cellStyle name="7_상반기_연간손익정리(서대호)_연간예상추정5886_0726_02년 2월 이동_예상손익" xfId="5848"/>
    <cellStyle name="7_상반기_연간손익정리(서대호)_연간예상추정5886_0726_02년 2월 이동_예상손익_1" xfId="5849"/>
    <cellStyle name="7_상반기_연간손익정리(서대호)_연간예상추정5886_0726_02년 3월 이동_예상손익(전사취합)" xfId="5850"/>
    <cellStyle name="7_상반기_연간손익정리(서대호)_연간예상추정5886_0726_02년 6월 이동_예상손익(전사취합)" xfId="5851"/>
    <cellStyle name="7_상반기_연간손익정리(서대호)_연간예상추정5886_0726_02년간예상손익" xfId="5852"/>
    <cellStyle name="7_상반기_연간손익정리(서대호)_연간예상추정5886_0726_04월 이동계획_전사예상pl" xfId="5853"/>
    <cellStyle name="7_상반기_연간손익정리(서대호)_연간예상추정5886_0726_1월이동손익_전사예상pl" xfId="5854"/>
    <cellStyle name="7_상반기_연간손익정리(서대호)_연간예상추정5886_0726_obu별손익0112이동" xfId="5855"/>
    <cellStyle name="7_연간예상추정5886_0726" xfId="5856"/>
    <cellStyle name="7_연간예상추정5886_0726_01년간예상손익(12월이동)" xfId="5857"/>
    <cellStyle name="7_연간예상추정5886_0726_01년간예상손익(12월이동)_2" xfId="5858"/>
    <cellStyle name="7_연간예상추정5886_0726_02년 2월 이동_예상손익" xfId="5859"/>
    <cellStyle name="7_연간예상추정5886_0726_02년 2월 이동_예상손익_1" xfId="5860"/>
    <cellStyle name="7_연간예상추정5886_0726_02년 3월 이동_예상손익(전사취합)" xfId="5861"/>
    <cellStyle name="7_연간예상추정5886_0726_02년 6월 이동_예상손익(전사취합)" xfId="5862"/>
    <cellStyle name="7_연간예상추정5886_0726_02년간예상손익" xfId="5863"/>
    <cellStyle name="7_연간예상추정5886_0726_04월 이동계획_전사예상pl" xfId="5864"/>
    <cellStyle name="7_연간예상추정5886_0726_1월이동손익_전사예상pl" xfId="5865"/>
    <cellStyle name="7_연간예상추정5886_0726_obu별손익0112이동" xfId="5866"/>
    <cellStyle name="7_전자98결산진실" xfId="5867"/>
    <cellStyle name="7_전자98결산진실_(정우일K)+03년+전략보고+재무구조(030702)" xfId="5868"/>
    <cellStyle name="7_전자98결산진실_★05년 매출,손익" xfId="5869"/>
    <cellStyle name="7_전자98결산진실_★05년 매출,손익_8월 예상손익 점검" xfId="5870"/>
    <cellStyle name="7_전자98결산진실_★05년 매출,손익_8월 예상손익 점검_DM_환율영향분석_본부" xfId="5871"/>
    <cellStyle name="7_전자98결산진실_★05년 매출,손익_DM_환율영향분석_본부" xfId="5872"/>
    <cellStyle name="7_전자98결산진실_01_예상매출(총액)" xfId="5873"/>
    <cellStyle name="7_전자98결산진실_01_예상매출(총액)_01년간예상손익(12월이동)" xfId="5874"/>
    <cellStyle name="7_전자98결산진실_01_예상매출(총액)_01년간예상손익(12월이동)_2" xfId="5875"/>
    <cellStyle name="7_전자98결산진실_01_예상매출(총액)_02년 2월 이동_예상손익" xfId="5876"/>
    <cellStyle name="7_전자98결산진실_01_예상매출(총액)_02년 2월 이동_예상손익_1" xfId="5877"/>
    <cellStyle name="7_전자98결산진실_01_예상매출(총액)_02년 3월 이동_예상손익(전사취합)" xfId="5878"/>
    <cellStyle name="7_전자98결산진실_01_예상매출(총액)_02년 6월 이동_예상손익(전사취합)" xfId="5879"/>
    <cellStyle name="7_전자98결산진실_01_예상매출(총액)_02년간예상손익" xfId="5880"/>
    <cellStyle name="7_전자98결산진실_01_예상매출(총액)_04월 이동계획_전사예상pl" xfId="5881"/>
    <cellStyle name="7_전자98결산진실_01_예상매출(총액)_1월이동손익_전사예상pl" xfId="5882"/>
    <cellStyle name="7_전자98결산진실_01_예상매출(총액)_obu별손익0112이동" xfId="5883"/>
    <cellStyle name="7_전자98결산진실_01년간예상손익" xfId="5884"/>
    <cellStyle name="7_전자98결산진실_01년간예상손익_01년간예상손익(12월이동)" xfId="5885"/>
    <cellStyle name="7_전자98결산진실_01년간예상손익_01년간예상손익(12월이동)_2" xfId="5886"/>
    <cellStyle name="7_전자98결산진실_01년간예상손익_02년 2월 이동_예상손익" xfId="5887"/>
    <cellStyle name="7_전자98결산진실_01년간예상손익_02년 2월 이동_예상손익_1" xfId="5888"/>
    <cellStyle name="7_전자98결산진실_01년간예상손익_02년 3월 이동_예상손익(전사취합)" xfId="5889"/>
    <cellStyle name="7_전자98결산진실_01년간예상손익_02년 6월 이동_예상손익(전사취합)" xfId="5890"/>
    <cellStyle name="7_전자98결산진실_01년간예상손익_02년간예상손익" xfId="5891"/>
    <cellStyle name="7_전자98결산진실_01년간예상손익_04월 이동계획_전사예상pl" xfId="5892"/>
    <cellStyle name="7_전자98결산진실_01년간예상손익_1월이동손익_전사예상pl" xfId="5893"/>
    <cellStyle name="7_전자98결산진실_01년간예상손익_obu별손익0112이동" xfId="5894"/>
    <cellStyle name="7_전자98결산진실_01매출손익(6월 실적반영)" xfId="5895"/>
    <cellStyle name="7_전자98결산진실_01매출손익(6월 실적반영)_01년간예상손익(12월이동)" xfId="5896"/>
    <cellStyle name="7_전자98결산진실_01매출손익(6월 실적반영)_01년간예상손익(12월이동)_2" xfId="5897"/>
    <cellStyle name="7_전자98결산진실_01매출손익(6월 실적반영)_02년 2월 이동_예상손익" xfId="5898"/>
    <cellStyle name="7_전자98결산진실_01매출손익(6월 실적반영)_02년 2월 이동_예상손익_1" xfId="5899"/>
    <cellStyle name="7_전자98결산진실_01매출손익(6월 실적반영)_02년 3월 이동_예상손익(전사취합)" xfId="5900"/>
    <cellStyle name="7_전자98결산진실_01매출손익(6월 실적반영)_02년 6월 이동_예상손익(전사취합)" xfId="5901"/>
    <cellStyle name="7_전자98결산진실_01매출손익(6월 실적반영)_02년간예상손익" xfId="5902"/>
    <cellStyle name="7_전자98결산진실_01매출손익(6월 실적반영)_04월 이동계획_전사예상pl" xfId="5903"/>
    <cellStyle name="7_전자98결산진실_01매출손익(6월 실적반영)_1월이동손익_전사예상pl" xfId="5904"/>
    <cellStyle name="7_전자98결산진실_01매출손익(6월 실적반영)_obu별손익0112이동" xfId="5905"/>
    <cellStyle name="7_전자98결산진실_02기본_종합장표" xfId="5906"/>
    <cellStyle name="7_전자98결산진실_02년사업계획양식V1.0" xfId="5907"/>
    <cellStyle name="7_전자98결산진실_02년사업계획양식V1.0_02년사업계획양식V1.0_고동욱_011205" xfId="5908"/>
    <cellStyle name="7_전자98결산진실_02년사업계획양식V1.0_02년사업계획양식V1.0_고동욱_011205_02년사업계획양식V2.0" xfId="5909"/>
    <cellStyle name="7_전자98결산진실_02년사업계획양식V1.0_02년사업계획양식V1.0_고동욱_011205_02년사업계획양식V2.0_02년사업계획양식V2.0" xfId="5910"/>
    <cellStyle name="7_전자98결산진실_02년사업계획양식V1.0_02년사업계획양식V1.0_고동욱_011205_02년사업계획양식V2.0_02년사업계획양식V2.0_02년사업계획양식V3.0" xfId="5911"/>
    <cellStyle name="7_전자98결산진실_02년사업계획양식V1.0_02년사업계획양식V1.0_고동욱_011205_02년사업계획양식V2.0_02년사업계획양식V2.0_02년사업계획양식V3.0_02년사업계획양식V3.0" xfId="5912"/>
    <cellStyle name="7_전자98결산진실_02년사업계획양식V1.0_02년사업계획양식V1.0_고동욱_011205_02년사업계획양식V2.0_02년사업계획양식V2.0_02년사업계획양식V3.0_02년사업계획양식V3.0(원본)" xfId="5913"/>
    <cellStyle name="7_전자98결산진실_02년사업계획양식V1.0_02년사업계획양식V1.0_고동욱_011205_02년사업계획양식V2.0_02년사업계획양식V2.0_02년사업계획양식V3.0_02년사업계획양식V3.0(원본)_1" xfId="5914"/>
    <cellStyle name="7_전자98결산진실_02년사업계획양식V1.0_02년사업계획양식V1.0_고동욱_011205_02년사업계획양식V2.0_02년사업계획양식V3.0" xfId="5915"/>
    <cellStyle name="7_전자98결산진실_02년사업계획양식V1.0_02년사업계획양식V1.0_고동욱_011205_02년사업계획양식V2.0_02년사업계획양식V3.0(원본)" xfId="5916"/>
    <cellStyle name="7_전자98결산진실_02년사업계획양식V1.0_02년사업계획양식V1.0_고동욱_011205_02년사업계획양식V2.0_02년사업계획양식V3.0(원본)_1" xfId="5917"/>
    <cellStyle name="7_전자98결산진실_02년사업계획양식V1.0_02년사업계획양식V1.0_고동욱_011205_02년사업계획양식V2.0_02년사업계획양식V3.0_02년사업계획양식V3.0" xfId="5918"/>
    <cellStyle name="7_전자98결산진실_02년사업계획양식V1.0_02년사업계획양식V1.0_고동욱_011205_02년사업계획양식V2.0_02년사업계획양식V3.0_02년사업계획양식V3.0_02년사업계획양식V3.0" xfId="5919"/>
    <cellStyle name="7_전자98결산진실_02년사업계획양식V1.0_02년사업계획양식V1.0_고동욱_011205_02년사업계획양식V2.0_02년사업계획양식V3.0_02년사업계획양식V3.0_02년사업계획양식V3.0(원본)" xfId="5920"/>
    <cellStyle name="7_전자98결산진실_02년사업계획양식V1.0_02년사업계획양식V1.0_고동욱_011205_02년사업계획양식V2.0_02년사업계획양식V3.0_02년사업계획양식V3.0_02년사업계획양식V3.0(원본)_1" xfId="5921"/>
    <cellStyle name="7_전자98결산진실_02년사업계획양식V1.0_02년사업계획양식V1.0_고동욱_011205_02년사업계획양식V3.0" xfId="5922"/>
    <cellStyle name="7_전자98결산진실_02년사업계획양식V1.0_02년사업계획양식V1.0_고동욱_011205_02년사업계획양식V3.0_02년사업계획양식V3.0" xfId="5923"/>
    <cellStyle name="7_전자98결산진실_02년사업계획양식V1.0_02년사업계획양식V1.0_고동욱_011205_02년사업계획양식V3.0_02년사업계획양식V3.0(원본)" xfId="5924"/>
    <cellStyle name="7_전자98결산진실_02년사업계획양식V1.0_02년사업계획양식V1.0_고동욱_011205_02년사업계획양식V3.0_02년사업계획양식V3.0(원본)_1" xfId="5925"/>
    <cellStyle name="7_전자98결산진실_02년사업계획양식V1.0_02년사업계획양식V1.0_대호(bs수정)" xfId="5926"/>
    <cellStyle name="7_전자98결산진실_02년사업계획양식V1.0_02년사업계획양식V1.0_대호(bs수정)_02년사업계획양식V2.0" xfId="5927"/>
    <cellStyle name="7_전자98결산진실_02년사업계획양식V1.0_02년사업계획양식V1.0_대호(bs수정)_02년사업계획양식V2.0_02년사업계획양식V2.0" xfId="5928"/>
    <cellStyle name="7_전자98결산진실_02년사업계획양식V1.0_02년사업계획양식V1.0_대호(bs수정)_02년사업계획양식V2.0_02년사업계획양식V2.0_02년사업계획양식V3.0" xfId="5929"/>
    <cellStyle name="7_전자98결산진실_02년사업계획양식V1.0_02년사업계획양식V1.0_대호(bs수정)_02년사업계획양식V2.0_02년사업계획양식V2.0_02년사업계획양식V3.0_02년사업계획양식V3.0" xfId="5930"/>
    <cellStyle name="7_전자98결산진실_02년사업계획양식V1.0_02년사업계획양식V1.0_대호(bs수정)_02년사업계획양식V2.0_02년사업계획양식V2.0_02년사업계획양식V3.0_02년사업계획양식V3.0(원본)" xfId="5931"/>
    <cellStyle name="7_전자98결산진실_02년사업계획양식V1.0_02년사업계획양식V1.0_대호(bs수정)_02년사업계획양식V2.0_02년사업계획양식V2.0_02년사업계획양식V3.0_02년사업계획양식V3.0(원본)_1" xfId="5932"/>
    <cellStyle name="7_전자98결산진실_02년사업계획양식V1.0_02년사업계획양식V1.0_대호(bs수정)_02년사업계획양식V2.0_02년사업계획양식V3.0" xfId="5933"/>
    <cellStyle name="7_전자98결산진실_02년사업계획양식V1.0_02년사업계획양식V1.0_대호(bs수정)_02년사업계획양식V2.0_02년사업계획양식V3.0(원본)" xfId="5934"/>
    <cellStyle name="7_전자98결산진실_02년사업계획양식V1.0_02년사업계획양식V1.0_대호(bs수정)_02년사업계획양식V2.0_02년사업계획양식V3.0(원본)_1" xfId="5935"/>
    <cellStyle name="7_전자98결산진실_02년사업계획양식V1.0_02년사업계획양식V1.0_대호(bs수정)_02년사업계획양식V2.0_02년사업계획양식V3.0_02년사업계획양식V3.0" xfId="5936"/>
    <cellStyle name="7_전자98결산진실_02년사업계획양식V1.0_02년사업계획양식V1.0_대호(bs수정)_02년사업계획양식V2.0_02년사업계획양식V3.0_02년사업계획양식V3.0_02년사업계획양식V3.0" xfId="5937"/>
    <cellStyle name="7_전자98결산진실_02년사업계획양식V1.0_02년사업계획양식V1.0_대호(bs수정)_02년사업계획양식V2.0_02년사업계획양식V3.0_02년사업계획양식V3.0_02년사업계획양식V3.0(원본)" xfId="5938"/>
    <cellStyle name="7_전자98결산진실_02년사업계획양식V1.0_02년사업계획양식V1.0_대호(bs수정)_02년사업계획양식V2.0_02년사업계획양식V3.0_02년사업계획양식V3.0_02년사업계획양식V3.0(원본)_1" xfId="5939"/>
    <cellStyle name="7_전자98결산진실_02년사업계획양식V1.0_02년사업계획양식V1.0_대호(bs수정)_02년사업계획양식V3.0" xfId="5940"/>
    <cellStyle name="7_전자98결산진실_02년사업계획양식V1.0_02년사업계획양식V1.0_대호(bs수정)_02년사업계획양식V3.0_02년사업계획양식V3.0" xfId="5941"/>
    <cellStyle name="7_전자98결산진실_02년사업계획양식V1.0_02년사업계획양식V1.0_대호(bs수정)_02년사업계획양식V3.0_02년사업계획양식V3.0(원본)" xfId="5942"/>
    <cellStyle name="7_전자98결산진실_02년사업계획양식V1.0_02년사업계획양식V1.0_대호(bs수정)_02년사업계획양식V3.0_02년사업계획양식V3.0(원본)_1" xfId="5943"/>
    <cellStyle name="7_전자98결산진실_02년사업계획양식V1.0_02년사업계획양식V2.0" xfId="5944"/>
    <cellStyle name="7_전자98결산진실_02년사업계획양식V1.0_02년사업계획양식V2.0_02년사업계획양식V3.0" xfId="5945"/>
    <cellStyle name="7_전자98결산진실_02년사업계획양식V1.0_02년사업계획양식V2.0_02년사업계획양식V3.0_02년사업계획양식V3.0" xfId="5946"/>
    <cellStyle name="7_전자98결산진실_02년사업계획양식V1.0_02년사업계획양식V2.0_02년사업계획양식V3.0_02년사업계획양식V3.0(원본)" xfId="5947"/>
    <cellStyle name="7_전자98결산진실_02년사업계획양식V1.0_02년사업계획양식V2.0_02년사업계획양식V3.0_02년사업계획양식V3.0(원본)_1" xfId="5948"/>
    <cellStyle name="7_전자98결산진실_02년사업계획양식V1.0_02년사업계획양식V3.0" xfId="5949"/>
    <cellStyle name="7_전자98결산진실_02년사업계획양식V1.0_02년사업계획양식V3.0(원본)" xfId="5950"/>
    <cellStyle name="7_전자98결산진실_02년사업계획양식V1.0_02년사업계획양식V3.0(원본)_1" xfId="5951"/>
    <cellStyle name="7_전자98결산진실_02년사업계획양식V1.0_02년사업계획양식V3.0_02년사업계획양식V3.0" xfId="5952"/>
    <cellStyle name="7_전자98결산진실_02년사업계획양식V1.0_02년사업계획양식V3.0_02년사업계획양식V3.0_02년사업계획양식V3.0" xfId="5953"/>
    <cellStyle name="7_전자98결산진실_02년사업계획양식V1.0_02년사업계획양식V3.0_02년사업계획양식V3.0_02년사업계획양식V3.0(원본)" xfId="5954"/>
    <cellStyle name="7_전자98결산진실_02년사업계획양식V1.0_02년사업계획양식V3.0_02년사업계획양식V3.0_02년사업계획양식V3.0(원본)_1" xfId="5955"/>
    <cellStyle name="7_전자98결산진실_02년사업계획양식V1.0_고동욱_011130" xfId="5956"/>
    <cellStyle name="7_전자98결산진실_02년사업계획양식V1.0_고동욱_011130_02년사업계획양식V2.0" xfId="5957"/>
    <cellStyle name="7_전자98결산진실_02년사업계획양식V1.0_고동욱_011130_02년사업계획양식V2.0_02년사업계획양식V2.0" xfId="5958"/>
    <cellStyle name="7_전자98결산진실_02년사업계획양식V1.0_고동욱_011130_02년사업계획양식V2.0_02년사업계획양식V2.0_02년사업계획양식V3.0" xfId="5959"/>
    <cellStyle name="7_전자98결산진실_02년사업계획양식V1.0_고동욱_011130_02년사업계획양식V2.0_02년사업계획양식V2.0_02년사업계획양식V3.0_02년사업계획양식V3.0" xfId="5960"/>
    <cellStyle name="7_전자98결산진실_02년사업계획양식V1.0_고동욱_011130_02년사업계획양식V2.0_02년사업계획양식V2.0_02년사업계획양식V3.0_02년사업계획양식V3.0(원본)" xfId="5961"/>
    <cellStyle name="7_전자98결산진실_02년사업계획양식V1.0_고동욱_011130_02년사업계획양식V2.0_02년사업계획양식V2.0_02년사업계획양식V3.0_02년사업계획양식V3.0(원본)_1" xfId="5962"/>
    <cellStyle name="7_전자98결산진실_02년사업계획양식V1.0_고동욱_011130_02년사업계획양식V2.0_02년사업계획양식V3.0" xfId="5963"/>
    <cellStyle name="7_전자98결산진실_02년사업계획양식V1.0_고동욱_011130_02년사업계획양식V2.0_02년사업계획양식V3.0(원본)" xfId="5964"/>
    <cellStyle name="7_전자98결산진실_02년사업계획양식V1.0_고동욱_011130_02년사업계획양식V2.0_02년사업계획양식V3.0(원본)_1" xfId="5965"/>
    <cellStyle name="7_전자98결산진실_02년사업계획양식V1.0_고동욱_011130_02년사업계획양식V2.0_02년사업계획양식V3.0_02년사업계획양식V3.0" xfId="5966"/>
    <cellStyle name="7_전자98결산진실_02년사업계획양식V1.0_고동욱_011130_02년사업계획양식V2.0_02년사업계획양식V3.0_02년사업계획양식V3.0_02년사업계획양식V3.0" xfId="5967"/>
    <cellStyle name="7_전자98결산진실_02년사업계획양식V1.0_고동욱_011130_02년사업계획양식V2.0_02년사업계획양식V3.0_02년사업계획양식V3.0_02년사업계획양식V3.0(원본)" xfId="5968"/>
    <cellStyle name="7_전자98결산진실_02년사업계획양식V1.0_고동욱_011130_02년사업계획양식V2.0_02년사업계획양식V3.0_02년사업계획양식V3.0_02년사업계획양식V3.0(원본)_1" xfId="5969"/>
    <cellStyle name="7_전자98결산진실_02년사업계획양식V1.0_고동욱_011130_02년사업계획양식V3.0" xfId="5970"/>
    <cellStyle name="7_전자98결산진실_02년사업계획양식V1.0_고동욱_011130_02년사업계획양식V3.0_02년사업계획양식V3.0" xfId="5971"/>
    <cellStyle name="7_전자98결산진실_02년사업계획양식V1.0_고동욱_011130_02년사업계획양식V3.0_02년사업계획양식V3.0(원본)" xfId="5972"/>
    <cellStyle name="7_전자98결산진실_02년사업계획양식V1.0_고동욱_011130_02년사업계획양식V3.0_02년사업계획양식V3.0(원본)_1" xfId="5973"/>
    <cellStyle name="7_전자98결산진실_02년사업계획양식V1.0_고동욱_011205" xfId="5974"/>
    <cellStyle name="7_전자98결산진실_02년사업계획양식V1.0_고동욱_011205_02년사업계획양식V2.0" xfId="5975"/>
    <cellStyle name="7_전자98결산진실_02년사업계획양식V1.0_고동욱_011205_02년사업계획양식V2.0_02년사업계획양식V2.0" xfId="5976"/>
    <cellStyle name="7_전자98결산진실_02년사업계획양식V1.0_고동욱_011205_02년사업계획양식V2.0_02년사업계획양식V2.0_02년사업계획양식V3.0" xfId="5977"/>
    <cellStyle name="7_전자98결산진실_02년사업계획양식V1.0_고동욱_011205_02년사업계획양식V2.0_02년사업계획양식V2.0_02년사업계획양식V3.0_02년사업계획양식V3.0" xfId="5978"/>
    <cellStyle name="7_전자98결산진실_02년사업계획양식V1.0_고동욱_011205_02년사업계획양식V2.0_02년사업계획양식V2.0_02년사업계획양식V3.0_02년사업계획양식V3.0(원본)" xfId="5979"/>
    <cellStyle name="7_전자98결산진실_02년사업계획양식V1.0_고동욱_011205_02년사업계획양식V2.0_02년사업계획양식V2.0_02년사업계획양식V3.0_02년사업계획양식V3.0(원본)_1" xfId="5980"/>
    <cellStyle name="7_전자98결산진실_02년사업계획양식V1.0_고동욱_011205_02년사업계획양식V2.0_02년사업계획양식V3.0" xfId="5981"/>
    <cellStyle name="7_전자98결산진실_02년사업계획양식V1.0_고동욱_011205_02년사업계획양식V2.0_02년사업계획양식V3.0(원본)" xfId="5982"/>
    <cellStyle name="7_전자98결산진실_02년사업계획양식V1.0_고동욱_011205_02년사업계획양식V2.0_02년사업계획양식V3.0(원본)_1" xfId="5983"/>
    <cellStyle name="7_전자98결산진실_02년사업계획양식V1.0_고동욱_011205_02년사업계획양식V2.0_02년사업계획양식V3.0_02년사업계획양식V3.0" xfId="5984"/>
    <cellStyle name="7_전자98결산진실_02년사업계획양식V1.0_고동욱_011205_02년사업계획양식V2.0_02년사업계획양식V3.0_02년사업계획양식V3.0_02년사업계획양식V3.0" xfId="5985"/>
    <cellStyle name="7_전자98결산진실_02년사업계획양식V1.0_고동욱_011205_02년사업계획양식V2.0_02년사업계획양식V3.0_02년사업계획양식V3.0_02년사업계획양식V3.0(원본)" xfId="5986"/>
    <cellStyle name="7_전자98결산진실_02년사업계획양식V1.0_고동욱_011205_02년사업계획양식V2.0_02년사업계획양식V3.0_02년사업계획양식V3.0_02년사업계획양식V3.0(원본)_1" xfId="5987"/>
    <cellStyle name="7_전자98결산진실_02년사업계획양식V1.0_고동욱_011205_02년사업계획양식V3.0" xfId="5988"/>
    <cellStyle name="7_전자98결산진실_02년사업계획양식V1.0_고동욱_011205_02년사업계획양식V3.0_02년사업계획양식V3.0" xfId="5989"/>
    <cellStyle name="7_전자98결산진실_02년사업계획양식V1.0_고동욱_011205_02년사업계획양식V3.0_02년사업계획양식V3.0(원본)" xfId="5990"/>
    <cellStyle name="7_전자98결산진실_02년사업계획양식V1.0_고동욱_011205_02년사업계획양식V3.0_02년사업계획양식V3.0(원본)_1" xfId="5991"/>
    <cellStyle name="7_전자98결산진실_02년사업계획양식V1.0_대호(bs수정)" xfId="5992"/>
    <cellStyle name="7_전자98결산진실_02년사업계획양식V1.0_대호(bs수정)_02년사업계획양식V2.0" xfId="5993"/>
    <cellStyle name="7_전자98결산진실_02년사업계획양식V1.0_대호(bs수정)_02년사업계획양식V2.0_02년사업계획양식V2.0" xfId="5994"/>
    <cellStyle name="7_전자98결산진실_02년사업계획양식V1.0_대호(bs수정)_02년사업계획양식V2.0_02년사업계획양식V2.0_02년사업계획양식V3.0" xfId="5995"/>
    <cellStyle name="7_전자98결산진실_02년사업계획양식V1.0_대호(bs수정)_02년사업계획양식V2.0_02년사업계획양식V2.0_02년사업계획양식V3.0_02년사업계획양식V3.0" xfId="5996"/>
    <cellStyle name="7_전자98결산진실_02년사업계획양식V1.0_대호(bs수정)_02년사업계획양식V2.0_02년사업계획양식V2.0_02년사업계획양식V3.0_02년사업계획양식V3.0(원본)" xfId="5997"/>
    <cellStyle name="7_전자98결산진실_02년사업계획양식V1.0_대호(bs수정)_02년사업계획양식V2.0_02년사업계획양식V2.0_02년사업계획양식V3.0_02년사업계획양식V3.0(원본)_1" xfId="5998"/>
    <cellStyle name="7_전자98결산진실_02년사업계획양식V1.0_대호(bs수정)_02년사업계획양식V2.0_02년사업계획양식V3.0" xfId="5999"/>
    <cellStyle name="7_전자98결산진실_02년사업계획양식V1.0_대호(bs수정)_02년사업계획양식V2.0_02년사업계획양식V3.0(원본)" xfId="6000"/>
    <cellStyle name="7_전자98결산진실_02년사업계획양식V1.0_대호(bs수정)_02년사업계획양식V2.0_02년사업계획양식V3.0(원본)_1" xfId="6001"/>
    <cellStyle name="7_전자98결산진실_02년사업계획양식V1.0_대호(bs수정)_02년사업계획양식V2.0_02년사업계획양식V3.0_02년사업계획양식V3.0" xfId="6002"/>
    <cellStyle name="7_전자98결산진실_02년사업계획양식V1.0_대호(bs수정)_02년사업계획양식V2.0_02년사업계획양식V3.0_02년사업계획양식V3.0_02년사업계획양식V3.0" xfId="6003"/>
    <cellStyle name="7_전자98결산진실_02년사업계획양식V1.0_대호(bs수정)_02년사업계획양식V2.0_02년사업계획양식V3.0_02년사업계획양식V3.0_02년사업계획양식V3.0(원본)" xfId="6004"/>
    <cellStyle name="7_전자98결산진실_02년사업계획양식V1.0_대호(bs수정)_02년사업계획양식V2.0_02년사업계획양식V3.0_02년사업계획양식V3.0_02년사업계획양식V3.0(원본)_1" xfId="6005"/>
    <cellStyle name="7_전자98결산진실_02년사업계획양식V1.0_대호(bs수정)_02년사업계획양식V3.0" xfId="6006"/>
    <cellStyle name="7_전자98결산진실_02년사업계획양식V1.0_대호(bs수정)_02년사업계획양식V3.0_02년사업계획양식V3.0" xfId="6007"/>
    <cellStyle name="7_전자98결산진실_02년사업계획양식V1.0_대호(bs수정)_02년사업계획양식V3.0_02년사업계획양식V3.0(원본)" xfId="6008"/>
    <cellStyle name="7_전자98결산진실_02년사업계획양식V1.0_대호(bs수정)_02년사업계획양식V3.0_02년사업계획양식V3.0(원본)_1" xfId="6009"/>
    <cellStyle name="7_전자98결산진실_02년사업계획양식V2.0" xfId="6010"/>
    <cellStyle name="7_전자98결산진실_02년사업계획양식V2.0_02년사업계획양식V3.0" xfId="6011"/>
    <cellStyle name="7_전자98결산진실_02년사업계획양식V2.0_02년사업계획양식V3.0_02년사업계획양식V3.0" xfId="6012"/>
    <cellStyle name="7_전자98결산진실_02년사업계획양식V2.0_02년사업계획양식V3.0_02년사업계획양식V3.0(원본)" xfId="6013"/>
    <cellStyle name="7_전자98결산진실_02년사업계획양식V2.0_02년사업계획양식V3.0_02년사업계획양식V3.0(원본)_1" xfId="6014"/>
    <cellStyle name="7_전자98결산진실_02년사업계획양식V3.0" xfId="6015"/>
    <cellStyle name="7_전자98결산진실_02년사업계획양식V3.0(원본)" xfId="6016"/>
    <cellStyle name="7_전자98결산진실_02년사업계획양식V3.0(원본)_1" xfId="6017"/>
    <cellStyle name="7_전자98결산진실_02년사업계획양식V3.0_02년사업계획양식V3.0" xfId="6018"/>
    <cellStyle name="7_전자98결산진실_02년사업계획양식V3.0_02년사업계획양식V3.0_02년사업계획양식V3.0" xfId="6019"/>
    <cellStyle name="7_전자98결산진실_02년사업계획양식V3.0_02년사업계획양식V3.0_02년사업계획양식V3.0(원본)" xfId="6020"/>
    <cellStyle name="7_전자98결산진실_02년사업계획양식V3.0_02년사업계획양식V3.0_02년사업계획양식V3.0(원본)_1" xfId="6021"/>
    <cellStyle name="7_전자98결산진실_02년예상+연결기초자료+이익율+배당금+경영지원금" xfId="6022"/>
    <cellStyle name="7_전자98결산진실_02년예상+연결자료(GSM)" xfId="6023"/>
    <cellStyle name="7_전자98결산진실_02혁신_종합장표" xfId="6024"/>
    <cellStyle name="7_전자98결산진실_03 01 10 혁신(사업부양식)" xfId="6025"/>
    <cellStyle name="7_전자98결산진실_03_사업계획양식(MASS_Link)_1104" xfId="6026"/>
    <cellStyle name="7_전자98결산진실_030124 혁신재료비9" xfId="6027"/>
    <cellStyle name="7_전자98결산진실_03기본_종합장표" xfId="6028"/>
    <cellStyle name="7_전자98결산진실_03법인비용_회수양식_AC" xfId="6029"/>
    <cellStyle name="7_전자98결산진실_03혁신_종합장표" xfId="6030"/>
    <cellStyle name="7_전자98결산진실_10월차이동계획" xfId="6031"/>
    <cellStyle name="7_전자98결산진실_10월차이동계획_01년간예상손익(12월이동)" xfId="6032"/>
    <cellStyle name="7_전자98결산진실_10월차이동계획_01년간예상손익(12월이동)_2" xfId="6033"/>
    <cellStyle name="7_전자98결산진실_10월차이동계획_02년 2월 이동_예상손익" xfId="6034"/>
    <cellStyle name="7_전자98결산진실_10월차이동계획_02년 2월 이동_예상손익_1" xfId="6035"/>
    <cellStyle name="7_전자98결산진실_10월차이동계획_02년 3월 이동_예상손익(전사취합)" xfId="6036"/>
    <cellStyle name="7_전자98결산진실_10월차이동계획_02년 6월 이동_예상손익(전사취합)" xfId="6037"/>
    <cellStyle name="7_전자98결산진실_10월차이동계획_02년간예상손익" xfId="6038"/>
    <cellStyle name="7_전자98결산진실_10월차이동계획_04월 이동계획_전사예상pl" xfId="6039"/>
    <cellStyle name="7_전자98결산진실_10월차이동계획_1월이동손익_전사예상pl" xfId="6040"/>
    <cellStyle name="7_전자98결산진실_10월차이동계획_obu별손익0112이동" xfId="6041"/>
    <cellStyle name="7_전자98결산진실_2001년 01월차 이동계획_0102" xfId="6042"/>
    <cellStyle name="7_전자98결산진실_2001년 01월차 이동계획_0102_2001년 05월 이동계획_" xfId="6043"/>
    <cellStyle name="7_전자98결산진실_2001년 01월차 이동계획_0102_2001년 06월 이동계획_(Maximum)" xfId="6044"/>
    <cellStyle name="7_전자98결산진실_2001년 01월차 이동계획_0102_2001년 07월차 이동계획보고_" xfId="6045"/>
    <cellStyle name="7_전자98결산진실_2001년 01월차 이동계획_0102_2002년_02월차_이동계획보고_" xfId="6046"/>
    <cellStyle name="7_전자98결산진실_2001년 01월차 이동계획_0102_2002년_03월차_이동계획보고_" xfId="6047"/>
    <cellStyle name="7_전자98결산진실_2001년 01월차 이동계획_0102_2002년_03월차_이동계획보고_1차수정" xfId="6048"/>
    <cellStyle name="7_전자98결산진실_2001년 01월차 이동계획_0102_2002년_05월차_이동계획보고_" xfId="6049"/>
    <cellStyle name="7_전자98결산진실_2001년 01월차 이동계획_0102_2002년_06월차_이동계획보고_기종별수정" xfId="6050"/>
    <cellStyle name="7_전자98결산진실_2001년 01월차 이동계획_0102_2002년_07월차_이동계획보고_수정중_철판 반영후_최종" xfId="6051"/>
    <cellStyle name="7_전자98결산진실_2001년 01월차 이동계획_0102_2002년_07월차_이동계획보고_수정중0628_2" xfId="6052"/>
    <cellStyle name="7_전자98결산진실_2001년 01월차 이동계획_0102_VVR0J9DV" xfId="6053"/>
    <cellStyle name="7_전자98결산진실_2001년 02월 실적예상_02월21일기준" xfId="6054"/>
    <cellStyle name="7_전자98결산진실_2001년 02월 실적예상_02월21일기준_2001년 05월 이동계획_" xfId="6055"/>
    <cellStyle name="7_전자98결산진실_2001년 02월 실적예상_02월21일기준_2001년 06월 이동계획_(Maximum)" xfId="6056"/>
    <cellStyle name="7_전자98결산진실_2001년 02월 실적예상_02월21일기준_2001년 07월차 이동계획보고_" xfId="6057"/>
    <cellStyle name="7_전자98결산진실_2001년 02월 실적예상_02월21일기준_2002년_02월차_이동계획보고_" xfId="6058"/>
    <cellStyle name="7_전자98결산진실_2001년 02월 실적예상_02월21일기준_2002년_03월차_이동계획보고_" xfId="6059"/>
    <cellStyle name="7_전자98결산진실_2001년 02월 실적예상_02월21일기준_2002년_03월차_이동계획보고_1차수정" xfId="6060"/>
    <cellStyle name="7_전자98결산진실_2001년 02월 실적예상_02월21일기준_2002년_05월차_이동계획보고_" xfId="6061"/>
    <cellStyle name="7_전자98결산진실_2001년 02월 실적예상_02월21일기준_2002년_06월차_이동계획보고_기종별수정" xfId="6062"/>
    <cellStyle name="7_전자98결산진실_2001년 02월 실적예상_02월21일기준_2002년_07월차_이동계획보고_수정중_철판 반영후_최종" xfId="6063"/>
    <cellStyle name="7_전자98결산진실_2001년 02월 실적예상_02월21일기준_2002년_07월차_이동계획보고_수정중0628_2" xfId="6064"/>
    <cellStyle name="7_전자98결산진실_2001년 02월 실적예상_02월21일기준_VVR0J9DV" xfId="6065"/>
    <cellStyle name="7_전자98결산진실_2001년 02월차 이동계획_" xfId="6066"/>
    <cellStyle name="7_전자98결산진실_2001년 02월차 이동계획__2001년 05월 이동계획_" xfId="6067"/>
    <cellStyle name="7_전자98결산진실_2001년 02월차 이동계획__2001년 06월 이동계획_(Maximum)" xfId="6068"/>
    <cellStyle name="7_전자98결산진실_2001년 02월차 이동계획__2001년 07월차 이동계획보고_" xfId="6069"/>
    <cellStyle name="7_전자98결산진실_2001년 02월차 이동계획__2002년_02월차_이동계획보고_" xfId="6070"/>
    <cellStyle name="7_전자98결산진실_2001년 02월차 이동계획__2002년_03월차_이동계획보고_" xfId="6071"/>
    <cellStyle name="7_전자98결산진실_2001년 02월차 이동계획__2002년_03월차_이동계획보고_1차수정" xfId="6072"/>
    <cellStyle name="7_전자98결산진실_2001년 02월차 이동계획__2002년_05월차_이동계획보고_" xfId="6073"/>
    <cellStyle name="7_전자98결산진실_2001년 02월차 이동계획__2002년_06월차_이동계획보고_기종별수정" xfId="6074"/>
    <cellStyle name="7_전자98결산진실_2001년 02월차 이동계획__2002년_07월차_이동계획보고_수정중_철판 반영후_최종" xfId="6075"/>
    <cellStyle name="7_전자98결산진실_2001년 02월차 이동계획__2002년_07월차_이동계획보고_수정중0628_2" xfId="6076"/>
    <cellStyle name="7_전자98결산진실_2001년 02월차 이동계획__VVR0J9DV" xfId="6077"/>
    <cellStyle name="7_전자98결산진실_2002년_월별사업계획전산_DM" xfId="6078"/>
    <cellStyle name="7_전자98결산진실_2002년_월별사업계획전산_DM_02년사업계획양식V1.0_대호(bs수정)" xfId="6079"/>
    <cellStyle name="7_전자98결산진실_2002년_월별사업계획전산_DM_02년사업계획양식V1.0_대호(bs수정)_02년사업계획양식V2.0" xfId="6080"/>
    <cellStyle name="7_전자98결산진실_2002년_월별사업계획전산_DM_02년사업계획양식V1.0_대호(bs수정)_02년사업계획양식V2.0_02년사업계획양식V2.0" xfId="6081"/>
    <cellStyle name="7_전자98결산진실_2002년_월별사업계획전산_DM_02년사업계획양식V1.0_대호(bs수정)_02년사업계획양식V2.0_02년사업계획양식V2.0_02년사업계획양식V3.0" xfId="6082"/>
    <cellStyle name="7_전자98결산진실_2002년_월별사업계획전산_DM_02년사업계획양식V1.0_대호(bs수정)_02년사업계획양식V2.0_02년사업계획양식V2.0_02년사업계획양식V3.0_02년사업계획양식V3.0" xfId="6083"/>
    <cellStyle name="7_전자98결산진실_2002년_월별사업계획전산_DM_02년사업계획양식V1.0_대호(bs수정)_02년사업계획양식V2.0_02년사업계획양식V2.0_02년사업계획양식V3.0_02년사업계획양식V3.0(원본)" xfId="6084"/>
    <cellStyle name="7_전자98결산진실_2002년_월별사업계획전산_DM_02년사업계획양식V1.0_대호(bs수정)_02년사업계획양식V2.0_02년사업계획양식V2.0_02년사업계획양식V3.0_02년사업계획양식V3.0(원본)_1" xfId="6085"/>
    <cellStyle name="7_전자98결산진실_2002년_월별사업계획전산_DM_02년사업계획양식V1.0_대호(bs수정)_02년사업계획양식V2.0_02년사업계획양식V3.0" xfId="6086"/>
    <cellStyle name="7_전자98결산진실_2002년_월별사업계획전산_DM_02년사업계획양식V1.0_대호(bs수정)_02년사업계획양식V2.0_02년사업계획양식V3.0(원본)" xfId="6087"/>
    <cellStyle name="7_전자98결산진실_2002년_월별사업계획전산_DM_02년사업계획양식V1.0_대호(bs수정)_02년사업계획양식V2.0_02년사업계획양식V3.0(원본)_1" xfId="6088"/>
    <cellStyle name="7_전자98결산진실_2002년_월별사업계획전산_DM_02년사업계획양식V1.0_대호(bs수정)_02년사업계획양식V2.0_02년사업계획양식V3.0_02년사업계획양식V3.0" xfId="6089"/>
    <cellStyle name="7_전자98결산진실_2002년_월별사업계획전산_DM_02년사업계획양식V1.0_대호(bs수정)_02년사업계획양식V2.0_02년사업계획양식V3.0_02년사업계획양식V3.0_02년사업계획양식V3.0" xfId="6090"/>
    <cellStyle name="7_전자98결산진실_2002년_월별사업계획전산_DM_02년사업계획양식V1.0_대호(bs수정)_02년사업계획양식V2.0_02년사업계획양식V3.0_02년사업계획양식V3.0_02년사업계획양식V3.0(원본)" xfId="6091"/>
    <cellStyle name="7_전자98결산진실_2002년_월별사업계획전산_DM_02년사업계획양식V1.0_대호(bs수정)_02년사업계획양식V2.0_02년사업계획양식V3.0_02년사업계획양식V3.0_02년사업계획양식V3.0(원본)_1" xfId="6092"/>
    <cellStyle name="7_전자98결산진실_2002년_월별사업계획전산_DM_02년사업계획양식V1.0_대호(bs수정)_02년사업계획양식V3.0" xfId="6093"/>
    <cellStyle name="7_전자98결산진실_2002년_월별사업계획전산_DM_02년사업계획양식V1.0_대호(bs수정)_02년사업계획양식V3.0_02년사업계획양식V3.0" xfId="6094"/>
    <cellStyle name="7_전자98결산진실_2002년_월별사업계획전산_DM_02년사업계획양식V1.0_대호(bs수정)_02년사업계획양식V3.0_02년사업계획양식V3.0(원본)" xfId="6095"/>
    <cellStyle name="7_전자98결산진실_2002년_월별사업계획전산_DM_02년사업계획양식V1.0_대호(bs수정)_02년사업계획양식V3.0_02년사업계획양식V3.0(원본)_1" xfId="6096"/>
    <cellStyle name="7_전자98결산진실_2002년_월별사업계획전산_DM_02년사업계획양식V2.0" xfId="6097"/>
    <cellStyle name="7_전자98결산진실_2002년_월별사업계획전산_DM_02년사업계획양식V2.0_02년사업계획양식V3.0" xfId="6098"/>
    <cellStyle name="7_전자98결산진실_2002년_월별사업계획전산_DM_02년사업계획양식V2.0_02년사업계획양식V3.0_02년사업계획양식V3.0" xfId="6099"/>
    <cellStyle name="7_전자98결산진실_2002년_월별사업계획전산_DM_02년사업계획양식V2.0_02년사업계획양식V3.0_02년사업계획양식V3.0(원본)" xfId="6100"/>
    <cellStyle name="7_전자98결산진실_2002년_월별사업계획전산_DM_02년사업계획양식V2.0_02년사업계획양식V3.0_02년사업계획양식V3.0(원본)_1" xfId="6101"/>
    <cellStyle name="7_전자98결산진실_2002년_월별사업계획전산_DM_02년사업계획양식V3.0" xfId="6102"/>
    <cellStyle name="7_전자98결산진실_2002년_월별사업계획전산_DM_02년사업계획양식V3.0(원본)" xfId="6103"/>
    <cellStyle name="7_전자98결산진실_2002년_월별사업계획전산_DM_02년사업계획양식V3.0(원본)_1" xfId="6104"/>
    <cellStyle name="7_전자98결산진실_2002년_월별사업계획전산_DM_02년사업계획양식V3.0_02년사업계획양식V3.0" xfId="6105"/>
    <cellStyle name="7_전자98결산진실_2002년_월별사업계획전산_DM_02년사업계획양식V3.0_02년사업계획양식V3.0_02년사업계획양식V3.0" xfId="6106"/>
    <cellStyle name="7_전자98결산진실_2002년_월별사업계획전산_DM_02년사업계획양식V3.0_02년사업계획양식V3.0_02년사업계획양식V3.0(원본)" xfId="6107"/>
    <cellStyle name="7_전자98결산진실_2002년_월별사업계획전산_DM_02년사업계획양식V3.0_02년사업계획양식V3.0_02년사업계획양식V3.0(원본)_1" xfId="6108"/>
    <cellStyle name="7_전자98결산진실_5월이동_전사손익" xfId="6109"/>
    <cellStyle name="7_전자98결산진실_5월이동_전사손익_01년간예상손익(12월이동)" xfId="6110"/>
    <cellStyle name="7_전자98결산진실_5월이동_전사손익_01년간예상손익(12월이동)_2" xfId="6111"/>
    <cellStyle name="7_전자98결산진실_5월이동_전사손익_01매출손익(6월 실적반영)" xfId="6112"/>
    <cellStyle name="7_전자98결산진실_5월이동_전사손익_01매출손익(6월 실적반영)_01년간예상손익(12월이동)" xfId="6113"/>
    <cellStyle name="7_전자98결산진실_5월이동_전사손익_01매출손익(6월 실적반영)_01년간예상손익(12월이동)_2" xfId="6114"/>
    <cellStyle name="7_전자98결산진실_5월이동_전사손익_01매출손익(6월 실적반영)_02년 2월 이동_예상손익" xfId="6115"/>
    <cellStyle name="7_전자98결산진실_5월이동_전사손익_01매출손익(6월 실적반영)_02년 2월 이동_예상손익_1" xfId="6116"/>
    <cellStyle name="7_전자98결산진실_5월이동_전사손익_01매출손익(6월 실적반영)_02년 3월 이동_예상손익(전사취합)" xfId="6117"/>
    <cellStyle name="7_전자98결산진실_5월이동_전사손익_01매출손익(6월 실적반영)_02년 6월 이동_예상손익(전사취합)" xfId="6118"/>
    <cellStyle name="7_전자98결산진실_5월이동_전사손익_01매출손익(6월 실적반영)_02년간예상손익" xfId="6119"/>
    <cellStyle name="7_전자98결산진실_5월이동_전사손익_01매출손익(6월 실적반영)_04월 이동계획_전사예상pl" xfId="6120"/>
    <cellStyle name="7_전자98결산진실_5월이동_전사손익_01매출손익(6월 실적반영)_1월이동손익_전사예상pl" xfId="6121"/>
    <cellStyle name="7_전자98결산진실_5월이동_전사손익_01매출손익(6월 실적반영)_obu별손익0112이동" xfId="6122"/>
    <cellStyle name="7_전자98결산진실_5월이동_전사손익_02년 2월 이동_예상손익" xfId="6123"/>
    <cellStyle name="7_전자98결산진실_5월이동_전사손익_02년 2월 이동_예상손익_1" xfId="6124"/>
    <cellStyle name="7_전자98결산진실_5월이동_전사손익_02년 3월 이동_예상손익(전사취합)" xfId="6125"/>
    <cellStyle name="7_전자98결산진실_5월이동_전사손익_02년 6월 이동_예상손익(전사취합)" xfId="6126"/>
    <cellStyle name="7_전자98결산진실_5월이동_전사손익_02년간예상손익" xfId="6127"/>
    <cellStyle name="7_전자98결산진실_5월이동_전사손익_04월 이동계획_전사예상pl" xfId="6128"/>
    <cellStyle name="7_전자98결산진실_5월이동_전사손익_06전사손익" xfId="6129"/>
    <cellStyle name="7_전자98결산진실_5월이동_전사손익_06전사손익_01년간예상손익(12월이동)" xfId="6130"/>
    <cellStyle name="7_전자98결산진실_5월이동_전사손익_06전사손익_01년간예상손익(12월이동)_2" xfId="6131"/>
    <cellStyle name="7_전자98결산진실_5월이동_전사손익_06전사손익_01매출손익(6월 실적반영)" xfId="6132"/>
    <cellStyle name="7_전자98결산진실_5월이동_전사손익_06전사손익_01매출손익(6월 실적반영)_01년간예상손익(12월이동)" xfId="6133"/>
    <cellStyle name="7_전자98결산진실_5월이동_전사손익_06전사손익_01매출손익(6월 실적반영)_01년간예상손익(12월이동)_2" xfId="6134"/>
    <cellStyle name="7_전자98결산진실_5월이동_전사손익_06전사손익_01매출손익(6월 실적반영)_02년 2월 이동_예상손익" xfId="6135"/>
    <cellStyle name="7_전자98결산진실_5월이동_전사손익_06전사손익_01매출손익(6월 실적반영)_02년 2월 이동_예상손익_1" xfId="6136"/>
    <cellStyle name="7_전자98결산진실_5월이동_전사손익_06전사손익_01매출손익(6월 실적반영)_02년 3월 이동_예상손익(전사취합)" xfId="6137"/>
    <cellStyle name="7_전자98결산진실_5월이동_전사손익_06전사손익_01매출손익(6월 실적반영)_02년 6월 이동_예상손익(전사취합)" xfId="6138"/>
    <cellStyle name="7_전자98결산진실_5월이동_전사손익_06전사손익_01매출손익(6월 실적반영)_02년간예상손익" xfId="6139"/>
    <cellStyle name="7_전자98결산진실_5월이동_전사손익_06전사손익_01매출손익(6월 실적반영)_04월 이동계획_전사예상pl" xfId="6140"/>
    <cellStyle name="7_전자98결산진실_5월이동_전사손익_06전사손익_01매출손익(6월 실적반영)_1월이동손익_전사예상pl" xfId="6141"/>
    <cellStyle name="7_전자98결산진실_5월이동_전사손익_06전사손익_01매출손익(6월 실적반영)_obu별손익0112이동" xfId="6142"/>
    <cellStyle name="7_전자98결산진실_5월이동_전사손익_06전사손익_02년 2월 이동_예상손익" xfId="6143"/>
    <cellStyle name="7_전자98결산진실_5월이동_전사손익_06전사손익_02년 2월 이동_예상손익_1" xfId="6144"/>
    <cellStyle name="7_전자98결산진실_5월이동_전사손익_06전사손익_02년 3월 이동_예상손익(전사취합)" xfId="6145"/>
    <cellStyle name="7_전자98결산진실_5월이동_전사손익_06전사손익_02년 6월 이동_예상손익(전사취합)" xfId="6146"/>
    <cellStyle name="7_전자98결산진실_5월이동_전사손익_06전사손익_02년간예상손익" xfId="6147"/>
    <cellStyle name="7_전자98결산진실_5월이동_전사손익_06전사손익_04월 이동계획_전사예상pl" xfId="6148"/>
    <cellStyle name="7_전자98결산진실_5월이동_전사손익_06전사손익_1월이동손익_전사예상pl" xfId="6149"/>
    <cellStyle name="7_전자98결산진실_5월이동_전사손익_06전사손익_8월예상" xfId="6150"/>
    <cellStyle name="7_전자98결산진실_5월이동_전사손익_06전사손익_8월예상_01년간예상손익(12월이동)" xfId="6151"/>
    <cellStyle name="7_전자98결산진실_5월이동_전사손익_06전사손익_8월예상_01년간예상손익(12월이동)_2" xfId="6152"/>
    <cellStyle name="7_전자98결산진실_5월이동_전사손익_06전사손익_8월예상_02년 2월 이동_예상손익" xfId="6153"/>
    <cellStyle name="7_전자98결산진실_5월이동_전사손익_06전사손익_8월예상_02년 2월 이동_예상손익_1" xfId="6154"/>
    <cellStyle name="7_전자98결산진실_5월이동_전사손익_06전사손익_8월예상_02년 3월 이동_예상손익(전사취합)" xfId="6155"/>
    <cellStyle name="7_전자98결산진실_5월이동_전사손익_06전사손익_8월예상_02년 6월 이동_예상손익(전사취합)" xfId="6156"/>
    <cellStyle name="7_전자98결산진실_5월이동_전사손익_06전사손익_8월예상_02년간예상손익" xfId="6157"/>
    <cellStyle name="7_전자98결산진실_5월이동_전사손익_06전사손익_8월예상_04월 이동계획_전사예상pl" xfId="6158"/>
    <cellStyle name="7_전자98결산진실_5월이동_전사손익_06전사손익_8월예상_1월이동손익_전사예상pl" xfId="6159"/>
    <cellStyle name="7_전자98결산진실_5월이동_전사손익_06전사손익_8월예상_obu별손익0112이동" xfId="6160"/>
    <cellStyle name="7_전자98결산진실_5월이동_전사손익_06전사손익_9-12월예상pl" xfId="6161"/>
    <cellStyle name="7_전자98결산진실_5월이동_전사손익_06전사손익_9-12월예상pl_01년간예상손익(12월이동)" xfId="6162"/>
    <cellStyle name="7_전자98결산진실_5월이동_전사손익_06전사손익_9-12월예상pl_01년간예상손익(12월이동)_2" xfId="6163"/>
    <cellStyle name="7_전자98결산진실_5월이동_전사손익_06전사손익_9-12월예상pl_02년 2월 이동_예상손익" xfId="6164"/>
    <cellStyle name="7_전자98결산진실_5월이동_전사손익_06전사손익_9-12월예상pl_02년 2월 이동_예상손익_1" xfId="6165"/>
    <cellStyle name="7_전자98결산진실_5월이동_전사손익_06전사손익_9-12월예상pl_02년 3월 이동_예상손익(전사취합)" xfId="6166"/>
    <cellStyle name="7_전자98결산진실_5월이동_전사손익_06전사손익_9-12월예상pl_02년 6월 이동_예상손익(전사취합)" xfId="6167"/>
    <cellStyle name="7_전자98결산진실_5월이동_전사손익_06전사손익_9-12월예상pl_02년간예상손익" xfId="6168"/>
    <cellStyle name="7_전자98결산진실_5월이동_전사손익_06전사손익_9-12월예상pl_04월 이동계획_전사예상pl" xfId="6169"/>
    <cellStyle name="7_전자98결산진실_5월이동_전사손익_06전사손익_9-12월예상pl_1월이동손익_전사예상pl" xfId="6170"/>
    <cellStyle name="7_전자98결산진실_5월이동_전사손익_06전사손익_9-12월예상pl_obu별손익0112이동" xfId="6171"/>
    <cellStyle name="7_전자98결산진실_5월이동_전사손익_06전사손익_obu별손익0112이동" xfId="6172"/>
    <cellStyle name="7_전자98결산진실_5월이동_전사손익_06전사손익_상반기_연간손익정리(서대호)" xfId="6173"/>
    <cellStyle name="7_전자98결산진실_5월이동_전사손익_06전사손익_상반기_연간손익정리(서대호)_01년간예상손익(12월이동)" xfId="6174"/>
    <cellStyle name="7_전자98결산진실_5월이동_전사손익_06전사손익_상반기_연간손익정리(서대호)_01년간예상손익(12월이동)_2" xfId="6175"/>
    <cellStyle name="7_전자98결산진실_5월이동_전사손익_06전사손익_상반기_연간손익정리(서대호)_01매출손익(6월 실적반영)" xfId="6176"/>
    <cellStyle name="7_전자98결산진실_5월이동_전사손익_06전사손익_상반기_연간손익정리(서대호)_01매출손익(6월 실적반영)_01년간예상손익(12월이동)" xfId="6177"/>
    <cellStyle name="7_전자98결산진실_5월이동_전사손익_06전사손익_상반기_연간손익정리(서대호)_01매출손익(6월 실적반영)_01년간예상손익(12월이동)_2" xfId="6178"/>
    <cellStyle name="7_전자98결산진실_5월이동_전사손익_06전사손익_상반기_연간손익정리(서대호)_01매출손익(6월 실적반영)_02년 2월 이동_예상손익" xfId="6179"/>
    <cellStyle name="7_전자98결산진실_5월이동_전사손익_06전사손익_상반기_연간손익정리(서대호)_01매출손익(6월 실적반영)_02년 2월 이동_예상손익_1" xfId="6180"/>
    <cellStyle name="7_전자98결산진실_5월이동_전사손익_06전사손익_상반기_연간손익정리(서대호)_01매출손익(6월 실적반영)_02년 3월 이동_예상손익(전사취합)" xfId="6181"/>
    <cellStyle name="7_전자98결산진실_5월이동_전사손익_06전사손익_상반기_연간손익정리(서대호)_01매출손익(6월 실적반영)_02년 6월 이동_예상손익(전사취합)" xfId="6182"/>
    <cellStyle name="7_전자98결산진실_5월이동_전사손익_06전사손익_상반기_연간손익정리(서대호)_01매출손익(6월 실적반영)_02년간예상손익" xfId="6183"/>
    <cellStyle name="7_전자98결산진실_5월이동_전사손익_06전사손익_상반기_연간손익정리(서대호)_01매출손익(6월 실적반영)_04월 이동계획_전사예상pl" xfId="6184"/>
    <cellStyle name="7_전자98결산진실_5월이동_전사손익_06전사손익_상반기_연간손익정리(서대호)_01매출손익(6월 실적반영)_1월이동손익_전사예상pl" xfId="6185"/>
    <cellStyle name="7_전자98결산진실_5월이동_전사손익_06전사손익_상반기_연간손익정리(서대호)_01매출손익(6월 실적반영)_obu별손익0112이동" xfId="6186"/>
    <cellStyle name="7_전자98결산진실_5월이동_전사손익_06전사손익_상반기_연간손익정리(서대호)_02년 2월 이동_예상손익" xfId="6187"/>
    <cellStyle name="7_전자98결산진실_5월이동_전사손익_06전사손익_상반기_연간손익정리(서대호)_02년 2월 이동_예상손익_1" xfId="6188"/>
    <cellStyle name="7_전자98결산진실_5월이동_전사손익_06전사손익_상반기_연간손익정리(서대호)_02년 3월 이동_예상손익(전사취합)" xfId="6189"/>
    <cellStyle name="7_전자98결산진실_5월이동_전사손익_06전사손익_상반기_연간손익정리(서대호)_02년 6월 이동_예상손익(전사취합)" xfId="6190"/>
    <cellStyle name="7_전자98결산진실_5월이동_전사손익_06전사손익_상반기_연간손익정리(서대호)_02년간예상손익" xfId="6191"/>
    <cellStyle name="7_전자98결산진실_5월이동_전사손익_06전사손익_상반기_연간손익정리(서대호)_04월 이동계획_전사예상pl" xfId="6192"/>
    <cellStyle name="7_전자98결산진실_5월이동_전사손익_06전사손익_상반기_연간손익정리(서대호)_1월이동손익_전사예상pl" xfId="6193"/>
    <cellStyle name="7_전자98결산진실_5월이동_전사손익_06전사손익_상반기_연간손익정리(서대호)_8월예상" xfId="6194"/>
    <cellStyle name="7_전자98결산진실_5월이동_전사손익_06전사손익_상반기_연간손익정리(서대호)_8월예상_01년간예상손익(12월이동)" xfId="6195"/>
    <cellStyle name="7_전자98결산진실_5월이동_전사손익_06전사손익_상반기_연간손익정리(서대호)_8월예상_01년간예상손익(12월이동)_2" xfId="6196"/>
    <cellStyle name="7_전자98결산진실_5월이동_전사손익_06전사손익_상반기_연간손익정리(서대호)_8월예상_02년 2월 이동_예상손익" xfId="6197"/>
    <cellStyle name="7_전자98결산진실_5월이동_전사손익_06전사손익_상반기_연간손익정리(서대호)_8월예상_02년 2월 이동_예상손익_1" xfId="6198"/>
    <cellStyle name="7_전자98결산진실_5월이동_전사손익_06전사손익_상반기_연간손익정리(서대호)_8월예상_02년 3월 이동_예상손익(전사취합)" xfId="6199"/>
    <cellStyle name="7_전자98결산진실_5월이동_전사손익_06전사손익_상반기_연간손익정리(서대호)_8월예상_02년 6월 이동_예상손익(전사취합)" xfId="6200"/>
    <cellStyle name="7_전자98결산진실_5월이동_전사손익_06전사손익_상반기_연간손익정리(서대호)_8월예상_02년간예상손익" xfId="6201"/>
    <cellStyle name="7_전자98결산진실_5월이동_전사손익_06전사손익_상반기_연간손익정리(서대호)_8월예상_04월 이동계획_전사예상pl" xfId="6202"/>
    <cellStyle name="7_전자98결산진실_5월이동_전사손익_06전사손익_상반기_연간손익정리(서대호)_8월예상_1월이동손익_전사예상pl" xfId="6203"/>
    <cellStyle name="7_전자98결산진실_5월이동_전사손익_06전사손익_상반기_연간손익정리(서대호)_8월예상_obu별손익0112이동" xfId="6204"/>
    <cellStyle name="7_전자98결산진실_5월이동_전사손익_06전사손익_상반기_연간손익정리(서대호)_obu별손익0112이동" xfId="6205"/>
    <cellStyle name="7_전자98결산진실_5월이동_전사손익_06전사손익_상반기_연간손익정리(서대호)_연간예상추정5886_0726" xfId="6206"/>
    <cellStyle name="7_전자98결산진실_5월이동_전사손익_06전사손익_상반기_연간손익정리(서대호)_연간예상추정5886_0726_01년간예상손익(12월이동)" xfId="6207"/>
    <cellStyle name="7_전자98결산진실_5월이동_전사손익_06전사손익_상반기_연간손익정리(서대호)_연간예상추정5886_0726_01년간예상손익(12월이동)_2" xfId="6208"/>
    <cellStyle name="7_전자98결산진실_5월이동_전사손익_06전사손익_상반기_연간손익정리(서대호)_연간예상추정5886_0726_02년 2월 이동_예상손익" xfId="6209"/>
    <cellStyle name="7_전자98결산진실_5월이동_전사손익_06전사손익_상반기_연간손익정리(서대호)_연간예상추정5886_0726_02년 2월 이동_예상손익_1" xfId="6210"/>
    <cellStyle name="7_전자98결산진실_5월이동_전사손익_06전사손익_상반기_연간손익정리(서대호)_연간예상추정5886_0726_02년 3월 이동_예상손익(전사취합)" xfId="6211"/>
    <cellStyle name="7_전자98결산진실_5월이동_전사손익_06전사손익_상반기_연간손익정리(서대호)_연간예상추정5886_0726_02년 6월 이동_예상손익(전사취합)" xfId="6212"/>
    <cellStyle name="7_전자98결산진실_5월이동_전사손익_06전사손익_상반기_연간손익정리(서대호)_연간예상추정5886_0726_02년간예상손익" xfId="6213"/>
    <cellStyle name="7_전자98결산진실_5월이동_전사손익_06전사손익_상반기_연간손익정리(서대호)_연간예상추정5886_0726_04월 이동계획_전사예상pl" xfId="6214"/>
    <cellStyle name="7_전자98결산진실_5월이동_전사손익_06전사손익_상반기_연간손익정리(서대호)_연간예상추정5886_0726_1월이동손익_전사예상pl" xfId="6215"/>
    <cellStyle name="7_전자98결산진실_5월이동_전사손익_06전사손익_상반기_연간손익정리(서대호)_연간예상추정5886_0726_obu별손익0112이동" xfId="6216"/>
    <cellStyle name="7_전자98결산진실_5월이동_전사손익_06전사손익_연간예상추정5886_0726" xfId="6217"/>
    <cellStyle name="7_전자98결산진실_5월이동_전사손익_06전사손익_연간예상추정5886_0726_01년간예상손익(12월이동)" xfId="6218"/>
    <cellStyle name="7_전자98결산진실_5월이동_전사손익_06전사손익_연간예상추정5886_0726_01년간예상손익(12월이동)_2" xfId="6219"/>
    <cellStyle name="7_전자98결산진실_5월이동_전사손익_06전사손익_연간예상추정5886_0726_02년 2월 이동_예상손익" xfId="6220"/>
    <cellStyle name="7_전자98결산진실_5월이동_전사손익_06전사손익_연간예상추정5886_0726_02년 2월 이동_예상손익_1" xfId="6221"/>
    <cellStyle name="7_전자98결산진실_5월이동_전사손익_06전사손익_연간예상추정5886_0726_02년 3월 이동_예상손익(전사취합)" xfId="6222"/>
    <cellStyle name="7_전자98결산진실_5월이동_전사손익_06전사손익_연간예상추정5886_0726_02년 6월 이동_예상손익(전사취합)" xfId="6223"/>
    <cellStyle name="7_전자98결산진실_5월이동_전사손익_06전사손익_연간예상추정5886_0726_02년간예상손익" xfId="6224"/>
    <cellStyle name="7_전자98결산진실_5월이동_전사손익_06전사손익_연간예상추정5886_0726_04월 이동계획_전사예상pl" xfId="6225"/>
    <cellStyle name="7_전자98결산진실_5월이동_전사손익_06전사손익_연간예상추정5886_0726_1월이동손익_전사예상pl" xfId="6226"/>
    <cellStyle name="7_전자98결산진실_5월이동_전사손익_06전사손익_연간예상추정5886_0726_obu별손익0112이동" xfId="6227"/>
    <cellStyle name="7_전자98결산진실_5월이동_전사손익_06전사손익1" xfId="6228"/>
    <cellStyle name="7_전자98결산진실_5월이동_전사손익_06전사손익1_01년간예상손익(12월이동)" xfId="6229"/>
    <cellStyle name="7_전자98결산진실_5월이동_전사손익_06전사손익1_01년간예상손익(12월이동)_2" xfId="6230"/>
    <cellStyle name="7_전자98결산진실_5월이동_전사손익_06전사손익1_01매출손익(6월 실적반영)" xfId="6231"/>
    <cellStyle name="7_전자98결산진실_5월이동_전사손익_06전사손익1_01매출손익(6월 실적반영)_01년간예상손익(12월이동)" xfId="6232"/>
    <cellStyle name="7_전자98결산진실_5월이동_전사손익_06전사손익1_01매출손익(6월 실적반영)_01년간예상손익(12월이동)_2" xfId="6233"/>
    <cellStyle name="7_전자98결산진실_5월이동_전사손익_06전사손익1_01매출손익(6월 실적반영)_02년 2월 이동_예상손익" xfId="6234"/>
    <cellStyle name="7_전자98결산진실_5월이동_전사손익_06전사손익1_01매출손익(6월 실적반영)_02년 2월 이동_예상손익_1" xfId="6235"/>
    <cellStyle name="7_전자98결산진실_5월이동_전사손익_06전사손익1_01매출손익(6월 실적반영)_02년 3월 이동_예상손익(전사취합)" xfId="6236"/>
    <cellStyle name="7_전자98결산진실_5월이동_전사손익_06전사손익1_01매출손익(6월 실적반영)_02년 6월 이동_예상손익(전사취합)" xfId="6237"/>
    <cellStyle name="7_전자98결산진실_5월이동_전사손익_06전사손익1_01매출손익(6월 실적반영)_02년간예상손익" xfId="6238"/>
    <cellStyle name="7_전자98결산진실_5월이동_전사손익_06전사손익1_01매출손익(6월 실적반영)_04월 이동계획_전사예상pl" xfId="6239"/>
    <cellStyle name="7_전자98결산진실_5월이동_전사손익_06전사손익1_01매출손익(6월 실적반영)_1월이동손익_전사예상pl" xfId="6240"/>
    <cellStyle name="7_전자98결산진실_5월이동_전사손익_06전사손익1_01매출손익(6월 실적반영)_obu별손익0112이동" xfId="6241"/>
    <cellStyle name="7_전자98결산진실_5월이동_전사손익_06전사손익1_02년 2월 이동_예상손익" xfId="6242"/>
    <cellStyle name="7_전자98결산진실_5월이동_전사손익_06전사손익1_02년 2월 이동_예상손익_1" xfId="6243"/>
    <cellStyle name="7_전자98결산진실_5월이동_전사손익_06전사손익1_02년 3월 이동_예상손익(전사취합)" xfId="6244"/>
    <cellStyle name="7_전자98결산진실_5월이동_전사손익_06전사손익1_02년 6월 이동_예상손익(전사취합)" xfId="6245"/>
    <cellStyle name="7_전자98결산진실_5월이동_전사손익_06전사손익1_02년간예상손익" xfId="6246"/>
    <cellStyle name="7_전자98결산진실_5월이동_전사손익_06전사손익1_04월 이동계획_전사예상pl" xfId="6247"/>
    <cellStyle name="7_전자98결산진실_5월이동_전사손익_06전사손익1_1월이동손익_전사예상pl" xfId="6248"/>
    <cellStyle name="7_전자98결산진실_5월이동_전사손익_06전사손익1_8월예상" xfId="6249"/>
    <cellStyle name="7_전자98결산진실_5월이동_전사손익_06전사손익1_8월예상_01년간예상손익(12월이동)" xfId="6250"/>
    <cellStyle name="7_전자98결산진실_5월이동_전사손익_06전사손익1_8월예상_01년간예상손익(12월이동)_2" xfId="6251"/>
    <cellStyle name="7_전자98결산진실_5월이동_전사손익_06전사손익1_8월예상_02년 2월 이동_예상손익" xfId="6252"/>
    <cellStyle name="7_전자98결산진실_5월이동_전사손익_06전사손익1_8월예상_02년 2월 이동_예상손익_1" xfId="6253"/>
    <cellStyle name="7_전자98결산진실_5월이동_전사손익_06전사손익1_8월예상_02년 3월 이동_예상손익(전사취합)" xfId="6254"/>
    <cellStyle name="7_전자98결산진실_5월이동_전사손익_06전사손익1_8월예상_02년 6월 이동_예상손익(전사취합)" xfId="6255"/>
    <cellStyle name="7_전자98결산진실_5월이동_전사손익_06전사손익1_8월예상_02년간예상손익" xfId="6256"/>
    <cellStyle name="7_전자98결산진실_5월이동_전사손익_06전사손익1_8월예상_04월 이동계획_전사예상pl" xfId="6257"/>
    <cellStyle name="7_전자98결산진실_5월이동_전사손익_06전사손익1_8월예상_1월이동손익_전사예상pl" xfId="6258"/>
    <cellStyle name="7_전자98결산진실_5월이동_전사손익_06전사손익1_8월예상_obu별손익0112이동" xfId="6259"/>
    <cellStyle name="7_전자98결산진실_5월이동_전사손익_06전사손익1_9-12월예상pl" xfId="6260"/>
    <cellStyle name="7_전자98결산진실_5월이동_전사손익_06전사손익1_9-12월예상pl_01년간예상손익(12월이동)" xfId="6261"/>
    <cellStyle name="7_전자98결산진실_5월이동_전사손익_06전사손익1_9-12월예상pl_01년간예상손익(12월이동)_2" xfId="6262"/>
    <cellStyle name="7_전자98결산진실_5월이동_전사손익_06전사손익1_9-12월예상pl_02년 2월 이동_예상손익" xfId="6263"/>
    <cellStyle name="7_전자98결산진실_5월이동_전사손익_06전사손익1_9-12월예상pl_02년 2월 이동_예상손익_1" xfId="6264"/>
    <cellStyle name="7_전자98결산진실_5월이동_전사손익_06전사손익1_9-12월예상pl_02년 3월 이동_예상손익(전사취합)" xfId="6265"/>
    <cellStyle name="7_전자98결산진실_5월이동_전사손익_06전사손익1_9-12월예상pl_02년 6월 이동_예상손익(전사취합)" xfId="6266"/>
    <cellStyle name="7_전자98결산진실_5월이동_전사손익_06전사손익1_9-12월예상pl_02년간예상손익" xfId="6267"/>
    <cellStyle name="7_전자98결산진실_5월이동_전사손익_06전사손익1_9-12월예상pl_04월 이동계획_전사예상pl" xfId="6268"/>
    <cellStyle name="7_전자98결산진실_5월이동_전사손익_06전사손익1_9-12월예상pl_1월이동손익_전사예상pl" xfId="6269"/>
    <cellStyle name="7_전자98결산진실_5월이동_전사손익_06전사손익1_9-12월예상pl_obu별손익0112이동" xfId="6270"/>
    <cellStyle name="7_전자98결산진실_5월이동_전사손익_06전사손익1_obu별손익0112이동" xfId="6271"/>
    <cellStyle name="7_전자98결산진실_5월이동_전사손익_06전사손익1_상반기_연간손익정리(서대호)" xfId="6272"/>
    <cellStyle name="7_전자98결산진실_5월이동_전사손익_06전사손익1_상반기_연간손익정리(서대호)_01년간예상손익(12월이동)" xfId="6273"/>
    <cellStyle name="7_전자98결산진실_5월이동_전사손익_06전사손익1_상반기_연간손익정리(서대호)_01년간예상손익(12월이동)_2" xfId="6274"/>
    <cellStyle name="7_전자98결산진실_5월이동_전사손익_06전사손익1_상반기_연간손익정리(서대호)_01매출손익(6월 실적반영)" xfId="6275"/>
    <cellStyle name="7_전자98결산진실_5월이동_전사손익_06전사손익1_상반기_연간손익정리(서대호)_01매출손익(6월 실적반영)_01년간예상손익(12월이동)" xfId="6276"/>
    <cellStyle name="7_전자98결산진실_5월이동_전사손익_06전사손익1_상반기_연간손익정리(서대호)_01매출손익(6월 실적반영)_01년간예상손익(12월이동)_2" xfId="6277"/>
    <cellStyle name="7_전자98결산진실_5월이동_전사손익_06전사손익1_상반기_연간손익정리(서대호)_01매출손익(6월 실적반영)_02년 2월 이동_예상손익" xfId="6278"/>
    <cellStyle name="7_전자98결산진실_5월이동_전사손익_06전사손익1_상반기_연간손익정리(서대호)_01매출손익(6월 실적반영)_02년 2월 이동_예상손익_1" xfId="6279"/>
    <cellStyle name="7_전자98결산진실_5월이동_전사손익_06전사손익1_상반기_연간손익정리(서대호)_01매출손익(6월 실적반영)_02년 3월 이동_예상손익(전사취합)" xfId="6280"/>
    <cellStyle name="7_전자98결산진실_5월이동_전사손익_06전사손익1_상반기_연간손익정리(서대호)_01매출손익(6월 실적반영)_02년 6월 이동_예상손익(전사취합)" xfId="6281"/>
    <cellStyle name="7_전자98결산진실_5월이동_전사손익_06전사손익1_상반기_연간손익정리(서대호)_01매출손익(6월 실적반영)_02년간예상손익" xfId="6282"/>
    <cellStyle name="7_전자98결산진실_5월이동_전사손익_06전사손익1_상반기_연간손익정리(서대호)_01매출손익(6월 실적반영)_04월 이동계획_전사예상pl" xfId="6283"/>
    <cellStyle name="7_전자98결산진실_5월이동_전사손익_06전사손익1_상반기_연간손익정리(서대호)_01매출손익(6월 실적반영)_1월이동손익_전사예상pl" xfId="6284"/>
    <cellStyle name="7_전자98결산진실_5월이동_전사손익_06전사손익1_상반기_연간손익정리(서대호)_01매출손익(6월 실적반영)_obu별손익0112이동" xfId="6285"/>
    <cellStyle name="7_전자98결산진실_5월이동_전사손익_06전사손익1_상반기_연간손익정리(서대호)_02년 2월 이동_예상손익" xfId="6286"/>
    <cellStyle name="7_전자98결산진실_5월이동_전사손익_06전사손익1_상반기_연간손익정리(서대호)_02년 2월 이동_예상손익_1" xfId="6287"/>
    <cellStyle name="7_전자98결산진실_5월이동_전사손익_06전사손익1_상반기_연간손익정리(서대호)_02년 3월 이동_예상손익(전사취합)" xfId="6288"/>
    <cellStyle name="7_전자98결산진실_5월이동_전사손익_06전사손익1_상반기_연간손익정리(서대호)_02년 6월 이동_예상손익(전사취합)" xfId="6289"/>
    <cellStyle name="7_전자98결산진실_5월이동_전사손익_06전사손익1_상반기_연간손익정리(서대호)_02년간예상손익" xfId="6290"/>
    <cellStyle name="7_전자98결산진실_5월이동_전사손익_06전사손익1_상반기_연간손익정리(서대호)_04월 이동계획_전사예상pl" xfId="6291"/>
    <cellStyle name="7_전자98결산진실_5월이동_전사손익_06전사손익1_상반기_연간손익정리(서대호)_1월이동손익_전사예상pl" xfId="6292"/>
    <cellStyle name="7_전자98결산진실_5월이동_전사손익_06전사손익1_상반기_연간손익정리(서대호)_8월예상" xfId="6293"/>
    <cellStyle name="7_전자98결산진실_5월이동_전사손익_06전사손익1_상반기_연간손익정리(서대호)_8월예상_01년간예상손익(12월이동)" xfId="6294"/>
    <cellStyle name="7_전자98결산진실_5월이동_전사손익_06전사손익1_상반기_연간손익정리(서대호)_8월예상_01년간예상손익(12월이동)_2" xfId="6295"/>
    <cellStyle name="7_전자98결산진실_5월이동_전사손익_06전사손익1_상반기_연간손익정리(서대호)_8월예상_02년 2월 이동_예상손익" xfId="6296"/>
    <cellStyle name="7_전자98결산진실_5월이동_전사손익_06전사손익1_상반기_연간손익정리(서대호)_8월예상_02년 2월 이동_예상손익_1" xfId="6297"/>
    <cellStyle name="7_전자98결산진실_5월이동_전사손익_06전사손익1_상반기_연간손익정리(서대호)_8월예상_02년 3월 이동_예상손익(전사취합)" xfId="6298"/>
    <cellStyle name="7_전자98결산진실_5월이동_전사손익_06전사손익1_상반기_연간손익정리(서대호)_8월예상_02년 6월 이동_예상손익(전사취합)" xfId="6299"/>
    <cellStyle name="7_전자98결산진실_5월이동_전사손익_06전사손익1_상반기_연간손익정리(서대호)_8월예상_02년간예상손익" xfId="6300"/>
    <cellStyle name="7_전자98결산진실_5월이동_전사손익_06전사손익1_상반기_연간손익정리(서대호)_8월예상_04월 이동계획_전사예상pl" xfId="6301"/>
    <cellStyle name="7_전자98결산진실_5월이동_전사손익_06전사손익1_상반기_연간손익정리(서대호)_8월예상_1월이동손익_전사예상pl" xfId="6302"/>
    <cellStyle name="7_전자98결산진실_5월이동_전사손익_06전사손익1_상반기_연간손익정리(서대호)_8월예상_obu별손익0112이동" xfId="6303"/>
    <cellStyle name="7_전자98결산진실_5월이동_전사손익_06전사손익1_상반기_연간손익정리(서대호)_obu별손익0112이동" xfId="6304"/>
    <cellStyle name="7_전자98결산진실_5월이동_전사손익_06전사손익1_상반기_연간손익정리(서대호)_연간예상추정5886_0726" xfId="6305"/>
    <cellStyle name="7_전자98결산진실_5월이동_전사손익_06전사손익1_상반기_연간손익정리(서대호)_연간예상추정5886_0726_01년간예상손익(12월이동)" xfId="6306"/>
    <cellStyle name="7_전자98결산진실_5월이동_전사손익_06전사손익1_상반기_연간손익정리(서대호)_연간예상추정5886_0726_01년간예상손익(12월이동)_2" xfId="6307"/>
    <cellStyle name="7_전자98결산진실_5월이동_전사손익_06전사손익1_상반기_연간손익정리(서대호)_연간예상추정5886_0726_02년 2월 이동_예상손익" xfId="6308"/>
    <cellStyle name="7_전자98결산진실_5월이동_전사손익_06전사손익1_상반기_연간손익정리(서대호)_연간예상추정5886_0726_02년 2월 이동_예상손익_1" xfId="6309"/>
    <cellStyle name="7_전자98결산진실_5월이동_전사손익_06전사손익1_상반기_연간손익정리(서대호)_연간예상추정5886_0726_02년 3월 이동_예상손익(전사취합)" xfId="6310"/>
    <cellStyle name="7_전자98결산진실_5월이동_전사손익_06전사손익1_상반기_연간손익정리(서대호)_연간예상추정5886_0726_02년 6월 이동_예상손익(전사취합)" xfId="6311"/>
    <cellStyle name="7_전자98결산진실_5월이동_전사손익_06전사손익1_상반기_연간손익정리(서대호)_연간예상추정5886_0726_02년간예상손익" xfId="6312"/>
    <cellStyle name="7_전자98결산진실_5월이동_전사손익_06전사손익1_상반기_연간손익정리(서대호)_연간예상추정5886_0726_04월 이동계획_전사예상pl" xfId="6313"/>
    <cellStyle name="7_전자98결산진실_5월이동_전사손익_06전사손익1_상반기_연간손익정리(서대호)_연간예상추정5886_0726_1월이동손익_전사예상pl" xfId="6314"/>
    <cellStyle name="7_전자98결산진실_5월이동_전사손익_06전사손익1_상반기_연간손익정리(서대호)_연간예상추정5886_0726_obu별손익0112이동" xfId="6315"/>
    <cellStyle name="7_전자98결산진실_5월이동_전사손익_06전사손익1_연간예상추정5886_0726" xfId="6316"/>
    <cellStyle name="7_전자98결산진실_5월이동_전사손익_06전사손익1_연간예상추정5886_0726_01년간예상손익(12월이동)" xfId="6317"/>
    <cellStyle name="7_전자98결산진실_5월이동_전사손익_06전사손익1_연간예상추정5886_0726_01년간예상손익(12월이동)_2" xfId="6318"/>
    <cellStyle name="7_전자98결산진실_5월이동_전사손익_06전사손익1_연간예상추정5886_0726_02년 2월 이동_예상손익" xfId="6319"/>
    <cellStyle name="7_전자98결산진실_5월이동_전사손익_06전사손익1_연간예상추정5886_0726_02년 2월 이동_예상손익_1" xfId="6320"/>
    <cellStyle name="7_전자98결산진실_5월이동_전사손익_06전사손익1_연간예상추정5886_0726_02년 3월 이동_예상손익(전사취합)" xfId="6321"/>
    <cellStyle name="7_전자98결산진실_5월이동_전사손익_06전사손익1_연간예상추정5886_0726_02년 6월 이동_예상손익(전사취합)" xfId="6322"/>
    <cellStyle name="7_전자98결산진실_5월이동_전사손익_06전사손익1_연간예상추정5886_0726_02년간예상손익" xfId="6323"/>
    <cellStyle name="7_전자98결산진실_5월이동_전사손익_06전사손익1_연간예상추정5886_0726_04월 이동계획_전사예상pl" xfId="6324"/>
    <cellStyle name="7_전자98결산진실_5월이동_전사손익_06전사손익1_연간예상추정5886_0726_1월이동손익_전사예상pl" xfId="6325"/>
    <cellStyle name="7_전자98결산진실_5월이동_전사손익_06전사손익1_연간예상추정5886_0726_obu별손익0112이동" xfId="6326"/>
    <cellStyle name="7_전자98결산진실_5월이동_전사손익_1월이동손익_전사예상pl" xfId="6327"/>
    <cellStyle name="7_전자98결산진실_5월이동_전사손익_8월예상" xfId="6328"/>
    <cellStyle name="7_전자98결산진실_5월이동_전사손익_8월예상_01년간예상손익(12월이동)" xfId="6329"/>
    <cellStyle name="7_전자98결산진실_5월이동_전사손익_8월예상_01년간예상손익(12월이동)_2" xfId="6330"/>
    <cellStyle name="7_전자98결산진실_5월이동_전사손익_8월예상_02년 2월 이동_예상손익" xfId="6331"/>
    <cellStyle name="7_전자98결산진실_5월이동_전사손익_8월예상_02년 2월 이동_예상손익_1" xfId="6332"/>
    <cellStyle name="7_전자98결산진실_5월이동_전사손익_8월예상_02년 3월 이동_예상손익(전사취합)" xfId="6333"/>
    <cellStyle name="7_전자98결산진실_5월이동_전사손익_8월예상_02년 6월 이동_예상손익(전사취합)" xfId="6334"/>
    <cellStyle name="7_전자98결산진실_5월이동_전사손익_8월예상_02년간예상손익" xfId="6335"/>
    <cellStyle name="7_전자98결산진실_5월이동_전사손익_8월예상_04월 이동계획_전사예상pl" xfId="6336"/>
    <cellStyle name="7_전자98결산진실_5월이동_전사손익_8월예상_1월이동손익_전사예상pl" xfId="6337"/>
    <cellStyle name="7_전자98결산진실_5월이동_전사손익_8월예상_obu별손익0112이동" xfId="6338"/>
    <cellStyle name="7_전자98결산진실_5월이동_전사손익_9-12월예상pl" xfId="6339"/>
    <cellStyle name="7_전자98결산진실_5월이동_전사손익_9-12월예상pl_01년간예상손익(12월이동)" xfId="6340"/>
    <cellStyle name="7_전자98결산진실_5월이동_전사손익_9-12월예상pl_01년간예상손익(12월이동)_2" xfId="6341"/>
    <cellStyle name="7_전자98결산진실_5월이동_전사손익_9-12월예상pl_02년 2월 이동_예상손익" xfId="6342"/>
    <cellStyle name="7_전자98결산진실_5월이동_전사손익_9-12월예상pl_02년 2월 이동_예상손익_1" xfId="6343"/>
    <cellStyle name="7_전자98결산진실_5월이동_전사손익_9-12월예상pl_02년 3월 이동_예상손익(전사취합)" xfId="6344"/>
    <cellStyle name="7_전자98결산진실_5월이동_전사손익_9-12월예상pl_02년 6월 이동_예상손익(전사취합)" xfId="6345"/>
    <cellStyle name="7_전자98결산진실_5월이동_전사손익_9-12월예상pl_02년간예상손익" xfId="6346"/>
    <cellStyle name="7_전자98결산진실_5월이동_전사손익_9-12월예상pl_04월 이동계획_전사예상pl" xfId="6347"/>
    <cellStyle name="7_전자98결산진실_5월이동_전사손익_9-12월예상pl_1월이동손익_전사예상pl" xfId="6348"/>
    <cellStyle name="7_전자98결산진실_5월이동_전사손익_9-12월예상pl_obu별손익0112이동" xfId="6349"/>
    <cellStyle name="7_전자98결산진실_5월이동_전사손익_obu별손익0112이동" xfId="6350"/>
    <cellStyle name="7_전자98결산진실_5월이동_전사손익_상반기_연간손익정리(서대호)" xfId="6351"/>
    <cellStyle name="7_전자98결산진실_5월이동_전사손익_상반기_연간손익정리(서대호)_01년간예상손익(12월이동)" xfId="6352"/>
    <cellStyle name="7_전자98결산진실_5월이동_전사손익_상반기_연간손익정리(서대호)_01년간예상손익(12월이동)_2" xfId="6353"/>
    <cellStyle name="7_전자98결산진실_5월이동_전사손익_상반기_연간손익정리(서대호)_01매출손익(6월 실적반영)" xfId="6354"/>
    <cellStyle name="7_전자98결산진실_5월이동_전사손익_상반기_연간손익정리(서대호)_01매출손익(6월 실적반영)_01년간예상손익(12월이동)" xfId="6355"/>
    <cellStyle name="7_전자98결산진실_5월이동_전사손익_상반기_연간손익정리(서대호)_01매출손익(6월 실적반영)_01년간예상손익(12월이동)_2" xfId="6356"/>
    <cellStyle name="7_전자98결산진실_5월이동_전사손익_상반기_연간손익정리(서대호)_01매출손익(6월 실적반영)_02년 2월 이동_예상손익" xfId="6357"/>
    <cellStyle name="7_전자98결산진실_5월이동_전사손익_상반기_연간손익정리(서대호)_01매출손익(6월 실적반영)_02년 2월 이동_예상손익_1" xfId="6358"/>
    <cellStyle name="7_전자98결산진실_5월이동_전사손익_상반기_연간손익정리(서대호)_01매출손익(6월 실적반영)_02년 3월 이동_예상손익(전사취합)" xfId="6359"/>
    <cellStyle name="7_전자98결산진실_5월이동_전사손익_상반기_연간손익정리(서대호)_01매출손익(6월 실적반영)_02년 6월 이동_예상손익(전사취합)" xfId="6360"/>
    <cellStyle name="7_전자98결산진실_5월이동_전사손익_상반기_연간손익정리(서대호)_01매출손익(6월 실적반영)_02년간예상손익" xfId="6361"/>
    <cellStyle name="7_전자98결산진실_5월이동_전사손익_상반기_연간손익정리(서대호)_01매출손익(6월 실적반영)_04월 이동계획_전사예상pl" xfId="6362"/>
    <cellStyle name="7_전자98결산진실_5월이동_전사손익_상반기_연간손익정리(서대호)_01매출손익(6월 실적반영)_1월이동손익_전사예상pl" xfId="6363"/>
    <cellStyle name="7_전자98결산진실_5월이동_전사손익_상반기_연간손익정리(서대호)_01매출손익(6월 실적반영)_obu별손익0112이동" xfId="6364"/>
    <cellStyle name="7_전자98결산진실_5월이동_전사손익_상반기_연간손익정리(서대호)_02년 2월 이동_예상손익" xfId="6365"/>
    <cellStyle name="7_전자98결산진실_5월이동_전사손익_상반기_연간손익정리(서대호)_02년 2월 이동_예상손익_1" xfId="6366"/>
    <cellStyle name="7_전자98결산진실_5월이동_전사손익_상반기_연간손익정리(서대호)_02년 3월 이동_예상손익(전사취합)" xfId="6367"/>
    <cellStyle name="7_전자98결산진실_5월이동_전사손익_상반기_연간손익정리(서대호)_02년 6월 이동_예상손익(전사취합)" xfId="6368"/>
    <cellStyle name="7_전자98결산진실_5월이동_전사손익_상반기_연간손익정리(서대호)_02년간예상손익" xfId="6369"/>
    <cellStyle name="7_전자98결산진실_5월이동_전사손익_상반기_연간손익정리(서대호)_04월 이동계획_전사예상pl" xfId="6370"/>
    <cellStyle name="7_전자98결산진실_5월이동_전사손익_상반기_연간손익정리(서대호)_1월이동손익_전사예상pl" xfId="6371"/>
    <cellStyle name="7_전자98결산진실_5월이동_전사손익_상반기_연간손익정리(서대호)_8월예상" xfId="6372"/>
    <cellStyle name="7_전자98결산진실_5월이동_전사손익_상반기_연간손익정리(서대호)_8월예상_01년간예상손익(12월이동)" xfId="6373"/>
    <cellStyle name="7_전자98결산진실_5월이동_전사손익_상반기_연간손익정리(서대호)_8월예상_01년간예상손익(12월이동)_2" xfId="6374"/>
    <cellStyle name="7_전자98결산진실_5월이동_전사손익_상반기_연간손익정리(서대호)_8월예상_02년 2월 이동_예상손익" xfId="6375"/>
    <cellStyle name="7_전자98결산진실_5월이동_전사손익_상반기_연간손익정리(서대호)_8월예상_02년 2월 이동_예상손익_1" xfId="6376"/>
    <cellStyle name="7_전자98결산진실_5월이동_전사손익_상반기_연간손익정리(서대호)_8월예상_02년 3월 이동_예상손익(전사취합)" xfId="6377"/>
    <cellStyle name="7_전자98결산진실_5월이동_전사손익_상반기_연간손익정리(서대호)_8월예상_02년 6월 이동_예상손익(전사취합)" xfId="6378"/>
    <cellStyle name="7_전자98결산진실_5월이동_전사손익_상반기_연간손익정리(서대호)_8월예상_02년간예상손익" xfId="6379"/>
    <cellStyle name="7_전자98결산진실_5월이동_전사손익_상반기_연간손익정리(서대호)_8월예상_04월 이동계획_전사예상pl" xfId="6380"/>
    <cellStyle name="7_전자98결산진실_5월이동_전사손익_상반기_연간손익정리(서대호)_8월예상_1월이동손익_전사예상pl" xfId="6381"/>
    <cellStyle name="7_전자98결산진실_5월이동_전사손익_상반기_연간손익정리(서대호)_8월예상_obu별손익0112이동" xfId="6382"/>
    <cellStyle name="7_전자98결산진실_5월이동_전사손익_상반기_연간손익정리(서대호)_obu별손익0112이동" xfId="6383"/>
    <cellStyle name="7_전자98결산진실_5월이동_전사손익_상반기_연간손익정리(서대호)_연간예상추정5886_0726" xfId="6384"/>
    <cellStyle name="7_전자98결산진실_5월이동_전사손익_상반기_연간손익정리(서대호)_연간예상추정5886_0726_01년간예상손익(12월이동)" xfId="6385"/>
    <cellStyle name="7_전자98결산진실_5월이동_전사손익_상반기_연간손익정리(서대호)_연간예상추정5886_0726_01년간예상손익(12월이동)_2" xfId="6386"/>
    <cellStyle name="7_전자98결산진실_5월이동_전사손익_상반기_연간손익정리(서대호)_연간예상추정5886_0726_02년 2월 이동_예상손익" xfId="6387"/>
    <cellStyle name="7_전자98결산진실_5월이동_전사손익_상반기_연간손익정리(서대호)_연간예상추정5886_0726_02년 2월 이동_예상손익_1" xfId="6388"/>
    <cellStyle name="7_전자98결산진실_5월이동_전사손익_상반기_연간손익정리(서대호)_연간예상추정5886_0726_02년 3월 이동_예상손익(전사취합)" xfId="6389"/>
    <cellStyle name="7_전자98결산진실_5월이동_전사손익_상반기_연간손익정리(서대호)_연간예상추정5886_0726_02년 6월 이동_예상손익(전사취합)" xfId="6390"/>
    <cellStyle name="7_전자98결산진실_5월이동_전사손익_상반기_연간손익정리(서대호)_연간예상추정5886_0726_02년간예상손익" xfId="6391"/>
    <cellStyle name="7_전자98결산진실_5월이동_전사손익_상반기_연간손익정리(서대호)_연간예상추정5886_0726_04월 이동계획_전사예상pl" xfId="6392"/>
    <cellStyle name="7_전자98결산진실_5월이동_전사손익_상반기_연간손익정리(서대호)_연간예상추정5886_0726_1월이동손익_전사예상pl" xfId="6393"/>
    <cellStyle name="7_전자98결산진실_5월이동_전사손익_상반기_연간손익정리(서대호)_연간예상추정5886_0726_obu별손익0112이동" xfId="6394"/>
    <cellStyle name="7_전자98결산진실_5월이동_전사손익_연간예상추정5886_0726" xfId="6395"/>
    <cellStyle name="7_전자98결산진실_5월이동_전사손익_연간예상추정5886_0726_01년간예상손익(12월이동)" xfId="6396"/>
    <cellStyle name="7_전자98결산진실_5월이동_전사손익_연간예상추정5886_0726_01년간예상손익(12월이동)_2" xfId="6397"/>
    <cellStyle name="7_전자98결산진실_5월이동_전사손익_연간예상추정5886_0726_02년 2월 이동_예상손익" xfId="6398"/>
    <cellStyle name="7_전자98결산진실_5월이동_전사손익_연간예상추정5886_0726_02년 2월 이동_예상손익_1" xfId="6399"/>
    <cellStyle name="7_전자98결산진실_5월이동_전사손익_연간예상추정5886_0726_02년 3월 이동_예상손익(전사취합)" xfId="6400"/>
    <cellStyle name="7_전자98결산진실_5월이동_전사손익_연간예상추정5886_0726_02년 6월 이동_예상손익(전사취합)" xfId="6401"/>
    <cellStyle name="7_전자98결산진실_5월이동_전사손익_연간예상추정5886_0726_02년간예상손익" xfId="6402"/>
    <cellStyle name="7_전자98결산진실_5월이동_전사손익_연간예상추정5886_0726_04월 이동계획_전사예상pl" xfId="6403"/>
    <cellStyle name="7_전자98결산진실_5월이동_전사손익_연간예상추정5886_0726_1월이동손익_전사예상pl" xfId="6404"/>
    <cellStyle name="7_전자98결산진실_5월이동_전사손익_연간예상추정5886_0726_obu별손익0112이동" xfId="6405"/>
    <cellStyle name="7_전자98결산진실_8월 예상손익 점검" xfId="6406"/>
    <cellStyle name="7_전자98결산진실_8월 예상손익 점검_8월 예상손익 점검" xfId="6407"/>
    <cellStyle name="7_전자98결산진실_8월 예상손익 점검_8월 예상손익 점검_DM_환율영향분석_본부" xfId="6408"/>
    <cellStyle name="7_전자98결산진실_8월 예상손익 점검_DM_환율영향분석_본부" xfId="6409"/>
    <cellStyle name="7_전자98결산진실_8월예상" xfId="6410"/>
    <cellStyle name="7_전자98결산진실_8월예상_01년간예상손익(12월이동)" xfId="6411"/>
    <cellStyle name="7_전자98결산진실_8월예상_01년간예상손익(12월이동)_2" xfId="6412"/>
    <cellStyle name="7_전자98결산진실_8월예상_02년 2월 이동_예상손익" xfId="6413"/>
    <cellStyle name="7_전자98결산진실_8월예상_02년 2월 이동_예상손익_1" xfId="6414"/>
    <cellStyle name="7_전자98결산진실_8월예상_02년 3월 이동_예상손익(전사취합)" xfId="6415"/>
    <cellStyle name="7_전자98결산진실_8월예상_02년 6월 이동_예상손익(전사취합)" xfId="6416"/>
    <cellStyle name="7_전자98결산진실_8월예상_02년간예상손익" xfId="6417"/>
    <cellStyle name="7_전자98결산진실_8월예상_04월 이동계획_전사예상pl" xfId="6418"/>
    <cellStyle name="7_전자98결산진실_8월예상_1월이동손익_전사예상pl" xfId="6419"/>
    <cellStyle name="7_전자98결산진실_8월예상_obu별손익0112이동" xfId="6420"/>
    <cellStyle name="7_전자98결산진실_8월전사예상(0903)" xfId="6421"/>
    <cellStyle name="7_전자98결산진실_8월전사예상(0903)_01년간예상손익(12월이동)" xfId="6422"/>
    <cellStyle name="7_전자98결산진실_8월전사예상(0903)_01년간예상손익(12월이동)_2" xfId="6423"/>
    <cellStyle name="7_전자98결산진실_8월전사예상(0903)_02년 2월 이동_예상손익" xfId="6424"/>
    <cellStyle name="7_전자98결산진실_8월전사예상(0903)_02년 2월 이동_예상손익_1" xfId="6425"/>
    <cellStyle name="7_전자98결산진실_8월전사예상(0903)_02년 3월 이동_예상손익(전사취합)" xfId="6426"/>
    <cellStyle name="7_전자98결산진실_8월전사예상(0903)_02년 6월 이동_예상손익(전사취합)" xfId="6427"/>
    <cellStyle name="7_전자98결산진실_8월전사예상(0903)_02년간예상손익" xfId="6428"/>
    <cellStyle name="7_전자98결산진실_8월전사예상(0903)_04월 이동계획_전사예상pl" xfId="6429"/>
    <cellStyle name="7_전자98결산진실_8월전사예상(0903)_1월이동손익_전사예상pl" xfId="6430"/>
    <cellStyle name="7_전자98결산진실_8월전사예상(0903)_obu별손익0112이동" xfId="6431"/>
    <cellStyle name="7_전자98결산진실_9-12월예상pl" xfId="6432"/>
    <cellStyle name="7_전자98결산진실_9-12월예상pl_01년간예상손익(12월이동)" xfId="6433"/>
    <cellStyle name="7_전자98결산진실_9-12월예상pl_01년간예상손익(12월이동)_2" xfId="6434"/>
    <cellStyle name="7_전자98결산진실_9-12월예상pl_02년 2월 이동_예상손익" xfId="6435"/>
    <cellStyle name="7_전자98결산진실_9-12월예상pl_02년 2월 이동_예상손익_1" xfId="6436"/>
    <cellStyle name="7_전자98결산진실_9-12월예상pl_02년 3월 이동_예상손익(전사취합)" xfId="6437"/>
    <cellStyle name="7_전자98결산진실_9-12월예상pl_02년 6월 이동_예상손익(전사취합)" xfId="6438"/>
    <cellStyle name="7_전자98결산진실_9-12월예상pl_02년간예상손익" xfId="6439"/>
    <cellStyle name="7_전자98결산진실_9-12월예상pl_04월 이동계획_전사예상pl" xfId="6440"/>
    <cellStyle name="7_전자98결산진실_9-12월예상pl_1월이동손익_전사예상pl" xfId="6441"/>
    <cellStyle name="7_전자98결산진실_9-12월예상pl_obu별손익0112이동" xfId="6442"/>
    <cellStyle name="7_전자98결산진실_9월차이동계획(0911)" xfId="6443"/>
    <cellStyle name="7_전자98결산진실_9월차이동계획(0911)_01년간예상손익(12월이동)" xfId="6444"/>
    <cellStyle name="7_전자98결산진실_9월차이동계획(0911)_01년간예상손익(12월이동)_2" xfId="6445"/>
    <cellStyle name="7_전자98결산진실_9월차이동계획(0911)_02년 2월 이동_예상손익" xfId="6446"/>
    <cellStyle name="7_전자98결산진실_9월차이동계획(0911)_02년 2월 이동_예상손익_1" xfId="6447"/>
    <cellStyle name="7_전자98결산진실_9월차이동계획(0911)_02년 3월 이동_예상손익(전사취합)" xfId="6448"/>
    <cellStyle name="7_전자98결산진실_9월차이동계획(0911)_02년 6월 이동_예상손익(전사취합)" xfId="6449"/>
    <cellStyle name="7_전자98결산진실_9월차이동계획(0911)_02년간예상손익" xfId="6450"/>
    <cellStyle name="7_전자98결산진실_9월차이동계획(0911)_04월 이동계획_전사예상pl" xfId="6451"/>
    <cellStyle name="7_전자98결산진실_9월차이동계획(0911)_1월이동손익_전사예상pl" xfId="6452"/>
    <cellStyle name="7_전자98결산진실_9월차이동계획(0911)_obu별손익0112이동" xfId="6453"/>
    <cellStyle name="7_전자98결산진실_Book1" xfId="6454"/>
    <cellStyle name="7_전자98결산진실_DM_환율영향분석_본부" xfId="6455"/>
    <cellStyle name="7_전자98결산진실_eva&amp;cash_02~05년 CM" xfId="6456"/>
    <cellStyle name="7_전자98결산진실_그룹+업적보고회+보완사항" xfId="6457"/>
    <cellStyle name="7_전자98결산진실_본부본사배부_1022FINAL본사비축소_해외법인" xfId="6458"/>
    <cellStyle name="7_전자98결산진실_사업계획 양식" xfId="6459"/>
    <cellStyle name="7_전자98결산진실_사업계획 양식_02년사업계획양식V1.0_대호(bs수정)" xfId="6460"/>
    <cellStyle name="7_전자98결산진실_사업계획 양식_02년사업계획양식V1.0_대호(bs수정)_02년사업계획양식V2.0" xfId="6461"/>
    <cellStyle name="7_전자98결산진실_사업계획 양식_02년사업계획양식V1.0_대호(bs수정)_02년사업계획양식V2.0_02년사업계획양식V2.0" xfId="6462"/>
    <cellStyle name="7_전자98결산진실_사업계획 양식_02년사업계획양식V1.0_대호(bs수정)_02년사업계획양식V2.0_02년사업계획양식V2.0_02년사업계획양식V3.0" xfId="6463"/>
    <cellStyle name="7_전자98결산진실_사업계획 양식_02년사업계획양식V1.0_대호(bs수정)_02년사업계획양식V2.0_02년사업계획양식V2.0_02년사업계획양식V3.0_02년사업계획양식V3.0" xfId="6464"/>
    <cellStyle name="7_전자98결산진실_사업계획 양식_02년사업계획양식V1.0_대호(bs수정)_02년사업계획양식V2.0_02년사업계획양식V2.0_02년사업계획양식V3.0_02년사업계획양식V3.0(원본)" xfId="6465"/>
    <cellStyle name="7_전자98결산진실_사업계획 양식_02년사업계획양식V1.0_대호(bs수정)_02년사업계획양식V2.0_02년사업계획양식V2.0_02년사업계획양식V3.0_02년사업계획양식V3.0(원본)_1" xfId="6466"/>
    <cellStyle name="7_전자98결산진실_사업계획 양식_02년사업계획양식V1.0_대호(bs수정)_02년사업계획양식V2.0_02년사업계획양식V3.0" xfId="6467"/>
    <cellStyle name="7_전자98결산진실_사업계획 양식_02년사업계획양식V1.0_대호(bs수정)_02년사업계획양식V2.0_02년사업계획양식V3.0(원본)" xfId="6468"/>
    <cellStyle name="7_전자98결산진실_사업계획 양식_02년사업계획양식V1.0_대호(bs수정)_02년사업계획양식V2.0_02년사업계획양식V3.0(원본)_1" xfId="6469"/>
    <cellStyle name="7_전자98결산진실_사업계획 양식_02년사업계획양식V1.0_대호(bs수정)_02년사업계획양식V2.0_02년사업계획양식V3.0_02년사업계획양식V3.0" xfId="6470"/>
    <cellStyle name="7_전자98결산진실_사업계획 양식_02년사업계획양식V1.0_대호(bs수정)_02년사업계획양식V2.0_02년사업계획양식V3.0_02년사업계획양식V3.0_02년사업계획양식V3.0" xfId="6471"/>
    <cellStyle name="7_전자98결산진실_사업계획 양식_02년사업계획양식V1.0_대호(bs수정)_02년사업계획양식V2.0_02년사업계획양식V3.0_02년사업계획양식V3.0_02년사업계획양식V3.0(원본)" xfId="6472"/>
    <cellStyle name="7_전자98결산진실_사업계획 양식_02년사업계획양식V1.0_대호(bs수정)_02년사업계획양식V2.0_02년사업계획양식V3.0_02년사업계획양식V3.0_02년사업계획양식V3.0(원본)_1" xfId="6473"/>
    <cellStyle name="7_전자98결산진실_사업계획 양식_02년사업계획양식V1.0_대호(bs수정)_02년사업계획양식V3.0" xfId="6474"/>
    <cellStyle name="7_전자98결산진실_사업계획 양식_02년사업계획양식V1.0_대호(bs수정)_02년사업계획양식V3.0_02년사업계획양식V3.0" xfId="6475"/>
    <cellStyle name="7_전자98결산진실_사업계획 양식_02년사업계획양식V1.0_대호(bs수정)_02년사업계획양식V3.0_02년사업계획양식V3.0(원본)" xfId="6476"/>
    <cellStyle name="7_전자98결산진실_사업계획 양식_02년사업계획양식V1.0_대호(bs수정)_02년사업계획양식V3.0_02년사업계획양식V3.0(원본)_1" xfId="6477"/>
    <cellStyle name="7_전자98결산진실_사업계획 양식_02년사업계획양식V2.0" xfId="6478"/>
    <cellStyle name="7_전자98결산진실_사업계획 양식_02년사업계획양식V2.0_02년사업계획양식V3.0" xfId="6479"/>
    <cellStyle name="7_전자98결산진실_사업계획 양식_02년사업계획양식V2.0_02년사업계획양식V3.0_02년사업계획양식V3.0" xfId="6480"/>
    <cellStyle name="7_전자98결산진실_사업계획 양식_02년사업계획양식V2.0_02년사업계획양식V3.0_02년사업계획양식V3.0(원본)" xfId="6481"/>
    <cellStyle name="7_전자98결산진실_사업계획 양식_02년사업계획양식V2.0_02년사업계획양식V3.0_02년사업계획양식V3.0(원본)_1" xfId="6482"/>
    <cellStyle name="7_전자98결산진실_사업계획 양식_02년사업계획양식V3.0" xfId="6483"/>
    <cellStyle name="7_전자98결산진실_사업계획 양식_02년사업계획양식V3.0(원본)" xfId="6484"/>
    <cellStyle name="7_전자98결산진실_사업계획 양식_02년사업계획양식V3.0(원본)_1" xfId="6485"/>
    <cellStyle name="7_전자98결산진실_사업계획 양식_02년사업계획양식V3.0_02년사업계획양식V3.0" xfId="6486"/>
    <cellStyle name="7_전자98결산진실_사업계획 양식_02년사업계획양식V3.0_02년사업계획양식V3.0_02년사업계획양식V3.0" xfId="6487"/>
    <cellStyle name="7_전자98결산진실_사업계획 양식_02년사업계획양식V3.0_02년사업계획양식V3.0_02년사업계획양식V3.0(원본)" xfId="6488"/>
    <cellStyle name="7_전자98결산진실_사업계획 양식_02년사업계획양식V3.0_02년사업계획양식V3.0_02년사업계획양식V3.0(원본)_1" xfId="6489"/>
    <cellStyle name="7_전자98결산진실_상반기_연간손익정리(서대호)" xfId="6490"/>
    <cellStyle name="7_전자98결산진실_상반기_연간손익정리(서대호)_01년간예상손익(12월이동)" xfId="6491"/>
    <cellStyle name="7_전자98결산진실_상반기_연간손익정리(서대호)_01년간예상손익(12월이동)_2" xfId="6492"/>
    <cellStyle name="7_전자98결산진실_상반기_연간손익정리(서대호)_01매출손익(6월 실적반영)" xfId="6493"/>
    <cellStyle name="7_전자98결산진실_상반기_연간손익정리(서대호)_01매출손익(6월 실적반영)_01년간예상손익(12월이동)" xfId="6494"/>
    <cellStyle name="7_전자98결산진실_상반기_연간손익정리(서대호)_01매출손익(6월 실적반영)_01년간예상손익(12월이동)_2" xfId="6495"/>
    <cellStyle name="7_전자98결산진실_상반기_연간손익정리(서대호)_01매출손익(6월 실적반영)_02년 2월 이동_예상손익" xfId="6496"/>
    <cellStyle name="7_전자98결산진실_상반기_연간손익정리(서대호)_01매출손익(6월 실적반영)_02년 2월 이동_예상손익_1" xfId="6497"/>
    <cellStyle name="7_전자98결산진실_상반기_연간손익정리(서대호)_01매출손익(6월 실적반영)_02년 3월 이동_예상손익(전사취합)" xfId="6498"/>
    <cellStyle name="7_전자98결산진실_상반기_연간손익정리(서대호)_01매출손익(6월 실적반영)_02년 6월 이동_예상손익(전사취합)" xfId="6499"/>
    <cellStyle name="7_전자98결산진실_상반기_연간손익정리(서대호)_01매출손익(6월 실적반영)_02년간예상손익" xfId="6500"/>
    <cellStyle name="7_전자98결산진실_상반기_연간손익정리(서대호)_01매출손익(6월 실적반영)_04월 이동계획_전사예상pl" xfId="6501"/>
    <cellStyle name="7_전자98결산진실_상반기_연간손익정리(서대호)_01매출손익(6월 실적반영)_1월이동손익_전사예상pl" xfId="6502"/>
    <cellStyle name="7_전자98결산진실_상반기_연간손익정리(서대호)_01매출손익(6월 실적반영)_obu별손익0112이동" xfId="6503"/>
    <cellStyle name="7_전자98결산진실_상반기_연간손익정리(서대호)_02년 2월 이동_예상손익" xfId="6504"/>
    <cellStyle name="7_전자98결산진실_상반기_연간손익정리(서대호)_02년 2월 이동_예상손익_1" xfId="6505"/>
    <cellStyle name="7_전자98결산진실_상반기_연간손익정리(서대호)_02년 3월 이동_예상손익(전사취합)" xfId="6506"/>
    <cellStyle name="7_전자98결산진실_상반기_연간손익정리(서대호)_02년 6월 이동_예상손익(전사취합)" xfId="6507"/>
    <cellStyle name="7_전자98결산진실_상반기_연간손익정리(서대호)_02년간예상손익" xfId="6508"/>
    <cellStyle name="7_전자98결산진실_상반기_연간손익정리(서대호)_04월 이동계획_전사예상pl" xfId="6509"/>
    <cellStyle name="7_전자98결산진실_상반기_연간손익정리(서대호)_1월이동손익_전사예상pl" xfId="6510"/>
    <cellStyle name="7_전자98결산진실_상반기_연간손익정리(서대호)_8월예상" xfId="6511"/>
    <cellStyle name="7_전자98결산진실_상반기_연간손익정리(서대호)_8월예상_01년간예상손익(12월이동)" xfId="6512"/>
    <cellStyle name="7_전자98결산진실_상반기_연간손익정리(서대호)_8월예상_01년간예상손익(12월이동)_2" xfId="6513"/>
    <cellStyle name="7_전자98결산진실_상반기_연간손익정리(서대호)_8월예상_02년 2월 이동_예상손익" xfId="6514"/>
    <cellStyle name="7_전자98결산진실_상반기_연간손익정리(서대호)_8월예상_02년 2월 이동_예상손익_1" xfId="6515"/>
    <cellStyle name="7_전자98결산진실_상반기_연간손익정리(서대호)_8월예상_02년 3월 이동_예상손익(전사취합)" xfId="6516"/>
    <cellStyle name="7_전자98결산진실_상반기_연간손익정리(서대호)_8월예상_02년 6월 이동_예상손익(전사취합)" xfId="6517"/>
    <cellStyle name="7_전자98결산진실_상반기_연간손익정리(서대호)_8월예상_02년간예상손익" xfId="6518"/>
    <cellStyle name="7_전자98결산진실_상반기_연간손익정리(서대호)_8월예상_04월 이동계획_전사예상pl" xfId="6519"/>
    <cellStyle name="7_전자98결산진실_상반기_연간손익정리(서대호)_8월예상_1월이동손익_전사예상pl" xfId="6520"/>
    <cellStyle name="7_전자98결산진실_상반기_연간손익정리(서대호)_8월예상_obu별손익0112이동" xfId="6521"/>
    <cellStyle name="7_전자98결산진실_상반기_연간손익정리(서대호)_obu별손익0112이동" xfId="6522"/>
    <cellStyle name="7_전자98결산진실_상반기_연간손익정리(서대호)_연간예상추정5886_0726" xfId="6523"/>
    <cellStyle name="7_전자98결산진실_상반기_연간손익정리(서대호)_연간예상추정5886_0726_01년간예상손익(12월이동)" xfId="6524"/>
    <cellStyle name="7_전자98결산진실_상반기_연간손익정리(서대호)_연간예상추정5886_0726_01년간예상손익(12월이동)_2" xfId="6525"/>
    <cellStyle name="7_전자98결산진실_상반기_연간손익정리(서대호)_연간예상추정5886_0726_02년 2월 이동_예상손익" xfId="6526"/>
    <cellStyle name="7_전자98결산진실_상반기_연간손익정리(서대호)_연간예상추정5886_0726_02년 2월 이동_예상손익_1" xfId="6527"/>
    <cellStyle name="7_전자98결산진실_상반기_연간손익정리(서대호)_연간예상추정5886_0726_02년 3월 이동_예상손익(전사취합)" xfId="6528"/>
    <cellStyle name="7_전자98결산진실_상반기_연간손익정리(서대호)_연간예상추정5886_0726_02년 6월 이동_예상손익(전사취합)" xfId="6529"/>
    <cellStyle name="7_전자98결산진실_상반기_연간손익정리(서대호)_연간예상추정5886_0726_02년간예상손익" xfId="6530"/>
    <cellStyle name="7_전자98결산진실_상반기_연간손익정리(서대호)_연간예상추정5886_0726_04월 이동계획_전사예상pl" xfId="6531"/>
    <cellStyle name="7_전자98결산진실_상반기_연간손익정리(서대호)_연간예상추정5886_0726_1월이동손익_전사예상pl" xfId="6532"/>
    <cellStyle name="7_전자98결산진실_상반기_연간손익정리(서대호)_연간예상추정5886_0726_obu별손익0112이동" xfId="6533"/>
    <cellStyle name="7_전자98결산진실_연간예상추정5886_0726" xfId="6534"/>
    <cellStyle name="7_전자98결산진실_연간예상추정5886_0726_01년간예상손익(12월이동)" xfId="6535"/>
    <cellStyle name="7_전자98결산진실_연간예상추정5886_0726_01년간예상손익(12월이동)_2" xfId="6536"/>
    <cellStyle name="7_전자98결산진실_연간예상추정5886_0726_02년 2월 이동_예상손익" xfId="6537"/>
    <cellStyle name="7_전자98결산진실_연간예상추정5886_0726_02년 2월 이동_예상손익_1" xfId="6538"/>
    <cellStyle name="7_전자98결산진실_연간예상추정5886_0726_02년 3월 이동_예상손익(전사취합)" xfId="6539"/>
    <cellStyle name="7_전자98결산진실_연간예상추정5886_0726_02년 6월 이동_예상손익(전사취합)" xfId="6540"/>
    <cellStyle name="7_전자98결산진실_연간예상추정5886_0726_02년간예상손익" xfId="6541"/>
    <cellStyle name="7_전자98결산진실_연간예상추정5886_0726_04월 이동계획_전사예상pl" xfId="6542"/>
    <cellStyle name="7_전자98결산진실_연간예상추정5886_0726_1월이동손익_전사예상pl" xfId="6543"/>
    <cellStyle name="7_전자98결산진실_연간예상추정5886_0726_obu별손익0112이동" xfId="6544"/>
    <cellStyle name="7_전자99상결산진실" xfId="6545"/>
    <cellStyle name="7_전자99상결산진실_(정우일K)+03년+전략보고+재무구조(030702)" xfId="6546"/>
    <cellStyle name="7_전자99상결산진실_★05년 매출,손익" xfId="6547"/>
    <cellStyle name="7_전자99상결산진실_★05년 매출,손익_8월 예상손익 점검" xfId="6548"/>
    <cellStyle name="7_전자99상결산진실_★05년 매출,손익_8월 예상손익 점검_DM_환율영향분석_본부" xfId="6549"/>
    <cellStyle name="7_전자99상결산진실_★05년 매출,손익_DM_환율영향분석_본부" xfId="6550"/>
    <cellStyle name="7_전자99상결산진실_01_예상매출(총액)" xfId="6551"/>
    <cellStyle name="7_전자99상결산진실_01_예상매출(총액)_01년간예상손익(12월이동)" xfId="6552"/>
    <cellStyle name="7_전자99상결산진실_01_예상매출(총액)_01년간예상손익(12월이동)_2" xfId="6553"/>
    <cellStyle name="7_전자99상결산진실_01_예상매출(총액)_02년 2월 이동_예상손익" xfId="6554"/>
    <cellStyle name="7_전자99상결산진실_01_예상매출(총액)_02년 2월 이동_예상손익_1" xfId="6555"/>
    <cellStyle name="7_전자99상결산진실_01_예상매출(총액)_02년 3월 이동_예상손익(전사취합)" xfId="6556"/>
    <cellStyle name="7_전자99상결산진실_01_예상매출(총액)_02년 6월 이동_예상손익(전사취합)" xfId="6557"/>
    <cellStyle name="7_전자99상결산진실_01_예상매출(총액)_02년간예상손익" xfId="6558"/>
    <cellStyle name="7_전자99상결산진실_01_예상매출(총액)_04월 이동계획_전사예상pl" xfId="6559"/>
    <cellStyle name="7_전자99상결산진실_01_예상매출(총액)_1월이동손익_전사예상pl" xfId="6560"/>
    <cellStyle name="7_전자99상결산진실_01_예상매출(총액)_obu별손익0112이동" xfId="6561"/>
    <cellStyle name="7_전자99상결산진실_01년간예상손익" xfId="6562"/>
    <cellStyle name="7_전자99상결산진실_01년간예상손익_01년간예상손익(12월이동)" xfId="6563"/>
    <cellStyle name="7_전자99상결산진실_01년간예상손익_01년간예상손익(12월이동)_2" xfId="6564"/>
    <cellStyle name="7_전자99상결산진실_01년간예상손익_02년 2월 이동_예상손익" xfId="6565"/>
    <cellStyle name="7_전자99상결산진실_01년간예상손익_02년 2월 이동_예상손익_1" xfId="6566"/>
    <cellStyle name="7_전자99상결산진실_01년간예상손익_02년 3월 이동_예상손익(전사취합)" xfId="6567"/>
    <cellStyle name="7_전자99상결산진실_01년간예상손익_02년 6월 이동_예상손익(전사취합)" xfId="6568"/>
    <cellStyle name="7_전자99상결산진실_01년간예상손익_02년간예상손익" xfId="6569"/>
    <cellStyle name="7_전자99상결산진실_01년간예상손익_04월 이동계획_전사예상pl" xfId="6570"/>
    <cellStyle name="7_전자99상결산진실_01년간예상손익_1월이동손익_전사예상pl" xfId="6571"/>
    <cellStyle name="7_전자99상결산진실_01년간예상손익_obu별손익0112이동" xfId="6572"/>
    <cellStyle name="7_전자99상결산진실_01매출손익(6월 실적반영)" xfId="6573"/>
    <cellStyle name="7_전자99상결산진실_01매출손익(6월 실적반영)_01년간예상손익(12월이동)" xfId="6574"/>
    <cellStyle name="7_전자99상결산진실_01매출손익(6월 실적반영)_01년간예상손익(12월이동)_2" xfId="6575"/>
    <cellStyle name="7_전자99상결산진실_01매출손익(6월 실적반영)_02년 2월 이동_예상손익" xfId="6576"/>
    <cellStyle name="7_전자99상결산진실_01매출손익(6월 실적반영)_02년 2월 이동_예상손익_1" xfId="6577"/>
    <cellStyle name="7_전자99상결산진실_01매출손익(6월 실적반영)_02년 3월 이동_예상손익(전사취합)" xfId="6578"/>
    <cellStyle name="7_전자99상결산진실_01매출손익(6월 실적반영)_02년 6월 이동_예상손익(전사취합)" xfId="6579"/>
    <cellStyle name="7_전자99상결산진실_01매출손익(6월 실적반영)_02년간예상손익" xfId="6580"/>
    <cellStyle name="7_전자99상결산진실_01매출손익(6월 실적반영)_04월 이동계획_전사예상pl" xfId="6581"/>
    <cellStyle name="7_전자99상결산진실_01매출손익(6월 실적반영)_1월이동손익_전사예상pl" xfId="6582"/>
    <cellStyle name="7_전자99상결산진실_01매출손익(6월 실적반영)_obu별손익0112이동" xfId="6583"/>
    <cellStyle name="7_전자99상결산진실_02기본_종합장표" xfId="6584"/>
    <cellStyle name="7_전자99상결산진실_02년사업계획양식V1.0" xfId="6585"/>
    <cellStyle name="7_전자99상결산진실_02년사업계획양식V1.0_02년사업계획양식V1.0_고동욱_011205" xfId="6586"/>
    <cellStyle name="7_전자99상결산진실_02년사업계획양식V1.0_02년사업계획양식V1.0_고동욱_011205_02년사업계획양식V2.0" xfId="6587"/>
    <cellStyle name="7_전자99상결산진실_02년사업계획양식V1.0_02년사업계획양식V1.0_고동욱_011205_02년사업계획양식V2.0_02년사업계획양식V2.0" xfId="6588"/>
    <cellStyle name="7_전자99상결산진실_02년사업계획양식V1.0_02년사업계획양식V1.0_고동욱_011205_02년사업계획양식V2.0_02년사업계획양식V2.0_02년사업계획양식V3.0" xfId="6589"/>
    <cellStyle name="7_전자99상결산진실_02년사업계획양식V1.0_02년사업계획양식V1.0_고동욱_011205_02년사업계획양식V2.0_02년사업계획양식V2.0_02년사업계획양식V3.0_02년사업계획양식V3.0" xfId="6590"/>
    <cellStyle name="7_전자99상결산진실_02년사업계획양식V1.0_02년사업계획양식V1.0_고동욱_011205_02년사업계획양식V2.0_02년사업계획양식V2.0_02년사업계획양식V3.0_02년사업계획양식V3.0(원본)" xfId="6591"/>
    <cellStyle name="7_전자99상결산진실_02년사업계획양식V1.0_02년사업계획양식V1.0_고동욱_011205_02년사업계획양식V2.0_02년사업계획양식V2.0_02년사업계획양식V3.0_02년사업계획양식V3.0(원본)_1" xfId="6592"/>
    <cellStyle name="7_전자99상결산진실_02년사업계획양식V1.0_02년사업계획양식V1.0_고동욱_011205_02년사업계획양식V2.0_02년사업계획양식V3.0" xfId="6593"/>
    <cellStyle name="7_전자99상결산진실_02년사업계획양식V1.0_02년사업계획양식V1.0_고동욱_011205_02년사업계획양식V2.0_02년사업계획양식V3.0(원본)" xfId="6594"/>
    <cellStyle name="7_전자99상결산진실_02년사업계획양식V1.0_02년사업계획양식V1.0_고동욱_011205_02년사업계획양식V2.0_02년사업계획양식V3.0(원본)_1" xfId="6595"/>
    <cellStyle name="7_전자99상결산진실_02년사업계획양식V1.0_02년사업계획양식V1.0_고동욱_011205_02년사업계획양식V2.0_02년사업계획양식V3.0_02년사업계획양식V3.0" xfId="6596"/>
    <cellStyle name="7_전자99상결산진실_02년사업계획양식V1.0_02년사업계획양식V1.0_고동욱_011205_02년사업계획양식V2.0_02년사업계획양식V3.0_02년사업계획양식V3.0_02년사업계획양식V3.0" xfId="6597"/>
    <cellStyle name="7_전자99상결산진실_02년사업계획양식V1.0_02년사업계획양식V1.0_고동욱_011205_02년사업계획양식V2.0_02년사업계획양식V3.0_02년사업계획양식V3.0_02년사업계획양식V3.0(원본)" xfId="6598"/>
    <cellStyle name="7_전자99상결산진실_02년사업계획양식V1.0_02년사업계획양식V1.0_고동욱_011205_02년사업계획양식V2.0_02년사업계획양식V3.0_02년사업계획양식V3.0_02년사업계획양식V3.0(원본)_1" xfId="6599"/>
    <cellStyle name="7_전자99상결산진실_02년사업계획양식V1.0_02년사업계획양식V1.0_고동욱_011205_02년사업계획양식V3.0" xfId="6600"/>
    <cellStyle name="7_전자99상결산진실_02년사업계획양식V1.0_02년사업계획양식V1.0_고동욱_011205_02년사업계획양식V3.0_02년사업계획양식V3.0" xfId="6601"/>
    <cellStyle name="7_전자99상결산진실_02년사업계획양식V1.0_02년사업계획양식V1.0_고동욱_011205_02년사업계획양식V3.0_02년사업계획양식V3.0(원본)" xfId="6602"/>
    <cellStyle name="7_전자99상결산진실_02년사업계획양식V1.0_02년사업계획양식V1.0_고동욱_011205_02년사업계획양식V3.0_02년사업계획양식V3.0(원본)_1" xfId="6603"/>
    <cellStyle name="7_전자99상결산진실_02년사업계획양식V1.0_02년사업계획양식V1.0_대호(bs수정)" xfId="6604"/>
    <cellStyle name="7_전자99상결산진실_02년사업계획양식V1.0_02년사업계획양식V1.0_대호(bs수정)_02년사업계획양식V2.0" xfId="6605"/>
    <cellStyle name="7_전자99상결산진실_02년사업계획양식V1.0_02년사업계획양식V1.0_대호(bs수정)_02년사업계획양식V2.0_02년사업계획양식V2.0" xfId="6606"/>
    <cellStyle name="7_전자99상결산진실_02년사업계획양식V1.0_02년사업계획양식V1.0_대호(bs수정)_02년사업계획양식V2.0_02년사업계획양식V2.0_02년사업계획양식V3.0" xfId="6607"/>
    <cellStyle name="7_전자99상결산진실_02년사업계획양식V1.0_02년사업계획양식V1.0_대호(bs수정)_02년사업계획양식V2.0_02년사업계획양식V2.0_02년사업계획양식V3.0_02년사업계획양식V3.0" xfId="6608"/>
    <cellStyle name="7_전자99상결산진실_02년사업계획양식V1.0_02년사업계획양식V1.0_대호(bs수정)_02년사업계획양식V2.0_02년사업계획양식V2.0_02년사업계획양식V3.0_02년사업계획양식V3.0(원본)" xfId="6609"/>
    <cellStyle name="7_전자99상결산진실_02년사업계획양식V1.0_02년사업계획양식V1.0_대호(bs수정)_02년사업계획양식V2.0_02년사업계획양식V2.0_02년사업계획양식V3.0_02년사업계획양식V3.0(원본)_1" xfId="6610"/>
    <cellStyle name="7_전자99상결산진실_02년사업계획양식V1.0_02년사업계획양식V1.0_대호(bs수정)_02년사업계획양식V2.0_02년사업계획양식V3.0" xfId="6611"/>
    <cellStyle name="7_전자99상결산진실_02년사업계획양식V1.0_02년사업계획양식V1.0_대호(bs수정)_02년사업계획양식V2.0_02년사업계획양식V3.0(원본)" xfId="6612"/>
    <cellStyle name="7_전자99상결산진실_02년사업계획양식V1.0_02년사업계획양식V1.0_대호(bs수정)_02년사업계획양식V2.0_02년사업계획양식V3.0(원본)_1" xfId="6613"/>
    <cellStyle name="7_전자99상결산진실_02년사업계획양식V1.0_02년사업계획양식V1.0_대호(bs수정)_02년사업계획양식V2.0_02년사업계획양식V3.0_02년사업계획양식V3.0" xfId="6614"/>
    <cellStyle name="7_전자99상결산진실_02년사업계획양식V1.0_02년사업계획양식V1.0_대호(bs수정)_02년사업계획양식V2.0_02년사업계획양식V3.0_02년사업계획양식V3.0_02년사업계획양식V3.0" xfId="6615"/>
    <cellStyle name="7_전자99상결산진실_02년사업계획양식V1.0_02년사업계획양식V1.0_대호(bs수정)_02년사업계획양식V2.0_02년사업계획양식V3.0_02년사업계획양식V3.0_02년사업계획양식V3.0(원본)" xfId="6616"/>
    <cellStyle name="7_전자99상결산진실_02년사업계획양식V1.0_02년사업계획양식V1.0_대호(bs수정)_02년사업계획양식V2.0_02년사업계획양식V3.0_02년사업계획양식V3.0_02년사업계획양식V3.0(원본)_1" xfId="6617"/>
    <cellStyle name="7_전자99상결산진실_02년사업계획양식V1.0_02년사업계획양식V1.0_대호(bs수정)_02년사업계획양식V3.0" xfId="6618"/>
    <cellStyle name="7_전자99상결산진실_02년사업계획양식V1.0_02년사업계획양식V1.0_대호(bs수정)_02년사업계획양식V3.0_02년사업계획양식V3.0" xfId="6619"/>
    <cellStyle name="7_전자99상결산진실_02년사업계획양식V1.0_02년사업계획양식V1.0_대호(bs수정)_02년사업계획양식V3.0_02년사업계획양식V3.0(원본)" xfId="6620"/>
    <cellStyle name="7_전자99상결산진실_02년사업계획양식V1.0_02년사업계획양식V1.0_대호(bs수정)_02년사업계획양식V3.0_02년사업계획양식V3.0(원본)_1" xfId="6621"/>
    <cellStyle name="7_전자99상결산진실_02년사업계획양식V1.0_02년사업계획양식V2.0" xfId="6622"/>
    <cellStyle name="7_전자99상결산진실_02년사업계획양식V1.0_02년사업계획양식V2.0_02년사업계획양식V3.0" xfId="6623"/>
    <cellStyle name="7_전자99상결산진실_02년사업계획양식V1.0_02년사업계획양식V2.0_02년사업계획양식V3.0_02년사업계획양식V3.0" xfId="6624"/>
    <cellStyle name="7_전자99상결산진실_02년사업계획양식V1.0_02년사업계획양식V2.0_02년사업계획양식V3.0_02년사업계획양식V3.0(원본)" xfId="6625"/>
    <cellStyle name="7_전자99상결산진실_02년사업계획양식V1.0_02년사업계획양식V2.0_02년사업계획양식V3.0_02년사업계획양식V3.0(원본)_1" xfId="6626"/>
    <cellStyle name="7_전자99상결산진실_02년사업계획양식V1.0_02년사업계획양식V3.0" xfId="6627"/>
    <cellStyle name="7_전자99상결산진실_02년사업계획양식V1.0_02년사업계획양식V3.0(원본)" xfId="6628"/>
    <cellStyle name="7_전자99상결산진실_02년사업계획양식V1.0_02년사업계획양식V3.0(원본)_1" xfId="6629"/>
    <cellStyle name="7_전자99상결산진실_02년사업계획양식V1.0_02년사업계획양식V3.0_02년사업계획양식V3.0" xfId="6630"/>
    <cellStyle name="7_전자99상결산진실_02년사업계획양식V1.0_02년사업계획양식V3.0_02년사업계획양식V3.0_02년사업계획양식V3.0" xfId="6631"/>
    <cellStyle name="7_전자99상결산진실_02년사업계획양식V1.0_02년사업계획양식V3.0_02년사업계획양식V3.0_02년사업계획양식V3.0(원본)" xfId="6632"/>
    <cellStyle name="7_전자99상결산진실_02년사업계획양식V1.0_02년사업계획양식V3.0_02년사업계획양식V3.0_02년사업계획양식V3.0(원본)_1" xfId="6633"/>
    <cellStyle name="7_전자99상결산진실_02년사업계획양식V1.0_고동욱_011130" xfId="6634"/>
    <cellStyle name="7_전자99상결산진실_02년사업계획양식V1.0_고동욱_011130_02년사업계획양식V2.0" xfId="6635"/>
    <cellStyle name="7_전자99상결산진실_02년사업계획양식V1.0_고동욱_011130_02년사업계획양식V2.0_02년사업계획양식V2.0" xfId="6636"/>
    <cellStyle name="7_전자99상결산진실_02년사업계획양식V1.0_고동욱_011130_02년사업계획양식V2.0_02년사업계획양식V2.0_02년사업계획양식V3.0" xfId="6637"/>
    <cellStyle name="7_전자99상결산진실_02년사업계획양식V1.0_고동욱_011130_02년사업계획양식V2.0_02년사업계획양식V2.0_02년사업계획양식V3.0_02년사업계획양식V3.0" xfId="6638"/>
    <cellStyle name="7_전자99상결산진실_02년사업계획양식V1.0_고동욱_011130_02년사업계획양식V2.0_02년사업계획양식V2.0_02년사업계획양식V3.0_02년사업계획양식V3.0(원본)" xfId="6639"/>
    <cellStyle name="7_전자99상결산진실_02년사업계획양식V1.0_고동욱_011130_02년사업계획양식V2.0_02년사업계획양식V2.0_02년사업계획양식V3.0_02년사업계획양식V3.0(원본)_1" xfId="6640"/>
    <cellStyle name="7_전자99상결산진실_02년사업계획양식V1.0_고동욱_011130_02년사업계획양식V2.0_02년사업계획양식V3.0" xfId="6641"/>
    <cellStyle name="7_전자99상결산진실_02년사업계획양식V1.0_고동욱_011130_02년사업계획양식V2.0_02년사업계획양식V3.0(원본)" xfId="6642"/>
    <cellStyle name="7_전자99상결산진실_02년사업계획양식V1.0_고동욱_011130_02년사업계획양식V2.0_02년사업계획양식V3.0(원본)_1" xfId="6643"/>
    <cellStyle name="7_전자99상결산진실_02년사업계획양식V1.0_고동욱_011130_02년사업계획양식V2.0_02년사업계획양식V3.0_02년사업계획양식V3.0" xfId="6644"/>
    <cellStyle name="7_전자99상결산진실_02년사업계획양식V1.0_고동욱_011130_02년사업계획양식V2.0_02년사업계획양식V3.0_02년사업계획양식V3.0_02년사업계획양식V3.0" xfId="6645"/>
    <cellStyle name="7_전자99상결산진실_02년사업계획양식V1.0_고동욱_011130_02년사업계획양식V2.0_02년사업계획양식V3.0_02년사업계획양식V3.0_02년사업계획양식V3.0(원본)" xfId="6646"/>
    <cellStyle name="7_전자99상결산진실_02년사업계획양식V1.0_고동욱_011130_02년사업계획양식V2.0_02년사업계획양식V3.0_02년사업계획양식V3.0_02년사업계획양식V3.0(원본)_1" xfId="6647"/>
    <cellStyle name="7_전자99상결산진실_02년사업계획양식V1.0_고동욱_011130_02년사업계획양식V3.0" xfId="6648"/>
    <cellStyle name="7_전자99상결산진실_02년사업계획양식V1.0_고동욱_011130_02년사업계획양식V3.0_02년사업계획양식V3.0" xfId="6649"/>
    <cellStyle name="7_전자99상결산진실_02년사업계획양식V1.0_고동욱_011130_02년사업계획양식V3.0_02년사업계획양식V3.0(원본)" xfId="6650"/>
    <cellStyle name="7_전자99상결산진실_02년사업계획양식V1.0_고동욱_011130_02년사업계획양식V3.0_02년사업계획양식V3.0(원본)_1" xfId="6651"/>
    <cellStyle name="7_전자99상결산진실_02년사업계획양식V1.0_고동욱_011205" xfId="6652"/>
    <cellStyle name="7_전자99상결산진실_02년사업계획양식V1.0_고동욱_011205_02년사업계획양식V2.0" xfId="6653"/>
    <cellStyle name="7_전자99상결산진실_02년사업계획양식V1.0_고동욱_011205_02년사업계획양식V2.0_02년사업계획양식V2.0" xfId="6654"/>
    <cellStyle name="7_전자99상결산진실_02년사업계획양식V1.0_고동욱_011205_02년사업계획양식V2.0_02년사업계획양식V2.0_02년사업계획양식V3.0" xfId="6655"/>
    <cellStyle name="7_전자99상결산진실_02년사업계획양식V1.0_고동욱_011205_02년사업계획양식V2.0_02년사업계획양식V2.0_02년사업계획양식V3.0_02년사업계획양식V3.0" xfId="6656"/>
    <cellStyle name="7_전자99상결산진실_02년사업계획양식V1.0_고동욱_011205_02년사업계획양식V2.0_02년사업계획양식V2.0_02년사업계획양식V3.0_02년사업계획양식V3.0(원본)" xfId="6657"/>
    <cellStyle name="7_전자99상결산진실_02년사업계획양식V1.0_고동욱_011205_02년사업계획양식V2.0_02년사업계획양식V2.0_02년사업계획양식V3.0_02년사업계획양식V3.0(원본)_1" xfId="6658"/>
    <cellStyle name="7_전자99상결산진실_02년사업계획양식V1.0_고동욱_011205_02년사업계획양식V2.0_02년사업계획양식V3.0" xfId="6659"/>
    <cellStyle name="7_전자99상결산진실_02년사업계획양식V1.0_고동욱_011205_02년사업계획양식V2.0_02년사업계획양식V3.0(원본)" xfId="6660"/>
    <cellStyle name="7_전자99상결산진실_02년사업계획양식V1.0_고동욱_011205_02년사업계획양식V2.0_02년사업계획양식V3.0(원본)_1" xfId="6661"/>
    <cellStyle name="7_전자99상결산진실_02년사업계획양식V1.0_고동욱_011205_02년사업계획양식V2.0_02년사업계획양식V3.0_02년사업계획양식V3.0" xfId="6662"/>
    <cellStyle name="7_전자99상결산진실_02년사업계획양식V1.0_고동욱_011205_02년사업계획양식V2.0_02년사업계획양식V3.0_02년사업계획양식V3.0_02년사업계획양식V3.0" xfId="6663"/>
    <cellStyle name="7_전자99상결산진실_02년사업계획양식V1.0_고동욱_011205_02년사업계획양식V2.0_02년사업계획양식V3.0_02년사업계획양식V3.0_02년사업계획양식V3.0(원본)" xfId="6664"/>
    <cellStyle name="7_전자99상결산진실_02년사업계획양식V1.0_고동욱_011205_02년사업계획양식V2.0_02년사업계획양식V3.0_02년사업계획양식V3.0_02년사업계획양식V3.0(원본)_1" xfId="6665"/>
    <cellStyle name="7_전자99상결산진실_02년사업계획양식V1.0_고동욱_011205_02년사업계획양식V3.0" xfId="6666"/>
    <cellStyle name="7_전자99상결산진실_02년사업계획양식V1.0_고동욱_011205_02년사업계획양식V3.0_02년사업계획양식V3.0" xfId="6667"/>
    <cellStyle name="7_전자99상결산진실_02년사업계획양식V1.0_고동욱_011205_02년사업계획양식V3.0_02년사업계획양식V3.0(원본)" xfId="6668"/>
    <cellStyle name="7_전자99상결산진실_02년사업계획양식V1.0_고동욱_011205_02년사업계획양식V3.0_02년사업계획양식V3.0(원본)_1" xfId="6669"/>
    <cellStyle name="7_전자99상결산진실_02년사업계획양식V1.0_대호(bs수정)" xfId="6670"/>
    <cellStyle name="7_전자99상결산진실_02년사업계획양식V1.0_대호(bs수정)_02년사업계획양식V2.0" xfId="6671"/>
    <cellStyle name="7_전자99상결산진실_02년사업계획양식V1.0_대호(bs수정)_02년사업계획양식V2.0_02년사업계획양식V2.0" xfId="6672"/>
    <cellStyle name="7_전자99상결산진실_02년사업계획양식V1.0_대호(bs수정)_02년사업계획양식V2.0_02년사업계획양식V2.0_02년사업계획양식V3.0" xfId="6673"/>
    <cellStyle name="7_전자99상결산진실_02년사업계획양식V1.0_대호(bs수정)_02년사업계획양식V2.0_02년사업계획양식V2.0_02년사업계획양식V3.0_02년사업계획양식V3.0" xfId="6674"/>
    <cellStyle name="7_전자99상결산진실_02년사업계획양식V1.0_대호(bs수정)_02년사업계획양식V2.0_02년사업계획양식V2.0_02년사업계획양식V3.0_02년사업계획양식V3.0(원본)" xfId="6675"/>
    <cellStyle name="7_전자99상결산진실_02년사업계획양식V1.0_대호(bs수정)_02년사업계획양식V2.0_02년사업계획양식V2.0_02년사업계획양식V3.0_02년사업계획양식V3.0(원본)_1" xfId="6676"/>
    <cellStyle name="7_전자99상결산진실_02년사업계획양식V1.0_대호(bs수정)_02년사업계획양식V2.0_02년사업계획양식V3.0" xfId="6677"/>
    <cellStyle name="7_전자99상결산진실_02년사업계획양식V1.0_대호(bs수정)_02년사업계획양식V2.0_02년사업계획양식V3.0(원본)" xfId="6678"/>
    <cellStyle name="7_전자99상결산진실_02년사업계획양식V1.0_대호(bs수정)_02년사업계획양식V2.0_02년사업계획양식V3.0(원본)_1" xfId="6679"/>
    <cellStyle name="7_전자99상결산진실_02년사업계획양식V1.0_대호(bs수정)_02년사업계획양식V2.0_02년사업계획양식V3.0_02년사업계획양식V3.0" xfId="6680"/>
    <cellStyle name="7_전자99상결산진실_02년사업계획양식V1.0_대호(bs수정)_02년사업계획양식V2.0_02년사업계획양식V3.0_02년사업계획양식V3.0_02년사업계획양식V3.0" xfId="6681"/>
    <cellStyle name="7_전자99상결산진실_02년사업계획양식V1.0_대호(bs수정)_02년사업계획양식V2.0_02년사업계획양식V3.0_02년사업계획양식V3.0_02년사업계획양식V3.0(원본)" xfId="6682"/>
    <cellStyle name="7_전자99상결산진실_02년사업계획양식V1.0_대호(bs수정)_02년사업계획양식V2.0_02년사업계획양식V3.0_02년사업계획양식V3.0_02년사업계획양식V3.0(원본)_1" xfId="6683"/>
    <cellStyle name="7_전자99상결산진실_02년사업계획양식V1.0_대호(bs수정)_02년사업계획양식V3.0" xfId="6684"/>
    <cellStyle name="7_전자99상결산진실_02년사업계획양식V1.0_대호(bs수정)_02년사업계획양식V3.0_02년사업계획양식V3.0" xfId="6685"/>
    <cellStyle name="7_전자99상결산진실_02년사업계획양식V1.0_대호(bs수정)_02년사업계획양식V3.0_02년사업계획양식V3.0(원본)" xfId="6686"/>
    <cellStyle name="7_전자99상결산진실_02년사업계획양식V1.0_대호(bs수정)_02년사업계획양식V3.0_02년사업계획양식V3.0(원본)_1" xfId="6687"/>
    <cellStyle name="7_전자99상결산진실_02년사업계획양식V2.0" xfId="6688"/>
    <cellStyle name="7_전자99상결산진실_02년사업계획양식V2.0_02년사업계획양식V3.0" xfId="6689"/>
    <cellStyle name="7_전자99상결산진실_02년사업계획양식V2.0_02년사업계획양식V3.0_02년사업계획양식V3.0" xfId="6690"/>
    <cellStyle name="7_전자99상결산진실_02년사업계획양식V2.0_02년사업계획양식V3.0_02년사업계획양식V3.0(원본)" xfId="6691"/>
    <cellStyle name="7_전자99상결산진실_02년사업계획양식V2.0_02년사업계획양식V3.0_02년사업계획양식V3.0(원본)_1" xfId="6692"/>
    <cellStyle name="7_전자99상결산진실_02년사업계획양식V3.0" xfId="6693"/>
    <cellStyle name="7_전자99상결산진실_02년사업계획양식V3.0(원본)" xfId="6694"/>
    <cellStyle name="7_전자99상결산진실_02년사업계획양식V3.0(원본)_1" xfId="6695"/>
    <cellStyle name="7_전자99상결산진실_02년사업계획양식V3.0_02년사업계획양식V3.0" xfId="6696"/>
    <cellStyle name="7_전자99상결산진실_02년사업계획양식V3.0_02년사업계획양식V3.0_02년사업계획양식V3.0" xfId="6697"/>
    <cellStyle name="7_전자99상결산진실_02년사업계획양식V3.0_02년사업계획양식V3.0_02년사업계획양식V3.0(원본)" xfId="6698"/>
    <cellStyle name="7_전자99상결산진실_02년사업계획양식V3.0_02년사업계획양식V3.0_02년사업계획양식V3.0(원본)_1" xfId="6699"/>
    <cellStyle name="7_전자99상결산진실_02년예상+연결기초자료+이익율+배당금+경영지원금" xfId="6700"/>
    <cellStyle name="7_전자99상결산진실_02년예상+연결자료(GSM)" xfId="6701"/>
    <cellStyle name="7_전자99상결산진실_02혁신_종합장표" xfId="6702"/>
    <cellStyle name="7_전자99상결산진실_03 01 10 혁신(사업부양식)" xfId="6703"/>
    <cellStyle name="7_전자99상결산진실_03_사업계획양식(MASS_Link)_1104" xfId="6704"/>
    <cellStyle name="7_전자99상결산진실_030124 혁신재료비9" xfId="6705"/>
    <cellStyle name="7_전자99상결산진실_03기본_종합장표" xfId="6706"/>
    <cellStyle name="7_전자99상결산진실_03법인비용_회수양식_AC" xfId="6707"/>
    <cellStyle name="7_전자99상결산진실_03혁신_종합장표" xfId="6708"/>
    <cellStyle name="7_전자99상결산진실_10월차이동계획" xfId="6709"/>
    <cellStyle name="7_전자99상결산진실_10월차이동계획_01년간예상손익(12월이동)" xfId="6710"/>
    <cellStyle name="7_전자99상결산진실_10월차이동계획_01년간예상손익(12월이동)_2" xfId="6711"/>
    <cellStyle name="7_전자99상결산진실_10월차이동계획_02년 2월 이동_예상손익" xfId="6712"/>
    <cellStyle name="7_전자99상결산진실_10월차이동계획_02년 2월 이동_예상손익_1" xfId="6713"/>
    <cellStyle name="7_전자99상결산진실_10월차이동계획_02년 3월 이동_예상손익(전사취합)" xfId="6714"/>
    <cellStyle name="7_전자99상결산진실_10월차이동계획_02년 6월 이동_예상손익(전사취합)" xfId="6715"/>
    <cellStyle name="7_전자99상결산진실_10월차이동계획_02년간예상손익" xfId="6716"/>
    <cellStyle name="7_전자99상결산진실_10월차이동계획_04월 이동계획_전사예상pl" xfId="6717"/>
    <cellStyle name="7_전자99상결산진실_10월차이동계획_1월이동손익_전사예상pl" xfId="6718"/>
    <cellStyle name="7_전자99상결산진실_10월차이동계획_obu별손익0112이동" xfId="6719"/>
    <cellStyle name="7_전자99상결산진실_2001년 01월차 이동계획_0102" xfId="6720"/>
    <cellStyle name="7_전자99상결산진실_2001년 01월차 이동계획_0102_2001년 05월 이동계획_" xfId="6721"/>
    <cellStyle name="7_전자99상결산진실_2001년 01월차 이동계획_0102_2001년 06월 이동계획_(Maximum)" xfId="6722"/>
    <cellStyle name="7_전자99상결산진실_2001년 01월차 이동계획_0102_2001년 07월차 이동계획보고_" xfId="6723"/>
    <cellStyle name="7_전자99상결산진실_2001년 01월차 이동계획_0102_2002년_02월차_이동계획보고_" xfId="6724"/>
    <cellStyle name="7_전자99상결산진실_2001년 01월차 이동계획_0102_2002년_03월차_이동계획보고_" xfId="6725"/>
    <cellStyle name="7_전자99상결산진실_2001년 01월차 이동계획_0102_2002년_03월차_이동계획보고_1차수정" xfId="6726"/>
    <cellStyle name="7_전자99상결산진실_2001년 01월차 이동계획_0102_2002년_05월차_이동계획보고_" xfId="6727"/>
    <cellStyle name="7_전자99상결산진실_2001년 01월차 이동계획_0102_2002년_06월차_이동계획보고_기종별수정" xfId="6728"/>
    <cellStyle name="7_전자99상결산진실_2001년 01월차 이동계획_0102_2002년_07월차_이동계획보고_수정중_철판 반영후_최종" xfId="6729"/>
    <cellStyle name="7_전자99상결산진실_2001년 01월차 이동계획_0102_2002년_07월차_이동계획보고_수정중0628_2" xfId="6730"/>
    <cellStyle name="7_전자99상결산진실_2001년 01월차 이동계획_0102_VVR0J9DV" xfId="6731"/>
    <cellStyle name="7_전자99상결산진실_2001년 02월 실적예상_02월21일기준" xfId="6732"/>
    <cellStyle name="7_전자99상결산진실_2001년 02월 실적예상_02월21일기준_2001년 05월 이동계획_" xfId="6733"/>
    <cellStyle name="7_전자99상결산진실_2001년 02월 실적예상_02월21일기준_2001년 06월 이동계획_(Maximum)" xfId="6734"/>
    <cellStyle name="7_전자99상결산진실_2001년 02월 실적예상_02월21일기준_2001년 07월차 이동계획보고_" xfId="6735"/>
    <cellStyle name="7_전자99상결산진실_2001년 02월 실적예상_02월21일기준_2002년_02월차_이동계획보고_" xfId="6736"/>
    <cellStyle name="7_전자99상결산진실_2001년 02월 실적예상_02월21일기준_2002년_03월차_이동계획보고_" xfId="6737"/>
    <cellStyle name="7_전자99상결산진실_2001년 02월 실적예상_02월21일기준_2002년_03월차_이동계획보고_1차수정" xfId="6738"/>
    <cellStyle name="7_전자99상결산진실_2001년 02월 실적예상_02월21일기준_2002년_05월차_이동계획보고_" xfId="6739"/>
    <cellStyle name="7_전자99상결산진실_2001년 02월 실적예상_02월21일기준_2002년_06월차_이동계획보고_기종별수정" xfId="6740"/>
    <cellStyle name="7_전자99상결산진실_2001년 02월 실적예상_02월21일기준_2002년_07월차_이동계획보고_수정중_철판 반영후_최종" xfId="6741"/>
    <cellStyle name="7_전자99상결산진실_2001년 02월 실적예상_02월21일기준_2002년_07월차_이동계획보고_수정중0628_2" xfId="6742"/>
    <cellStyle name="7_전자99상결산진실_2001년 02월 실적예상_02월21일기준_VVR0J9DV" xfId="6743"/>
    <cellStyle name="7_전자99상결산진실_2001년 02월차 이동계획_" xfId="6744"/>
    <cellStyle name="7_전자99상결산진실_2001년 02월차 이동계획__2001년 05월 이동계획_" xfId="6745"/>
    <cellStyle name="7_전자99상결산진실_2001년 02월차 이동계획__2001년 06월 이동계획_(Maximum)" xfId="6746"/>
    <cellStyle name="7_전자99상결산진실_2001년 02월차 이동계획__2001년 07월차 이동계획보고_" xfId="6747"/>
    <cellStyle name="7_전자99상결산진실_2001년 02월차 이동계획__2002년_02월차_이동계획보고_" xfId="6748"/>
    <cellStyle name="7_전자99상결산진실_2001년 02월차 이동계획__2002년_03월차_이동계획보고_" xfId="6749"/>
    <cellStyle name="7_전자99상결산진실_2001년 02월차 이동계획__2002년_03월차_이동계획보고_1차수정" xfId="6750"/>
    <cellStyle name="7_전자99상결산진실_2001년 02월차 이동계획__2002년_05월차_이동계획보고_" xfId="6751"/>
    <cellStyle name="7_전자99상결산진실_2001년 02월차 이동계획__2002년_06월차_이동계획보고_기종별수정" xfId="6752"/>
    <cellStyle name="7_전자99상결산진실_2001년 02월차 이동계획__2002년_07월차_이동계획보고_수정중_철판 반영후_최종" xfId="6753"/>
    <cellStyle name="7_전자99상결산진실_2001년 02월차 이동계획__2002년_07월차_이동계획보고_수정중0628_2" xfId="6754"/>
    <cellStyle name="7_전자99상결산진실_2001년 02월차 이동계획__VVR0J9DV" xfId="6755"/>
    <cellStyle name="7_전자99상결산진실_2002년_월별사업계획전산_DM" xfId="6756"/>
    <cellStyle name="7_전자99상결산진실_2002년_월별사업계획전산_DM_02년사업계획양식V1.0_대호(bs수정)" xfId="6757"/>
    <cellStyle name="7_전자99상결산진실_2002년_월별사업계획전산_DM_02년사업계획양식V1.0_대호(bs수정)_02년사업계획양식V2.0" xfId="6758"/>
    <cellStyle name="7_전자99상결산진실_2002년_월별사업계획전산_DM_02년사업계획양식V1.0_대호(bs수정)_02년사업계획양식V2.0_02년사업계획양식V2.0" xfId="6759"/>
    <cellStyle name="7_전자99상결산진실_2002년_월별사업계획전산_DM_02년사업계획양식V1.0_대호(bs수정)_02년사업계획양식V2.0_02년사업계획양식V2.0_02년사업계획양식V3.0" xfId="6760"/>
    <cellStyle name="7_전자99상결산진실_2002년_월별사업계획전산_DM_02년사업계획양식V1.0_대호(bs수정)_02년사업계획양식V2.0_02년사업계획양식V2.0_02년사업계획양식V3.0_02년사업계획양식V3.0" xfId="6761"/>
    <cellStyle name="7_전자99상결산진실_2002년_월별사업계획전산_DM_02년사업계획양식V1.0_대호(bs수정)_02년사업계획양식V2.0_02년사업계획양식V2.0_02년사업계획양식V3.0_02년사업계획양식V3.0(원본)" xfId="6762"/>
    <cellStyle name="7_전자99상결산진실_2002년_월별사업계획전산_DM_02년사업계획양식V1.0_대호(bs수정)_02년사업계획양식V2.0_02년사업계획양식V2.0_02년사업계획양식V3.0_02년사업계획양식V3.0(원본)_1" xfId="6763"/>
    <cellStyle name="7_전자99상결산진실_2002년_월별사업계획전산_DM_02년사업계획양식V1.0_대호(bs수정)_02년사업계획양식V2.0_02년사업계획양식V3.0" xfId="6764"/>
    <cellStyle name="7_전자99상결산진실_2002년_월별사업계획전산_DM_02년사업계획양식V1.0_대호(bs수정)_02년사업계획양식V2.0_02년사업계획양식V3.0(원본)" xfId="6765"/>
    <cellStyle name="7_전자99상결산진실_2002년_월별사업계획전산_DM_02년사업계획양식V1.0_대호(bs수정)_02년사업계획양식V2.0_02년사업계획양식V3.0(원본)_1" xfId="6766"/>
    <cellStyle name="7_전자99상결산진실_2002년_월별사업계획전산_DM_02년사업계획양식V1.0_대호(bs수정)_02년사업계획양식V2.0_02년사업계획양식V3.0_02년사업계획양식V3.0" xfId="6767"/>
    <cellStyle name="7_전자99상결산진실_2002년_월별사업계획전산_DM_02년사업계획양식V1.0_대호(bs수정)_02년사업계획양식V2.0_02년사업계획양식V3.0_02년사업계획양식V3.0_02년사업계획양식V3.0" xfId="6768"/>
    <cellStyle name="7_전자99상결산진실_2002년_월별사업계획전산_DM_02년사업계획양식V1.0_대호(bs수정)_02년사업계획양식V2.0_02년사업계획양식V3.0_02년사업계획양식V3.0_02년사업계획양식V3.0(원본)" xfId="6769"/>
    <cellStyle name="7_전자99상결산진실_2002년_월별사업계획전산_DM_02년사업계획양식V1.0_대호(bs수정)_02년사업계획양식V2.0_02년사업계획양식V3.0_02년사업계획양식V3.0_02년사업계획양식V3.0(원본)_1" xfId="6770"/>
    <cellStyle name="7_전자99상결산진실_2002년_월별사업계획전산_DM_02년사업계획양식V1.0_대호(bs수정)_02년사업계획양식V3.0" xfId="6771"/>
    <cellStyle name="7_전자99상결산진실_2002년_월별사업계획전산_DM_02년사업계획양식V1.0_대호(bs수정)_02년사업계획양식V3.0_02년사업계획양식V3.0" xfId="6772"/>
    <cellStyle name="7_전자99상결산진실_2002년_월별사업계획전산_DM_02년사업계획양식V1.0_대호(bs수정)_02년사업계획양식V3.0_02년사업계획양식V3.0(원본)" xfId="6773"/>
    <cellStyle name="7_전자99상결산진실_2002년_월별사업계획전산_DM_02년사업계획양식V1.0_대호(bs수정)_02년사업계획양식V3.0_02년사업계획양식V3.0(원본)_1" xfId="6774"/>
    <cellStyle name="7_전자99상결산진실_2002년_월별사업계획전산_DM_02년사업계획양식V2.0" xfId="6775"/>
    <cellStyle name="7_전자99상결산진실_2002년_월별사업계획전산_DM_02년사업계획양식V2.0_02년사업계획양식V3.0" xfId="6776"/>
    <cellStyle name="7_전자99상결산진실_2002년_월별사업계획전산_DM_02년사업계획양식V2.0_02년사업계획양식V3.0_02년사업계획양식V3.0" xfId="6777"/>
    <cellStyle name="7_전자99상결산진실_2002년_월별사업계획전산_DM_02년사업계획양식V2.0_02년사업계획양식V3.0_02년사업계획양식V3.0(원본)" xfId="6778"/>
    <cellStyle name="7_전자99상결산진실_2002년_월별사업계획전산_DM_02년사업계획양식V2.0_02년사업계획양식V3.0_02년사업계획양식V3.0(원본)_1" xfId="6779"/>
    <cellStyle name="7_전자99상결산진실_2002년_월별사업계획전산_DM_02년사업계획양식V3.0" xfId="6780"/>
    <cellStyle name="7_전자99상결산진실_2002년_월별사업계획전산_DM_02년사업계획양식V3.0(원본)" xfId="6781"/>
    <cellStyle name="7_전자99상결산진실_2002년_월별사업계획전산_DM_02년사업계획양식V3.0(원본)_1" xfId="6782"/>
    <cellStyle name="7_전자99상결산진실_2002년_월별사업계획전산_DM_02년사업계획양식V3.0_02년사업계획양식V3.0" xfId="6783"/>
    <cellStyle name="7_전자99상결산진실_2002년_월별사업계획전산_DM_02년사업계획양식V3.0_02년사업계획양식V3.0_02년사업계획양식V3.0" xfId="6784"/>
    <cellStyle name="7_전자99상결산진실_2002년_월별사업계획전산_DM_02년사업계획양식V3.0_02년사업계획양식V3.0_02년사업계획양식V3.0(원본)" xfId="6785"/>
    <cellStyle name="7_전자99상결산진실_2002년_월별사업계획전산_DM_02년사업계획양식V3.0_02년사업계획양식V3.0_02년사업계획양식V3.0(원본)_1" xfId="6786"/>
    <cellStyle name="7_전자99상결산진실_5월이동_전사손익" xfId="6787"/>
    <cellStyle name="7_전자99상결산진실_5월이동_전사손익_01년간예상손익(12월이동)" xfId="6788"/>
    <cellStyle name="7_전자99상결산진실_5월이동_전사손익_01년간예상손익(12월이동)_2" xfId="6789"/>
    <cellStyle name="7_전자99상결산진실_5월이동_전사손익_01매출손익(6월 실적반영)" xfId="6790"/>
    <cellStyle name="7_전자99상결산진실_5월이동_전사손익_01매출손익(6월 실적반영)_01년간예상손익(12월이동)" xfId="6791"/>
    <cellStyle name="7_전자99상결산진실_5월이동_전사손익_01매출손익(6월 실적반영)_01년간예상손익(12월이동)_2" xfId="6792"/>
    <cellStyle name="7_전자99상결산진실_5월이동_전사손익_01매출손익(6월 실적반영)_02년 2월 이동_예상손익" xfId="6793"/>
    <cellStyle name="7_전자99상결산진실_5월이동_전사손익_01매출손익(6월 실적반영)_02년 2월 이동_예상손익_1" xfId="6794"/>
    <cellStyle name="7_전자99상결산진실_5월이동_전사손익_01매출손익(6월 실적반영)_02년 3월 이동_예상손익(전사취합)" xfId="6795"/>
    <cellStyle name="7_전자99상결산진실_5월이동_전사손익_01매출손익(6월 실적반영)_02년 6월 이동_예상손익(전사취합)" xfId="6796"/>
    <cellStyle name="7_전자99상결산진실_5월이동_전사손익_01매출손익(6월 실적반영)_02년간예상손익" xfId="6797"/>
    <cellStyle name="7_전자99상결산진실_5월이동_전사손익_01매출손익(6월 실적반영)_04월 이동계획_전사예상pl" xfId="6798"/>
    <cellStyle name="7_전자99상결산진실_5월이동_전사손익_01매출손익(6월 실적반영)_1월이동손익_전사예상pl" xfId="6799"/>
    <cellStyle name="7_전자99상결산진실_5월이동_전사손익_01매출손익(6월 실적반영)_obu별손익0112이동" xfId="6800"/>
    <cellStyle name="7_전자99상결산진실_5월이동_전사손익_02년 2월 이동_예상손익" xfId="6801"/>
    <cellStyle name="7_전자99상결산진실_5월이동_전사손익_02년 2월 이동_예상손익_1" xfId="6802"/>
    <cellStyle name="7_전자99상결산진실_5월이동_전사손익_02년 3월 이동_예상손익(전사취합)" xfId="6803"/>
    <cellStyle name="7_전자99상결산진실_5월이동_전사손익_02년 6월 이동_예상손익(전사취합)" xfId="6804"/>
    <cellStyle name="7_전자99상결산진실_5월이동_전사손익_02년간예상손익" xfId="6805"/>
    <cellStyle name="7_전자99상결산진실_5월이동_전사손익_04월 이동계획_전사예상pl" xfId="6806"/>
    <cellStyle name="7_전자99상결산진실_5월이동_전사손익_06전사손익" xfId="6807"/>
    <cellStyle name="7_전자99상결산진실_5월이동_전사손익_06전사손익_01년간예상손익(12월이동)" xfId="6808"/>
    <cellStyle name="7_전자99상결산진실_5월이동_전사손익_06전사손익_01년간예상손익(12월이동)_2" xfId="6809"/>
    <cellStyle name="7_전자99상결산진실_5월이동_전사손익_06전사손익_01매출손익(6월 실적반영)" xfId="6810"/>
    <cellStyle name="7_전자99상결산진실_5월이동_전사손익_06전사손익_01매출손익(6월 실적반영)_01년간예상손익(12월이동)" xfId="6811"/>
    <cellStyle name="7_전자99상결산진실_5월이동_전사손익_06전사손익_01매출손익(6월 실적반영)_01년간예상손익(12월이동)_2" xfId="6812"/>
    <cellStyle name="7_전자99상결산진실_5월이동_전사손익_06전사손익_01매출손익(6월 실적반영)_02년 2월 이동_예상손익" xfId="6813"/>
    <cellStyle name="7_전자99상결산진실_5월이동_전사손익_06전사손익_01매출손익(6월 실적반영)_02년 2월 이동_예상손익_1" xfId="6814"/>
    <cellStyle name="7_전자99상결산진실_5월이동_전사손익_06전사손익_01매출손익(6월 실적반영)_02년 3월 이동_예상손익(전사취합)" xfId="6815"/>
    <cellStyle name="7_전자99상결산진실_5월이동_전사손익_06전사손익_01매출손익(6월 실적반영)_02년 6월 이동_예상손익(전사취합)" xfId="6816"/>
    <cellStyle name="7_전자99상결산진실_5월이동_전사손익_06전사손익_01매출손익(6월 실적반영)_02년간예상손익" xfId="6817"/>
    <cellStyle name="7_전자99상결산진실_5월이동_전사손익_06전사손익_01매출손익(6월 실적반영)_04월 이동계획_전사예상pl" xfId="6818"/>
    <cellStyle name="7_전자99상결산진실_5월이동_전사손익_06전사손익_01매출손익(6월 실적반영)_1월이동손익_전사예상pl" xfId="6819"/>
    <cellStyle name="7_전자99상결산진실_5월이동_전사손익_06전사손익_01매출손익(6월 실적반영)_obu별손익0112이동" xfId="6820"/>
    <cellStyle name="7_전자99상결산진실_5월이동_전사손익_06전사손익_02년 2월 이동_예상손익" xfId="6821"/>
    <cellStyle name="7_전자99상결산진실_5월이동_전사손익_06전사손익_02년 2월 이동_예상손익_1" xfId="6822"/>
    <cellStyle name="7_전자99상결산진실_5월이동_전사손익_06전사손익_02년 3월 이동_예상손익(전사취합)" xfId="6823"/>
    <cellStyle name="7_전자99상결산진실_5월이동_전사손익_06전사손익_02년 6월 이동_예상손익(전사취합)" xfId="6824"/>
    <cellStyle name="7_전자99상결산진실_5월이동_전사손익_06전사손익_02년간예상손익" xfId="6825"/>
    <cellStyle name="7_전자99상결산진실_5월이동_전사손익_06전사손익_04월 이동계획_전사예상pl" xfId="6826"/>
    <cellStyle name="7_전자99상결산진실_5월이동_전사손익_06전사손익_1월이동손익_전사예상pl" xfId="6827"/>
    <cellStyle name="7_전자99상결산진실_5월이동_전사손익_06전사손익_8월예상" xfId="6828"/>
    <cellStyle name="7_전자99상결산진실_5월이동_전사손익_06전사손익_8월예상_01년간예상손익(12월이동)" xfId="6829"/>
    <cellStyle name="7_전자99상결산진실_5월이동_전사손익_06전사손익_8월예상_01년간예상손익(12월이동)_2" xfId="6830"/>
    <cellStyle name="7_전자99상결산진실_5월이동_전사손익_06전사손익_8월예상_02년 2월 이동_예상손익" xfId="6831"/>
    <cellStyle name="7_전자99상결산진실_5월이동_전사손익_06전사손익_8월예상_02년 2월 이동_예상손익_1" xfId="6832"/>
    <cellStyle name="7_전자99상결산진실_5월이동_전사손익_06전사손익_8월예상_02년 3월 이동_예상손익(전사취합)" xfId="6833"/>
    <cellStyle name="7_전자99상결산진실_5월이동_전사손익_06전사손익_8월예상_02년 6월 이동_예상손익(전사취합)" xfId="6834"/>
    <cellStyle name="7_전자99상결산진실_5월이동_전사손익_06전사손익_8월예상_02년간예상손익" xfId="6835"/>
    <cellStyle name="7_전자99상결산진실_5월이동_전사손익_06전사손익_8월예상_04월 이동계획_전사예상pl" xfId="6836"/>
    <cellStyle name="7_전자99상결산진실_5월이동_전사손익_06전사손익_8월예상_1월이동손익_전사예상pl" xfId="6837"/>
    <cellStyle name="7_전자99상결산진실_5월이동_전사손익_06전사손익_8월예상_obu별손익0112이동" xfId="6838"/>
    <cellStyle name="7_전자99상결산진실_5월이동_전사손익_06전사손익_9-12월예상pl" xfId="6839"/>
    <cellStyle name="7_전자99상결산진실_5월이동_전사손익_06전사손익_9-12월예상pl_01년간예상손익(12월이동)" xfId="6840"/>
    <cellStyle name="7_전자99상결산진실_5월이동_전사손익_06전사손익_9-12월예상pl_01년간예상손익(12월이동)_2" xfId="6841"/>
    <cellStyle name="7_전자99상결산진실_5월이동_전사손익_06전사손익_9-12월예상pl_02년 2월 이동_예상손익" xfId="6842"/>
    <cellStyle name="7_전자99상결산진실_5월이동_전사손익_06전사손익_9-12월예상pl_02년 2월 이동_예상손익_1" xfId="6843"/>
    <cellStyle name="7_전자99상결산진실_5월이동_전사손익_06전사손익_9-12월예상pl_02년 3월 이동_예상손익(전사취합)" xfId="6844"/>
    <cellStyle name="7_전자99상결산진실_5월이동_전사손익_06전사손익_9-12월예상pl_02년 6월 이동_예상손익(전사취합)" xfId="6845"/>
    <cellStyle name="7_전자99상결산진실_5월이동_전사손익_06전사손익_9-12월예상pl_02년간예상손익" xfId="6846"/>
    <cellStyle name="7_전자99상결산진실_5월이동_전사손익_06전사손익_9-12월예상pl_04월 이동계획_전사예상pl" xfId="6847"/>
    <cellStyle name="7_전자99상결산진실_5월이동_전사손익_06전사손익_9-12월예상pl_1월이동손익_전사예상pl" xfId="6848"/>
    <cellStyle name="7_전자99상결산진실_5월이동_전사손익_06전사손익_9-12월예상pl_obu별손익0112이동" xfId="6849"/>
    <cellStyle name="7_전자99상결산진실_5월이동_전사손익_06전사손익_obu별손익0112이동" xfId="6850"/>
    <cellStyle name="7_전자99상결산진실_5월이동_전사손익_06전사손익_상반기_연간손익정리(서대호)" xfId="6851"/>
    <cellStyle name="7_전자99상결산진실_5월이동_전사손익_06전사손익_상반기_연간손익정리(서대호)_01년간예상손익(12월이동)" xfId="6852"/>
    <cellStyle name="7_전자99상결산진실_5월이동_전사손익_06전사손익_상반기_연간손익정리(서대호)_01년간예상손익(12월이동)_2" xfId="6853"/>
    <cellStyle name="7_전자99상결산진실_5월이동_전사손익_06전사손익_상반기_연간손익정리(서대호)_01매출손익(6월 실적반영)" xfId="6854"/>
    <cellStyle name="7_전자99상결산진실_5월이동_전사손익_06전사손익_상반기_연간손익정리(서대호)_01매출손익(6월 실적반영)_01년간예상손익(12월이동)" xfId="6855"/>
    <cellStyle name="7_전자99상결산진실_5월이동_전사손익_06전사손익_상반기_연간손익정리(서대호)_01매출손익(6월 실적반영)_01년간예상손익(12월이동)_2" xfId="6856"/>
    <cellStyle name="7_전자99상결산진실_5월이동_전사손익_06전사손익_상반기_연간손익정리(서대호)_01매출손익(6월 실적반영)_02년 2월 이동_예상손익" xfId="6857"/>
    <cellStyle name="7_전자99상결산진실_5월이동_전사손익_06전사손익_상반기_연간손익정리(서대호)_01매출손익(6월 실적반영)_02년 2월 이동_예상손익_1" xfId="6858"/>
    <cellStyle name="7_전자99상결산진실_5월이동_전사손익_06전사손익_상반기_연간손익정리(서대호)_01매출손익(6월 실적반영)_02년 3월 이동_예상손익(전사취합)" xfId="6859"/>
    <cellStyle name="7_전자99상결산진실_5월이동_전사손익_06전사손익_상반기_연간손익정리(서대호)_01매출손익(6월 실적반영)_02년 6월 이동_예상손익(전사취합)" xfId="6860"/>
    <cellStyle name="7_전자99상결산진실_5월이동_전사손익_06전사손익_상반기_연간손익정리(서대호)_01매출손익(6월 실적반영)_02년간예상손익" xfId="6861"/>
    <cellStyle name="7_전자99상결산진실_5월이동_전사손익_06전사손익_상반기_연간손익정리(서대호)_01매출손익(6월 실적반영)_04월 이동계획_전사예상pl" xfId="6862"/>
    <cellStyle name="7_전자99상결산진실_5월이동_전사손익_06전사손익_상반기_연간손익정리(서대호)_01매출손익(6월 실적반영)_1월이동손익_전사예상pl" xfId="6863"/>
    <cellStyle name="7_전자99상결산진실_5월이동_전사손익_06전사손익_상반기_연간손익정리(서대호)_01매출손익(6월 실적반영)_obu별손익0112이동" xfId="6864"/>
    <cellStyle name="7_전자99상결산진실_5월이동_전사손익_06전사손익_상반기_연간손익정리(서대호)_02년 2월 이동_예상손익" xfId="6865"/>
    <cellStyle name="7_전자99상결산진실_5월이동_전사손익_06전사손익_상반기_연간손익정리(서대호)_02년 2월 이동_예상손익_1" xfId="6866"/>
    <cellStyle name="7_전자99상결산진실_5월이동_전사손익_06전사손익_상반기_연간손익정리(서대호)_02년 3월 이동_예상손익(전사취합)" xfId="6867"/>
    <cellStyle name="7_전자99상결산진실_5월이동_전사손익_06전사손익_상반기_연간손익정리(서대호)_02년 6월 이동_예상손익(전사취합)" xfId="6868"/>
    <cellStyle name="7_전자99상결산진실_5월이동_전사손익_06전사손익_상반기_연간손익정리(서대호)_02년간예상손익" xfId="6869"/>
    <cellStyle name="7_전자99상결산진실_5월이동_전사손익_06전사손익_상반기_연간손익정리(서대호)_04월 이동계획_전사예상pl" xfId="6870"/>
    <cellStyle name="7_전자99상결산진실_5월이동_전사손익_06전사손익_상반기_연간손익정리(서대호)_1월이동손익_전사예상pl" xfId="6871"/>
    <cellStyle name="7_전자99상결산진실_5월이동_전사손익_06전사손익_상반기_연간손익정리(서대호)_8월예상" xfId="6872"/>
    <cellStyle name="7_전자99상결산진실_5월이동_전사손익_06전사손익_상반기_연간손익정리(서대호)_8월예상_01년간예상손익(12월이동)" xfId="6873"/>
    <cellStyle name="7_전자99상결산진실_5월이동_전사손익_06전사손익_상반기_연간손익정리(서대호)_8월예상_01년간예상손익(12월이동)_2" xfId="6874"/>
    <cellStyle name="7_전자99상결산진실_5월이동_전사손익_06전사손익_상반기_연간손익정리(서대호)_8월예상_02년 2월 이동_예상손익" xfId="6875"/>
    <cellStyle name="7_전자99상결산진실_5월이동_전사손익_06전사손익_상반기_연간손익정리(서대호)_8월예상_02년 2월 이동_예상손익_1" xfId="6876"/>
    <cellStyle name="7_전자99상결산진실_5월이동_전사손익_06전사손익_상반기_연간손익정리(서대호)_8월예상_02년 3월 이동_예상손익(전사취합)" xfId="6877"/>
    <cellStyle name="7_전자99상결산진실_5월이동_전사손익_06전사손익_상반기_연간손익정리(서대호)_8월예상_02년 6월 이동_예상손익(전사취합)" xfId="6878"/>
    <cellStyle name="7_전자99상결산진실_5월이동_전사손익_06전사손익_상반기_연간손익정리(서대호)_8월예상_02년간예상손익" xfId="6879"/>
    <cellStyle name="7_전자99상결산진실_5월이동_전사손익_06전사손익_상반기_연간손익정리(서대호)_8월예상_04월 이동계획_전사예상pl" xfId="6880"/>
    <cellStyle name="7_전자99상결산진실_5월이동_전사손익_06전사손익_상반기_연간손익정리(서대호)_8월예상_1월이동손익_전사예상pl" xfId="6881"/>
    <cellStyle name="7_전자99상결산진실_5월이동_전사손익_06전사손익_상반기_연간손익정리(서대호)_8월예상_obu별손익0112이동" xfId="6882"/>
    <cellStyle name="7_전자99상결산진실_5월이동_전사손익_06전사손익_상반기_연간손익정리(서대호)_obu별손익0112이동" xfId="6883"/>
    <cellStyle name="7_전자99상결산진실_5월이동_전사손익_06전사손익_상반기_연간손익정리(서대호)_연간예상추정5886_0726" xfId="6884"/>
    <cellStyle name="7_전자99상결산진실_5월이동_전사손익_06전사손익_상반기_연간손익정리(서대호)_연간예상추정5886_0726_01년간예상손익(12월이동)" xfId="6885"/>
    <cellStyle name="7_전자99상결산진실_5월이동_전사손익_06전사손익_상반기_연간손익정리(서대호)_연간예상추정5886_0726_01년간예상손익(12월이동)_2" xfId="6886"/>
    <cellStyle name="7_전자99상결산진실_5월이동_전사손익_06전사손익_상반기_연간손익정리(서대호)_연간예상추정5886_0726_02년 2월 이동_예상손익" xfId="6887"/>
    <cellStyle name="7_전자99상결산진실_5월이동_전사손익_06전사손익_상반기_연간손익정리(서대호)_연간예상추정5886_0726_02년 2월 이동_예상손익_1" xfId="6888"/>
    <cellStyle name="7_전자99상결산진실_5월이동_전사손익_06전사손익_상반기_연간손익정리(서대호)_연간예상추정5886_0726_02년 3월 이동_예상손익(전사취합)" xfId="6889"/>
    <cellStyle name="7_전자99상결산진실_5월이동_전사손익_06전사손익_상반기_연간손익정리(서대호)_연간예상추정5886_0726_02년 6월 이동_예상손익(전사취합)" xfId="6890"/>
    <cellStyle name="7_전자99상결산진실_5월이동_전사손익_06전사손익_상반기_연간손익정리(서대호)_연간예상추정5886_0726_02년간예상손익" xfId="6891"/>
    <cellStyle name="7_전자99상결산진실_5월이동_전사손익_06전사손익_상반기_연간손익정리(서대호)_연간예상추정5886_0726_04월 이동계획_전사예상pl" xfId="6892"/>
    <cellStyle name="7_전자99상결산진실_5월이동_전사손익_06전사손익_상반기_연간손익정리(서대호)_연간예상추정5886_0726_1월이동손익_전사예상pl" xfId="6893"/>
    <cellStyle name="7_전자99상결산진실_5월이동_전사손익_06전사손익_상반기_연간손익정리(서대호)_연간예상추정5886_0726_obu별손익0112이동" xfId="6894"/>
    <cellStyle name="7_전자99상결산진실_5월이동_전사손익_06전사손익_연간예상추정5886_0726" xfId="6895"/>
    <cellStyle name="7_전자99상결산진실_5월이동_전사손익_06전사손익_연간예상추정5886_0726_01년간예상손익(12월이동)" xfId="6896"/>
    <cellStyle name="7_전자99상결산진실_5월이동_전사손익_06전사손익_연간예상추정5886_0726_01년간예상손익(12월이동)_2" xfId="6897"/>
    <cellStyle name="7_전자99상결산진실_5월이동_전사손익_06전사손익_연간예상추정5886_0726_02년 2월 이동_예상손익" xfId="6898"/>
    <cellStyle name="7_전자99상결산진실_5월이동_전사손익_06전사손익_연간예상추정5886_0726_02년 2월 이동_예상손익_1" xfId="6899"/>
    <cellStyle name="7_전자99상결산진실_5월이동_전사손익_06전사손익_연간예상추정5886_0726_02년 3월 이동_예상손익(전사취합)" xfId="6900"/>
    <cellStyle name="7_전자99상결산진실_5월이동_전사손익_06전사손익_연간예상추정5886_0726_02년 6월 이동_예상손익(전사취합)" xfId="6901"/>
    <cellStyle name="7_전자99상결산진실_5월이동_전사손익_06전사손익_연간예상추정5886_0726_02년간예상손익" xfId="6902"/>
    <cellStyle name="7_전자99상결산진실_5월이동_전사손익_06전사손익_연간예상추정5886_0726_04월 이동계획_전사예상pl" xfId="6903"/>
    <cellStyle name="7_전자99상결산진실_5월이동_전사손익_06전사손익_연간예상추정5886_0726_1월이동손익_전사예상pl" xfId="6904"/>
    <cellStyle name="7_전자99상결산진실_5월이동_전사손익_06전사손익_연간예상추정5886_0726_obu별손익0112이동" xfId="6905"/>
    <cellStyle name="7_전자99상결산진실_5월이동_전사손익_06전사손익1" xfId="6906"/>
    <cellStyle name="7_전자99상결산진실_5월이동_전사손익_06전사손익1_01년간예상손익(12월이동)" xfId="6907"/>
    <cellStyle name="7_전자99상결산진실_5월이동_전사손익_06전사손익1_01년간예상손익(12월이동)_2" xfId="6908"/>
    <cellStyle name="7_전자99상결산진실_5월이동_전사손익_06전사손익1_01매출손익(6월 실적반영)" xfId="6909"/>
    <cellStyle name="7_전자99상결산진실_5월이동_전사손익_06전사손익1_01매출손익(6월 실적반영)_01년간예상손익(12월이동)" xfId="6910"/>
    <cellStyle name="7_전자99상결산진실_5월이동_전사손익_06전사손익1_01매출손익(6월 실적반영)_01년간예상손익(12월이동)_2" xfId="6911"/>
    <cellStyle name="7_전자99상결산진실_5월이동_전사손익_06전사손익1_01매출손익(6월 실적반영)_02년 2월 이동_예상손익" xfId="6912"/>
    <cellStyle name="7_전자99상결산진실_5월이동_전사손익_06전사손익1_01매출손익(6월 실적반영)_02년 2월 이동_예상손익_1" xfId="6913"/>
    <cellStyle name="7_전자99상결산진실_5월이동_전사손익_06전사손익1_01매출손익(6월 실적반영)_02년 3월 이동_예상손익(전사취합)" xfId="6914"/>
    <cellStyle name="7_전자99상결산진실_5월이동_전사손익_06전사손익1_01매출손익(6월 실적반영)_02년 6월 이동_예상손익(전사취합)" xfId="6915"/>
    <cellStyle name="7_전자99상결산진실_5월이동_전사손익_06전사손익1_01매출손익(6월 실적반영)_02년간예상손익" xfId="6916"/>
    <cellStyle name="7_전자99상결산진실_5월이동_전사손익_06전사손익1_01매출손익(6월 실적반영)_04월 이동계획_전사예상pl" xfId="6917"/>
    <cellStyle name="7_전자99상결산진실_5월이동_전사손익_06전사손익1_01매출손익(6월 실적반영)_1월이동손익_전사예상pl" xfId="6918"/>
    <cellStyle name="7_전자99상결산진실_5월이동_전사손익_06전사손익1_01매출손익(6월 실적반영)_obu별손익0112이동" xfId="6919"/>
    <cellStyle name="7_전자99상결산진실_5월이동_전사손익_06전사손익1_02년 2월 이동_예상손익" xfId="6920"/>
    <cellStyle name="7_전자99상결산진실_5월이동_전사손익_06전사손익1_02년 2월 이동_예상손익_1" xfId="6921"/>
    <cellStyle name="7_전자99상결산진실_5월이동_전사손익_06전사손익1_02년 3월 이동_예상손익(전사취합)" xfId="6922"/>
    <cellStyle name="7_전자99상결산진실_5월이동_전사손익_06전사손익1_02년 6월 이동_예상손익(전사취합)" xfId="6923"/>
    <cellStyle name="7_전자99상결산진실_5월이동_전사손익_06전사손익1_02년간예상손익" xfId="6924"/>
    <cellStyle name="7_전자99상결산진실_5월이동_전사손익_06전사손익1_04월 이동계획_전사예상pl" xfId="6925"/>
    <cellStyle name="7_전자99상결산진실_5월이동_전사손익_06전사손익1_1월이동손익_전사예상pl" xfId="6926"/>
    <cellStyle name="7_전자99상결산진실_5월이동_전사손익_06전사손익1_8월예상" xfId="6927"/>
    <cellStyle name="7_전자99상결산진실_5월이동_전사손익_06전사손익1_8월예상_01년간예상손익(12월이동)" xfId="6928"/>
    <cellStyle name="7_전자99상결산진실_5월이동_전사손익_06전사손익1_8월예상_01년간예상손익(12월이동)_2" xfId="6929"/>
    <cellStyle name="7_전자99상결산진실_5월이동_전사손익_06전사손익1_8월예상_02년 2월 이동_예상손익" xfId="6930"/>
    <cellStyle name="7_전자99상결산진실_5월이동_전사손익_06전사손익1_8월예상_02년 2월 이동_예상손익_1" xfId="6931"/>
    <cellStyle name="7_전자99상결산진실_5월이동_전사손익_06전사손익1_8월예상_02년 3월 이동_예상손익(전사취합)" xfId="6932"/>
    <cellStyle name="7_전자99상결산진실_5월이동_전사손익_06전사손익1_8월예상_02년 6월 이동_예상손익(전사취합)" xfId="6933"/>
    <cellStyle name="7_전자99상결산진실_5월이동_전사손익_06전사손익1_8월예상_02년간예상손익" xfId="6934"/>
    <cellStyle name="7_전자99상결산진실_5월이동_전사손익_06전사손익1_8월예상_04월 이동계획_전사예상pl" xfId="6935"/>
    <cellStyle name="7_전자99상결산진실_5월이동_전사손익_06전사손익1_8월예상_1월이동손익_전사예상pl" xfId="6936"/>
    <cellStyle name="7_전자99상결산진실_5월이동_전사손익_06전사손익1_8월예상_obu별손익0112이동" xfId="6937"/>
    <cellStyle name="7_전자99상결산진실_5월이동_전사손익_06전사손익1_9-12월예상pl" xfId="6938"/>
    <cellStyle name="7_전자99상결산진실_5월이동_전사손익_06전사손익1_9-12월예상pl_01년간예상손익(12월이동)" xfId="6939"/>
    <cellStyle name="7_전자99상결산진실_5월이동_전사손익_06전사손익1_9-12월예상pl_01년간예상손익(12월이동)_2" xfId="6940"/>
    <cellStyle name="7_전자99상결산진실_5월이동_전사손익_06전사손익1_9-12월예상pl_02년 2월 이동_예상손익" xfId="6941"/>
    <cellStyle name="7_전자99상결산진실_5월이동_전사손익_06전사손익1_9-12월예상pl_02년 2월 이동_예상손익_1" xfId="6942"/>
    <cellStyle name="7_전자99상결산진실_5월이동_전사손익_06전사손익1_9-12월예상pl_02년 3월 이동_예상손익(전사취합)" xfId="6943"/>
    <cellStyle name="7_전자99상결산진실_5월이동_전사손익_06전사손익1_9-12월예상pl_02년 6월 이동_예상손익(전사취합)" xfId="6944"/>
    <cellStyle name="7_전자99상결산진실_5월이동_전사손익_06전사손익1_9-12월예상pl_02년간예상손익" xfId="6945"/>
    <cellStyle name="7_전자99상결산진실_5월이동_전사손익_06전사손익1_9-12월예상pl_04월 이동계획_전사예상pl" xfId="6946"/>
    <cellStyle name="7_전자99상결산진실_5월이동_전사손익_06전사손익1_9-12월예상pl_1월이동손익_전사예상pl" xfId="6947"/>
    <cellStyle name="7_전자99상결산진실_5월이동_전사손익_06전사손익1_9-12월예상pl_obu별손익0112이동" xfId="6948"/>
    <cellStyle name="7_전자99상결산진실_5월이동_전사손익_06전사손익1_obu별손익0112이동" xfId="6949"/>
    <cellStyle name="7_전자99상결산진실_5월이동_전사손익_06전사손익1_상반기_연간손익정리(서대호)" xfId="6950"/>
    <cellStyle name="7_전자99상결산진실_5월이동_전사손익_06전사손익1_상반기_연간손익정리(서대호)_01년간예상손익(12월이동)" xfId="6951"/>
    <cellStyle name="7_전자99상결산진실_5월이동_전사손익_06전사손익1_상반기_연간손익정리(서대호)_01년간예상손익(12월이동)_2" xfId="6952"/>
    <cellStyle name="7_전자99상결산진실_5월이동_전사손익_06전사손익1_상반기_연간손익정리(서대호)_01매출손익(6월 실적반영)" xfId="6953"/>
    <cellStyle name="7_전자99상결산진실_5월이동_전사손익_06전사손익1_상반기_연간손익정리(서대호)_01매출손익(6월 실적반영)_01년간예상손익(12월이동)" xfId="6954"/>
    <cellStyle name="7_전자99상결산진실_5월이동_전사손익_06전사손익1_상반기_연간손익정리(서대호)_01매출손익(6월 실적반영)_01년간예상손익(12월이동)_2" xfId="6955"/>
    <cellStyle name="7_전자99상결산진실_5월이동_전사손익_06전사손익1_상반기_연간손익정리(서대호)_01매출손익(6월 실적반영)_02년 2월 이동_예상손익" xfId="6956"/>
    <cellStyle name="7_전자99상결산진실_5월이동_전사손익_06전사손익1_상반기_연간손익정리(서대호)_01매출손익(6월 실적반영)_02년 2월 이동_예상손익_1" xfId="6957"/>
    <cellStyle name="7_전자99상결산진실_5월이동_전사손익_06전사손익1_상반기_연간손익정리(서대호)_01매출손익(6월 실적반영)_02년 3월 이동_예상손익(전사취합)" xfId="6958"/>
    <cellStyle name="7_전자99상결산진실_5월이동_전사손익_06전사손익1_상반기_연간손익정리(서대호)_01매출손익(6월 실적반영)_02년 6월 이동_예상손익(전사취합)" xfId="6959"/>
    <cellStyle name="7_전자99상결산진실_5월이동_전사손익_06전사손익1_상반기_연간손익정리(서대호)_01매출손익(6월 실적반영)_02년간예상손익" xfId="6960"/>
    <cellStyle name="7_전자99상결산진실_5월이동_전사손익_06전사손익1_상반기_연간손익정리(서대호)_01매출손익(6월 실적반영)_04월 이동계획_전사예상pl" xfId="6961"/>
    <cellStyle name="7_전자99상결산진실_5월이동_전사손익_06전사손익1_상반기_연간손익정리(서대호)_01매출손익(6월 실적반영)_1월이동손익_전사예상pl" xfId="6962"/>
    <cellStyle name="7_전자99상결산진실_5월이동_전사손익_06전사손익1_상반기_연간손익정리(서대호)_01매출손익(6월 실적반영)_obu별손익0112이동" xfId="6963"/>
    <cellStyle name="7_전자99상결산진실_5월이동_전사손익_06전사손익1_상반기_연간손익정리(서대호)_02년 2월 이동_예상손익" xfId="6964"/>
    <cellStyle name="7_전자99상결산진실_5월이동_전사손익_06전사손익1_상반기_연간손익정리(서대호)_02년 2월 이동_예상손익_1" xfId="6965"/>
    <cellStyle name="7_전자99상결산진실_5월이동_전사손익_06전사손익1_상반기_연간손익정리(서대호)_02년 3월 이동_예상손익(전사취합)" xfId="6966"/>
    <cellStyle name="7_전자99상결산진실_5월이동_전사손익_06전사손익1_상반기_연간손익정리(서대호)_02년 6월 이동_예상손익(전사취합)" xfId="6967"/>
    <cellStyle name="7_전자99상결산진실_5월이동_전사손익_06전사손익1_상반기_연간손익정리(서대호)_02년간예상손익" xfId="6968"/>
    <cellStyle name="7_전자99상결산진실_5월이동_전사손익_06전사손익1_상반기_연간손익정리(서대호)_04월 이동계획_전사예상pl" xfId="6969"/>
    <cellStyle name="7_전자99상결산진실_5월이동_전사손익_06전사손익1_상반기_연간손익정리(서대호)_1월이동손익_전사예상pl" xfId="6970"/>
    <cellStyle name="7_전자99상결산진실_5월이동_전사손익_06전사손익1_상반기_연간손익정리(서대호)_8월예상" xfId="6971"/>
    <cellStyle name="7_전자99상결산진실_5월이동_전사손익_06전사손익1_상반기_연간손익정리(서대호)_8월예상_01년간예상손익(12월이동)" xfId="6972"/>
    <cellStyle name="7_전자99상결산진실_5월이동_전사손익_06전사손익1_상반기_연간손익정리(서대호)_8월예상_01년간예상손익(12월이동)_2" xfId="6973"/>
    <cellStyle name="7_전자99상결산진실_5월이동_전사손익_06전사손익1_상반기_연간손익정리(서대호)_8월예상_02년 2월 이동_예상손익" xfId="6974"/>
    <cellStyle name="7_전자99상결산진실_5월이동_전사손익_06전사손익1_상반기_연간손익정리(서대호)_8월예상_02년 2월 이동_예상손익_1" xfId="6975"/>
    <cellStyle name="7_전자99상결산진실_5월이동_전사손익_06전사손익1_상반기_연간손익정리(서대호)_8월예상_02년 3월 이동_예상손익(전사취합)" xfId="6976"/>
    <cellStyle name="7_전자99상결산진실_5월이동_전사손익_06전사손익1_상반기_연간손익정리(서대호)_8월예상_02년 6월 이동_예상손익(전사취합)" xfId="6977"/>
    <cellStyle name="7_전자99상결산진실_5월이동_전사손익_06전사손익1_상반기_연간손익정리(서대호)_8월예상_02년간예상손익" xfId="6978"/>
    <cellStyle name="7_전자99상결산진실_5월이동_전사손익_06전사손익1_상반기_연간손익정리(서대호)_8월예상_04월 이동계획_전사예상pl" xfId="6979"/>
    <cellStyle name="7_전자99상결산진실_5월이동_전사손익_06전사손익1_상반기_연간손익정리(서대호)_8월예상_1월이동손익_전사예상pl" xfId="6980"/>
    <cellStyle name="7_전자99상결산진실_5월이동_전사손익_06전사손익1_상반기_연간손익정리(서대호)_8월예상_obu별손익0112이동" xfId="6981"/>
    <cellStyle name="7_전자99상결산진실_5월이동_전사손익_06전사손익1_상반기_연간손익정리(서대호)_obu별손익0112이동" xfId="6982"/>
    <cellStyle name="7_전자99상결산진실_5월이동_전사손익_06전사손익1_상반기_연간손익정리(서대호)_연간예상추정5886_0726" xfId="6983"/>
    <cellStyle name="7_전자99상결산진실_5월이동_전사손익_06전사손익1_상반기_연간손익정리(서대호)_연간예상추정5886_0726_01년간예상손익(12월이동)" xfId="6984"/>
    <cellStyle name="7_전자99상결산진실_5월이동_전사손익_06전사손익1_상반기_연간손익정리(서대호)_연간예상추정5886_0726_01년간예상손익(12월이동)_2" xfId="6985"/>
    <cellStyle name="7_전자99상결산진실_5월이동_전사손익_06전사손익1_상반기_연간손익정리(서대호)_연간예상추정5886_0726_02년 2월 이동_예상손익" xfId="6986"/>
    <cellStyle name="7_전자99상결산진실_5월이동_전사손익_06전사손익1_상반기_연간손익정리(서대호)_연간예상추정5886_0726_02년 2월 이동_예상손익_1" xfId="6987"/>
    <cellStyle name="7_전자99상결산진실_5월이동_전사손익_06전사손익1_상반기_연간손익정리(서대호)_연간예상추정5886_0726_02년 3월 이동_예상손익(전사취합)" xfId="6988"/>
    <cellStyle name="7_전자99상결산진실_5월이동_전사손익_06전사손익1_상반기_연간손익정리(서대호)_연간예상추정5886_0726_02년 6월 이동_예상손익(전사취합)" xfId="6989"/>
    <cellStyle name="7_전자99상결산진실_5월이동_전사손익_06전사손익1_상반기_연간손익정리(서대호)_연간예상추정5886_0726_02년간예상손익" xfId="6990"/>
    <cellStyle name="7_전자99상결산진실_5월이동_전사손익_06전사손익1_상반기_연간손익정리(서대호)_연간예상추정5886_0726_04월 이동계획_전사예상pl" xfId="6991"/>
    <cellStyle name="7_전자99상결산진실_5월이동_전사손익_06전사손익1_상반기_연간손익정리(서대호)_연간예상추정5886_0726_1월이동손익_전사예상pl" xfId="6992"/>
    <cellStyle name="7_전자99상결산진실_5월이동_전사손익_06전사손익1_상반기_연간손익정리(서대호)_연간예상추정5886_0726_obu별손익0112이동" xfId="6993"/>
    <cellStyle name="7_전자99상결산진실_5월이동_전사손익_06전사손익1_연간예상추정5886_0726" xfId="6994"/>
    <cellStyle name="7_전자99상결산진실_5월이동_전사손익_06전사손익1_연간예상추정5886_0726_01년간예상손익(12월이동)" xfId="6995"/>
    <cellStyle name="7_전자99상결산진실_5월이동_전사손익_06전사손익1_연간예상추정5886_0726_01년간예상손익(12월이동)_2" xfId="6996"/>
    <cellStyle name="7_전자99상결산진실_5월이동_전사손익_06전사손익1_연간예상추정5886_0726_02년 2월 이동_예상손익" xfId="6997"/>
    <cellStyle name="7_전자99상결산진실_5월이동_전사손익_06전사손익1_연간예상추정5886_0726_02년 2월 이동_예상손익_1" xfId="6998"/>
    <cellStyle name="7_전자99상결산진실_5월이동_전사손익_06전사손익1_연간예상추정5886_0726_02년 3월 이동_예상손익(전사취합)" xfId="6999"/>
    <cellStyle name="7_전자99상결산진실_5월이동_전사손익_06전사손익1_연간예상추정5886_0726_02년 6월 이동_예상손익(전사취합)" xfId="7000"/>
    <cellStyle name="7_전자99상결산진실_5월이동_전사손익_06전사손익1_연간예상추정5886_0726_02년간예상손익" xfId="7001"/>
    <cellStyle name="7_전자99상결산진실_5월이동_전사손익_06전사손익1_연간예상추정5886_0726_04월 이동계획_전사예상pl" xfId="7002"/>
    <cellStyle name="7_전자99상결산진실_5월이동_전사손익_06전사손익1_연간예상추정5886_0726_1월이동손익_전사예상pl" xfId="7003"/>
    <cellStyle name="7_전자99상결산진실_5월이동_전사손익_06전사손익1_연간예상추정5886_0726_obu별손익0112이동" xfId="7004"/>
    <cellStyle name="7_전자99상결산진실_5월이동_전사손익_1월이동손익_전사예상pl" xfId="7005"/>
    <cellStyle name="7_전자99상결산진실_5월이동_전사손익_8월예상" xfId="7006"/>
    <cellStyle name="7_전자99상결산진실_5월이동_전사손익_8월예상_01년간예상손익(12월이동)" xfId="7007"/>
    <cellStyle name="7_전자99상결산진실_5월이동_전사손익_8월예상_01년간예상손익(12월이동)_2" xfId="7008"/>
    <cellStyle name="7_전자99상결산진실_5월이동_전사손익_8월예상_02년 2월 이동_예상손익" xfId="7009"/>
    <cellStyle name="7_전자99상결산진실_5월이동_전사손익_8월예상_02년 2월 이동_예상손익_1" xfId="7010"/>
    <cellStyle name="7_전자99상결산진실_5월이동_전사손익_8월예상_02년 3월 이동_예상손익(전사취합)" xfId="7011"/>
    <cellStyle name="7_전자99상결산진실_5월이동_전사손익_8월예상_02년 6월 이동_예상손익(전사취합)" xfId="7012"/>
    <cellStyle name="7_전자99상결산진실_5월이동_전사손익_8월예상_02년간예상손익" xfId="7013"/>
    <cellStyle name="7_전자99상결산진실_5월이동_전사손익_8월예상_04월 이동계획_전사예상pl" xfId="7014"/>
    <cellStyle name="7_전자99상결산진실_5월이동_전사손익_8월예상_1월이동손익_전사예상pl" xfId="7015"/>
    <cellStyle name="7_전자99상결산진실_5월이동_전사손익_8월예상_obu별손익0112이동" xfId="7016"/>
    <cellStyle name="7_전자99상결산진실_5월이동_전사손익_9-12월예상pl" xfId="7017"/>
    <cellStyle name="7_전자99상결산진실_5월이동_전사손익_9-12월예상pl_01년간예상손익(12월이동)" xfId="7018"/>
    <cellStyle name="7_전자99상결산진실_5월이동_전사손익_9-12월예상pl_01년간예상손익(12월이동)_2" xfId="7019"/>
    <cellStyle name="7_전자99상결산진실_5월이동_전사손익_9-12월예상pl_02년 2월 이동_예상손익" xfId="7020"/>
    <cellStyle name="7_전자99상결산진실_5월이동_전사손익_9-12월예상pl_02년 2월 이동_예상손익_1" xfId="7021"/>
    <cellStyle name="7_전자99상결산진실_5월이동_전사손익_9-12월예상pl_02년 3월 이동_예상손익(전사취합)" xfId="7022"/>
    <cellStyle name="7_전자99상결산진실_5월이동_전사손익_9-12월예상pl_02년 6월 이동_예상손익(전사취합)" xfId="7023"/>
    <cellStyle name="7_전자99상결산진실_5월이동_전사손익_9-12월예상pl_02년간예상손익" xfId="7024"/>
    <cellStyle name="7_전자99상결산진실_5월이동_전사손익_9-12월예상pl_04월 이동계획_전사예상pl" xfId="7025"/>
    <cellStyle name="7_전자99상결산진실_5월이동_전사손익_9-12월예상pl_1월이동손익_전사예상pl" xfId="7026"/>
    <cellStyle name="7_전자99상결산진실_5월이동_전사손익_9-12월예상pl_obu별손익0112이동" xfId="7027"/>
    <cellStyle name="7_전자99상결산진실_5월이동_전사손익_obu별손익0112이동" xfId="7028"/>
    <cellStyle name="7_전자99상결산진실_5월이동_전사손익_상반기_연간손익정리(서대호)" xfId="7029"/>
    <cellStyle name="7_전자99상결산진실_5월이동_전사손익_상반기_연간손익정리(서대호)_01년간예상손익(12월이동)" xfId="7030"/>
    <cellStyle name="7_전자99상결산진실_5월이동_전사손익_상반기_연간손익정리(서대호)_01년간예상손익(12월이동)_2" xfId="7031"/>
    <cellStyle name="7_전자99상결산진실_5월이동_전사손익_상반기_연간손익정리(서대호)_01매출손익(6월 실적반영)" xfId="7032"/>
    <cellStyle name="7_전자99상결산진실_5월이동_전사손익_상반기_연간손익정리(서대호)_01매출손익(6월 실적반영)_01년간예상손익(12월이동)" xfId="7033"/>
    <cellStyle name="7_전자99상결산진실_5월이동_전사손익_상반기_연간손익정리(서대호)_01매출손익(6월 실적반영)_01년간예상손익(12월이동)_2" xfId="7034"/>
    <cellStyle name="7_전자99상결산진실_5월이동_전사손익_상반기_연간손익정리(서대호)_01매출손익(6월 실적반영)_02년 2월 이동_예상손익" xfId="7035"/>
    <cellStyle name="7_전자99상결산진실_5월이동_전사손익_상반기_연간손익정리(서대호)_01매출손익(6월 실적반영)_02년 2월 이동_예상손익_1" xfId="7036"/>
    <cellStyle name="7_전자99상결산진실_5월이동_전사손익_상반기_연간손익정리(서대호)_01매출손익(6월 실적반영)_02년 3월 이동_예상손익(전사취합)" xfId="7037"/>
    <cellStyle name="7_전자99상결산진실_5월이동_전사손익_상반기_연간손익정리(서대호)_01매출손익(6월 실적반영)_02년 6월 이동_예상손익(전사취합)" xfId="7038"/>
    <cellStyle name="7_전자99상결산진실_5월이동_전사손익_상반기_연간손익정리(서대호)_01매출손익(6월 실적반영)_02년간예상손익" xfId="7039"/>
    <cellStyle name="7_전자99상결산진실_5월이동_전사손익_상반기_연간손익정리(서대호)_01매출손익(6월 실적반영)_04월 이동계획_전사예상pl" xfId="7040"/>
    <cellStyle name="7_전자99상결산진실_5월이동_전사손익_상반기_연간손익정리(서대호)_01매출손익(6월 실적반영)_1월이동손익_전사예상pl" xfId="7041"/>
    <cellStyle name="7_전자99상결산진실_5월이동_전사손익_상반기_연간손익정리(서대호)_01매출손익(6월 실적반영)_obu별손익0112이동" xfId="7042"/>
    <cellStyle name="7_전자99상결산진실_5월이동_전사손익_상반기_연간손익정리(서대호)_02년 2월 이동_예상손익" xfId="7043"/>
    <cellStyle name="7_전자99상결산진실_5월이동_전사손익_상반기_연간손익정리(서대호)_02년 2월 이동_예상손익_1" xfId="7044"/>
    <cellStyle name="7_전자99상결산진실_5월이동_전사손익_상반기_연간손익정리(서대호)_02년 3월 이동_예상손익(전사취합)" xfId="7045"/>
    <cellStyle name="7_전자99상결산진실_5월이동_전사손익_상반기_연간손익정리(서대호)_02년 6월 이동_예상손익(전사취합)" xfId="7046"/>
    <cellStyle name="7_전자99상결산진실_5월이동_전사손익_상반기_연간손익정리(서대호)_02년간예상손익" xfId="7047"/>
    <cellStyle name="7_전자99상결산진실_5월이동_전사손익_상반기_연간손익정리(서대호)_04월 이동계획_전사예상pl" xfId="7048"/>
    <cellStyle name="7_전자99상결산진실_5월이동_전사손익_상반기_연간손익정리(서대호)_1월이동손익_전사예상pl" xfId="7049"/>
    <cellStyle name="7_전자99상결산진실_5월이동_전사손익_상반기_연간손익정리(서대호)_8월예상" xfId="7050"/>
    <cellStyle name="7_전자99상결산진실_5월이동_전사손익_상반기_연간손익정리(서대호)_8월예상_01년간예상손익(12월이동)" xfId="7051"/>
    <cellStyle name="7_전자99상결산진실_5월이동_전사손익_상반기_연간손익정리(서대호)_8월예상_01년간예상손익(12월이동)_2" xfId="7052"/>
    <cellStyle name="7_전자99상결산진실_5월이동_전사손익_상반기_연간손익정리(서대호)_8월예상_02년 2월 이동_예상손익" xfId="7053"/>
    <cellStyle name="7_전자99상결산진실_5월이동_전사손익_상반기_연간손익정리(서대호)_8월예상_02년 2월 이동_예상손익_1" xfId="7054"/>
    <cellStyle name="7_전자99상결산진실_5월이동_전사손익_상반기_연간손익정리(서대호)_8월예상_02년 3월 이동_예상손익(전사취합)" xfId="7055"/>
    <cellStyle name="7_전자99상결산진실_5월이동_전사손익_상반기_연간손익정리(서대호)_8월예상_02년 6월 이동_예상손익(전사취합)" xfId="7056"/>
    <cellStyle name="7_전자99상결산진실_5월이동_전사손익_상반기_연간손익정리(서대호)_8월예상_02년간예상손익" xfId="7057"/>
    <cellStyle name="7_전자99상결산진실_5월이동_전사손익_상반기_연간손익정리(서대호)_8월예상_04월 이동계획_전사예상pl" xfId="7058"/>
    <cellStyle name="7_전자99상결산진실_5월이동_전사손익_상반기_연간손익정리(서대호)_8월예상_1월이동손익_전사예상pl" xfId="7059"/>
    <cellStyle name="7_전자99상결산진실_5월이동_전사손익_상반기_연간손익정리(서대호)_8월예상_obu별손익0112이동" xfId="7060"/>
    <cellStyle name="7_전자99상결산진실_5월이동_전사손익_상반기_연간손익정리(서대호)_obu별손익0112이동" xfId="7061"/>
    <cellStyle name="7_전자99상결산진실_5월이동_전사손익_상반기_연간손익정리(서대호)_연간예상추정5886_0726" xfId="7062"/>
    <cellStyle name="7_전자99상결산진실_5월이동_전사손익_상반기_연간손익정리(서대호)_연간예상추정5886_0726_01년간예상손익(12월이동)" xfId="7063"/>
    <cellStyle name="7_전자99상결산진실_5월이동_전사손익_상반기_연간손익정리(서대호)_연간예상추정5886_0726_01년간예상손익(12월이동)_2" xfId="7064"/>
    <cellStyle name="7_전자99상결산진실_5월이동_전사손익_상반기_연간손익정리(서대호)_연간예상추정5886_0726_02년 2월 이동_예상손익" xfId="7065"/>
    <cellStyle name="7_전자99상결산진실_5월이동_전사손익_상반기_연간손익정리(서대호)_연간예상추정5886_0726_02년 2월 이동_예상손익_1" xfId="7066"/>
    <cellStyle name="7_전자99상결산진실_5월이동_전사손익_상반기_연간손익정리(서대호)_연간예상추정5886_0726_02년 3월 이동_예상손익(전사취합)" xfId="7067"/>
    <cellStyle name="7_전자99상결산진실_5월이동_전사손익_상반기_연간손익정리(서대호)_연간예상추정5886_0726_02년 6월 이동_예상손익(전사취합)" xfId="7068"/>
    <cellStyle name="7_전자99상결산진실_5월이동_전사손익_상반기_연간손익정리(서대호)_연간예상추정5886_0726_02년간예상손익" xfId="7069"/>
    <cellStyle name="7_전자99상결산진실_5월이동_전사손익_상반기_연간손익정리(서대호)_연간예상추정5886_0726_04월 이동계획_전사예상pl" xfId="7070"/>
    <cellStyle name="7_전자99상결산진실_5월이동_전사손익_상반기_연간손익정리(서대호)_연간예상추정5886_0726_1월이동손익_전사예상pl" xfId="7071"/>
    <cellStyle name="7_전자99상결산진실_5월이동_전사손익_상반기_연간손익정리(서대호)_연간예상추정5886_0726_obu별손익0112이동" xfId="7072"/>
    <cellStyle name="7_전자99상결산진실_5월이동_전사손익_연간예상추정5886_0726" xfId="7073"/>
    <cellStyle name="7_전자99상결산진실_5월이동_전사손익_연간예상추정5886_0726_01년간예상손익(12월이동)" xfId="7074"/>
    <cellStyle name="7_전자99상결산진실_5월이동_전사손익_연간예상추정5886_0726_01년간예상손익(12월이동)_2" xfId="7075"/>
    <cellStyle name="7_전자99상결산진실_5월이동_전사손익_연간예상추정5886_0726_02년 2월 이동_예상손익" xfId="7076"/>
    <cellStyle name="7_전자99상결산진실_5월이동_전사손익_연간예상추정5886_0726_02년 2월 이동_예상손익_1" xfId="7077"/>
    <cellStyle name="7_전자99상결산진실_5월이동_전사손익_연간예상추정5886_0726_02년 3월 이동_예상손익(전사취합)" xfId="7078"/>
    <cellStyle name="7_전자99상결산진실_5월이동_전사손익_연간예상추정5886_0726_02년 6월 이동_예상손익(전사취합)" xfId="7079"/>
    <cellStyle name="7_전자99상결산진실_5월이동_전사손익_연간예상추정5886_0726_02년간예상손익" xfId="7080"/>
    <cellStyle name="7_전자99상결산진실_5월이동_전사손익_연간예상추정5886_0726_04월 이동계획_전사예상pl" xfId="7081"/>
    <cellStyle name="7_전자99상결산진실_5월이동_전사손익_연간예상추정5886_0726_1월이동손익_전사예상pl" xfId="7082"/>
    <cellStyle name="7_전자99상결산진실_5월이동_전사손익_연간예상추정5886_0726_obu별손익0112이동" xfId="7083"/>
    <cellStyle name="7_전자99상결산진실_8월 예상손익 점검" xfId="7084"/>
    <cellStyle name="7_전자99상결산진실_8월 예상손익 점검_8월 예상손익 점검" xfId="7085"/>
    <cellStyle name="7_전자99상결산진실_8월 예상손익 점검_8월 예상손익 점검_DM_환율영향분석_본부" xfId="7086"/>
    <cellStyle name="7_전자99상결산진실_8월 예상손익 점검_DM_환율영향분석_본부" xfId="7087"/>
    <cellStyle name="7_전자99상결산진실_8월예상" xfId="7088"/>
    <cellStyle name="7_전자99상결산진실_8월예상_01년간예상손익(12월이동)" xfId="7089"/>
    <cellStyle name="7_전자99상결산진실_8월예상_01년간예상손익(12월이동)_2" xfId="7090"/>
    <cellStyle name="7_전자99상결산진실_8월예상_02년 2월 이동_예상손익" xfId="7091"/>
    <cellStyle name="7_전자99상결산진실_8월예상_02년 2월 이동_예상손익_1" xfId="7092"/>
    <cellStyle name="7_전자99상결산진실_8월예상_02년 3월 이동_예상손익(전사취합)" xfId="7093"/>
    <cellStyle name="7_전자99상결산진실_8월예상_02년 6월 이동_예상손익(전사취합)" xfId="7094"/>
    <cellStyle name="7_전자99상결산진실_8월예상_02년간예상손익" xfId="7095"/>
    <cellStyle name="7_전자99상결산진실_8월예상_04월 이동계획_전사예상pl" xfId="7096"/>
    <cellStyle name="7_전자99상결산진실_8월예상_1월이동손익_전사예상pl" xfId="7097"/>
    <cellStyle name="7_전자99상결산진실_8월예상_obu별손익0112이동" xfId="7098"/>
    <cellStyle name="7_전자99상결산진실_8월전사예상(0903)" xfId="7099"/>
    <cellStyle name="7_전자99상결산진실_8월전사예상(0903)_01년간예상손익(12월이동)" xfId="7100"/>
    <cellStyle name="7_전자99상결산진실_8월전사예상(0903)_01년간예상손익(12월이동)_2" xfId="7101"/>
    <cellStyle name="7_전자99상결산진실_8월전사예상(0903)_02년 2월 이동_예상손익" xfId="7102"/>
    <cellStyle name="7_전자99상결산진실_8월전사예상(0903)_02년 2월 이동_예상손익_1" xfId="7103"/>
    <cellStyle name="7_전자99상결산진실_8월전사예상(0903)_02년 3월 이동_예상손익(전사취합)" xfId="7104"/>
    <cellStyle name="7_전자99상결산진실_8월전사예상(0903)_02년 6월 이동_예상손익(전사취합)" xfId="7105"/>
    <cellStyle name="7_전자99상결산진실_8월전사예상(0903)_02년간예상손익" xfId="7106"/>
    <cellStyle name="7_전자99상결산진실_8월전사예상(0903)_04월 이동계획_전사예상pl" xfId="7107"/>
    <cellStyle name="7_전자99상결산진실_8월전사예상(0903)_1월이동손익_전사예상pl" xfId="7108"/>
    <cellStyle name="7_전자99상결산진실_8월전사예상(0903)_obu별손익0112이동" xfId="7109"/>
    <cellStyle name="7_전자99상결산진실_9-12월예상pl" xfId="7110"/>
    <cellStyle name="7_전자99상결산진실_9-12월예상pl_01년간예상손익(12월이동)" xfId="7111"/>
    <cellStyle name="7_전자99상결산진실_9-12월예상pl_01년간예상손익(12월이동)_2" xfId="7112"/>
    <cellStyle name="7_전자99상결산진실_9-12월예상pl_02년 2월 이동_예상손익" xfId="7113"/>
    <cellStyle name="7_전자99상결산진실_9-12월예상pl_02년 2월 이동_예상손익_1" xfId="7114"/>
    <cellStyle name="7_전자99상결산진실_9-12월예상pl_02년 3월 이동_예상손익(전사취합)" xfId="7115"/>
    <cellStyle name="7_전자99상결산진실_9-12월예상pl_02년 6월 이동_예상손익(전사취합)" xfId="7116"/>
    <cellStyle name="7_전자99상결산진실_9-12월예상pl_02년간예상손익" xfId="7117"/>
    <cellStyle name="7_전자99상결산진실_9-12월예상pl_04월 이동계획_전사예상pl" xfId="7118"/>
    <cellStyle name="7_전자99상결산진실_9-12월예상pl_1월이동손익_전사예상pl" xfId="7119"/>
    <cellStyle name="7_전자99상결산진실_9-12월예상pl_obu별손익0112이동" xfId="7120"/>
    <cellStyle name="7_전자99상결산진실_9월차이동계획(0911)" xfId="7121"/>
    <cellStyle name="7_전자99상결산진실_9월차이동계획(0911)_01년간예상손익(12월이동)" xfId="7122"/>
    <cellStyle name="7_전자99상결산진실_9월차이동계획(0911)_01년간예상손익(12월이동)_2" xfId="7123"/>
    <cellStyle name="7_전자99상결산진실_9월차이동계획(0911)_02년 2월 이동_예상손익" xfId="7124"/>
    <cellStyle name="7_전자99상결산진실_9월차이동계획(0911)_02년 2월 이동_예상손익_1" xfId="7125"/>
    <cellStyle name="7_전자99상결산진실_9월차이동계획(0911)_02년 3월 이동_예상손익(전사취합)" xfId="7126"/>
    <cellStyle name="7_전자99상결산진실_9월차이동계획(0911)_02년 6월 이동_예상손익(전사취합)" xfId="7127"/>
    <cellStyle name="7_전자99상결산진실_9월차이동계획(0911)_02년간예상손익" xfId="7128"/>
    <cellStyle name="7_전자99상결산진실_9월차이동계획(0911)_04월 이동계획_전사예상pl" xfId="7129"/>
    <cellStyle name="7_전자99상결산진실_9월차이동계획(0911)_1월이동손익_전사예상pl" xfId="7130"/>
    <cellStyle name="7_전자99상결산진실_9월차이동계획(0911)_obu별손익0112이동" xfId="7131"/>
    <cellStyle name="7_전자99상결산진실_Book1" xfId="7132"/>
    <cellStyle name="7_전자99상결산진실_DM_환율영향분석_본부" xfId="7133"/>
    <cellStyle name="7_전자99상결산진실_eva&amp;cash_02~05년 CM" xfId="7134"/>
    <cellStyle name="7_전자99상결산진실_그룹+업적보고회+보완사항" xfId="7135"/>
    <cellStyle name="7_전자99상결산진실_본부본사배부_1022FINAL본사비축소_해외법인" xfId="7136"/>
    <cellStyle name="7_전자99상결산진실_사업계획 양식" xfId="7137"/>
    <cellStyle name="7_전자99상결산진실_사업계획 양식_02년사업계획양식V1.0_대호(bs수정)" xfId="7138"/>
    <cellStyle name="7_전자99상결산진실_사업계획 양식_02년사업계획양식V1.0_대호(bs수정)_02년사업계획양식V2.0" xfId="7139"/>
    <cellStyle name="7_전자99상결산진실_사업계획 양식_02년사업계획양식V1.0_대호(bs수정)_02년사업계획양식V2.0_02년사업계획양식V2.0" xfId="7140"/>
    <cellStyle name="7_전자99상결산진실_사업계획 양식_02년사업계획양식V1.0_대호(bs수정)_02년사업계획양식V2.0_02년사업계획양식V2.0_02년사업계획양식V3.0" xfId="7141"/>
    <cellStyle name="7_전자99상결산진실_사업계획 양식_02년사업계획양식V1.0_대호(bs수정)_02년사업계획양식V2.0_02년사업계획양식V2.0_02년사업계획양식V3.0_02년사업계획양식V3.0" xfId="7142"/>
    <cellStyle name="7_전자99상결산진실_사업계획 양식_02년사업계획양식V1.0_대호(bs수정)_02년사업계획양식V2.0_02년사업계획양식V2.0_02년사업계획양식V3.0_02년사업계획양식V3.0(원본)" xfId="7143"/>
    <cellStyle name="7_전자99상결산진실_사업계획 양식_02년사업계획양식V1.0_대호(bs수정)_02년사업계획양식V2.0_02년사업계획양식V2.0_02년사업계획양식V3.0_02년사업계획양식V3.0(원본)_1" xfId="7144"/>
    <cellStyle name="7_전자99상결산진실_사업계획 양식_02년사업계획양식V1.0_대호(bs수정)_02년사업계획양식V2.0_02년사업계획양식V3.0" xfId="7145"/>
    <cellStyle name="7_전자99상결산진실_사업계획 양식_02년사업계획양식V1.0_대호(bs수정)_02년사업계획양식V2.0_02년사업계획양식V3.0(원본)" xfId="7146"/>
    <cellStyle name="7_전자99상결산진실_사업계획 양식_02년사업계획양식V1.0_대호(bs수정)_02년사업계획양식V2.0_02년사업계획양식V3.0(원본)_1" xfId="7147"/>
    <cellStyle name="7_전자99상결산진실_사업계획 양식_02년사업계획양식V1.0_대호(bs수정)_02년사업계획양식V2.0_02년사업계획양식V3.0_02년사업계획양식V3.0" xfId="7148"/>
    <cellStyle name="7_전자99상결산진실_사업계획 양식_02년사업계획양식V1.0_대호(bs수정)_02년사업계획양식V2.0_02년사업계획양식V3.0_02년사업계획양식V3.0_02년사업계획양식V3.0" xfId="7149"/>
    <cellStyle name="7_전자99상결산진실_사업계획 양식_02년사업계획양식V1.0_대호(bs수정)_02년사업계획양식V2.0_02년사업계획양식V3.0_02년사업계획양식V3.0_02년사업계획양식V3.0(원본)" xfId="7150"/>
    <cellStyle name="7_전자99상결산진실_사업계획 양식_02년사업계획양식V1.0_대호(bs수정)_02년사업계획양식V2.0_02년사업계획양식V3.0_02년사업계획양식V3.0_02년사업계획양식V3.0(원본)_1" xfId="7151"/>
    <cellStyle name="7_전자99상결산진실_사업계획 양식_02년사업계획양식V1.0_대호(bs수정)_02년사업계획양식V3.0" xfId="7152"/>
    <cellStyle name="7_전자99상결산진실_사업계획 양식_02년사업계획양식V1.0_대호(bs수정)_02년사업계획양식V3.0_02년사업계획양식V3.0" xfId="7153"/>
    <cellStyle name="7_전자99상결산진실_사업계획 양식_02년사업계획양식V1.0_대호(bs수정)_02년사업계획양식V3.0_02년사업계획양식V3.0(원본)" xfId="7154"/>
    <cellStyle name="7_전자99상결산진실_사업계획 양식_02년사업계획양식V1.0_대호(bs수정)_02년사업계획양식V3.0_02년사업계획양식V3.0(원본)_1" xfId="7155"/>
    <cellStyle name="7_전자99상결산진실_사업계획 양식_02년사업계획양식V2.0" xfId="7156"/>
    <cellStyle name="7_전자99상결산진실_사업계획 양식_02년사업계획양식V2.0_02년사업계획양식V3.0" xfId="7157"/>
    <cellStyle name="7_전자99상결산진실_사업계획 양식_02년사업계획양식V2.0_02년사업계획양식V3.0_02년사업계획양식V3.0" xfId="7158"/>
    <cellStyle name="7_전자99상결산진실_사업계획 양식_02년사업계획양식V2.0_02년사업계획양식V3.0_02년사업계획양식V3.0(원본)" xfId="7159"/>
    <cellStyle name="7_전자99상결산진실_사업계획 양식_02년사업계획양식V2.0_02년사업계획양식V3.0_02년사업계획양식V3.0(원본)_1" xfId="7160"/>
    <cellStyle name="7_전자99상결산진실_사업계획 양식_02년사업계획양식V3.0" xfId="7161"/>
    <cellStyle name="7_전자99상결산진실_사업계획 양식_02년사업계획양식V3.0(원본)" xfId="7162"/>
    <cellStyle name="7_전자99상결산진실_사업계획 양식_02년사업계획양식V3.0(원본)_1" xfId="7163"/>
    <cellStyle name="7_전자99상결산진실_사업계획 양식_02년사업계획양식V3.0_02년사업계획양식V3.0" xfId="7164"/>
    <cellStyle name="7_전자99상결산진실_사업계획 양식_02년사업계획양식V3.0_02년사업계획양식V3.0_02년사업계획양식V3.0" xfId="7165"/>
    <cellStyle name="7_전자99상결산진실_사업계획 양식_02년사업계획양식V3.0_02년사업계획양식V3.0_02년사업계획양식V3.0(원본)" xfId="7166"/>
    <cellStyle name="7_전자99상결산진실_사업계획 양식_02년사업계획양식V3.0_02년사업계획양식V3.0_02년사업계획양식V3.0(원본)_1" xfId="7167"/>
    <cellStyle name="7_전자99상결산진실_상반기_연간손익정리(서대호)" xfId="7168"/>
    <cellStyle name="7_전자99상결산진실_상반기_연간손익정리(서대호)_01년간예상손익(12월이동)" xfId="7169"/>
    <cellStyle name="7_전자99상결산진실_상반기_연간손익정리(서대호)_01년간예상손익(12월이동)_2" xfId="7170"/>
    <cellStyle name="7_전자99상결산진실_상반기_연간손익정리(서대호)_01매출손익(6월 실적반영)" xfId="7171"/>
    <cellStyle name="7_전자99상결산진실_상반기_연간손익정리(서대호)_01매출손익(6월 실적반영)_01년간예상손익(12월이동)" xfId="7172"/>
    <cellStyle name="7_전자99상결산진실_상반기_연간손익정리(서대호)_01매출손익(6월 실적반영)_01년간예상손익(12월이동)_2" xfId="7173"/>
    <cellStyle name="7_전자99상결산진실_상반기_연간손익정리(서대호)_01매출손익(6월 실적반영)_02년 2월 이동_예상손익" xfId="7174"/>
    <cellStyle name="7_전자99상결산진실_상반기_연간손익정리(서대호)_01매출손익(6월 실적반영)_02년 2월 이동_예상손익_1" xfId="7175"/>
    <cellStyle name="7_전자99상결산진실_상반기_연간손익정리(서대호)_01매출손익(6월 실적반영)_02년 3월 이동_예상손익(전사취합)" xfId="7176"/>
    <cellStyle name="7_전자99상결산진실_상반기_연간손익정리(서대호)_01매출손익(6월 실적반영)_02년 6월 이동_예상손익(전사취합)" xfId="7177"/>
    <cellStyle name="7_전자99상결산진실_상반기_연간손익정리(서대호)_01매출손익(6월 실적반영)_02년간예상손익" xfId="7178"/>
    <cellStyle name="7_전자99상결산진실_상반기_연간손익정리(서대호)_01매출손익(6월 실적반영)_04월 이동계획_전사예상pl" xfId="7179"/>
    <cellStyle name="7_전자99상결산진실_상반기_연간손익정리(서대호)_01매출손익(6월 실적반영)_1월이동손익_전사예상pl" xfId="7180"/>
    <cellStyle name="7_전자99상결산진실_상반기_연간손익정리(서대호)_01매출손익(6월 실적반영)_obu별손익0112이동" xfId="7181"/>
    <cellStyle name="7_전자99상결산진실_상반기_연간손익정리(서대호)_02년 2월 이동_예상손익" xfId="7182"/>
    <cellStyle name="7_전자99상결산진실_상반기_연간손익정리(서대호)_02년 2월 이동_예상손익_1" xfId="7183"/>
    <cellStyle name="7_전자99상결산진실_상반기_연간손익정리(서대호)_02년 3월 이동_예상손익(전사취합)" xfId="7184"/>
    <cellStyle name="7_전자99상결산진실_상반기_연간손익정리(서대호)_02년 6월 이동_예상손익(전사취합)" xfId="7185"/>
    <cellStyle name="7_전자99상결산진실_상반기_연간손익정리(서대호)_02년간예상손익" xfId="7186"/>
    <cellStyle name="7_전자99상결산진실_상반기_연간손익정리(서대호)_04월 이동계획_전사예상pl" xfId="7187"/>
    <cellStyle name="7_전자99상결산진실_상반기_연간손익정리(서대호)_1월이동손익_전사예상pl" xfId="7188"/>
    <cellStyle name="7_전자99상결산진실_상반기_연간손익정리(서대호)_8월예상" xfId="7189"/>
    <cellStyle name="7_전자99상결산진실_상반기_연간손익정리(서대호)_8월예상_01년간예상손익(12월이동)" xfId="7190"/>
    <cellStyle name="7_전자99상결산진실_상반기_연간손익정리(서대호)_8월예상_01년간예상손익(12월이동)_2" xfId="7191"/>
    <cellStyle name="7_전자99상결산진실_상반기_연간손익정리(서대호)_8월예상_02년 2월 이동_예상손익" xfId="7192"/>
    <cellStyle name="7_전자99상결산진실_상반기_연간손익정리(서대호)_8월예상_02년 2월 이동_예상손익_1" xfId="7193"/>
    <cellStyle name="7_전자99상결산진실_상반기_연간손익정리(서대호)_8월예상_02년 3월 이동_예상손익(전사취합)" xfId="7194"/>
    <cellStyle name="7_전자99상결산진실_상반기_연간손익정리(서대호)_8월예상_02년 6월 이동_예상손익(전사취합)" xfId="7195"/>
    <cellStyle name="7_전자99상결산진실_상반기_연간손익정리(서대호)_8월예상_02년간예상손익" xfId="7196"/>
    <cellStyle name="7_전자99상결산진실_상반기_연간손익정리(서대호)_8월예상_04월 이동계획_전사예상pl" xfId="7197"/>
    <cellStyle name="7_전자99상결산진실_상반기_연간손익정리(서대호)_8월예상_1월이동손익_전사예상pl" xfId="7198"/>
    <cellStyle name="7_전자99상결산진실_상반기_연간손익정리(서대호)_8월예상_obu별손익0112이동" xfId="7199"/>
    <cellStyle name="7_전자99상결산진실_상반기_연간손익정리(서대호)_obu별손익0112이동" xfId="7200"/>
    <cellStyle name="7_전자99상결산진실_상반기_연간손익정리(서대호)_연간예상추정5886_0726" xfId="7201"/>
    <cellStyle name="7_전자99상결산진실_상반기_연간손익정리(서대호)_연간예상추정5886_0726_01년간예상손익(12월이동)" xfId="7202"/>
    <cellStyle name="7_전자99상결산진실_상반기_연간손익정리(서대호)_연간예상추정5886_0726_01년간예상손익(12월이동)_2" xfId="7203"/>
    <cellStyle name="7_전자99상결산진실_상반기_연간손익정리(서대호)_연간예상추정5886_0726_02년 2월 이동_예상손익" xfId="7204"/>
    <cellStyle name="7_전자99상결산진실_상반기_연간손익정리(서대호)_연간예상추정5886_0726_02년 2월 이동_예상손익_1" xfId="7205"/>
    <cellStyle name="7_전자99상결산진실_상반기_연간손익정리(서대호)_연간예상추정5886_0726_02년 3월 이동_예상손익(전사취합)" xfId="7206"/>
    <cellStyle name="7_전자99상결산진실_상반기_연간손익정리(서대호)_연간예상추정5886_0726_02년 6월 이동_예상손익(전사취합)" xfId="7207"/>
    <cellStyle name="7_전자99상결산진실_상반기_연간손익정리(서대호)_연간예상추정5886_0726_02년간예상손익" xfId="7208"/>
    <cellStyle name="7_전자99상결산진실_상반기_연간손익정리(서대호)_연간예상추정5886_0726_04월 이동계획_전사예상pl" xfId="7209"/>
    <cellStyle name="7_전자99상결산진실_상반기_연간손익정리(서대호)_연간예상추정5886_0726_1월이동손익_전사예상pl" xfId="7210"/>
    <cellStyle name="7_전자99상결산진실_상반기_연간손익정리(서대호)_연간예상추정5886_0726_obu별손익0112이동" xfId="7211"/>
    <cellStyle name="7_전자99상결산진실_연간예상추정5886_0726" xfId="7212"/>
    <cellStyle name="7_전자99상결산진실_연간예상추정5886_0726_01년간예상손익(12월이동)" xfId="7213"/>
    <cellStyle name="7_전자99상결산진실_연간예상추정5886_0726_01년간예상손익(12월이동)_2" xfId="7214"/>
    <cellStyle name="7_전자99상결산진실_연간예상추정5886_0726_02년 2월 이동_예상손익" xfId="7215"/>
    <cellStyle name="7_전자99상결산진실_연간예상추정5886_0726_02년 2월 이동_예상손익_1" xfId="7216"/>
    <cellStyle name="7_전자99상결산진실_연간예상추정5886_0726_02년 3월 이동_예상손익(전사취합)" xfId="7217"/>
    <cellStyle name="7_전자99상결산진실_연간예상추정5886_0726_02년 6월 이동_예상손익(전사취합)" xfId="7218"/>
    <cellStyle name="7_전자99상결산진실_연간예상추정5886_0726_02년간예상손익" xfId="7219"/>
    <cellStyle name="7_전자99상결산진실_연간예상추정5886_0726_04월 이동계획_전사예상pl" xfId="7220"/>
    <cellStyle name="7_전자99상결산진실_연간예상추정5886_0726_1월이동손익_전사예상pl" xfId="7221"/>
    <cellStyle name="7_전자99상결산진실_연간예상추정5886_0726_obu별손익0112이동" xfId="7222"/>
    <cellStyle name="7_전자99연간결산진실" xfId="7223"/>
    <cellStyle name="7_전자99연간결산진실_(정우일K)+03년+전략보고+재무구조(030702)" xfId="7224"/>
    <cellStyle name="7_전자99연간결산진실_★05년 매출,손익" xfId="7225"/>
    <cellStyle name="7_전자99연간결산진실_★05년 매출,손익_8월 예상손익 점검" xfId="7226"/>
    <cellStyle name="7_전자99연간결산진실_★05년 매출,손익_8월 예상손익 점검_DM_환율영향분석_본부" xfId="7227"/>
    <cellStyle name="7_전자99연간결산진실_★05년 매출,손익_DM_환율영향분석_본부" xfId="7228"/>
    <cellStyle name="7_전자99연간결산진실_01_예상매출(총액)" xfId="7229"/>
    <cellStyle name="7_전자99연간결산진실_01_예상매출(총액)_01년간예상손익(12월이동)" xfId="7230"/>
    <cellStyle name="7_전자99연간결산진실_01_예상매출(총액)_01년간예상손익(12월이동)_2" xfId="7231"/>
    <cellStyle name="7_전자99연간결산진실_01_예상매출(총액)_02년 2월 이동_예상손익" xfId="7232"/>
    <cellStyle name="7_전자99연간결산진실_01_예상매출(총액)_02년 2월 이동_예상손익_1" xfId="7233"/>
    <cellStyle name="7_전자99연간결산진실_01_예상매출(총액)_02년 3월 이동_예상손익(전사취합)" xfId="7234"/>
    <cellStyle name="7_전자99연간결산진실_01_예상매출(총액)_02년 6월 이동_예상손익(전사취합)" xfId="7235"/>
    <cellStyle name="7_전자99연간결산진실_01_예상매출(총액)_02년간예상손익" xfId="7236"/>
    <cellStyle name="7_전자99연간결산진실_01_예상매출(총액)_04월 이동계획_전사예상pl" xfId="7237"/>
    <cellStyle name="7_전자99연간결산진실_01_예상매출(총액)_1월이동손익_전사예상pl" xfId="7238"/>
    <cellStyle name="7_전자99연간결산진실_01_예상매출(총액)_obu별손익0112이동" xfId="7239"/>
    <cellStyle name="7_전자99연간결산진실_01년간예상손익" xfId="7240"/>
    <cellStyle name="7_전자99연간결산진실_01년간예상손익_01년간예상손익(12월이동)" xfId="7241"/>
    <cellStyle name="7_전자99연간결산진실_01년간예상손익_01년간예상손익(12월이동)_2" xfId="7242"/>
    <cellStyle name="7_전자99연간결산진실_01년간예상손익_02년 2월 이동_예상손익" xfId="7243"/>
    <cellStyle name="7_전자99연간결산진실_01년간예상손익_02년 2월 이동_예상손익_1" xfId="7244"/>
    <cellStyle name="7_전자99연간결산진실_01년간예상손익_02년 3월 이동_예상손익(전사취합)" xfId="7245"/>
    <cellStyle name="7_전자99연간결산진실_01년간예상손익_02년 6월 이동_예상손익(전사취합)" xfId="7246"/>
    <cellStyle name="7_전자99연간결산진실_01년간예상손익_02년간예상손익" xfId="7247"/>
    <cellStyle name="7_전자99연간결산진실_01년간예상손익_04월 이동계획_전사예상pl" xfId="7248"/>
    <cellStyle name="7_전자99연간결산진실_01년간예상손익_1월이동손익_전사예상pl" xfId="7249"/>
    <cellStyle name="7_전자99연간결산진실_01년간예상손익_obu별손익0112이동" xfId="7250"/>
    <cellStyle name="7_전자99연간결산진실_01매출손익(6월 실적반영)" xfId="7251"/>
    <cellStyle name="7_전자99연간결산진실_01매출손익(6월 실적반영)_01년간예상손익(12월이동)" xfId="7252"/>
    <cellStyle name="7_전자99연간결산진실_01매출손익(6월 실적반영)_01년간예상손익(12월이동)_2" xfId="7253"/>
    <cellStyle name="7_전자99연간결산진실_01매출손익(6월 실적반영)_02년 2월 이동_예상손익" xfId="7254"/>
    <cellStyle name="7_전자99연간결산진실_01매출손익(6월 실적반영)_02년 2월 이동_예상손익_1" xfId="7255"/>
    <cellStyle name="7_전자99연간결산진실_01매출손익(6월 실적반영)_02년 3월 이동_예상손익(전사취합)" xfId="7256"/>
    <cellStyle name="7_전자99연간결산진실_01매출손익(6월 실적반영)_02년 6월 이동_예상손익(전사취합)" xfId="7257"/>
    <cellStyle name="7_전자99연간결산진실_01매출손익(6월 실적반영)_02년간예상손익" xfId="7258"/>
    <cellStyle name="7_전자99연간결산진실_01매출손익(6월 실적반영)_04월 이동계획_전사예상pl" xfId="7259"/>
    <cellStyle name="7_전자99연간결산진실_01매출손익(6월 실적반영)_1월이동손익_전사예상pl" xfId="7260"/>
    <cellStyle name="7_전자99연간결산진실_01매출손익(6월 실적반영)_obu별손익0112이동" xfId="7261"/>
    <cellStyle name="7_전자99연간결산진실_02기본_종합장표" xfId="7262"/>
    <cellStyle name="7_전자99연간결산진실_02년사업계획양식V1.0" xfId="7263"/>
    <cellStyle name="7_전자99연간결산진실_02년사업계획양식V1.0_02년사업계획양식V1.0_고동욱_011205" xfId="7264"/>
    <cellStyle name="7_전자99연간결산진실_02년사업계획양식V1.0_02년사업계획양식V1.0_고동욱_011205_02년사업계획양식V2.0" xfId="7265"/>
    <cellStyle name="7_전자99연간결산진실_02년사업계획양식V1.0_02년사업계획양식V1.0_고동욱_011205_02년사업계획양식V2.0_02년사업계획양식V2.0" xfId="7266"/>
    <cellStyle name="7_전자99연간결산진실_02년사업계획양식V1.0_02년사업계획양식V1.0_고동욱_011205_02년사업계획양식V2.0_02년사업계획양식V2.0_02년사업계획양식V3.0" xfId="7267"/>
    <cellStyle name="7_전자99연간결산진실_02년사업계획양식V1.0_02년사업계획양식V1.0_고동욱_011205_02년사업계획양식V2.0_02년사업계획양식V2.0_02년사업계획양식V3.0_02년사업계획양식V3.0" xfId="7268"/>
    <cellStyle name="7_전자99연간결산진실_02년사업계획양식V1.0_02년사업계획양식V1.0_고동욱_011205_02년사업계획양식V2.0_02년사업계획양식V2.0_02년사업계획양식V3.0_02년사업계획양식V3.0(원본)" xfId="7269"/>
    <cellStyle name="7_전자99연간결산진실_02년사업계획양식V1.0_02년사업계획양식V1.0_고동욱_011205_02년사업계획양식V2.0_02년사업계획양식V2.0_02년사업계획양식V3.0_02년사업계획양식V3.0(원본)_1" xfId="7270"/>
    <cellStyle name="7_전자99연간결산진실_02년사업계획양식V1.0_02년사업계획양식V1.0_고동욱_011205_02년사업계획양식V2.0_02년사업계획양식V3.0" xfId="7271"/>
    <cellStyle name="7_전자99연간결산진실_02년사업계획양식V1.0_02년사업계획양식V1.0_고동욱_011205_02년사업계획양식V2.0_02년사업계획양식V3.0(원본)" xfId="7272"/>
    <cellStyle name="7_전자99연간결산진실_02년사업계획양식V1.0_02년사업계획양식V1.0_고동욱_011205_02년사업계획양식V2.0_02년사업계획양식V3.0(원본)_1" xfId="7273"/>
    <cellStyle name="7_전자99연간결산진실_02년사업계획양식V1.0_02년사업계획양식V1.0_고동욱_011205_02년사업계획양식V2.0_02년사업계획양식V3.0_02년사업계획양식V3.0" xfId="7274"/>
    <cellStyle name="7_전자99연간결산진실_02년사업계획양식V1.0_02년사업계획양식V1.0_고동욱_011205_02년사업계획양식V2.0_02년사업계획양식V3.0_02년사업계획양식V3.0_02년사업계획양식V3.0" xfId="7275"/>
    <cellStyle name="7_전자99연간결산진실_02년사업계획양식V1.0_02년사업계획양식V1.0_고동욱_011205_02년사업계획양식V2.0_02년사업계획양식V3.0_02년사업계획양식V3.0_02년사업계획양식V3.0(원본)" xfId="7276"/>
    <cellStyle name="7_전자99연간결산진실_02년사업계획양식V1.0_02년사업계획양식V1.0_고동욱_011205_02년사업계획양식V2.0_02년사업계획양식V3.0_02년사업계획양식V3.0_02년사업계획양식V3.0(원본)_1" xfId="7277"/>
    <cellStyle name="7_전자99연간결산진실_02년사업계획양식V1.0_02년사업계획양식V1.0_고동욱_011205_02년사업계획양식V3.0" xfId="7278"/>
    <cellStyle name="7_전자99연간결산진실_02년사업계획양식V1.0_02년사업계획양식V1.0_고동욱_011205_02년사업계획양식V3.0_02년사업계획양식V3.0" xfId="7279"/>
    <cellStyle name="7_전자99연간결산진실_02년사업계획양식V1.0_02년사업계획양식V1.0_고동욱_011205_02년사업계획양식V3.0_02년사업계획양식V3.0(원본)" xfId="7280"/>
    <cellStyle name="7_전자99연간결산진실_02년사업계획양식V1.0_02년사업계획양식V1.0_고동욱_011205_02년사업계획양식V3.0_02년사업계획양식V3.0(원본)_1" xfId="7281"/>
    <cellStyle name="7_전자99연간결산진실_02년사업계획양식V1.0_02년사업계획양식V1.0_대호(bs수정)" xfId="7282"/>
    <cellStyle name="7_전자99연간결산진실_02년사업계획양식V1.0_02년사업계획양식V1.0_대호(bs수정)_02년사업계획양식V2.0" xfId="7283"/>
    <cellStyle name="7_전자99연간결산진실_02년사업계획양식V1.0_02년사업계획양식V1.0_대호(bs수정)_02년사업계획양식V2.0_02년사업계획양식V2.0" xfId="7284"/>
    <cellStyle name="7_전자99연간결산진실_02년사업계획양식V1.0_02년사업계획양식V1.0_대호(bs수정)_02년사업계획양식V2.0_02년사업계획양식V2.0_02년사업계획양식V3.0" xfId="7285"/>
    <cellStyle name="7_전자99연간결산진실_02년사업계획양식V1.0_02년사업계획양식V1.0_대호(bs수정)_02년사업계획양식V2.0_02년사업계획양식V2.0_02년사업계획양식V3.0_02년사업계획양식V3.0" xfId="7286"/>
    <cellStyle name="7_전자99연간결산진실_02년사업계획양식V1.0_02년사업계획양식V1.0_대호(bs수정)_02년사업계획양식V2.0_02년사업계획양식V2.0_02년사업계획양식V3.0_02년사업계획양식V3.0(원본)" xfId="7287"/>
    <cellStyle name="7_전자99연간결산진실_02년사업계획양식V1.0_02년사업계획양식V1.0_대호(bs수정)_02년사업계획양식V2.0_02년사업계획양식V2.0_02년사업계획양식V3.0_02년사업계획양식V3.0(원본)_1" xfId="7288"/>
    <cellStyle name="7_전자99연간결산진실_02년사업계획양식V1.0_02년사업계획양식V1.0_대호(bs수정)_02년사업계획양식V2.0_02년사업계획양식V3.0" xfId="7289"/>
    <cellStyle name="7_전자99연간결산진실_02년사업계획양식V1.0_02년사업계획양식V1.0_대호(bs수정)_02년사업계획양식V2.0_02년사업계획양식V3.0(원본)" xfId="7290"/>
    <cellStyle name="7_전자99연간결산진실_02년사업계획양식V1.0_02년사업계획양식V1.0_대호(bs수정)_02년사업계획양식V2.0_02년사업계획양식V3.0(원본)_1" xfId="7291"/>
    <cellStyle name="7_전자99연간결산진실_02년사업계획양식V1.0_02년사업계획양식V1.0_대호(bs수정)_02년사업계획양식V2.0_02년사업계획양식V3.0_02년사업계획양식V3.0" xfId="7292"/>
    <cellStyle name="7_전자99연간결산진실_02년사업계획양식V1.0_02년사업계획양식V1.0_대호(bs수정)_02년사업계획양식V2.0_02년사업계획양식V3.0_02년사업계획양식V3.0_02년사업계획양식V3.0" xfId="7293"/>
    <cellStyle name="7_전자99연간결산진실_02년사업계획양식V1.0_02년사업계획양식V1.0_대호(bs수정)_02년사업계획양식V2.0_02년사업계획양식V3.0_02년사업계획양식V3.0_02년사업계획양식V3.0(원본)" xfId="7294"/>
    <cellStyle name="7_전자99연간결산진실_02년사업계획양식V1.0_02년사업계획양식V1.0_대호(bs수정)_02년사업계획양식V2.0_02년사업계획양식V3.0_02년사업계획양식V3.0_02년사업계획양식V3.0(원본)_1" xfId="7295"/>
    <cellStyle name="7_전자99연간결산진실_02년사업계획양식V1.0_02년사업계획양식V1.0_대호(bs수정)_02년사업계획양식V3.0" xfId="7296"/>
    <cellStyle name="7_전자99연간결산진실_02년사업계획양식V1.0_02년사업계획양식V1.0_대호(bs수정)_02년사업계획양식V3.0_02년사업계획양식V3.0" xfId="7297"/>
    <cellStyle name="7_전자99연간결산진실_02년사업계획양식V1.0_02년사업계획양식V1.0_대호(bs수정)_02년사업계획양식V3.0_02년사업계획양식V3.0(원본)" xfId="7298"/>
    <cellStyle name="7_전자99연간결산진실_02년사업계획양식V1.0_02년사업계획양식V1.0_대호(bs수정)_02년사업계획양식V3.0_02년사업계획양식V3.0(원본)_1" xfId="7299"/>
    <cellStyle name="7_전자99연간결산진실_02년사업계획양식V1.0_02년사업계획양식V2.0" xfId="7300"/>
    <cellStyle name="7_전자99연간결산진실_02년사업계획양식V1.0_02년사업계획양식V2.0_02년사업계획양식V3.0" xfId="7301"/>
    <cellStyle name="7_전자99연간결산진실_02년사업계획양식V1.0_02년사업계획양식V2.0_02년사업계획양식V3.0_02년사업계획양식V3.0" xfId="7302"/>
    <cellStyle name="7_전자99연간결산진실_02년사업계획양식V1.0_02년사업계획양식V2.0_02년사업계획양식V3.0_02년사업계획양식V3.0(원본)" xfId="7303"/>
    <cellStyle name="7_전자99연간결산진실_02년사업계획양식V1.0_02년사업계획양식V2.0_02년사업계획양식V3.0_02년사업계획양식V3.0(원본)_1" xfId="7304"/>
    <cellStyle name="7_전자99연간결산진실_02년사업계획양식V1.0_02년사업계획양식V3.0" xfId="7305"/>
    <cellStyle name="7_전자99연간결산진실_02년사업계획양식V1.0_02년사업계획양식V3.0(원본)" xfId="7306"/>
    <cellStyle name="7_전자99연간결산진실_02년사업계획양식V1.0_02년사업계획양식V3.0(원본)_1" xfId="7307"/>
    <cellStyle name="7_전자99연간결산진실_02년사업계획양식V1.0_02년사업계획양식V3.0_02년사업계획양식V3.0" xfId="7308"/>
    <cellStyle name="7_전자99연간결산진실_02년사업계획양식V1.0_02년사업계획양식V3.0_02년사업계획양식V3.0_02년사업계획양식V3.0" xfId="7309"/>
    <cellStyle name="7_전자99연간결산진실_02년사업계획양식V1.0_02년사업계획양식V3.0_02년사업계획양식V3.0_02년사업계획양식V3.0(원본)" xfId="7310"/>
    <cellStyle name="7_전자99연간결산진실_02년사업계획양식V1.0_02년사업계획양식V3.0_02년사업계획양식V3.0_02년사업계획양식V3.0(원본)_1" xfId="7311"/>
    <cellStyle name="7_전자99연간결산진실_02년사업계획양식V1.0_고동욱_011130" xfId="7312"/>
    <cellStyle name="7_전자99연간결산진실_02년사업계획양식V1.0_고동욱_011130_02년사업계획양식V2.0" xfId="7313"/>
    <cellStyle name="7_전자99연간결산진실_02년사업계획양식V1.0_고동욱_011130_02년사업계획양식V2.0_02년사업계획양식V2.0" xfId="7314"/>
    <cellStyle name="7_전자99연간결산진실_02년사업계획양식V1.0_고동욱_011130_02년사업계획양식V2.0_02년사업계획양식V2.0_02년사업계획양식V3.0" xfId="7315"/>
    <cellStyle name="7_전자99연간결산진실_02년사업계획양식V1.0_고동욱_011130_02년사업계획양식V2.0_02년사업계획양식V2.0_02년사업계획양식V3.0_02년사업계획양식V3.0" xfId="7316"/>
    <cellStyle name="7_전자99연간결산진실_02년사업계획양식V1.0_고동욱_011130_02년사업계획양식V2.0_02년사업계획양식V2.0_02년사업계획양식V3.0_02년사업계획양식V3.0(원본)" xfId="7317"/>
    <cellStyle name="7_전자99연간결산진실_02년사업계획양식V1.0_고동욱_011130_02년사업계획양식V2.0_02년사업계획양식V2.0_02년사업계획양식V3.0_02년사업계획양식V3.0(원본)_1" xfId="7318"/>
    <cellStyle name="7_전자99연간결산진실_02년사업계획양식V1.0_고동욱_011130_02년사업계획양식V2.0_02년사업계획양식V3.0" xfId="7319"/>
    <cellStyle name="7_전자99연간결산진실_02년사업계획양식V1.0_고동욱_011130_02년사업계획양식V2.0_02년사업계획양식V3.0(원본)" xfId="7320"/>
    <cellStyle name="7_전자99연간결산진실_02년사업계획양식V1.0_고동욱_011130_02년사업계획양식V2.0_02년사업계획양식V3.0(원본)_1" xfId="7321"/>
    <cellStyle name="7_전자99연간결산진실_02년사업계획양식V1.0_고동욱_011130_02년사업계획양식V2.0_02년사업계획양식V3.0_02년사업계획양식V3.0" xfId="7322"/>
    <cellStyle name="7_전자99연간결산진실_02년사업계획양식V1.0_고동욱_011130_02년사업계획양식V2.0_02년사업계획양식V3.0_02년사업계획양식V3.0_02년사업계획양식V3.0" xfId="7323"/>
    <cellStyle name="7_전자99연간결산진실_02년사업계획양식V1.0_고동욱_011130_02년사업계획양식V2.0_02년사업계획양식V3.0_02년사업계획양식V3.0_02년사업계획양식V3.0(원본)" xfId="7324"/>
    <cellStyle name="7_전자99연간결산진실_02년사업계획양식V1.0_고동욱_011130_02년사업계획양식V2.0_02년사업계획양식V3.0_02년사업계획양식V3.0_02년사업계획양식V3.0(원본)_1" xfId="7325"/>
    <cellStyle name="7_전자99연간결산진실_02년사업계획양식V1.0_고동욱_011130_02년사업계획양식V3.0" xfId="7326"/>
    <cellStyle name="7_전자99연간결산진실_02년사업계획양식V1.0_고동욱_011130_02년사업계획양식V3.0_02년사업계획양식V3.0" xfId="7327"/>
    <cellStyle name="7_전자99연간결산진실_02년사업계획양식V1.0_고동욱_011130_02년사업계획양식V3.0_02년사업계획양식V3.0(원본)" xfId="7328"/>
    <cellStyle name="7_전자99연간결산진실_02년사업계획양식V1.0_고동욱_011130_02년사업계획양식V3.0_02년사업계획양식V3.0(원본)_1" xfId="7329"/>
    <cellStyle name="7_전자99연간결산진실_02년사업계획양식V1.0_고동욱_011205" xfId="7330"/>
    <cellStyle name="7_전자99연간결산진실_02년사업계획양식V1.0_고동욱_011205_02년사업계획양식V2.0" xfId="7331"/>
    <cellStyle name="7_전자99연간결산진실_02년사업계획양식V1.0_고동욱_011205_02년사업계획양식V2.0_02년사업계획양식V2.0" xfId="7332"/>
    <cellStyle name="7_전자99연간결산진실_02년사업계획양식V1.0_고동욱_011205_02년사업계획양식V2.0_02년사업계획양식V2.0_02년사업계획양식V3.0" xfId="7333"/>
    <cellStyle name="7_전자99연간결산진실_02년사업계획양식V1.0_고동욱_011205_02년사업계획양식V2.0_02년사업계획양식V2.0_02년사업계획양식V3.0_02년사업계획양식V3.0" xfId="7334"/>
    <cellStyle name="7_전자99연간결산진실_02년사업계획양식V1.0_고동욱_011205_02년사업계획양식V2.0_02년사업계획양식V2.0_02년사업계획양식V3.0_02년사업계획양식V3.0(원본)" xfId="7335"/>
    <cellStyle name="7_전자99연간결산진실_02년사업계획양식V1.0_고동욱_011205_02년사업계획양식V2.0_02년사업계획양식V2.0_02년사업계획양식V3.0_02년사업계획양식V3.0(원본)_1" xfId="7336"/>
    <cellStyle name="7_전자99연간결산진실_02년사업계획양식V1.0_고동욱_011205_02년사업계획양식V2.0_02년사업계획양식V3.0" xfId="7337"/>
    <cellStyle name="7_전자99연간결산진실_02년사업계획양식V1.0_고동욱_011205_02년사업계획양식V2.0_02년사업계획양식V3.0(원본)" xfId="7338"/>
    <cellStyle name="7_전자99연간결산진실_02년사업계획양식V1.0_고동욱_011205_02년사업계획양식V2.0_02년사업계획양식V3.0(원본)_1" xfId="7339"/>
    <cellStyle name="7_전자99연간결산진실_02년사업계획양식V1.0_고동욱_011205_02년사업계획양식V2.0_02년사업계획양식V3.0_02년사업계획양식V3.0" xfId="7340"/>
    <cellStyle name="7_전자99연간결산진실_02년사업계획양식V1.0_고동욱_011205_02년사업계획양식V2.0_02년사업계획양식V3.0_02년사업계획양식V3.0_02년사업계획양식V3.0" xfId="7341"/>
    <cellStyle name="7_전자99연간결산진실_02년사업계획양식V1.0_고동욱_011205_02년사업계획양식V2.0_02년사업계획양식V3.0_02년사업계획양식V3.0_02년사업계획양식V3.0(원본)" xfId="7342"/>
    <cellStyle name="7_전자99연간결산진실_02년사업계획양식V1.0_고동욱_011205_02년사업계획양식V2.0_02년사업계획양식V3.0_02년사업계획양식V3.0_02년사업계획양식V3.0(원본)_1" xfId="7343"/>
    <cellStyle name="7_전자99연간결산진실_02년사업계획양식V1.0_고동욱_011205_02년사업계획양식V3.0" xfId="7344"/>
    <cellStyle name="7_전자99연간결산진실_02년사업계획양식V1.0_고동욱_011205_02년사업계획양식V3.0_02년사업계획양식V3.0" xfId="7345"/>
    <cellStyle name="7_전자99연간결산진실_02년사업계획양식V1.0_고동욱_011205_02년사업계획양식V3.0_02년사업계획양식V3.0(원본)" xfId="7346"/>
    <cellStyle name="7_전자99연간결산진실_02년사업계획양식V1.0_고동욱_011205_02년사업계획양식V3.0_02년사업계획양식V3.0(원본)_1" xfId="7347"/>
    <cellStyle name="7_전자99연간결산진실_02년사업계획양식V1.0_대호(bs수정)" xfId="7348"/>
    <cellStyle name="7_전자99연간결산진실_02년사업계획양식V1.0_대호(bs수정)_02년사업계획양식V2.0" xfId="7349"/>
    <cellStyle name="7_전자99연간결산진실_02년사업계획양식V1.0_대호(bs수정)_02년사업계획양식V2.0_02년사업계획양식V2.0" xfId="7350"/>
    <cellStyle name="7_전자99연간결산진실_02년사업계획양식V1.0_대호(bs수정)_02년사업계획양식V2.0_02년사업계획양식V2.0_02년사업계획양식V3.0" xfId="7351"/>
    <cellStyle name="7_전자99연간결산진실_02년사업계획양식V1.0_대호(bs수정)_02년사업계획양식V2.0_02년사업계획양식V2.0_02년사업계획양식V3.0_02년사업계획양식V3.0" xfId="7352"/>
    <cellStyle name="7_전자99연간결산진실_02년사업계획양식V1.0_대호(bs수정)_02년사업계획양식V2.0_02년사업계획양식V2.0_02년사업계획양식V3.0_02년사업계획양식V3.0(원본)" xfId="7353"/>
    <cellStyle name="7_전자99연간결산진실_02년사업계획양식V1.0_대호(bs수정)_02년사업계획양식V2.0_02년사업계획양식V2.0_02년사업계획양식V3.0_02년사업계획양식V3.0(원본)_1" xfId="7354"/>
    <cellStyle name="7_전자99연간결산진실_02년사업계획양식V1.0_대호(bs수정)_02년사업계획양식V2.0_02년사업계획양식V3.0" xfId="7355"/>
    <cellStyle name="7_전자99연간결산진실_02년사업계획양식V1.0_대호(bs수정)_02년사업계획양식V2.0_02년사업계획양식V3.0(원본)" xfId="7356"/>
    <cellStyle name="7_전자99연간결산진실_02년사업계획양식V1.0_대호(bs수정)_02년사업계획양식V2.0_02년사업계획양식V3.0(원본)_1" xfId="7357"/>
    <cellStyle name="7_전자99연간결산진실_02년사업계획양식V1.0_대호(bs수정)_02년사업계획양식V2.0_02년사업계획양식V3.0_02년사업계획양식V3.0" xfId="7358"/>
    <cellStyle name="7_전자99연간결산진실_02년사업계획양식V1.0_대호(bs수정)_02년사업계획양식V2.0_02년사업계획양식V3.0_02년사업계획양식V3.0_02년사업계획양식V3.0" xfId="7359"/>
    <cellStyle name="7_전자99연간결산진실_02년사업계획양식V1.0_대호(bs수정)_02년사업계획양식V2.0_02년사업계획양식V3.0_02년사업계획양식V3.0_02년사업계획양식V3.0(원본)" xfId="7360"/>
    <cellStyle name="7_전자99연간결산진실_02년사업계획양식V1.0_대호(bs수정)_02년사업계획양식V2.0_02년사업계획양식V3.0_02년사업계획양식V3.0_02년사업계획양식V3.0(원본)_1" xfId="7361"/>
    <cellStyle name="7_전자99연간결산진실_02년사업계획양식V1.0_대호(bs수정)_02년사업계획양식V3.0" xfId="7362"/>
    <cellStyle name="7_전자99연간결산진실_02년사업계획양식V1.0_대호(bs수정)_02년사업계획양식V3.0_02년사업계획양식V3.0" xfId="7363"/>
    <cellStyle name="7_전자99연간결산진실_02년사업계획양식V1.0_대호(bs수정)_02년사업계획양식V3.0_02년사업계획양식V3.0(원본)" xfId="7364"/>
    <cellStyle name="7_전자99연간결산진실_02년사업계획양식V1.0_대호(bs수정)_02년사업계획양식V3.0_02년사업계획양식V3.0(원본)_1" xfId="7365"/>
    <cellStyle name="7_전자99연간결산진실_02년사업계획양식V2.0" xfId="7366"/>
    <cellStyle name="7_전자99연간결산진실_02년사업계획양식V2.0_02년사업계획양식V3.0" xfId="7367"/>
    <cellStyle name="7_전자99연간결산진실_02년사업계획양식V2.0_02년사업계획양식V3.0_02년사업계획양식V3.0" xfId="7368"/>
    <cellStyle name="7_전자99연간결산진실_02년사업계획양식V2.0_02년사업계획양식V3.0_02년사업계획양식V3.0(원본)" xfId="7369"/>
    <cellStyle name="7_전자99연간결산진실_02년사업계획양식V2.0_02년사업계획양식V3.0_02년사업계획양식V3.0(원본)_1" xfId="7370"/>
    <cellStyle name="7_전자99연간결산진실_02년사업계획양식V3.0" xfId="7371"/>
    <cellStyle name="7_전자99연간결산진실_02년사업계획양식V3.0(원본)" xfId="7372"/>
    <cellStyle name="7_전자99연간결산진실_02년사업계획양식V3.0(원본)_1" xfId="7373"/>
    <cellStyle name="7_전자99연간결산진실_02년사업계획양식V3.0_02년사업계획양식V3.0" xfId="7374"/>
    <cellStyle name="7_전자99연간결산진실_02년사업계획양식V3.0_02년사업계획양식V3.0_02년사업계획양식V3.0" xfId="7375"/>
    <cellStyle name="7_전자99연간결산진실_02년사업계획양식V3.0_02년사업계획양식V3.0_02년사업계획양식V3.0(원본)" xfId="7376"/>
    <cellStyle name="7_전자99연간결산진실_02년사업계획양식V3.0_02년사업계획양식V3.0_02년사업계획양식V3.0(원본)_1" xfId="7377"/>
    <cellStyle name="7_전자99연간결산진실_02년예상+연결기초자료+이익율+배당금+경영지원금" xfId="7378"/>
    <cellStyle name="7_전자99연간결산진실_02년예상+연결자료(GSM)" xfId="7379"/>
    <cellStyle name="7_전자99연간결산진실_02혁신_종합장표" xfId="7380"/>
    <cellStyle name="7_전자99연간결산진실_03 01 10 혁신(사업부양식)" xfId="7381"/>
    <cellStyle name="7_전자99연간결산진실_03_사업계획양식(MASS_Link)_1104" xfId="7382"/>
    <cellStyle name="7_전자99연간결산진실_030124 혁신재료비9" xfId="7383"/>
    <cellStyle name="7_전자99연간결산진실_03기본_종합장표" xfId="7384"/>
    <cellStyle name="7_전자99연간결산진실_03법인비용_회수양식_AC" xfId="7385"/>
    <cellStyle name="7_전자99연간결산진실_03혁신_종합장표" xfId="7386"/>
    <cellStyle name="7_전자99연간결산진실_10월차이동계획" xfId="7387"/>
    <cellStyle name="7_전자99연간결산진실_10월차이동계획_01년간예상손익(12월이동)" xfId="7388"/>
    <cellStyle name="7_전자99연간결산진실_10월차이동계획_01년간예상손익(12월이동)_2" xfId="7389"/>
    <cellStyle name="7_전자99연간결산진실_10월차이동계획_02년 2월 이동_예상손익" xfId="7390"/>
    <cellStyle name="7_전자99연간결산진실_10월차이동계획_02년 2월 이동_예상손익_1" xfId="7391"/>
    <cellStyle name="7_전자99연간결산진실_10월차이동계획_02년 3월 이동_예상손익(전사취합)" xfId="7392"/>
    <cellStyle name="7_전자99연간결산진실_10월차이동계획_02년 6월 이동_예상손익(전사취합)" xfId="7393"/>
    <cellStyle name="7_전자99연간결산진실_10월차이동계획_02년간예상손익" xfId="7394"/>
    <cellStyle name="7_전자99연간결산진실_10월차이동계획_04월 이동계획_전사예상pl" xfId="7395"/>
    <cellStyle name="7_전자99연간결산진실_10월차이동계획_1월이동손익_전사예상pl" xfId="7396"/>
    <cellStyle name="7_전자99연간결산진실_10월차이동계획_obu별손익0112이동" xfId="7397"/>
    <cellStyle name="7_전자99연간결산진실_2001년 01월차 이동계획_0102" xfId="7398"/>
    <cellStyle name="7_전자99연간결산진실_2001년 01월차 이동계획_0102_2001년 05월 이동계획_" xfId="7399"/>
    <cellStyle name="7_전자99연간결산진실_2001년 01월차 이동계획_0102_2001년 06월 이동계획_(Maximum)" xfId="7400"/>
    <cellStyle name="7_전자99연간결산진실_2001년 01월차 이동계획_0102_2001년 07월차 이동계획보고_" xfId="7401"/>
    <cellStyle name="7_전자99연간결산진실_2001년 01월차 이동계획_0102_2002년_02월차_이동계획보고_" xfId="7402"/>
    <cellStyle name="7_전자99연간결산진실_2001년 01월차 이동계획_0102_2002년_03월차_이동계획보고_" xfId="7403"/>
    <cellStyle name="7_전자99연간결산진실_2001년 01월차 이동계획_0102_2002년_03월차_이동계획보고_1차수정" xfId="7404"/>
    <cellStyle name="7_전자99연간결산진실_2001년 01월차 이동계획_0102_2002년_05월차_이동계획보고_" xfId="7405"/>
    <cellStyle name="7_전자99연간결산진실_2001년 01월차 이동계획_0102_2002년_06월차_이동계획보고_기종별수정" xfId="7406"/>
    <cellStyle name="7_전자99연간결산진실_2001년 01월차 이동계획_0102_2002년_07월차_이동계획보고_수정중_철판 반영후_최종" xfId="7407"/>
    <cellStyle name="7_전자99연간결산진실_2001년 01월차 이동계획_0102_2002년_07월차_이동계획보고_수정중0628_2" xfId="7408"/>
    <cellStyle name="7_전자99연간결산진실_2001년 01월차 이동계획_0102_VVR0J9DV" xfId="7409"/>
    <cellStyle name="7_전자99연간결산진실_2001년 02월 실적예상_02월21일기준" xfId="7410"/>
    <cellStyle name="7_전자99연간결산진실_2001년 02월 실적예상_02월21일기준_2001년 05월 이동계획_" xfId="7411"/>
    <cellStyle name="7_전자99연간결산진실_2001년 02월 실적예상_02월21일기준_2001년 06월 이동계획_(Maximum)" xfId="7412"/>
    <cellStyle name="7_전자99연간결산진실_2001년 02월 실적예상_02월21일기준_2001년 07월차 이동계획보고_" xfId="7413"/>
    <cellStyle name="7_전자99연간결산진실_2001년 02월 실적예상_02월21일기준_2002년_02월차_이동계획보고_" xfId="7414"/>
    <cellStyle name="7_전자99연간결산진실_2001년 02월 실적예상_02월21일기준_2002년_03월차_이동계획보고_" xfId="7415"/>
    <cellStyle name="7_전자99연간결산진실_2001년 02월 실적예상_02월21일기준_2002년_03월차_이동계획보고_1차수정" xfId="7416"/>
    <cellStyle name="7_전자99연간결산진실_2001년 02월 실적예상_02월21일기준_2002년_05월차_이동계획보고_" xfId="7417"/>
    <cellStyle name="7_전자99연간결산진실_2001년 02월 실적예상_02월21일기준_2002년_06월차_이동계획보고_기종별수정" xfId="7418"/>
    <cellStyle name="7_전자99연간결산진실_2001년 02월 실적예상_02월21일기준_2002년_07월차_이동계획보고_수정중_철판 반영후_최종" xfId="7419"/>
    <cellStyle name="7_전자99연간결산진실_2001년 02월 실적예상_02월21일기준_2002년_07월차_이동계획보고_수정중0628_2" xfId="7420"/>
    <cellStyle name="7_전자99연간결산진실_2001년 02월 실적예상_02월21일기준_VVR0J9DV" xfId="7421"/>
    <cellStyle name="7_전자99연간결산진실_2001년 02월차 이동계획_" xfId="7422"/>
    <cellStyle name="7_전자99연간결산진실_2001년 02월차 이동계획__2001년 05월 이동계획_" xfId="7423"/>
    <cellStyle name="7_전자99연간결산진실_2001년 02월차 이동계획__2001년 06월 이동계획_(Maximum)" xfId="7424"/>
    <cellStyle name="7_전자99연간결산진실_2001년 02월차 이동계획__2001년 07월차 이동계획보고_" xfId="7425"/>
    <cellStyle name="7_전자99연간결산진실_2001년 02월차 이동계획__2002년_02월차_이동계획보고_" xfId="7426"/>
    <cellStyle name="7_전자99연간결산진실_2001년 02월차 이동계획__2002년_03월차_이동계획보고_" xfId="7427"/>
    <cellStyle name="7_전자99연간결산진실_2001년 02월차 이동계획__2002년_03월차_이동계획보고_1차수정" xfId="7428"/>
    <cellStyle name="7_전자99연간결산진실_2001년 02월차 이동계획__2002년_05월차_이동계획보고_" xfId="7429"/>
    <cellStyle name="7_전자99연간결산진실_2001년 02월차 이동계획__2002년_06월차_이동계획보고_기종별수정" xfId="7430"/>
    <cellStyle name="7_전자99연간결산진실_2001년 02월차 이동계획__2002년_07월차_이동계획보고_수정중_철판 반영후_최종" xfId="7431"/>
    <cellStyle name="7_전자99연간결산진실_2001년 02월차 이동계획__2002년_07월차_이동계획보고_수정중0628_2" xfId="7432"/>
    <cellStyle name="7_전자99연간결산진실_2001년 02월차 이동계획__VVR0J9DV" xfId="7433"/>
    <cellStyle name="7_전자99연간결산진실_2002년_월별사업계획전산_DM" xfId="7434"/>
    <cellStyle name="7_전자99연간결산진실_2002년_월별사업계획전산_DM_02년사업계획양식V1.0_대호(bs수정)" xfId="7435"/>
    <cellStyle name="7_전자99연간결산진실_2002년_월별사업계획전산_DM_02년사업계획양식V1.0_대호(bs수정)_02년사업계획양식V2.0" xfId="7436"/>
    <cellStyle name="7_전자99연간결산진실_2002년_월별사업계획전산_DM_02년사업계획양식V1.0_대호(bs수정)_02년사업계획양식V2.0_02년사업계획양식V2.0" xfId="7437"/>
    <cellStyle name="7_전자99연간결산진실_2002년_월별사업계획전산_DM_02년사업계획양식V1.0_대호(bs수정)_02년사업계획양식V2.0_02년사업계획양식V2.0_02년사업계획양식V3.0" xfId="7438"/>
    <cellStyle name="7_전자99연간결산진실_2002년_월별사업계획전산_DM_02년사업계획양식V1.0_대호(bs수정)_02년사업계획양식V2.0_02년사업계획양식V2.0_02년사업계획양식V3.0_02년사업계획양식V3.0" xfId="7439"/>
    <cellStyle name="7_전자99연간결산진실_2002년_월별사업계획전산_DM_02년사업계획양식V1.0_대호(bs수정)_02년사업계획양식V2.0_02년사업계획양식V2.0_02년사업계획양식V3.0_02년사업계획양식V3.0(원본)" xfId="7440"/>
    <cellStyle name="7_전자99연간결산진실_2002년_월별사업계획전산_DM_02년사업계획양식V1.0_대호(bs수정)_02년사업계획양식V2.0_02년사업계획양식V2.0_02년사업계획양식V3.0_02년사업계획양식V3.0(원본)_1" xfId="7441"/>
    <cellStyle name="7_전자99연간결산진실_2002년_월별사업계획전산_DM_02년사업계획양식V1.0_대호(bs수정)_02년사업계획양식V2.0_02년사업계획양식V3.0" xfId="7442"/>
    <cellStyle name="7_전자99연간결산진실_2002년_월별사업계획전산_DM_02년사업계획양식V1.0_대호(bs수정)_02년사업계획양식V2.0_02년사업계획양식V3.0(원본)" xfId="7443"/>
    <cellStyle name="7_전자99연간결산진실_2002년_월별사업계획전산_DM_02년사업계획양식V1.0_대호(bs수정)_02년사업계획양식V2.0_02년사업계획양식V3.0(원본)_1" xfId="7444"/>
    <cellStyle name="7_전자99연간결산진실_2002년_월별사업계획전산_DM_02년사업계획양식V1.0_대호(bs수정)_02년사업계획양식V2.0_02년사업계획양식V3.0_02년사업계획양식V3.0" xfId="7445"/>
    <cellStyle name="7_전자99연간결산진실_2002년_월별사업계획전산_DM_02년사업계획양식V1.0_대호(bs수정)_02년사업계획양식V2.0_02년사업계획양식V3.0_02년사업계획양식V3.0_02년사업계획양식V3.0" xfId="7446"/>
    <cellStyle name="7_전자99연간결산진실_2002년_월별사업계획전산_DM_02년사업계획양식V1.0_대호(bs수정)_02년사업계획양식V2.0_02년사업계획양식V3.0_02년사업계획양식V3.0_02년사업계획양식V3.0(원본)" xfId="7447"/>
    <cellStyle name="7_전자99연간결산진실_2002년_월별사업계획전산_DM_02년사업계획양식V1.0_대호(bs수정)_02년사업계획양식V2.0_02년사업계획양식V3.0_02년사업계획양식V3.0_02년사업계획양식V3.0(원본)_1" xfId="7448"/>
    <cellStyle name="7_전자99연간결산진실_2002년_월별사업계획전산_DM_02년사업계획양식V1.0_대호(bs수정)_02년사업계획양식V3.0" xfId="7449"/>
    <cellStyle name="7_전자99연간결산진실_2002년_월별사업계획전산_DM_02년사업계획양식V1.0_대호(bs수정)_02년사업계획양식V3.0_02년사업계획양식V3.0" xfId="7450"/>
    <cellStyle name="7_전자99연간결산진실_2002년_월별사업계획전산_DM_02년사업계획양식V1.0_대호(bs수정)_02년사업계획양식V3.0_02년사업계획양식V3.0(원본)" xfId="7451"/>
    <cellStyle name="7_전자99연간결산진실_2002년_월별사업계획전산_DM_02년사업계획양식V1.0_대호(bs수정)_02년사업계획양식V3.0_02년사업계획양식V3.0(원본)_1" xfId="7452"/>
    <cellStyle name="7_전자99연간결산진실_2002년_월별사업계획전산_DM_02년사업계획양식V2.0" xfId="7453"/>
    <cellStyle name="7_전자99연간결산진실_2002년_월별사업계획전산_DM_02년사업계획양식V2.0_02년사업계획양식V3.0" xfId="7454"/>
    <cellStyle name="7_전자99연간결산진실_2002년_월별사업계획전산_DM_02년사업계획양식V2.0_02년사업계획양식V3.0_02년사업계획양식V3.0" xfId="7455"/>
    <cellStyle name="7_전자99연간결산진실_2002년_월별사업계획전산_DM_02년사업계획양식V2.0_02년사업계획양식V3.0_02년사업계획양식V3.0(원본)" xfId="7456"/>
    <cellStyle name="7_전자99연간결산진실_2002년_월별사업계획전산_DM_02년사업계획양식V2.0_02년사업계획양식V3.0_02년사업계획양식V3.0(원본)_1" xfId="7457"/>
    <cellStyle name="7_전자99연간결산진실_2002년_월별사업계획전산_DM_02년사업계획양식V3.0" xfId="7458"/>
    <cellStyle name="7_전자99연간결산진실_2002년_월별사업계획전산_DM_02년사업계획양식V3.0(원본)" xfId="7459"/>
    <cellStyle name="7_전자99연간결산진실_2002년_월별사업계획전산_DM_02년사업계획양식V3.0(원본)_1" xfId="7460"/>
    <cellStyle name="7_전자99연간결산진실_2002년_월별사업계획전산_DM_02년사업계획양식V3.0_02년사업계획양식V3.0" xfId="7461"/>
    <cellStyle name="7_전자99연간결산진실_2002년_월별사업계획전산_DM_02년사업계획양식V3.0_02년사업계획양식V3.0_02년사업계획양식V3.0" xfId="7462"/>
    <cellStyle name="7_전자99연간결산진실_2002년_월별사업계획전산_DM_02년사업계획양식V3.0_02년사업계획양식V3.0_02년사업계획양식V3.0(원본)" xfId="7463"/>
    <cellStyle name="7_전자99연간결산진실_2002년_월별사업계획전산_DM_02년사업계획양식V3.0_02년사업계획양식V3.0_02년사업계획양식V3.0(원본)_1" xfId="7464"/>
    <cellStyle name="7_전자99연간결산진실_5월이동_전사손익" xfId="7465"/>
    <cellStyle name="7_전자99연간결산진실_5월이동_전사손익_01년간예상손익(12월이동)" xfId="7466"/>
    <cellStyle name="7_전자99연간결산진실_5월이동_전사손익_01년간예상손익(12월이동)_2" xfId="7467"/>
    <cellStyle name="7_전자99연간결산진실_5월이동_전사손익_01매출손익(6월 실적반영)" xfId="7468"/>
    <cellStyle name="7_전자99연간결산진실_5월이동_전사손익_01매출손익(6월 실적반영)_01년간예상손익(12월이동)" xfId="7469"/>
    <cellStyle name="7_전자99연간결산진실_5월이동_전사손익_01매출손익(6월 실적반영)_01년간예상손익(12월이동)_2" xfId="7470"/>
    <cellStyle name="7_전자99연간결산진실_5월이동_전사손익_01매출손익(6월 실적반영)_02년 2월 이동_예상손익" xfId="7471"/>
    <cellStyle name="7_전자99연간결산진실_5월이동_전사손익_01매출손익(6월 실적반영)_02년 2월 이동_예상손익_1" xfId="7472"/>
    <cellStyle name="7_전자99연간결산진실_5월이동_전사손익_01매출손익(6월 실적반영)_02년 3월 이동_예상손익(전사취합)" xfId="7473"/>
    <cellStyle name="7_전자99연간결산진실_5월이동_전사손익_01매출손익(6월 실적반영)_02년 6월 이동_예상손익(전사취합)" xfId="7474"/>
    <cellStyle name="7_전자99연간결산진실_5월이동_전사손익_01매출손익(6월 실적반영)_02년간예상손익" xfId="7475"/>
    <cellStyle name="7_전자99연간결산진실_5월이동_전사손익_01매출손익(6월 실적반영)_04월 이동계획_전사예상pl" xfId="7476"/>
    <cellStyle name="7_전자99연간결산진실_5월이동_전사손익_01매출손익(6월 실적반영)_1월이동손익_전사예상pl" xfId="7477"/>
    <cellStyle name="7_전자99연간결산진실_5월이동_전사손익_01매출손익(6월 실적반영)_obu별손익0112이동" xfId="7478"/>
    <cellStyle name="7_전자99연간결산진실_5월이동_전사손익_02년 2월 이동_예상손익" xfId="7479"/>
    <cellStyle name="7_전자99연간결산진실_5월이동_전사손익_02년 2월 이동_예상손익_1" xfId="7480"/>
    <cellStyle name="7_전자99연간결산진실_5월이동_전사손익_02년 3월 이동_예상손익(전사취합)" xfId="7481"/>
    <cellStyle name="7_전자99연간결산진실_5월이동_전사손익_02년 6월 이동_예상손익(전사취합)" xfId="7482"/>
    <cellStyle name="7_전자99연간결산진실_5월이동_전사손익_02년간예상손익" xfId="7483"/>
    <cellStyle name="7_전자99연간결산진실_5월이동_전사손익_04월 이동계획_전사예상pl" xfId="7484"/>
    <cellStyle name="7_전자99연간결산진실_5월이동_전사손익_06전사손익" xfId="7485"/>
    <cellStyle name="7_전자99연간결산진실_5월이동_전사손익_06전사손익_01년간예상손익(12월이동)" xfId="7486"/>
    <cellStyle name="7_전자99연간결산진실_5월이동_전사손익_06전사손익_01년간예상손익(12월이동)_2" xfId="7487"/>
    <cellStyle name="7_전자99연간결산진실_5월이동_전사손익_06전사손익_01매출손익(6월 실적반영)" xfId="7488"/>
    <cellStyle name="7_전자99연간결산진실_5월이동_전사손익_06전사손익_01매출손익(6월 실적반영)_01년간예상손익(12월이동)" xfId="7489"/>
    <cellStyle name="7_전자99연간결산진실_5월이동_전사손익_06전사손익_01매출손익(6월 실적반영)_01년간예상손익(12월이동)_2" xfId="7490"/>
    <cellStyle name="7_전자99연간결산진실_5월이동_전사손익_06전사손익_01매출손익(6월 실적반영)_02년 2월 이동_예상손익" xfId="7491"/>
    <cellStyle name="7_전자99연간결산진실_5월이동_전사손익_06전사손익_01매출손익(6월 실적반영)_02년 2월 이동_예상손익_1" xfId="7492"/>
    <cellStyle name="7_전자99연간결산진실_5월이동_전사손익_06전사손익_01매출손익(6월 실적반영)_02년 3월 이동_예상손익(전사취합)" xfId="7493"/>
    <cellStyle name="7_전자99연간결산진실_5월이동_전사손익_06전사손익_01매출손익(6월 실적반영)_02년 6월 이동_예상손익(전사취합)" xfId="7494"/>
    <cellStyle name="7_전자99연간결산진실_5월이동_전사손익_06전사손익_01매출손익(6월 실적반영)_02년간예상손익" xfId="7495"/>
    <cellStyle name="7_전자99연간결산진실_5월이동_전사손익_06전사손익_01매출손익(6월 실적반영)_04월 이동계획_전사예상pl" xfId="7496"/>
    <cellStyle name="7_전자99연간결산진실_5월이동_전사손익_06전사손익_01매출손익(6월 실적반영)_1월이동손익_전사예상pl" xfId="7497"/>
    <cellStyle name="7_전자99연간결산진실_5월이동_전사손익_06전사손익_01매출손익(6월 실적반영)_obu별손익0112이동" xfId="7498"/>
    <cellStyle name="7_전자99연간결산진실_5월이동_전사손익_06전사손익_02년 2월 이동_예상손익" xfId="7499"/>
    <cellStyle name="7_전자99연간결산진실_5월이동_전사손익_06전사손익_02년 2월 이동_예상손익_1" xfId="7500"/>
    <cellStyle name="7_전자99연간결산진실_5월이동_전사손익_06전사손익_02년 3월 이동_예상손익(전사취합)" xfId="7501"/>
    <cellStyle name="7_전자99연간결산진실_5월이동_전사손익_06전사손익_02년 6월 이동_예상손익(전사취합)" xfId="7502"/>
    <cellStyle name="7_전자99연간결산진실_5월이동_전사손익_06전사손익_02년간예상손익" xfId="7503"/>
    <cellStyle name="7_전자99연간결산진실_5월이동_전사손익_06전사손익_04월 이동계획_전사예상pl" xfId="7504"/>
    <cellStyle name="7_전자99연간결산진실_5월이동_전사손익_06전사손익_1월이동손익_전사예상pl" xfId="7505"/>
    <cellStyle name="7_전자99연간결산진실_5월이동_전사손익_06전사손익_8월예상" xfId="7506"/>
    <cellStyle name="7_전자99연간결산진실_5월이동_전사손익_06전사손익_8월예상_01년간예상손익(12월이동)" xfId="7507"/>
    <cellStyle name="7_전자99연간결산진실_5월이동_전사손익_06전사손익_8월예상_01년간예상손익(12월이동)_2" xfId="7508"/>
    <cellStyle name="7_전자99연간결산진실_5월이동_전사손익_06전사손익_8월예상_02년 2월 이동_예상손익" xfId="7509"/>
    <cellStyle name="7_전자99연간결산진실_5월이동_전사손익_06전사손익_8월예상_02년 2월 이동_예상손익_1" xfId="7510"/>
    <cellStyle name="7_전자99연간결산진실_5월이동_전사손익_06전사손익_8월예상_02년 3월 이동_예상손익(전사취합)" xfId="7511"/>
    <cellStyle name="7_전자99연간결산진실_5월이동_전사손익_06전사손익_8월예상_02년 6월 이동_예상손익(전사취합)" xfId="7512"/>
    <cellStyle name="7_전자99연간결산진실_5월이동_전사손익_06전사손익_8월예상_02년간예상손익" xfId="7513"/>
    <cellStyle name="7_전자99연간결산진실_5월이동_전사손익_06전사손익_8월예상_04월 이동계획_전사예상pl" xfId="7514"/>
    <cellStyle name="7_전자99연간결산진실_5월이동_전사손익_06전사손익_8월예상_1월이동손익_전사예상pl" xfId="7515"/>
    <cellStyle name="7_전자99연간결산진실_5월이동_전사손익_06전사손익_8월예상_obu별손익0112이동" xfId="7516"/>
    <cellStyle name="7_전자99연간결산진실_5월이동_전사손익_06전사손익_9-12월예상pl" xfId="7517"/>
    <cellStyle name="7_전자99연간결산진실_5월이동_전사손익_06전사손익_9-12월예상pl_01년간예상손익(12월이동)" xfId="7518"/>
    <cellStyle name="7_전자99연간결산진실_5월이동_전사손익_06전사손익_9-12월예상pl_01년간예상손익(12월이동)_2" xfId="7519"/>
    <cellStyle name="7_전자99연간결산진실_5월이동_전사손익_06전사손익_9-12월예상pl_02년 2월 이동_예상손익" xfId="7520"/>
    <cellStyle name="7_전자99연간결산진실_5월이동_전사손익_06전사손익_9-12월예상pl_02년 2월 이동_예상손익_1" xfId="7521"/>
    <cellStyle name="7_전자99연간결산진실_5월이동_전사손익_06전사손익_9-12월예상pl_02년 3월 이동_예상손익(전사취합)" xfId="7522"/>
    <cellStyle name="7_전자99연간결산진실_5월이동_전사손익_06전사손익_9-12월예상pl_02년 6월 이동_예상손익(전사취합)" xfId="7523"/>
    <cellStyle name="7_전자99연간결산진실_5월이동_전사손익_06전사손익_9-12월예상pl_02년간예상손익" xfId="7524"/>
    <cellStyle name="7_전자99연간결산진실_5월이동_전사손익_06전사손익_9-12월예상pl_04월 이동계획_전사예상pl" xfId="7525"/>
    <cellStyle name="7_전자99연간결산진실_5월이동_전사손익_06전사손익_9-12월예상pl_1월이동손익_전사예상pl" xfId="7526"/>
    <cellStyle name="7_전자99연간결산진실_5월이동_전사손익_06전사손익_9-12월예상pl_obu별손익0112이동" xfId="7527"/>
    <cellStyle name="7_전자99연간결산진실_5월이동_전사손익_06전사손익_obu별손익0112이동" xfId="7528"/>
    <cellStyle name="7_전자99연간결산진실_5월이동_전사손익_06전사손익_상반기_연간손익정리(서대호)" xfId="7529"/>
    <cellStyle name="7_전자99연간결산진실_5월이동_전사손익_06전사손익_상반기_연간손익정리(서대호)_01년간예상손익(12월이동)" xfId="7530"/>
    <cellStyle name="7_전자99연간결산진실_5월이동_전사손익_06전사손익_상반기_연간손익정리(서대호)_01년간예상손익(12월이동)_2" xfId="7531"/>
    <cellStyle name="7_전자99연간결산진실_5월이동_전사손익_06전사손익_상반기_연간손익정리(서대호)_01매출손익(6월 실적반영)" xfId="7532"/>
    <cellStyle name="7_전자99연간결산진실_5월이동_전사손익_06전사손익_상반기_연간손익정리(서대호)_01매출손익(6월 실적반영)_01년간예상손익(12월이동)" xfId="7533"/>
    <cellStyle name="7_전자99연간결산진실_5월이동_전사손익_06전사손익_상반기_연간손익정리(서대호)_01매출손익(6월 실적반영)_01년간예상손익(12월이동)_2" xfId="7534"/>
    <cellStyle name="7_전자99연간결산진실_5월이동_전사손익_06전사손익_상반기_연간손익정리(서대호)_01매출손익(6월 실적반영)_02년 2월 이동_예상손익" xfId="7535"/>
    <cellStyle name="7_전자99연간결산진실_5월이동_전사손익_06전사손익_상반기_연간손익정리(서대호)_01매출손익(6월 실적반영)_02년 2월 이동_예상손익_1" xfId="7536"/>
    <cellStyle name="7_전자99연간결산진실_5월이동_전사손익_06전사손익_상반기_연간손익정리(서대호)_01매출손익(6월 실적반영)_02년 3월 이동_예상손익(전사취합)" xfId="7537"/>
    <cellStyle name="7_전자99연간결산진실_5월이동_전사손익_06전사손익_상반기_연간손익정리(서대호)_01매출손익(6월 실적반영)_02년 6월 이동_예상손익(전사취합)" xfId="7538"/>
    <cellStyle name="7_전자99연간결산진실_5월이동_전사손익_06전사손익_상반기_연간손익정리(서대호)_01매출손익(6월 실적반영)_02년간예상손익" xfId="7539"/>
    <cellStyle name="7_전자99연간결산진실_5월이동_전사손익_06전사손익_상반기_연간손익정리(서대호)_01매출손익(6월 실적반영)_04월 이동계획_전사예상pl" xfId="7540"/>
    <cellStyle name="7_전자99연간결산진실_5월이동_전사손익_06전사손익_상반기_연간손익정리(서대호)_01매출손익(6월 실적반영)_1월이동손익_전사예상pl" xfId="7541"/>
    <cellStyle name="7_전자99연간결산진실_5월이동_전사손익_06전사손익_상반기_연간손익정리(서대호)_01매출손익(6월 실적반영)_obu별손익0112이동" xfId="7542"/>
    <cellStyle name="7_전자99연간결산진실_5월이동_전사손익_06전사손익_상반기_연간손익정리(서대호)_02년 2월 이동_예상손익" xfId="7543"/>
    <cellStyle name="7_전자99연간결산진실_5월이동_전사손익_06전사손익_상반기_연간손익정리(서대호)_02년 2월 이동_예상손익_1" xfId="7544"/>
    <cellStyle name="7_전자99연간결산진실_5월이동_전사손익_06전사손익_상반기_연간손익정리(서대호)_02년 3월 이동_예상손익(전사취합)" xfId="7545"/>
    <cellStyle name="7_전자99연간결산진실_5월이동_전사손익_06전사손익_상반기_연간손익정리(서대호)_02년 6월 이동_예상손익(전사취합)" xfId="7546"/>
    <cellStyle name="7_전자99연간결산진실_5월이동_전사손익_06전사손익_상반기_연간손익정리(서대호)_02년간예상손익" xfId="7547"/>
    <cellStyle name="7_전자99연간결산진실_5월이동_전사손익_06전사손익_상반기_연간손익정리(서대호)_04월 이동계획_전사예상pl" xfId="7548"/>
    <cellStyle name="7_전자99연간결산진실_5월이동_전사손익_06전사손익_상반기_연간손익정리(서대호)_1월이동손익_전사예상pl" xfId="7549"/>
    <cellStyle name="7_전자99연간결산진실_5월이동_전사손익_06전사손익_상반기_연간손익정리(서대호)_8월예상" xfId="7550"/>
    <cellStyle name="7_전자99연간결산진실_5월이동_전사손익_06전사손익_상반기_연간손익정리(서대호)_8월예상_01년간예상손익(12월이동)" xfId="7551"/>
    <cellStyle name="7_전자99연간결산진실_5월이동_전사손익_06전사손익_상반기_연간손익정리(서대호)_8월예상_01년간예상손익(12월이동)_2" xfId="7552"/>
    <cellStyle name="7_전자99연간결산진실_5월이동_전사손익_06전사손익_상반기_연간손익정리(서대호)_8월예상_02년 2월 이동_예상손익" xfId="7553"/>
    <cellStyle name="7_전자99연간결산진실_5월이동_전사손익_06전사손익_상반기_연간손익정리(서대호)_8월예상_02년 2월 이동_예상손익_1" xfId="7554"/>
    <cellStyle name="7_전자99연간결산진실_5월이동_전사손익_06전사손익_상반기_연간손익정리(서대호)_8월예상_02년 3월 이동_예상손익(전사취합)" xfId="7555"/>
    <cellStyle name="7_전자99연간결산진실_5월이동_전사손익_06전사손익_상반기_연간손익정리(서대호)_8월예상_02년 6월 이동_예상손익(전사취합)" xfId="7556"/>
    <cellStyle name="7_전자99연간결산진실_5월이동_전사손익_06전사손익_상반기_연간손익정리(서대호)_8월예상_02년간예상손익" xfId="7557"/>
    <cellStyle name="7_전자99연간결산진실_5월이동_전사손익_06전사손익_상반기_연간손익정리(서대호)_8월예상_04월 이동계획_전사예상pl" xfId="7558"/>
    <cellStyle name="7_전자99연간결산진실_5월이동_전사손익_06전사손익_상반기_연간손익정리(서대호)_8월예상_1월이동손익_전사예상pl" xfId="7559"/>
    <cellStyle name="7_전자99연간결산진실_5월이동_전사손익_06전사손익_상반기_연간손익정리(서대호)_8월예상_obu별손익0112이동" xfId="7560"/>
    <cellStyle name="7_전자99연간결산진실_5월이동_전사손익_06전사손익_상반기_연간손익정리(서대호)_obu별손익0112이동" xfId="7561"/>
    <cellStyle name="7_전자99연간결산진실_5월이동_전사손익_06전사손익_상반기_연간손익정리(서대호)_연간예상추정5886_0726" xfId="7562"/>
    <cellStyle name="7_전자99연간결산진실_5월이동_전사손익_06전사손익_상반기_연간손익정리(서대호)_연간예상추정5886_0726_01년간예상손익(12월이동)" xfId="7563"/>
    <cellStyle name="7_전자99연간결산진실_5월이동_전사손익_06전사손익_상반기_연간손익정리(서대호)_연간예상추정5886_0726_01년간예상손익(12월이동)_2" xfId="7564"/>
    <cellStyle name="7_전자99연간결산진실_5월이동_전사손익_06전사손익_상반기_연간손익정리(서대호)_연간예상추정5886_0726_02년 2월 이동_예상손익" xfId="7565"/>
    <cellStyle name="7_전자99연간결산진실_5월이동_전사손익_06전사손익_상반기_연간손익정리(서대호)_연간예상추정5886_0726_02년 2월 이동_예상손익_1" xfId="7566"/>
    <cellStyle name="7_전자99연간결산진실_5월이동_전사손익_06전사손익_상반기_연간손익정리(서대호)_연간예상추정5886_0726_02년 3월 이동_예상손익(전사취합)" xfId="7567"/>
    <cellStyle name="7_전자99연간결산진실_5월이동_전사손익_06전사손익_상반기_연간손익정리(서대호)_연간예상추정5886_0726_02년 6월 이동_예상손익(전사취합)" xfId="7568"/>
    <cellStyle name="7_전자99연간결산진실_5월이동_전사손익_06전사손익_상반기_연간손익정리(서대호)_연간예상추정5886_0726_02년간예상손익" xfId="7569"/>
    <cellStyle name="7_전자99연간결산진실_5월이동_전사손익_06전사손익_상반기_연간손익정리(서대호)_연간예상추정5886_0726_04월 이동계획_전사예상pl" xfId="7570"/>
    <cellStyle name="7_전자99연간결산진실_5월이동_전사손익_06전사손익_상반기_연간손익정리(서대호)_연간예상추정5886_0726_1월이동손익_전사예상pl" xfId="7571"/>
    <cellStyle name="7_전자99연간결산진실_5월이동_전사손익_06전사손익_상반기_연간손익정리(서대호)_연간예상추정5886_0726_obu별손익0112이동" xfId="7572"/>
    <cellStyle name="7_전자99연간결산진실_5월이동_전사손익_06전사손익_연간예상추정5886_0726" xfId="7573"/>
    <cellStyle name="7_전자99연간결산진실_5월이동_전사손익_06전사손익_연간예상추정5886_0726_01년간예상손익(12월이동)" xfId="7574"/>
    <cellStyle name="7_전자99연간결산진실_5월이동_전사손익_06전사손익_연간예상추정5886_0726_01년간예상손익(12월이동)_2" xfId="7575"/>
    <cellStyle name="7_전자99연간결산진실_5월이동_전사손익_06전사손익_연간예상추정5886_0726_02년 2월 이동_예상손익" xfId="7576"/>
    <cellStyle name="7_전자99연간결산진실_5월이동_전사손익_06전사손익_연간예상추정5886_0726_02년 2월 이동_예상손익_1" xfId="7577"/>
    <cellStyle name="7_전자99연간결산진실_5월이동_전사손익_06전사손익_연간예상추정5886_0726_02년 3월 이동_예상손익(전사취합)" xfId="7578"/>
    <cellStyle name="7_전자99연간결산진실_5월이동_전사손익_06전사손익_연간예상추정5886_0726_02년 6월 이동_예상손익(전사취합)" xfId="7579"/>
    <cellStyle name="7_전자99연간결산진실_5월이동_전사손익_06전사손익_연간예상추정5886_0726_02년간예상손익" xfId="7580"/>
    <cellStyle name="7_전자99연간결산진실_5월이동_전사손익_06전사손익_연간예상추정5886_0726_04월 이동계획_전사예상pl" xfId="7581"/>
    <cellStyle name="7_전자99연간결산진실_5월이동_전사손익_06전사손익_연간예상추정5886_0726_1월이동손익_전사예상pl" xfId="7582"/>
    <cellStyle name="7_전자99연간결산진실_5월이동_전사손익_06전사손익_연간예상추정5886_0726_obu별손익0112이동" xfId="7583"/>
    <cellStyle name="7_전자99연간결산진실_5월이동_전사손익_06전사손익1" xfId="7584"/>
    <cellStyle name="7_전자99연간결산진실_5월이동_전사손익_06전사손익1_01년간예상손익(12월이동)" xfId="7585"/>
    <cellStyle name="7_전자99연간결산진실_5월이동_전사손익_06전사손익1_01년간예상손익(12월이동)_2" xfId="7586"/>
    <cellStyle name="7_전자99연간결산진실_5월이동_전사손익_06전사손익1_01매출손익(6월 실적반영)" xfId="7587"/>
    <cellStyle name="7_전자99연간결산진실_5월이동_전사손익_06전사손익1_01매출손익(6월 실적반영)_01년간예상손익(12월이동)" xfId="7588"/>
    <cellStyle name="7_전자99연간결산진실_5월이동_전사손익_06전사손익1_01매출손익(6월 실적반영)_01년간예상손익(12월이동)_2" xfId="7589"/>
    <cellStyle name="7_전자99연간결산진실_5월이동_전사손익_06전사손익1_01매출손익(6월 실적반영)_02년 2월 이동_예상손익" xfId="7590"/>
    <cellStyle name="7_전자99연간결산진실_5월이동_전사손익_06전사손익1_01매출손익(6월 실적반영)_02년 2월 이동_예상손익_1" xfId="7591"/>
    <cellStyle name="7_전자99연간결산진실_5월이동_전사손익_06전사손익1_01매출손익(6월 실적반영)_02년 3월 이동_예상손익(전사취합)" xfId="7592"/>
    <cellStyle name="7_전자99연간결산진실_5월이동_전사손익_06전사손익1_01매출손익(6월 실적반영)_02년 6월 이동_예상손익(전사취합)" xfId="7593"/>
    <cellStyle name="7_전자99연간결산진실_5월이동_전사손익_06전사손익1_01매출손익(6월 실적반영)_02년간예상손익" xfId="7594"/>
    <cellStyle name="7_전자99연간결산진실_5월이동_전사손익_06전사손익1_01매출손익(6월 실적반영)_04월 이동계획_전사예상pl" xfId="7595"/>
    <cellStyle name="7_전자99연간결산진실_5월이동_전사손익_06전사손익1_01매출손익(6월 실적반영)_1월이동손익_전사예상pl" xfId="7596"/>
    <cellStyle name="7_전자99연간결산진실_5월이동_전사손익_06전사손익1_01매출손익(6월 실적반영)_obu별손익0112이동" xfId="7597"/>
    <cellStyle name="7_전자99연간결산진실_5월이동_전사손익_06전사손익1_02년 2월 이동_예상손익" xfId="7598"/>
    <cellStyle name="7_전자99연간결산진실_5월이동_전사손익_06전사손익1_02년 2월 이동_예상손익_1" xfId="7599"/>
    <cellStyle name="7_전자99연간결산진실_5월이동_전사손익_06전사손익1_02년 3월 이동_예상손익(전사취합)" xfId="7600"/>
    <cellStyle name="7_전자99연간결산진실_5월이동_전사손익_06전사손익1_02년 6월 이동_예상손익(전사취합)" xfId="7601"/>
    <cellStyle name="7_전자99연간결산진실_5월이동_전사손익_06전사손익1_02년간예상손익" xfId="7602"/>
    <cellStyle name="7_전자99연간결산진실_5월이동_전사손익_06전사손익1_04월 이동계획_전사예상pl" xfId="7603"/>
    <cellStyle name="7_전자99연간결산진실_5월이동_전사손익_06전사손익1_1월이동손익_전사예상pl" xfId="7604"/>
    <cellStyle name="7_전자99연간결산진실_5월이동_전사손익_06전사손익1_8월예상" xfId="7605"/>
    <cellStyle name="7_전자99연간결산진실_5월이동_전사손익_06전사손익1_8월예상_01년간예상손익(12월이동)" xfId="7606"/>
    <cellStyle name="7_전자99연간결산진실_5월이동_전사손익_06전사손익1_8월예상_01년간예상손익(12월이동)_2" xfId="7607"/>
    <cellStyle name="7_전자99연간결산진실_5월이동_전사손익_06전사손익1_8월예상_02년 2월 이동_예상손익" xfId="7608"/>
    <cellStyle name="7_전자99연간결산진실_5월이동_전사손익_06전사손익1_8월예상_02년 2월 이동_예상손익_1" xfId="7609"/>
    <cellStyle name="7_전자99연간결산진실_5월이동_전사손익_06전사손익1_8월예상_02년 3월 이동_예상손익(전사취합)" xfId="7610"/>
    <cellStyle name="7_전자99연간결산진실_5월이동_전사손익_06전사손익1_8월예상_02년 6월 이동_예상손익(전사취합)" xfId="7611"/>
    <cellStyle name="7_전자99연간결산진실_5월이동_전사손익_06전사손익1_8월예상_02년간예상손익" xfId="7612"/>
    <cellStyle name="7_전자99연간결산진실_5월이동_전사손익_06전사손익1_8월예상_04월 이동계획_전사예상pl" xfId="7613"/>
    <cellStyle name="7_전자99연간결산진실_5월이동_전사손익_06전사손익1_8월예상_1월이동손익_전사예상pl" xfId="7614"/>
    <cellStyle name="7_전자99연간결산진실_5월이동_전사손익_06전사손익1_8월예상_obu별손익0112이동" xfId="7615"/>
    <cellStyle name="7_전자99연간결산진실_5월이동_전사손익_06전사손익1_9-12월예상pl" xfId="7616"/>
    <cellStyle name="7_전자99연간결산진실_5월이동_전사손익_06전사손익1_9-12월예상pl_01년간예상손익(12월이동)" xfId="7617"/>
    <cellStyle name="7_전자99연간결산진실_5월이동_전사손익_06전사손익1_9-12월예상pl_01년간예상손익(12월이동)_2" xfId="7618"/>
    <cellStyle name="7_전자99연간결산진실_5월이동_전사손익_06전사손익1_9-12월예상pl_02년 2월 이동_예상손익" xfId="7619"/>
    <cellStyle name="7_전자99연간결산진실_5월이동_전사손익_06전사손익1_9-12월예상pl_02년 2월 이동_예상손익_1" xfId="7620"/>
    <cellStyle name="7_전자99연간결산진실_5월이동_전사손익_06전사손익1_9-12월예상pl_02년 3월 이동_예상손익(전사취합)" xfId="7621"/>
    <cellStyle name="7_전자99연간결산진실_5월이동_전사손익_06전사손익1_9-12월예상pl_02년 6월 이동_예상손익(전사취합)" xfId="7622"/>
    <cellStyle name="7_전자99연간결산진실_5월이동_전사손익_06전사손익1_9-12월예상pl_02년간예상손익" xfId="7623"/>
    <cellStyle name="7_전자99연간결산진실_5월이동_전사손익_06전사손익1_9-12월예상pl_04월 이동계획_전사예상pl" xfId="7624"/>
    <cellStyle name="7_전자99연간결산진실_5월이동_전사손익_06전사손익1_9-12월예상pl_1월이동손익_전사예상pl" xfId="7625"/>
    <cellStyle name="7_전자99연간결산진실_5월이동_전사손익_06전사손익1_9-12월예상pl_obu별손익0112이동" xfId="7626"/>
    <cellStyle name="7_전자99연간결산진실_5월이동_전사손익_06전사손익1_obu별손익0112이동" xfId="7627"/>
    <cellStyle name="7_전자99연간결산진실_5월이동_전사손익_06전사손익1_상반기_연간손익정리(서대호)" xfId="7628"/>
    <cellStyle name="7_전자99연간결산진실_5월이동_전사손익_06전사손익1_상반기_연간손익정리(서대호)_01년간예상손익(12월이동)" xfId="7629"/>
    <cellStyle name="7_전자99연간결산진실_5월이동_전사손익_06전사손익1_상반기_연간손익정리(서대호)_01년간예상손익(12월이동)_2" xfId="7630"/>
    <cellStyle name="7_전자99연간결산진실_5월이동_전사손익_06전사손익1_상반기_연간손익정리(서대호)_01매출손익(6월 실적반영)" xfId="7631"/>
    <cellStyle name="7_전자99연간결산진실_5월이동_전사손익_06전사손익1_상반기_연간손익정리(서대호)_01매출손익(6월 실적반영)_01년간예상손익(12월이동)" xfId="7632"/>
    <cellStyle name="7_전자99연간결산진실_5월이동_전사손익_06전사손익1_상반기_연간손익정리(서대호)_01매출손익(6월 실적반영)_01년간예상손익(12월이동)_2" xfId="7633"/>
    <cellStyle name="7_전자99연간결산진실_5월이동_전사손익_06전사손익1_상반기_연간손익정리(서대호)_01매출손익(6월 실적반영)_02년 2월 이동_예상손익" xfId="7634"/>
    <cellStyle name="7_전자99연간결산진실_5월이동_전사손익_06전사손익1_상반기_연간손익정리(서대호)_01매출손익(6월 실적반영)_02년 2월 이동_예상손익_1" xfId="7635"/>
    <cellStyle name="7_전자99연간결산진실_5월이동_전사손익_06전사손익1_상반기_연간손익정리(서대호)_01매출손익(6월 실적반영)_02년 3월 이동_예상손익(전사취합)" xfId="7636"/>
    <cellStyle name="7_전자99연간결산진실_5월이동_전사손익_06전사손익1_상반기_연간손익정리(서대호)_01매출손익(6월 실적반영)_02년 6월 이동_예상손익(전사취합)" xfId="7637"/>
    <cellStyle name="7_전자99연간결산진실_5월이동_전사손익_06전사손익1_상반기_연간손익정리(서대호)_01매출손익(6월 실적반영)_02년간예상손익" xfId="7638"/>
    <cellStyle name="7_전자99연간결산진실_5월이동_전사손익_06전사손익1_상반기_연간손익정리(서대호)_01매출손익(6월 실적반영)_04월 이동계획_전사예상pl" xfId="7639"/>
    <cellStyle name="7_전자99연간결산진실_5월이동_전사손익_06전사손익1_상반기_연간손익정리(서대호)_01매출손익(6월 실적반영)_1월이동손익_전사예상pl" xfId="7640"/>
    <cellStyle name="7_전자99연간결산진실_5월이동_전사손익_06전사손익1_상반기_연간손익정리(서대호)_01매출손익(6월 실적반영)_obu별손익0112이동" xfId="7641"/>
    <cellStyle name="7_전자99연간결산진실_5월이동_전사손익_06전사손익1_상반기_연간손익정리(서대호)_02년 2월 이동_예상손익" xfId="7642"/>
    <cellStyle name="7_전자99연간결산진실_5월이동_전사손익_06전사손익1_상반기_연간손익정리(서대호)_02년 2월 이동_예상손익_1" xfId="7643"/>
    <cellStyle name="7_전자99연간결산진실_5월이동_전사손익_06전사손익1_상반기_연간손익정리(서대호)_02년 3월 이동_예상손익(전사취합)" xfId="7644"/>
    <cellStyle name="7_전자99연간결산진실_5월이동_전사손익_06전사손익1_상반기_연간손익정리(서대호)_02년 6월 이동_예상손익(전사취합)" xfId="7645"/>
    <cellStyle name="7_전자99연간결산진실_5월이동_전사손익_06전사손익1_상반기_연간손익정리(서대호)_02년간예상손익" xfId="7646"/>
    <cellStyle name="7_전자99연간결산진실_5월이동_전사손익_06전사손익1_상반기_연간손익정리(서대호)_04월 이동계획_전사예상pl" xfId="7647"/>
    <cellStyle name="7_전자99연간결산진실_5월이동_전사손익_06전사손익1_상반기_연간손익정리(서대호)_1월이동손익_전사예상pl" xfId="7648"/>
    <cellStyle name="7_전자99연간결산진실_5월이동_전사손익_06전사손익1_상반기_연간손익정리(서대호)_8월예상" xfId="7649"/>
    <cellStyle name="7_전자99연간결산진실_5월이동_전사손익_06전사손익1_상반기_연간손익정리(서대호)_8월예상_01년간예상손익(12월이동)" xfId="7650"/>
    <cellStyle name="7_전자99연간결산진실_5월이동_전사손익_06전사손익1_상반기_연간손익정리(서대호)_8월예상_01년간예상손익(12월이동)_2" xfId="7651"/>
    <cellStyle name="7_전자99연간결산진실_5월이동_전사손익_06전사손익1_상반기_연간손익정리(서대호)_8월예상_02년 2월 이동_예상손익" xfId="7652"/>
    <cellStyle name="7_전자99연간결산진실_5월이동_전사손익_06전사손익1_상반기_연간손익정리(서대호)_8월예상_02년 2월 이동_예상손익_1" xfId="7653"/>
    <cellStyle name="7_전자99연간결산진실_5월이동_전사손익_06전사손익1_상반기_연간손익정리(서대호)_8월예상_02년 3월 이동_예상손익(전사취합)" xfId="7654"/>
    <cellStyle name="7_전자99연간결산진실_5월이동_전사손익_06전사손익1_상반기_연간손익정리(서대호)_8월예상_02년 6월 이동_예상손익(전사취합)" xfId="7655"/>
    <cellStyle name="7_전자99연간결산진실_5월이동_전사손익_06전사손익1_상반기_연간손익정리(서대호)_8월예상_02년간예상손익" xfId="7656"/>
    <cellStyle name="7_전자99연간결산진실_5월이동_전사손익_06전사손익1_상반기_연간손익정리(서대호)_8월예상_04월 이동계획_전사예상pl" xfId="7657"/>
    <cellStyle name="7_전자99연간결산진실_5월이동_전사손익_06전사손익1_상반기_연간손익정리(서대호)_8월예상_1월이동손익_전사예상pl" xfId="7658"/>
    <cellStyle name="7_전자99연간결산진실_5월이동_전사손익_06전사손익1_상반기_연간손익정리(서대호)_8월예상_obu별손익0112이동" xfId="7659"/>
    <cellStyle name="7_전자99연간결산진실_5월이동_전사손익_06전사손익1_상반기_연간손익정리(서대호)_obu별손익0112이동" xfId="7660"/>
    <cellStyle name="7_전자99연간결산진실_5월이동_전사손익_06전사손익1_상반기_연간손익정리(서대호)_연간예상추정5886_0726" xfId="7661"/>
    <cellStyle name="7_전자99연간결산진실_5월이동_전사손익_06전사손익1_상반기_연간손익정리(서대호)_연간예상추정5886_0726_01년간예상손익(12월이동)" xfId="7662"/>
    <cellStyle name="7_전자99연간결산진실_5월이동_전사손익_06전사손익1_상반기_연간손익정리(서대호)_연간예상추정5886_0726_01년간예상손익(12월이동)_2" xfId="7663"/>
    <cellStyle name="7_전자99연간결산진실_5월이동_전사손익_06전사손익1_상반기_연간손익정리(서대호)_연간예상추정5886_0726_02년 2월 이동_예상손익" xfId="7664"/>
    <cellStyle name="7_전자99연간결산진실_5월이동_전사손익_06전사손익1_상반기_연간손익정리(서대호)_연간예상추정5886_0726_02년 2월 이동_예상손익_1" xfId="7665"/>
    <cellStyle name="7_전자99연간결산진실_5월이동_전사손익_06전사손익1_상반기_연간손익정리(서대호)_연간예상추정5886_0726_02년 3월 이동_예상손익(전사취합)" xfId="7666"/>
    <cellStyle name="7_전자99연간결산진실_5월이동_전사손익_06전사손익1_상반기_연간손익정리(서대호)_연간예상추정5886_0726_02년 6월 이동_예상손익(전사취합)" xfId="7667"/>
    <cellStyle name="7_전자99연간결산진실_5월이동_전사손익_06전사손익1_상반기_연간손익정리(서대호)_연간예상추정5886_0726_02년간예상손익" xfId="7668"/>
    <cellStyle name="7_전자99연간결산진실_5월이동_전사손익_06전사손익1_상반기_연간손익정리(서대호)_연간예상추정5886_0726_04월 이동계획_전사예상pl" xfId="7669"/>
    <cellStyle name="7_전자99연간결산진실_5월이동_전사손익_06전사손익1_상반기_연간손익정리(서대호)_연간예상추정5886_0726_1월이동손익_전사예상pl" xfId="7670"/>
    <cellStyle name="7_전자99연간결산진실_5월이동_전사손익_06전사손익1_상반기_연간손익정리(서대호)_연간예상추정5886_0726_obu별손익0112이동" xfId="7671"/>
    <cellStyle name="7_전자99연간결산진실_5월이동_전사손익_06전사손익1_연간예상추정5886_0726" xfId="7672"/>
    <cellStyle name="7_전자99연간결산진실_5월이동_전사손익_06전사손익1_연간예상추정5886_0726_01년간예상손익(12월이동)" xfId="7673"/>
    <cellStyle name="7_전자99연간결산진실_5월이동_전사손익_06전사손익1_연간예상추정5886_0726_01년간예상손익(12월이동)_2" xfId="7674"/>
    <cellStyle name="7_전자99연간결산진실_5월이동_전사손익_06전사손익1_연간예상추정5886_0726_02년 2월 이동_예상손익" xfId="7675"/>
    <cellStyle name="7_전자99연간결산진실_5월이동_전사손익_06전사손익1_연간예상추정5886_0726_02년 2월 이동_예상손익_1" xfId="7676"/>
    <cellStyle name="7_전자99연간결산진실_5월이동_전사손익_06전사손익1_연간예상추정5886_0726_02년 3월 이동_예상손익(전사취합)" xfId="7677"/>
    <cellStyle name="7_전자99연간결산진실_5월이동_전사손익_06전사손익1_연간예상추정5886_0726_02년 6월 이동_예상손익(전사취합)" xfId="7678"/>
    <cellStyle name="7_전자99연간결산진실_5월이동_전사손익_06전사손익1_연간예상추정5886_0726_02년간예상손익" xfId="7679"/>
    <cellStyle name="7_전자99연간결산진실_5월이동_전사손익_06전사손익1_연간예상추정5886_0726_04월 이동계획_전사예상pl" xfId="7680"/>
    <cellStyle name="7_전자99연간결산진실_5월이동_전사손익_06전사손익1_연간예상추정5886_0726_1월이동손익_전사예상pl" xfId="7681"/>
    <cellStyle name="7_전자99연간결산진실_5월이동_전사손익_06전사손익1_연간예상추정5886_0726_obu별손익0112이동" xfId="7682"/>
    <cellStyle name="7_전자99연간결산진실_5월이동_전사손익_1월이동손익_전사예상pl" xfId="7683"/>
    <cellStyle name="7_전자99연간결산진실_5월이동_전사손익_8월예상" xfId="7684"/>
    <cellStyle name="7_전자99연간결산진실_5월이동_전사손익_8월예상_01년간예상손익(12월이동)" xfId="7685"/>
    <cellStyle name="7_전자99연간결산진실_5월이동_전사손익_8월예상_01년간예상손익(12월이동)_2" xfId="7686"/>
    <cellStyle name="7_전자99연간결산진실_5월이동_전사손익_8월예상_02년 2월 이동_예상손익" xfId="7687"/>
    <cellStyle name="7_전자99연간결산진실_5월이동_전사손익_8월예상_02년 2월 이동_예상손익_1" xfId="7688"/>
    <cellStyle name="7_전자99연간결산진실_5월이동_전사손익_8월예상_02년 3월 이동_예상손익(전사취합)" xfId="7689"/>
    <cellStyle name="7_전자99연간결산진실_5월이동_전사손익_8월예상_02년 6월 이동_예상손익(전사취합)" xfId="7690"/>
    <cellStyle name="7_전자99연간결산진실_5월이동_전사손익_8월예상_02년간예상손익" xfId="7691"/>
    <cellStyle name="7_전자99연간결산진실_5월이동_전사손익_8월예상_04월 이동계획_전사예상pl" xfId="7692"/>
    <cellStyle name="7_전자99연간결산진실_5월이동_전사손익_8월예상_1월이동손익_전사예상pl" xfId="7693"/>
    <cellStyle name="7_전자99연간결산진실_5월이동_전사손익_8월예상_obu별손익0112이동" xfId="7694"/>
    <cellStyle name="7_전자99연간결산진실_5월이동_전사손익_9-12월예상pl" xfId="7695"/>
    <cellStyle name="7_전자99연간결산진실_5월이동_전사손익_9-12월예상pl_01년간예상손익(12월이동)" xfId="7696"/>
    <cellStyle name="7_전자99연간결산진실_5월이동_전사손익_9-12월예상pl_01년간예상손익(12월이동)_2" xfId="7697"/>
    <cellStyle name="7_전자99연간결산진실_5월이동_전사손익_9-12월예상pl_02년 2월 이동_예상손익" xfId="7698"/>
    <cellStyle name="7_전자99연간결산진실_5월이동_전사손익_9-12월예상pl_02년 2월 이동_예상손익_1" xfId="7699"/>
    <cellStyle name="7_전자99연간결산진실_5월이동_전사손익_9-12월예상pl_02년 3월 이동_예상손익(전사취합)" xfId="7700"/>
    <cellStyle name="7_전자99연간결산진실_5월이동_전사손익_9-12월예상pl_02년 6월 이동_예상손익(전사취합)" xfId="7701"/>
    <cellStyle name="7_전자99연간결산진실_5월이동_전사손익_9-12월예상pl_02년간예상손익" xfId="7702"/>
    <cellStyle name="7_전자99연간결산진실_5월이동_전사손익_9-12월예상pl_04월 이동계획_전사예상pl" xfId="7703"/>
    <cellStyle name="7_전자99연간결산진실_5월이동_전사손익_9-12월예상pl_1월이동손익_전사예상pl" xfId="7704"/>
    <cellStyle name="7_전자99연간결산진실_5월이동_전사손익_9-12월예상pl_obu별손익0112이동" xfId="7705"/>
    <cellStyle name="7_전자99연간결산진실_5월이동_전사손익_obu별손익0112이동" xfId="7706"/>
    <cellStyle name="7_전자99연간결산진실_5월이동_전사손익_상반기_연간손익정리(서대호)" xfId="7707"/>
    <cellStyle name="7_전자99연간결산진실_5월이동_전사손익_상반기_연간손익정리(서대호)_01년간예상손익(12월이동)" xfId="7708"/>
    <cellStyle name="7_전자99연간결산진실_5월이동_전사손익_상반기_연간손익정리(서대호)_01년간예상손익(12월이동)_2" xfId="7709"/>
    <cellStyle name="7_전자99연간결산진실_5월이동_전사손익_상반기_연간손익정리(서대호)_01매출손익(6월 실적반영)" xfId="7710"/>
    <cellStyle name="7_전자99연간결산진실_5월이동_전사손익_상반기_연간손익정리(서대호)_01매출손익(6월 실적반영)_01년간예상손익(12월이동)" xfId="7711"/>
    <cellStyle name="7_전자99연간결산진실_5월이동_전사손익_상반기_연간손익정리(서대호)_01매출손익(6월 실적반영)_01년간예상손익(12월이동)_2" xfId="7712"/>
    <cellStyle name="7_전자99연간결산진실_5월이동_전사손익_상반기_연간손익정리(서대호)_01매출손익(6월 실적반영)_02년 2월 이동_예상손익" xfId="7713"/>
    <cellStyle name="7_전자99연간결산진실_5월이동_전사손익_상반기_연간손익정리(서대호)_01매출손익(6월 실적반영)_02년 2월 이동_예상손익_1" xfId="7714"/>
    <cellStyle name="7_전자99연간결산진실_5월이동_전사손익_상반기_연간손익정리(서대호)_01매출손익(6월 실적반영)_02년 3월 이동_예상손익(전사취합)" xfId="7715"/>
    <cellStyle name="7_전자99연간결산진실_5월이동_전사손익_상반기_연간손익정리(서대호)_01매출손익(6월 실적반영)_02년 6월 이동_예상손익(전사취합)" xfId="7716"/>
    <cellStyle name="7_전자99연간결산진실_5월이동_전사손익_상반기_연간손익정리(서대호)_01매출손익(6월 실적반영)_02년간예상손익" xfId="7717"/>
    <cellStyle name="7_전자99연간결산진실_5월이동_전사손익_상반기_연간손익정리(서대호)_01매출손익(6월 실적반영)_04월 이동계획_전사예상pl" xfId="7718"/>
    <cellStyle name="7_전자99연간결산진실_5월이동_전사손익_상반기_연간손익정리(서대호)_01매출손익(6월 실적반영)_1월이동손익_전사예상pl" xfId="7719"/>
    <cellStyle name="7_전자99연간결산진실_5월이동_전사손익_상반기_연간손익정리(서대호)_01매출손익(6월 실적반영)_obu별손익0112이동" xfId="7720"/>
    <cellStyle name="7_전자99연간결산진실_5월이동_전사손익_상반기_연간손익정리(서대호)_02년 2월 이동_예상손익" xfId="7721"/>
    <cellStyle name="7_전자99연간결산진실_5월이동_전사손익_상반기_연간손익정리(서대호)_02년 2월 이동_예상손익_1" xfId="7722"/>
    <cellStyle name="7_전자99연간결산진실_5월이동_전사손익_상반기_연간손익정리(서대호)_02년 3월 이동_예상손익(전사취합)" xfId="7723"/>
    <cellStyle name="7_전자99연간결산진실_5월이동_전사손익_상반기_연간손익정리(서대호)_02년 6월 이동_예상손익(전사취합)" xfId="7724"/>
    <cellStyle name="7_전자99연간결산진실_5월이동_전사손익_상반기_연간손익정리(서대호)_02년간예상손익" xfId="7725"/>
    <cellStyle name="7_전자99연간결산진실_5월이동_전사손익_상반기_연간손익정리(서대호)_04월 이동계획_전사예상pl" xfId="7726"/>
    <cellStyle name="7_전자99연간결산진실_5월이동_전사손익_상반기_연간손익정리(서대호)_1월이동손익_전사예상pl" xfId="7727"/>
    <cellStyle name="7_전자99연간결산진실_5월이동_전사손익_상반기_연간손익정리(서대호)_8월예상" xfId="7728"/>
    <cellStyle name="7_전자99연간결산진실_5월이동_전사손익_상반기_연간손익정리(서대호)_8월예상_01년간예상손익(12월이동)" xfId="7729"/>
    <cellStyle name="7_전자99연간결산진실_5월이동_전사손익_상반기_연간손익정리(서대호)_8월예상_01년간예상손익(12월이동)_2" xfId="7730"/>
    <cellStyle name="7_전자99연간결산진실_5월이동_전사손익_상반기_연간손익정리(서대호)_8월예상_02년 2월 이동_예상손익" xfId="7731"/>
    <cellStyle name="7_전자99연간결산진실_5월이동_전사손익_상반기_연간손익정리(서대호)_8월예상_02년 2월 이동_예상손익_1" xfId="7732"/>
    <cellStyle name="7_전자99연간결산진실_5월이동_전사손익_상반기_연간손익정리(서대호)_8월예상_02년 3월 이동_예상손익(전사취합)" xfId="7733"/>
    <cellStyle name="7_전자99연간결산진실_5월이동_전사손익_상반기_연간손익정리(서대호)_8월예상_02년 6월 이동_예상손익(전사취합)" xfId="7734"/>
    <cellStyle name="7_전자99연간결산진실_5월이동_전사손익_상반기_연간손익정리(서대호)_8월예상_02년간예상손익" xfId="7735"/>
    <cellStyle name="7_전자99연간결산진실_5월이동_전사손익_상반기_연간손익정리(서대호)_8월예상_04월 이동계획_전사예상pl" xfId="7736"/>
    <cellStyle name="7_전자99연간결산진실_5월이동_전사손익_상반기_연간손익정리(서대호)_8월예상_1월이동손익_전사예상pl" xfId="7737"/>
    <cellStyle name="7_전자99연간결산진실_5월이동_전사손익_상반기_연간손익정리(서대호)_8월예상_obu별손익0112이동" xfId="7738"/>
    <cellStyle name="7_전자99연간결산진실_5월이동_전사손익_상반기_연간손익정리(서대호)_obu별손익0112이동" xfId="7739"/>
    <cellStyle name="7_전자99연간결산진실_5월이동_전사손익_상반기_연간손익정리(서대호)_연간예상추정5886_0726" xfId="7740"/>
    <cellStyle name="7_전자99연간결산진실_5월이동_전사손익_상반기_연간손익정리(서대호)_연간예상추정5886_0726_01년간예상손익(12월이동)" xfId="7741"/>
    <cellStyle name="7_전자99연간결산진실_5월이동_전사손익_상반기_연간손익정리(서대호)_연간예상추정5886_0726_01년간예상손익(12월이동)_2" xfId="7742"/>
    <cellStyle name="7_전자99연간결산진실_5월이동_전사손익_상반기_연간손익정리(서대호)_연간예상추정5886_0726_02년 2월 이동_예상손익" xfId="7743"/>
    <cellStyle name="7_전자99연간결산진실_5월이동_전사손익_상반기_연간손익정리(서대호)_연간예상추정5886_0726_02년 2월 이동_예상손익_1" xfId="7744"/>
    <cellStyle name="7_전자99연간결산진실_5월이동_전사손익_상반기_연간손익정리(서대호)_연간예상추정5886_0726_02년 3월 이동_예상손익(전사취합)" xfId="7745"/>
    <cellStyle name="7_전자99연간결산진실_5월이동_전사손익_상반기_연간손익정리(서대호)_연간예상추정5886_0726_02년 6월 이동_예상손익(전사취합)" xfId="7746"/>
    <cellStyle name="7_전자99연간결산진실_5월이동_전사손익_상반기_연간손익정리(서대호)_연간예상추정5886_0726_02년간예상손익" xfId="7747"/>
    <cellStyle name="7_전자99연간결산진실_5월이동_전사손익_상반기_연간손익정리(서대호)_연간예상추정5886_0726_04월 이동계획_전사예상pl" xfId="7748"/>
    <cellStyle name="7_전자99연간결산진실_5월이동_전사손익_상반기_연간손익정리(서대호)_연간예상추정5886_0726_1월이동손익_전사예상pl" xfId="7749"/>
    <cellStyle name="7_전자99연간결산진실_5월이동_전사손익_상반기_연간손익정리(서대호)_연간예상추정5886_0726_obu별손익0112이동" xfId="7750"/>
    <cellStyle name="7_전자99연간결산진실_5월이동_전사손익_연간예상추정5886_0726" xfId="7751"/>
    <cellStyle name="7_전자99연간결산진실_5월이동_전사손익_연간예상추정5886_0726_01년간예상손익(12월이동)" xfId="7752"/>
    <cellStyle name="7_전자99연간결산진실_5월이동_전사손익_연간예상추정5886_0726_01년간예상손익(12월이동)_2" xfId="7753"/>
    <cellStyle name="7_전자99연간결산진실_5월이동_전사손익_연간예상추정5886_0726_02년 2월 이동_예상손익" xfId="7754"/>
    <cellStyle name="7_전자99연간결산진실_5월이동_전사손익_연간예상추정5886_0726_02년 2월 이동_예상손익_1" xfId="7755"/>
    <cellStyle name="7_전자99연간결산진실_5월이동_전사손익_연간예상추정5886_0726_02년 3월 이동_예상손익(전사취합)" xfId="7756"/>
    <cellStyle name="7_전자99연간결산진실_5월이동_전사손익_연간예상추정5886_0726_02년 6월 이동_예상손익(전사취합)" xfId="7757"/>
    <cellStyle name="7_전자99연간결산진실_5월이동_전사손익_연간예상추정5886_0726_02년간예상손익" xfId="7758"/>
    <cellStyle name="7_전자99연간결산진실_5월이동_전사손익_연간예상추정5886_0726_04월 이동계획_전사예상pl" xfId="7759"/>
    <cellStyle name="7_전자99연간결산진실_5월이동_전사손익_연간예상추정5886_0726_1월이동손익_전사예상pl" xfId="7760"/>
    <cellStyle name="7_전자99연간결산진실_5월이동_전사손익_연간예상추정5886_0726_obu별손익0112이동" xfId="7761"/>
    <cellStyle name="7_전자99연간결산진실_8월 예상손익 점검" xfId="7762"/>
    <cellStyle name="7_전자99연간결산진실_8월 예상손익 점검_8월 예상손익 점검" xfId="7763"/>
    <cellStyle name="7_전자99연간결산진실_8월 예상손익 점검_8월 예상손익 점검_DM_환율영향분석_본부" xfId="7764"/>
    <cellStyle name="7_전자99연간결산진실_8월 예상손익 점검_DM_환율영향분석_본부" xfId="7765"/>
    <cellStyle name="7_전자99연간결산진실_8월예상" xfId="7766"/>
    <cellStyle name="7_전자99연간결산진실_8월예상_01년간예상손익(12월이동)" xfId="7767"/>
    <cellStyle name="7_전자99연간결산진실_8월예상_01년간예상손익(12월이동)_2" xfId="7768"/>
    <cellStyle name="7_전자99연간결산진실_8월예상_02년 2월 이동_예상손익" xfId="7769"/>
    <cellStyle name="7_전자99연간결산진실_8월예상_02년 2월 이동_예상손익_1" xfId="7770"/>
    <cellStyle name="7_전자99연간결산진실_8월예상_02년 3월 이동_예상손익(전사취합)" xfId="7771"/>
    <cellStyle name="7_전자99연간결산진실_8월예상_02년 6월 이동_예상손익(전사취합)" xfId="7772"/>
    <cellStyle name="7_전자99연간결산진실_8월예상_02년간예상손익" xfId="7773"/>
    <cellStyle name="7_전자99연간결산진실_8월예상_04월 이동계획_전사예상pl" xfId="7774"/>
    <cellStyle name="7_전자99연간결산진실_8월예상_1월이동손익_전사예상pl" xfId="7775"/>
    <cellStyle name="7_전자99연간결산진실_8월예상_obu별손익0112이동" xfId="7776"/>
    <cellStyle name="7_전자99연간결산진실_8월전사예상(0903)" xfId="7777"/>
    <cellStyle name="7_전자99연간결산진실_8월전사예상(0903)_01년간예상손익(12월이동)" xfId="7778"/>
    <cellStyle name="7_전자99연간결산진실_8월전사예상(0903)_01년간예상손익(12월이동)_2" xfId="7779"/>
    <cellStyle name="7_전자99연간결산진실_8월전사예상(0903)_02년 2월 이동_예상손익" xfId="7780"/>
    <cellStyle name="7_전자99연간결산진실_8월전사예상(0903)_02년 2월 이동_예상손익_1" xfId="7781"/>
    <cellStyle name="7_전자99연간결산진실_8월전사예상(0903)_02년 3월 이동_예상손익(전사취합)" xfId="7782"/>
    <cellStyle name="7_전자99연간결산진실_8월전사예상(0903)_02년 6월 이동_예상손익(전사취합)" xfId="7783"/>
    <cellStyle name="7_전자99연간결산진실_8월전사예상(0903)_02년간예상손익" xfId="7784"/>
    <cellStyle name="7_전자99연간결산진실_8월전사예상(0903)_04월 이동계획_전사예상pl" xfId="7785"/>
    <cellStyle name="7_전자99연간결산진실_8월전사예상(0903)_1월이동손익_전사예상pl" xfId="7786"/>
    <cellStyle name="7_전자99연간결산진실_8월전사예상(0903)_obu별손익0112이동" xfId="7787"/>
    <cellStyle name="7_전자99연간결산진실_9-12월예상pl" xfId="7788"/>
    <cellStyle name="7_전자99연간결산진실_9-12월예상pl_01년간예상손익(12월이동)" xfId="7789"/>
    <cellStyle name="7_전자99연간결산진실_9-12월예상pl_01년간예상손익(12월이동)_2" xfId="7790"/>
    <cellStyle name="7_전자99연간결산진실_9-12월예상pl_02년 2월 이동_예상손익" xfId="7791"/>
    <cellStyle name="7_전자99연간결산진실_9-12월예상pl_02년 2월 이동_예상손익_1" xfId="7792"/>
    <cellStyle name="7_전자99연간결산진실_9-12월예상pl_02년 3월 이동_예상손익(전사취합)" xfId="7793"/>
    <cellStyle name="7_전자99연간결산진실_9-12월예상pl_02년 6월 이동_예상손익(전사취합)" xfId="7794"/>
    <cellStyle name="7_전자99연간결산진실_9-12월예상pl_02년간예상손익" xfId="7795"/>
    <cellStyle name="7_전자99연간결산진실_9-12월예상pl_04월 이동계획_전사예상pl" xfId="7796"/>
    <cellStyle name="7_전자99연간결산진실_9-12월예상pl_1월이동손익_전사예상pl" xfId="7797"/>
    <cellStyle name="7_전자99연간결산진실_9-12월예상pl_obu별손익0112이동" xfId="7798"/>
    <cellStyle name="7_전자99연간결산진실_9월차이동계획(0911)" xfId="7799"/>
    <cellStyle name="7_전자99연간결산진실_9월차이동계획(0911)_01년간예상손익(12월이동)" xfId="7800"/>
    <cellStyle name="7_전자99연간결산진실_9월차이동계획(0911)_01년간예상손익(12월이동)_2" xfId="7801"/>
    <cellStyle name="7_전자99연간결산진실_9월차이동계획(0911)_02년 2월 이동_예상손익" xfId="7802"/>
    <cellStyle name="7_전자99연간결산진실_9월차이동계획(0911)_02년 2월 이동_예상손익_1" xfId="7803"/>
    <cellStyle name="7_전자99연간결산진실_9월차이동계획(0911)_02년 3월 이동_예상손익(전사취합)" xfId="7804"/>
    <cellStyle name="7_전자99연간결산진실_9월차이동계획(0911)_02년 6월 이동_예상손익(전사취합)" xfId="7805"/>
    <cellStyle name="7_전자99연간결산진실_9월차이동계획(0911)_02년간예상손익" xfId="7806"/>
    <cellStyle name="7_전자99연간결산진실_9월차이동계획(0911)_04월 이동계획_전사예상pl" xfId="7807"/>
    <cellStyle name="7_전자99연간결산진실_9월차이동계획(0911)_1월이동손익_전사예상pl" xfId="7808"/>
    <cellStyle name="7_전자99연간결산진실_9월차이동계획(0911)_obu별손익0112이동" xfId="7809"/>
    <cellStyle name="7_전자99연간결산진실_Book1" xfId="7810"/>
    <cellStyle name="7_전자99연간결산진실_DM_환율영향분석_본부" xfId="7811"/>
    <cellStyle name="7_전자99연간결산진실_eva&amp;cash_02~05년 CM" xfId="7812"/>
    <cellStyle name="7_전자99연간결산진실_그룹+업적보고회+보완사항" xfId="7813"/>
    <cellStyle name="7_전자99연간결산진실_본부본사배부_1022FINAL본사비축소_해외법인" xfId="7814"/>
    <cellStyle name="7_전자99연간결산진실_사업계획 양식" xfId="7815"/>
    <cellStyle name="7_전자99연간결산진실_사업계획 양식_02년사업계획양식V1.0_대호(bs수정)" xfId="7816"/>
    <cellStyle name="7_전자99연간결산진실_사업계획 양식_02년사업계획양식V1.0_대호(bs수정)_02년사업계획양식V2.0" xfId="7817"/>
    <cellStyle name="7_전자99연간결산진실_사업계획 양식_02년사업계획양식V1.0_대호(bs수정)_02년사업계획양식V2.0_02년사업계획양식V2.0" xfId="7818"/>
    <cellStyle name="7_전자99연간결산진실_사업계획 양식_02년사업계획양식V1.0_대호(bs수정)_02년사업계획양식V2.0_02년사업계획양식V2.0_02년사업계획양식V3.0" xfId="7819"/>
    <cellStyle name="7_전자99연간결산진실_사업계획 양식_02년사업계획양식V1.0_대호(bs수정)_02년사업계획양식V2.0_02년사업계획양식V2.0_02년사업계획양식V3.0_02년사업계획양식V3.0" xfId="7820"/>
    <cellStyle name="7_전자99연간결산진실_사업계획 양식_02년사업계획양식V1.0_대호(bs수정)_02년사업계획양식V2.0_02년사업계획양식V2.0_02년사업계획양식V3.0_02년사업계획양식V3.0(원본)" xfId="7821"/>
    <cellStyle name="7_전자99연간결산진실_사업계획 양식_02년사업계획양식V1.0_대호(bs수정)_02년사업계획양식V2.0_02년사업계획양식V2.0_02년사업계획양식V3.0_02년사업계획양식V3.0(원본)_1" xfId="7822"/>
    <cellStyle name="7_전자99연간결산진실_사업계획 양식_02년사업계획양식V1.0_대호(bs수정)_02년사업계획양식V2.0_02년사업계획양식V3.0" xfId="7823"/>
    <cellStyle name="7_전자99연간결산진실_사업계획 양식_02년사업계획양식V1.0_대호(bs수정)_02년사업계획양식V2.0_02년사업계획양식V3.0(원본)" xfId="7824"/>
    <cellStyle name="7_전자99연간결산진실_사업계획 양식_02년사업계획양식V1.0_대호(bs수정)_02년사업계획양식V2.0_02년사업계획양식V3.0(원본)_1" xfId="7825"/>
    <cellStyle name="7_전자99연간결산진실_사업계획 양식_02년사업계획양식V1.0_대호(bs수정)_02년사업계획양식V2.0_02년사업계획양식V3.0_02년사업계획양식V3.0" xfId="7826"/>
    <cellStyle name="7_전자99연간결산진실_사업계획 양식_02년사업계획양식V1.0_대호(bs수정)_02년사업계획양식V2.0_02년사업계획양식V3.0_02년사업계획양식V3.0_02년사업계획양식V3.0" xfId="7827"/>
    <cellStyle name="7_전자99연간결산진실_사업계획 양식_02년사업계획양식V1.0_대호(bs수정)_02년사업계획양식V2.0_02년사업계획양식V3.0_02년사업계획양식V3.0_02년사업계획양식V3.0(원본)" xfId="7828"/>
    <cellStyle name="7_전자99연간결산진실_사업계획 양식_02년사업계획양식V1.0_대호(bs수정)_02년사업계획양식V2.0_02년사업계획양식V3.0_02년사업계획양식V3.0_02년사업계획양식V3.0(원본)_1" xfId="7829"/>
    <cellStyle name="7_전자99연간결산진실_사업계획 양식_02년사업계획양식V1.0_대호(bs수정)_02년사업계획양식V3.0" xfId="7830"/>
    <cellStyle name="7_전자99연간결산진실_사업계획 양식_02년사업계획양식V1.0_대호(bs수정)_02년사업계획양식V3.0_02년사업계획양식V3.0" xfId="7831"/>
    <cellStyle name="7_전자99연간결산진실_사업계획 양식_02년사업계획양식V1.0_대호(bs수정)_02년사업계획양식V3.0_02년사업계획양식V3.0(원본)" xfId="7832"/>
    <cellStyle name="7_전자99연간결산진실_사업계획 양식_02년사업계획양식V1.0_대호(bs수정)_02년사업계획양식V3.0_02년사업계획양식V3.0(원본)_1" xfId="7833"/>
    <cellStyle name="7_전자99연간결산진실_사업계획 양식_02년사업계획양식V2.0" xfId="7834"/>
    <cellStyle name="7_전자99연간결산진실_사업계획 양식_02년사업계획양식V2.0_02년사업계획양식V3.0" xfId="7835"/>
    <cellStyle name="7_전자99연간결산진실_사업계획 양식_02년사업계획양식V2.0_02년사업계획양식V3.0_02년사업계획양식V3.0" xfId="7836"/>
    <cellStyle name="7_전자99연간결산진실_사업계획 양식_02년사업계획양식V2.0_02년사업계획양식V3.0_02년사업계획양식V3.0(원본)" xfId="7837"/>
    <cellStyle name="7_전자99연간결산진실_사업계획 양식_02년사업계획양식V2.0_02년사업계획양식V3.0_02년사업계획양식V3.0(원본)_1" xfId="7838"/>
    <cellStyle name="7_전자99연간결산진실_사업계획 양식_02년사업계획양식V3.0" xfId="7839"/>
    <cellStyle name="7_전자99연간결산진실_사업계획 양식_02년사업계획양식V3.0(원본)" xfId="7840"/>
    <cellStyle name="7_전자99연간결산진실_사업계획 양식_02년사업계획양식V3.0(원본)_1" xfId="7841"/>
    <cellStyle name="7_전자99연간결산진실_사업계획 양식_02년사업계획양식V3.0_02년사업계획양식V3.0" xfId="7842"/>
    <cellStyle name="7_전자99연간결산진실_사업계획 양식_02년사업계획양식V3.0_02년사업계획양식V3.0_02년사업계획양식V3.0" xfId="7843"/>
    <cellStyle name="7_전자99연간결산진실_사업계획 양식_02년사업계획양식V3.0_02년사업계획양식V3.0_02년사업계획양식V3.0(원본)" xfId="7844"/>
    <cellStyle name="7_전자99연간결산진실_사업계획 양식_02년사업계획양식V3.0_02년사업계획양식V3.0_02년사업계획양식V3.0(원본)_1" xfId="7845"/>
    <cellStyle name="7_전자99연간결산진실_상반기_연간손익정리(서대호)" xfId="7846"/>
    <cellStyle name="7_전자99연간결산진실_상반기_연간손익정리(서대호)_01년간예상손익(12월이동)" xfId="7847"/>
    <cellStyle name="7_전자99연간결산진실_상반기_연간손익정리(서대호)_01년간예상손익(12월이동)_2" xfId="7848"/>
    <cellStyle name="7_전자99연간결산진실_상반기_연간손익정리(서대호)_01매출손익(6월 실적반영)" xfId="7849"/>
    <cellStyle name="7_전자99연간결산진실_상반기_연간손익정리(서대호)_01매출손익(6월 실적반영)_01년간예상손익(12월이동)" xfId="7850"/>
    <cellStyle name="7_전자99연간결산진실_상반기_연간손익정리(서대호)_01매출손익(6월 실적반영)_01년간예상손익(12월이동)_2" xfId="7851"/>
    <cellStyle name="7_전자99연간결산진실_상반기_연간손익정리(서대호)_01매출손익(6월 실적반영)_02년 2월 이동_예상손익" xfId="7852"/>
    <cellStyle name="7_전자99연간결산진실_상반기_연간손익정리(서대호)_01매출손익(6월 실적반영)_02년 2월 이동_예상손익_1" xfId="7853"/>
    <cellStyle name="7_전자99연간결산진실_상반기_연간손익정리(서대호)_01매출손익(6월 실적반영)_02년 3월 이동_예상손익(전사취합)" xfId="7854"/>
    <cellStyle name="7_전자99연간결산진실_상반기_연간손익정리(서대호)_01매출손익(6월 실적반영)_02년 6월 이동_예상손익(전사취합)" xfId="7855"/>
    <cellStyle name="7_전자99연간결산진실_상반기_연간손익정리(서대호)_01매출손익(6월 실적반영)_02년간예상손익" xfId="7856"/>
    <cellStyle name="7_전자99연간결산진실_상반기_연간손익정리(서대호)_01매출손익(6월 실적반영)_04월 이동계획_전사예상pl" xfId="7857"/>
    <cellStyle name="7_전자99연간결산진실_상반기_연간손익정리(서대호)_01매출손익(6월 실적반영)_1월이동손익_전사예상pl" xfId="7858"/>
    <cellStyle name="7_전자99연간결산진실_상반기_연간손익정리(서대호)_01매출손익(6월 실적반영)_obu별손익0112이동" xfId="7859"/>
    <cellStyle name="7_전자99연간결산진실_상반기_연간손익정리(서대호)_02년 2월 이동_예상손익" xfId="7860"/>
    <cellStyle name="7_전자99연간결산진실_상반기_연간손익정리(서대호)_02년 2월 이동_예상손익_1" xfId="7861"/>
    <cellStyle name="7_전자99연간결산진실_상반기_연간손익정리(서대호)_02년 3월 이동_예상손익(전사취합)" xfId="7862"/>
    <cellStyle name="7_전자99연간결산진실_상반기_연간손익정리(서대호)_02년 6월 이동_예상손익(전사취합)" xfId="7863"/>
    <cellStyle name="7_전자99연간결산진실_상반기_연간손익정리(서대호)_02년간예상손익" xfId="7864"/>
    <cellStyle name="7_전자99연간결산진실_상반기_연간손익정리(서대호)_04월 이동계획_전사예상pl" xfId="7865"/>
    <cellStyle name="7_전자99연간결산진실_상반기_연간손익정리(서대호)_1월이동손익_전사예상pl" xfId="7866"/>
    <cellStyle name="7_전자99연간결산진실_상반기_연간손익정리(서대호)_8월예상" xfId="7867"/>
    <cellStyle name="7_전자99연간결산진실_상반기_연간손익정리(서대호)_8월예상_01년간예상손익(12월이동)" xfId="7868"/>
    <cellStyle name="7_전자99연간결산진실_상반기_연간손익정리(서대호)_8월예상_01년간예상손익(12월이동)_2" xfId="7869"/>
    <cellStyle name="7_전자99연간결산진실_상반기_연간손익정리(서대호)_8월예상_02년 2월 이동_예상손익" xfId="7870"/>
    <cellStyle name="7_전자99연간결산진실_상반기_연간손익정리(서대호)_8월예상_02년 2월 이동_예상손익_1" xfId="7871"/>
    <cellStyle name="7_전자99연간결산진실_상반기_연간손익정리(서대호)_8월예상_02년 3월 이동_예상손익(전사취합)" xfId="7872"/>
    <cellStyle name="7_전자99연간결산진실_상반기_연간손익정리(서대호)_8월예상_02년 6월 이동_예상손익(전사취합)" xfId="7873"/>
    <cellStyle name="7_전자99연간결산진실_상반기_연간손익정리(서대호)_8월예상_02년간예상손익" xfId="7874"/>
    <cellStyle name="7_전자99연간결산진실_상반기_연간손익정리(서대호)_8월예상_04월 이동계획_전사예상pl" xfId="7875"/>
    <cellStyle name="7_전자99연간결산진실_상반기_연간손익정리(서대호)_8월예상_1월이동손익_전사예상pl" xfId="7876"/>
    <cellStyle name="7_전자99연간결산진실_상반기_연간손익정리(서대호)_8월예상_obu별손익0112이동" xfId="7877"/>
    <cellStyle name="7_전자99연간결산진실_상반기_연간손익정리(서대호)_obu별손익0112이동" xfId="7878"/>
    <cellStyle name="7_전자99연간결산진실_상반기_연간손익정리(서대호)_연간예상추정5886_0726" xfId="7879"/>
    <cellStyle name="7_전자99연간결산진실_상반기_연간손익정리(서대호)_연간예상추정5886_0726_01년간예상손익(12월이동)" xfId="7880"/>
    <cellStyle name="7_전자99연간결산진실_상반기_연간손익정리(서대호)_연간예상추정5886_0726_01년간예상손익(12월이동)_2" xfId="7881"/>
    <cellStyle name="7_전자99연간결산진실_상반기_연간손익정리(서대호)_연간예상추정5886_0726_02년 2월 이동_예상손익" xfId="7882"/>
    <cellStyle name="7_전자99연간결산진실_상반기_연간손익정리(서대호)_연간예상추정5886_0726_02년 2월 이동_예상손익_1" xfId="7883"/>
    <cellStyle name="7_전자99연간결산진실_상반기_연간손익정리(서대호)_연간예상추정5886_0726_02년 3월 이동_예상손익(전사취합)" xfId="7884"/>
    <cellStyle name="7_전자99연간결산진실_상반기_연간손익정리(서대호)_연간예상추정5886_0726_02년 6월 이동_예상손익(전사취합)" xfId="7885"/>
    <cellStyle name="7_전자99연간결산진실_상반기_연간손익정리(서대호)_연간예상추정5886_0726_02년간예상손익" xfId="7886"/>
    <cellStyle name="7_전자99연간결산진실_상반기_연간손익정리(서대호)_연간예상추정5886_0726_04월 이동계획_전사예상pl" xfId="7887"/>
    <cellStyle name="7_전자99연간결산진실_상반기_연간손익정리(서대호)_연간예상추정5886_0726_1월이동손익_전사예상pl" xfId="7888"/>
    <cellStyle name="7_전자99연간결산진실_상반기_연간손익정리(서대호)_연간예상추정5886_0726_obu별손익0112이동" xfId="7889"/>
    <cellStyle name="7_전자99연간결산진실_연간예상추정5886_0726" xfId="7890"/>
    <cellStyle name="7_전자99연간결산진실_연간예상추정5886_0726_01년간예상손익(12월이동)" xfId="7891"/>
    <cellStyle name="7_전자99연간결산진실_연간예상추정5886_0726_01년간예상손익(12월이동)_2" xfId="7892"/>
    <cellStyle name="7_전자99연간결산진실_연간예상추정5886_0726_02년 2월 이동_예상손익" xfId="7893"/>
    <cellStyle name="7_전자99연간결산진실_연간예상추정5886_0726_02년 2월 이동_예상손익_1" xfId="7894"/>
    <cellStyle name="7_전자99연간결산진실_연간예상추정5886_0726_02년 3월 이동_예상손익(전사취합)" xfId="7895"/>
    <cellStyle name="7_전자99연간결산진실_연간예상추정5886_0726_02년 6월 이동_예상손익(전사취합)" xfId="7896"/>
    <cellStyle name="7_전자99연간결산진실_연간예상추정5886_0726_02년간예상손익" xfId="7897"/>
    <cellStyle name="7_전자99연간결산진실_연간예상추정5886_0726_04월 이동계획_전사예상pl" xfId="7898"/>
    <cellStyle name="7_전자99연간결산진실_연간예상추정5886_0726_1월이동손익_전사예상pl" xfId="7899"/>
    <cellStyle name="7_전자99연간결산진실_연간예상추정5886_0726_obu별손익0112이동" xfId="7900"/>
    <cellStyle name="A¨­￠￢￠O [0]_SP ⓒo¡Æ￥i￠?ⓒo¡¿ ￠?UAO " xfId="7901"/>
    <cellStyle name="A¨­￠￢￠O_SP ⓒo¡Æ￥i￠?ⓒo¡¿ ￠?UAO " xfId="7902"/>
    <cellStyle name="Accent1" xfId="7903"/>
    <cellStyle name="Accent1 2" xfId="15941"/>
    <cellStyle name="Accent1 3" xfId="15942"/>
    <cellStyle name="Accent2" xfId="7904"/>
    <cellStyle name="Accent2 2" xfId="15943"/>
    <cellStyle name="Accent2 3" xfId="15944"/>
    <cellStyle name="Accent3" xfId="7905"/>
    <cellStyle name="Accent3 2" xfId="15945"/>
    <cellStyle name="Accent3 3" xfId="15946"/>
    <cellStyle name="Accent4" xfId="7906"/>
    <cellStyle name="Accent4 2" xfId="15947"/>
    <cellStyle name="Accent4 3" xfId="15948"/>
    <cellStyle name="Accent5" xfId="7907"/>
    <cellStyle name="Accent5 2" xfId="15949"/>
    <cellStyle name="Accent5 3" xfId="15950"/>
    <cellStyle name="Accent6" xfId="7908"/>
    <cellStyle name="Accent6 2" xfId="15951"/>
    <cellStyle name="Accent6 3" xfId="15952"/>
    <cellStyle name="AeE­ [0]_°u¸RC×¸n_¾÷A¾º° " xfId="7909"/>
    <cellStyle name="AeE­_°u¸RC×¸n_¾÷A¾º° " xfId="7910"/>
    <cellStyle name="AeE¡ⓒ [0]_SP ⓒo¡Æ￥i￠?ⓒo¡¿ ￠?UAO " xfId="7911"/>
    <cellStyle name="AeE¡ⓒ_SP ⓒo¡Æ￥i￠?ⓒo¡¿ ￠?UAO " xfId="7912"/>
    <cellStyle name="ÆÕÍ¨_Sheet1 (2)" xfId="7913"/>
    <cellStyle name="Akcent 1" xfId="15953"/>
    <cellStyle name="Akcent 2" xfId="15954"/>
    <cellStyle name="Akcent 3" xfId="15955"/>
    <cellStyle name="Akcent 4" xfId="15956"/>
    <cellStyle name="Akcent 5" xfId="15957"/>
    <cellStyle name="Akcent 6" xfId="15958"/>
    <cellStyle name="Akzent1" xfId="15959"/>
    <cellStyle name="Akzent2" xfId="15960"/>
    <cellStyle name="Akzent3" xfId="15961"/>
    <cellStyle name="Akzent4" xfId="15962"/>
    <cellStyle name="Akzent5" xfId="15963"/>
    <cellStyle name="Akzent6" xfId="15964"/>
    <cellStyle name="Arial 10" xfId="7914"/>
    <cellStyle name="Arial 12" xfId="7915"/>
    <cellStyle name="AÞ¸¶ [0]_°¡³ª´U " xfId="7916"/>
    <cellStyle name="ÄÞ¸¶ [0]_°ü¸®Ç×¸ñ_¾÷Á¾º° " xfId="7917"/>
    <cellStyle name="AÞ¸¶ [0]_°u¸RBS('98) " xfId="7918"/>
    <cellStyle name="ÄÞ¸¶_´ëÇü»çÃâ" xfId="7919"/>
    <cellStyle name="AÞ¸¶_°u¸RC×¸n_¾÷A¾º° " xfId="7920"/>
    <cellStyle name="Ausgabe" xfId="15965"/>
    <cellStyle name="Bad" xfId="7921"/>
    <cellStyle name="Bad 2" xfId="15966"/>
    <cellStyle name="Bad 3" xfId="15967"/>
    <cellStyle name="Berechnung" xfId="15968"/>
    <cellStyle name="BLUE" xfId="15969"/>
    <cellStyle name="blue$00" xfId="7922"/>
    <cellStyle name="Body" xfId="7923"/>
    <cellStyle name="British Pound" xfId="7924"/>
    <cellStyle name="C¡IA¨ª_¨uOAIA¡AAI ￠?ⓒªAI " xfId="7925"/>
    <cellStyle name="C¡ÍA¨ª_3.¨ùOAI " xfId="7926"/>
    <cellStyle name="C￥AØ_  FAB AIA¤  " xfId="7927"/>
    <cellStyle name="Ç¥ÁØ_´ëÇü»çÃâ" xfId="7928"/>
    <cellStyle name="C￥AØ_¸nA÷2 " xfId="7929"/>
    <cellStyle name="Ç¥ÁØ_Àç°íÀÚ»ê" xfId="7930"/>
    <cellStyle name="Ç§Î»·Ö¸ô[0]_city" xfId="7931"/>
    <cellStyle name="Ç§Î»·Ö¸ô_city" xfId="7932"/>
    <cellStyle name="Calc" xfId="7933"/>
    <cellStyle name="Calc Currency (0)" xfId="7934"/>
    <cellStyle name="Calculation" xfId="7935"/>
    <cellStyle name="Calculation 2" xfId="15970"/>
    <cellStyle name="Calculation 2 2" xfId="15971"/>
    <cellStyle name="Calculation 2 2 2" xfId="15972"/>
    <cellStyle name="Calculation 2 2 3" xfId="15973"/>
    <cellStyle name="Calculation 2 3" xfId="15974"/>
    <cellStyle name="Calculation 2 3 2" xfId="15975"/>
    <cellStyle name="Calculation 2 3 3" xfId="15976"/>
    <cellStyle name="Calculation 2 4" xfId="15977"/>
    <cellStyle name="Calculation 2 4 2" xfId="15978"/>
    <cellStyle name="Calculation 2 4 3" xfId="15979"/>
    <cellStyle name="Calculation 2 5" xfId="15980"/>
    <cellStyle name="Calculation 2 6" xfId="15981"/>
    <cellStyle name="Calculation 3" xfId="15982"/>
    <cellStyle name="Calculation 3 2" xfId="15983"/>
    <cellStyle name="Calculation 3 3" xfId="15984"/>
    <cellStyle name="Calculation 4" xfId="15985"/>
    <cellStyle name="Calculation 4 2" xfId="15986"/>
    <cellStyle name="Calculation 4 3" xfId="15987"/>
    <cellStyle name="Calculation 5" xfId="15988"/>
    <cellStyle name="Calculation 6" xfId="15989"/>
    <cellStyle name="Calculation 7" xfId="15990"/>
    <cellStyle name="Case" xfId="7936"/>
    <cellStyle name="Check Cell" xfId="7937"/>
    <cellStyle name="Check Cell 2" xfId="15991"/>
    <cellStyle name="Check Cell 3" xfId="15992"/>
    <cellStyle name="Comma" xfId="7938"/>
    <cellStyle name="Comma [0]" xfId="7939"/>
    <cellStyle name="Comma [0] 2" xfId="7940"/>
    <cellStyle name="Comma [0] 3" xfId="15993"/>
    <cellStyle name="Comma 2" xfId="15994"/>
    <cellStyle name="Comma 2 2" xfId="15995"/>
    <cellStyle name="Comma 2 3" xfId="15996"/>
    <cellStyle name="Comma 2 4" xfId="15997"/>
    <cellStyle name="Comma 2 5" xfId="15998"/>
    <cellStyle name="Comma 3" xfId="15999"/>
    <cellStyle name="comma zerodec" xfId="7941"/>
    <cellStyle name="Comma_ SG&amp;A Bridge " xfId="7942"/>
    <cellStyle name="Currency" xfId="7943"/>
    <cellStyle name="Currency [0]" xfId="7944"/>
    <cellStyle name="Currency [0] 2" xfId="16000"/>
    <cellStyle name="Currency [0] 3" xfId="16001"/>
    <cellStyle name="Currency 2" xfId="16002"/>
    <cellStyle name="Currency 3" xfId="16003"/>
    <cellStyle name="Currency 4" xfId="16004"/>
    <cellStyle name="Currency_ SG&amp;A Bridge " xfId="7945"/>
    <cellStyle name="Currency1" xfId="7946"/>
    <cellStyle name="Curren啈y [0]_97회비_97회비 (2)_1월회비내역 (2)" xfId="7947"/>
    <cellStyle name="Dane wejściowe" xfId="16005"/>
    <cellStyle name="Dane wyjściowe" xfId="16006"/>
    <cellStyle name="Data" xfId="7948"/>
    <cellStyle name="Dezimal [0]_laroux" xfId="7949"/>
    <cellStyle name="Dezimal_laroux" xfId="7950"/>
    <cellStyle name="Dobre" xfId="16007"/>
    <cellStyle name="Dollar (zero dec)" xfId="7951"/>
    <cellStyle name="Double Accounting" xfId="7952"/>
    <cellStyle name="Eingabe" xfId="16008"/>
    <cellStyle name="Ergebnis" xfId="16009"/>
    <cellStyle name="Erklärender Text" xfId="16010"/>
    <cellStyle name="Estilo 1" xfId="16011"/>
    <cellStyle name="Euro" xfId="7953"/>
    <cellStyle name="Explanatory Text" xfId="7954"/>
    <cellStyle name="Explanatory Text 2" xfId="16012"/>
    <cellStyle name="Explanatory Text 3" xfId="16013"/>
    <cellStyle name="Forecast" xfId="7955"/>
    <cellStyle name="Good" xfId="7956"/>
    <cellStyle name="Good 2" xfId="16014"/>
    <cellStyle name="Good 3" xfId="16015"/>
    <cellStyle name="Grey" xfId="7957"/>
    <cellStyle name="Gut" xfId="16016"/>
    <cellStyle name="Header1" xfId="7958"/>
    <cellStyle name="Header2" xfId="7959"/>
    <cellStyle name="Heading 1" xfId="7960"/>
    <cellStyle name="Heading 1 2" xfId="16017"/>
    <cellStyle name="Heading 1 3" xfId="16018"/>
    <cellStyle name="Heading 2" xfId="7961"/>
    <cellStyle name="Heading 2 2" xfId="16019"/>
    <cellStyle name="Heading 2 3" xfId="16020"/>
    <cellStyle name="Heading 3" xfId="7962"/>
    <cellStyle name="Heading 3 2" xfId="16021"/>
    <cellStyle name="Heading 3 3" xfId="16022"/>
    <cellStyle name="Heading 4" xfId="7963"/>
    <cellStyle name="Heading 4 2" xfId="16023"/>
    <cellStyle name="Heading 4 3" xfId="16024"/>
    <cellStyle name="HeadingS" xfId="7964"/>
    <cellStyle name="History" xfId="7965"/>
    <cellStyle name="Hyperlink" xfId="7966"/>
    <cellStyle name="Hyperlink 2" xfId="16025"/>
    <cellStyle name="Hyperlink 2 2" xfId="16026"/>
    <cellStyle name="Hyperlink 2 2 2" xfId="16027"/>
    <cellStyle name="Hyperlink 2 2 3" xfId="16028"/>
    <cellStyle name="Hyperlink 2 3" xfId="16029"/>
    <cellStyle name="Hyperlink 2 3 2" xfId="16030"/>
    <cellStyle name="Hyperlink 2 4" xfId="16031"/>
    <cellStyle name="Hyperlink 2 5" xfId="16032"/>
    <cellStyle name="Hyperlink 3" xfId="16033"/>
    <cellStyle name="Hyperlink 4" xfId="16034"/>
    <cellStyle name="Input" xfId="7967"/>
    <cellStyle name="Input [yellow]" xfId="7968"/>
    <cellStyle name="Input 2" xfId="16035"/>
    <cellStyle name="Input 2 2" xfId="16036"/>
    <cellStyle name="Input 2 2 2" xfId="16037"/>
    <cellStyle name="Input 2 2 3" xfId="16038"/>
    <cellStyle name="Input 2 3" xfId="16039"/>
    <cellStyle name="Input 2 3 2" xfId="16040"/>
    <cellStyle name="Input 2 3 3" xfId="16041"/>
    <cellStyle name="Input 2 4" xfId="16042"/>
    <cellStyle name="Input 2 4 2" xfId="16043"/>
    <cellStyle name="Input 2 4 3" xfId="16044"/>
    <cellStyle name="Input 2 5" xfId="16045"/>
    <cellStyle name="Input 2 6" xfId="16046"/>
    <cellStyle name="Input 3" xfId="16047"/>
    <cellStyle name="Input 3 2" xfId="16048"/>
    <cellStyle name="Input 3 3" xfId="16049"/>
    <cellStyle name="Input 4" xfId="16050"/>
    <cellStyle name="Input 4 2" xfId="16051"/>
    <cellStyle name="Input 4 3" xfId="16052"/>
    <cellStyle name="Input 5" xfId="16053"/>
    <cellStyle name="Input 6" xfId="16054"/>
    <cellStyle name="Input 7" xfId="16055"/>
    <cellStyle name="Input_`12년 전략CM_투자_2_Reply_0329_TH법인" xfId="7969"/>
    <cellStyle name="Komórka połączona" xfId="16056"/>
    <cellStyle name="Komórka zaznaczona" xfId="16057"/>
    <cellStyle name="Linked" xfId="7970"/>
    <cellStyle name="Linked Cell" xfId="7971"/>
    <cellStyle name="Linked Cell 2" xfId="16058"/>
    <cellStyle name="Linked Cell 3" xfId="16059"/>
    <cellStyle name="MG데이터기본" xfId="16060"/>
    <cellStyle name="MG열기본" xfId="16061"/>
    <cellStyle name="MG열기본 2" xfId="16062"/>
    <cellStyle name="MG열기본 3" xfId="16063"/>
    <cellStyle name="MG행기본" xfId="16064"/>
    <cellStyle name="MG행기본 2" xfId="16065"/>
    <cellStyle name="MG행기본 3" xfId="16066"/>
    <cellStyle name="MG행소계T" xfId="16067"/>
    <cellStyle name="MG행소계T 2" xfId="16068"/>
    <cellStyle name="MG행소계T 3" xfId="16069"/>
    <cellStyle name="MG행총합T" xfId="16070"/>
    <cellStyle name="MG행총합T 2" xfId="16071"/>
    <cellStyle name="MG행총합T 3" xfId="16072"/>
    <cellStyle name="Migliaia_SR - Supply Plan Overview per Customer" xfId="7972"/>
    <cellStyle name="Millares [0]_IMPAGOS" xfId="7973"/>
    <cellStyle name="Millares_IMPAGOS" xfId="7974"/>
    <cellStyle name="Milliers [0]_Arabian Spec" xfId="7975"/>
    <cellStyle name="Milliers_Arabian Spec" xfId="7976"/>
    <cellStyle name="Moeda [0]_~0036490" xfId="7977"/>
    <cellStyle name="Moeda_~0036490" xfId="7978"/>
    <cellStyle name="Mon?aire [0]_Arabian Spec" xfId="7979"/>
    <cellStyle name="Mon?aire_Arabian Spec" xfId="7980"/>
    <cellStyle name="Moneda [0]_IMPAGOS" xfId="7981"/>
    <cellStyle name="Moneda_IMPAGOS" xfId="7982"/>
    <cellStyle name="mtxDtRngStyle" xfId="16073"/>
    <cellStyle name="mtxHdrCenter" xfId="16074"/>
    <cellStyle name="mtxItmCenter" xfId="16075"/>
    <cellStyle name="mtxItmLeft" xfId="16076"/>
    <cellStyle name="mtxPvtDataStyle" xfId="7983"/>
    <cellStyle name="mtxPvtDataStyle 2" xfId="16077"/>
    <cellStyle name="mtxPvtDataStyle 2 2" xfId="16078"/>
    <cellStyle name="mtxPvtDataStyle 2 3" xfId="16079"/>
    <cellStyle name="mtxPvtDataStyle 2 4" xfId="16080"/>
    <cellStyle name="mtxPvtDataStyle 3" xfId="16081"/>
    <cellStyle name="mtxPvtDataStyle 3 2" xfId="16082"/>
    <cellStyle name="mtxPvtDataStyle 3 3" xfId="16083"/>
    <cellStyle name="mtxPvtDataStyle 3 4" xfId="16084"/>
    <cellStyle name="mtxPvtDataStyle 3 5" xfId="16085"/>
    <cellStyle name="mtxPvtDataStyle 4" xfId="16086"/>
    <cellStyle name="mtxPvtDataStyle 5" xfId="16087"/>
    <cellStyle name="mtxPvtDataStyle 6" xfId="16088"/>
    <cellStyle name="mtxPvtDataStyle 7" xfId="16089"/>
    <cellStyle name="mtxPvtDataStyle 8" xfId="16090"/>
    <cellStyle name="mtxTtlCenter" xfId="16091"/>
    <cellStyle name="mtxTtlLeft" xfId="16092"/>
    <cellStyle name="Nagłówek 1" xfId="16093"/>
    <cellStyle name="Nagłówek 2" xfId="16094"/>
    <cellStyle name="Nagłówek 3" xfId="16095"/>
    <cellStyle name="Nagłówek 4" xfId="16096"/>
    <cellStyle name="Neutral" xfId="7984"/>
    <cellStyle name="Neutral 2" xfId="16097"/>
    <cellStyle name="Neutral 3" xfId="16098"/>
    <cellStyle name="Neutralne" xfId="16099"/>
    <cellStyle name="no dec" xfId="7985"/>
    <cellStyle name="Norm੎੎" xfId="16100"/>
    <cellStyle name="Normal - Style1" xfId="7986"/>
    <cellStyle name="Normal - Style2" xfId="7987"/>
    <cellStyle name="Normal - Style3" xfId="7988"/>
    <cellStyle name="Normal - Style4" xfId="7989"/>
    <cellStyle name="Normal - Style5" xfId="7990"/>
    <cellStyle name="Normal - Style6" xfId="7991"/>
    <cellStyle name="Normal - Style7" xfId="7992"/>
    <cellStyle name="Normal - Style8" xfId="7993"/>
    <cellStyle name="Normal 2" xfId="16101"/>
    <cellStyle name="Normal 2 2" xfId="16102"/>
    <cellStyle name="Normal 2 2 2" xfId="16103"/>
    <cellStyle name="Normal 2 2 3" xfId="16104"/>
    <cellStyle name="Normal 2 3" xfId="16105"/>
    <cellStyle name="Normal 2 4" xfId="16106"/>
    <cellStyle name="Normal 2 5" xfId="16107"/>
    <cellStyle name="Normal 2 6" xfId="16108"/>
    <cellStyle name="Normal 2 7" xfId="16109"/>
    <cellStyle name="Normal 3" xfId="16110"/>
    <cellStyle name="Normal 3 2" xfId="16111"/>
    <cellStyle name="Normal 3 3" xfId="16112"/>
    <cellStyle name="Normal 3 4" xfId="16113"/>
    <cellStyle name="Normal 3 5" xfId="16114"/>
    <cellStyle name="Normal 3_★ 4월 HR Fundamental Index 120515_Final" xfId="16115"/>
    <cellStyle name="Normal 4" xfId="16116"/>
    <cellStyle name="Normal_ SG&amp;A Bridge " xfId="7994"/>
    <cellStyle name="Normale_CPT---27 FABIO GOLINELLI TRIAL" xfId="7995"/>
    <cellStyle name="Normalny 2" xfId="16117"/>
    <cellStyle name="Note" xfId="7996"/>
    <cellStyle name="Note 10" xfId="16118"/>
    <cellStyle name="Note 11" xfId="16119"/>
    <cellStyle name="Note 2" xfId="16120"/>
    <cellStyle name="Note 2 10" xfId="16121"/>
    <cellStyle name="Note 2 2" xfId="16122"/>
    <cellStyle name="Note 2 2 2" xfId="16123"/>
    <cellStyle name="Note 2 2 3" xfId="16124"/>
    <cellStyle name="Note 2 3" xfId="16125"/>
    <cellStyle name="Note 2 3 2" xfId="16126"/>
    <cellStyle name="Note 2 3 3" xfId="16127"/>
    <cellStyle name="Note 2 3 4" xfId="16128"/>
    <cellStyle name="Note 2 4" xfId="16129"/>
    <cellStyle name="Note 2 4 2" xfId="16130"/>
    <cellStyle name="Note 2 4 3" xfId="16131"/>
    <cellStyle name="Note 2 4 4" xfId="16132"/>
    <cellStyle name="Note 2 5" xfId="16133"/>
    <cellStyle name="Note 2 5 2" xfId="16134"/>
    <cellStyle name="Note 2 5 3" xfId="16135"/>
    <cellStyle name="Note 2 5 4" xfId="16136"/>
    <cellStyle name="Note 2 6" xfId="16137"/>
    <cellStyle name="Note 2 6 2" xfId="16138"/>
    <cellStyle name="Note 2 6 3" xfId="16139"/>
    <cellStyle name="Note 2 6 4" xfId="16140"/>
    <cellStyle name="Note 2 7" xfId="16141"/>
    <cellStyle name="Note 2 7 2" xfId="16142"/>
    <cellStyle name="Note 2 7 3" xfId="16143"/>
    <cellStyle name="Note 2 7 4" xfId="16144"/>
    <cellStyle name="Note 2 8" xfId="16145"/>
    <cellStyle name="Note 2 8 2" xfId="16146"/>
    <cellStyle name="Note 2 8 3" xfId="16147"/>
    <cellStyle name="Note 2 8 4" xfId="16148"/>
    <cellStyle name="Note 2 9" xfId="16149"/>
    <cellStyle name="Note 3" xfId="16150"/>
    <cellStyle name="Note 3 2" xfId="16151"/>
    <cellStyle name="Note 3 3" xfId="16152"/>
    <cellStyle name="Note 4" xfId="16153"/>
    <cellStyle name="Note 4 2" xfId="16154"/>
    <cellStyle name="Note 4 3" xfId="16155"/>
    <cellStyle name="Note 5" xfId="16156"/>
    <cellStyle name="Note 5 2" xfId="16157"/>
    <cellStyle name="Note 5 3" xfId="16158"/>
    <cellStyle name="Note 5 4" xfId="16159"/>
    <cellStyle name="Note 6" xfId="16160"/>
    <cellStyle name="Note 6 2" xfId="16161"/>
    <cellStyle name="Note 6 3" xfId="16162"/>
    <cellStyle name="Note 6 4" xfId="16163"/>
    <cellStyle name="Note 7" xfId="16164"/>
    <cellStyle name="Note 7 2" xfId="16165"/>
    <cellStyle name="Note 7 3" xfId="16166"/>
    <cellStyle name="Note 7 4" xfId="16167"/>
    <cellStyle name="Note 8" xfId="16168"/>
    <cellStyle name="Note 8 2" xfId="16169"/>
    <cellStyle name="Note 8 3" xfId="16170"/>
    <cellStyle name="Note 8 4" xfId="16171"/>
    <cellStyle name="Note 9" xfId="16172"/>
    <cellStyle name="Notiz" xfId="16173"/>
    <cellStyle name="_x000f_O" xfId="7997"/>
    <cellStyle name="Obliczenia" xfId="16174"/>
    <cellStyle name="Output" xfId="7998"/>
    <cellStyle name="Output 2" xfId="16175"/>
    <cellStyle name="Output 2 2" xfId="16176"/>
    <cellStyle name="Output 2 2 2" xfId="16177"/>
    <cellStyle name="Output 2 2 3" xfId="16178"/>
    <cellStyle name="Output 2 3" xfId="16179"/>
    <cellStyle name="Output 2 3 2" xfId="16180"/>
    <cellStyle name="Output 2 3 3" xfId="16181"/>
    <cellStyle name="Output 2 4" xfId="16182"/>
    <cellStyle name="Output 2 4 2" xfId="16183"/>
    <cellStyle name="Output 2 4 3" xfId="16184"/>
    <cellStyle name="Output 2 5" xfId="16185"/>
    <cellStyle name="Output 2 6" xfId="16186"/>
    <cellStyle name="Output 3" xfId="16187"/>
    <cellStyle name="Output 3 2" xfId="16188"/>
    <cellStyle name="Output 3 3" xfId="16189"/>
    <cellStyle name="Output 4" xfId="16190"/>
    <cellStyle name="Output 5" xfId="16191"/>
    <cellStyle name="Output 6" xfId="16192"/>
    <cellStyle name="Percent" xfId="7999"/>
    <cellStyle name="Percent [2]" xfId="8000"/>
    <cellStyle name="Percent 2" xfId="16193"/>
    <cellStyle name="Percent 2 2" xfId="16194"/>
    <cellStyle name="Percent 2 3" xfId="16195"/>
    <cellStyle name="Percent 2 4" xfId="16196"/>
    <cellStyle name="Percent 2 5" xfId="16197"/>
    <cellStyle name="Percent 3" xfId="16198"/>
    <cellStyle name="Percent 4" xfId="16199"/>
    <cellStyle name="Percent_@DDM_04전략보고_재무지표_v9_final_인도수정" xfId="8001"/>
    <cellStyle name="Placeholder" xfId="8002"/>
    <cellStyle name="Procentowy 2" xfId="16200"/>
    <cellStyle name="Procentowy 3" xfId="16201"/>
    <cellStyle name="RED" xfId="16202"/>
    <cellStyle name="Regular Area" xfId="8003"/>
    <cellStyle name="SAPBorder" xfId="16203"/>
    <cellStyle name="SAPBorder 2" xfId="16204"/>
    <cellStyle name="SAPBorder 2 2" xfId="16205"/>
    <cellStyle name="SAPBorder 2 3" xfId="16206"/>
    <cellStyle name="SAPBorder 2 4" xfId="16207"/>
    <cellStyle name="SAPBorder 3" xfId="16208"/>
    <cellStyle name="SAPBorder 3 2" xfId="16209"/>
    <cellStyle name="SAPBorder 3 2 2" xfId="16210"/>
    <cellStyle name="SAPBorder 3 2 3" xfId="16211"/>
    <cellStyle name="SAPBorder 3 2 4" xfId="16212"/>
    <cellStyle name="SAPBorder 3 2 5" xfId="16213"/>
    <cellStyle name="SAPBorder 3 3" xfId="16214"/>
    <cellStyle name="SAPBorder 3 3 2" xfId="16215"/>
    <cellStyle name="SAPBorder 3 3 3" xfId="16216"/>
    <cellStyle name="SAPBorder 3 3 4" xfId="16217"/>
    <cellStyle name="SAPBorder 3 3 5" xfId="16218"/>
    <cellStyle name="SAPBorder 3 4" xfId="16219"/>
    <cellStyle name="SAPBorder 3 4 2" xfId="16220"/>
    <cellStyle name="SAPBorder 3 4 3" xfId="16221"/>
    <cellStyle name="SAPBorder 3 4 4" xfId="16222"/>
    <cellStyle name="SAPBorder 3 4 5" xfId="16223"/>
    <cellStyle name="SAPBorder 3 5" xfId="16224"/>
    <cellStyle name="SAPBorder 3 6" xfId="16225"/>
    <cellStyle name="SAPBorder 3 7" xfId="16226"/>
    <cellStyle name="SAPBorder 3 8" xfId="16227"/>
    <cellStyle name="SAPBorder 4" xfId="16228"/>
    <cellStyle name="SAPBorder 5" xfId="16229"/>
    <cellStyle name="SAPDataCell" xfId="16230"/>
    <cellStyle name="SAPDataCell 10" xfId="16231"/>
    <cellStyle name="SAPDataCell 11" xfId="16232"/>
    <cellStyle name="SAPDataCell 2" xfId="16233"/>
    <cellStyle name="SAPDataCell 2 2" xfId="16234"/>
    <cellStyle name="SAPDataCell 3" xfId="16235"/>
    <cellStyle name="SAPDataCell 3 10" xfId="16236"/>
    <cellStyle name="SAPDataCell 3 11" xfId="16237"/>
    <cellStyle name="SAPDataCell 3 12" xfId="16238"/>
    <cellStyle name="SAPDataCell 3 13" xfId="16239"/>
    <cellStyle name="SAPDataCell 3 2" xfId="16240"/>
    <cellStyle name="SAPDataCell 3 2 2" xfId="16241"/>
    <cellStyle name="SAPDataCell 3 2 3" xfId="16242"/>
    <cellStyle name="SAPDataCell 3 2 4" xfId="16243"/>
    <cellStyle name="SAPDataCell 3 2 5" xfId="16244"/>
    <cellStyle name="SAPDataCell 3 2 6" xfId="16245"/>
    <cellStyle name="SAPDataCell 3 3" xfId="16246"/>
    <cellStyle name="SAPDataCell 3 3 2" xfId="16247"/>
    <cellStyle name="SAPDataCell 3 3 3" xfId="16248"/>
    <cellStyle name="SAPDataCell 3 3 4" xfId="16249"/>
    <cellStyle name="SAPDataCell 3 3 5" xfId="16250"/>
    <cellStyle name="SAPDataCell 3 3 6" xfId="16251"/>
    <cellStyle name="SAPDataCell 3 4" xfId="16252"/>
    <cellStyle name="SAPDataCell 3 4 2" xfId="16253"/>
    <cellStyle name="SAPDataCell 3 4 3" xfId="16254"/>
    <cellStyle name="SAPDataCell 3 4 4" xfId="16255"/>
    <cellStyle name="SAPDataCell 3 4 5" xfId="16256"/>
    <cellStyle name="SAPDataCell 3 4 6" xfId="16257"/>
    <cellStyle name="SAPDataCell 3 5" xfId="16258"/>
    <cellStyle name="SAPDataCell 3 5 2" xfId="16259"/>
    <cellStyle name="SAPDataCell 3 5 3" xfId="16260"/>
    <cellStyle name="SAPDataCell 3 5 4" xfId="16261"/>
    <cellStyle name="SAPDataCell 3 6" xfId="16262"/>
    <cellStyle name="SAPDataCell 3 6 2" xfId="16263"/>
    <cellStyle name="SAPDataCell 3 6 3" xfId="16264"/>
    <cellStyle name="SAPDataCell 3 6 4" xfId="16265"/>
    <cellStyle name="SAPDataCell 3 7" xfId="16266"/>
    <cellStyle name="SAPDataCell 3 7 2" xfId="16267"/>
    <cellStyle name="SAPDataCell 3 7 3" xfId="16268"/>
    <cellStyle name="SAPDataCell 3 7 4" xfId="16269"/>
    <cellStyle name="SAPDataCell 3 8" xfId="16270"/>
    <cellStyle name="SAPDataCell 3 8 2" xfId="16271"/>
    <cellStyle name="SAPDataCell 3 8 3" xfId="16272"/>
    <cellStyle name="SAPDataCell 3 8 4" xfId="16273"/>
    <cellStyle name="SAPDataCell 3 9" xfId="16274"/>
    <cellStyle name="SAPDataCell 4" xfId="16275"/>
    <cellStyle name="SAPDataCell 4 2" xfId="16276"/>
    <cellStyle name="SAPDataCell 4 3" xfId="16277"/>
    <cellStyle name="SAPDataCell 5" xfId="16278"/>
    <cellStyle name="SAPDataCell 5 2" xfId="16279"/>
    <cellStyle name="SAPDataCell 5 3" xfId="16280"/>
    <cellStyle name="SAPDataCell 5 4" xfId="16281"/>
    <cellStyle name="SAPDataCell 6" xfId="16282"/>
    <cellStyle name="SAPDataCell 6 2" xfId="16283"/>
    <cellStyle name="SAPDataCell 6 3" xfId="16284"/>
    <cellStyle name="SAPDataCell 6 4" xfId="16285"/>
    <cellStyle name="SAPDataCell 7" xfId="16286"/>
    <cellStyle name="SAPDataCell 7 2" xfId="16287"/>
    <cellStyle name="SAPDataCell 7 3" xfId="16288"/>
    <cellStyle name="SAPDataCell 7 4" xfId="16289"/>
    <cellStyle name="SAPDataCell 8" xfId="16290"/>
    <cellStyle name="SAPDataCell 8 2" xfId="16291"/>
    <cellStyle name="SAPDataCell 8 3" xfId="16292"/>
    <cellStyle name="SAPDataCell 8 4" xfId="16293"/>
    <cellStyle name="SAPDataCell 9" xfId="16294"/>
    <cellStyle name="SAPDataTotalCell" xfId="16295"/>
    <cellStyle name="SAPDataTotalCell 2" xfId="16296"/>
    <cellStyle name="SAPDataTotalCell 2 2" xfId="16297"/>
    <cellStyle name="SAPDataTotalCell 3" xfId="16298"/>
    <cellStyle name="SAPDataTotalCell 3 2" xfId="16299"/>
    <cellStyle name="SAPDataTotalCell 3 2 2" xfId="16300"/>
    <cellStyle name="SAPDataTotalCell 3 2 3" xfId="16301"/>
    <cellStyle name="SAPDataTotalCell 3 2 4" xfId="16302"/>
    <cellStyle name="SAPDataTotalCell 3 2 5" xfId="16303"/>
    <cellStyle name="SAPDataTotalCell 3 3" xfId="16304"/>
    <cellStyle name="SAPDataTotalCell 3 3 2" xfId="16305"/>
    <cellStyle name="SAPDataTotalCell 3 3 3" xfId="16306"/>
    <cellStyle name="SAPDataTotalCell 3 3 4" xfId="16307"/>
    <cellStyle name="SAPDataTotalCell 3 4" xfId="16308"/>
    <cellStyle name="SAPDataTotalCell 3 4 2" xfId="16309"/>
    <cellStyle name="SAPDataTotalCell 3 4 3" xfId="16310"/>
    <cellStyle name="SAPDataTotalCell 3 4 4" xfId="16311"/>
    <cellStyle name="SAPDataTotalCell 3 5" xfId="16312"/>
    <cellStyle name="SAPDataTotalCell 3 6" xfId="16313"/>
    <cellStyle name="SAPDataTotalCell 3 7" xfId="16314"/>
    <cellStyle name="SAPDataTotalCell 3 8" xfId="16315"/>
    <cellStyle name="SAPDataTotalCell 4" xfId="16316"/>
    <cellStyle name="SAPDataTotalCell 5" xfId="16317"/>
    <cellStyle name="SAPDimensionCell" xfId="16318"/>
    <cellStyle name="SAPDimensionCell 2" xfId="16319"/>
    <cellStyle name="SAPDimensionCell 2 2" xfId="16320"/>
    <cellStyle name="SAPDimensionCell 2 3" xfId="16321"/>
    <cellStyle name="SAPDimensionCell 2 4" xfId="16322"/>
    <cellStyle name="SAPDimensionCell 3" xfId="16323"/>
    <cellStyle name="SAPDimensionCell 3 2" xfId="16324"/>
    <cellStyle name="SAPDimensionCell 3 2 2" xfId="16325"/>
    <cellStyle name="SAPDimensionCell 3 2 3" xfId="16326"/>
    <cellStyle name="SAPDimensionCell 3 2 4" xfId="16327"/>
    <cellStyle name="SAPDimensionCell 3 2 5" xfId="16328"/>
    <cellStyle name="SAPDimensionCell 3 3" xfId="16329"/>
    <cellStyle name="SAPDimensionCell 3 3 2" xfId="16330"/>
    <cellStyle name="SAPDimensionCell 3 3 3" xfId="16331"/>
    <cellStyle name="SAPDimensionCell 3 3 4" xfId="16332"/>
    <cellStyle name="SAPDimensionCell 3 3 5" xfId="16333"/>
    <cellStyle name="SAPDimensionCell 3 4" xfId="16334"/>
    <cellStyle name="SAPDimensionCell 3 4 2" xfId="16335"/>
    <cellStyle name="SAPDimensionCell 3 4 3" xfId="16336"/>
    <cellStyle name="SAPDimensionCell 3 4 4" xfId="16337"/>
    <cellStyle name="SAPDimensionCell 3 4 5" xfId="16338"/>
    <cellStyle name="SAPDimensionCell 3 5" xfId="16339"/>
    <cellStyle name="SAPDimensionCell 3 6" xfId="16340"/>
    <cellStyle name="SAPDimensionCell 3 7" xfId="16341"/>
    <cellStyle name="SAPDimensionCell 3 8" xfId="16342"/>
    <cellStyle name="SAPDimensionCell 4" xfId="16343"/>
    <cellStyle name="SAPDimensionCell 5" xfId="16344"/>
    <cellStyle name="SAPEditableDataCell" xfId="16345"/>
    <cellStyle name="SAPEditableDataCell 2" xfId="16346"/>
    <cellStyle name="SAPEditableDataCell 2 2" xfId="16347"/>
    <cellStyle name="SAPEditableDataCell 2 3" xfId="16348"/>
    <cellStyle name="SAPEditableDataCell 2 4" xfId="16349"/>
    <cellStyle name="SAPEditableDataCell 3" xfId="16350"/>
    <cellStyle name="SAPEditableDataCell 3 2" xfId="16351"/>
    <cellStyle name="SAPEditableDataCell 3 2 2" xfId="16352"/>
    <cellStyle name="SAPEditableDataCell 3 2 3" xfId="16353"/>
    <cellStyle name="SAPEditableDataCell 3 2 4" xfId="16354"/>
    <cellStyle name="SAPEditableDataCell 3 2 5" xfId="16355"/>
    <cellStyle name="SAPEditableDataCell 3 3" xfId="16356"/>
    <cellStyle name="SAPEditableDataCell 3 3 2" xfId="16357"/>
    <cellStyle name="SAPEditableDataCell 3 3 3" xfId="16358"/>
    <cellStyle name="SAPEditableDataCell 3 3 4" xfId="16359"/>
    <cellStyle name="SAPEditableDataCell 3 3 5" xfId="16360"/>
    <cellStyle name="SAPEditableDataCell 3 4" xfId="16361"/>
    <cellStyle name="SAPEditableDataCell 3 4 2" xfId="16362"/>
    <cellStyle name="SAPEditableDataCell 3 4 3" xfId="16363"/>
    <cellStyle name="SAPEditableDataCell 3 4 4" xfId="16364"/>
    <cellStyle name="SAPEditableDataCell 3 4 5" xfId="16365"/>
    <cellStyle name="SAPEditableDataCell 3 5" xfId="16366"/>
    <cellStyle name="SAPEditableDataCell 3 6" xfId="16367"/>
    <cellStyle name="SAPEditableDataCell 3 7" xfId="16368"/>
    <cellStyle name="SAPEditableDataCell 3 8" xfId="16369"/>
    <cellStyle name="SAPEditableDataCell 4" xfId="16370"/>
    <cellStyle name="SAPEditableDataCell 5" xfId="16371"/>
    <cellStyle name="SAPEditableDataTotalCell" xfId="16372"/>
    <cellStyle name="SAPEditableDataTotalCell 2" xfId="16373"/>
    <cellStyle name="SAPEditableDataTotalCell 2 2" xfId="16374"/>
    <cellStyle name="SAPEditableDataTotalCell 2 3" xfId="16375"/>
    <cellStyle name="SAPEditableDataTotalCell 2 4" xfId="16376"/>
    <cellStyle name="SAPEditableDataTotalCell 3" xfId="16377"/>
    <cellStyle name="SAPEditableDataTotalCell 3 2" xfId="16378"/>
    <cellStyle name="SAPEditableDataTotalCell 3 2 2" xfId="16379"/>
    <cellStyle name="SAPEditableDataTotalCell 3 2 3" xfId="16380"/>
    <cellStyle name="SAPEditableDataTotalCell 3 2 4" xfId="16381"/>
    <cellStyle name="SAPEditableDataTotalCell 3 2 5" xfId="16382"/>
    <cellStyle name="SAPEditableDataTotalCell 3 3" xfId="16383"/>
    <cellStyle name="SAPEditableDataTotalCell 3 3 2" xfId="16384"/>
    <cellStyle name="SAPEditableDataTotalCell 3 3 3" xfId="16385"/>
    <cellStyle name="SAPEditableDataTotalCell 3 3 4" xfId="16386"/>
    <cellStyle name="SAPEditableDataTotalCell 3 3 5" xfId="16387"/>
    <cellStyle name="SAPEditableDataTotalCell 3 4" xfId="16388"/>
    <cellStyle name="SAPEditableDataTotalCell 3 4 2" xfId="16389"/>
    <cellStyle name="SAPEditableDataTotalCell 3 4 3" xfId="16390"/>
    <cellStyle name="SAPEditableDataTotalCell 3 4 4" xfId="16391"/>
    <cellStyle name="SAPEditableDataTotalCell 3 4 5" xfId="16392"/>
    <cellStyle name="SAPEditableDataTotalCell 3 5" xfId="16393"/>
    <cellStyle name="SAPEditableDataTotalCell 3 6" xfId="16394"/>
    <cellStyle name="SAPEditableDataTotalCell 3 7" xfId="16395"/>
    <cellStyle name="SAPEditableDataTotalCell 3 8" xfId="16396"/>
    <cellStyle name="SAPEditableDataTotalCell 4" xfId="16397"/>
    <cellStyle name="SAPEditableDataTotalCell 5" xfId="16398"/>
    <cellStyle name="SAPEmphasized" xfId="16399"/>
    <cellStyle name="SAPEmphasized 10" xfId="16400"/>
    <cellStyle name="SAPEmphasized 2" xfId="16401"/>
    <cellStyle name="SAPEmphasized 2 2" xfId="16402"/>
    <cellStyle name="SAPEmphasized 2 3" xfId="16403"/>
    <cellStyle name="SAPEmphasized 2 4" xfId="16404"/>
    <cellStyle name="SAPEmphasized 3" xfId="16405"/>
    <cellStyle name="SAPEmphasized 3 10" xfId="16406"/>
    <cellStyle name="SAPEmphasized 3 11" xfId="16407"/>
    <cellStyle name="SAPEmphasized 3 12" xfId="16408"/>
    <cellStyle name="SAPEmphasized 3 13" xfId="16409"/>
    <cellStyle name="SAPEmphasized 3 2" xfId="16410"/>
    <cellStyle name="SAPEmphasized 3 2 2" xfId="16411"/>
    <cellStyle name="SAPEmphasized 3 2 3" xfId="16412"/>
    <cellStyle name="SAPEmphasized 3 2 4" xfId="16413"/>
    <cellStyle name="SAPEmphasized 3 2 5" xfId="16414"/>
    <cellStyle name="SAPEmphasized 3 2 6" xfId="16415"/>
    <cellStyle name="SAPEmphasized 3 3" xfId="16416"/>
    <cellStyle name="SAPEmphasized 3 3 2" xfId="16417"/>
    <cellStyle name="SAPEmphasized 3 3 3" xfId="16418"/>
    <cellStyle name="SAPEmphasized 3 3 4" xfId="16419"/>
    <cellStyle name="SAPEmphasized 3 3 5" xfId="16420"/>
    <cellStyle name="SAPEmphasized 3 3 6" xfId="16421"/>
    <cellStyle name="SAPEmphasized 3 4" xfId="16422"/>
    <cellStyle name="SAPEmphasized 3 4 2" xfId="16423"/>
    <cellStyle name="SAPEmphasized 3 4 3" xfId="16424"/>
    <cellStyle name="SAPEmphasized 3 4 4" xfId="16425"/>
    <cellStyle name="SAPEmphasized 3 4 5" xfId="16426"/>
    <cellStyle name="SAPEmphasized 3 4 6" xfId="16427"/>
    <cellStyle name="SAPEmphasized 3 5" xfId="16428"/>
    <cellStyle name="SAPEmphasized 3 5 2" xfId="16429"/>
    <cellStyle name="SAPEmphasized 3 5 3" xfId="16430"/>
    <cellStyle name="SAPEmphasized 3 5 4" xfId="16431"/>
    <cellStyle name="SAPEmphasized 3 6" xfId="16432"/>
    <cellStyle name="SAPEmphasized 3 6 2" xfId="16433"/>
    <cellStyle name="SAPEmphasized 3 6 3" xfId="16434"/>
    <cellStyle name="SAPEmphasized 3 6 4" xfId="16435"/>
    <cellStyle name="SAPEmphasized 3 7" xfId="16436"/>
    <cellStyle name="SAPEmphasized 3 7 2" xfId="16437"/>
    <cellStyle name="SAPEmphasized 3 7 3" xfId="16438"/>
    <cellStyle name="SAPEmphasized 3 7 4" xfId="16439"/>
    <cellStyle name="SAPEmphasized 3 8" xfId="16440"/>
    <cellStyle name="SAPEmphasized 3 8 2" xfId="16441"/>
    <cellStyle name="SAPEmphasized 3 8 3" xfId="16442"/>
    <cellStyle name="SAPEmphasized 3 8 4" xfId="16443"/>
    <cellStyle name="SAPEmphasized 3 9" xfId="16444"/>
    <cellStyle name="SAPEmphasized 3 9 2" xfId="16445"/>
    <cellStyle name="SAPEmphasized 3 9 3" xfId="16446"/>
    <cellStyle name="SAPEmphasized 3 9 4" xfId="16447"/>
    <cellStyle name="SAPEmphasized 4" xfId="16448"/>
    <cellStyle name="SAPEmphasized 4 2" xfId="16449"/>
    <cellStyle name="SAPEmphasized 4 3" xfId="16450"/>
    <cellStyle name="SAPEmphasized 4 4" xfId="16451"/>
    <cellStyle name="SAPEmphasized 5" xfId="16452"/>
    <cellStyle name="SAPEmphasized 5 2" xfId="16453"/>
    <cellStyle name="SAPEmphasized 5 3" xfId="16454"/>
    <cellStyle name="SAPEmphasized 5 4" xfId="16455"/>
    <cellStyle name="SAPEmphasized 6" xfId="16456"/>
    <cellStyle name="SAPEmphasized 6 2" xfId="16457"/>
    <cellStyle name="SAPEmphasized 6 3" xfId="16458"/>
    <cellStyle name="SAPEmphasized 6 4" xfId="16459"/>
    <cellStyle name="SAPEmphasized 7" xfId="16460"/>
    <cellStyle name="SAPEmphasized 7 2" xfId="16461"/>
    <cellStyle name="SAPEmphasized 7 3" xfId="16462"/>
    <cellStyle name="SAPEmphasized 7 4" xfId="16463"/>
    <cellStyle name="SAPEmphasized 8" xfId="16464"/>
    <cellStyle name="SAPEmphasized 8 2" xfId="16465"/>
    <cellStyle name="SAPEmphasized 8 3" xfId="16466"/>
    <cellStyle name="SAPEmphasized 8 4" xfId="16467"/>
    <cellStyle name="SAPEmphasized 9" xfId="16468"/>
    <cellStyle name="SAPEmphasizedTotal" xfId="16469"/>
    <cellStyle name="SAPEmphasizedTotal 2" xfId="16470"/>
    <cellStyle name="SAPEmphasizedTotal 3" xfId="16471"/>
    <cellStyle name="SAPEmphasizedTotal 4" xfId="16472"/>
    <cellStyle name="SAPExceptionLevel1" xfId="16473"/>
    <cellStyle name="SAPExceptionLevel1 2" xfId="16474"/>
    <cellStyle name="SAPExceptionLevel1 2 2" xfId="16475"/>
    <cellStyle name="SAPExceptionLevel1 3" xfId="16476"/>
    <cellStyle name="SAPExceptionLevel1 3 2" xfId="16477"/>
    <cellStyle name="SAPExceptionLevel1 3 2 2" xfId="16478"/>
    <cellStyle name="SAPExceptionLevel1 3 2 3" xfId="16479"/>
    <cellStyle name="SAPExceptionLevel1 3 2 4" xfId="16480"/>
    <cellStyle name="SAPExceptionLevel1 3 2 5" xfId="16481"/>
    <cellStyle name="SAPExceptionLevel1 3 3" xfId="16482"/>
    <cellStyle name="SAPExceptionLevel1 3 3 2" xfId="16483"/>
    <cellStyle name="SAPExceptionLevel1 3 3 3" xfId="16484"/>
    <cellStyle name="SAPExceptionLevel1 3 3 4" xfId="16485"/>
    <cellStyle name="SAPExceptionLevel1 3 4" xfId="16486"/>
    <cellStyle name="SAPExceptionLevel1 3 4 2" xfId="16487"/>
    <cellStyle name="SAPExceptionLevel1 3 4 3" xfId="16488"/>
    <cellStyle name="SAPExceptionLevel1 3 4 4" xfId="16489"/>
    <cellStyle name="SAPExceptionLevel1 3 5" xfId="16490"/>
    <cellStyle name="SAPExceptionLevel1 3 6" xfId="16491"/>
    <cellStyle name="SAPExceptionLevel1 3 7" xfId="16492"/>
    <cellStyle name="SAPExceptionLevel1 3 8" xfId="16493"/>
    <cellStyle name="SAPExceptionLevel1 4" xfId="16494"/>
    <cellStyle name="SAPExceptionLevel1 5" xfId="16495"/>
    <cellStyle name="SAPExceptionLevel2" xfId="16496"/>
    <cellStyle name="SAPExceptionLevel2 2" xfId="16497"/>
    <cellStyle name="SAPExceptionLevel2 2 2" xfId="16498"/>
    <cellStyle name="SAPExceptionLevel2 3" xfId="16499"/>
    <cellStyle name="SAPExceptionLevel2 3 2" xfId="16500"/>
    <cellStyle name="SAPExceptionLevel2 3 2 2" xfId="16501"/>
    <cellStyle name="SAPExceptionLevel2 3 2 3" xfId="16502"/>
    <cellStyle name="SAPExceptionLevel2 3 2 4" xfId="16503"/>
    <cellStyle name="SAPExceptionLevel2 3 2 5" xfId="16504"/>
    <cellStyle name="SAPExceptionLevel2 3 3" xfId="16505"/>
    <cellStyle name="SAPExceptionLevel2 3 3 2" xfId="16506"/>
    <cellStyle name="SAPExceptionLevel2 3 3 3" xfId="16507"/>
    <cellStyle name="SAPExceptionLevel2 3 3 4" xfId="16508"/>
    <cellStyle name="SAPExceptionLevel2 3 4" xfId="16509"/>
    <cellStyle name="SAPExceptionLevel2 3 4 2" xfId="16510"/>
    <cellStyle name="SAPExceptionLevel2 3 4 3" xfId="16511"/>
    <cellStyle name="SAPExceptionLevel2 3 4 4" xfId="16512"/>
    <cellStyle name="SAPExceptionLevel2 3 5" xfId="16513"/>
    <cellStyle name="SAPExceptionLevel2 3 6" xfId="16514"/>
    <cellStyle name="SAPExceptionLevel2 3 7" xfId="16515"/>
    <cellStyle name="SAPExceptionLevel2 3 8" xfId="16516"/>
    <cellStyle name="SAPExceptionLevel2 4" xfId="16517"/>
    <cellStyle name="SAPExceptionLevel2 5" xfId="16518"/>
    <cellStyle name="SAPExceptionLevel3" xfId="16519"/>
    <cellStyle name="SAPExceptionLevel3 2" xfId="16520"/>
    <cellStyle name="SAPExceptionLevel3 2 2" xfId="16521"/>
    <cellStyle name="SAPExceptionLevel3 3" xfId="16522"/>
    <cellStyle name="SAPExceptionLevel3 3 2" xfId="16523"/>
    <cellStyle name="SAPExceptionLevel3 3 2 2" xfId="16524"/>
    <cellStyle name="SAPExceptionLevel3 3 2 3" xfId="16525"/>
    <cellStyle name="SAPExceptionLevel3 3 2 4" xfId="16526"/>
    <cellStyle name="SAPExceptionLevel3 3 2 5" xfId="16527"/>
    <cellStyle name="SAPExceptionLevel3 3 3" xfId="16528"/>
    <cellStyle name="SAPExceptionLevel3 3 3 2" xfId="16529"/>
    <cellStyle name="SAPExceptionLevel3 3 3 3" xfId="16530"/>
    <cellStyle name="SAPExceptionLevel3 3 3 4" xfId="16531"/>
    <cellStyle name="SAPExceptionLevel3 3 4" xfId="16532"/>
    <cellStyle name="SAPExceptionLevel3 3 4 2" xfId="16533"/>
    <cellStyle name="SAPExceptionLevel3 3 4 3" xfId="16534"/>
    <cellStyle name="SAPExceptionLevel3 3 4 4" xfId="16535"/>
    <cellStyle name="SAPExceptionLevel3 3 5" xfId="16536"/>
    <cellStyle name="SAPExceptionLevel3 3 6" xfId="16537"/>
    <cellStyle name="SAPExceptionLevel3 3 7" xfId="16538"/>
    <cellStyle name="SAPExceptionLevel3 3 8" xfId="16539"/>
    <cellStyle name="SAPExceptionLevel3 4" xfId="16540"/>
    <cellStyle name="SAPExceptionLevel3 5" xfId="16541"/>
    <cellStyle name="SAPExceptionLevel4" xfId="16542"/>
    <cellStyle name="SAPExceptionLevel4 2" xfId="16543"/>
    <cellStyle name="SAPExceptionLevel4 2 2" xfId="16544"/>
    <cellStyle name="SAPExceptionLevel4 3" xfId="16545"/>
    <cellStyle name="SAPExceptionLevel4 3 2" xfId="16546"/>
    <cellStyle name="SAPExceptionLevel4 3 2 2" xfId="16547"/>
    <cellStyle name="SAPExceptionLevel4 3 2 3" xfId="16548"/>
    <cellStyle name="SAPExceptionLevel4 3 2 4" xfId="16549"/>
    <cellStyle name="SAPExceptionLevel4 3 2 5" xfId="16550"/>
    <cellStyle name="SAPExceptionLevel4 3 3" xfId="16551"/>
    <cellStyle name="SAPExceptionLevel4 3 3 2" xfId="16552"/>
    <cellStyle name="SAPExceptionLevel4 3 3 3" xfId="16553"/>
    <cellStyle name="SAPExceptionLevel4 3 3 4" xfId="16554"/>
    <cellStyle name="SAPExceptionLevel4 3 4" xfId="16555"/>
    <cellStyle name="SAPExceptionLevel4 3 4 2" xfId="16556"/>
    <cellStyle name="SAPExceptionLevel4 3 4 3" xfId="16557"/>
    <cellStyle name="SAPExceptionLevel4 3 4 4" xfId="16558"/>
    <cellStyle name="SAPExceptionLevel4 3 5" xfId="16559"/>
    <cellStyle name="SAPExceptionLevel4 3 6" xfId="16560"/>
    <cellStyle name="SAPExceptionLevel4 3 7" xfId="16561"/>
    <cellStyle name="SAPExceptionLevel4 3 8" xfId="16562"/>
    <cellStyle name="SAPExceptionLevel4 4" xfId="16563"/>
    <cellStyle name="SAPExceptionLevel4 5" xfId="16564"/>
    <cellStyle name="SAPExceptionLevel5" xfId="16565"/>
    <cellStyle name="SAPExceptionLevel5 2" xfId="16566"/>
    <cellStyle name="SAPExceptionLevel5 2 2" xfId="16567"/>
    <cellStyle name="SAPExceptionLevel5 3" xfId="16568"/>
    <cellStyle name="SAPExceptionLevel5 3 2" xfId="16569"/>
    <cellStyle name="SAPExceptionLevel5 3 2 2" xfId="16570"/>
    <cellStyle name="SAPExceptionLevel5 3 2 3" xfId="16571"/>
    <cellStyle name="SAPExceptionLevel5 3 2 4" xfId="16572"/>
    <cellStyle name="SAPExceptionLevel5 3 2 5" xfId="16573"/>
    <cellStyle name="SAPExceptionLevel5 3 3" xfId="16574"/>
    <cellStyle name="SAPExceptionLevel5 3 3 2" xfId="16575"/>
    <cellStyle name="SAPExceptionLevel5 3 3 3" xfId="16576"/>
    <cellStyle name="SAPExceptionLevel5 3 3 4" xfId="16577"/>
    <cellStyle name="SAPExceptionLevel5 3 4" xfId="16578"/>
    <cellStyle name="SAPExceptionLevel5 3 4 2" xfId="16579"/>
    <cellStyle name="SAPExceptionLevel5 3 4 3" xfId="16580"/>
    <cellStyle name="SAPExceptionLevel5 3 4 4" xfId="16581"/>
    <cellStyle name="SAPExceptionLevel5 3 5" xfId="16582"/>
    <cellStyle name="SAPExceptionLevel5 3 6" xfId="16583"/>
    <cellStyle name="SAPExceptionLevel5 3 7" xfId="16584"/>
    <cellStyle name="SAPExceptionLevel5 3 8" xfId="16585"/>
    <cellStyle name="SAPExceptionLevel5 4" xfId="16586"/>
    <cellStyle name="SAPExceptionLevel5 5" xfId="16587"/>
    <cellStyle name="SAPExceptionLevel6" xfId="16588"/>
    <cellStyle name="SAPExceptionLevel6 2" xfId="16589"/>
    <cellStyle name="SAPExceptionLevel6 2 2" xfId="16590"/>
    <cellStyle name="SAPExceptionLevel6 3" xfId="16591"/>
    <cellStyle name="SAPExceptionLevel6 3 2" xfId="16592"/>
    <cellStyle name="SAPExceptionLevel6 3 2 2" xfId="16593"/>
    <cellStyle name="SAPExceptionLevel6 3 2 3" xfId="16594"/>
    <cellStyle name="SAPExceptionLevel6 3 2 4" xfId="16595"/>
    <cellStyle name="SAPExceptionLevel6 3 2 5" xfId="16596"/>
    <cellStyle name="SAPExceptionLevel6 3 3" xfId="16597"/>
    <cellStyle name="SAPExceptionLevel6 3 3 2" xfId="16598"/>
    <cellStyle name="SAPExceptionLevel6 3 3 3" xfId="16599"/>
    <cellStyle name="SAPExceptionLevel6 3 3 4" xfId="16600"/>
    <cellStyle name="SAPExceptionLevel6 3 4" xfId="16601"/>
    <cellStyle name="SAPExceptionLevel6 3 4 2" xfId="16602"/>
    <cellStyle name="SAPExceptionLevel6 3 4 3" xfId="16603"/>
    <cellStyle name="SAPExceptionLevel6 3 4 4" xfId="16604"/>
    <cellStyle name="SAPExceptionLevel6 3 5" xfId="16605"/>
    <cellStyle name="SAPExceptionLevel6 3 6" xfId="16606"/>
    <cellStyle name="SAPExceptionLevel6 3 7" xfId="16607"/>
    <cellStyle name="SAPExceptionLevel6 3 8" xfId="16608"/>
    <cellStyle name="SAPExceptionLevel6 4" xfId="16609"/>
    <cellStyle name="SAPExceptionLevel6 5" xfId="16610"/>
    <cellStyle name="SAPExceptionLevel7" xfId="16611"/>
    <cellStyle name="SAPExceptionLevel7 2" xfId="16612"/>
    <cellStyle name="SAPExceptionLevel7 2 2" xfId="16613"/>
    <cellStyle name="SAPExceptionLevel7 3" xfId="16614"/>
    <cellStyle name="SAPExceptionLevel7 3 2" xfId="16615"/>
    <cellStyle name="SAPExceptionLevel7 3 2 2" xfId="16616"/>
    <cellStyle name="SAPExceptionLevel7 3 2 3" xfId="16617"/>
    <cellStyle name="SAPExceptionLevel7 3 2 4" xfId="16618"/>
    <cellStyle name="SAPExceptionLevel7 3 2 5" xfId="16619"/>
    <cellStyle name="SAPExceptionLevel7 3 3" xfId="16620"/>
    <cellStyle name="SAPExceptionLevel7 3 3 2" xfId="16621"/>
    <cellStyle name="SAPExceptionLevel7 3 3 3" xfId="16622"/>
    <cellStyle name="SAPExceptionLevel7 3 3 4" xfId="16623"/>
    <cellStyle name="SAPExceptionLevel7 3 4" xfId="16624"/>
    <cellStyle name="SAPExceptionLevel7 3 4 2" xfId="16625"/>
    <cellStyle name="SAPExceptionLevel7 3 4 3" xfId="16626"/>
    <cellStyle name="SAPExceptionLevel7 3 4 4" xfId="16627"/>
    <cellStyle name="SAPExceptionLevel7 3 5" xfId="16628"/>
    <cellStyle name="SAPExceptionLevel7 3 6" xfId="16629"/>
    <cellStyle name="SAPExceptionLevel7 3 7" xfId="16630"/>
    <cellStyle name="SAPExceptionLevel7 3 8" xfId="16631"/>
    <cellStyle name="SAPExceptionLevel7 4" xfId="16632"/>
    <cellStyle name="SAPExceptionLevel7 5" xfId="16633"/>
    <cellStyle name="SAPExceptionLevel8" xfId="16634"/>
    <cellStyle name="SAPExceptionLevel8 2" xfId="16635"/>
    <cellStyle name="SAPExceptionLevel8 2 2" xfId="16636"/>
    <cellStyle name="SAPExceptionLevel8 3" xfId="16637"/>
    <cellStyle name="SAPExceptionLevel8 3 2" xfId="16638"/>
    <cellStyle name="SAPExceptionLevel8 3 2 2" xfId="16639"/>
    <cellStyle name="SAPExceptionLevel8 3 2 3" xfId="16640"/>
    <cellStyle name="SAPExceptionLevel8 3 2 4" xfId="16641"/>
    <cellStyle name="SAPExceptionLevel8 3 2 5" xfId="16642"/>
    <cellStyle name="SAPExceptionLevel8 3 3" xfId="16643"/>
    <cellStyle name="SAPExceptionLevel8 3 3 2" xfId="16644"/>
    <cellStyle name="SAPExceptionLevel8 3 3 3" xfId="16645"/>
    <cellStyle name="SAPExceptionLevel8 3 3 4" xfId="16646"/>
    <cellStyle name="SAPExceptionLevel8 3 4" xfId="16647"/>
    <cellStyle name="SAPExceptionLevel8 3 4 2" xfId="16648"/>
    <cellStyle name="SAPExceptionLevel8 3 4 3" xfId="16649"/>
    <cellStyle name="SAPExceptionLevel8 3 4 4" xfId="16650"/>
    <cellStyle name="SAPExceptionLevel8 3 5" xfId="16651"/>
    <cellStyle name="SAPExceptionLevel8 3 6" xfId="16652"/>
    <cellStyle name="SAPExceptionLevel8 3 7" xfId="16653"/>
    <cellStyle name="SAPExceptionLevel8 3 8" xfId="16654"/>
    <cellStyle name="SAPExceptionLevel8 4" xfId="16655"/>
    <cellStyle name="SAPExceptionLevel8 5" xfId="16656"/>
    <cellStyle name="SAPExceptionLevel9" xfId="16657"/>
    <cellStyle name="SAPExceptionLevel9 2" xfId="16658"/>
    <cellStyle name="SAPExceptionLevel9 2 2" xfId="16659"/>
    <cellStyle name="SAPExceptionLevel9 3" xfId="16660"/>
    <cellStyle name="SAPExceptionLevel9 3 2" xfId="16661"/>
    <cellStyle name="SAPExceptionLevel9 3 2 2" xfId="16662"/>
    <cellStyle name="SAPExceptionLevel9 3 2 3" xfId="16663"/>
    <cellStyle name="SAPExceptionLevel9 3 2 4" xfId="16664"/>
    <cellStyle name="SAPExceptionLevel9 3 2 5" xfId="16665"/>
    <cellStyle name="SAPExceptionLevel9 3 3" xfId="16666"/>
    <cellStyle name="SAPExceptionLevel9 3 3 2" xfId="16667"/>
    <cellStyle name="SAPExceptionLevel9 3 3 3" xfId="16668"/>
    <cellStyle name="SAPExceptionLevel9 3 3 4" xfId="16669"/>
    <cellStyle name="SAPExceptionLevel9 3 4" xfId="16670"/>
    <cellStyle name="SAPExceptionLevel9 3 4 2" xfId="16671"/>
    <cellStyle name="SAPExceptionLevel9 3 4 3" xfId="16672"/>
    <cellStyle name="SAPExceptionLevel9 3 4 4" xfId="16673"/>
    <cellStyle name="SAPExceptionLevel9 3 5" xfId="16674"/>
    <cellStyle name="SAPExceptionLevel9 3 6" xfId="16675"/>
    <cellStyle name="SAPExceptionLevel9 3 7" xfId="16676"/>
    <cellStyle name="SAPExceptionLevel9 3 8" xfId="16677"/>
    <cellStyle name="SAPExceptionLevel9 4" xfId="16678"/>
    <cellStyle name="SAPExceptionLevel9 5" xfId="16679"/>
    <cellStyle name="SAPHierarchyCell0" xfId="16680"/>
    <cellStyle name="SAPHierarchyCell0 2" xfId="16681"/>
    <cellStyle name="SAPHierarchyCell0 2 2" xfId="16682"/>
    <cellStyle name="SAPHierarchyCell0 2 3" xfId="16683"/>
    <cellStyle name="SAPHierarchyCell0 2 4" xfId="16684"/>
    <cellStyle name="SAPHierarchyCell0 3" xfId="16685"/>
    <cellStyle name="SAPHierarchyCell0 3 2" xfId="16686"/>
    <cellStyle name="SAPHierarchyCell0 3 2 2" xfId="16687"/>
    <cellStyle name="SAPHierarchyCell0 3 2 3" xfId="16688"/>
    <cellStyle name="SAPHierarchyCell0 3 2 4" xfId="16689"/>
    <cellStyle name="SAPHierarchyCell0 3 2 5" xfId="16690"/>
    <cellStyle name="SAPHierarchyCell0 3 3" xfId="16691"/>
    <cellStyle name="SAPHierarchyCell0 3 3 2" xfId="16692"/>
    <cellStyle name="SAPHierarchyCell0 3 3 3" xfId="16693"/>
    <cellStyle name="SAPHierarchyCell0 3 3 4" xfId="16694"/>
    <cellStyle name="SAPHierarchyCell0 3 3 5" xfId="16695"/>
    <cellStyle name="SAPHierarchyCell0 3 4" xfId="16696"/>
    <cellStyle name="SAPHierarchyCell0 3 4 2" xfId="16697"/>
    <cellStyle name="SAPHierarchyCell0 3 4 3" xfId="16698"/>
    <cellStyle name="SAPHierarchyCell0 3 4 4" xfId="16699"/>
    <cellStyle name="SAPHierarchyCell0 3 4 5" xfId="16700"/>
    <cellStyle name="SAPHierarchyCell0 3 5" xfId="16701"/>
    <cellStyle name="SAPHierarchyCell0 3 6" xfId="16702"/>
    <cellStyle name="SAPHierarchyCell0 3 7" xfId="16703"/>
    <cellStyle name="SAPHierarchyCell0 3 8" xfId="16704"/>
    <cellStyle name="SAPHierarchyCell0 4" xfId="16705"/>
    <cellStyle name="SAPHierarchyCell0 5" xfId="16706"/>
    <cellStyle name="SAPHierarchyCell1" xfId="16707"/>
    <cellStyle name="SAPHierarchyCell1 2" xfId="16708"/>
    <cellStyle name="SAPHierarchyCell1 2 2" xfId="16709"/>
    <cellStyle name="SAPHierarchyCell1 2 3" xfId="16710"/>
    <cellStyle name="SAPHierarchyCell1 2 4" xfId="16711"/>
    <cellStyle name="SAPHierarchyCell1 3" xfId="16712"/>
    <cellStyle name="SAPHierarchyCell1 3 2" xfId="16713"/>
    <cellStyle name="SAPHierarchyCell1 3 2 2" xfId="16714"/>
    <cellStyle name="SAPHierarchyCell1 3 2 3" xfId="16715"/>
    <cellStyle name="SAPHierarchyCell1 3 2 4" xfId="16716"/>
    <cellStyle name="SAPHierarchyCell1 3 2 5" xfId="16717"/>
    <cellStyle name="SAPHierarchyCell1 3 3" xfId="16718"/>
    <cellStyle name="SAPHierarchyCell1 3 3 2" xfId="16719"/>
    <cellStyle name="SAPHierarchyCell1 3 3 3" xfId="16720"/>
    <cellStyle name="SAPHierarchyCell1 3 3 4" xfId="16721"/>
    <cellStyle name="SAPHierarchyCell1 3 3 5" xfId="16722"/>
    <cellStyle name="SAPHierarchyCell1 3 4" xfId="16723"/>
    <cellStyle name="SAPHierarchyCell1 3 4 2" xfId="16724"/>
    <cellStyle name="SAPHierarchyCell1 3 4 3" xfId="16725"/>
    <cellStyle name="SAPHierarchyCell1 3 4 4" xfId="16726"/>
    <cellStyle name="SAPHierarchyCell1 3 4 5" xfId="16727"/>
    <cellStyle name="SAPHierarchyCell1 3 5" xfId="16728"/>
    <cellStyle name="SAPHierarchyCell1 3 6" xfId="16729"/>
    <cellStyle name="SAPHierarchyCell1 3 7" xfId="16730"/>
    <cellStyle name="SAPHierarchyCell1 3 8" xfId="16731"/>
    <cellStyle name="SAPHierarchyCell1 4" xfId="16732"/>
    <cellStyle name="SAPHierarchyCell1 5" xfId="16733"/>
    <cellStyle name="SAPHierarchyCell2" xfId="16734"/>
    <cellStyle name="SAPHierarchyCell2 2" xfId="16735"/>
    <cellStyle name="SAPHierarchyCell2 2 2" xfId="16736"/>
    <cellStyle name="SAPHierarchyCell2 2 3" xfId="16737"/>
    <cellStyle name="SAPHierarchyCell2 2 4" xfId="16738"/>
    <cellStyle name="SAPHierarchyCell2 3" xfId="16739"/>
    <cellStyle name="SAPHierarchyCell2 3 2" xfId="16740"/>
    <cellStyle name="SAPHierarchyCell2 3 2 2" xfId="16741"/>
    <cellStyle name="SAPHierarchyCell2 3 2 3" xfId="16742"/>
    <cellStyle name="SAPHierarchyCell2 3 2 4" xfId="16743"/>
    <cellStyle name="SAPHierarchyCell2 3 2 5" xfId="16744"/>
    <cellStyle name="SAPHierarchyCell2 3 3" xfId="16745"/>
    <cellStyle name="SAPHierarchyCell2 3 3 2" xfId="16746"/>
    <cellStyle name="SAPHierarchyCell2 3 3 3" xfId="16747"/>
    <cellStyle name="SAPHierarchyCell2 3 3 4" xfId="16748"/>
    <cellStyle name="SAPHierarchyCell2 3 3 5" xfId="16749"/>
    <cellStyle name="SAPHierarchyCell2 3 4" xfId="16750"/>
    <cellStyle name="SAPHierarchyCell2 3 4 2" xfId="16751"/>
    <cellStyle name="SAPHierarchyCell2 3 4 3" xfId="16752"/>
    <cellStyle name="SAPHierarchyCell2 3 4 4" xfId="16753"/>
    <cellStyle name="SAPHierarchyCell2 3 4 5" xfId="16754"/>
    <cellStyle name="SAPHierarchyCell2 3 5" xfId="16755"/>
    <cellStyle name="SAPHierarchyCell2 3 6" xfId="16756"/>
    <cellStyle name="SAPHierarchyCell2 3 7" xfId="16757"/>
    <cellStyle name="SAPHierarchyCell2 3 8" xfId="16758"/>
    <cellStyle name="SAPHierarchyCell2 4" xfId="16759"/>
    <cellStyle name="SAPHierarchyCell2 5" xfId="16760"/>
    <cellStyle name="SAPHierarchyCell3" xfId="16761"/>
    <cellStyle name="SAPHierarchyCell3 2" xfId="16762"/>
    <cellStyle name="SAPHierarchyCell3 2 2" xfId="16763"/>
    <cellStyle name="SAPHierarchyCell3 2 3" xfId="16764"/>
    <cellStyle name="SAPHierarchyCell3 2 4" xfId="16765"/>
    <cellStyle name="SAPHierarchyCell3 3" xfId="16766"/>
    <cellStyle name="SAPHierarchyCell3 3 2" xfId="16767"/>
    <cellStyle name="SAPHierarchyCell3 3 2 2" xfId="16768"/>
    <cellStyle name="SAPHierarchyCell3 3 2 3" xfId="16769"/>
    <cellStyle name="SAPHierarchyCell3 3 2 4" xfId="16770"/>
    <cellStyle name="SAPHierarchyCell3 3 2 5" xfId="16771"/>
    <cellStyle name="SAPHierarchyCell3 3 3" xfId="16772"/>
    <cellStyle name="SAPHierarchyCell3 3 3 2" xfId="16773"/>
    <cellStyle name="SAPHierarchyCell3 3 3 3" xfId="16774"/>
    <cellStyle name="SAPHierarchyCell3 3 3 4" xfId="16775"/>
    <cellStyle name="SAPHierarchyCell3 3 3 5" xfId="16776"/>
    <cellStyle name="SAPHierarchyCell3 3 4" xfId="16777"/>
    <cellStyle name="SAPHierarchyCell3 3 4 2" xfId="16778"/>
    <cellStyle name="SAPHierarchyCell3 3 4 3" xfId="16779"/>
    <cellStyle name="SAPHierarchyCell3 3 4 4" xfId="16780"/>
    <cellStyle name="SAPHierarchyCell3 3 4 5" xfId="16781"/>
    <cellStyle name="SAPHierarchyCell3 3 5" xfId="16782"/>
    <cellStyle name="SAPHierarchyCell3 3 6" xfId="16783"/>
    <cellStyle name="SAPHierarchyCell3 3 7" xfId="16784"/>
    <cellStyle name="SAPHierarchyCell3 3 8" xfId="16785"/>
    <cellStyle name="SAPHierarchyCell3 4" xfId="16786"/>
    <cellStyle name="SAPHierarchyCell3 5" xfId="16787"/>
    <cellStyle name="SAPHierarchyCell4" xfId="16788"/>
    <cellStyle name="SAPHierarchyCell4 2" xfId="16789"/>
    <cellStyle name="SAPHierarchyCell4 2 2" xfId="16790"/>
    <cellStyle name="SAPHierarchyCell4 2 3" xfId="16791"/>
    <cellStyle name="SAPHierarchyCell4 2 4" xfId="16792"/>
    <cellStyle name="SAPHierarchyCell4 3" xfId="16793"/>
    <cellStyle name="SAPHierarchyCell4 3 2" xfId="16794"/>
    <cellStyle name="SAPHierarchyCell4 3 2 2" xfId="16795"/>
    <cellStyle name="SAPHierarchyCell4 3 2 3" xfId="16796"/>
    <cellStyle name="SAPHierarchyCell4 3 2 4" xfId="16797"/>
    <cellStyle name="SAPHierarchyCell4 3 2 5" xfId="16798"/>
    <cellStyle name="SAPHierarchyCell4 3 3" xfId="16799"/>
    <cellStyle name="SAPHierarchyCell4 3 3 2" xfId="16800"/>
    <cellStyle name="SAPHierarchyCell4 3 3 3" xfId="16801"/>
    <cellStyle name="SAPHierarchyCell4 3 3 4" xfId="16802"/>
    <cellStyle name="SAPHierarchyCell4 3 3 5" xfId="16803"/>
    <cellStyle name="SAPHierarchyCell4 3 4" xfId="16804"/>
    <cellStyle name="SAPHierarchyCell4 3 4 2" xfId="16805"/>
    <cellStyle name="SAPHierarchyCell4 3 4 3" xfId="16806"/>
    <cellStyle name="SAPHierarchyCell4 3 4 4" xfId="16807"/>
    <cellStyle name="SAPHierarchyCell4 3 4 5" xfId="16808"/>
    <cellStyle name="SAPHierarchyCell4 3 5" xfId="16809"/>
    <cellStyle name="SAPHierarchyCell4 3 6" xfId="16810"/>
    <cellStyle name="SAPHierarchyCell4 3 7" xfId="16811"/>
    <cellStyle name="SAPHierarchyCell4 3 8" xfId="16812"/>
    <cellStyle name="SAPHierarchyCell4 4" xfId="16813"/>
    <cellStyle name="SAPHierarchyCell4 5" xfId="16814"/>
    <cellStyle name="SAPLockedDataCell" xfId="16815"/>
    <cellStyle name="SAPLockedDataCell 10" xfId="16816"/>
    <cellStyle name="SAPLockedDataCell 11" xfId="16817"/>
    <cellStyle name="SAPLockedDataCell 2" xfId="16818"/>
    <cellStyle name="SAPLockedDataCell 2 2" xfId="16819"/>
    <cellStyle name="SAPLockedDataCell 3" xfId="16820"/>
    <cellStyle name="SAPLockedDataCell 3 10" xfId="16821"/>
    <cellStyle name="SAPLockedDataCell 3 11" xfId="16822"/>
    <cellStyle name="SAPLockedDataCell 3 12" xfId="16823"/>
    <cellStyle name="SAPLockedDataCell 3 13" xfId="16824"/>
    <cellStyle name="SAPLockedDataCell 3 2" xfId="16825"/>
    <cellStyle name="SAPLockedDataCell 3 2 2" xfId="16826"/>
    <cellStyle name="SAPLockedDataCell 3 2 3" xfId="16827"/>
    <cellStyle name="SAPLockedDataCell 3 2 4" xfId="16828"/>
    <cellStyle name="SAPLockedDataCell 3 2 5" xfId="16829"/>
    <cellStyle name="SAPLockedDataCell 3 2 6" xfId="16830"/>
    <cellStyle name="SAPLockedDataCell 3 3" xfId="16831"/>
    <cellStyle name="SAPLockedDataCell 3 3 2" xfId="16832"/>
    <cellStyle name="SAPLockedDataCell 3 3 3" xfId="16833"/>
    <cellStyle name="SAPLockedDataCell 3 3 4" xfId="16834"/>
    <cellStyle name="SAPLockedDataCell 3 3 5" xfId="16835"/>
    <cellStyle name="SAPLockedDataCell 3 3 6" xfId="16836"/>
    <cellStyle name="SAPLockedDataCell 3 4" xfId="16837"/>
    <cellStyle name="SAPLockedDataCell 3 4 2" xfId="16838"/>
    <cellStyle name="SAPLockedDataCell 3 4 3" xfId="16839"/>
    <cellStyle name="SAPLockedDataCell 3 4 4" xfId="16840"/>
    <cellStyle name="SAPLockedDataCell 3 4 5" xfId="16841"/>
    <cellStyle name="SAPLockedDataCell 3 4 6" xfId="16842"/>
    <cellStyle name="SAPLockedDataCell 3 5" xfId="16843"/>
    <cellStyle name="SAPLockedDataCell 3 5 2" xfId="16844"/>
    <cellStyle name="SAPLockedDataCell 3 5 3" xfId="16845"/>
    <cellStyle name="SAPLockedDataCell 3 5 4" xfId="16846"/>
    <cellStyle name="SAPLockedDataCell 3 6" xfId="16847"/>
    <cellStyle name="SAPLockedDataCell 3 6 2" xfId="16848"/>
    <cellStyle name="SAPLockedDataCell 3 6 3" xfId="16849"/>
    <cellStyle name="SAPLockedDataCell 3 6 4" xfId="16850"/>
    <cellStyle name="SAPLockedDataCell 3 7" xfId="16851"/>
    <cellStyle name="SAPLockedDataCell 3 7 2" xfId="16852"/>
    <cellStyle name="SAPLockedDataCell 3 7 3" xfId="16853"/>
    <cellStyle name="SAPLockedDataCell 3 7 4" xfId="16854"/>
    <cellStyle name="SAPLockedDataCell 3 8" xfId="16855"/>
    <cellStyle name="SAPLockedDataCell 3 8 2" xfId="16856"/>
    <cellStyle name="SAPLockedDataCell 3 8 3" xfId="16857"/>
    <cellStyle name="SAPLockedDataCell 3 8 4" xfId="16858"/>
    <cellStyle name="SAPLockedDataCell 3 9" xfId="16859"/>
    <cellStyle name="SAPLockedDataCell 4" xfId="16860"/>
    <cellStyle name="SAPLockedDataCell 4 2" xfId="16861"/>
    <cellStyle name="SAPLockedDataCell 4 3" xfId="16862"/>
    <cellStyle name="SAPLockedDataCell 5" xfId="16863"/>
    <cellStyle name="SAPLockedDataCell 5 2" xfId="16864"/>
    <cellStyle name="SAPLockedDataCell 5 3" xfId="16865"/>
    <cellStyle name="SAPLockedDataCell 5 4" xfId="16866"/>
    <cellStyle name="SAPLockedDataCell 6" xfId="16867"/>
    <cellStyle name="SAPLockedDataCell 6 2" xfId="16868"/>
    <cellStyle name="SAPLockedDataCell 6 3" xfId="16869"/>
    <cellStyle name="SAPLockedDataCell 6 4" xfId="16870"/>
    <cellStyle name="SAPLockedDataCell 7" xfId="16871"/>
    <cellStyle name="SAPLockedDataCell 7 2" xfId="16872"/>
    <cellStyle name="SAPLockedDataCell 7 3" xfId="16873"/>
    <cellStyle name="SAPLockedDataCell 7 4" xfId="16874"/>
    <cellStyle name="SAPLockedDataCell 8" xfId="16875"/>
    <cellStyle name="SAPLockedDataCell 8 2" xfId="16876"/>
    <cellStyle name="SAPLockedDataCell 8 3" xfId="16877"/>
    <cellStyle name="SAPLockedDataCell 8 4" xfId="16878"/>
    <cellStyle name="SAPLockedDataCell 9" xfId="16879"/>
    <cellStyle name="SAPLockedDataTotalCell" xfId="16880"/>
    <cellStyle name="SAPLockedDataTotalCell 2" xfId="16881"/>
    <cellStyle name="SAPLockedDataTotalCell 2 2" xfId="16882"/>
    <cellStyle name="SAPLockedDataTotalCell 3" xfId="16883"/>
    <cellStyle name="SAPLockedDataTotalCell 3 2" xfId="16884"/>
    <cellStyle name="SAPLockedDataTotalCell 3 2 2" xfId="16885"/>
    <cellStyle name="SAPLockedDataTotalCell 3 2 3" xfId="16886"/>
    <cellStyle name="SAPLockedDataTotalCell 3 2 4" xfId="16887"/>
    <cellStyle name="SAPLockedDataTotalCell 3 2 5" xfId="16888"/>
    <cellStyle name="SAPLockedDataTotalCell 3 3" xfId="16889"/>
    <cellStyle name="SAPLockedDataTotalCell 3 3 2" xfId="16890"/>
    <cellStyle name="SAPLockedDataTotalCell 3 3 3" xfId="16891"/>
    <cellStyle name="SAPLockedDataTotalCell 3 3 4" xfId="16892"/>
    <cellStyle name="SAPLockedDataTotalCell 3 4" xfId="16893"/>
    <cellStyle name="SAPLockedDataTotalCell 3 4 2" xfId="16894"/>
    <cellStyle name="SAPLockedDataTotalCell 3 4 3" xfId="16895"/>
    <cellStyle name="SAPLockedDataTotalCell 3 4 4" xfId="16896"/>
    <cellStyle name="SAPLockedDataTotalCell 3 5" xfId="16897"/>
    <cellStyle name="SAPLockedDataTotalCell 3 6" xfId="16898"/>
    <cellStyle name="SAPLockedDataTotalCell 3 7" xfId="16899"/>
    <cellStyle name="SAPLockedDataTotalCell 3 8" xfId="16900"/>
    <cellStyle name="SAPLockedDataTotalCell 4" xfId="16901"/>
    <cellStyle name="SAPLockedDataTotalCell 5" xfId="16902"/>
    <cellStyle name="SAPMemberCell" xfId="16903"/>
    <cellStyle name="SAPMemberCell 2" xfId="16904"/>
    <cellStyle name="SAPMemberCell 2 2" xfId="16905"/>
    <cellStyle name="SAPMemberCell 3" xfId="16906"/>
    <cellStyle name="SAPMemberCell 3 2" xfId="16907"/>
    <cellStyle name="SAPMemberCell 3 2 2" xfId="16908"/>
    <cellStyle name="SAPMemberCell 3 2 3" xfId="16909"/>
    <cellStyle name="SAPMemberCell 3 2 4" xfId="16910"/>
    <cellStyle name="SAPMemberCell 3 2 5" xfId="16911"/>
    <cellStyle name="SAPMemberCell 3 3" xfId="16912"/>
    <cellStyle name="SAPMemberCell 3 3 2" xfId="16913"/>
    <cellStyle name="SAPMemberCell 3 3 3" xfId="16914"/>
    <cellStyle name="SAPMemberCell 3 3 4" xfId="16915"/>
    <cellStyle name="SAPMemberCell 3 4" xfId="16916"/>
    <cellStyle name="SAPMemberCell 3 4 2" xfId="16917"/>
    <cellStyle name="SAPMemberCell 3 4 3" xfId="16918"/>
    <cellStyle name="SAPMemberCell 3 4 4" xfId="16919"/>
    <cellStyle name="SAPMemberCell 3 5" xfId="16920"/>
    <cellStyle name="SAPMemberCell 3 6" xfId="16921"/>
    <cellStyle name="SAPMemberCell 3 7" xfId="16922"/>
    <cellStyle name="SAPMemberCell 3 8" xfId="16923"/>
    <cellStyle name="SAPMemberCell 4" xfId="16924"/>
    <cellStyle name="SAPMemberCell 5" xfId="16925"/>
    <cellStyle name="SAPMemberTotalCell" xfId="16926"/>
    <cellStyle name="SAPMemberTotalCell 2" xfId="16927"/>
    <cellStyle name="SAPMemberTotalCell 2 2" xfId="16928"/>
    <cellStyle name="SAPMemberTotalCell 2 3" xfId="16929"/>
    <cellStyle name="SAPMemberTotalCell 2 4" xfId="16930"/>
    <cellStyle name="SAPMemberTotalCell 3" xfId="16931"/>
    <cellStyle name="SAPMemberTotalCell 3 2" xfId="16932"/>
    <cellStyle name="SAPMemberTotalCell 3 2 2" xfId="16933"/>
    <cellStyle name="SAPMemberTotalCell 3 2 3" xfId="16934"/>
    <cellStyle name="SAPMemberTotalCell 3 2 4" xfId="16935"/>
    <cellStyle name="SAPMemberTotalCell 3 2 5" xfId="16936"/>
    <cellStyle name="SAPMemberTotalCell 3 3" xfId="16937"/>
    <cellStyle name="SAPMemberTotalCell 3 3 2" xfId="16938"/>
    <cellStyle name="SAPMemberTotalCell 3 3 3" xfId="16939"/>
    <cellStyle name="SAPMemberTotalCell 3 3 4" xfId="16940"/>
    <cellStyle name="SAPMemberTotalCell 3 3 5" xfId="16941"/>
    <cellStyle name="SAPMemberTotalCell 3 4" xfId="16942"/>
    <cellStyle name="SAPMemberTotalCell 3 4 2" xfId="16943"/>
    <cellStyle name="SAPMemberTotalCell 3 4 3" xfId="16944"/>
    <cellStyle name="SAPMemberTotalCell 3 4 4" xfId="16945"/>
    <cellStyle name="SAPMemberTotalCell 3 4 5" xfId="16946"/>
    <cellStyle name="SAPMemberTotalCell 3 5" xfId="16947"/>
    <cellStyle name="SAPMemberTotalCell 3 6" xfId="16948"/>
    <cellStyle name="SAPMemberTotalCell 3 7" xfId="16949"/>
    <cellStyle name="SAPMemberTotalCell 3 8" xfId="16950"/>
    <cellStyle name="SAPMemberTotalCell 4" xfId="16951"/>
    <cellStyle name="SAPMemberTotalCell 5" xfId="16952"/>
    <cellStyle name="SAPReadonlyDataCell" xfId="16953"/>
    <cellStyle name="SAPReadonlyDataCell 2" xfId="16954"/>
    <cellStyle name="SAPReadonlyDataCell 2 2" xfId="16955"/>
    <cellStyle name="SAPReadonlyDataCell 2 3" xfId="16956"/>
    <cellStyle name="SAPReadonlyDataCell 2 4" xfId="16957"/>
    <cellStyle name="SAPReadonlyDataCell 3" xfId="16958"/>
    <cellStyle name="SAPReadonlyDataCell 3 2" xfId="16959"/>
    <cellStyle name="SAPReadonlyDataCell 3 2 2" xfId="16960"/>
    <cellStyle name="SAPReadonlyDataCell 3 2 3" xfId="16961"/>
    <cellStyle name="SAPReadonlyDataCell 3 2 4" xfId="16962"/>
    <cellStyle name="SAPReadonlyDataCell 3 2 5" xfId="16963"/>
    <cellStyle name="SAPReadonlyDataCell 3 3" xfId="16964"/>
    <cellStyle name="SAPReadonlyDataCell 3 3 2" xfId="16965"/>
    <cellStyle name="SAPReadonlyDataCell 3 3 3" xfId="16966"/>
    <cellStyle name="SAPReadonlyDataCell 3 3 4" xfId="16967"/>
    <cellStyle name="SAPReadonlyDataCell 3 3 5" xfId="16968"/>
    <cellStyle name="SAPReadonlyDataCell 3 4" xfId="16969"/>
    <cellStyle name="SAPReadonlyDataCell 3 4 2" xfId="16970"/>
    <cellStyle name="SAPReadonlyDataCell 3 4 3" xfId="16971"/>
    <cellStyle name="SAPReadonlyDataCell 3 4 4" xfId="16972"/>
    <cellStyle name="SAPReadonlyDataCell 3 4 5" xfId="16973"/>
    <cellStyle name="SAPReadonlyDataCell 3 5" xfId="16974"/>
    <cellStyle name="SAPReadonlyDataCell 3 6" xfId="16975"/>
    <cellStyle name="SAPReadonlyDataCell 3 7" xfId="16976"/>
    <cellStyle name="SAPReadonlyDataCell 3 8" xfId="16977"/>
    <cellStyle name="SAPReadonlyDataCell 4" xfId="16978"/>
    <cellStyle name="SAPReadonlyDataCell 5" xfId="16979"/>
    <cellStyle name="SAPReadonlyDataTotalCell" xfId="16980"/>
    <cellStyle name="SAPReadonlyDataTotalCell 2" xfId="16981"/>
    <cellStyle name="SAPReadonlyDataTotalCell 2 2" xfId="16982"/>
    <cellStyle name="SAPReadonlyDataTotalCell 3" xfId="16983"/>
    <cellStyle name="SAPReadonlyDataTotalCell 3 2" xfId="16984"/>
    <cellStyle name="SAPReadonlyDataTotalCell 3 2 2" xfId="16985"/>
    <cellStyle name="SAPReadonlyDataTotalCell 3 2 3" xfId="16986"/>
    <cellStyle name="SAPReadonlyDataTotalCell 3 2 4" xfId="16987"/>
    <cellStyle name="SAPReadonlyDataTotalCell 3 2 5" xfId="16988"/>
    <cellStyle name="SAPReadonlyDataTotalCell 3 3" xfId="16989"/>
    <cellStyle name="SAPReadonlyDataTotalCell 3 3 2" xfId="16990"/>
    <cellStyle name="SAPReadonlyDataTotalCell 3 3 3" xfId="16991"/>
    <cellStyle name="SAPReadonlyDataTotalCell 3 3 4" xfId="16992"/>
    <cellStyle name="SAPReadonlyDataTotalCell 3 4" xfId="16993"/>
    <cellStyle name="SAPReadonlyDataTotalCell 3 4 2" xfId="16994"/>
    <cellStyle name="SAPReadonlyDataTotalCell 3 4 3" xfId="16995"/>
    <cellStyle name="SAPReadonlyDataTotalCell 3 4 4" xfId="16996"/>
    <cellStyle name="SAPReadonlyDataTotalCell 3 5" xfId="16997"/>
    <cellStyle name="SAPReadonlyDataTotalCell 3 6" xfId="16998"/>
    <cellStyle name="SAPReadonlyDataTotalCell 3 7" xfId="16999"/>
    <cellStyle name="SAPReadonlyDataTotalCell 3 8" xfId="17000"/>
    <cellStyle name="SAPReadonlyDataTotalCell 4" xfId="17001"/>
    <cellStyle name="SAPReadonlyDataTotalCell 5" xfId="17002"/>
    <cellStyle name="Schlecht" xfId="17003"/>
    <cellStyle name="Separador de milhares [0]_~0036490" xfId="8004"/>
    <cellStyle name="Separador de milhares_~0036490" xfId="8005"/>
    <cellStyle name="Single Accounting" xfId="8006"/>
    <cellStyle name="Source Line" xfId="8007"/>
    <cellStyle name="Standard_laroux" xfId="8008"/>
    <cellStyle name="Style 1" xfId="8009"/>
    <cellStyle name="Suma" xfId="17004"/>
    <cellStyle name="Table Heading" xfId="8010"/>
    <cellStyle name="Tekst objaśnienia" xfId="17005"/>
    <cellStyle name="Tekst ostrzeżenia" xfId="17006"/>
    <cellStyle name="Temp" xfId="8011"/>
    <cellStyle name="Title" xfId="8012"/>
    <cellStyle name="Title 2" xfId="17007"/>
    <cellStyle name="Title 3" xfId="17008"/>
    <cellStyle name="Title Line" xfId="8013"/>
    <cellStyle name="Title_전략CM 요약_1_LGESA" xfId="8014"/>
    <cellStyle name="Top Row" xfId="8015"/>
    <cellStyle name="Total" xfId="8016"/>
    <cellStyle name="Total 2" xfId="17009"/>
    <cellStyle name="Total 2 2" xfId="17010"/>
    <cellStyle name="Total 2 2 2" xfId="17011"/>
    <cellStyle name="Total 2 2 3" xfId="17012"/>
    <cellStyle name="Total 2 3" xfId="17013"/>
    <cellStyle name="Total 2 3 2" xfId="17014"/>
    <cellStyle name="Total 2 3 3" xfId="17015"/>
    <cellStyle name="Total 2 4" xfId="17016"/>
    <cellStyle name="Total 2 4 2" xfId="17017"/>
    <cellStyle name="Total 2 4 3" xfId="17018"/>
    <cellStyle name="Total 2 5" xfId="17019"/>
    <cellStyle name="Total 2 6" xfId="17020"/>
    <cellStyle name="Total 3" xfId="17021"/>
    <cellStyle name="Total 3 2" xfId="17022"/>
    <cellStyle name="Total 3 3" xfId="17023"/>
    <cellStyle name="Total 4" xfId="17024"/>
    <cellStyle name="Total 5" xfId="17025"/>
    <cellStyle name="Total 6" xfId="17026"/>
    <cellStyle name="Total Row" xfId="8017"/>
    <cellStyle name="Total_전략CM 요약_1_LGESA" xfId="8018"/>
    <cellStyle name="Tytuł" xfId="17027"/>
    <cellStyle name="Überschrift" xfId="17028"/>
    <cellStyle name="Überschrift 1" xfId="17029"/>
    <cellStyle name="Überschrift 2" xfId="17030"/>
    <cellStyle name="Überschrift 3" xfId="17031"/>
    <cellStyle name="Überschrift 4" xfId="17032"/>
    <cellStyle name="Uwaga" xfId="17033"/>
    <cellStyle name="Value" xfId="8019"/>
    <cellStyle name="Verknüpfte Zelle" xfId="17034"/>
    <cellStyle name="W?rung [0]_laroux" xfId="8020"/>
    <cellStyle name="W?rung_laroux" xfId="8021"/>
    <cellStyle name="Warnender Text" xfId="17035"/>
    <cellStyle name="Warning Text" xfId="8022"/>
    <cellStyle name="Warning Text 2" xfId="17036"/>
    <cellStyle name="Warning Text 3" xfId="17037"/>
    <cellStyle name="YELLOW" xfId="17038"/>
    <cellStyle name="Yen" xfId="8023"/>
    <cellStyle name="Zelle überprüfen" xfId="17039"/>
    <cellStyle name="Złe" xfId="17040"/>
    <cellStyle name="عادي_ق . 12 2000" xfId="8024"/>
    <cellStyle name="เครื่องหมายจุลภาค_Sheet1" xfId="17041"/>
    <cellStyle name="ปกติ_Sheet1" xfId="17042"/>
    <cellStyle name="" xfId="8025"/>
    <cellStyle name="" xfId="8026"/>
    <cellStyle name="强调文字颜色 1" xfId="8027"/>
    <cellStyle name="强调文字颜色 2" xfId="8028"/>
    <cellStyle name="强调文字颜色 3" xfId="8029"/>
    <cellStyle name="强调文字颜色 4" xfId="8030"/>
    <cellStyle name="强调文字颜色 5" xfId="8031"/>
    <cellStyle name="强调文字颜色 6" xfId="8032"/>
    <cellStyle name="강조색1 10" xfId="17043"/>
    <cellStyle name="강조색1 11" xfId="17044"/>
    <cellStyle name="강조색1 12" xfId="17045"/>
    <cellStyle name="강조색1 13" xfId="17046"/>
    <cellStyle name="강조색1 14" xfId="17047"/>
    <cellStyle name="강조색1 15" xfId="17048"/>
    <cellStyle name="강조색1 16" xfId="17049"/>
    <cellStyle name="강조색1 17" xfId="17050"/>
    <cellStyle name="강조색1 18" xfId="17051"/>
    <cellStyle name="강조색1 19" xfId="17052"/>
    <cellStyle name="강조색1 2" xfId="8033"/>
    <cellStyle name="강조색1 2 10" xfId="8034"/>
    <cellStyle name="강조색1 2 100" xfId="8035"/>
    <cellStyle name="강조색1 2 101" xfId="8036"/>
    <cellStyle name="강조색1 2 102" xfId="8037"/>
    <cellStyle name="강조색1 2 103" xfId="8038"/>
    <cellStyle name="강조색1 2 104" xfId="8039"/>
    <cellStyle name="강조색1 2 105" xfId="8040"/>
    <cellStyle name="강조색1 2 106" xfId="8041"/>
    <cellStyle name="강조색1 2 107" xfId="8042"/>
    <cellStyle name="강조색1 2 108" xfId="8043"/>
    <cellStyle name="강조색1 2 109" xfId="8044"/>
    <cellStyle name="강조색1 2 11" xfId="8045"/>
    <cellStyle name="강조색1 2 110" xfId="8046"/>
    <cellStyle name="강조색1 2 111" xfId="8047"/>
    <cellStyle name="강조색1 2 112" xfId="8048"/>
    <cellStyle name="강조색1 2 113" xfId="8049"/>
    <cellStyle name="강조색1 2 114" xfId="8050"/>
    <cellStyle name="강조색1 2 115" xfId="8051"/>
    <cellStyle name="강조색1 2 116" xfId="8052"/>
    <cellStyle name="강조색1 2 117" xfId="8053"/>
    <cellStyle name="강조색1 2 118" xfId="8054"/>
    <cellStyle name="강조색1 2 119" xfId="8055"/>
    <cellStyle name="강조색1 2 12" xfId="8056"/>
    <cellStyle name="강조색1 2 120" xfId="8057"/>
    <cellStyle name="강조색1 2 121" xfId="8058"/>
    <cellStyle name="강조색1 2 122" xfId="8059"/>
    <cellStyle name="강조색1 2 123" xfId="8060"/>
    <cellStyle name="강조색1 2 124" xfId="8061"/>
    <cellStyle name="강조색1 2 125" xfId="8062"/>
    <cellStyle name="강조색1 2 126" xfId="8063"/>
    <cellStyle name="강조색1 2 127" xfId="8064"/>
    <cellStyle name="강조색1 2 128" xfId="8065"/>
    <cellStyle name="강조색1 2 129" xfId="8066"/>
    <cellStyle name="강조색1 2 13" xfId="8067"/>
    <cellStyle name="강조색1 2 130" xfId="8068"/>
    <cellStyle name="강조색1 2 131" xfId="8069"/>
    <cellStyle name="강조색1 2 132" xfId="8070"/>
    <cellStyle name="강조색1 2 133" xfId="8071"/>
    <cellStyle name="강조색1 2 134" xfId="8072"/>
    <cellStyle name="강조색1 2 135" xfId="8073"/>
    <cellStyle name="강조색1 2 136" xfId="8074"/>
    <cellStyle name="강조색1 2 137" xfId="8075"/>
    <cellStyle name="강조색1 2 138" xfId="8076"/>
    <cellStyle name="강조색1 2 139" xfId="8077"/>
    <cellStyle name="강조색1 2 14" xfId="8078"/>
    <cellStyle name="강조색1 2 140" xfId="8079"/>
    <cellStyle name="강조색1 2 141" xfId="8080"/>
    <cellStyle name="강조색1 2 142" xfId="8081"/>
    <cellStyle name="강조색1 2 143" xfId="8082"/>
    <cellStyle name="강조색1 2 144" xfId="8083"/>
    <cellStyle name="강조색1 2 145" xfId="8084"/>
    <cellStyle name="강조색1 2 146" xfId="8085"/>
    <cellStyle name="강조색1 2 147" xfId="8086"/>
    <cellStyle name="강조색1 2 148" xfId="8087"/>
    <cellStyle name="강조색1 2 149" xfId="8088"/>
    <cellStyle name="강조색1 2 15" xfId="8089"/>
    <cellStyle name="강조색1 2 150" xfId="8090"/>
    <cellStyle name="강조색1 2 151" xfId="8091"/>
    <cellStyle name="강조색1 2 152" xfId="8092"/>
    <cellStyle name="강조색1 2 153" xfId="8093"/>
    <cellStyle name="강조색1 2 154" xfId="8094"/>
    <cellStyle name="강조색1 2 155" xfId="8095"/>
    <cellStyle name="강조색1 2 156" xfId="8096"/>
    <cellStyle name="강조색1 2 157" xfId="8097"/>
    <cellStyle name="강조색1 2 158" xfId="8098"/>
    <cellStyle name="강조색1 2 159" xfId="8099"/>
    <cellStyle name="강조색1 2 16" xfId="8100"/>
    <cellStyle name="강조색1 2 160" xfId="8101"/>
    <cellStyle name="강조색1 2 161" xfId="8102"/>
    <cellStyle name="강조색1 2 162" xfId="8103"/>
    <cellStyle name="강조색1 2 163" xfId="8104"/>
    <cellStyle name="강조색1 2 164" xfId="8105"/>
    <cellStyle name="강조색1 2 165" xfId="8106"/>
    <cellStyle name="강조색1 2 166" xfId="8107"/>
    <cellStyle name="강조색1 2 167" xfId="8108"/>
    <cellStyle name="강조색1 2 168" xfId="8109"/>
    <cellStyle name="강조색1 2 169" xfId="8110"/>
    <cellStyle name="강조색1 2 17" xfId="8111"/>
    <cellStyle name="강조색1 2 170" xfId="8112"/>
    <cellStyle name="강조색1 2 171" xfId="8113"/>
    <cellStyle name="강조색1 2 172" xfId="8114"/>
    <cellStyle name="강조색1 2 173" xfId="8115"/>
    <cellStyle name="강조색1 2 174" xfId="8116"/>
    <cellStyle name="강조색1 2 175" xfId="8117"/>
    <cellStyle name="강조색1 2 176" xfId="8118"/>
    <cellStyle name="강조색1 2 177" xfId="8119"/>
    <cellStyle name="강조색1 2 178" xfId="8120"/>
    <cellStyle name="강조색1 2 179" xfId="8121"/>
    <cellStyle name="강조색1 2 18" xfId="8122"/>
    <cellStyle name="강조색1 2 180" xfId="8123"/>
    <cellStyle name="강조색1 2 181" xfId="8124"/>
    <cellStyle name="강조색1 2 182" xfId="8125"/>
    <cellStyle name="강조색1 2 183" xfId="8126"/>
    <cellStyle name="강조색1 2 184" xfId="8127"/>
    <cellStyle name="강조색1 2 185" xfId="8128"/>
    <cellStyle name="강조색1 2 186" xfId="8129"/>
    <cellStyle name="강조색1 2 187" xfId="8130"/>
    <cellStyle name="강조색1 2 188" xfId="8131"/>
    <cellStyle name="강조색1 2 189" xfId="8132"/>
    <cellStyle name="강조색1 2 19" xfId="8133"/>
    <cellStyle name="강조색1 2 190" xfId="8134"/>
    <cellStyle name="강조색1 2 191" xfId="8135"/>
    <cellStyle name="강조색1 2 192" xfId="8136"/>
    <cellStyle name="강조색1 2 193" xfId="8137"/>
    <cellStyle name="강조색1 2 194" xfId="8138"/>
    <cellStyle name="강조색1 2 195" xfId="8139"/>
    <cellStyle name="강조색1 2 196" xfId="8140"/>
    <cellStyle name="강조색1 2 197" xfId="8141"/>
    <cellStyle name="강조색1 2 198" xfId="8142"/>
    <cellStyle name="강조색1 2 199" xfId="8143"/>
    <cellStyle name="강조색1 2 2" xfId="8144"/>
    <cellStyle name="강조색1 2 20" xfId="8145"/>
    <cellStyle name="강조색1 2 200" xfId="8146"/>
    <cellStyle name="강조색1 2 201" xfId="8147"/>
    <cellStyle name="강조색1 2 202" xfId="8148"/>
    <cellStyle name="강조색1 2 203" xfId="8149"/>
    <cellStyle name="강조색1 2 204" xfId="8150"/>
    <cellStyle name="강조색1 2 205" xfId="8151"/>
    <cellStyle name="강조색1 2 206" xfId="8152"/>
    <cellStyle name="강조색1 2 207" xfId="8153"/>
    <cellStyle name="강조색1 2 208" xfId="8154"/>
    <cellStyle name="강조색1 2 209" xfId="8155"/>
    <cellStyle name="강조색1 2 21" xfId="8156"/>
    <cellStyle name="강조색1 2 210" xfId="8157"/>
    <cellStyle name="강조색1 2 211" xfId="8158"/>
    <cellStyle name="강조색1 2 212" xfId="8159"/>
    <cellStyle name="강조색1 2 213" xfId="8160"/>
    <cellStyle name="강조색1 2 214" xfId="8161"/>
    <cellStyle name="강조색1 2 215" xfId="8162"/>
    <cellStyle name="강조색1 2 216" xfId="8163"/>
    <cellStyle name="강조색1 2 217" xfId="8164"/>
    <cellStyle name="강조색1 2 218" xfId="8165"/>
    <cellStyle name="강조색1 2 219" xfId="8166"/>
    <cellStyle name="강조색1 2 22" xfId="8167"/>
    <cellStyle name="강조색1 2 220" xfId="8168"/>
    <cellStyle name="강조색1 2 221" xfId="8169"/>
    <cellStyle name="강조색1 2 222" xfId="8170"/>
    <cellStyle name="강조색1 2 223" xfId="8171"/>
    <cellStyle name="강조색1 2 224" xfId="8172"/>
    <cellStyle name="강조색1 2 225" xfId="8173"/>
    <cellStyle name="강조색1 2 226" xfId="8174"/>
    <cellStyle name="강조색1 2 227" xfId="8175"/>
    <cellStyle name="강조색1 2 228" xfId="8176"/>
    <cellStyle name="강조색1 2 229" xfId="8177"/>
    <cellStyle name="강조색1 2 23" xfId="8178"/>
    <cellStyle name="강조색1 2 230" xfId="8179"/>
    <cellStyle name="강조색1 2 231" xfId="8180"/>
    <cellStyle name="강조색1 2 232" xfId="8181"/>
    <cellStyle name="강조색1 2 233" xfId="8182"/>
    <cellStyle name="강조색1 2 234" xfId="8183"/>
    <cellStyle name="강조색1 2 235" xfId="8184"/>
    <cellStyle name="강조색1 2 236" xfId="8185"/>
    <cellStyle name="강조색1 2 237" xfId="8186"/>
    <cellStyle name="강조색1 2 238" xfId="8187"/>
    <cellStyle name="강조색1 2 239" xfId="8188"/>
    <cellStyle name="강조색1 2 24" xfId="8189"/>
    <cellStyle name="강조색1 2 240" xfId="8190"/>
    <cellStyle name="강조색1 2 241" xfId="8191"/>
    <cellStyle name="강조색1 2 25" xfId="8192"/>
    <cellStyle name="강조색1 2 26" xfId="8193"/>
    <cellStyle name="강조색1 2 27" xfId="8194"/>
    <cellStyle name="강조색1 2 28" xfId="8195"/>
    <cellStyle name="강조색1 2 29" xfId="8196"/>
    <cellStyle name="강조색1 2 3" xfId="8197"/>
    <cellStyle name="강조색1 2 30" xfId="8198"/>
    <cellStyle name="강조색1 2 31" xfId="8199"/>
    <cellStyle name="강조색1 2 32" xfId="8200"/>
    <cellStyle name="강조색1 2 33" xfId="8201"/>
    <cellStyle name="강조색1 2 34" xfId="8202"/>
    <cellStyle name="강조색1 2 35" xfId="8203"/>
    <cellStyle name="강조색1 2 36" xfId="8204"/>
    <cellStyle name="강조색1 2 37" xfId="8205"/>
    <cellStyle name="강조색1 2 38" xfId="8206"/>
    <cellStyle name="강조색1 2 39" xfId="8207"/>
    <cellStyle name="강조색1 2 4" xfId="8208"/>
    <cellStyle name="강조색1 2 40" xfId="8209"/>
    <cellStyle name="강조색1 2 41" xfId="8210"/>
    <cellStyle name="강조색1 2 42" xfId="8211"/>
    <cellStyle name="강조색1 2 43" xfId="8212"/>
    <cellStyle name="강조색1 2 44" xfId="8213"/>
    <cellStyle name="강조색1 2 45" xfId="8214"/>
    <cellStyle name="강조색1 2 46" xfId="8215"/>
    <cellStyle name="강조색1 2 47" xfId="8216"/>
    <cellStyle name="강조색1 2 48" xfId="8217"/>
    <cellStyle name="강조색1 2 49" xfId="8218"/>
    <cellStyle name="강조색1 2 5" xfId="8219"/>
    <cellStyle name="강조색1 2 50" xfId="8220"/>
    <cellStyle name="강조색1 2 51" xfId="8221"/>
    <cellStyle name="강조색1 2 52" xfId="8222"/>
    <cellStyle name="강조색1 2 53" xfId="8223"/>
    <cellStyle name="강조색1 2 54" xfId="8224"/>
    <cellStyle name="강조색1 2 55" xfId="8225"/>
    <cellStyle name="강조색1 2 56" xfId="8226"/>
    <cellStyle name="강조색1 2 57" xfId="8227"/>
    <cellStyle name="강조색1 2 58" xfId="8228"/>
    <cellStyle name="강조색1 2 59" xfId="8229"/>
    <cellStyle name="강조색1 2 6" xfId="8230"/>
    <cellStyle name="강조색1 2 60" xfId="8231"/>
    <cellStyle name="강조색1 2 61" xfId="8232"/>
    <cellStyle name="강조색1 2 62" xfId="8233"/>
    <cellStyle name="강조색1 2 63" xfId="8234"/>
    <cellStyle name="강조색1 2 64" xfId="8235"/>
    <cellStyle name="강조색1 2 65" xfId="8236"/>
    <cellStyle name="강조색1 2 66" xfId="8237"/>
    <cellStyle name="강조색1 2 67" xfId="8238"/>
    <cellStyle name="강조색1 2 68" xfId="8239"/>
    <cellStyle name="강조색1 2 69" xfId="8240"/>
    <cellStyle name="강조색1 2 7" xfId="8241"/>
    <cellStyle name="강조색1 2 70" xfId="8242"/>
    <cellStyle name="강조색1 2 71" xfId="8243"/>
    <cellStyle name="강조색1 2 72" xfId="8244"/>
    <cellStyle name="강조색1 2 73" xfId="8245"/>
    <cellStyle name="강조색1 2 74" xfId="8246"/>
    <cellStyle name="강조색1 2 75" xfId="8247"/>
    <cellStyle name="강조색1 2 76" xfId="8248"/>
    <cellStyle name="강조색1 2 77" xfId="8249"/>
    <cellStyle name="강조색1 2 78" xfId="8250"/>
    <cellStyle name="강조색1 2 79" xfId="8251"/>
    <cellStyle name="강조색1 2 8" xfId="8252"/>
    <cellStyle name="강조색1 2 80" xfId="8253"/>
    <cellStyle name="강조색1 2 81" xfId="8254"/>
    <cellStyle name="강조색1 2 82" xfId="8255"/>
    <cellStyle name="강조색1 2 83" xfId="8256"/>
    <cellStyle name="강조색1 2 84" xfId="8257"/>
    <cellStyle name="강조색1 2 85" xfId="8258"/>
    <cellStyle name="강조색1 2 86" xfId="8259"/>
    <cellStyle name="강조색1 2 87" xfId="8260"/>
    <cellStyle name="강조색1 2 88" xfId="8261"/>
    <cellStyle name="강조색1 2 89" xfId="8262"/>
    <cellStyle name="강조색1 2 9" xfId="8263"/>
    <cellStyle name="강조색1 2 90" xfId="8264"/>
    <cellStyle name="강조색1 2 91" xfId="8265"/>
    <cellStyle name="강조색1 2 92" xfId="8266"/>
    <cellStyle name="강조색1 2 93" xfId="8267"/>
    <cellStyle name="강조색1 2 94" xfId="8268"/>
    <cellStyle name="강조색1 2 95" xfId="8269"/>
    <cellStyle name="강조색1 2 96" xfId="8270"/>
    <cellStyle name="강조색1 2 97" xfId="8271"/>
    <cellStyle name="강조색1 2 98" xfId="8272"/>
    <cellStyle name="강조색1 2 99" xfId="8273"/>
    <cellStyle name="강조색1 20" xfId="17053"/>
    <cellStyle name="강조색1 21" xfId="17054"/>
    <cellStyle name="강조색1 22" xfId="17055"/>
    <cellStyle name="강조색1 23" xfId="17056"/>
    <cellStyle name="강조색1 24" xfId="17057"/>
    <cellStyle name="강조색1 25" xfId="17058"/>
    <cellStyle name="강조색1 26" xfId="17059"/>
    <cellStyle name="강조색1 27" xfId="17060"/>
    <cellStyle name="강조색1 28" xfId="17061"/>
    <cellStyle name="강조색1 29" xfId="17062"/>
    <cellStyle name="강조색1 3" xfId="17063"/>
    <cellStyle name="강조색1 3 2" xfId="17064"/>
    <cellStyle name="강조색1 3 3" xfId="17065"/>
    <cellStyle name="강조색1 3 4" xfId="17066"/>
    <cellStyle name="강조색1 30" xfId="17067"/>
    <cellStyle name="강조색1 31" xfId="17068"/>
    <cellStyle name="강조색1 32" xfId="17069"/>
    <cellStyle name="강조색1 4" xfId="17070"/>
    <cellStyle name="강조색1 4 2" xfId="17071"/>
    <cellStyle name="강조색1 4 3" xfId="17072"/>
    <cellStyle name="강조색1 5" xfId="17073"/>
    <cellStyle name="강조색1 6" xfId="17074"/>
    <cellStyle name="강조색1 7" xfId="17075"/>
    <cellStyle name="강조색1 8" xfId="17076"/>
    <cellStyle name="강조색1 9" xfId="17077"/>
    <cellStyle name="강조색2 10" xfId="17078"/>
    <cellStyle name="강조색2 11" xfId="17079"/>
    <cellStyle name="강조색2 12" xfId="17080"/>
    <cellStyle name="강조색2 13" xfId="17081"/>
    <cellStyle name="강조색2 14" xfId="17082"/>
    <cellStyle name="강조색2 15" xfId="17083"/>
    <cellStyle name="강조색2 16" xfId="17084"/>
    <cellStyle name="강조색2 17" xfId="17085"/>
    <cellStyle name="강조색2 18" xfId="17086"/>
    <cellStyle name="강조색2 19" xfId="17087"/>
    <cellStyle name="강조색2 2" xfId="8274"/>
    <cellStyle name="강조색2 2 10" xfId="8275"/>
    <cellStyle name="강조색2 2 100" xfId="8276"/>
    <cellStyle name="강조색2 2 101" xfId="8277"/>
    <cellStyle name="강조색2 2 102" xfId="8278"/>
    <cellStyle name="강조색2 2 103" xfId="8279"/>
    <cellStyle name="강조색2 2 104" xfId="8280"/>
    <cellStyle name="강조색2 2 105" xfId="8281"/>
    <cellStyle name="강조색2 2 106" xfId="8282"/>
    <cellStyle name="강조색2 2 107" xfId="8283"/>
    <cellStyle name="강조색2 2 108" xfId="8284"/>
    <cellStyle name="강조색2 2 109" xfId="8285"/>
    <cellStyle name="강조색2 2 11" xfId="8286"/>
    <cellStyle name="강조색2 2 110" xfId="8287"/>
    <cellStyle name="강조색2 2 111" xfId="8288"/>
    <cellStyle name="강조색2 2 112" xfId="8289"/>
    <cellStyle name="강조색2 2 113" xfId="8290"/>
    <cellStyle name="강조색2 2 114" xfId="8291"/>
    <cellStyle name="강조색2 2 115" xfId="8292"/>
    <cellStyle name="강조색2 2 116" xfId="8293"/>
    <cellStyle name="강조색2 2 117" xfId="8294"/>
    <cellStyle name="강조색2 2 118" xfId="8295"/>
    <cellStyle name="강조색2 2 119" xfId="8296"/>
    <cellStyle name="강조색2 2 12" xfId="8297"/>
    <cellStyle name="강조색2 2 120" xfId="8298"/>
    <cellStyle name="강조색2 2 121" xfId="8299"/>
    <cellStyle name="강조색2 2 122" xfId="8300"/>
    <cellStyle name="강조색2 2 123" xfId="8301"/>
    <cellStyle name="강조색2 2 124" xfId="8302"/>
    <cellStyle name="강조색2 2 125" xfId="8303"/>
    <cellStyle name="강조색2 2 126" xfId="8304"/>
    <cellStyle name="강조색2 2 127" xfId="8305"/>
    <cellStyle name="강조색2 2 128" xfId="8306"/>
    <cellStyle name="강조색2 2 129" xfId="8307"/>
    <cellStyle name="강조색2 2 13" xfId="8308"/>
    <cellStyle name="강조색2 2 130" xfId="8309"/>
    <cellStyle name="강조색2 2 131" xfId="8310"/>
    <cellStyle name="강조색2 2 132" xfId="8311"/>
    <cellStyle name="강조색2 2 133" xfId="8312"/>
    <cellStyle name="강조색2 2 134" xfId="8313"/>
    <cellStyle name="강조색2 2 135" xfId="8314"/>
    <cellStyle name="강조색2 2 136" xfId="8315"/>
    <cellStyle name="강조색2 2 137" xfId="8316"/>
    <cellStyle name="강조색2 2 138" xfId="8317"/>
    <cellStyle name="강조색2 2 139" xfId="8318"/>
    <cellStyle name="강조색2 2 14" xfId="8319"/>
    <cellStyle name="강조색2 2 140" xfId="8320"/>
    <cellStyle name="강조색2 2 141" xfId="8321"/>
    <cellStyle name="강조색2 2 142" xfId="8322"/>
    <cellStyle name="강조색2 2 143" xfId="8323"/>
    <cellStyle name="강조색2 2 144" xfId="8324"/>
    <cellStyle name="강조색2 2 145" xfId="8325"/>
    <cellStyle name="강조색2 2 146" xfId="8326"/>
    <cellStyle name="강조색2 2 147" xfId="8327"/>
    <cellStyle name="강조색2 2 148" xfId="8328"/>
    <cellStyle name="강조색2 2 149" xfId="8329"/>
    <cellStyle name="강조색2 2 15" xfId="8330"/>
    <cellStyle name="강조색2 2 150" xfId="8331"/>
    <cellStyle name="강조색2 2 151" xfId="8332"/>
    <cellStyle name="강조색2 2 152" xfId="8333"/>
    <cellStyle name="강조색2 2 153" xfId="8334"/>
    <cellStyle name="강조색2 2 154" xfId="8335"/>
    <cellStyle name="강조색2 2 155" xfId="8336"/>
    <cellStyle name="강조색2 2 156" xfId="8337"/>
    <cellStyle name="강조색2 2 157" xfId="8338"/>
    <cellStyle name="강조색2 2 158" xfId="8339"/>
    <cellStyle name="강조색2 2 159" xfId="8340"/>
    <cellStyle name="강조색2 2 16" xfId="8341"/>
    <cellStyle name="강조색2 2 160" xfId="8342"/>
    <cellStyle name="강조색2 2 161" xfId="8343"/>
    <cellStyle name="강조색2 2 162" xfId="8344"/>
    <cellStyle name="강조색2 2 163" xfId="8345"/>
    <cellStyle name="강조색2 2 164" xfId="8346"/>
    <cellStyle name="강조색2 2 165" xfId="8347"/>
    <cellStyle name="강조색2 2 166" xfId="8348"/>
    <cellStyle name="강조색2 2 167" xfId="8349"/>
    <cellStyle name="강조색2 2 168" xfId="8350"/>
    <cellStyle name="강조색2 2 169" xfId="8351"/>
    <cellStyle name="강조색2 2 17" xfId="8352"/>
    <cellStyle name="강조색2 2 170" xfId="8353"/>
    <cellStyle name="강조색2 2 171" xfId="8354"/>
    <cellStyle name="강조색2 2 172" xfId="8355"/>
    <cellStyle name="강조색2 2 173" xfId="8356"/>
    <cellStyle name="강조색2 2 174" xfId="8357"/>
    <cellStyle name="강조색2 2 175" xfId="8358"/>
    <cellStyle name="강조색2 2 176" xfId="8359"/>
    <cellStyle name="강조색2 2 177" xfId="8360"/>
    <cellStyle name="강조색2 2 178" xfId="8361"/>
    <cellStyle name="강조색2 2 179" xfId="8362"/>
    <cellStyle name="강조색2 2 18" xfId="8363"/>
    <cellStyle name="강조색2 2 180" xfId="8364"/>
    <cellStyle name="강조색2 2 181" xfId="8365"/>
    <cellStyle name="강조색2 2 182" xfId="8366"/>
    <cellStyle name="강조색2 2 183" xfId="8367"/>
    <cellStyle name="강조색2 2 184" xfId="8368"/>
    <cellStyle name="강조색2 2 185" xfId="8369"/>
    <cellStyle name="강조색2 2 186" xfId="8370"/>
    <cellStyle name="강조색2 2 187" xfId="8371"/>
    <cellStyle name="강조색2 2 188" xfId="8372"/>
    <cellStyle name="강조색2 2 189" xfId="8373"/>
    <cellStyle name="강조색2 2 19" xfId="8374"/>
    <cellStyle name="강조색2 2 190" xfId="8375"/>
    <cellStyle name="강조색2 2 191" xfId="8376"/>
    <cellStyle name="강조색2 2 192" xfId="8377"/>
    <cellStyle name="강조색2 2 193" xfId="8378"/>
    <cellStyle name="강조색2 2 194" xfId="8379"/>
    <cellStyle name="강조색2 2 195" xfId="8380"/>
    <cellStyle name="강조색2 2 196" xfId="8381"/>
    <cellStyle name="강조색2 2 197" xfId="8382"/>
    <cellStyle name="강조색2 2 198" xfId="8383"/>
    <cellStyle name="강조색2 2 199" xfId="8384"/>
    <cellStyle name="강조색2 2 2" xfId="8385"/>
    <cellStyle name="강조색2 2 20" xfId="8386"/>
    <cellStyle name="강조색2 2 200" xfId="8387"/>
    <cellStyle name="강조색2 2 201" xfId="8388"/>
    <cellStyle name="강조색2 2 202" xfId="8389"/>
    <cellStyle name="강조색2 2 203" xfId="8390"/>
    <cellStyle name="강조색2 2 204" xfId="8391"/>
    <cellStyle name="강조색2 2 205" xfId="8392"/>
    <cellStyle name="강조색2 2 206" xfId="8393"/>
    <cellStyle name="강조색2 2 207" xfId="8394"/>
    <cellStyle name="강조색2 2 208" xfId="8395"/>
    <cellStyle name="강조색2 2 209" xfId="8396"/>
    <cellStyle name="강조색2 2 21" xfId="8397"/>
    <cellStyle name="강조색2 2 210" xfId="8398"/>
    <cellStyle name="강조색2 2 211" xfId="8399"/>
    <cellStyle name="강조색2 2 212" xfId="8400"/>
    <cellStyle name="강조색2 2 213" xfId="8401"/>
    <cellStyle name="강조색2 2 214" xfId="8402"/>
    <cellStyle name="강조색2 2 215" xfId="8403"/>
    <cellStyle name="강조색2 2 216" xfId="8404"/>
    <cellStyle name="강조색2 2 217" xfId="8405"/>
    <cellStyle name="강조색2 2 218" xfId="8406"/>
    <cellStyle name="강조색2 2 219" xfId="8407"/>
    <cellStyle name="강조색2 2 22" xfId="8408"/>
    <cellStyle name="강조색2 2 220" xfId="8409"/>
    <cellStyle name="강조색2 2 221" xfId="8410"/>
    <cellStyle name="강조색2 2 222" xfId="8411"/>
    <cellStyle name="강조색2 2 223" xfId="8412"/>
    <cellStyle name="강조색2 2 224" xfId="8413"/>
    <cellStyle name="강조색2 2 225" xfId="8414"/>
    <cellStyle name="강조색2 2 226" xfId="8415"/>
    <cellStyle name="강조색2 2 227" xfId="8416"/>
    <cellStyle name="강조색2 2 228" xfId="8417"/>
    <cellStyle name="강조색2 2 229" xfId="8418"/>
    <cellStyle name="강조색2 2 23" xfId="8419"/>
    <cellStyle name="강조색2 2 230" xfId="8420"/>
    <cellStyle name="강조색2 2 231" xfId="8421"/>
    <cellStyle name="강조색2 2 232" xfId="8422"/>
    <cellStyle name="강조색2 2 233" xfId="8423"/>
    <cellStyle name="강조색2 2 234" xfId="8424"/>
    <cellStyle name="강조색2 2 235" xfId="8425"/>
    <cellStyle name="강조색2 2 236" xfId="8426"/>
    <cellStyle name="강조색2 2 237" xfId="8427"/>
    <cellStyle name="강조색2 2 238" xfId="8428"/>
    <cellStyle name="강조색2 2 239" xfId="8429"/>
    <cellStyle name="강조색2 2 24" xfId="8430"/>
    <cellStyle name="강조색2 2 240" xfId="8431"/>
    <cellStyle name="강조색2 2 241" xfId="8432"/>
    <cellStyle name="강조색2 2 25" xfId="8433"/>
    <cellStyle name="강조색2 2 26" xfId="8434"/>
    <cellStyle name="강조색2 2 27" xfId="8435"/>
    <cellStyle name="강조색2 2 28" xfId="8436"/>
    <cellStyle name="강조색2 2 29" xfId="8437"/>
    <cellStyle name="강조색2 2 3" xfId="8438"/>
    <cellStyle name="강조색2 2 30" xfId="8439"/>
    <cellStyle name="강조색2 2 31" xfId="8440"/>
    <cellStyle name="강조색2 2 32" xfId="8441"/>
    <cellStyle name="강조색2 2 33" xfId="8442"/>
    <cellStyle name="강조색2 2 34" xfId="8443"/>
    <cellStyle name="강조색2 2 35" xfId="8444"/>
    <cellStyle name="강조색2 2 36" xfId="8445"/>
    <cellStyle name="강조색2 2 37" xfId="8446"/>
    <cellStyle name="강조색2 2 38" xfId="8447"/>
    <cellStyle name="강조색2 2 39" xfId="8448"/>
    <cellStyle name="강조색2 2 4" xfId="8449"/>
    <cellStyle name="강조색2 2 40" xfId="8450"/>
    <cellStyle name="강조색2 2 41" xfId="8451"/>
    <cellStyle name="강조색2 2 42" xfId="8452"/>
    <cellStyle name="강조색2 2 43" xfId="8453"/>
    <cellStyle name="강조색2 2 44" xfId="8454"/>
    <cellStyle name="강조색2 2 45" xfId="8455"/>
    <cellStyle name="강조색2 2 46" xfId="8456"/>
    <cellStyle name="강조색2 2 47" xfId="8457"/>
    <cellStyle name="강조색2 2 48" xfId="8458"/>
    <cellStyle name="강조색2 2 49" xfId="8459"/>
    <cellStyle name="강조색2 2 5" xfId="8460"/>
    <cellStyle name="강조색2 2 50" xfId="8461"/>
    <cellStyle name="강조색2 2 51" xfId="8462"/>
    <cellStyle name="강조색2 2 52" xfId="8463"/>
    <cellStyle name="강조색2 2 53" xfId="8464"/>
    <cellStyle name="강조색2 2 54" xfId="8465"/>
    <cellStyle name="강조색2 2 55" xfId="8466"/>
    <cellStyle name="강조색2 2 56" xfId="8467"/>
    <cellStyle name="강조색2 2 57" xfId="8468"/>
    <cellStyle name="강조색2 2 58" xfId="8469"/>
    <cellStyle name="강조색2 2 59" xfId="8470"/>
    <cellStyle name="강조색2 2 6" xfId="8471"/>
    <cellStyle name="강조색2 2 60" xfId="8472"/>
    <cellStyle name="강조색2 2 61" xfId="8473"/>
    <cellStyle name="강조색2 2 62" xfId="8474"/>
    <cellStyle name="강조색2 2 63" xfId="8475"/>
    <cellStyle name="강조색2 2 64" xfId="8476"/>
    <cellStyle name="강조색2 2 65" xfId="8477"/>
    <cellStyle name="강조색2 2 66" xfId="8478"/>
    <cellStyle name="강조색2 2 67" xfId="8479"/>
    <cellStyle name="강조색2 2 68" xfId="8480"/>
    <cellStyle name="강조색2 2 69" xfId="8481"/>
    <cellStyle name="강조색2 2 7" xfId="8482"/>
    <cellStyle name="강조색2 2 70" xfId="8483"/>
    <cellStyle name="강조색2 2 71" xfId="8484"/>
    <cellStyle name="강조색2 2 72" xfId="8485"/>
    <cellStyle name="강조색2 2 73" xfId="8486"/>
    <cellStyle name="강조색2 2 74" xfId="8487"/>
    <cellStyle name="강조색2 2 75" xfId="8488"/>
    <cellStyle name="강조색2 2 76" xfId="8489"/>
    <cellStyle name="강조색2 2 77" xfId="8490"/>
    <cellStyle name="강조색2 2 78" xfId="8491"/>
    <cellStyle name="강조색2 2 79" xfId="8492"/>
    <cellStyle name="강조색2 2 8" xfId="8493"/>
    <cellStyle name="강조색2 2 80" xfId="8494"/>
    <cellStyle name="강조색2 2 81" xfId="8495"/>
    <cellStyle name="강조색2 2 82" xfId="8496"/>
    <cellStyle name="강조색2 2 83" xfId="8497"/>
    <cellStyle name="강조색2 2 84" xfId="8498"/>
    <cellStyle name="강조색2 2 85" xfId="8499"/>
    <cellStyle name="강조색2 2 86" xfId="8500"/>
    <cellStyle name="강조색2 2 87" xfId="8501"/>
    <cellStyle name="강조색2 2 88" xfId="8502"/>
    <cellStyle name="강조색2 2 89" xfId="8503"/>
    <cellStyle name="강조색2 2 9" xfId="8504"/>
    <cellStyle name="강조색2 2 90" xfId="8505"/>
    <cellStyle name="강조색2 2 91" xfId="8506"/>
    <cellStyle name="강조색2 2 92" xfId="8507"/>
    <cellStyle name="강조색2 2 93" xfId="8508"/>
    <cellStyle name="강조색2 2 94" xfId="8509"/>
    <cellStyle name="강조색2 2 95" xfId="8510"/>
    <cellStyle name="강조색2 2 96" xfId="8511"/>
    <cellStyle name="강조색2 2 97" xfId="8512"/>
    <cellStyle name="강조색2 2 98" xfId="8513"/>
    <cellStyle name="강조색2 2 99" xfId="8514"/>
    <cellStyle name="강조색2 20" xfId="17088"/>
    <cellStyle name="강조색2 21" xfId="17089"/>
    <cellStyle name="강조색2 22" xfId="17090"/>
    <cellStyle name="강조색2 23" xfId="17091"/>
    <cellStyle name="강조색2 24" xfId="17092"/>
    <cellStyle name="강조색2 25" xfId="17093"/>
    <cellStyle name="강조색2 26" xfId="17094"/>
    <cellStyle name="강조색2 27" xfId="17095"/>
    <cellStyle name="강조색2 28" xfId="17096"/>
    <cellStyle name="강조색2 29" xfId="17097"/>
    <cellStyle name="강조색2 3" xfId="17098"/>
    <cellStyle name="강조색2 3 2" xfId="17099"/>
    <cellStyle name="강조색2 3 3" xfId="17100"/>
    <cellStyle name="강조색2 30" xfId="17101"/>
    <cellStyle name="강조색2 31" xfId="17102"/>
    <cellStyle name="강조색2 32" xfId="17103"/>
    <cellStyle name="강조색2 4" xfId="17104"/>
    <cellStyle name="강조색2 4 2" xfId="17105"/>
    <cellStyle name="강조색2 4 3" xfId="17106"/>
    <cellStyle name="강조색2 5" xfId="17107"/>
    <cellStyle name="강조색2 6" xfId="17108"/>
    <cellStyle name="강조색2 7" xfId="17109"/>
    <cellStyle name="강조색2 8" xfId="17110"/>
    <cellStyle name="강조색2 9" xfId="17111"/>
    <cellStyle name="강조색3 10" xfId="17112"/>
    <cellStyle name="강조색3 11" xfId="17113"/>
    <cellStyle name="강조색3 12" xfId="17114"/>
    <cellStyle name="강조색3 13" xfId="17115"/>
    <cellStyle name="강조색3 14" xfId="17116"/>
    <cellStyle name="강조색3 15" xfId="17117"/>
    <cellStyle name="강조색3 16" xfId="17118"/>
    <cellStyle name="강조색3 17" xfId="17119"/>
    <cellStyle name="강조색3 18" xfId="17120"/>
    <cellStyle name="강조색3 19" xfId="17121"/>
    <cellStyle name="강조색3 2" xfId="8515"/>
    <cellStyle name="강조색3 2 10" xfId="8516"/>
    <cellStyle name="강조색3 2 100" xfId="8517"/>
    <cellStyle name="강조색3 2 101" xfId="8518"/>
    <cellStyle name="강조색3 2 102" xfId="8519"/>
    <cellStyle name="강조색3 2 103" xfId="8520"/>
    <cellStyle name="강조색3 2 104" xfId="8521"/>
    <cellStyle name="강조색3 2 105" xfId="8522"/>
    <cellStyle name="강조색3 2 106" xfId="8523"/>
    <cellStyle name="강조색3 2 107" xfId="8524"/>
    <cellStyle name="강조색3 2 108" xfId="8525"/>
    <cellStyle name="강조색3 2 109" xfId="8526"/>
    <cellStyle name="강조색3 2 11" xfId="8527"/>
    <cellStyle name="강조색3 2 110" xfId="8528"/>
    <cellStyle name="강조색3 2 111" xfId="8529"/>
    <cellStyle name="강조색3 2 112" xfId="8530"/>
    <cellStyle name="강조색3 2 113" xfId="8531"/>
    <cellStyle name="강조색3 2 114" xfId="8532"/>
    <cellStyle name="강조색3 2 115" xfId="8533"/>
    <cellStyle name="강조색3 2 116" xfId="8534"/>
    <cellStyle name="강조색3 2 117" xfId="8535"/>
    <cellStyle name="강조색3 2 118" xfId="8536"/>
    <cellStyle name="강조색3 2 119" xfId="8537"/>
    <cellStyle name="강조색3 2 12" xfId="8538"/>
    <cellStyle name="강조색3 2 120" xfId="8539"/>
    <cellStyle name="강조색3 2 121" xfId="8540"/>
    <cellStyle name="강조색3 2 122" xfId="8541"/>
    <cellStyle name="강조색3 2 123" xfId="8542"/>
    <cellStyle name="강조색3 2 124" xfId="8543"/>
    <cellStyle name="강조색3 2 125" xfId="8544"/>
    <cellStyle name="강조색3 2 126" xfId="8545"/>
    <cellStyle name="강조색3 2 127" xfId="8546"/>
    <cellStyle name="강조색3 2 128" xfId="8547"/>
    <cellStyle name="강조색3 2 129" xfId="8548"/>
    <cellStyle name="강조색3 2 13" xfId="8549"/>
    <cellStyle name="강조색3 2 130" xfId="8550"/>
    <cellStyle name="강조색3 2 131" xfId="8551"/>
    <cellStyle name="강조색3 2 132" xfId="8552"/>
    <cellStyle name="강조색3 2 133" xfId="8553"/>
    <cellStyle name="강조색3 2 134" xfId="8554"/>
    <cellStyle name="강조색3 2 135" xfId="8555"/>
    <cellStyle name="강조색3 2 136" xfId="8556"/>
    <cellStyle name="강조색3 2 137" xfId="8557"/>
    <cellStyle name="강조색3 2 138" xfId="8558"/>
    <cellStyle name="강조색3 2 139" xfId="8559"/>
    <cellStyle name="강조색3 2 14" xfId="8560"/>
    <cellStyle name="강조색3 2 140" xfId="8561"/>
    <cellStyle name="강조색3 2 141" xfId="8562"/>
    <cellStyle name="강조색3 2 142" xfId="8563"/>
    <cellStyle name="강조색3 2 143" xfId="8564"/>
    <cellStyle name="강조색3 2 144" xfId="8565"/>
    <cellStyle name="강조색3 2 145" xfId="8566"/>
    <cellStyle name="강조색3 2 146" xfId="8567"/>
    <cellStyle name="강조색3 2 147" xfId="8568"/>
    <cellStyle name="강조색3 2 148" xfId="8569"/>
    <cellStyle name="강조색3 2 149" xfId="8570"/>
    <cellStyle name="강조색3 2 15" xfId="8571"/>
    <cellStyle name="강조색3 2 150" xfId="8572"/>
    <cellStyle name="강조색3 2 151" xfId="8573"/>
    <cellStyle name="강조색3 2 152" xfId="8574"/>
    <cellStyle name="강조색3 2 153" xfId="8575"/>
    <cellStyle name="강조색3 2 154" xfId="8576"/>
    <cellStyle name="강조색3 2 155" xfId="8577"/>
    <cellStyle name="강조색3 2 156" xfId="8578"/>
    <cellStyle name="강조색3 2 157" xfId="8579"/>
    <cellStyle name="강조색3 2 158" xfId="8580"/>
    <cellStyle name="강조색3 2 159" xfId="8581"/>
    <cellStyle name="강조색3 2 16" xfId="8582"/>
    <cellStyle name="강조색3 2 160" xfId="8583"/>
    <cellStyle name="강조색3 2 161" xfId="8584"/>
    <cellStyle name="강조색3 2 162" xfId="8585"/>
    <cellStyle name="강조색3 2 163" xfId="8586"/>
    <cellStyle name="강조색3 2 164" xfId="8587"/>
    <cellStyle name="강조색3 2 165" xfId="8588"/>
    <cellStyle name="강조색3 2 166" xfId="8589"/>
    <cellStyle name="강조색3 2 167" xfId="8590"/>
    <cellStyle name="강조색3 2 168" xfId="8591"/>
    <cellStyle name="강조색3 2 169" xfId="8592"/>
    <cellStyle name="강조색3 2 17" xfId="8593"/>
    <cellStyle name="강조색3 2 170" xfId="8594"/>
    <cellStyle name="강조색3 2 171" xfId="8595"/>
    <cellStyle name="강조색3 2 172" xfId="8596"/>
    <cellStyle name="강조색3 2 173" xfId="8597"/>
    <cellStyle name="강조색3 2 174" xfId="8598"/>
    <cellStyle name="강조색3 2 175" xfId="8599"/>
    <cellStyle name="강조색3 2 176" xfId="8600"/>
    <cellStyle name="강조색3 2 177" xfId="8601"/>
    <cellStyle name="강조색3 2 178" xfId="8602"/>
    <cellStyle name="강조색3 2 179" xfId="8603"/>
    <cellStyle name="강조색3 2 18" xfId="8604"/>
    <cellStyle name="강조색3 2 180" xfId="8605"/>
    <cellStyle name="강조색3 2 181" xfId="8606"/>
    <cellStyle name="강조색3 2 182" xfId="8607"/>
    <cellStyle name="강조색3 2 183" xfId="8608"/>
    <cellStyle name="강조색3 2 184" xfId="8609"/>
    <cellStyle name="강조색3 2 185" xfId="8610"/>
    <cellStyle name="강조색3 2 186" xfId="8611"/>
    <cellStyle name="강조색3 2 187" xfId="8612"/>
    <cellStyle name="강조색3 2 188" xfId="8613"/>
    <cellStyle name="강조색3 2 189" xfId="8614"/>
    <cellStyle name="강조색3 2 19" xfId="8615"/>
    <cellStyle name="강조색3 2 190" xfId="8616"/>
    <cellStyle name="강조색3 2 191" xfId="8617"/>
    <cellStyle name="강조색3 2 192" xfId="8618"/>
    <cellStyle name="강조색3 2 193" xfId="8619"/>
    <cellStyle name="강조색3 2 194" xfId="8620"/>
    <cellStyle name="강조색3 2 195" xfId="8621"/>
    <cellStyle name="강조색3 2 196" xfId="8622"/>
    <cellStyle name="강조색3 2 197" xfId="8623"/>
    <cellStyle name="강조색3 2 198" xfId="8624"/>
    <cellStyle name="강조색3 2 199" xfId="8625"/>
    <cellStyle name="강조색3 2 2" xfId="8626"/>
    <cellStyle name="강조색3 2 20" xfId="8627"/>
    <cellStyle name="강조색3 2 200" xfId="8628"/>
    <cellStyle name="강조색3 2 201" xfId="8629"/>
    <cellStyle name="강조색3 2 202" xfId="8630"/>
    <cellStyle name="강조색3 2 203" xfId="8631"/>
    <cellStyle name="강조색3 2 204" xfId="8632"/>
    <cellStyle name="강조색3 2 205" xfId="8633"/>
    <cellStyle name="강조색3 2 206" xfId="8634"/>
    <cellStyle name="강조색3 2 207" xfId="8635"/>
    <cellStyle name="강조색3 2 208" xfId="8636"/>
    <cellStyle name="강조색3 2 209" xfId="8637"/>
    <cellStyle name="강조색3 2 21" xfId="8638"/>
    <cellStyle name="강조색3 2 210" xfId="8639"/>
    <cellStyle name="강조색3 2 211" xfId="8640"/>
    <cellStyle name="강조색3 2 212" xfId="8641"/>
    <cellStyle name="강조색3 2 213" xfId="8642"/>
    <cellStyle name="강조색3 2 214" xfId="8643"/>
    <cellStyle name="강조색3 2 215" xfId="8644"/>
    <cellStyle name="강조색3 2 216" xfId="8645"/>
    <cellStyle name="강조색3 2 217" xfId="8646"/>
    <cellStyle name="강조색3 2 218" xfId="8647"/>
    <cellStyle name="강조색3 2 219" xfId="8648"/>
    <cellStyle name="강조색3 2 22" xfId="8649"/>
    <cellStyle name="강조색3 2 220" xfId="8650"/>
    <cellStyle name="강조색3 2 221" xfId="8651"/>
    <cellStyle name="강조색3 2 222" xfId="8652"/>
    <cellStyle name="강조색3 2 223" xfId="8653"/>
    <cellStyle name="강조색3 2 224" xfId="8654"/>
    <cellStyle name="강조색3 2 225" xfId="8655"/>
    <cellStyle name="강조색3 2 226" xfId="8656"/>
    <cellStyle name="강조색3 2 227" xfId="8657"/>
    <cellStyle name="강조색3 2 228" xfId="8658"/>
    <cellStyle name="강조색3 2 229" xfId="8659"/>
    <cellStyle name="강조색3 2 23" xfId="8660"/>
    <cellStyle name="강조색3 2 230" xfId="8661"/>
    <cellStyle name="강조색3 2 231" xfId="8662"/>
    <cellStyle name="강조색3 2 232" xfId="8663"/>
    <cellStyle name="강조색3 2 233" xfId="8664"/>
    <cellStyle name="강조색3 2 234" xfId="8665"/>
    <cellStyle name="강조색3 2 235" xfId="8666"/>
    <cellStyle name="강조색3 2 236" xfId="8667"/>
    <cellStyle name="강조색3 2 237" xfId="8668"/>
    <cellStyle name="강조색3 2 238" xfId="8669"/>
    <cellStyle name="강조색3 2 239" xfId="8670"/>
    <cellStyle name="강조색3 2 24" xfId="8671"/>
    <cellStyle name="강조색3 2 240" xfId="8672"/>
    <cellStyle name="강조색3 2 241" xfId="8673"/>
    <cellStyle name="강조색3 2 25" xfId="8674"/>
    <cellStyle name="강조색3 2 26" xfId="8675"/>
    <cellStyle name="강조색3 2 27" xfId="8676"/>
    <cellStyle name="강조색3 2 28" xfId="8677"/>
    <cellStyle name="강조색3 2 29" xfId="8678"/>
    <cellStyle name="강조색3 2 3" xfId="8679"/>
    <cellStyle name="강조색3 2 30" xfId="8680"/>
    <cellStyle name="강조색3 2 31" xfId="8681"/>
    <cellStyle name="강조색3 2 32" xfId="8682"/>
    <cellStyle name="강조색3 2 33" xfId="8683"/>
    <cellStyle name="강조색3 2 34" xfId="8684"/>
    <cellStyle name="강조색3 2 35" xfId="8685"/>
    <cellStyle name="강조색3 2 36" xfId="8686"/>
    <cellStyle name="강조색3 2 37" xfId="8687"/>
    <cellStyle name="강조색3 2 38" xfId="8688"/>
    <cellStyle name="강조색3 2 39" xfId="8689"/>
    <cellStyle name="강조색3 2 4" xfId="8690"/>
    <cellStyle name="강조색3 2 40" xfId="8691"/>
    <cellStyle name="강조색3 2 41" xfId="8692"/>
    <cellStyle name="강조색3 2 42" xfId="8693"/>
    <cellStyle name="강조색3 2 43" xfId="8694"/>
    <cellStyle name="강조색3 2 44" xfId="8695"/>
    <cellStyle name="강조색3 2 45" xfId="8696"/>
    <cellStyle name="강조색3 2 46" xfId="8697"/>
    <cellStyle name="강조색3 2 47" xfId="8698"/>
    <cellStyle name="강조색3 2 48" xfId="8699"/>
    <cellStyle name="강조색3 2 49" xfId="8700"/>
    <cellStyle name="강조색3 2 5" xfId="8701"/>
    <cellStyle name="강조색3 2 50" xfId="8702"/>
    <cellStyle name="강조색3 2 51" xfId="8703"/>
    <cellStyle name="강조색3 2 52" xfId="8704"/>
    <cellStyle name="강조색3 2 53" xfId="8705"/>
    <cellStyle name="강조색3 2 54" xfId="8706"/>
    <cellStyle name="강조색3 2 55" xfId="8707"/>
    <cellStyle name="강조색3 2 56" xfId="8708"/>
    <cellStyle name="강조색3 2 57" xfId="8709"/>
    <cellStyle name="강조색3 2 58" xfId="8710"/>
    <cellStyle name="강조색3 2 59" xfId="8711"/>
    <cellStyle name="강조색3 2 6" xfId="8712"/>
    <cellStyle name="강조색3 2 60" xfId="8713"/>
    <cellStyle name="강조색3 2 61" xfId="8714"/>
    <cellStyle name="강조색3 2 62" xfId="8715"/>
    <cellStyle name="강조색3 2 63" xfId="8716"/>
    <cellStyle name="강조색3 2 64" xfId="8717"/>
    <cellStyle name="강조색3 2 65" xfId="8718"/>
    <cellStyle name="강조색3 2 66" xfId="8719"/>
    <cellStyle name="강조색3 2 67" xfId="8720"/>
    <cellStyle name="강조색3 2 68" xfId="8721"/>
    <cellStyle name="강조색3 2 69" xfId="8722"/>
    <cellStyle name="강조색3 2 7" xfId="8723"/>
    <cellStyle name="강조색3 2 70" xfId="8724"/>
    <cellStyle name="강조색3 2 71" xfId="8725"/>
    <cellStyle name="강조색3 2 72" xfId="8726"/>
    <cellStyle name="강조색3 2 73" xfId="8727"/>
    <cellStyle name="강조색3 2 74" xfId="8728"/>
    <cellStyle name="강조색3 2 75" xfId="8729"/>
    <cellStyle name="강조색3 2 76" xfId="8730"/>
    <cellStyle name="강조색3 2 77" xfId="8731"/>
    <cellStyle name="강조색3 2 78" xfId="8732"/>
    <cellStyle name="강조색3 2 79" xfId="8733"/>
    <cellStyle name="강조색3 2 8" xfId="8734"/>
    <cellStyle name="강조색3 2 80" xfId="8735"/>
    <cellStyle name="강조색3 2 81" xfId="8736"/>
    <cellStyle name="강조색3 2 82" xfId="8737"/>
    <cellStyle name="강조색3 2 83" xfId="8738"/>
    <cellStyle name="강조색3 2 84" xfId="8739"/>
    <cellStyle name="강조색3 2 85" xfId="8740"/>
    <cellStyle name="강조색3 2 86" xfId="8741"/>
    <cellStyle name="강조색3 2 87" xfId="8742"/>
    <cellStyle name="강조색3 2 88" xfId="8743"/>
    <cellStyle name="강조색3 2 89" xfId="8744"/>
    <cellStyle name="강조색3 2 9" xfId="8745"/>
    <cellStyle name="강조색3 2 90" xfId="8746"/>
    <cellStyle name="강조색3 2 91" xfId="8747"/>
    <cellStyle name="강조색3 2 92" xfId="8748"/>
    <cellStyle name="강조색3 2 93" xfId="8749"/>
    <cellStyle name="강조색3 2 94" xfId="8750"/>
    <cellStyle name="강조색3 2 95" xfId="8751"/>
    <cellStyle name="강조색3 2 96" xfId="8752"/>
    <cellStyle name="강조색3 2 97" xfId="8753"/>
    <cellStyle name="강조색3 2 98" xfId="8754"/>
    <cellStyle name="강조색3 2 99" xfId="8755"/>
    <cellStyle name="강조색3 20" xfId="17122"/>
    <cellStyle name="강조색3 21" xfId="17123"/>
    <cellStyle name="강조색3 22" xfId="17124"/>
    <cellStyle name="강조색3 23" xfId="17125"/>
    <cellStyle name="강조색3 24" xfId="17126"/>
    <cellStyle name="강조색3 25" xfId="17127"/>
    <cellStyle name="강조색3 26" xfId="17128"/>
    <cellStyle name="강조색3 27" xfId="17129"/>
    <cellStyle name="강조색3 28" xfId="17130"/>
    <cellStyle name="강조색3 29" xfId="17131"/>
    <cellStyle name="강조색3 3" xfId="17132"/>
    <cellStyle name="강조색3 3 2" xfId="17133"/>
    <cellStyle name="강조색3 3 3" xfId="17134"/>
    <cellStyle name="강조색3 30" xfId="17135"/>
    <cellStyle name="강조색3 31" xfId="17136"/>
    <cellStyle name="강조색3 32" xfId="17137"/>
    <cellStyle name="강조색3 4" xfId="17138"/>
    <cellStyle name="강조색3 4 2" xfId="17139"/>
    <cellStyle name="강조색3 4 3" xfId="17140"/>
    <cellStyle name="강조색3 5" xfId="17141"/>
    <cellStyle name="강조색3 6" xfId="17142"/>
    <cellStyle name="강조색3 7" xfId="17143"/>
    <cellStyle name="강조색3 8" xfId="17144"/>
    <cellStyle name="강조색3 9" xfId="17145"/>
    <cellStyle name="강조색4 10" xfId="17146"/>
    <cellStyle name="강조색4 11" xfId="17147"/>
    <cellStyle name="강조색4 12" xfId="17148"/>
    <cellStyle name="강조색4 13" xfId="17149"/>
    <cellStyle name="강조색4 14" xfId="17150"/>
    <cellStyle name="강조색4 15" xfId="17151"/>
    <cellStyle name="강조색4 16" xfId="17152"/>
    <cellStyle name="강조색4 17" xfId="17153"/>
    <cellStyle name="강조색4 18" xfId="17154"/>
    <cellStyle name="강조색4 19" xfId="17155"/>
    <cellStyle name="강조색4 2" xfId="8756"/>
    <cellStyle name="강조색4 2 10" xfId="8757"/>
    <cellStyle name="강조색4 2 100" xfId="8758"/>
    <cellStyle name="강조색4 2 101" xfId="8759"/>
    <cellStyle name="강조색4 2 102" xfId="8760"/>
    <cellStyle name="강조색4 2 103" xfId="8761"/>
    <cellStyle name="강조색4 2 104" xfId="8762"/>
    <cellStyle name="강조색4 2 105" xfId="8763"/>
    <cellStyle name="강조색4 2 106" xfId="8764"/>
    <cellStyle name="강조색4 2 107" xfId="8765"/>
    <cellStyle name="강조색4 2 108" xfId="8766"/>
    <cellStyle name="강조색4 2 109" xfId="8767"/>
    <cellStyle name="강조색4 2 11" xfId="8768"/>
    <cellStyle name="강조색4 2 110" xfId="8769"/>
    <cellStyle name="강조색4 2 111" xfId="8770"/>
    <cellStyle name="강조색4 2 112" xfId="8771"/>
    <cellStyle name="강조색4 2 113" xfId="8772"/>
    <cellStyle name="강조색4 2 114" xfId="8773"/>
    <cellStyle name="강조색4 2 115" xfId="8774"/>
    <cellStyle name="강조색4 2 116" xfId="8775"/>
    <cellStyle name="강조색4 2 117" xfId="8776"/>
    <cellStyle name="강조색4 2 118" xfId="8777"/>
    <cellStyle name="강조색4 2 119" xfId="8778"/>
    <cellStyle name="강조색4 2 12" xfId="8779"/>
    <cellStyle name="강조색4 2 120" xfId="8780"/>
    <cellStyle name="강조색4 2 121" xfId="8781"/>
    <cellStyle name="강조색4 2 122" xfId="8782"/>
    <cellStyle name="강조색4 2 123" xfId="8783"/>
    <cellStyle name="강조색4 2 124" xfId="8784"/>
    <cellStyle name="강조색4 2 125" xfId="8785"/>
    <cellStyle name="강조색4 2 126" xfId="8786"/>
    <cellStyle name="강조색4 2 127" xfId="8787"/>
    <cellStyle name="강조색4 2 128" xfId="8788"/>
    <cellStyle name="강조색4 2 129" xfId="8789"/>
    <cellStyle name="강조색4 2 13" xfId="8790"/>
    <cellStyle name="강조색4 2 130" xfId="8791"/>
    <cellStyle name="강조색4 2 131" xfId="8792"/>
    <cellStyle name="강조색4 2 132" xfId="8793"/>
    <cellStyle name="강조색4 2 133" xfId="8794"/>
    <cellStyle name="강조색4 2 134" xfId="8795"/>
    <cellStyle name="강조색4 2 135" xfId="8796"/>
    <cellStyle name="강조색4 2 136" xfId="8797"/>
    <cellStyle name="강조색4 2 137" xfId="8798"/>
    <cellStyle name="강조색4 2 138" xfId="8799"/>
    <cellStyle name="강조색4 2 139" xfId="8800"/>
    <cellStyle name="강조색4 2 14" xfId="8801"/>
    <cellStyle name="강조색4 2 140" xfId="8802"/>
    <cellStyle name="강조색4 2 141" xfId="8803"/>
    <cellStyle name="강조색4 2 142" xfId="8804"/>
    <cellStyle name="강조색4 2 143" xfId="8805"/>
    <cellStyle name="강조색4 2 144" xfId="8806"/>
    <cellStyle name="강조색4 2 145" xfId="8807"/>
    <cellStyle name="강조색4 2 146" xfId="8808"/>
    <cellStyle name="강조색4 2 147" xfId="8809"/>
    <cellStyle name="강조색4 2 148" xfId="8810"/>
    <cellStyle name="강조색4 2 149" xfId="8811"/>
    <cellStyle name="강조색4 2 15" xfId="8812"/>
    <cellStyle name="강조색4 2 150" xfId="8813"/>
    <cellStyle name="강조색4 2 151" xfId="8814"/>
    <cellStyle name="강조색4 2 152" xfId="8815"/>
    <cellStyle name="강조색4 2 153" xfId="8816"/>
    <cellStyle name="강조색4 2 154" xfId="8817"/>
    <cellStyle name="강조색4 2 155" xfId="8818"/>
    <cellStyle name="강조색4 2 156" xfId="8819"/>
    <cellStyle name="강조색4 2 157" xfId="8820"/>
    <cellStyle name="강조색4 2 158" xfId="8821"/>
    <cellStyle name="강조색4 2 159" xfId="8822"/>
    <cellStyle name="강조색4 2 16" xfId="8823"/>
    <cellStyle name="강조색4 2 160" xfId="8824"/>
    <cellStyle name="강조색4 2 161" xfId="8825"/>
    <cellStyle name="강조색4 2 162" xfId="8826"/>
    <cellStyle name="강조색4 2 163" xfId="8827"/>
    <cellStyle name="강조색4 2 164" xfId="8828"/>
    <cellStyle name="강조색4 2 165" xfId="8829"/>
    <cellStyle name="강조색4 2 166" xfId="8830"/>
    <cellStyle name="강조색4 2 167" xfId="8831"/>
    <cellStyle name="강조색4 2 168" xfId="8832"/>
    <cellStyle name="강조색4 2 169" xfId="8833"/>
    <cellStyle name="강조색4 2 17" xfId="8834"/>
    <cellStyle name="강조색4 2 170" xfId="8835"/>
    <cellStyle name="강조색4 2 171" xfId="8836"/>
    <cellStyle name="강조색4 2 172" xfId="8837"/>
    <cellStyle name="강조색4 2 173" xfId="8838"/>
    <cellStyle name="강조색4 2 174" xfId="8839"/>
    <cellStyle name="강조색4 2 175" xfId="8840"/>
    <cellStyle name="강조색4 2 176" xfId="8841"/>
    <cellStyle name="강조색4 2 177" xfId="8842"/>
    <cellStyle name="강조색4 2 178" xfId="8843"/>
    <cellStyle name="강조색4 2 179" xfId="8844"/>
    <cellStyle name="강조색4 2 18" xfId="8845"/>
    <cellStyle name="강조색4 2 180" xfId="8846"/>
    <cellStyle name="강조색4 2 181" xfId="8847"/>
    <cellStyle name="강조색4 2 182" xfId="8848"/>
    <cellStyle name="강조색4 2 183" xfId="8849"/>
    <cellStyle name="강조색4 2 184" xfId="8850"/>
    <cellStyle name="강조색4 2 185" xfId="8851"/>
    <cellStyle name="강조색4 2 186" xfId="8852"/>
    <cellStyle name="강조색4 2 187" xfId="8853"/>
    <cellStyle name="강조색4 2 188" xfId="8854"/>
    <cellStyle name="강조색4 2 189" xfId="8855"/>
    <cellStyle name="강조색4 2 19" xfId="8856"/>
    <cellStyle name="강조색4 2 190" xfId="8857"/>
    <cellStyle name="강조색4 2 191" xfId="8858"/>
    <cellStyle name="강조색4 2 192" xfId="8859"/>
    <cellStyle name="강조색4 2 193" xfId="8860"/>
    <cellStyle name="강조색4 2 194" xfId="8861"/>
    <cellStyle name="강조색4 2 195" xfId="8862"/>
    <cellStyle name="강조색4 2 196" xfId="8863"/>
    <cellStyle name="강조색4 2 197" xfId="8864"/>
    <cellStyle name="강조색4 2 198" xfId="8865"/>
    <cellStyle name="강조색4 2 199" xfId="8866"/>
    <cellStyle name="강조색4 2 2" xfId="8867"/>
    <cellStyle name="강조색4 2 20" xfId="8868"/>
    <cellStyle name="강조색4 2 200" xfId="8869"/>
    <cellStyle name="강조색4 2 201" xfId="8870"/>
    <cellStyle name="강조색4 2 202" xfId="8871"/>
    <cellStyle name="강조색4 2 203" xfId="8872"/>
    <cellStyle name="강조색4 2 204" xfId="8873"/>
    <cellStyle name="강조색4 2 205" xfId="8874"/>
    <cellStyle name="강조색4 2 206" xfId="8875"/>
    <cellStyle name="강조색4 2 207" xfId="8876"/>
    <cellStyle name="강조색4 2 208" xfId="8877"/>
    <cellStyle name="강조색4 2 209" xfId="8878"/>
    <cellStyle name="강조색4 2 21" xfId="8879"/>
    <cellStyle name="강조색4 2 210" xfId="8880"/>
    <cellStyle name="강조색4 2 211" xfId="8881"/>
    <cellStyle name="강조색4 2 212" xfId="8882"/>
    <cellStyle name="강조색4 2 213" xfId="8883"/>
    <cellStyle name="강조색4 2 214" xfId="8884"/>
    <cellStyle name="강조색4 2 215" xfId="8885"/>
    <cellStyle name="강조색4 2 216" xfId="8886"/>
    <cellStyle name="강조색4 2 217" xfId="8887"/>
    <cellStyle name="강조색4 2 218" xfId="8888"/>
    <cellStyle name="강조색4 2 219" xfId="8889"/>
    <cellStyle name="강조색4 2 22" xfId="8890"/>
    <cellStyle name="강조색4 2 220" xfId="8891"/>
    <cellStyle name="강조색4 2 221" xfId="8892"/>
    <cellStyle name="강조색4 2 222" xfId="8893"/>
    <cellStyle name="강조색4 2 223" xfId="8894"/>
    <cellStyle name="강조색4 2 224" xfId="8895"/>
    <cellStyle name="강조색4 2 225" xfId="8896"/>
    <cellStyle name="강조색4 2 226" xfId="8897"/>
    <cellStyle name="강조색4 2 227" xfId="8898"/>
    <cellStyle name="강조색4 2 228" xfId="8899"/>
    <cellStyle name="강조색4 2 229" xfId="8900"/>
    <cellStyle name="강조색4 2 23" xfId="8901"/>
    <cellStyle name="강조색4 2 230" xfId="8902"/>
    <cellStyle name="강조색4 2 231" xfId="8903"/>
    <cellStyle name="강조색4 2 232" xfId="8904"/>
    <cellStyle name="강조색4 2 233" xfId="8905"/>
    <cellStyle name="강조색4 2 234" xfId="8906"/>
    <cellStyle name="강조색4 2 235" xfId="8907"/>
    <cellStyle name="강조색4 2 236" xfId="8908"/>
    <cellStyle name="강조색4 2 237" xfId="8909"/>
    <cellStyle name="강조색4 2 238" xfId="8910"/>
    <cellStyle name="강조색4 2 239" xfId="8911"/>
    <cellStyle name="강조색4 2 24" xfId="8912"/>
    <cellStyle name="강조색4 2 240" xfId="8913"/>
    <cellStyle name="강조색4 2 241" xfId="8914"/>
    <cellStyle name="강조색4 2 25" xfId="8915"/>
    <cellStyle name="강조색4 2 26" xfId="8916"/>
    <cellStyle name="강조색4 2 27" xfId="8917"/>
    <cellStyle name="강조색4 2 28" xfId="8918"/>
    <cellStyle name="강조색4 2 29" xfId="8919"/>
    <cellStyle name="강조색4 2 3" xfId="8920"/>
    <cellStyle name="강조색4 2 30" xfId="8921"/>
    <cellStyle name="강조색4 2 31" xfId="8922"/>
    <cellStyle name="강조색4 2 32" xfId="8923"/>
    <cellStyle name="강조색4 2 33" xfId="8924"/>
    <cellStyle name="강조색4 2 34" xfId="8925"/>
    <cellStyle name="강조색4 2 35" xfId="8926"/>
    <cellStyle name="강조색4 2 36" xfId="8927"/>
    <cellStyle name="강조색4 2 37" xfId="8928"/>
    <cellStyle name="강조색4 2 38" xfId="8929"/>
    <cellStyle name="강조색4 2 39" xfId="8930"/>
    <cellStyle name="강조색4 2 4" xfId="8931"/>
    <cellStyle name="강조색4 2 40" xfId="8932"/>
    <cellStyle name="강조색4 2 41" xfId="8933"/>
    <cellStyle name="강조색4 2 42" xfId="8934"/>
    <cellStyle name="강조색4 2 43" xfId="8935"/>
    <cellStyle name="강조색4 2 44" xfId="8936"/>
    <cellStyle name="강조색4 2 45" xfId="8937"/>
    <cellStyle name="강조색4 2 46" xfId="8938"/>
    <cellStyle name="강조색4 2 47" xfId="8939"/>
    <cellStyle name="강조색4 2 48" xfId="8940"/>
    <cellStyle name="강조색4 2 49" xfId="8941"/>
    <cellStyle name="강조색4 2 5" xfId="8942"/>
    <cellStyle name="강조색4 2 50" xfId="8943"/>
    <cellStyle name="강조색4 2 51" xfId="8944"/>
    <cellStyle name="강조색4 2 52" xfId="8945"/>
    <cellStyle name="강조색4 2 53" xfId="8946"/>
    <cellStyle name="강조색4 2 54" xfId="8947"/>
    <cellStyle name="강조색4 2 55" xfId="8948"/>
    <cellStyle name="강조색4 2 56" xfId="8949"/>
    <cellStyle name="강조색4 2 57" xfId="8950"/>
    <cellStyle name="강조색4 2 58" xfId="8951"/>
    <cellStyle name="강조색4 2 59" xfId="8952"/>
    <cellStyle name="강조색4 2 6" xfId="8953"/>
    <cellStyle name="강조색4 2 60" xfId="8954"/>
    <cellStyle name="강조색4 2 61" xfId="8955"/>
    <cellStyle name="강조색4 2 62" xfId="8956"/>
    <cellStyle name="강조색4 2 63" xfId="8957"/>
    <cellStyle name="강조색4 2 64" xfId="8958"/>
    <cellStyle name="강조색4 2 65" xfId="8959"/>
    <cellStyle name="강조색4 2 66" xfId="8960"/>
    <cellStyle name="강조색4 2 67" xfId="8961"/>
    <cellStyle name="강조색4 2 68" xfId="8962"/>
    <cellStyle name="강조색4 2 69" xfId="8963"/>
    <cellStyle name="강조색4 2 7" xfId="8964"/>
    <cellStyle name="강조색4 2 70" xfId="8965"/>
    <cellStyle name="강조색4 2 71" xfId="8966"/>
    <cellStyle name="강조색4 2 72" xfId="8967"/>
    <cellStyle name="강조색4 2 73" xfId="8968"/>
    <cellStyle name="강조색4 2 74" xfId="8969"/>
    <cellStyle name="강조색4 2 75" xfId="8970"/>
    <cellStyle name="강조색4 2 76" xfId="8971"/>
    <cellStyle name="강조색4 2 77" xfId="8972"/>
    <cellStyle name="강조색4 2 78" xfId="8973"/>
    <cellStyle name="강조색4 2 79" xfId="8974"/>
    <cellStyle name="강조색4 2 8" xfId="8975"/>
    <cellStyle name="강조색4 2 80" xfId="8976"/>
    <cellStyle name="강조색4 2 81" xfId="8977"/>
    <cellStyle name="강조색4 2 82" xfId="8978"/>
    <cellStyle name="강조색4 2 83" xfId="8979"/>
    <cellStyle name="강조색4 2 84" xfId="8980"/>
    <cellStyle name="강조색4 2 85" xfId="8981"/>
    <cellStyle name="강조색4 2 86" xfId="8982"/>
    <cellStyle name="강조색4 2 87" xfId="8983"/>
    <cellStyle name="강조색4 2 88" xfId="8984"/>
    <cellStyle name="강조색4 2 89" xfId="8985"/>
    <cellStyle name="강조색4 2 9" xfId="8986"/>
    <cellStyle name="강조색4 2 90" xfId="8987"/>
    <cellStyle name="강조색4 2 91" xfId="8988"/>
    <cellStyle name="강조색4 2 92" xfId="8989"/>
    <cellStyle name="강조색4 2 93" xfId="8990"/>
    <cellStyle name="강조색4 2 94" xfId="8991"/>
    <cellStyle name="강조색4 2 95" xfId="8992"/>
    <cellStyle name="강조색4 2 96" xfId="8993"/>
    <cellStyle name="강조색4 2 97" xfId="8994"/>
    <cellStyle name="강조색4 2 98" xfId="8995"/>
    <cellStyle name="강조색4 2 99" xfId="8996"/>
    <cellStyle name="강조색4 20" xfId="17156"/>
    <cellStyle name="강조색4 21" xfId="17157"/>
    <cellStyle name="강조색4 22" xfId="17158"/>
    <cellStyle name="강조색4 23" xfId="17159"/>
    <cellStyle name="강조색4 24" xfId="17160"/>
    <cellStyle name="강조색4 25" xfId="17161"/>
    <cellStyle name="강조색4 26" xfId="17162"/>
    <cellStyle name="강조색4 27" xfId="17163"/>
    <cellStyle name="강조색4 28" xfId="17164"/>
    <cellStyle name="강조색4 29" xfId="17165"/>
    <cellStyle name="강조색4 3" xfId="17166"/>
    <cellStyle name="강조색4 3 2" xfId="17167"/>
    <cellStyle name="강조색4 3 3" xfId="17168"/>
    <cellStyle name="강조색4 3 4" xfId="17169"/>
    <cellStyle name="강조색4 30" xfId="17170"/>
    <cellStyle name="강조색4 31" xfId="17171"/>
    <cellStyle name="강조색4 32" xfId="17172"/>
    <cellStyle name="강조색4 4" xfId="17173"/>
    <cellStyle name="강조색4 4 2" xfId="17174"/>
    <cellStyle name="강조색4 4 3" xfId="17175"/>
    <cellStyle name="강조색4 5" xfId="17176"/>
    <cellStyle name="강조색4 6" xfId="17177"/>
    <cellStyle name="강조색4 7" xfId="17178"/>
    <cellStyle name="강조색4 8" xfId="17179"/>
    <cellStyle name="강조색4 9" xfId="17180"/>
    <cellStyle name="강조색5 10" xfId="17181"/>
    <cellStyle name="강조색5 11" xfId="17182"/>
    <cellStyle name="강조색5 12" xfId="17183"/>
    <cellStyle name="강조색5 13" xfId="17184"/>
    <cellStyle name="강조색5 14" xfId="17185"/>
    <cellStyle name="강조색5 15" xfId="17186"/>
    <cellStyle name="강조색5 16" xfId="17187"/>
    <cellStyle name="강조색5 17" xfId="17188"/>
    <cellStyle name="강조색5 18" xfId="17189"/>
    <cellStyle name="강조색5 19" xfId="17190"/>
    <cellStyle name="강조색5 2" xfId="8997"/>
    <cellStyle name="강조색5 2 10" xfId="8998"/>
    <cellStyle name="강조색5 2 100" xfId="8999"/>
    <cellStyle name="강조색5 2 101" xfId="9000"/>
    <cellStyle name="강조색5 2 102" xfId="9001"/>
    <cellStyle name="강조색5 2 103" xfId="9002"/>
    <cellStyle name="강조색5 2 104" xfId="9003"/>
    <cellStyle name="강조색5 2 105" xfId="9004"/>
    <cellStyle name="강조색5 2 106" xfId="9005"/>
    <cellStyle name="강조색5 2 107" xfId="9006"/>
    <cellStyle name="강조색5 2 108" xfId="9007"/>
    <cellStyle name="강조색5 2 109" xfId="9008"/>
    <cellStyle name="강조색5 2 11" xfId="9009"/>
    <cellStyle name="강조색5 2 110" xfId="9010"/>
    <cellStyle name="강조색5 2 111" xfId="9011"/>
    <cellStyle name="강조색5 2 112" xfId="9012"/>
    <cellStyle name="강조색5 2 113" xfId="9013"/>
    <cellStyle name="강조색5 2 114" xfId="9014"/>
    <cellStyle name="강조색5 2 115" xfId="9015"/>
    <cellStyle name="강조색5 2 116" xfId="9016"/>
    <cellStyle name="강조색5 2 117" xfId="9017"/>
    <cellStyle name="강조색5 2 118" xfId="9018"/>
    <cellStyle name="강조색5 2 119" xfId="9019"/>
    <cellStyle name="강조색5 2 12" xfId="9020"/>
    <cellStyle name="강조색5 2 120" xfId="9021"/>
    <cellStyle name="강조색5 2 121" xfId="9022"/>
    <cellStyle name="강조색5 2 122" xfId="9023"/>
    <cellStyle name="강조색5 2 123" xfId="9024"/>
    <cellStyle name="강조색5 2 124" xfId="9025"/>
    <cellStyle name="강조색5 2 125" xfId="9026"/>
    <cellStyle name="강조색5 2 126" xfId="9027"/>
    <cellStyle name="강조색5 2 127" xfId="9028"/>
    <cellStyle name="강조색5 2 128" xfId="9029"/>
    <cellStyle name="강조색5 2 129" xfId="9030"/>
    <cellStyle name="강조색5 2 13" xfId="9031"/>
    <cellStyle name="강조색5 2 130" xfId="9032"/>
    <cellStyle name="강조색5 2 131" xfId="9033"/>
    <cellStyle name="강조색5 2 132" xfId="9034"/>
    <cellStyle name="강조색5 2 133" xfId="9035"/>
    <cellStyle name="강조색5 2 134" xfId="9036"/>
    <cellStyle name="강조색5 2 135" xfId="9037"/>
    <cellStyle name="강조색5 2 136" xfId="9038"/>
    <cellStyle name="강조색5 2 137" xfId="9039"/>
    <cellStyle name="강조색5 2 138" xfId="9040"/>
    <cellStyle name="강조색5 2 139" xfId="9041"/>
    <cellStyle name="강조색5 2 14" xfId="9042"/>
    <cellStyle name="강조색5 2 140" xfId="9043"/>
    <cellStyle name="강조색5 2 141" xfId="9044"/>
    <cellStyle name="강조색5 2 142" xfId="9045"/>
    <cellStyle name="강조색5 2 143" xfId="9046"/>
    <cellStyle name="강조색5 2 144" xfId="9047"/>
    <cellStyle name="강조색5 2 145" xfId="9048"/>
    <cellStyle name="강조색5 2 146" xfId="9049"/>
    <cellStyle name="강조색5 2 147" xfId="9050"/>
    <cellStyle name="강조색5 2 148" xfId="9051"/>
    <cellStyle name="강조색5 2 149" xfId="9052"/>
    <cellStyle name="강조색5 2 15" xfId="9053"/>
    <cellStyle name="강조색5 2 150" xfId="9054"/>
    <cellStyle name="강조색5 2 151" xfId="9055"/>
    <cellStyle name="강조색5 2 152" xfId="9056"/>
    <cellStyle name="강조색5 2 153" xfId="9057"/>
    <cellStyle name="강조색5 2 154" xfId="9058"/>
    <cellStyle name="강조색5 2 155" xfId="9059"/>
    <cellStyle name="강조색5 2 156" xfId="9060"/>
    <cellStyle name="강조색5 2 157" xfId="9061"/>
    <cellStyle name="강조색5 2 158" xfId="9062"/>
    <cellStyle name="강조색5 2 159" xfId="9063"/>
    <cellStyle name="강조색5 2 16" xfId="9064"/>
    <cellStyle name="강조색5 2 160" xfId="9065"/>
    <cellStyle name="강조색5 2 161" xfId="9066"/>
    <cellStyle name="강조색5 2 162" xfId="9067"/>
    <cellStyle name="강조색5 2 163" xfId="9068"/>
    <cellStyle name="강조색5 2 164" xfId="9069"/>
    <cellStyle name="강조색5 2 165" xfId="9070"/>
    <cellStyle name="강조색5 2 166" xfId="9071"/>
    <cellStyle name="강조색5 2 167" xfId="9072"/>
    <cellStyle name="강조색5 2 168" xfId="9073"/>
    <cellStyle name="강조색5 2 169" xfId="9074"/>
    <cellStyle name="강조색5 2 17" xfId="9075"/>
    <cellStyle name="강조색5 2 170" xfId="9076"/>
    <cellStyle name="강조색5 2 171" xfId="9077"/>
    <cellStyle name="강조색5 2 172" xfId="9078"/>
    <cellStyle name="강조색5 2 173" xfId="9079"/>
    <cellStyle name="강조색5 2 174" xfId="9080"/>
    <cellStyle name="강조색5 2 175" xfId="9081"/>
    <cellStyle name="강조색5 2 176" xfId="9082"/>
    <cellStyle name="강조색5 2 177" xfId="9083"/>
    <cellStyle name="강조색5 2 178" xfId="9084"/>
    <cellStyle name="강조색5 2 179" xfId="9085"/>
    <cellStyle name="강조색5 2 18" xfId="9086"/>
    <cellStyle name="강조색5 2 180" xfId="9087"/>
    <cellStyle name="강조색5 2 181" xfId="9088"/>
    <cellStyle name="강조색5 2 182" xfId="9089"/>
    <cellStyle name="강조색5 2 183" xfId="9090"/>
    <cellStyle name="강조색5 2 184" xfId="9091"/>
    <cellStyle name="강조색5 2 185" xfId="9092"/>
    <cellStyle name="강조색5 2 186" xfId="9093"/>
    <cellStyle name="강조색5 2 187" xfId="9094"/>
    <cellStyle name="강조색5 2 188" xfId="9095"/>
    <cellStyle name="강조색5 2 189" xfId="9096"/>
    <cellStyle name="강조색5 2 19" xfId="9097"/>
    <cellStyle name="강조색5 2 190" xfId="9098"/>
    <cellStyle name="강조색5 2 191" xfId="9099"/>
    <cellStyle name="강조색5 2 192" xfId="9100"/>
    <cellStyle name="강조색5 2 193" xfId="9101"/>
    <cellStyle name="강조색5 2 194" xfId="9102"/>
    <cellStyle name="강조색5 2 195" xfId="9103"/>
    <cellStyle name="강조색5 2 196" xfId="9104"/>
    <cellStyle name="강조색5 2 197" xfId="9105"/>
    <cellStyle name="강조색5 2 198" xfId="9106"/>
    <cellStyle name="강조색5 2 199" xfId="9107"/>
    <cellStyle name="강조색5 2 2" xfId="9108"/>
    <cellStyle name="강조색5 2 20" xfId="9109"/>
    <cellStyle name="강조색5 2 200" xfId="9110"/>
    <cellStyle name="강조색5 2 201" xfId="9111"/>
    <cellStyle name="강조색5 2 202" xfId="9112"/>
    <cellStyle name="강조색5 2 203" xfId="9113"/>
    <cellStyle name="강조색5 2 204" xfId="9114"/>
    <cellStyle name="강조색5 2 205" xfId="9115"/>
    <cellStyle name="강조색5 2 206" xfId="9116"/>
    <cellStyle name="강조색5 2 207" xfId="9117"/>
    <cellStyle name="강조색5 2 208" xfId="9118"/>
    <cellStyle name="강조색5 2 209" xfId="9119"/>
    <cellStyle name="강조색5 2 21" xfId="9120"/>
    <cellStyle name="강조색5 2 210" xfId="9121"/>
    <cellStyle name="강조색5 2 211" xfId="9122"/>
    <cellStyle name="강조색5 2 212" xfId="9123"/>
    <cellStyle name="강조색5 2 213" xfId="9124"/>
    <cellStyle name="강조색5 2 214" xfId="9125"/>
    <cellStyle name="강조색5 2 215" xfId="9126"/>
    <cellStyle name="강조색5 2 216" xfId="9127"/>
    <cellStyle name="강조색5 2 217" xfId="9128"/>
    <cellStyle name="강조색5 2 218" xfId="9129"/>
    <cellStyle name="강조색5 2 219" xfId="9130"/>
    <cellStyle name="강조색5 2 22" xfId="9131"/>
    <cellStyle name="강조색5 2 220" xfId="9132"/>
    <cellStyle name="강조색5 2 221" xfId="9133"/>
    <cellStyle name="강조색5 2 222" xfId="9134"/>
    <cellStyle name="강조색5 2 223" xfId="9135"/>
    <cellStyle name="강조색5 2 224" xfId="9136"/>
    <cellStyle name="강조색5 2 225" xfId="9137"/>
    <cellStyle name="강조색5 2 226" xfId="9138"/>
    <cellStyle name="강조색5 2 227" xfId="9139"/>
    <cellStyle name="강조색5 2 228" xfId="9140"/>
    <cellStyle name="강조색5 2 229" xfId="9141"/>
    <cellStyle name="강조색5 2 23" xfId="9142"/>
    <cellStyle name="강조색5 2 230" xfId="9143"/>
    <cellStyle name="강조색5 2 231" xfId="9144"/>
    <cellStyle name="강조색5 2 232" xfId="9145"/>
    <cellStyle name="강조색5 2 233" xfId="9146"/>
    <cellStyle name="강조색5 2 234" xfId="9147"/>
    <cellStyle name="강조색5 2 235" xfId="9148"/>
    <cellStyle name="강조색5 2 236" xfId="9149"/>
    <cellStyle name="강조색5 2 237" xfId="9150"/>
    <cellStyle name="강조색5 2 238" xfId="9151"/>
    <cellStyle name="강조색5 2 239" xfId="9152"/>
    <cellStyle name="강조색5 2 24" xfId="9153"/>
    <cellStyle name="강조색5 2 240" xfId="9154"/>
    <cellStyle name="강조색5 2 241" xfId="9155"/>
    <cellStyle name="강조색5 2 25" xfId="9156"/>
    <cellStyle name="강조색5 2 26" xfId="9157"/>
    <cellStyle name="강조색5 2 27" xfId="9158"/>
    <cellStyle name="강조색5 2 28" xfId="9159"/>
    <cellStyle name="강조색5 2 29" xfId="9160"/>
    <cellStyle name="강조색5 2 3" xfId="9161"/>
    <cellStyle name="강조색5 2 30" xfId="9162"/>
    <cellStyle name="강조색5 2 31" xfId="9163"/>
    <cellStyle name="강조색5 2 32" xfId="9164"/>
    <cellStyle name="강조색5 2 33" xfId="9165"/>
    <cellStyle name="강조색5 2 34" xfId="9166"/>
    <cellStyle name="강조색5 2 35" xfId="9167"/>
    <cellStyle name="강조색5 2 36" xfId="9168"/>
    <cellStyle name="강조색5 2 37" xfId="9169"/>
    <cellStyle name="강조색5 2 38" xfId="9170"/>
    <cellStyle name="강조색5 2 39" xfId="9171"/>
    <cellStyle name="강조색5 2 4" xfId="9172"/>
    <cellStyle name="강조색5 2 40" xfId="9173"/>
    <cellStyle name="강조색5 2 41" xfId="9174"/>
    <cellStyle name="강조색5 2 42" xfId="9175"/>
    <cellStyle name="강조색5 2 43" xfId="9176"/>
    <cellStyle name="강조색5 2 44" xfId="9177"/>
    <cellStyle name="강조색5 2 45" xfId="9178"/>
    <cellStyle name="강조색5 2 46" xfId="9179"/>
    <cellStyle name="강조색5 2 47" xfId="9180"/>
    <cellStyle name="강조색5 2 48" xfId="9181"/>
    <cellStyle name="강조색5 2 49" xfId="9182"/>
    <cellStyle name="강조색5 2 5" xfId="9183"/>
    <cellStyle name="강조색5 2 50" xfId="9184"/>
    <cellStyle name="강조색5 2 51" xfId="9185"/>
    <cellStyle name="강조색5 2 52" xfId="9186"/>
    <cellStyle name="강조색5 2 53" xfId="9187"/>
    <cellStyle name="강조색5 2 54" xfId="9188"/>
    <cellStyle name="강조색5 2 55" xfId="9189"/>
    <cellStyle name="강조색5 2 56" xfId="9190"/>
    <cellStyle name="강조색5 2 57" xfId="9191"/>
    <cellStyle name="강조색5 2 58" xfId="9192"/>
    <cellStyle name="강조색5 2 59" xfId="9193"/>
    <cellStyle name="강조색5 2 6" xfId="9194"/>
    <cellStyle name="강조색5 2 60" xfId="9195"/>
    <cellStyle name="강조색5 2 61" xfId="9196"/>
    <cellStyle name="강조색5 2 62" xfId="9197"/>
    <cellStyle name="강조색5 2 63" xfId="9198"/>
    <cellStyle name="강조색5 2 64" xfId="9199"/>
    <cellStyle name="강조색5 2 65" xfId="9200"/>
    <cellStyle name="강조색5 2 66" xfId="9201"/>
    <cellStyle name="강조색5 2 67" xfId="9202"/>
    <cellStyle name="강조색5 2 68" xfId="9203"/>
    <cellStyle name="강조색5 2 69" xfId="9204"/>
    <cellStyle name="강조색5 2 7" xfId="9205"/>
    <cellStyle name="강조색5 2 70" xfId="9206"/>
    <cellStyle name="강조색5 2 71" xfId="9207"/>
    <cellStyle name="강조색5 2 72" xfId="9208"/>
    <cellStyle name="강조색5 2 73" xfId="9209"/>
    <cellStyle name="강조색5 2 74" xfId="9210"/>
    <cellStyle name="강조색5 2 75" xfId="9211"/>
    <cellStyle name="강조색5 2 76" xfId="9212"/>
    <cellStyle name="강조색5 2 77" xfId="9213"/>
    <cellStyle name="강조색5 2 78" xfId="9214"/>
    <cellStyle name="강조색5 2 79" xfId="9215"/>
    <cellStyle name="강조색5 2 8" xfId="9216"/>
    <cellStyle name="강조색5 2 80" xfId="9217"/>
    <cellStyle name="강조색5 2 81" xfId="9218"/>
    <cellStyle name="강조색5 2 82" xfId="9219"/>
    <cellStyle name="강조색5 2 83" xfId="9220"/>
    <cellStyle name="강조색5 2 84" xfId="9221"/>
    <cellStyle name="강조색5 2 85" xfId="9222"/>
    <cellStyle name="강조색5 2 86" xfId="9223"/>
    <cellStyle name="강조색5 2 87" xfId="9224"/>
    <cellStyle name="강조색5 2 88" xfId="9225"/>
    <cellStyle name="강조색5 2 89" xfId="9226"/>
    <cellStyle name="강조색5 2 9" xfId="9227"/>
    <cellStyle name="강조색5 2 90" xfId="9228"/>
    <cellStyle name="강조색5 2 91" xfId="9229"/>
    <cellStyle name="강조색5 2 92" xfId="9230"/>
    <cellStyle name="강조색5 2 93" xfId="9231"/>
    <cellStyle name="강조색5 2 94" xfId="9232"/>
    <cellStyle name="강조색5 2 95" xfId="9233"/>
    <cellStyle name="강조색5 2 96" xfId="9234"/>
    <cellStyle name="강조색5 2 97" xfId="9235"/>
    <cellStyle name="강조색5 2 98" xfId="9236"/>
    <cellStyle name="강조색5 2 99" xfId="9237"/>
    <cellStyle name="강조색5 20" xfId="17191"/>
    <cellStyle name="강조색5 21" xfId="17192"/>
    <cellStyle name="강조색5 22" xfId="17193"/>
    <cellStyle name="강조색5 23" xfId="17194"/>
    <cellStyle name="강조색5 24" xfId="17195"/>
    <cellStyle name="강조색5 25" xfId="17196"/>
    <cellStyle name="강조색5 26" xfId="17197"/>
    <cellStyle name="강조색5 27" xfId="17198"/>
    <cellStyle name="강조색5 28" xfId="17199"/>
    <cellStyle name="강조색5 29" xfId="17200"/>
    <cellStyle name="강조색5 3" xfId="17201"/>
    <cellStyle name="강조색5 3 2" xfId="17202"/>
    <cellStyle name="강조색5 3 3" xfId="17203"/>
    <cellStyle name="강조색5 30" xfId="17204"/>
    <cellStyle name="강조색5 31" xfId="17205"/>
    <cellStyle name="강조색5 32" xfId="17206"/>
    <cellStyle name="강조색5 4" xfId="17207"/>
    <cellStyle name="강조색5 4 2" xfId="17208"/>
    <cellStyle name="강조색5 4 3" xfId="17209"/>
    <cellStyle name="강조색5 5" xfId="17210"/>
    <cellStyle name="강조색5 6" xfId="17211"/>
    <cellStyle name="강조색5 7" xfId="17212"/>
    <cellStyle name="강조색5 8" xfId="17213"/>
    <cellStyle name="강조색5 9" xfId="17214"/>
    <cellStyle name="강조색6 10" xfId="17215"/>
    <cellStyle name="강조색6 11" xfId="17216"/>
    <cellStyle name="강조색6 12" xfId="17217"/>
    <cellStyle name="강조색6 13" xfId="17218"/>
    <cellStyle name="강조색6 14" xfId="17219"/>
    <cellStyle name="강조색6 15" xfId="17220"/>
    <cellStyle name="강조색6 16" xfId="17221"/>
    <cellStyle name="강조색6 17" xfId="17222"/>
    <cellStyle name="강조색6 18" xfId="17223"/>
    <cellStyle name="강조색6 19" xfId="17224"/>
    <cellStyle name="강조색6 2" xfId="9238"/>
    <cellStyle name="강조색6 2 10" xfId="9239"/>
    <cellStyle name="강조색6 2 100" xfId="9240"/>
    <cellStyle name="강조색6 2 101" xfId="9241"/>
    <cellStyle name="강조색6 2 102" xfId="9242"/>
    <cellStyle name="강조색6 2 103" xfId="9243"/>
    <cellStyle name="강조색6 2 104" xfId="9244"/>
    <cellStyle name="강조색6 2 105" xfId="9245"/>
    <cellStyle name="강조색6 2 106" xfId="9246"/>
    <cellStyle name="강조색6 2 107" xfId="9247"/>
    <cellStyle name="강조색6 2 108" xfId="9248"/>
    <cellStyle name="강조색6 2 109" xfId="9249"/>
    <cellStyle name="강조색6 2 11" xfId="9250"/>
    <cellStyle name="강조색6 2 110" xfId="9251"/>
    <cellStyle name="강조색6 2 111" xfId="9252"/>
    <cellStyle name="강조색6 2 112" xfId="9253"/>
    <cellStyle name="강조색6 2 113" xfId="9254"/>
    <cellStyle name="강조색6 2 114" xfId="9255"/>
    <cellStyle name="강조색6 2 115" xfId="9256"/>
    <cellStyle name="강조색6 2 116" xfId="9257"/>
    <cellStyle name="강조색6 2 117" xfId="9258"/>
    <cellStyle name="강조색6 2 118" xfId="9259"/>
    <cellStyle name="강조색6 2 119" xfId="9260"/>
    <cellStyle name="강조색6 2 12" xfId="9261"/>
    <cellStyle name="강조색6 2 120" xfId="9262"/>
    <cellStyle name="강조색6 2 121" xfId="9263"/>
    <cellStyle name="강조색6 2 122" xfId="9264"/>
    <cellStyle name="강조색6 2 123" xfId="9265"/>
    <cellStyle name="강조색6 2 124" xfId="9266"/>
    <cellStyle name="강조색6 2 125" xfId="9267"/>
    <cellStyle name="강조색6 2 126" xfId="9268"/>
    <cellStyle name="강조색6 2 127" xfId="9269"/>
    <cellStyle name="강조색6 2 128" xfId="9270"/>
    <cellStyle name="강조색6 2 129" xfId="9271"/>
    <cellStyle name="강조색6 2 13" xfId="9272"/>
    <cellStyle name="강조색6 2 130" xfId="9273"/>
    <cellStyle name="강조색6 2 131" xfId="9274"/>
    <cellStyle name="강조색6 2 132" xfId="9275"/>
    <cellStyle name="강조색6 2 133" xfId="9276"/>
    <cellStyle name="강조색6 2 134" xfId="9277"/>
    <cellStyle name="강조색6 2 135" xfId="9278"/>
    <cellStyle name="강조색6 2 136" xfId="9279"/>
    <cellStyle name="강조색6 2 137" xfId="9280"/>
    <cellStyle name="강조색6 2 138" xfId="9281"/>
    <cellStyle name="강조색6 2 139" xfId="9282"/>
    <cellStyle name="강조색6 2 14" xfId="9283"/>
    <cellStyle name="강조색6 2 140" xfId="9284"/>
    <cellStyle name="강조색6 2 141" xfId="9285"/>
    <cellStyle name="강조색6 2 142" xfId="9286"/>
    <cellStyle name="강조색6 2 143" xfId="9287"/>
    <cellStyle name="강조색6 2 144" xfId="9288"/>
    <cellStyle name="강조색6 2 145" xfId="9289"/>
    <cellStyle name="강조색6 2 146" xfId="9290"/>
    <cellStyle name="강조색6 2 147" xfId="9291"/>
    <cellStyle name="강조색6 2 148" xfId="9292"/>
    <cellStyle name="강조색6 2 149" xfId="9293"/>
    <cellStyle name="강조색6 2 15" xfId="9294"/>
    <cellStyle name="강조색6 2 150" xfId="9295"/>
    <cellStyle name="강조색6 2 151" xfId="9296"/>
    <cellStyle name="강조색6 2 152" xfId="9297"/>
    <cellStyle name="강조색6 2 153" xfId="9298"/>
    <cellStyle name="강조색6 2 154" xfId="9299"/>
    <cellStyle name="강조색6 2 155" xfId="9300"/>
    <cellStyle name="강조색6 2 156" xfId="9301"/>
    <cellStyle name="강조색6 2 157" xfId="9302"/>
    <cellStyle name="강조색6 2 158" xfId="9303"/>
    <cellStyle name="강조색6 2 159" xfId="9304"/>
    <cellStyle name="강조색6 2 16" xfId="9305"/>
    <cellStyle name="강조색6 2 160" xfId="9306"/>
    <cellStyle name="강조색6 2 161" xfId="9307"/>
    <cellStyle name="강조색6 2 162" xfId="9308"/>
    <cellStyle name="강조색6 2 163" xfId="9309"/>
    <cellStyle name="강조색6 2 164" xfId="9310"/>
    <cellStyle name="강조색6 2 165" xfId="9311"/>
    <cellStyle name="강조색6 2 166" xfId="9312"/>
    <cellStyle name="강조색6 2 167" xfId="9313"/>
    <cellStyle name="강조색6 2 168" xfId="9314"/>
    <cellStyle name="강조색6 2 169" xfId="9315"/>
    <cellStyle name="강조색6 2 17" xfId="9316"/>
    <cellStyle name="강조색6 2 170" xfId="9317"/>
    <cellStyle name="강조색6 2 171" xfId="9318"/>
    <cellStyle name="강조색6 2 172" xfId="9319"/>
    <cellStyle name="강조색6 2 173" xfId="9320"/>
    <cellStyle name="강조색6 2 174" xfId="9321"/>
    <cellStyle name="강조색6 2 175" xfId="9322"/>
    <cellStyle name="강조색6 2 176" xfId="9323"/>
    <cellStyle name="강조색6 2 177" xfId="9324"/>
    <cellStyle name="강조색6 2 178" xfId="9325"/>
    <cellStyle name="강조색6 2 179" xfId="9326"/>
    <cellStyle name="강조색6 2 18" xfId="9327"/>
    <cellStyle name="강조색6 2 180" xfId="9328"/>
    <cellStyle name="강조색6 2 181" xfId="9329"/>
    <cellStyle name="강조색6 2 182" xfId="9330"/>
    <cellStyle name="강조색6 2 183" xfId="9331"/>
    <cellStyle name="강조색6 2 184" xfId="9332"/>
    <cellStyle name="강조색6 2 185" xfId="9333"/>
    <cellStyle name="강조색6 2 186" xfId="9334"/>
    <cellStyle name="강조색6 2 187" xfId="9335"/>
    <cellStyle name="강조색6 2 188" xfId="9336"/>
    <cellStyle name="강조색6 2 189" xfId="9337"/>
    <cellStyle name="강조색6 2 19" xfId="9338"/>
    <cellStyle name="강조색6 2 190" xfId="9339"/>
    <cellStyle name="강조색6 2 191" xfId="9340"/>
    <cellStyle name="강조색6 2 192" xfId="9341"/>
    <cellStyle name="강조색6 2 193" xfId="9342"/>
    <cellStyle name="강조색6 2 194" xfId="9343"/>
    <cellStyle name="강조색6 2 195" xfId="9344"/>
    <cellStyle name="강조색6 2 196" xfId="9345"/>
    <cellStyle name="강조색6 2 197" xfId="9346"/>
    <cellStyle name="강조색6 2 198" xfId="9347"/>
    <cellStyle name="강조색6 2 199" xfId="9348"/>
    <cellStyle name="강조색6 2 2" xfId="9349"/>
    <cellStyle name="강조색6 2 20" xfId="9350"/>
    <cellStyle name="강조색6 2 200" xfId="9351"/>
    <cellStyle name="강조색6 2 201" xfId="9352"/>
    <cellStyle name="강조색6 2 202" xfId="9353"/>
    <cellStyle name="강조색6 2 203" xfId="9354"/>
    <cellStyle name="강조색6 2 204" xfId="9355"/>
    <cellStyle name="강조색6 2 205" xfId="9356"/>
    <cellStyle name="강조색6 2 206" xfId="9357"/>
    <cellStyle name="강조색6 2 207" xfId="9358"/>
    <cellStyle name="강조색6 2 208" xfId="9359"/>
    <cellStyle name="강조색6 2 209" xfId="9360"/>
    <cellStyle name="강조색6 2 21" xfId="9361"/>
    <cellStyle name="강조색6 2 210" xfId="9362"/>
    <cellStyle name="강조색6 2 211" xfId="9363"/>
    <cellStyle name="강조색6 2 212" xfId="9364"/>
    <cellStyle name="강조색6 2 213" xfId="9365"/>
    <cellStyle name="강조색6 2 214" xfId="9366"/>
    <cellStyle name="강조색6 2 215" xfId="9367"/>
    <cellStyle name="강조색6 2 216" xfId="9368"/>
    <cellStyle name="강조색6 2 217" xfId="9369"/>
    <cellStyle name="강조색6 2 218" xfId="9370"/>
    <cellStyle name="강조색6 2 219" xfId="9371"/>
    <cellStyle name="강조색6 2 22" xfId="9372"/>
    <cellStyle name="강조색6 2 220" xfId="9373"/>
    <cellStyle name="강조색6 2 221" xfId="9374"/>
    <cellStyle name="강조색6 2 222" xfId="9375"/>
    <cellStyle name="강조색6 2 223" xfId="9376"/>
    <cellStyle name="강조색6 2 224" xfId="9377"/>
    <cellStyle name="강조색6 2 225" xfId="9378"/>
    <cellStyle name="강조색6 2 226" xfId="9379"/>
    <cellStyle name="강조색6 2 227" xfId="9380"/>
    <cellStyle name="강조색6 2 228" xfId="9381"/>
    <cellStyle name="강조색6 2 229" xfId="9382"/>
    <cellStyle name="강조색6 2 23" xfId="9383"/>
    <cellStyle name="강조색6 2 230" xfId="9384"/>
    <cellStyle name="강조색6 2 231" xfId="9385"/>
    <cellStyle name="강조색6 2 232" xfId="9386"/>
    <cellStyle name="강조색6 2 233" xfId="9387"/>
    <cellStyle name="강조색6 2 234" xfId="9388"/>
    <cellStyle name="강조색6 2 235" xfId="9389"/>
    <cellStyle name="강조색6 2 236" xfId="9390"/>
    <cellStyle name="강조색6 2 237" xfId="9391"/>
    <cellStyle name="강조색6 2 238" xfId="9392"/>
    <cellStyle name="강조색6 2 239" xfId="9393"/>
    <cellStyle name="강조색6 2 24" xfId="9394"/>
    <cellStyle name="강조색6 2 240" xfId="9395"/>
    <cellStyle name="강조색6 2 241" xfId="9396"/>
    <cellStyle name="강조색6 2 25" xfId="9397"/>
    <cellStyle name="강조색6 2 26" xfId="9398"/>
    <cellStyle name="강조색6 2 27" xfId="9399"/>
    <cellStyle name="강조색6 2 28" xfId="9400"/>
    <cellStyle name="강조색6 2 29" xfId="9401"/>
    <cellStyle name="강조색6 2 3" xfId="9402"/>
    <cellStyle name="강조색6 2 30" xfId="9403"/>
    <cellStyle name="강조색6 2 31" xfId="9404"/>
    <cellStyle name="강조색6 2 32" xfId="9405"/>
    <cellStyle name="강조색6 2 33" xfId="9406"/>
    <cellStyle name="강조색6 2 34" xfId="9407"/>
    <cellStyle name="강조색6 2 35" xfId="9408"/>
    <cellStyle name="강조색6 2 36" xfId="9409"/>
    <cellStyle name="강조색6 2 37" xfId="9410"/>
    <cellStyle name="강조색6 2 38" xfId="9411"/>
    <cellStyle name="강조색6 2 39" xfId="9412"/>
    <cellStyle name="강조색6 2 4" xfId="9413"/>
    <cellStyle name="강조색6 2 40" xfId="9414"/>
    <cellStyle name="강조색6 2 41" xfId="9415"/>
    <cellStyle name="강조색6 2 42" xfId="9416"/>
    <cellStyle name="강조색6 2 43" xfId="9417"/>
    <cellStyle name="강조색6 2 44" xfId="9418"/>
    <cellStyle name="강조색6 2 45" xfId="9419"/>
    <cellStyle name="강조색6 2 46" xfId="9420"/>
    <cellStyle name="강조색6 2 47" xfId="9421"/>
    <cellStyle name="강조색6 2 48" xfId="9422"/>
    <cellStyle name="강조색6 2 49" xfId="9423"/>
    <cellStyle name="강조색6 2 5" xfId="9424"/>
    <cellStyle name="강조색6 2 50" xfId="9425"/>
    <cellStyle name="강조색6 2 51" xfId="9426"/>
    <cellStyle name="강조색6 2 52" xfId="9427"/>
    <cellStyle name="강조색6 2 53" xfId="9428"/>
    <cellStyle name="강조색6 2 54" xfId="9429"/>
    <cellStyle name="강조색6 2 55" xfId="9430"/>
    <cellStyle name="강조색6 2 56" xfId="9431"/>
    <cellStyle name="강조색6 2 57" xfId="9432"/>
    <cellStyle name="강조색6 2 58" xfId="9433"/>
    <cellStyle name="강조색6 2 59" xfId="9434"/>
    <cellStyle name="강조색6 2 6" xfId="9435"/>
    <cellStyle name="강조색6 2 60" xfId="9436"/>
    <cellStyle name="강조색6 2 61" xfId="9437"/>
    <cellStyle name="강조색6 2 62" xfId="9438"/>
    <cellStyle name="강조색6 2 63" xfId="9439"/>
    <cellStyle name="강조색6 2 64" xfId="9440"/>
    <cellStyle name="강조색6 2 65" xfId="9441"/>
    <cellStyle name="강조색6 2 66" xfId="9442"/>
    <cellStyle name="강조색6 2 67" xfId="9443"/>
    <cellStyle name="강조색6 2 68" xfId="9444"/>
    <cellStyle name="강조색6 2 69" xfId="9445"/>
    <cellStyle name="강조색6 2 7" xfId="9446"/>
    <cellStyle name="강조색6 2 70" xfId="9447"/>
    <cellStyle name="강조색6 2 71" xfId="9448"/>
    <cellStyle name="강조색6 2 72" xfId="9449"/>
    <cellStyle name="강조색6 2 73" xfId="9450"/>
    <cellStyle name="강조색6 2 74" xfId="9451"/>
    <cellStyle name="강조색6 2 75" xfId="9452"/>
    <cellStyle name="강조색6 2 76" xfId="9453"/>
    <cellStyle name="강조색6 2 77" xfId="9454"/>
    <cellStyle name="강조색6 2 78" xfId="9455"/>
    <cellStyle name="강조색6 2 79" xfId="9456"/>
    <cellStyle name="강조색6 2 8" xfId="9457"/>
    <cellStyle name="강조색6 2 80" xfId="9458"/>
    <cellStyle name="강조색6 2 81" xfId="9459"/>
    <cellStyle name="강조색6 2 82" xfId="9460"/>
    <cellStyle name="강조색6 2 83" xfId="9461"/>
    <cellStyle name="강조색6 2 84" xfId="9462"/>
    <cellStyle name="강조색6 2 85" xfId="9463"/>
    <cellStyle name="강조색6 2 86" xfId="9464"/>
    <cellStyle name="강조색6 2 87" xfId="9465"/>
    <cellStyle name="강조색6 2 88" xfId="9466"/>
    <cellStyle name="강조색6 2 89" xfId="9467"/>
    <cellStyle name="강조색6 2 9" xfId="9468"/>
    <cellStyle name="강조색6 2 90" xfId="9469"/>
    <cellStyle name="강조색6 2 91" xfId="9470"/>
    <cellStyle name="강조색6 2 92" xfId="9471"/>
    <cellStyle name="강조색6 2 93" xfId="9472"/>
    <cellStyle name="강조색6 2 94" xfId="9473"/>
    <cellStyle name="강조색6 2 95" xfId="9474"/>
    <cellStyle name="강조색6 2 96" xfId="9475"/>
    <cellStyle name="강조색6 2 97" xfId="9476"/>
    <cellStyle name="강조색6 2 98" xfId="9477"/>
    <cellStyle name="강조색6 2 99" xfId="9478"/>
    <cellStyle name="강조색6 20" xfId="17225"/>
    <cellStyle name="강조색6 21" xfId="17226"/>
    <cellStyle name="강조색6 22" xfId="17227"/>
    <cellStyle name="강조색6 23" xfId="17228"/>
    <cellStyle name="강조색6 24" xfId="17229"/>
    <cellStyle name="강조색6 25" xfId="17230"/>
    <cellStyle name="강조색6 26" xfId="17231"/>
    <cellStyle name="강조색6 27" xfId="17232"/>
    <cellStyle name="강조색6 28" xfId="17233"/>
    <cellStyle name="강조색6 29" xfId="17234"/>
    <cellStyle name="강조색6 3" xfId="17235"/>
    <cellStyle name="강조색6 3 2" xfId="17236"/>
    <cellStyle name="강조색6 3 3" xfId="17237"/>
    <cellStyle name="강조색6 30" xfId="17238"/>
    <cellStyle name="강조색6 31" xfId="17239"/>
    <cellStyle name="강조색6 32" xfId="17240"/>
    <cellStyle name="강조색6 4" xfId="17241"/>
    <cellStyle name="강조색6 4 2" xfId="17242"/>
    <cellStyle name="강조색6 4 3" xfId="17243"/>
    <cellStyle name="강조색6 5" xfId="17244"/>
    <cellStyle name="강조색6 6" xfId="17245"/>
    <cellStyle name="강조색6 7" xfId="17246"/>
    <cellStyle name="강조색6 8" xfId="17247"/>
    <cellStyle name="강조색6 9" xfId="17248"/>
    <cellStyle name="检查单元格" xfId="9479"/>
    <cellStyle name="경고문 10" xfId="17249"/>
    <cellStyle name="경고문 11" xfId="17250"/>
    <cellStyle name="경고문 12" xfId="17251"/>
    <cellStyle name="경고문 13" xfId="17252"/>
    <cellStyle name="경고문 14" xfId="17253"/>
    <cellStyle name="경고문 15" xfId="17254"/>
    <cellStyle name="경고문 16" xfId="17255"/>
    <cellStyle name="경고문 17" xfId="17256"/>
    <cellStyle name="경고문 18" xfId="17257"/>
    <cellStyle name="경고문 19" xfId="17258"/>
    <cellStyle name="경고문 2" xfId="9480"/>
    <cellStyle name="경고문 2 10" xfId="9481"/>
    <cellStyle name="경고문 2 100" xfId="9482"/>
    <cellStyle name="경고문 2 101" xfId="9483"/>
    <cellStyle name="경고문 2 102" xfId="9484"/>
    <cellStyle name="경고문 2 103" xfId="9485"/>
    <cellStyle name="경고문 2 104" xfId="9486"/>
    <cellStyle name="경고문 2 105" xfId="9487"/>
    <cellStyle name="경고문 2 106" xfId="9488"/>
    <cellStyle name="경고문 2 107" xfId="9489"/>
    <cellStyle name="경고문 2 108" xfId="9490"/>
    <cellStyle name="경고문 2 109" xfId="9491"/>
    <cellStyle name="경고문 2 11" xfId="9492"/>
    <cellStyle name="경고문 2 110" xfId="9493"/>
    <cellStyle name="경고문 2 111" xfId="9494"/>
    <cellStyle name="경고문 2 112" xfId="9495"/>
    <cellStyle name="경고문 2 113" xfId="9496"/>
    <cellStyle name="경고문 2 114" xfId="9497"/>
    <cellStyle name="경고문 2 115" xfId="9498"/>
    <cellStyle name="경고문 2 116" xfId="9499"/>
    <cellStyle name="경고문 2 117" xfId="9500"/>
    <cellStyle name="경고문 2 118" xfId="9501"/>
    <cellStyle name="경고문 2 119" xfId="9502"/>
    <cellStyle name="경고문 2 12" xfId="9503"/>
    <cellStyle name="경고문 2 120" xfId="9504"/>
    <cellStyle name="경고문 2 121" xfId="9505"/>
    <cellStyle name="경고문 2 122" xfId="9506"/>
    <cellStyle name="경고문 2 123" xfId="9507"/>
    <cellStyle name="경고문 2 124" xfId="9508"/>
    <cellStyle name="경고문 2 125" xfId="9509"/>
    <cellStyle name="경고문 2 126" xfId="9510"/>
    <cellStyle name="경고문 2 127" xfId="9511"/>
    <cellStyle name="경고문 2 128" xfId="9512"/>
    <cellStyle name="경고문 2 129" xfId="9513"/>
    <cellStyle name="경고문 2 13" xfId="9514"/>
    <cellStyle name="경고문 2 130" xfId="9515"/>
    <cellStyle name="경고문 2 131" xfId="9516"/>
    <cellStyle name="경고문 2 132" xfId="9517"/>
    <cellStyle name="경고문 2 133" xfId="9518"/>
    <cellStyle name="경고문 2 134" xfId="9519"/>
    <cellStyle name="경고문 2 135" xfId="9520"/>
    <cellStyle name="경고문 2 136" xfId="9521"/>
    <cellStyle name="경고문 2 137" xfId="9522"/>
    <cellStyle name="경고문 2 138" xfId="9523"/>
    <cellStyle name="경고문 2 139" xfId="9524"/>
    <cellStyle name="경고문 2 14" xfId="9525"/>
    <cellStyle name="경고문 2 140" xfId="9526"/>
    <cellStyle name="경고문 2 141" xfId="9527"/>
    <cellStyle name="경고문 2 142" xfId="9528"/>
    <cellStyle name="경고문 2 143" xfId="9529"/>
    <cellStyle name="경고문 2 144" xfId="9530"/>
    <cellStyle name="경고문 2 145" xfId="9531"/>
    <cellStyle name="경고문 2 146" xfId="9532"/>
    <cellStyle name="경고문 2 147" xfId="9533"/>
    <cellStyle name="경고문 2 148" xfId="9534"/>
    <cellStyle name="경고문 2 149" xfId="9535"/>
    <cellStyle name="경고문 2 15" xfId="9536"/>
    <cellStyle name="경고문 2 150" xfId="9537"/>
    <cellStyle name="경고문 2 151" xfId="9538"/>
    <cellStyle name="경고문 2 152" xfId="9539"/>
    <cellStyle name="경고문 2 153" xfId="9540"/>
    <cellStyle name="경고문 2 154" xfId="9541"/>
    <cellStyle name="경고문 2 155" xfId="9542"/>
    <cellStyle name="경고문 2 156" xfId="9543"/>
    <cellStyle name="경고문 2 157" xfId="9544"/>
    <cellStyle name="경고문 2 158" xfId="9545"/>
    <cellStyle name="경고문 2 159" xfId="9546"/>
    <cellStyle name="경고문 2 16" xfId="9547"/>
    <cellStyle name="경고문 2 160" xfId="9548"/>
    <cellStyle name="경고문 2 161" xfId="9549"/>
    <cellStyle name="경고문 2 162" xfId="9550"/>
    <cellStyle name="경고문 2 163" xfId="9551"/>
    <cellStyle name="경고문 2 164" xfId="9552"/>
    <cellStyle name="경고문 2 165" xfId="9553"/>
    <cellStyle name="경고문 2 166" xfId="9554"/>
    <cellStyle name="경고문 2 167" xfId="9555"/>
    <cellStyle name="경고문 2 168" xfId="9556"/>
    <cellStyle name="경고문 2 169" xfId="9557"/>
    <cellStyle name="경고문 2 17" xfId="9558"/>
    <cellStyle name="경고문 2 170" xfId="9559"/>
    <cellStyle name="경고문 2 171" xfId="9560"/>
    <cellStyle name="경고문 2 172" xfId="9561"/>
    <cellStyle name="경고문 2 173" xfId="9562"/>
    <cellStyle name="경고문 2 174" xfId="9563"/>
    <cellStyle name="경고문 2 175" xfId="9564"/>
    <cellStyle name="경고문 2 176" xfId="9565"/>
    <cellStyle name="경고문 2 177" xfId="9566"/>
    <cellStyle name="경고문 2 178" xfId="9567"/>
    <cellStyle name="경고문 2 179" xfId="9568"/>
    <cellStyle name="경고문 2 18" xfId="9569"/>
    <cellStyle name="경고문 2 180" xfId="9570"/>
    <cellStyle name="경고문 2 181" xfId="9571"/>
    <cellStyle name="경고문 2 182" xfId="9572"/>
    <cellStyle name="경고문 2 183" xfId="9573"/>
    <cellStyle name="경고문 2 184" xfId="9574"/>
    <cellStyle name="경고문 2 185" xfId="9575"/>
    <cellStyle name="경고문 2 186" xfId="9576"/>
    <cellStyle name="경고문 2 187" xfId="9577"/>
    <cellStyle name="경고문 2 188" xfId="9578"/>
    <cellStyle name="경고문 2 189" xfId="9579"/>
    <cellStyle name="경고문 2 19" xfId="9580"/>
    <cellStyle name="경고문 2 190" xfId="9581"/>
    <cellStyle name="경고문 2 191" xfId="9582"/>
    <cellStyle name="경고문 2 192" xfId="9583"/>
    <cellStyle name="경고문 2 193" xfId="9584"/>
    <cellStyle name="경고문 2 194" xfId="9585"/>
    <cellStyle name="경고문 2 195" xfId="9586"/>
    <cellStyle name="경고문 2 196" xfId="9587"/>
    <cellStyle name="경고문 2 197" xfId="9588"/>
    <cellStyle name="경고문 2 198" xfId="9589"/>
    <cellStyle name="경고문 2 199" xfId="9590"/>
    <cellStyle name="경고문 2 2" xfId="9591"/>
    <cellStyle name="경고문 2 20" xfId="9592"/>
    <cellStyle name="경고문 2 200" xfId="9593"/>
    <cellStyle name="경고문 2 201" xfId="9594"/>
    <cellStyle name="경고문 2 202" xfId="9595"/>
    <cellStyle name="경고문 2 203" xfId="9596"/>
    <cellStyle name="경고문 2 204" xfId="9597"/>
    <cellStyle name="경고문 2 205" xfId="9598"/>
    <cellStyle name="경고문 2 206" xfId="9599"/>
    <cellStyle name="경고문 2 207" xfId="9600"/>
    <cellStyle name="경고문 2 208" xfId="9601"/>
    <cellStyle name="경고문 2 209" xfId="9602"/>
    <cellStyle name="경고문 2 21" xfId="9603"/>
    <cellStyle name="경고문 2 210" xfId="9604"/>
    <cellStyle name="경고문 2 211" xfId="9605"/>
    <cellStyle name="경고문 2 212" xfId="9606"/>
    <cellStyle name="경고문 2 213" xfId="9607"/>
    <cellStyle name="경고문 2 214" xfId="9608"/>
    <cellStyle name="경고문 2 215" xfId="9609"/>
    <cellStyle name="경고문 2 216" xfId="9610"/>
    <cellStyle name="경고문 2 217" xfId="9611"/>
    <cellStyle name="경고문 2 218" xfId="9612"/>
    <cellStyle name="경고문 2 219" xfId="9613"/>
    <cellStyle name="경고문 2 22" xfId="9614"/>
    <cellStyle name="경고문 2 220" xfId="9615"/>
    <cellStyle name="경고문 2 221" xfId="9616"/>
    <cellStyle name="경고문 2 222" xfId="9617"/>
    <cellStyle name="경고문 2 223" xfId="9618"/>
    <cellStyle name="경고문 2 224" xfId="9619"/>
    <cellStyle name="경고문 2 225" xfId="9620"/>
    <cellStyle name="경고문 2 226" xfId="9621"/>
    <cellStyle name="경고문 2 227" xfId="9622"/>
    <cellStyle name="경고문 2 228" xfId="9623"/>
    <cellStyle name="경고문 2 229" xfId="9624"/>
    <cellStyle name="경고문 2 23" xfId="9625"/>
    <cellStyle name="경고문 2 230" xfId="9626"/>
    <cellStyle name="경고문 2 231" xfId="9627"/>
    <cellStyle name="경고문 2 232" xfId="9628"/>
    <cellStyle name="경고문 2 233" xfId="9629"/>
    <cellStyle name="경고문 2 234" xfId="9630"/>
    <cellStyle name="경고문 2 235" xfId="9631"/>
    <cellStyle name="경고문 2 236" xfId="9632"/>
    <cellStyle name="경고문 2 237" xfId="9633"/>
    <cellStyle name="경고문 2 238" xfId="9634"/>
    <cellStyle name="경고문 2 239" xfId="9635"/>
    <cellStyle name="경고문 2 24" xfId="9636"/>
    <cellStyle name="경고문 2 240" xfId="9637"/>
    <cellStyle name="경고문 2 241" xfId="9638"/>
    <cellStyle name="경고문 2 25" xfId="9639"/>
    <cellStyle name="경고문 2 26" xfId="9640"/>
    <cellStyle name="경고문 2 27" xfId="9641"/>
    <cellStyle name="경고문 2 28" xfId="9642"/>
    <cellStyle name="경고문 2 29" xfId="9643"/>
    <cellStyle name="경고문 2 3" xfId="9644"/>
    <cellStyle name="경고문 2 30" xfId="9645"/>
    <cellStyle name="경고문 2 31" xfId="9646"/>
    <cellStyle name="경고문 2 32" xfId="9647"/>
    <cellStyle name="경고문 2 33" xfId="9648"/>
    <cellStyle name="경고문 2 34" xfId="9649"/>
    <cellStyle name="경고문 2 35" xfId="9650"/>
    <cellStyle name="경고문 2 36" xfId="9651"/>
    <cellStyle name="경고문 2 37" xfId="9652"/>
    <cellStyle name="경고문 2 38" xfId="9653"/>
    <cellStyle name="경고문 2 39" xfId="9654"/>
    <cellStyle name="경고문 2 4" xfId="9655"/>
    <cellStyle name="경고문 2 40" xfId="9656"/>
    <cellStyle name="경고문 2 41" xfId="9657"/>
    <cellStyle name="경고문 2 42" xfId="9658"/>
    <cellStyle name="경고문 2 43" xfId="9659"/>
    <cellStyle name="경고문 2 44" xfId="9660"/>
    <cellStyle name="경고문 2 45" xfId="9661"/>
    <cellStyle name="경고문 2 46" xfId="9662"/>
    <cellStyle name="경고문 2 47" xfId="9663"/>
    <cellStyle name="경고문 2 48" xfId="9664"/>
    <cellStyle name="경고문 2 49" xfId="9665"/>
    <cellStyle name="경고문 2 5" xfId="9666"/>
    <cellStyle name="경고문 2 50" xfId="9667"/>
    <cellStyle name="경고문 2 51" xfId="9668"/>
    <cellStyle name="경고문 2 52" xfId="9669"/>
    <cellStyle name="경고문 2 53" xfId="9670"/>
    <cellStyle name="경고문 2 54" xfId="9671"/>
    <cellStyle name="경고문 2 55" xfId="9672"/>
    <cellStyle name="경고문 2 56" xfId="9673"/>
    <cellStyle name="경고문 2 57" xfId="9674"/>
    <cellStyle name="경고문 2 58" xfId="9675"/>
    <cellStyle name="경고문 2 59" xfId="9676"/>
    <cellStyle name="경고문 2 6" xfId="9677"/>
    <cellStyle name="경고문 2 60" xfId="9678"/>
    <cellStyle name="경고문 2 61" xfId="9679"/>
    <cellStyle name="경고문 2 62" xfId="9680"/>
    <cellStyle name="경고문 2 63" xfId="9681"/>
    <cellStyle name="경고문 2 64" xfId="9682"/>
    <cellStyle name="경고문 2 65" xfId="9683"/>
    <cellStyle name="경고문 2 66" xfId="9684"/>
    <cellStyle name="경고문 2 67" xfId="9685"/>
    <cellStyle name="경고문 2 68" xfId="9686"/>
    <cellStyle name="경고문 2 69" xfId="9687"/>
    <cellStyle name="경고문 2 7" xfId="9688"/>
    <cellStyle name="경고문 2 70" xfId="9689"/>
    <cellStyle name="경고문 2 71" xfId="9690"/>
    <cellStyle name="경고문 2 72" xfId="9691"/>
    <cellStyle name="경고문 2 73" xfId="9692"/>
    <cellStyle name="경고문 2 74" xfId="9693"/>
    <cellStyle name="경고문 2 75" xfId="9694"/>
    <cellStyle name="경고문 2 76" xfId="9695"/>
    <cellStyle name="경고문 2 77" xfId="9696"/>
    <cellStyle name="경고문 2 78" xfId="9697"/>
    <cellStyle name="경고문 2 79" xfId="9698"/>
    <cellStyle name="경고문 2 8" xfId="9699"/>
    <cellStyle name="경고문 2 80" xfId="9700"/>
    <cellStyle name="경고문 2 81" xfId="9701"/>
    <cellStyle name="경고문 2 82" xfId="9702"/>
    <cellStyle name="경고문 2 83" xfId="9703"/>
    <cellStyle name="경고문 2 84" xfId="9704"/>
    <cellStyle name="경고문 2 85" xfId="9705"/>
    <cellStyle name="경고문 2 86" xfId="9706"/>
    <cellStyle name="경고문 2 87" xfId="9707"/>
    <cellStyle name="경고문 2 88" xfId="9708"/>
    <cellStyle name="경고문 2 89" xfId="9709"/>
    <cellStyle name="경고문 2 9" xfId="9710"/>
    <cellStyle name="경고문 2 90" xfId="9711"/>
    <cellStyle name="경고문 2 91" xfId="9712"/>
    <cellStyle name="경고문 2 92" xfId="9713"/>
    <cellStyle name="경고문 2 93" xfId="9714"/>
    <cellStyle name="경고문 2 94" xfId="9715"/>
    <cellStyle name="경고문 2 95" xfId="9716"/>
    <cellStyle name="경고문 2 96" xfId="9717"/>
    <cellStyle name="경고문 2 97" xfId="9718"/>
    <cellStyle name="경고문 2 98" xfId="9719"/>
    <cellStyle name="경고문 2 99" xfId="9720"/>
    <cellStyle name="경고문 20" xfId="17259"/>
    <cellStyle name="경고문 21" xfId="17260"/>
    <cellStyle name="경고문 22" xfId="17261"/>
    <cellStyle name="경고문 23" xfId="17262"/>
    <cellStyle name="경고문 24" xfId="17263"/>
    <cellStyle name="경고문 25" xfId="17264"/>
    <cellStyle name="경고문 26" xfId="17265"/>
    <cellStyle name="경고문 27" xfId="17266"/>
    <cellStyle name="경고문 28" xfId="17267"/>
    <cellStyle name="경고문 29" xfId="17268"/>
    <cellStyle name="경고문 3" xfId="17269"/>
    <cellStyle name="경고문 3 2" xfId="17270"/>
    <cellStyle name="경고문 3 3" xfId="17271"/>
    <cellStyle name="경고문 30" xfId="17272"/>
    <cellStyle name="경고문 31" xfId="17273"/>
    <cellStyle name="경고문 32" xfId="17274"/>
    <cellStyle name="경고문 4" xfId="17275"/>
    <cellStyle name="경고문 4 2" xfId="17276"/>
    <cellStyle name="경고문 4 3" xfId="17277"/>
    <cellStyle name="경고문 5" xfId="17278"/>
    <cellStyle name="경고문 6" xfId="17279"/>
    <cellStyle name="경고문 7" xfId="17280"/>
    <cellStyle name="경고문 8" xfId="17281"/>
    <cellStyle name="경고문 9" xfId="17282"/>
    <cellStyle name="警告文本" xfId="9721"/>
    <cellStyle name="计算" xfId="9722"/>
    <cellStyle name="계산 10" xfId="17283"/>
    <cellStyle name="계산 11" xfId="17284"/>
    <cellStyle name="계산 12" xfId="17285"/>
    <cellStyle name="계산 13" xfId="17286"/>
    <cellStyle name="계산 14" xfId="17287"/>
    <cellStyle name="계산 15" xfId="17288"/>
    <cellStyle name="계산 16" xfId="17289"/>
    <cellStyle name="계산 17" xfId="17290"/>
    <cellStyle name="계산 18" xfId="17291"/>
    <cellStyle name="계산 19" xfId="17292"/>
    <cellStyle name="계산 2" xfId="9723"/>
    <cellStyle name="계산 2 10" xfId="9724"/>
    <cellStyle name="계산 2 100" xfId="9725"/>
    <cellStyle name="계산 2 101" xfId="9726"/>
    <cellStyle name="계산 2 102" xfId="9727"/>
    <cellStyle name="계산 2 103" xfId="9728"/>
    <cellStyle name="계산 2 104" xfId="9729"/>
    <cellStyle name="계산 2 105" xfId="9730"/>
    <cellStyle name="계산 2 106" xfId="9731"/>
    <cellStyle name="계산 2 107" xfId="9732"/>
    <cellStyle name="계산 2 108" xfId="9733"/>
    <cellStyle name="계산 2 109" xfId="9734"/>
    <cellStyle name="계산 2 11" xfId="9735"/>
    <cellStyle name="계산 2 110" xfId="9736"/>
    <cellStyle name="계산 2 111" xfId="9737"/>
    <cellStyle name="계산 2 112" xfId="9738"/>
    <cellStyle name="계산 2 113" xfId="9739"/>
    <cellStyle name="계산 2 114" xfId="9740"/>
    <cellStyle name="계산 2 115" xfId="9741"/>
    <cellStyle name="계산 2 116" xfId="9742"/>
    <cellStyle name="계산 2 117" xfId="9743"/>
    <cellStyle name="계산 2 118" xfId="9744"/>
    <cellStyle name="계산 2 119" xfId="9745"/>
    <cellStyle name="계산 2 12" xfId="9746"/>
    <cellStyle name="계산 2 120" xfId="9747"/>
    <cellStyle name="계산 2 121" xfId="9748"/>
    <cellStyle name="계산 2 122" xfId="9749"/>
    <cellStyle name="계산 2 123" xfId="9750"/>
    <cellStyle name="계산 2 124" xfId="9751"/>
    <cellStyle name="계산 2 125" xfId="9752"/>
    <cellStyle name="계산 2 126" xfId="9753"/>
    <cellStyle name="계산 2 127" xfId="9754"/>
    <cellStyle name="계산 2 128" xfId="9755"/>
    <cellStyle name="계산 2 129" xfId="9756"/>
    <cellStyle name="계산 2 13" xfId="9757"/>
    <cellStyle name="계산 2 130" xfId="9758"/>
    <cellStyle name="계산 2 131" xfId="9759"/>
    <cellStyle name="계산 2 132" xfId="9760"/>
    <cellStyle name="계산 2 133" xfId="9761"/>
    <cellStyle name="계산 2 134" xfId="9762"/>
    <cellStyle name="계산 2 135" xfId="9763"/>
    <cellStyle name="계산 2 136" xfId="9764"/>
    <cellStyle name="계산 2 137" xfId="9765"/>
    <cellStyle name="계산 2 138" xfId="9766"/>
    <cellStyle name="계산 2 139" xfId="9767"/>
    <cellStyle name="계산 2 14" xfId="9768"/>
    <cellStyle name="계산 2 140" xfId="9769"/>
    <cellStyle name="계산 2 141" xfId="9770"/>
    <cellStyle name="계산 2 142" xfId="9771"/>
    <cellStyle name="계산 2 143" xfId="9772"/>
    <cellStyle name="계산 2 144" xfId="9773"/>
    <cellStyle name="계산 2 145" xfId="9774"/>
    <cellStyle name="계산 2 146" xfId="9775"/>
    <cellStyle name="계산 2 147" xfId="9776"/>
    <cellStyle name="계산 2 148" xfId="9777"/>
    <cellStyle name="계산 2 149" xfId="9778"/>
    <cellStyle name="계산 2 15" xfId="9779"/>
    <cellStyle name="계산 2 150" xfId="9780"/>
    <cellStyle name="계산 2 151" xfId="9781"/>
    <cellStyle name="계산 2 152" xfId="9782"/>
    <cellStyle name="계산 2 153" xfId="9783"/>
    <cellStyle name="계산 2 154" xfId="9784"/>
    <cellStyle name="계산 2 155" xfId="9785"/>
    <cellStyle name="계산 2 156" xfId="9786"/>
    <cellStyle name="계산 2 157" xfId="9787"/>
    <cellStyle name="계산 2 158" xfId="9788"/>
    <cellStyle name="계산 2 159" xfId="9789"/>
    <cellStyle name="계산 2 16" xfId="9790"/>
    <cellStyle name="계산 2 160" xfId="9791"/>
    <cellStyle name="계산 2 161" xfId="9792"/>
    <cellStyle name="계산 2 162" xfId="9793"/>
    <cellStyle name="계산 2 163" xfId="9794"/>
    <cellStyle name="계산 2 164" xfId="9795"/>
    <cellStyle name="계산 2 165" xfId="9796"/>
    <cellStyle name="계산 2 166" xfId="9797"/>
    <cellStyle name="계산 2 167" xfId="9798"/>
    <cellStyle name="계산 2 168" xfId="9799"/>
    <cellStyle name="계산 2 169" xfId="9800"/>
    <cellStyle name="계산 2 17" xfId="9801"/>
    <cellStyle name="계산 2 170" xfId="9802"/>
    <cellStyle name="계산 2 171" xfId="9803"/>
    <cellStyle name="계산 2 172" xfId="9804"/>
    <cellStyle name="계산 2 173" xfId="9805"/>
    <cellStyle name="계산 2 174" xfId="9806"/>
    <cellStyle name="계산 2 175" xfId="9807"/>
    <cellStyle name="계산 2 176" xfId="9808"/>
    <cellStyle name="계산 2 177" xfId="9809"/>
    <cellStyle name="계산 2 178" xfId="9810"/>
    <cellStyle name="계산 2 179" xfId="9811"/>
    <cellStyle name="계산 2 18" xfId="9812"/>
    <cellStyle name="계산 2 180" xfId="9813"/>
    <cellStyle name="계산 2 181" xfId="9814"/>
    <cellStyle name="계산 2 182" xfId="9815"/>
    <cellStyle name="계산 2 183" xfId="9816"/>
    <cellStyle name="계산 2 184" xfId="9817"/>
    <cellStyle name="계산 2 185" xfId="9818"/>
    <cellStyle name="계산 2 186" xfId="9819"/>
    <cellStyle name="계산 2 187" xfId="9820"/>
    <cellStyle name="계산 2 188" xfId="9821"/>
    <cellStyle name="계산 2 189" xfId="9822"/>
    <cellStyle name="계산 2 19" xfId="9823"/>
    <cellStyle name="계산 2 190" xfId="9824"/>
    <cellStyle name="계산 2 191" xfId="9825"/>
    <cellStyle name="계산 2 192" xfId="9826"/>
    <cellStyle name="계산 2 193" xfId="9827"/>
    <cellStyle name="계산 2 194" xfId="9828"/>
    <cellStyle name="계산 2 195" xfId="9829"/>
    <cellStyle name="계산 2 196" xfId="9830"/>
    <cellStyle name="계산 2 197" xfId="9831"/>
    <cellStyle name="계산 2 198" xfId="9832"/>
    <cellStyle name="계산 2 199" xfId="9833"/>
    <cellStyle name="계산 2 2" xfId="9834"/>
    <cellStyle name="계산 2 2 2" xfId="17293"/>
    <cellStyle name="계산 2 2 2 2" xfId="17294"/>
    <cellStyle name="계산 2 2 2 3" xfId="17295"/>
    <cellStyle name="계산 2 2 2 4" xfId="17296"/>
    <cellStyle name="계산 2 2 2 5" xfId="17297"/>
    <cellStyle name="계산 2 2 2 6" xfId="17298"/>
    <cellStyle name="계산 2 2 3" xfId="17299"/>
    <cellStyle name="계산 2 2 3 2" xfId="17300"/>
    <cellStyle name="계산 2 2 3 3" xfId="17301"/>
    <cellStyle name="계산 2 2 3 4" xfId="17302"/>
    <cellStyle name="계산 2 2 3 5" xfId="17303"/>
    <cellStyle name="계산 2 2 3 6" xfId="17304"/>
    <cellStyle name="계산 2 2 4" xfId="17305"/>
    <cellStyle name="계산 2 2 4 2" xfId="17306"/>
    <cellStyle name="계산 2 2 4 3" xfId="17307"/>
    <cellStyle name="계산 2 2 4 4" xfId="17308"/>
    <cellStyle name="계산 2 2 4 5" xfId="17309"/>
    <cellStyle name="계산 2 2 4 6" xfId="17310"/>
    <cellStyle name="계산 2 2 5" xfId="17311"/>
    <cellStyle name="계산 2 2 6" xfId="17312"/>
    <cellStyle name="계산 2 2 7" xfId="17313"/>
    <cellStyle name="계산 2 2 8" xfId="17314"/>
    <cellStyle name="계산 2 2 9" xfId="17315"/>
    <cellStyle name="계산 2 20" xfId="9835"/>
    <cellStyle name="계산 2 200" xfId="9836"/>
    <cellStyle name="계산 2 201" xfId="9837"/>
    <cellStyle name="계산 2 202" xfId="9838"/>
    <cellStyle name="계산 2 203" xfId="9839"/>
    <cellStyle name="계산 2 204" xfId="9840"/>
    <cellStyle name="계산 2 205" xfId="9841"/>
    <cellStyle name="계산 2 206" xfId="9842"/>
    <cellStyle name="계산 2 207" xfId="9843"/>
    <cellStyle name="계산 2 208" xfId="9844"/>
    <cellStyle name="계산 2 209" xfId="9845"/>
    <cellStyle name="계산 2 21" xfId="9846"/>
    <cellStyle name="계산 2 210" xfId="9847"/>
    <cellStyle name="계산 2 211" xfId="9848"/>
    <cellStyle name="계산 2 212" xfId="9849"/>
    <cellStyle name="계산 2 213" xfId="9850"/>
    <cellStyle name="계산 2 214" xfId="9851"/>
    <cellStyle name="계산 2 215" xfId="9852"/>
    <cellStyle name="계산 2 216" xfId="9853"/>
    <cellStyle name="계산 2 217" xfId="9854"/>
    <cellStyle name="계산 2 218" xfId="9855"/>
    <cellStyle name="계산 2 219" xfId="9856"/>
    <cellStyle name="계산 2 22" xfId="9857"/>
    <cellStyle name="계산 2 220" xfId="9858"/>
    <cellStyle name="계산 2 221" xfId="9859"/>
    <cellStyle name="계산 2 222" xfId="9860"/>
    <cellStyle name="계산 2 223" xfId="9861"/>
    <cellStyle name="계산 2 224" xfId="9862"/>
    <cellStyle name="계산 2 225" xfId="9863"/>
    <cellStyle name="계산 2 226" xfId="9864"/>
    <cellStyle name="계산 2 227" xfId="9865"/>
    <cellStyle name="계산 2 228" xfId="9866"/>
    <cellStyle name="계산 2 229" xfId="9867"/>
    <cellStyle name="계산 2 23" xfId="9868"/>
    <cellStyle name="계산 2 230" xfId="9869"/>
    <cellStyle name="계산 2 231" xfId="9870"/>
    <cellStyle name="계산 2 232" xfId="9871"/>
    <cellStyle name="계산 2 233" xfId="9872"/>
    <cellStyle name="계산 2 234" xfId="9873"/>
    <cellStyle name="계산 2 235" xfId="9874"/>
    <cellStyle name="계산 2 236" xfId="9875"/>
    <cellStyle name="계산 2 237" xfId="9876"/>
    <cellStyle name="계산 2 238" xfId="9877"/>
    <cellStyle name="계산 2 239" xfId="9878"/>
    <cellStyle name="계산 2 24" xfId="9879"/>
    <cellStyle name="계산 2 240" xfId="9880"/>
    <cellStyle name="계산 2 241" xfId="9881"/>
    <cellStyle name="계산 2 25" xfId="9882"/>
    <cellStyle name="계산 2 26" xfId="9883"/>
    <cellStyle name="계산 2 27" xfId="9884"/>
    <cellStyle name="계산 2 28" xfId="9885"/>
    <cellStyle name="계산 2 29" xfId="9886"/>
    <cellStyle name="계산 2 3" xfId="9887"/>
    <cellStyle name="계산 2 3 2" xfId="17316"/>
    <cellStyle name="계산 2 3 3" xfId="17317"/>
    <cellStyle name="계산 2 30" xfId="9888"/>
    <cellStyle name="계산 2 31" xfId="9889"/>
    <cellStyle name="계산 2 32" xfId="9890"/>
    <cellStyle name="계산 2 33" xfId="9891"/>
    <cellStyle name="계산 2 34" xfId="9892"/>
    <cellStyle name="계산 2 35" xfId="9893"/>
    <cellStyle name="계산 2 36" xfId="9894"/>
    <cellStyle name="계산 2 37" xfId="9895"/>
    <cellStyle name="계산 2 38" xfId="9896"/>
    <cellStyle name="계산 2 39" xfId="9897"/>
    <cellStyle name="계산 2 4" xfId="9898"/>
    <cellStyle name="계산 2 40" xfId="9899"/>
    <cellStyle name="계산 2 41" xfId="9900"/>
    <cellStyle name="계산 2 42" xfId="9901"/>
    <cellStyle name="계산 2 43" xfId="9902"/>
    <cellStyle name="계산 2 44" xfId="9903"/>
    <cellStyle name="계산 2 45" xfId="9904"/>
    <cellStyle name="계산 2 46" xfId="9905"/>
    <cellStyle name="계산 2 47" xfId="9906"/>
    <cellStyle name="계산 2 48" xfId="9907"/>
    <cellStyle name="계산 2 49" xfId="9908"/>
    <cellStyle name="계산 2 5" xfId="9909"/>
    <cellStyle name="계산 2 50" xfId="9910"/>
    <cellStyle name="계산 2 51" xfId="9911"/>
    <cellStyle name="계산 2 52" xfId="9912"/>
    <cellStyle name="계산 2 53" xfId="9913"/>
    <cellStyle name="계산 2 54" xfId="9914"/>
    <cellStyle name="계산 2 55" xfId="9915"/>
    <cellStyle name="계산 2 56" xfId="9916"/>
    <cellStyle name="계산 2 57" xfId="9917"/>
    <cellStyle name="계산 2 58" xfId="9918"/>
    <cellStyle name="계산 2 59" xfId="9919"/>
    <cellStyle name="계산 2 6" xfId="9920"/>
    <cellStyle name="계산 2 60" xfId="9921"/>
    <cellStyle name="계산 2 61" xfId="9922"/>
    <cellStyle name="계산 2 62" xfId="9923"/>
    <cellStyle name="계산 2 63" xfId="9924"/>
    <cellStyle name="계산 2 64" xfId="9925"/>
    <cellStyle name="계산 2 65" xfId="9926"/>
    <cellStyle name="계산 2 66" xfId="9927"/>
    <cellStyle name="계산 2 67" xfId="9928"/>
    <cellStyle name="계산 2 68" xfId="9929"/>
    <cellStyle name="계산 2 69" xfId="9930"/>
    <cellStyle name="계산 2 7" xfId="9931"/>
    <cellStyle name="계산 2 70" xfId="9932"/>
    <cellStyle name="계산 2 71" xfId="9933"/>
    <cellStyle name="계산 2 72" xfId="9934"/>
    <cellStyle name="계산 2 73" xfId="9935"/>
    <cellStyle name="계산 2 74" xfId="9936"/>
    <cellStyle name="계산 2 75" xfId="9937"/>
    <cellStyle name="계산 2 76" xfId="9938"/>
    <cellStyle name="계산 2 77" xfId="9939"/>
    <cellStyle name="계산 2 78" xfId="9940"/>
    <cellStyle name="계산 2 79" xfId="9941"/>
    <cellStyle name="계산 2 8" xfId="9942"/>
    <cellStyle name="계산 2 80" xfId="9943"/>
    <cellStyle name="계산 2 81" xfId="9944"/>
    <cellStyle name="계산 2 82" xfId="9945"/>
    <cellStyle name="계산 2 83" xfId="9946"/>
    <cellStyle name="계산 2 84" xfId="9947"/>
    <cellStyle name="계산 2 85" xfId="9948"/>
    <cellStyle name="계산 2 86" xfId="9949"/>
    <cellStyle name="계산 2 87" xfId="9950"/>
    <cellStyle name="계산 2 88" xfId="9951"/>
    <cellStyle name="계산 2 89" xfId="9952"/>
    <cellStyle name="계산 2 9" xfId="9953"/>
    <cellStyle name="계산 2 90" xfId="9954"/>
    <cellStyle name="계산 2 91" xfId="9955"/>
    <cellStyle name="계산 2 92" xfId="9956"/>
    <cellStyle name="계산 2 93" xfId="9957"/>
    <cellStyle name="계산 2 94" xfId="9958"/>
    <cellStyle name="계산 2 95" xfId="9959"/>
    <cellStyle name="계산 2 96" xfId="9960"/>
    <cellStyle name="계산 2 97" xfId="9961"/>
    <cellStyle name="계산 2 98" xfId="9962"/>
    <cellStyle name="계산 2 99" xfId="9963"/>
    <cellStyle name="계산 20" xfId="17318"/>
    <cellStyle name="계산 21" xfId="17319"/>
    <cellStyle name="계산 22" xfId="17320"/>
    <cellStyle name="계산 23" xfId="17321"/>
    <cellStyle name="계산 24" xfId="17322"/>
    <cellStyle name="계산 25" xfId="17323"/>
    <cellStyle name="계산 26" xfId="17324"/>
    <cellStyle name="계산 27" xfId="17325"/>
    <cellStyle name="계산 28" xfId="17326"/>
    <cellStyle name="계산 29" xfId="17327"/>
    <cellStyle name="계산 3" xfId="17328"/>
    <cellStyle name="계산 3 2" xfId="17329"/>
    <cellStyle name="계산 3 2 10" xfId="17330"/>
    <cellStyle name="계산 3 2 2" xfId="17331"/>
    <cellStyle name="계산 3 2 2 2" xfId="17332"/>
    <cellStyle name="계산 3 2 2 3" xfId="17333"/>
    <cellStyle name="계산 3 2 2 4" xfId="17334"/>
    <cellStyle name="계산 3 2 2 5" xfId="17335"/>
    <cellStyle name="계산 3 2 2 6" xfId="17336"/>
    <cellStyle name="계산 3 2 3" xfId="17337"/>
    <cellStyle name="계산 3 2 3 2" xfId="17338"/>
    <cellStyle name="계산 3 2 3 3" xfId="17339"/>
    <cellStyle name="계산 3 2 3 4" xfId="17340"/>
    <cellStyle name="계산 3 2 3 5" xfId="17341"/>
    <cellStyle name="계산 3 2 3 6" xfId="17342"/>
    <cellStyle name="계산 3 2 4" xfId="17343"/>
    <cellStyle name="계산 3 2 4 2" xfId="17344"/>
    <cellStyle name="계산 3 2 4 3" xfId="17345"/>
    <cellStyle name="계산 3 2 4 4" xfId="17346"/>
    <cellStyle name="계산 3 2 4 5" xfId="17347"/>
    <cellStyle name="계산 3 2 4 6" xfId="17348"/>
    <cellStyle name="계산 3 2 5" xfId="17349"/>
    <cellStyle name="계산 3 2 6" xfId="17350"/>
    <cellStyle name="계산 3 2 7" xfId="17351"/>
    <cellStyle name="계산 3 2 8" xfId="17352"/>
    <cellStyle name="계산 3 2 9" xfId="17353"/>
    <cellStyle name="계산 3 3" xfId="17354"/>
    <cellStyle name="계산 3 3 2" xfId="17355"/>
    <cellStyle name="계산 3 3 3" xfId="17356"/>
    <cellStyle name="계산 3 4" xfId="17357"/>
    <cellStyle name="계산 3 5" xfId="17358"/>
    <cellStyle name="계산 3 6" xfId="17359"/>
    <cellStyle name="계산 30" xfId="17360"/>
    <cellStyle name="계산 31" xfId="17361"/>
    <cellStyle name="계산 32" xfId="17362"/>
    <cellStyle name="계산 4" xfId="17363"/>
    <cellStyle name="계산 4 2" xfId="17364"/>
    <cellStyle name="계산 4 2 2" xfId="17365"/>
    <cellStyle name="계산 4 2 2 2" xfId="17366"/>
    <cellStyle name="계산 4 2 2 3" xfId="17367"/>
    <cellStyle name="계산 4 2 2 4" xfId="17368"/>
    <cellStyle name="계산 4 2 2 5" xfId="17369"/>
    <cellStyle name="계산 4 2 3" xfId="17370"/>
    <cellStyle name="계산 4 2 3 2" xfId="17371"/>
    <cellStyle name="계산 4 2 3 3" xfId="17372"/>
    <cellStyle name="계산 4 2 3 4" xfId="17373"/>
    <cellStyle name="계산 4 2 3 5" xfId="17374"/>
    <cellStyle name="계산 4 2 4" xfId="17375"/>
    <cellStyle name="계산 4 2 4 2" xfId="17376"/>
    <cellStyle name="계산 4 2 4 3" xfId="17377"/>
    <cellStyle name="계산 4 2 4 4" xfId="17378"/>
    <cellStyle name="계산 4 2 4 5" xfId="17379"/>
    <cellStyle name="계산 4 2 5" xfId="17380"/>
    <cellStyle name="계산 4 2 6" xfId="17381"/>
    <cellStyle name="계산 4 2 7" xfId="17382"/>
    <cellStyle name="계산 4 2 8" xfId="17383"/>
    <cellStyle name="계산 4 3" xfId="17384"/>
    <cellStyle name="계산 4 4" xfId="17385"/>
    <cellStyle name="계산 5" xfId="17386"/>
    <cellStyle name="계산 6" xfId="17387"/>
    <cellStyle name="계산 7" xfId="17388"/>
    <cellStyle name="계산 8" xfId="17389"/>
    <cellStyle name="계산 9" xfId="17390"/>
    <cellStyle name="고정소숫점" xfId="9964"/>
    <cellStyle name="고정출력1" xfId="9965"/>
    <cellStyle name="고정출력2" xfId="9966"/>
    <cellStyle name="适中" xfId="9967"/>
    <cellStyle name="금액" xfId="9968"/>
    <cellStyle name="나쁨 10" xfId="17391"/>
    <cellStyle name="나쁨 11" xfId="17392"/>
    <cellStyle name="나쁨 12" xfId="17393"/>
    <cellStyle name="나쁨 13" xfId="17394"/>
    <cellStyle name="나쁨 14" xfId="17395"/>
    <cellStyle name="나쁨 15" xfId="17396"/>
    <cellStyle name="나쁨 16" xfId="17397"/>
    <cellStyle name="나쁨 17" xfId="17398"/>
    <cellStyle name="나쁨 18" xfId="17399"/>
    <cellStyle name="나쁨 19" xfId="17400"/>
    <cellStyle name="나쁨 2" xfId="9969"/>
    <cellStyle name="나쁨 2 10" xfId="9970"/>
    <cellStyle name="나쁨 2 100" xfId="9971"/>
    <cellStyle name="나쁨 2 101" xfId="9972"/>
    <cellStyle name="나쁨 2 102" xfId="9973"/>
    <cellStyle name="나쁨 2 103" xfId="9974"/>
    <cellStyle name="나쁨 2 104" xfId="9975"/>
    <cellStyle name="나쁨 2 105" xfId="9976"/>
    <cellStyle name="나쁨 2 106" xfId="9977"/>
    <cellStyle name="나쁨 2 107" xfId="9978"/>
    <cellStyle name="나쁨 2 108" xfId="9979"/>
    <cellStyle name="나쁨 2 109" xfId="9980"/>
    <cellStyle name="나쁨 2 11" xfId="9981"/>
    <cellStyle name="나쁨 2 110" xfId="9982"/>
    <cellStyle name="나쁨 2 111" xfId="9983"/>
    <cellStyle name="나쁨 2 112" xfId="9984"/>
    <cellStyle name="나쁨 2 113" xfId="9985"/>
    <cellStyle name="나쁨 2 114" xfId="9986"/>
    <cellStyle name="나쁨 2 115" xfId="9987"/>
    <cellStyle name="나쁨 2 116" xfId="9988"/>
    <cellStyle name="나쁨 2 117" xfId="9989"/>
    <cellStyle name="나쁨 2 118" xfId="9990"/>
    <cellStyle name="나쁨 2 119" xfId="9991"/>
    <cellStyle name="나쁨 2 12" xfId="9992"/>
    <cellStyle name="나쁨 2 120" xfId="9993"/>
    <cellStyle name="나쁨 2 121" xfId="9994"/>
    <cellStyle name="나쁨 2 122" xfId="9995"/>
    <cellStyle name="나쁨 2 123" xfId="9996"/>
    <cellStyle name="나쁨 2 124" xfId="9997"/>
    <cellStyle name="나쁨 2 125" xfId="9998"/>
    <cellStyle name="나쁨 2 126" xfId="9999"/>
    <cellStyle name="나쁨 2 127" xfId="10000"/>
    <cellStyle name="나쁨 2 128" xfId="10001"/>
    <cellStyle name="나쁨 2 129" xfId="10002"/>
    <cellStyle name="나쁨 2 13" xfId="10003"/>
    <cellStyle name="나쁨 2 130" xfId="10004"/>
    <cellStyle name="나쁨 2 131" xfId="10005"/>
    <cellStyle name="나쁨 2 132" xfId="10006"/>
    <cellStyle name="나쁨 2 133" xfId="10007"/>
    <cellStyle name="나쁨 2 134" xfId="10008"/>
    <cellStyle name="나쁨 2 135" xfId="10009"/>
    <cellStyle name="나쁨 2 136" xfId="10010"/>
    <cellStyle name="나쁨 2 137" xfId="10011"/>
    <cellStyle name="나쁨 2 138" xfId="10012"/>
    <cellStyle name="나쁨 2 139" xfId="10013"/>
    <cellStyle name="나쁨 2 14" xfId="10014"/>
    <cellStyle name="나쁨 2 140" xfId="10015"/>
    <cellStyle name="나쁨 2 141" xfId="10016"/>
    <cellStyle name="나쁨 2 142" xfId="10017"/>
    <cellStyle name="나쁨 2 143" xfId="10018"/>
    <cellStyle name="나쁨 2 144" xfId="10019"/>
    <cellStyle name="나쁨 2 145" xfId="10020"/>
    <cellStyle name="나쁨 2 146" xfId="10021"/>
    <cellStyle name="나쁨 2 147" xfId="10022"/>
    <cellStyle name="나쁨 2 148" xfId="10023"/>
    <cellStyle name="나쁨 2 149" xfId="10024"/>
    <cellStyle name="나쁨 2 15" xfId="10025"/>
    <cellStyle name="나쁨 2 150" xfId="10026"/>
    <cellStyle name="나쁨 2 151" xfId="10027"/>
    <cellStyle name="나쁨 2 152" xfId="10028"/>
    <cellStyle name="나쁨 2 153" xfId="10029"/>
    <cellStyle name="나쁨 2 154" xfId="10030"/>
    <cellStyle name="나쁨 2 155" xfId="10031"/>
    <cellStyle name="나쁨 2 156" xfId="10032"/>
    <cellStyle name="나쁨 2 157" xfId="10033"/>
    <cellStyle name="나쁨 2 158" xfId="10034"/>
    <cellStyle name="나쁨 2 159" xfId="10035"/>
    <cellStyle name="나쁨 2 16" xfId="10036"/>
    <cellStyle name="나쁨 2 160" xfId="10037"/>
    <cellStyle name="나쁨 2 161" xfId="10038"/>
    <cellStyle name="나쁨 2 162" xfId="10039"/>
    <cellStyle name="나쁨 2 163" xfId="10040"/>
    <cellStyle name="나쁨 2 164" xfId="10041"/>
    <cellStyle name="나쁨 2 165" xfId="10042"/>
    <cellStyle name="나쁨 2 166" xfId="10043"/>
    <cellStyle name="나쁨 2 167" xfId="10044"/>
    <cellStyle name="나쁨 2 168" xfId="10045"/>
    <cellStyle name="나쁨 2 169" xfId="10046"/>
    <cellStyle name="나쁨 2 17" xfId="10047"/>
    <cellStyle name="나쁨 2 170" xfId="10048"/>
    <cellStyle name="나쁨 2 171" xfId="10049"/>
    <cellStyle name="나쁨 2 172" xfId="10050"/>
    <cellStyle name="나쁨 2 173" xfId="10051"/>
    <cellStyle name="나쁨 2 174" xfId="10052"/>
    <cellStyle name="나쁨 2 175" xfId="10053"/>
    <cellStyle name="나쁨 2 176" xfId="10054"/>
    <cellStyle name="나쁨 2 177" xfId="10055"/>
    <cellStyle name="나쁨 2 178" xfId="10056"/>
    <cellStyle name="나쁨 2 179" xfId="10057"/>
    <cellStyle name="나쁨 2 18" xfId="10058"/>
    <cellStyle name="나쁨 2 180" xfId="10059"/>
    <cellStyle name="나쁨 2 181" xfId="10060"/>
    <cellStyle name="나쁨 2 182" xfId="10061"/>
    <cellStyle name="나쁨 2 183" xfId="10062"/>
    <cellStyle name="나쁨 2 184" xfId="10063"/>
    <cellStyle name="나쁨 2 185" xfId="10064"/>
    <cellStyle name="나쁨 2 186" xfId="10065"/>
    <cellStyle name="나쁨 2 187" xfId="10066"/>
    <cellStyle name="나쁨 2 188" xfId="10067"/>
    <cellStyle name="나쁨 2 189" xfId="10068"/>
    <cellStyle name="나쁨 2 19" xfId="10069"/>
    <cellStyle name="나쁨 2 190" xfId="10070"/>
    <cellStyle name="나쁨 2 191" xfId="10071"/>
    <cellStyle name="나쁨 2 192" xfId="10072"/>
    <cellStyle name="나쁨 2 193" xfId="10073"/>
    <cellStyle name="나쁨 2 194" xfId="10074"/>
    <cellStyle name="나쁨 2 195" xfId="10075"/>
    <cellStyle name="나쁨 2 196" xfId="10076"/>
    <cellStyle name="나쁨 2 197" xfId="10077"/>
    <cellStyle name="나쁨 2 198" xfId="10078"/>
    <cellStyle name="나쁨 2 199" xfId="10079"/>
    <cellStyle name="나쁨 2 2" xfId="10080"/>
    <cellStyle name="나쁨 2 20" xfId="10081"/>
    <cellStyle name="나쁨 2 200" xfId="10082"/>
    <cellStyle name="나쁨 2 201" xfId="10083"/>
    <cellStyle name="나쁨 2 202" xfId="10084"/>
    <cellStyle name="나쁨 2 203" xfId="10085"/>
    <cellStyle name="나쁨 2 204" xfId="10086"/>
    <cellStyle name="나쁨 2 205" xfId="10087"/>
    <cellStyle name="나쁨 2 206" xfId="10088"/>
    <cellStyle name="나쁨 2 207" xfId="10089"/>
    <cellStyle name="나쁨 2 208" xfId="10090"/>
    <cellStyle name="나쁨 2 209" xfId="10091"/>
    <cellStyle name="나쁨 2 21" xfId="10092"/>
    <cellStyle name="나쁨 2 210" xfId="10093"/>
    <cellStyle name="나쁨 2 211" xfId="10094"/>
    <cellStyle name="나쁨 2 212" xfId="10095"/>
    <cellStyle name="나쁨 2 213" xfId="10096"/>
    <cellStyle name="나쁨 2 214" xfId="10097"/>
    <cellStyle name="나쁨 2 215" xfId="10098"/>
    <cellStyle name="나쁨 2 216" xfId="10099"/>
    <cellStyle name="나쁨 2 217" xfId="10100"/>
    <cellStyle name="나쁨 2 218" xfId="10101"/>
    <cellStyle name="나쁨 2 219" xfId="10102"/>
    <cellStyle name="나쁨 2 22" xfId="10103"/>
    <cellStyle name="나쁨 2 220" xfId="10104"/>
    <cellStyle name="나쁨 2 221" xfId="10105"/>
    <cellStyle name="나쁨 2 222" xfId="10106"/>
    <cellStyle name="나쁨 2 223" xfId="10107"/>
    <cellStyle name="나쁨 2 224" xfId="10108"/>
    <cellStyle name="나쁨 2 225" xfId="10109"/>
    <cellStyle name="나쁨 2 226" xfId="10110"/>
    <cellStyle name="나쁨 2 227" xfId="10111"/>
    <cellStyle name="나쁨 2 228" xfId="10112"/>
    <cellStyle name="나쁨 2 229" xfId="10113"/>
    <cellStyle name="나쁨 2 23" xfId="10114"/>
    <cellStyle name="나쁨 2 230" xfId="10115"/>
    <cellStyle name="나쁨 2 231" xfId="10116"/>
    <cellStyle name="나쁨 2 232" xfId="10117"/>
    <cellStyle name="나쁨 2 233" xfId="10118"/>
    <cellStyle name="나쁨 2 234" xfId="10119"/>
    <cellStyle name="나쁨 2 235" xfId="10120"/>
    <cellStyle name="나쁨 2 236" xfId="10121"/>
    <cellStyle name="나쁨 2 237" xfId="10122"/>
    <cellStyle name="나쁨 2 238" xfId="10123"/>
    <cellStyle name="나쁨 2 239" xfId="10124"/>
    <cellStyle name="나쁨 2 24" xfId="10125"/>
    <cellStyle name="나쁨 2 240" xfId="10126"/>
    <cellStyle name="나쁨 2 241" xfId="10127"/>
    <cellStyle name="나쁨 2 25" xfId="10128"/>
    <cellStyle name="나쁨 2 26" xfId="10129"/>
    <cellStyle name="나쁨 2 27" xfId="10130"/>
    <cellStyle name="나쁨 2 28" xfId="10131"/>
    <cellStyle name="나쁨 2 29" xfId="10132"/>
    <cellStyle name="나쁨 2 3" xfId="10133"/>
    <cellStyle name="나쁨 2 30" xfId="10134"/>
    <cellStyle name="나쁨 2 31" xfId="10135"/>
    <cellStyle name="나쁨 2 32" xfId="10136"/>
    <cellStyle name="나쁨 2 33" xfId="10137"/>
    <cellStyle name="나쁨 2 34" xfId="10138"/>
    <cellStyle name="나쁨 2 35" xfId="10139"/>
    <cellStyle name="나쁨 2 36" xfId="10140"/>
    <cellStyle name="나쁨 2 37" xfId="10141"/>
    <cellStyle name="나쁨 2 38" xfId="10142"/>
    <cellStyle name="나쁨 2 39" xfId="10143"/>
    <cellStyle name="나쁨 2 4" xfId="10144"/>
    <cellStyle name="나쁨 2 40" xfId="10145"/>
    <cellStyle name="나쁨 2 41" xfId="10146"/>
    <cellStyle name="나쁨 2 42" xfId="10147"/>
    <cellStyle name="나쁨 2 43" xfId="10148"/>
    <cellStyle name="나쁨 2 44" xfId="10149"/>
    <cellStyle name="나쁨 2 45" xfId="10150"/>
    <cellStyle name="나쁨 2 46" xfId="10151"/>
    <cellStyle name="나쁨 2 47" xfId="10152"/>
    <cellStyle name="나쁨 2 48" xfId="10153"/>
    <cellStyle name="나쁨 2 49" xfId="10154"/>
    <cellStyle name="나쁨 2 5" xfId="10155"/>
    <cellStyle name="나쁨 2 50" xfId="10156"/>
    <cellStyle name="나쁨 2 51" xfId="10157"/>
    <cellStyle name="나쁨 2 52" xfId="10158"/>
    <cellStyle name="나쁨 2 53" xfId="10159"/>
    <cellStyle name="나쁨 2 54" xfId="10160"/>
    <cellStyle name="나쁨 2 55" xfId="10161"/>
    <cellStyle name="나쁨 2 56" xfId="10162"/>
    <cellStyle name="나쁨 2 57" xfId="10163"/>
    <cellStyle name="나쁨 2 58" xfId="10164"/>
    <cellStyle name="나쁨 2 59" xfId="10165"/>
    <cellStyle name="나쁨 2 6" xfId="10166"/>
    <cellStyle name="나쁨 2 60" xfId="10167"/>
    <cellStyle name="나쁨 2 61" xfId="10168"/>
    <cellStyle name="나쁨 2 62" xfId="10169"/>
    <cellStyle name="나쁨 2 63" xfId="10170"/>
    <cellStyle name="나쁨 2 64" xfId="10171"/>
    <cellStyle name="나쁨 2 65" xfId="10172"/>
    <cellStyle name="나쁨 2 66" xfId="10173"/>
    <cellStyle name="나쁨 2 67" xfId="10174"/>
    <cellStyle name="나쁨 2 68" xfId="10175"/>
    <cellStyle name="나쁨 2 69" xfId="10176"/>
    <cellStyle name="나쁨 2 7" xfId="10177"/>
    <cellStyle name="나쁨 2 70" xfId="10178"/>
    <cellStyle name="나쁨 2 71" xfId="10179"/>
    <cellStyle name="나쁨 2 72" xfId="10180"/>
    <cellStyle name="나쁨 2 73" xfId="10181"/>
    <cellStyle name="나쁨 2 74" xfId="10182"/>
    <cellStyle name="나쁨 2 75" xfId="10183"/>
    <cellStyle name="나쁨 2 76" xfId="10184"/>
    <cellStyle name="나쁨 2 77" xfId="10185"/>
    <cellStyle name="나쁨 2 78" xfId="10186"/>
    <cellStyle name="나쁨 2 79" xfId="10187"/>
    <cellStyle name="나쁨 2 8" xfId="10188"/>
    <cellStyle name="나쁨 2 80" xfId="10189"/>
    <cellStyle name="나쁨 2 81" xfId="10190"/>
    <cellStyle name="나쁨 2 82" xfId="10191"/>
    <cellStyle name="나쁨 2 83" xfId="10192"/>
    <cellStyle name="나쁨 2 84" xfId="10193"/>
    <cellStyle name="나쁨 2 85" xfId="10194"/>
    <cellStyle name="나쁨 2 86" xfId="10195"/>
    <cellStyle name="나쁨 2 87" xfId="10196"/>
    <cellStyle name="나쁨 2 88" xfId="10197"/>
    <cellStyle name="나쁨 2 89" xfId="10198"/>
    <cellStyle name="나쁨 2 9" xfId="10199"/>
    <cellStyle name="나쁨 2 90" xfId="10200"/>
    <cellStyle name="나쁨 2 91" xfId="10201"/>
    <cellStyle name="나쁨 2 92" xfId="10202"/>
    <cellStyle name="나쁨 2 93" xfId="10203"/>
    <cellStyle name="나쁨 2 94" xfId="10204"/>
    <cellStyle name="나쁨 2 95" xfId="10205"/>
    <cellStyle name="나쁨 2 96" xfId="10206"/>
    <cellStyle name="나쁨 2 97" xfId="10207"/>
    <cellStyle name="나쁨 2 98" xfId="10208"/>
    <cellStyle name="나쁨 2 99" xfId="10209"/>
    <cellStyle name="나쁨 20" xfId="17401"/>
    <cellStyle name="나쁨 21" xfId="17402"/>
    <cellStyle name="나쁨 22" xfId="17403"/>
    <cellStyle name="나쁨 23" xfId="17404"/>
    <cellStyle name="나쁨 24" xfId="17405"/>
    <cellStyle name="나쁨 25" xfId="17406"/>
    <cellStyle name="나쁨 26" xfId="17407"/>
    <cellStyle name="나쁨 27" xfId="17408"/>
    <cellStyle name="나쁨 28" xfId="17409"/>
    <cellStyle name="나쁨 29" xfId="17410"/>
    <cellStyle name="나쁨 3" xfId="17411"/>
    <cellStyle name="나쁨 3 2" xfId="17412"/>
    <cellStyle name="나쁨 3 3" xfId="17413"/>
    <cellStyle name="나쁨 30" xfId="17414"/>
    <cellStyle name="나쁨 31" xfId="17415"/>
    <cellStyle name="나쁨 32" xfId="17416"/>
    <cellStyle name="나쁨 4" xfId="17417"/>
    <cellStyle name="나쁨 4 2" xfId="17418"/>
    <cellStyle name="나쁨 4 3" xfId="17419"/>
    <cellStyle name="나쁨 5" xfId="17420"/>
    <cellStyle name="나쁨 6" xfId="17421"/>
    <cellStyle name="나쁨 7" xfId="17422"/>
    <cellStyle name="나쁨 8" xfId="17423"/>
    <cellStyle name="나쁨 9" xfId="17424"/>
    <cellStyle name="날짜" xfId="10210"/>
    <cellStyle name="달러" xfId="10211"/>
    <cellStyle name="㼿" xfId="17425"/>
    <cellStyle name="㼿?" xfId="17426"/>
    <cellStyle name="㼿㼿" xfId="17427"/>
    <cellStyle name="㼿㼿?" xfId="17428"/>
    <cellStyle name="㼿㼿㼿" xfId="17429"/>
    <cellStyle name="㼿㼿㼿㼿㼿" xfId="17430"/>
    <cellStyle name="㼿㼿㼿㼿㼿?" xfId="17431"/>
    <cellStyle name="뒤에 오는 하이퍼링크" xfId="17432"/>
    <cellStyle name="뒤에 오는 하이퍼링크 2" xfId="17433"/>
    <cellStyle name="뒤에 오는 하이퍼링크 3" xfId="17434"/>
    <cellStyle name="뒤에 오는 하이퍼링크_01_09 WITHOUT" xfId="10212"/>
    <cellStyle name="똿뗦먛귟 [0.00]_PRODUCT DETAIL Q1" xfId="10213"/>
    <cellStyle name="똿뗦먛귟_laroux" xfId="10214"/>
    <cellStyle name="链接单元格" xfId="10215"/>
    <cellStyle name="메모 10" xfId="17435"/>
    <cellStyle name="메모 11" xfId="17436"/>
    <cellStyle name="메모 12" xfId="17437"/>
    <cellStyle name="메모 13" xfId="17438"/>
    <cellStyle name="메모 14" xfId="17439"/>
    <cellStyle name="메모 15" xfId="17440"/>
    <cellStyle name="메모 16" xfId="17441"/>
    <cellStyle name="메모 17" xfId="17442"/>
    <cellStyle name="메모 18" xfId="17443"/>
    <cellStyle name="메모 19" xfId="17444"/>
    <cellStyle name="메모 2" xfId="10216"/>
    <cellStyle name="메모 2 10" xfId="10217"/>
    <cellStyle name="메모 2 100" xfId="10218"/>
    <cellStyle name="메모 2 101" xfId="10219"/>
    <cellStyle name="메모 2 102" xfId="10220"/>
    <cellStyle name="메모 2 103" xfId="10221"/>
    <cellStyle name="메모 2 104" xfId="10222"/>
    <cellStyle name="메모 2 105" xfId="10223"/>
    <cellStyle name="메모 2 106" xfId="10224"/>
    <cellStyle name="메모 2 107" xfId="10225"/>
    <cellStyle name="메모 2 108" xfId="10226"/>
    <cellStyle name="메모 2 109" xfId="10227"/>
    <cellStyle name="메모 2 11" xfId="10228"/>
    <cellStyle name="메모 2 110" xfId="10229"/>
    <cellStyle name="메모 2 111" xfId="10230"/>
    <cellStyle name="메모 2 112" xfId="10231"/>
    <cellStyle name="메모 2 113" xfId="10232"/>
    <cellStyle name="메모 2 114" xfId="10233"/>
    <cellStyle name="메모 2 115" xfId="10234"/>
    <cellStyle name="메모 2 116" xfId="10235"/>
    <cellStyle name="메모 2 117" xfId="10236"/>
    <cellStyle name="메모 2 118" xfId="10237"/>
    <cellStyle name="메모 2 119" xfId="10238"/>
    <cellStyle name="메모 2 12" xfId="10239"/>
    <cellStyle name="메모 2 120" xfId="10240"/>
    <cellStyle name="메모 2 121" xfId="10241"/>
    <cellStyle name="메모 2 122" xfId="10242"/>
    <cellStyle name="메모 2 123" xfId="10243"/>
    <cellStyle name="메모 2 124" xfId="10244"/>
    <cellStyle name="메모 2 125" xfId="10245"/>
    <cellStyle name="메모 2 126" xfId="10246"/>
    <cellStyle name="메모 2 127" xfId="10247"/>
    <cellStyle name="메모 2 128" xfId="10248"/>
    <cellStyle name="메모 2 129" xfId="10249"/>
    <cellStyle name="메모 2 13" xfId="10250"/>
    <cellStyle name="메모 2 130" xfId="10251"/>
    <cellStyle name="메모 2 131" xfId="10252"/>
    <cellStyle name="메모 2 132" xfId="10253"/>
    <cellStyle name="메모 2 133" xfId="10254"/>
    <cellStyle name="메모 2 134" xfId="10255"/>
    <cellStyle name="메모 2 135" xfId="10256"/>
    <cellStyle name="메모 2 136" xfId="10257"/>
    <cellStyle name="메모 2 137" xfId="10258"/>
    <cellStyle name="메모 2 138" xfId="10259"/>
    <cellStyle name="메모 2 139" xfId="10260"/>
    <cellStyle name="메모 2 14" xfId="10261"/>
    <cellStyle name="메모 2 140" xfId="10262"/>
    <cellStyle name="메모 2 141" xfId="10263"/>
    <cellStyle name="메모 2 142" xfId="10264"/>
    <cellStyle name="메모 2 143" xfId="10265"/>
    <cellStyle name="메모 2 144" xfId="10266"/>
    <cellStyle name="메모 2 145" xfId="10267"/>
    <cellStyle name="메모 2 146" xfId="10268"/>
    <cellStyle name="메모 2 147" xfId="10269"/>
    <cellStyle name="메모 2 148" xfId="10270"/>
    <cellStyle name="메모 2 149" xfId="10271"/>
    <cellStyle name="메모 2 15" xfId="10272"/>
    <cellStyle name="메모 2 150" xfId="10273"/>
    <cellStyle name="메모 2 151" xfId="10274"/>
    <cellStyle name="메모 2 152" xfId="10275"/>
    <cellStyle name="메모 2 153" xfId="10276"/>
    <cellStyle name="메모 2 154" xfId="10277"/>
    <cellStyle name="메모 2 155" xfId="10278"/>
    <cellStyle name="메모 2 156" xfId="10279"/>
    <cellStyle name="메모 2 157" xfId="10280"/>
    <cellStyle name="메모 2 158" xfId="10281"/>
    <cellStyle name="메모 2 159" xfId="10282"/>
    <cellStyle name="메모 2 16" xfId="10283"/>
    <cellStyle name="메모 2 160" xfId="10284"/>
    <cellStyle name="메모 2 161" xfId="10285"/>
    <cellStyle name="메모 2 162" xfId="10286"/>
    <cellStyle name="메모 2 163" xfId="10287"/>
    <cellStyle name="메모 2 164" xfId="10288"/>
    <cellStyle name="메모 2 165" xfId="10289"/>
    <cellStyle name="메모 2 166" xfId="10290"/>
    <cellStyle name="메모 2 167" xfId="10291"/>
    <cellStyle name="메모 2 168" xfId="10292"/>
    <cellStyle name="메모 2 169" xfId="10293"/>
    <cellStyle name="메모 2 17" xfId="10294"/>
    <cellStyle name="메모 2 170" xfId="10295"/>
    <cellStyle name="메모 2 171" xfId="10296"/>
    <cellStyle name="메모 2 172" xfId="10297"/>
    <cellStyle name="메모 2 173" xfId="10298"/>
    <cellStyle name="메모 2 174" xfId="10299"/>
    <cellStyle name="메모 2 175" xfId="10300"/>
    <cellStyle name="메모 2 176" xfId="10301"/>
    <cellStyle name="메모 2 177" xfId="10302"/>
    <cellStyle name="메모 2 178" xfId="10303"/>
    <cellStyle name="메모 2 179" xfId="10304"/>
    <cellStyle name="메모 2 18" xfId="10305"/>
    <cellStyle name="메모 2 180" xfId="10306"/>
    <cellStyle name="메모 2 181" xfId="10307"/>
    <cellStyle name="메모 2 182" xfId="10308"/>
    <cellStyle name="메모 2 183" xfId="10309"/>
    <cellStyle name="메모 2 184" xfId="10310"/>
    <cellStyle name="메모 2 185" xfId="10311"/>
    <cellStyle name="메모 2 186" xfId="10312"/>
    <cellStyle name="메모 2 187" xfId="10313"/>
    <cellStyle name="메모 2 188" xfId="10314"/>
    <cellStyle name="메모 2 189" xfId="10315"/>
    <cellStyle name="메모 2 19" xfId="10316"/>
    <cellStyle name="메모 2 190" xfId="10317"/>
    <cellStyle name="메모 2 191" xfId="10318"/>
    <cellStyle name="메모 2 192" xfId="10319"/>
    <cellStyle name="메모 2 193" xfId="10320"/>
    <cellStyle name="메모 2 194" xfId="10321"/>
    <cellStyle name="메모 2 195" xfId="10322"/>
    <cellStyle name="메모 2 196" xfId="10323"/>
    <cellStyle name="메모 2 197" xfId="10324"/>
    <cellStyle name="메모 2 198" xfId="10325"/>
    <cellStyle name="메모 2 199" xfId="10326"/>
    <cellStyle name="메모 2 2" xfId="10327"/>
    <cellStyle name="메모 2 2 10" xfId="17445"/>
    <cellStyle name="메모 2 2 11" xfId="17446"/>
    <cellStyle name="메모 2 2 12" xfId="17447"/>
    <cellStyle name="메모 2 2 13" xfId="17448"/>
    <cellStyle name="메모 2 2 2" xfId="17449"/>
    <cellStyle name="메모 2 2 2 2" xfId="17450"/>
    <cellStyle name="메모 2 2 2 3" xfId="17451"/>
    <cellStyle name="메모 2 2 2 4" xfId="17452"/>
    <cellStyle name="메모 2 2 2 5" xfId="17453"/>
    <cellStyle name="메모 2 2 2 6" xfId="17454"/>
    <cellStyle name="메모 2 2 3" xfId="17455"/>
    <cellStyle name="메모 2 2 3 2" xfId="17456"/>
    <cellStyle name="메모 2 2 3 3" xfId="17457"/>
    <cellStyle name="메모 2 2 3 4" xfId="17458"/>
    <cellStyle name="메모 2 2 3 5" xfId="17459"/>
    <cellStyle name="메모 2 2 3 6" xfId="17460"/>
    <cellStyle name="메모 2 2 3 7" xfId="17461"/>
    <cellStyle name="메모 2 2 4" xfId="17462"/>
    <cellStyle name="메모 2 2 4 2" xfId="17463"/>
    <cellStyle name="메모 2 2 4 3" xfId="17464"/>
    <cellStyle name="메모 2 2 4 4" xfId="17465"/>
    <cellStyle name="메모 2 2 4 5" xfId="17466"/>
    <cellStyle name="메모 2 2 4 6" xfId="17467"/>
    <cellStyle name="메모 2 2 4 7" xfId="17468"/>
    <cellStyle name="메모 2 2 5" xfId="17469"/>
    <cellStyle name="메모 2 2 5 2" xfId="17470"/>
    <cellStyle name="메모 2 2 5 3" xfId="17471"/>
    <cellStyle name="메모 2 2 5 4" xfId="17472"/>
    <cellStyle name="메모 2 2 6" xfId="17473"/>
    <cellStyle name="메모 2 2 6 2" xfId="17474"/>
    <cellStyle name="메모 2 2 6 3" xfId="17475"/>
    <cellStyle name="메모 2 2 6 4" xfId="17476"/>
    <cellStyle name="메모 2 2 7" xfId="17477"/>
    <cellStyle name="메모 2 2 7 2" xfId="17478"/>
    <cellStyle name="메모 2 2 7 3" xfId="17479"/>
    <cellStyle name="메모 2 2 7 4" xfId="17480"/>
    <cellStyle name="메모 2 2 8" xfId="17481"/>
    <cellStyle name="메모 2 2 8 2" xfId="17482"/>
    <cellStyle name="메모 2 2 8 3" xfId="17483"/>
    <cellStyle name="메모 2 2 8 4" xfId="17484"/>
    <cellStyle name="메모 2 2 9" xfId="17485"/>
    <cellStyle name="메모 2 20" xfId="10328"/>
    <cellStyle name="메모 2 200" xfId="10329"/>
    <cellStyle name="메모 2 201" xfId="10330"/>
    <cellStyle name="메모 2 202" xfId="10331"/>
    <cellStyle name="메모 2 203" xfId="10332"/>
    <cellStyle name="메모 2 204" xfId="10333"/>
    <cellStyle name="메모 2 205" xfId="10334"/>
    <cellStyle name="메모 2 206" xfId="10335"/>
    <cellStyle name="메모 2 207" xfId="10336"/>
    <cellStyle name="메모 2 208" xfId="10337"/>
    <cellStyle name="메모 2 209" xfId="10338"/>
    <cellStyle name="메모 2 21" xfId="10339"/>
    <cellStyle name="메모 2 210" xfId="10340"/>
    <cellStyle name="메모 2 211" xfId="10341"/>
    <cellStyle name="메모 2 212" xfId="10342"/>
    <cellStyle name="메모 2 213" xfId="10343"/>
    <cellStyle name="메모 2 214" xfId="10344"/>
    <cellStyle name="메모 2 215" xfId="10345"/>
    <cellStyle name="메모 2 216" xfId="10346"/>
    <cellStyle name="메모 2 217" xfId="10347"/>
    <cellStyle name="메모 2 218" xfId="10348"/>
    <cellStyle name="메모 2 219" xfId="10349"/>
    <cellStyle name="메모 2 22" xfId="10350"/>
    <cellStyle name="메모 2 220" xfId="10351"/>
    <cellStyle name="메모 2 221" xfId="10352"/>
    <cellStyle name="메모 2 222" xfId="10353"/>
    <cellStyle name="메모 2 223" xfId="10354"/>
    <cellStyle name="메모 2 224" xfId="10355"/>
    <cellStyle name="메모 2 225" xfId="10356"/>
    <cellStyle name="메모 2 226" xfId="10357"/>
    <cellStyle name="메모 2 227" xfId="10358"/>
    <cellStyle name="메모 2 228" xfId="10359"/>
    <cellStyle name="메모 2 229" xfId="10360"/>
    <cellStyle name="메모 2 23" xfId="10361"/>
    <cellStyle name="메모 2 230" xfId="10362"/>
    <cellStyle name="메모 2 231" xfId="10363"/>
    <cellStyle name="메모 2 232" xfId="10364"/>
    <cellStyle name="메모 2 233" xfId="10365"/>
    <cellStyle name="메모 2 234" xfId="10366"/>
    <cellStyle name="메모 2 235" xfId="10367"/>
    <cellStyle name="메모 2 236" xfId="10368"/>
    <cellStyle name="메모 2 237" xfId="10369"/>
    <cellStyle name="메모 2 238" xfId="10370"/>
    <cellStyle name="메모 2 239" xfId="10371"/>
    <cellStyle name="메모 2 24" xfId="10372"/>
    <cellStyle name="메모 2 240" xfId="10373"/>
    <cellStyle name="메모 2 241" xfId="10374"/>
    <cellStyle name="메모 2 242" xfId="10375"/>
    <cellStyle name="메모 2 25" xfId="10376"/>
    <cellStyle name="메모 2 26" xfId="10377"/>
    <cellStyle name="메모 2 27" xfId="10378"/>
    <cellStyle name="메모 2 28" xfId="10379"/>
    <cellStyle name="메모 2 29" xfId="10380"/>
    <cellStyle name="메모 2 3" xfId="10381"/>
    <cellStyle name="메모 2 3 2" xfId="17486"/>
    <cellStyle name="메모 2 3 3" xfId="17487"/>
    <cellStyle name="메모 2 30" xfId="10382"/>
    <cellStyle name="메모 2 31" xfId="10383"/>
    <cellStyle name="메모 2 32" xfId="10384"/>
    <cellStyle name="메모 2 33" xfId="10385"/>
    <cellStyle name="메모 2 34" xfId="10386"/>
    <cellStyle name="메모 2 35" xfId="10387"/>
    <cellStyle name="메모 2 36" xfId="10388"/>
    <cellStyle name="메모 2 37" xfId="10389"/>
    <cellStyle name="메모 2 38" xfId="10390"/>
    <cellStyle name="메모 2 39" xfId="10391"/>
    <cellStyle name="메모 2 4" xfId="10392"/>
    <cellStyle name="메모 2 4 2" xfId="17488"/>
    <cellStyle name="메모 2 4 3" xfId="17489"/>
    <cellStyle name="메모 2 4 4" xfId="17490"/>
    <cellStyle name="메모 2 40" xfId="10393"/>
    <cellStyle name="메모 2 41" xfId="10394"/>
    <cellStyle name="메모 2 42" xfId="10395"/>
    <cellStyle name="메모 2 43" xfId="10396"/>
    <cellStyle name="메모 2 44" xfId="10397"/>
    <cellStyle name="메모 2 45" xfId="10398"/>
    <cellStyle name="메모 2 46" xfId="10399"/>
    <cellStyle name="메모 2 47" xfId="10400"/>
    <cellStyle name="메모 2 48" xfId="10401"/>
    <cellStyle name="메모 2 49" xfId="10402"/>
    <cellStyle name="메모 2 5" xfId="10403"/>
    <cellStyle name="메모 2 5 2" xfId="17491"/>
    <cellStyle name="메모 2 5 3" xfId="17492"/>
    <cellStyle name="메모 2 5 4" xfId="17493"/>
    <cellStyle name="메모 2 50" xfId="10404"/>
    <cellStyle name="메모 2 51" xfId="10405"/>
    <cellStyle name="메모 2 52" xfId="10406"/>
    <cellStyle name="메모 2 53" xfId="10407"/>
    <cellStyle name="메모 2 54" xfId="10408"/>
    <cellStyle name="메모 2 55" xfId="10409"/>
    <cellStyle name="메모 2 56" xfId="10410"/>
    <cellStyle name="메모 2 57" xfId="10411"/>
    <cellStyle name="메모 2 58" xfId="10412"/>
    <cellStyle name="메모 2 59" xfId="10413"/>
    <cellStyle name="메모 2 6" xfId="10414"/>
    <cellStyle name="메모 2 6 2" xfId="17494"/>
    <cellStyle name="메모 2 6 3" xfId="17495"/>
    <cellStyle name="메모 2 6 4" xfId="17496"/>
    <cellStyle name="메모 2 60" xfId="10415"/>
    <cellStyle name="메모 2 61" xfId="10416"/>
    <cellStyle name="메모 2 62" xfId="10417"/>
    <cellStyle name="메모 2 63" xfId="10418"/>
    <cellStyle name="메모 2 64" xfId="10419"/>
    <cellStyle name="메모 2 65" xfId="10420"/>
    <cellStyle name="메모 2 66" xfId="10421"/>
    <cellStyle name="메모 2 67" xfId="10422"/>
    <cellStyle name="메모 2 68" xfId="10423"/>
    <cellStyle name="메모 2 69" xfId="10424"/>
    <cellStyle name="메모 2 7" xfId="10425"/>
    <cellStyle name="메모 2 7 2" xfId="17497"/>
    <cellStyle name="메모 2 7 3" xfId="17498"/>
    <cellStyle name="메모 2 7 4" xfId="17499"/>
    <cellStyle name="메모 2 70" xfId="10426"/>
    <cellStyle name="메모 2 71" xfId="10427"/>
    <cellStyle name="메모 2 72" xfId="10428"/>
    <cellStyle name="메모 2 73" xfId="10429"/>
    <cellStyle name="메모 2 74" xfId="10430"/>
    <cellStyle name="메모 2 75" xfId="10431"/>
    <cellStyle name="메모 2 76" xfId="10432"/>
    <cellStyle name="메모 2 77" xfId="10433"/>
    <cellStyle name="메모 2 78" xfId="10434"/>
    <cellStyle name="메모 2 79" xfId="10435"/>
    <cellStyle name="메모 2 8" xfId="10436"/>
    <cellStyle name="메모 2 80" xfId="10437"/>
    <cellStyle name="메모 2 81" xfId="10438"/>
    <cellStyle name="메모 2 82" xfId="10439"/>
    <cellStyle name="메모 2 83" xfId="10440"/>
    <cellStyle name="메모 2 84" xfId="10441"/>
    <cellStyle name="메모 2 85" xfId="10442"/>
    <cellStyle name="메모 2 86" xfId="10443"/>
    <cellStyle name="메모 2 87" xfId="10444"/>
    <cellStyle name="메모 2 88" xfId="10445"/>
    <cellStyle name="메모 2 89" xfId="10446"/>
    <cellStyle name="메모 2 9" xfId="10447"/>
    <cellStyle name="메모 2 90" xfId="10448"/>
    <cellStyle name="메모 2 91" xfId="10449"/>
    <cellStyle name="메모 2 92" xfId="10450"/>
    <cellStyle name="메모 2 93" xfId="10451"/>
    <cellStyle name="메모 2 94" xfId="10452"/>
    <cellStyle name="메모 2 95" xfId="10453"/>
    <cellStyle name="메모 2 96" xfId="10454"/>
    <cellStyle name="메모 2 97" xfId="10455"/>
    <cellStyle name="메모 2 98" xfId="10456"/>
    <cellStyle name="메모 2 99" xfId="10457"/>
    <cellStyle name="메모 20" xfId="17500"/>
    <cellStyle name="메모 21" xfId="17501"/>
    <cellStyle name="메모 22" xfId="17502"/>
    <cellStyle name="메모 23" xfId="17503"/>
    <cellStyle name="메모 24" xfId="17504"/>
    <cellStyle name="메모 25" xfId="17505"/>
    <cellStyle name="메모 26" xfId="17506"/>
    <cellStyle name="메모 27" xfId="17507"/>
    <cellStyle name="메모 28" xfId="17508"/>
    <cellStyle name="메모 29" xfId="17509"/>
    <cellStyle name="메모 3" xfId="17510"/>
    <cellStyle name="메모 3 2" xfId="17511"/>
    <cellStyle name="메모 3 2 2" xfId="17512"/>
    <cellStyle name="메모 3 2 2 2" xfId="17513"/>
    <cellStyle name="메모 3 2 2 2 2" xfId="17514"/>
    <cellStyle name="메모 3 2 2 2 3" xfId="17515"/>
    <cellStyle name="메모 3 2 2 2 4" xfId="17516"/>
    <cellStyle name="메모 3 2 2 2 5" xfId="17517"/>
    <cellStyle name="메모 3 2 2 3" xfId="17518"/>
    <cellStyle name="메모 3 2 2 3 2" xfId="17519"/>
    <cellStyle name="메모 3 2 2 3 3" xfId="17520"/>
    <cellStyle name="메모 3 2 2 3 4" xfId="17521"/>
    <cellStyle name="메모 3 2 2 3 5" xfId="17522"/>
    <cellStyle name="메모 3 2 2 4" xfId="17523"/>
    <cellStyle name="메모 3 2 2 4 2" xfId="17524"/>
    <cellStyle name="메모 3 2 2 4 3" xfId="17525"/>
    <cellStyle name="메모 3 2 2 4 4" xfId="17526"/>
    <cellStyle name="메모 3 2 2 4 5" xfId="17527"/>
    <cellStyle name="메모 3 2 2 5" xfId="17528"/>
    <cellStyle name="메모 3 2 2 6" xfId="17529"/>
    <cellStyle name="메모 3 2 2 7" xfId="17530"/>
    <cellStyle name="메모 3 2 2 8" xfId="17531"/>
    <cellStyle name="메모 3 2 3" xfId="17532"/>
    <cellStyle name="메모 3 2 4" xfId="17533"/>
    <cellStyle name="메모 3 2 5" xfId="17534"/>
    <cellStyle name="메모 3 3" xfId="17535"/>
    <cellStyle name="메모 3 3 2" xfId="17536"/>
    <cellStyle name="메모 3 3 2 2" xfId="17537"/>
    <cellStyle name="메모 3 3 2 2 2" xfId="17538"/>
    <cellStyle name="메모 3 3 2 2 3" xfId="17539"/>
    <cellStyle name="메모 3 3 2 2 4" xfId="17540"/>
    <cellStyle name="메모 3 3 2 2 5" xfId="17541"/>
    <cellStyle name="메모 3 3 2 3" xfId="17542"/>
    <cellStyle name="메모 3 3 2 3 2" xfId="17543"/>
    <cellStyle name="메모 3 3 2 3 3" xfId="17544"/>
    <cellStyle name="메모 3 3 2 3 4" xfId="17545"/>
    <cellStyle name="메모 3 3 2 3 5" xfId="17546"/>
    <cellStyle name="메모 3 3 2 4" xfId="17547"/>
    <cellStyle name="메모 3 3 2 4 2" xfId="17548"/>
    <cellStyle name="메모 3 3 2 4 3" xfId="17549"/>
    <cellStyle name="메모 3 3 2 4 4" xfId="17550"/>
    <cellStyle name="메모 3 3 2 4 5" xfId="17551"/>
    <cellStyle name="메모 3 3 2 5" xfId="17552"/>
    <cellStyle name="메모 3 3 2 6" xfId="17553"/>
    <cellStyle name="메모 3 3 2 7" xfId="17554"/>
    <cellStyle name="메모 3 3 2 8" xfId="17555"/>
    <cellStyle name="메모 3 3 3" xfId="17556"/>
    <cellStyle name="메모 3 3 4" xfId="17557"/>
    <cellStyle name="메모 3 3 5" xfId="17558"/>
    <cellStyle name="메모 3 4" xfId="17559"/>
    <cellStyle name="메모 3 4 2" xfId="17560"/>
    <cellStyle name="메모 3 4 2 2" xfId="17561"/>
    <cellStyle name="메모 3 4 2 3" xfId="17562"/>
    <cellStyle name="메모 3 4 2 4" xfId="17563"/>
    <cellStyle name="메모 3 4 2 5" xfId="17564"/>
    <cellStyle name="메모 3 4 3" xfId="17565"/>
    <cellStyle name="메모 3 4 3 2" xfId="17566"/>
    <cellStyle name="메모 3 4 3 3" xfId="17567"/>
    <cellStyle name="메모 3 4 3 4" xfId="17568"/>
    <cellStyle name="메모 3 4 3 5" xfId="17569"/>
    <cellStyle name="메모 3 4 4" xfId="17570"/>
    <cellStyle name="메모 3 4 4 2" xfId="17571"/>
    <cellStyle name="메모 3 4 4 3" xfId="17572"/>
    <cellStyle name="메모 3 4 4 4" xfId="17573"/>
    <cellStyle name="메모 3 4 4 5" xfId="17574"/>
    <cellStyle name="메모 3 4 5" xfId="17575"/>
    <cellStyle name="메모 3 4 6" xfId="17576"/>
    <cellStyle name="메모 3 4 7" xfId="17577"/>
    <cellStyle name="메모 3 4 8" xfId="17578"/>
    <cellStyle name="메모 3 4 9" xfId="17579"/>
    <cellStyle name="메모 3 5" xfId="17580"/>
    <cellStyle name="메모 3 6" xfId="17581"/>
    <cellStyle name="메모 3 7" xfId="17582"/>
    <cellStyle name="메모 30" xfId="17583"/>
    <cellStyle name="메모 31" xfId="17584"/>
    <cellStyle name="메모 32" xfId="17585"/>
    <cellStyle name="메모 4" xfId="17586"/>
    <cellStyle name="메모 4 2" xfId="17587"/>
    <cellStyle name="메모 4 2 10" xfId="17588"/>
    <cellStyle name="메모 4 2 11" xfId="17589"/>
    <cellStyle name="메모 4 2 12" xfId="17590"/>
    <cellStyle name="메모 4 2 13" xfId="17591"/>
    <cellStyle name="메모 4 2 2" xfId="17592"/>
    <cellStyle name="메모 4 2 2 2" xfId="17593"/>
    <cellStyle name="메모 4 2 2 3" xfId="17594"/>
    <cellStyle name="메모 4 2 2 4" xfId="17595"/>
    <cellStyle name="메모 4 2 2 5" xfId="17596"/>
    <cellStyle name="메모 4 2 2 6" xfId="17597"/>
    <cellStyle name="메모 4 2 3" xfId="17598"/>
    <cellStyle name="메모 4 2 3 2" xfId="17599"/>
    <cellStyle name="메모 4 2 3 3" xfId="17600"/>
    <cellStyle name="메모 4 2 3 4" xfId="17601"/>
    <cellStyle name="메모 4 2 3 5" xfId="17602"/>
    <cellStyle name="메모 4 2 3 6" xfId="17603"/>
    <cellStyle name="메모 4 2 4" xfId="17604"/>
    <cellStyle name="메모 4 2 4 2" xfId="17605"/>
    <cellStyle name="메모 4 2 4 3" xfId="17606"/>
    <cellStyle name="메모 4 2 4 4" xfId="17607"/>
    <cellStyle name="메모 4 2 4 5" xfId="17608"/>
    <cellStyle name="메모 4 2 4 6" xfId="17609"/>
    <cellStyle name="메모 4 2 5" xfId="17610"/>
    <cellStyle name="메모 4 2 5 2" xfId="17611"/>
    <cellStyle name="메모 4 2 5 3" xfId="17612"/>
    <cellStyle name="메모 4 2 5 4" xfId="17613"/>
    <cellStyle name="메모 4 2 6" xfId="17614"/>
    <cellStyle name="메모 4 2 6 2" xfId="17615"/>
    <cellStyle name="메모 4 2 6 3" xfId="17616"/>
    <cellStyle name="메모 4 2 6 4" xfId="17617"/>
    <cellStyle name="메모 4 2 7" xfId="17618"/>
    <cellStyle name="메모 4 2 7 2" xfId="17619"/>
    <cellStyle name="메모 4 2 7 3" xfId="17620"/>
    <cellStyle name="메모 4 2 7 4" xfId="17621"/>
    <cellStyle name="메모 4 2 8" xfId="17622"/>
    <cellStyle name="메모 4 2 8 2" xfId="17623"/>
    <cellStyle name="메모 4 2 8 3" xfId="17624"/>
    <cellStyle name="메모 4 2 8 4" xfId="17625"/>
    <cellStyle name="메모 4 2 9" xfId="17626"/>
    <cellStyle name="메모 4 2 9 2" xfId="17627"/>
    <cellStyle name="메모 4 2 9 3" xfId="17628"/>
    <cellStyle name="메모 4 2 9 4" xfId="17629"/>
    <cellStyle name="메모 4 3" xfId="17630"/>
    <cellStyle name="메모 4 3 2" xfId="17631"/>
    <cellStyle name="메모 4 3 3" xfId="17632"/>
    <cellStyle name="메모 4 3 4" xfId="17633"/>
    <cellStyle name="메모 4 4" xfId="17634"/>
    <cellStyle name="메모 4 4 2" xfId="17635"/>
    <cellStyle name="메모 4 4 3" xfId="17636"/>
    <cellStyle name="메모 4 4 4" xfId="17637"/>
    <cellStyle name="메모 4 5" xfId="17638"/>
    <cellStyle name="메모 4 5 2" xfId="17639"/>
    <cellStyle name="메모 4 5 3" xfId="17640"/>
    <cellStyle name="메모 4 5 4" xfId="17641"/>
    <cellStyle name="메모 4 6" xfId="17642"/>
    <cellStyle name="메모 4 6 2" xfId="17643"/>
    <cellStyle name="메모 4 6 3" xfId="17644"/>
    <cellStyle name="메모 4 6 4" xfId="17645"/>
    <cellStyle name="메모 4 7" xfId="17646"/>
    <cellStyle name="메모 4 7 2" xfId="17647"/>
    <cellStyle name="메모 4 7 3" xfId="17648"/>
    <cellStyle name="메모 4 7 4" xfId="17649"/>
    <cellStyle name="메모 4 8" xfId="17650"/>
    <cellStyle name="메모 4 9" xfId="17651"/>
    <cellStyle name="메모 5" xfId="17652"/>
    <cellStyle name="메모 6" xfId="17653"/>
    <cellStyle name="메모 7" xfId="17654"/>
    <cellStyle name="메모 8" xfId="17655"/>
    <cellStyle name="메모 9" xfId="17656"/>
    <cellStyle name="믅됞 [0.00]_laroux" xfId="10458"/>
    <cellStyle name="믅됞_laroux" xfId="10459"/>
    <cellStyle name="백분율" xfId="2" builtinId="5"/>
    <cellStyle name="백분율 10" xfId="10460"/>
    <cellStyle name="백분율 10 2" xfId="17657"/>
    <cellStyle name="백분율 11" xfId="17658"/>
    <cellStyle name="백분율 11 2" xfId="17659"/>
    <cellStyle name="백분율 12" xfId="17660"/>
    <cellStyle name="백분율 12 2" xfId="17661"/>
    <cellStyle name="백분율 13" xfId="17662"/>
    <cellStyle name="백분율 13 2" xfId="17663"/>
    <cellStyle name="백분율 14" xfId="17664"/>
    <cellStyle name="백분율 14 2" xfId="17665"/>
    <cellStyle name="백분율 15" xfId="17666"/>
    <cellStyle name="백분율 15 2" xfId="17667"/>
    <cellStyle name="백분율 16" xfId="17668"/>
    <cellStyle name="백분율 2" xfId="5"/>
    <cellStyle name="백분율 2 10" xfId="10461"/>
    <cellStyle name="백분율 2 11" xfId="10462"/>
    <cellStyle name="백분율 2 12" xfId="10463"/>
    <cellStyle name="백분율 2 12 10" xfId="10464"/>
    <cellStyle name="백분율 2 12 11" xfId="10465"/>
    <cellStyle name="백분율 2 12 2" xfId="10466"/>
    <cellStyle name="백분율 2 12 3" xfId="10467"/>
    <cellStyle name="백분율 2 12 4" xfId="10468"/>
    <cellStyle name="백분율 2 12 5" xfId="10469"/>
    <cellStyle name="백분율 2 12 6" xfId="10470"/>
    <cellStyle name="백분율 2 12 7" xfId="10471"/>
    <cellStyle name="백분율 2 12 8" xfId="10472"/>
    <cellStyle name="백분율 2 12 9" xfId="10473"/>
    <cellStyle name="백분율 2 2" xfId="10474"/>
    <cellStyle name="백분율 2 2 10" xfId="10475"/>
    <cellStyle name="백분율 2 2 11" xfId="10476"/>
    <cellStyle name="백분율 2 2 12" xfId="10477"/>
    <cellStyle name="백분율 2 2 2" xfId="10478"/>
    <cellStyle name="백분율 2 2 2 2" xfId="17669"/>
    <cellStyle name="백분율 2 2 3" xfId="10479"/>
    <cellStyle name="백분율 2 2 3 2" xfId="17670"/>
    <cellStyle name="백분율 2 2 4" xfId="10480"/>
    <cellStyle name="백분율 2 2 5" xfId="10481"/>
    <cellStyle name="백분율 2 2 6" xfId="10482"/>
    <cellStyle name="백분율 2 2 7" xfId="10483"/>
    <cellStyle name="백분율 2 2 8" xfId="10484"/>
    <cellStyle name="백분율 2 2 9" xfId="10485"/>
    <cellStyle name="백분율 2 3" xfId="10486"/>
    <cellStyle name="백분율 2 4" xfId="10487"/>
    <cellStyle name="백분율 2 5" xfId="10488"/>
    <cellStyle name="백분율 2 6" xfId="10489"/>
    <cellStyle name="백분율 2 7" xfId="10490"/>
    <cellStyle name="백분율 2 8" xfId="10491"/>
    <cellStyle name="백분율 2 9" xfId="10492"/>
    <cellStyle name="백분율 3" xfId="10493"/>
    <cellStyle name="백분율 3 2" xfId="10494"/>
    <cellStyle name="백분율 3 2 2" xfId="10495"/>
    <cellStyle name="백분율 3 2 2 2" xfId="17671"/>
    <cellStyle name="백분율 3 2 2 2 2" xfId="17672"/>
    <cellStyle name="백분율 3 2 2 2 2 2" xfId="17673"/>
    <cellStyle name="백분율 3 2 2 2 3" xfId="17674"/>
    <cellStyle name="백분율 3 2 2 2 4" xfId="17675"/>
    <cellStyle name="백분율 3 2 2 3" xfId="17676"/>
    <cellStyle name="백분율 3 2 2 3 2" xfId="17677"/>
    <cellStyle name="백분율 3 2 3" xfId="17678"/>
    <cellStyle name="백분율 3 2 4" xfId="17679"/>
    <cellStyle name="백분율 3 2 5" xfId="17680"/>
    <cellStyle name="백분율 3 3" xfId="10496"/>
    <cellStyle name="백분율 3 3 2" xfId="17681"/>
    <cellStyle name="백분율 3 3 3" xfId="17682"/>
    <cellStyle name="백분율 3 4" xfId="10497"/>
    <cellStyle name="백분율 3 4 2" xfId="17683"/>
    <cellStyle name="백분율 3 4 3" xfId="17684"/>
    <cellStyle name="백분율 3 5" xfId="10498"/>
    <cellStyle name="백분율 3 5 2" xfId="17685"/>
    <cellStyle name="백분율 3 5 2 2" xfId="17686"/>
    <cellStyle name="백분율 3 5 3" xfId="17687"/>
    <cellStyle name="백분율 3 5 4" xfId="17688"/>
    <cellStyle name="백분율 3 6" xfId="10499"/>
    <cellStyle name="백분율 3 6 2" xfId="17689"/>
    <cellStyle name="백분율 3 6 3" xfId="17690"/>
    <cellStyle name="백분율 4" xfId="10500"/>
    <cellStyle name="백분율 4 2" xfId="10501"/>
    <cellStyle name="백분율 4 2 2" xfId="17691"/>
    <cellStyle name="백분율 4 2 2 2" xfId="17692"/>
    <cellStyle name="백분율 4 2 2 2 2" xfId="17693"/>
    <cellStyle name="백분율 4 2 2 2 2 2" xfId="17694"/>
    <cellStyle name="백분율 4 2 2 3" xfId="17695"/>
    <cellStyle name="백분율 4 2 2 3 2" xfId="17696"/>
    <cellStyle name="백분율 4 2 3" xfId="17697"/>
    <cellStyle name="백분율 4 2 4" xfId="17698"/>
    <cellStyle name="백분율 4 2 5" xfId="17699"/>
    <cellStyle name="백분율 4 3" xfId="17700"/>
    <cellStyle name="백분율 4 3 2" xfId="17701"/>
    <cellStyle name="백분율 4 3 2 2" xfId="17702"/>
    <cellStyle name="백분율 4 3 3" xfId="17703"/>
    <cellStyle name="백분율 4 4" xfId="17704"/>
    <cellStyle name="백분율 4 5" xfId="17705"/>
    <cellStyle name="백분율 4 6" xfId="17706"/>
    <cellStyle name="백분율 5" xfId="10502"/>
    <cellStyle name="백분율 5 2" xfId="17707"/>
    <cellStyle name="백분율 5 2 2" xfId="17708"/>
    <cellStyle name="백분율 5 2 2 2" xfId="17709"/>
    <cellStyle name="백분율 5 2 3" xfId="17710"/>
    <cellStyle name="백분율 5 2 3 2" xfId="17711"/>
    <cellStyle name="백분율 5 2 4" xfId="17712"/>
    <cellStyle name="백분율 5 3" xfId="17713"/>
    <cellStyle name="백분율 5 3 2" xfId="17714"/>
    <cellStyle name="백분율 5 3 2 2" xfId="17715"/>
    <cellStyle name="백분율 5 4" xfId="17716"/>
    <cellStyle name="백분율 5 4 2" xfId="17717"/>
    <cellStyle name="백분율 5 4 3" xfId="17718"/>
    <cellStyle name="백분율 5 5" xfId="17719"/>
    <cellStyle name="백분율 5 5 2" xfId="17720"/>
    <cellStyle name="백분율 5 5 3" xfId="17721"/>
    <cellStyle name="백분율 5 6" xfId="17722"/>
    <cellStyle name="백분율 5 7" xfId="17723"/>
    <cellStyle name="백분율 6" xfId="10503"/>
    <cellStyle name="백분율 6 2" xfId="10504"/>
    <cellStyle name="백분율 6 3" xfId="17724"/>
    <cellStyle name="백분율 6 3 2" xfId="17725"/>
    <cellStyle name="백분율 6 4" xfId="17726"/>
    <cellStyle name="백분율 7" xfId="10505"/>
    <cellStyle name="백분율 7 2" xfId="10506"/>
    <cellStyle name="백분율 7 3" xfId="17727"/>
    <cellStyle name="백분율 7 4" xfId="17728"/>
    <cellStyle name="백분율 8" xfId="10507"/>
    <cellStyle name="백분율 8 10" xfId="17729"/>
    <cellStyle name="백분율 8 2" xfId="10508"/>
    <cellStyle name="백분율 8 2 2" xfId="17730"/>
    <cellStyle name="백분율 8 2 3" xfId="17731"/>
    <cellStyle name="백분율 8 2 4" xfId="17732"/>
    <cellStyle name="백분율 8 3" xfId="17733"/>
    <cellStyle name="백분율 8 3 2" xfId="17734"/>
    <cellStyle name="백분율 8 4" xfId="17735"/>
    <cellStyle name="백분율 8 4 2" xfId="17736"/>
    <cellStyle name="백분율 8 5" xfId="17737"/>
    <cellStyle name="백분율 8 5 2" xfId="17738"/>
    <cellStyle name="백분율 8 6" xfId="17739"/>
    <cellStyle name="백분율 8 6 2" xfId="17740"/>
    <cellStyle name="백분율 8 7" xfId="17741"/>
    <cellStyle name="백분율 8 7 2" xfId="17742"/>
    <cellStyle name="백분율 8 8" xfId="17743"/>
    <cellStyle name="백분율 8 9" xfId="17744"/>
    <cellStyle name="백분율 9" xfId="10509"/>
    <cellStyle name="백분율 9 2" xfId="10510"/>
    <cellStyle name="보통 10" xfId="17745"/>
    <cellStyle name="보통 11" xfId="17746"/>
    <cellStyle name="보통 12" xfId="17747"/>
    <cellStyle name="보통 13" xfId="17748"/>
    <cellStyle name="보통 14" xfId="17749"/>
    <cellStyle name="보통 15" xfId="17750"/>
    <cellStyle name="보통 16" xfId="17751"/>
    <cellStyle name="보통 17" xfId="17752"/>
    <cellStyle name="보통 18" xfId="17753"/>
    <cellStyle name="보통 19" xfId="17754"/>
    <cellStyle name="보통 2" xfId="10511"/>
    <cellStyle name="보통 2 10" xfId="10512"/>
    <cellStyle name="보통 2 100" xfId="10513"/>
    <cellStyle name="보통 2 101" xfId="10514"/>
    <cellStyle name="보통 2 102" xfId="10515"/>
    <cellStyle name="보통 2 103" xfId="10516"/>
    <cellStyle name="보통 2 104" xfId="10517"/>
    <cellStyle name="보통 2 105" xfId="10518"/>
    <cellStyle name="보통 2 106" xfId="10519"/>
    <cellStyle name="보통 2 107" xfId="10520"/>
    <cellStyle name="보통 2 108" xfId="10521"/>
    <cellStyle name="보통 2 109" xfId="10522"/>
    <cellStyle name="보통 2 11" xfId="10523"/>
    <cellStyle name="보통 2 110" xfId="10524"/>
    <cellStyle name="보통 2 111" xfId="10525"/>
    <cellStyle name="보통 2 112" xfId="10526"/>
    <cellStyle name="보통 2 113" xfId="10527"/>
    <cellStyle name="보통 2 114" xfId="10528"/>
    <cellStyle name="보통 2 115" xfId="10529"/>
    <cellStyle name="보통 2 116" xfId="10530"/>
    <cellStyle name="보통 2 117" xfId="10531"/>
    <cellStyle name="보통 2 118" xfId="10532"/>
    <cellStyle name="보통 2 119" xfId="10533"/>
    <cellStyle name="보통 2 12" xfId="10534"/>
    <cellStyle name="보통 2 120" xfId="10535"/>
    <cellStyle name="보통 2 121" xfId="10536"/>
    <cellStyle name="보통 2 122" xfId="10537"/>
    <cellStyle name="보통 2 123" xfId="10538"/>
    <cellStyle name="보통 2 124" xfId="10539"/>
    <cellStyle name="보통 2 125" xfId="10540"/>
    <cellStyle name="보통 2 126" xfId="10541"/>
    <cellStyle name="보통 2 127" xfId="10542"/>
    <cellStyle name="보통 2 128" xfId="10543"/>
    <cellStyle name="보통 2 129" xfId="10544"/>
    <cellStyle name="보통 2 13" xfId="10545"/>
    <cellStyle name="보통 2 130" xfId="10546"/>
    <cellStyle name="보통 2 131" xfId="10547"/>
    <cellStyle name="보통 2 132" xfId="10548"/>
    <cellStyle name="보통 2 133" xfId="10549"/>
    <cellStyle name="보통 2 134" xfId="10550"/>
    <cellStyle name="보통 2 135" xfId="10551"/>
    <cellStyle name="보통 2 136" xfId="10552"/>
    <cellStyle name="보통 2 137" xfId="10553"/>
    <cellStyle name="보통 2 138" xfId="10554"/>
    <cellStyle name="보통 2 139" xfId="10555"/>
    <cellStyle name="보통 2 14" xfId="10556"/>
    <cellStyle name="보통 2 140" xfId="10557"/>
    <cellStyle name="보통 2 141" xfId="10558"/>
    <cellStyle name="보통 2 142" xfId="10559"/>
    <cellStyle name="보통 2 143" xfId="10560"/>
    <cellStyle name="보통 2 144" xfId="10561"/>
    <cellStyle name="보통 2 145" xfId="10562"/>
    <cellStyle name="보통 2 146" xfId="10563"/>
    <cellStyle name="보통 2 147" xfId="10564"/>
    <cellStyle name="보통 2 148" xfId="10565"/>
    <cellStyle name="보통 2 149" xfId="10566"/>
    <cellStyle name="보통 2 15" xfId="10567"/>
    <cellStyle name="보통 2 150" xfId="10568"/>
    <cellStyle name="보통 2 151" xfId="10569"/>
    <cellStyle name="보통 2 152" xfId="10570"/>
    <cellStyle name="보통 2 153" xfId="10571"/>
    <cellStyle name="보통 2 154" xfId="10572"/>
    <cellStyle name="보통 2 155" xfId="10573"/>
    <cellStyle name="보통 2 156" xfId="10574"/>
    <cellStyle name="보통 2 157" xfId="10575"/>
    <cellStyle name="보통 2 158" xfId="10576"/>
    <cellStyle name="보통 2 159" xfId="10577"/>
    <cellStyle name="보통 2 16" xfId="10578"/>
    <cellStyle name="보통 2 160" xfId="10579"/>
    <cellStyle name="보통 2 161" xfId="10580"/>
    <cellStyle name="보통 2 162" xfId="10581"/>
    <cellStyle name="보통 2 163" xfId="10582"/>
    <cellStyle name="보통 2 164" xfId="10583"/>
    <cellStyle name="보통 2 165" xfId="10584"/>
    <cellStyle name="보통 2 166" xfId="10585"/>
    <cellStyle name="보통 2 167" xfId="10586"/>
    <cellStyle name="보통 2 168" xfId="10587"/>
    <cellStyle name="보통 2 169" xfId="10588"/>
    <cellStyle name="보통 2 17" xfId="10589"/>
    <cellStyle name="보통 2 170" xfId="10590"/>
    <cellStyle name="보통 2 171" xfId="10591"/>
    <cellStyle name="보통 2 172" xfId="10592"/>
    <cellStyle name="보통 2 173" xfId="10593"/>
    <cellStyle name="보통 2 174" xfId="10594"/>
    <cellStyle name="보통 2 175" xfId="10595"/>
    <cellStyle name="보통 2 176" xfId="10596"/>
    <cellStyle name="보통 2 177" xfId="10597"/>
    <cellStyle name="보통 2 178" xfId="10598"/>
    <cellStyle name="보통 2 179" xfId="10599"/>
    <cellStyle name="보통 2 18" xfId="10600"/>
    <cellStyle name="보통 2 180" xfId="10601"/>
    <cellStyle name="보통 2 181" xfId="10602"/>
    <cellStyle name="보통 2 182" xfId="10603"/>
    <cellStyle name="보통 2 183" xfId="10604"/>
    <cellStyle name="보통 2 184" xfId="10605"/>
    <cellStyle name="보통 2 185" xfId="10606"/>
    <cellStyle name="보통 2 186" xfId="10607"/>
    <cellStyle name="보통 2 187" xfId="10608"/>
    <cellStyle name="보통 2 188" xfId="10609"/>
    <cellStyle name="보통 2 189" xfId="10610"/>
    <cellStyle name="보통 2 19" xfId="10611"/>
    <cellStyle name="보통 2 190" xfId="10612"/>
    <cellStyle name="보통 2 191" xfId="10613"/>
    <cellStyle name="보통 2 192" xfId="10614"/>
    <cellStyle name="보통 2 193" xfId="10615"/>
    <cellStyle name="보통 2 194" xfId="10616"/>
    <cellStyle name="보통 2 195" xfId="10617"/>
    <cellStyle name="보통 2 196" xfId="10618"/>
    <cellStyle name="보통 2 197" xfId="10619"/>
    <cellStyle name="보통 2 198" xfId="10620"/>
    <cellStyle name="보통 2 199" xfId="10621"/>
    <cellStyle name="보통 2 2" xfId="10622"/>
    <cellStyle name="보통 2 20" xfId="10623"/>
    <cellStyle name="보통 2 200" xfId="10624"/>
    <cellStyle name="보통 2 201" xfId="10625"/>
    <cellStyle name="보통 2 202" xfId="10626"/>
    <cellStyle name="보통 2 203" xfId="10627"/>
    <cellStyle name="보통 2 204" xfId="10628"/>
    <cellStyle name="보통 2 205" xfId="10629"/>
    <cellStyle name="보통 2 206" xfId="10630"/>
    <cellStyle name="보통 2 207" xfId="10631"/>
    <cellStyle name="보통 2 208" xfId="10632"/>
    <cellStyle name="보통 2 209" xfId="10633"/>
    <cellStyle name="보통 2 21" xfId="10634"/>
    <cellStyle name="보통 2 210" xfId="10635"/>
    <cellStyle name="보통 2 211" xfId="10636"/>
    <cellStyle name="보통 2 212" xfId="10637"/>
    <cellStyle name="보통 2 213" xfId="10638"/>
    <cellStyle name="보통 2 214" xfId="10639"/>
    <cellStyle name="보통 2 215" xfId="10640"/>
    <cellStyle name="보통 2 216" xfId="10641"/>
    <cellStyle name="보통 2 217" xfId="10642"/>
    <cellStyle name="보통 2 218" xfId="10643"/>
    <cellStyle name="보통 2 219" xfId="10644"/>
    <cellStyle name="보통 2 22" xfId="10645"/>
    <cellStyle name="보통 2 220" xfId="10646"/>
    <cellStyle name="보통 2 221" xfId="10647"/>
    <cellStyle name="보통 2 222" xfId="10648"/>
    <cellStyle name="보통 2 223" xfId="10649"/>
    <cellStyle name="보통 2 224" xfId="10650"/>
    <cellStyle name="보통 2 225" xfId="10651"/>
    <cellStyle name="보통 2 226" xfId="10652"/>
    <cellStyle name="보통 2 227" xfId="10653"/>
    <cellStyle name="보통 2 228" xfId="10654"/>
    <cellStyle name="보통 2 229" xfId="10655"/>
    <cellStyle name="보통 2 23" xfId="10656"/>
    <cellStyle name="보통 2 230" xfId="10657"/>
    <cellStyle name="보통 2 231" xfId="10658"/>
    <cellStyle name="보통 2 232" xfId="10659"/>
    <cellStyle name="보통 2 233" xfId="10660"/>
    <cellStyle name="보통 2 234" xfId="10661"/>
    <cellStyle name="보통 2 235" xfId="10662"/>
    <cellStyle name="보통 2 236" xfId="10663"/>
    <cellStyle name="보통 2 237" xfId="10664"/>
    <cellStyle name="보통 2 238" xfId="10665"/>
    <cellStyle name="보통 2 239" xfId="10666"/>
    <cellStyle name="보통 2 24" xfId="10667"/>
    <cellStyle name="보통 2 240" xfId="10668"/>
    <cellStyle name="보통 2 241" xfId="10669"/>
    <cellStyle name="보통 2 25" xfId="10670"/>
    <cellStyle name="보통 2 26" xfId="10671"/>
    <cellStyle name="보통 2 27" xfId="10672"/>
    <cellStyle name="보통 2 28" xfId="10673"/>
    <cellStyle name="보통 2 29" xfId="10674"/>
    <cellStyle name="보통 2 3" xfId="10675"/>
    <cellStyle name="보통 2 30" xfId="10676"/>
    <cellStyle name="보통 2 31" xfId="10677"/>
    <cellStyle name="보통 2 32" xfId="10678"/>
    <cellStyle name="보통 2 33" xfId="10679"/>
    <cellStyle name="보통 2 34" xfId="10680"/>
    <cellStyle name="보통 2 35" xfId="10681"/>
    <cellStyle name="보통 2 36" xfId="10682"/>
    <cellStyle name="보통 2 37" xfId="10683"/>
    <cellStyle name="보통 2 38" xfId="10684"/>
    <cellStyle name="보통 2 39" xfId="10685"/>
    <cellStyle name="보통 2 4" xfId="10686"/>
    <cellStyle name="보통 2 40" xfId="10687"/>
    <cellStyle name="보통 2 41" xfId="10688"/>
    <cellStyle name="보통 2 42" xfId="10689"/>
    <cellStyle name="보통 2 43" xfId="10690"/>
    <cellStyle name="보통 2 44" xfId="10691"/>
    <cellStyle name="보통 2 45" xfId="10692"/>
    <cellStyle name="보통 2 46" xfId="10693"/>
    <cellStyle name="보통 2 47" xfId="10694"/>
    <cellStyle name="보통 2 48" xfId="10695"/>
    <cellStyle name="보통 2 49" xfId="10696"/>
    <cellStyle name="보통 2 5" xfId="10697"/>
    <cellStyle name="보통 2 50" xfId="10698"/>
    <cellStyle name="보통 2 51" xfId="10699"/>
    <cellStyle name="보통 2 52" xfId="10700"/>
    <cellStyle name="보통 2 53" xfId="10701"/>
    <cellStyle name="보통 2 54" xfId="10702"/>
    <cellStyle name="보통 2 55" xfId="10703"/>
    <cellStyle name="보통 2 56" xfId="10704"/>
    <cellStyle name="보통 2 57" xfId="10705"/>
    <cellStyle name="보통 2 58" xfId="10706"/>
    <cellStyle name="보통 2 59" xfId="10707"/>
    <cellStyle name="보통 2 6" xfId="10708"/>
    <cellStyle name="보통 2 60" xfId="10709"/>
    <cellStyle name="보통 2 61" xfId="10710"/>
    <cellStyle name="보통 2 62" xfId="10711"/>
    <cellStyle name="보통 2 63" xfId="10712"/>
    <cellStyle name="보통 2 64" xfId="10713"/>
    <cellStyle name="보통 2 65" xfId="10714"/>
    <cellStyle name="보통 2 66" xfId="10715"/>
    <cellStyle name="보통 2 67" xfId="10716"/>
    <cellStyle name="보통 2 68" xfId="10717"/>
    <cellStyle name="보통 2 69" xfId="10718"/>
    <cellStyle name="보통 2 7" xfId="10719"/>
    <cellStyle name="보통 2 70" xfId="10720"/>
    <cellStyle name="보통 2 71" xfId="10721"/>
    <cellStyle name="보통 2 72" xfId="10722"/>
    <cellStyle name="보통 2 73" xfId="10723"/>
    <cellStyle name="보통 2 74" xfId="10724"/>
    <cellStyle name="보통 2 75" xfId="10725"/>
    <cellStyle name="보통 2 76" xfId="10726"/>
    <cellStyle name="보통 2 77" xfId="10727"/>
    <cellStyle name="보통 2 78" xfId="10728"/>
    <cellStyle name="보통 2 79" xfId="10729"/>
    <cellStyle name="보통 2 8" xfId="10730"/>
    <cellStyle name="보통 2 80" xfId="10731"/>
    <cellStyle name="보통 2 81" xfId="10732"/>
    <cellStyle name="보통 2 82" xfId="10733"/>
    <cellStyle name="보통 2 83" xfId="10734"/>
    <cellStyle name="보통 2 84" xfId="10735"/>
    <cellStyle name="보통 2 85" xfId="10736"/>
    <cellStyle name="보통 2 86" xfId="10737"/>
    <cellStyle name="보통 2 87" xfId="10738"/>
    <cellStyle name="보통 2 88" xfId="10739"/>
    <cellStyle name="보통 2 89" xfId="10740"/>
    <cellStyle name="보통 2 9" xfId="10741"/>
    <cellStyle name="보통 2 90" xfId="10742"/>
    <cellStyle name="보통 2 91" xfId="10743"/>
    <cellStyle name="보통 2 92" xfId="10744"/>
    <cellStyle name="보통 2 93" xfId="10745"/>
    <cellStyle name="보통 2 94" xfId="10746"/>
    <cellStyle name="보통 2 95" xfId="10747"/>
    <cellStyle name="보통 2 96" xfId="10748"/>
    <cellStyle name="보통 2 97" xfId="10749"/>
    <cellStyle name="보통 2 98" xfId="10750"/>
    <cellStyle name="보통 2 99" xfId="10751"/>
    <cellStyle name="보통 20" xfId="17755"/>
    <cellStyle name="보통 21" xfId="17756"/>
    <cellStyle name="보통 22" xfId="17757"/>
    <cellStyle name="보통 23" xfId="17758"/>
    <cellStyle name="보통 24" xfId="17759"/>
    <cellStyle name="보통 25" xfId="17760"/>
    <cellStyle name="보통 26" xfId="17761"/>
    <cellStyle name="보통 27" xfId="17762"/>
    <cellStyle name="보통 28" xfId="17763"/>
    <cellStyle name="보통 29" xfId="17764"/>
    <cellStyle name="보통 3" xfId="17765"/>
    <cellStyle name="보통 3 2" xfId="17766"/>
    <cellStyle name="보통 3 3" xfId="17767"/>
    <cellStyle name="보통 30" xfId="17768"/>
    <cellStyle name="보통 31" xfId="17769"/>
    <cellStyle name="보통 32" xfId="17770"/>
    <cellStyle name="보통 4" xfId="17771"/>
    <cellStyle name="보통 4 2" xfId="17772"/>
    <cellStyle name="보통 4 3" xfId="17773"/>
    <cellStyle name="보통 5" xfId="17774"/>
    <cellStyle name="보통 6" xfId="17775"/>
    <cellStyle name="보통 7" xfId="17776"/>
    <cellStyle name="보통 8" xfId="17777"/>
    <cellStyle name="보통 9" xfId="17778"/>
    <cellStyle name="普通_Sheet1 (2)" xfId="10752"/>
    <cellStyle name="뷭?_BOOKSHIP" xfId="10753"/>
    <cellStyle name="常?_BOOK1" xfId="10754"/>
    <cellStyle name="常规_2010年库存预想实际对比" xfId="17779"/>
    <cellStyle name="새귑[0]_롤痰삠悧 " xfId="10755"/>
    <cellStyle name="새귑_롤痰삠悧 " xfId="10756"/>
    <cellStyle name="설명 텍스트 10" xfId="17780"/>
    <cellStyle name="설명 텍스트 11" xfId="17781"/>
    <cellStyle name="설명 텍스트 12" xfId="17782"/>
    <cellStyle name="설명 텍스트 13" xfId="17783"/>
    <cellStyle name="설명 텍스트 14" xfId="17784"/>
    <cellStyle name="설명 텍스트 15" xfId="17785"/>
    <cellStyle name="설명 텍스트 16" xfId="17786"/>
    <cellStyle name="설명 텍스트 17" xfId="17787"/>
    <cellStyle name="설명 텍스트 18" xfId="17788"/>
    <cellStyle name="설명 텍스트 19" xfId="17789"/>
    <cellStyle name="설명 텍스트 2" xfId="10757"/>
    <cellStyle name="설명 텍스트 2 10" xfId="10758"/>
    <cellStyle name="설명 텍스트 2 100" xfId="10759"/>
    <cellStyle name="설명 텍스트 2 101" xfId="10760"/>
    <cellStyle name="설명 텍스트 2 102" xfId="10761"/>
    <cellStyle name="설명 텍스트 2 103" xfId="10762"/>
    <cellStyle name="설명 텍스트 2 104" xfId="10763"/>
    <cellStyle name="설명 텍스트 2 105" xfId="10764"/>
    <cellStyle name="설명 텍스트 2 106" xfId="10765"/>
    <cellStyle name="설명 텍스트 2 107" xfId="10766"/>
    <cellStyle name="설명 텍스트 2 108" xfId="10767"/>
    <cellStyle name="설명 텍스트 2 109" xfId="10768"/>
    <cellStyle name="설명 텍스트 2 11" xfId="10769"/>
    <cellStyle name="설명 텍스트 2 110" xfId="10770"/>
    <cellStyle name="설명 텍스트 2 111" xfId="10771"/>
    <cellStyle name="설명 텍스트 2 112" xfId="10772"/>
    <cellStyle name="설명 텍스트 2 113" xfId="10773"/>
    <cellStyle name="설명 텍스트 2 114" xfId="10774"/>
    <cellStyle name="설명 텍스트 2 115" xfId="10775"/>
    <cellStyle name="설명 텍스트 2 116" xfId="10776"/>
    <cellStyle name="설명 텍스트 2 117" xfId="10777"/>
    <cellStyle name="설명 텍스트 2 118" xfId="10778"/>
    <cellStyle name="설명 텍스트 2 119" xfId="10779"/>
    <cellStyle name="설명 텍스트 2 12" xfId="10780"/>
    <cellStyle name="설명 텍스트 2 120" xfId="10781"/>
    <cellStyle name="설명 텍스트 2 121" xfId="10782"/>
    <cellStyle name="설명 텍스트 2 122" xfId="10783"/>
    <cellStyle name="설명 텍스트 2 123" xfId="10784"/>
    <cellStyle name="설명 텍스트 2 124" xfId="10785"/>
    <cellStyle name="설명 텍스트 2 125" xfId="10786"/>
    <cellStyle name="설명 텍스트 2 126" xfId="10787"/>
    <cellStyle name="설명 텍스트 2 127" xfId="10788"/>
    <cellStyle name="설명 텍스트 2 128" xfId="10789"/>
    <cellStyle name="설명 텍스트 2 129" xfId="10790"/>
    <cellStyle name="설명 텍스트 2 13" xfId="10791"/>
    <cellStyle name="설명 텍스트 2 130" xfId="10792"/>
    <cellStyle name="설명 텍스트 2 131" xfId="10793"/>
    <cellStyle name="설명 텍스트 2 132" xfId="10794"/>
    <cellStyle name="설명 텍스트 2 133" xfId="10795"/>
    <cellStyle name="설명 텍스트 2 134" xfId="10796"/>
    <cellStyle name="설명 텍스트 2 135" xfId="10797"/>
    <cellStyle name="설명 텍스트 2 136" xfId="10798"/>
    <cellStyle name="설명 텍스트 2 137" xfId="10799"/>
    <cellStyle name="설명 텍스트 2 138" xfId="10800"/>
    <cellStyle name="설명 텍스트 2 139" xfId="10801"/>
    <cellStyle name="설명 텍스트 2 14" xfId="10802"/>
    <cellStyle name="설명 텍스트 2 140" xfId="10803"/>
    <cellStyle name="설명 텍스트 2 141" xfId="10804"/>
    <cellStyle name="설명 텍스트 2 142" xfId="10805"/>
    <cellStyle name="설명 텍스트 2 143" xfId="10806"/>
    <cellStyle name="설명 텍스트 2 144" xfId="10807"/>
    <cellStyle name="설명 텍스트 2 145" xfId="10808"/>
    <cellStyle name="설명 텍스트 2 146" xfId="10809"/>
    <cellStyle name="설명 텍스트 2 147" xfId="10810"/>
    <cellStyle name="설명 텍스트 2 148" xfId="10811"/>
    <cellStyle name="설명 텍스트 2 149" xfId="10812"/>
    <cellStyle name="설명 텍스트 2 15" xfId="10813"/>
    <cellStyle name="설명 텍스트 2 150" xfId="10814"/>
    <cellStyle name="설명 텍스트 2 151" xfId="10815"/>
    <cellStyle name="설명 텍스트 2 152" xfId="10816"/>
    <cellStyle name="설명 텍스트 2 153" xfId="10817"/>
    <cellStyle name="설명 텍스트 2 154" xfId="10818"/>
    <cellStyle name="설명 텍스트 2 155" xfId="10819"/>
    <cellStyle name="설명 텍스트 2 156" xfId="10820"/>
    <cellStyle name="설명 텍스트 2 157" xfId="10821"/>
    <cellStyle name="설명 텍스트 2 158" xfId="10822"/>
    <cellStyle name="설명 텍스트 2 159" xfId="10823"/>
    <cellStyle name="설명 텍스트 2 16" xfId="10824"/>
    <cellStyle name="설명 텍스트 2 160" xfId="10825"/>
    <cellStyle name="설명 텍스트 2 161" xfId="10826"/>
    <cellStyle name="설명 텍스트 2 162" xfId="10827"/>
    <cellStyle name="설명 텍스트 2 163" xfId="10828"/>
    <cellStyle name="설명 텍스트 2 164" xfId="10829"/>
    <cellStyle name="설명 텍스트 2 165" xfId="10830"/>
    <cellStyle name="설명 텍스트 2 166" xfId="10831"/>
    <cellStyle name="설명 텍스트 2 167" xfId="10832"/>
    <cellStyle name="설명 텍스트 2 168" xfId="10833"/>
    <cellStyle name="설명 텍스트 2 169" xfId="10834"/>
    <cellStyle name="설명 텍스트 2 17" xfId="10835"/>
    <cellStyle name="설명 텍스트 2 170" xfId="10836"/>
    <cellStyle name="설명 텍스트 2 171" xfId="10837"/>
    <cellStyle name="설명 텍스트 2 172" xfId="10838"/>
    <cellStyle name="설명 텍스트 2 173" xfId="10839"/>
    <cellStyle name="설명 텍스트 2 174" xfId="10840"/>
    <cellStyle name="설명 텍스트 2 175" xfId="10841"/>
    <cellStyle name="설명 텍스트 2 176" xfId="10842"/>
    <cellStyle name="설명 텍스트 2 177" xfId="10843"/>
    <cellStyle name="설명 텍스트 2 178" xfId="10844"/>
    <cellStyle name="설명 텍스트 2 179" xfId="10845"/>
    <cellStyle name="설명 텍스트 2 18" xfId="10846"/>
    <cellStyle name="설명 텍스트 2 180" xfId="10847"/>
    <cellStyle name="설명 텍스트 2 181" xfId="10848"/>
    <cellStyle name="설명 텍스트 2 182" xfId="10849"/>
    <cellStyle name="설명 텍스트 2 183" xfId="10850"/>
    <cellStyle name="설명 텍스트 2 184" xfId="10851"/>
    <cellStyle name="설명 텍스트 2 185" xfId="10852"/>
    <cellStyle name="설명 텍스트 2 186" xfId="10853"/>
    <cellStyle name="설명 텍스트 2 187" xfId="10854"/>
    <cellStyle name="설명 텍스트 2 188" xfId="10855"/>
    <cellStyle name="설명 텍스트 2 189" xfId="10856"/>
    <cellStyle name="설명 텍스트 2 19" xfId="10857"/>
    <cellStyle name="설명 텍스트 2 190" xfId="10858"/>
    <cellStyle name="설명 텍스트 2 191" xfId="10859"/>
    <cellStyle name="설명 텍스트 2 192" xfId="10860"/>
    <cellStyle name="설명 텍스트 2 193" xfId="10861"/>
    <cellStyle name="설명 텍스트 2 194" xfId="10862"/>
    <cellStyle name="설명 텍스트 2 195" xfId="10863"/>
    <cellStyle name="설명 텍스트 2 196" xfId="10864"/>
    <cellStyle name="설명 텍스트 2 197" xfId="10865"/>
    <cellStyle name="설명 텍스트 2 198" xfId="10866"/>
    <cellStyle name="설명 텍스트 2 199" xfId="10867"/>
    <cellStyle name="설명 텍스트 2 2" xfId="10868"/>
    <cellStyle name="설명 텍스트 2 20" xfId="10869"/>
    <cellStyle name="설명 텍스트 2 200" xfId="10870"/>
    <cellStyle name="설명 텍스트 2 201" xfId="10871"/>
    <cellStyle name="설명 텍스트 2 202" xfId="10872"/>
    <cellStyle name="설명 텍스트 2 203" xfId="10873"/>
    <cellStyle name="설명 텍스트 2 204" xfId="10874"/>
    <cellStyle name="설명 텍스트 2 205" xfId="10875"/>
    <cellStyle name="설명 텍스트 2 206" xfId="10876"/>
    <cellStyle name="설명 텍스트 2 207" xfId="10877"/>
    <cellStyle name="설명 텍스트 2 208" xfId="10878"/>
    <cellStyle name="설명 텍스트 2 209" xfId="10879"/>
    <cellStyle name="설명 텍스트 2 21" xfId="10880"/>
    <cellStyle name="설명 텍스트 2 210" xfId="10881"/>
    <cellStyle name="설명 텍스트 2 211" xfId="10882"/>
    <cellStyle name="설명 텍스트 2 212" xfId="10883"/>
    <cellStyle name="설명 텍스트 2 213" xfId="10884"/>
    <cellStyle name="설명 텍스트 2 214" xfId="10885"/>
    <cellStyle name="설명 텍스트 2 215" xfId="10886"/>
    <cellStyle name="설명 텍스트 2 216" xfId="10887"/>
    <cellStyle name="설명 텍스트 2 217" xfId="10888"/>
    <cellStyle name="설명 텍스트 2 218" xfId="10889"/>
    <cellStyle name="설명 텍스트 2 219" xfId="10890"/>
    <cellStyle name="설명 텍스트 2 22" xfId="10891"/>
    <cellStyle name="설명 텍스트 2 220" xfId="10892"/>
    <cellStyle name="설명 텍스트 2 221" xfId="10893"/>
    <cellStyle name="설명 텍스트 2 222" xfId="10894"/>
    <cellStyle name="설명 텍스트 2 223" xfId="10895"/>
    <cellStyle name="설명 텍스트 2 224" xfId="10896"/>
    <cellStyle name="설명 텍스트 2 225" xfId="10897"/>
    <cellStyle name="설명 텍스트 2 226" xfId="10898"/>
    <cellStyle name="설명 텍스트 2 227" xfId="10899"/>
    <cellStyle name="설명 텍스트 2 228" xfId="10900"/>
    <cellStyle name="설명 텍스트 2 229" xfId="10901"/>
    <cellStyle name="설명 텍스트 2 23" xfId="10902"/>
    <cellStyle name="설명 텍스트 2 230" xfId="10903"/>
    <cellStyle name="설명 텍스트 2 231" xfId="10904"/>
    <cellStyle name="설명 텍스트 2 232" xfId="10905"/>
    <cellStyle name="설명 텍스트 2 233" xfId="10906"/>
    <cellStyle name="설명 텍스트 2 234" xfId="10907"/>
    <cellStyle name="설명 텍스트 2 235" xfId="10908"/>
    <cellStyle name="설명 텍스트 2 236" xfId="10909"/>
    <cellStyle name="설명 텍스트 2 237" xfId="10910"/>
    <cellStyle name="설명 텍스트 2 238" xfId="10911"/>
    <cellStyle name="설명 텍스트 2 239" xfId="10912"/>
    <cellStyle name="설명 텍스트 2 24" xfId="10913"/>
    <cellStyle name="설명 텍스트 2 240" xfId="10914"/>
    <cellStyle name="설명 텍스트 2 241" xfId="10915"/>
    <cellStyle name="설명 텍스트 2 25" xfId="10916"/>
    <cellStyle name="설명 텍스트 2 26" xfId="10917"/>
    <cellStyle name="설명 텍스트 2 27" xfId="10918"/>
    <cellStyle name="설명 텍스트 2 28" xfId="10919"/>
    <cellStyle name="설명 텍스트 2 29" xfId="10920"/>
    <cellStyle name="설명 텍스트 2 3" xfId="10921"/>
    <cellStyle name="설명 텍스트 2 30" xfId="10922"/>
    <cellStyle name="설명 텍스트 2 31" xfId="10923"/>
    <cellStyle name="설명 텍스트 2 32" xfId="10924"/>
    <cellStyle name="설명 텍스트 2 33" xfId="10925"/>
    <cellStyle name="설명 텍스트 2 34" xfId="10926"/>
    <cellStyle name="설명 텍스트 2 35" xfId="10927"/>
    <cellStyle name="설명 텍스트 2 36" xfId="10928"/>
    <cellStyle name="설명 텍스트 2 37" xfId="10929"/>
    <cellStyle name="설명 텍스트 2 38" xfId="10930"/>
    <cellStyle name="설명 텍스트 2 39" xfId="10931"/>
    <cellStyle name="설명 텍스트 2 4" xfId="10932"/>
    <cellStyle name="설명 텍스트 2 40" xfId="10933"/>
    <cellStyle name="설명 텍스트 2 41" xfId="10934"/>
    <cellStyle name="설명 텍스트 2 42" xfId="10935"/>
    <cellStyle name="설명 텍스트 2 43" xfId="10936"/>
    <cellStyle name="설명 텍스트 2 44" xfId="10937"/>
    <cellStyle name="설명 텍스트 2 45" xfId="10938"/>
    <cellStyle name="설명 텍스트 2 46" xfId="10939"/>
    <cellStyle name="설명 텍스트 2 47" xfId="10940"/>
    <cellStyle name="설명 텍스트 2 48" xfId="10941"/>
    <cellStyle name="설명 텍스트 2 49" xfId="10942"/>
    <cellStyle name="설명 텍스트 2 5" xfId="10943"/>
    <cellStyle name="설명 텍스트 2 50" xfId="10944"/>
    <cellStyle name="설명 텍스트 2 51" xfId="10945"/>
    <cellStyle name="설명 텍스트 2 52" xfId="10946"/>
    <cellStyle name="설명 텍스트 2 53" xfId="10947"/>
    <cellStyle name="설명 텍스트 2 54" xfId="10948"/>
    <cellStyle name="설명 텍스트 2 55" xfId="10949"/>
    <cellStyle name="설명 텍스트 2 56" xfId="10950"/>
    <cellStyle name="설명 텍스트 2 57" xfId="10951"/>
    <cellStyle name="설명 텍스트 2 58" xfId="10952"/>
    <cellStyle name="설명 텍스트 2 59" xfId="10953"/>
    <cellStyle name="설명 텍스트 2 6" xfId="10954"/>
    <cellStyle name="설명 텍스트 2 60" xfId="10955"/>
    <cellStyle name="설명 텍스트 2 61" xfId="10956"/>
    <cellStyle name="설명 텍스트 2 62" xfId="10957"/>
    <cellStyle name="설명 텍스트 2 63" xfId="10958"/>
    <cellStyle name="설명 텍스트 2 64" xfId="10959"/>
    <cellStyle name="설명 텍스트 2 65" xfId="10960"/>
    <cellStyle name="설명 텍스트 2 66" xfId="10961"/>
    <cellStyle name="설명 텍스트 2 67" xfId="10962"/>
    <cellStyle name="설명 텍스트 2 68" xfId="10963"/>
    <cellStyle name="설명 텍스트 2 69" xfId="10964"/>
    <cellStyle name="설명 텍스트 2 7" xfId="10965"/>
    <cellStyle name="설명 텍스트 2 70" xfId="10966"/>
    <cellStyle name="설명 텍스트 2 71" xfId="10967"/>
    <cellStyle name="설명 텍스트 2 72" xfId="10968"/>
    <cellStyle name="설명 텍스트 2 73" xfId="10969"/>
    <cellStyle name="설명 텍스트 2 74" xfId="10970"/>
    <cellStyle name="설명 텍스트 2 75" xfId="10971"/>
    <cellStyle name="설명 텍스트 2 76" xfId="10972"/>
    <cellStyle name="설명 텍스트 2 77" xfId="10973"/>
    <cellStyle name="설명 텍스트 2 78" xfId="10974"/>
    <cellStyle name="설명 텍스트 2 79" xfId="10975"/>
    <cellStyle name="설명 텍스트 2 8" xfId="10976"/>
    <cellStyle name="설명 텍스트 2 80" xfId="10977"/>
    <cellStyle name="설명 텍스트 2 81" xfId="10978"/>
    <cellStyle name="설명 텍스트 2 82" xfId="10979"/>
    <cellStyle name="설명 텍스트 2 83" xfId="10980"/>
    <cellStyle name="설명 텍스트 2 84" xfId="10981"/>
    <cellStyle name="설명 텍스트 2 85" xfId="10982"/>
    <cellStyle name="설명 텍스트 2 86" xfId="10983"/>
    <cellStyle name="설명 텍스트 2 87" xfId="10984"/>
    <cellStyle name="설명 텍스트 2 88" xfId="10985"/>
    <cellStyle name="설명 텍스트 2 89" xfId="10986"/>
    <cellStyle name="설명 텍스트 2 9" xfId="10987"/>
    <cellStyle name="설명 텍스트 2 90" xfId="10988"/>
    <cellStyle name="설명 텍스트 2 91" xfId="10989"/>
    <cellStyle name="설명 텍스트 2 92" xfId="10990"/>
    <cellStyle name="설명 텍스트 2 93" xfId="10991"/>
    <cellStyle name="설명 텍스트 2 94" xfId="10992"/>
    <cellStyle name="설명 텍스트 2 95" xfId="10993"/>
    <cellStyle name="설명 텍스트 2 96" xfId="10994"/>
    <cellStyle name="설명 텍스트 2 97" xfId="10995"/>
    <cellStyle name="설명 텍스트 2 98" xfId="10996"/>
    <cellStyle name="설명 텍스트 2 99" xfId="10997"/>
    <cellStyle name="설명 텍스트 20" xfId="17790"/>
    <cellStyle name="설명 텍스트 21" xfId="17791"/>
    <cellStyle name="설명 텍스트 22" xfId="17792"/>
    <cellStyle name="설명 텍스트 23" xfId="17793"/>
    <cellStyle name="설명 텍스트 24" xfId="17794"/>
    <cellStyle name="설명 텍스트 25" xfId="17795"/>
    <cellStyle name="설명 텍스트 26" xfId="17796"/>
    <cellStyle name="설명 텍스트 27" xfId="17797"/>
    <cellStyle name="설명 텍스트 28" xfId="17798"/>
    <cellStyle name="설명 텍스트 29" xfId="17799"/>
    <cellStyle name="설명 텍스트 3" xfId="17800"/>
    <cellStyle name="설명 텍스트 3 2" xfId="17801"/>
    <cellStyle name="설명 텍스트 3 3" xfId="17802"/>
    <cellStyle name="설명 텍스트 30" xfId="17803"/>
    <cellStyle name="설명 텍스트 31" xfId="17804"/>
    <cellStyle name="설명 텍스트 32" xfId="17805"/>
    <cellStyle name="설명 텍스트 4" xfId="17806"/>
    <cellStyle name="설명 텍스트 4 2" xfId="17807"/>
    <cellStyle name="설명 텍스트 4 3" xfId="17808"/>
    <cellStyle name="설명 텍스트 5" xfId="17809"/>
    <cellStyle name="설명 텍스트 6" xfId="17810"/>
    <cellStyle name="설명 텍스트 7" xfId="17811"/>
    <cellStyle name="설명 텍스트 8" xfId="17812"/>
    <cellStyle name="설명 텍스트 9" xfId="17813"/>
    <cellStyle name="셀 확인 10" xfId="17814"/>
    <cellStyle name="셀 확인 11" xfId="17815"/>
    <cellStyle name="셀 확인 12" xfId="17816"/>
    <cellStyle name="셀 확인 13" xfId="17817"/>
    <cellStyle name="셀 확인 14" xfId="17818"/>
    <cellStyle name="셀 확인 15" xfId="17819"/>
    <cellStyle name="셀 확인 16" xfId="17820"/>
    <cellStyle name="셀 확인 17" xfId="17821"/>
    <cellStyle name="셀 확인 18" xfId="17822"/>
    <cellStyle name="셀 확인 19" xfId="17823"/>
    <cellStyle name="셀 확인 2" xfId="10998"/>
    <cellStyle name="셀 확인 2 10" xfId="10999"/>
    <cellStyle name="셀 확인 2 100" xfId="11000"/>
    <cellStyle name="셀 확인 2 101" xfId="11001"/>
    <cellStyle name="셀 확인 2 102" xfId="11002"/>
    <cellStyle name="셀 확인 2 103" xfId="11003"/>
    <cellStyle name="셀 확인 2 104" xfId="11004"/>
    <cellStyle name="셀 확인 2 105" xfId="11005"/>
    <cellStyle name="셀 확인 2 106" xfId="11006"/>
    <cellStyle name="셀 확인 2 107" xfId="11007"/>
    <cellStyle name="셀 확인 2 108" xfId="11008"/>
    <cellStyle name="셀 확인 2 109" xfId="11009"/>
    <cellStyle name="셀 확인 2 11" xfId="11010"/>
    <cellStyle name="셀 확인 2 110" xfId="11011"/>
    <cellStyle name="셀 확인 2 111" xfId="11012"/>
    <cellStyle name="셀 확인 2 112" xfId="11013"/>
    <cellStyle name="셀 확인 2 113" xfId="11014"/>
    <cellStyle name="셀 확인 2 114" xfId="11015"/>
    <cellStyle name="셀 확인 2 115" xfId="11016"/>
    <cellStyle name="셀 확인 2 116" xfId="11017"/>
    <cellStyle name="셀 확인 2 117" xfId="11018"/>
    <cellStyle name="셀 확인 2 118" xfId="11019"/>
    <cellStyle name="셀 확인 2 119" xfId="11020"/>
    <cellStyle name="셀 확인 2 12" xfId="11021"/>
    <cellStyle name="셀 확인 2 120" xfId="11022"/>
    <cellStyle name="셀 확인 2 121" xfId="11023"/>
    <cellStyle name="셀 확인 2 122" xfId="11024"/>
    <cellStyle name="셀 확인 2 123" xfId="11025"/>
    <cellStyle name="셀 확인 2 124" xfId="11026"/>
    <cellStyle name="셀 확인 2 125" xfId="11027"/>
    <cellStyle name="셀 확인 2 126" xfId="11028"/>
    <cellStyle name="셀 확인 2 127" xfId="11029"/>
    <cellStyle name="셀 확인 2 128" xfId="11030"/>
    <cellStyle name="셀 확인 2 129" xfId="11031"/>
    <cellStyle name="셀 확인 2 13" xfId="11032"/>
    <cellStyle name="셀 확인 2 130" xfId="11033"/>
    <cellStyle name="셀 확인 2 131" xfId="11034"/>
    <cellStyle name="셀 확인 2 132" xfId="11035"/>
    <cellStyle name="셀 확인 2 133" xfId="11036"/>
    <cellStyle name="셀 확인 2 134" xfId="11037"/>
    <cellStyle name="셀 확인 2 135" xfId="11038"/>
    <cellStyle name="셀 확인 2 136" xfId="11039"/>
    <cellStyle name="셀 확인 2 137" xfId="11040"/>
    <cellStyle name="셀 확인 2 138" xfId="11041"/>
    <cellStyle name="셀 확인 2 139" xfId="11042"/>
    <cellStyle name="셀 확인 2 14" xfId="11043"/>
    <cellStyle name="셀 확인 2 140" xfId="11044"/>
    <cellStyle name="셀 확인 2 141" xfId="11045"/>
    <cellStyle name="셀 확인 2 142" xfId="11046"/>
    <cellStyle name="셀 확인 2 143" xfId="11047"/>
    <cellStyle name="셀 확인 2 144" xfId="11048"/>
    <cellStyle name="셀 확인 2 145" xfId="11049"/>
    <cellStyle name="셀 확인 2 146" xfId="11050"/>
    <cellStyle name="셀 확인 2 147" xfId="11051"/>
    <cellStyle name="셀 확인 2 148" xfId="11052"/>
    <cellStyle name="셀 확인 2 149" xfId="11053"/>
    <cellStyle name="셀 확인 2 15" xfId="11054"/>
    <cellStyle name="셀 확인 2 150" xfId="11055"/>
    <cellStyle name="셀 확인 2 151" xfId="11056"/>
    <cellStyle name="셀 확인 2 152" xfId="11057"/>
    <cellStyle name="셀 확인 2 153" xfId="11058"/>
    <cellStyle name="셀 확인 2 154" xfId="11059"/>
    <cellStyle name="셀 확인 2 155" xfId="11060"/>
    <cellStyle name="셀 확인 2 156" xfId="11061"/>
    <cellStyle name="셀 확인 2 157" xfId="11062"/>
    <cellStyle name="셀 확인 2 158" xfId="11063"/>
    <cellStyle name="셀 확인 2 159" xfId="11064"/>
    <cellStyle name="셀 확인 2 16" xfId="11065"/>
    <cellStyle name="셀 확인 2 160" xfId="11066"/>
    <cellStyle name="셀 확인 2 161" xfId="11067"/>
    <cellStyle name="셀 확인 2 162" xfId="11068"/>
    <cellStyle name="셀 확인 2 163" xfId="11069"/>
    <cellStyle name="셀 확인 2 164" xfId="11070"/>
    <cellStyle name="셀 확인 2 165" xfId="11071"/>
    <cellStyle name="셀 확인 2 166" xfId="11072"/>
    <cellStyle name="셀 확인 2 167" xfId="11073"/>
    <cellStyle name="셀 확인 2 168" xfId="11074"/>
    <cellStyle name="셀 확인 2 169" xfId="11075"/>
    <cellStyle name="셀 확인 2 17" xfId="11076"/>
    <cellStyle name="셀 확인 2 170" xfId="11077"/>
    <cellStyle name="셀 확인 2 171" xfId="11078"/>
    <cellStyle name="셀 확인 2 172" xfId="11079"/>
    <cellStyle name="셀 확인 2 173" xfId="11080"/>
    <cellStyle name="셀 확인 2 174" xfId="11081"/>
    <cellStyle name="셀 확인 2 175" xfId="11082"/>
    <cellStyle name="셀 확인 2 176" xfId="11083"/>
    <cellStyle name="셀 확인 2 177" xfId="11084"/>
    <cellStyle name="셀 확인 2 178" xfId="11085"/>
    <cellStyle name="셀 확인 2 179" xfId="11086"/>
    <cellStyle name="셀 확인 2 18" xfId="11087"/>
    <cellStyle name="셀 확인 2 180" xfId="11088"/>
    <cellStyle name="셀 확인 2 181" xfId="11089"/>
    <cellStyle name="셀 확인 2 182" xfId="11090"/>
    <cellStyle name="셀 확인 2 183" xfId="11091"/>
    <cellStyle name="셀 확인 2 184" xfId="11092"/>
    <cellStyle name="셀 확인 2 185" xfId="11093"/>
    <cellStyle name="셀 확인 2 186" xfId="11094"/>
    <cellStyle name="셀 확인 2 187" xfId="11095"/>
    <cellStyle name="셀 확인 2 188" xfId="11096"/>
    <cellStyle name="셀 확인 2 189" xfId="11097"/>
    <cellStyle name="셀 확인 2 19" xfId="11098"/>
    <cellStyle name="셀 확인 2 190" xfId="11099"/>
    <cellStyle name="셀 확인 2 191" xfId="11100"/>
    <cellStyle name="셀 확인 2 192" xfId="11101"/>
    <cellStyle name="셀 확인 2 193" xfId="11102"/>
    <cellStyle name="셀 확인 2 194" xfId="11103"/>
    <cellStyle name="셀 확인 2 195" xfId="11104"/>
    <cellStyle name="셀 확인 2 196" xfId="11105"/>
    <cellStyle name="셀 확인 2 197" xfId="11106"/>
    <cellStyle name="셀 확인 2 198" xfId="11107"/>
    <cellStyle name="셀 확인 2 199" xfId="11108"/>
    <cellStyle name="셀 확인 2 2" xfId="11109"/>
    <cellStyle name="셀 확인 2 20" xfId="11110"/>
    <cellStyle name="셀 확인 2 200" xfId="11111"/>
    <cellStyle name="셀 확인 2 201" xfId="11112"/>
    <cellStyle name="셀 확인 2 202" xfId="11113"/>
    <cellStyle name="셀 확인 2 203" xfId="11114"/>
    <cellStyle name="셀 확인 2 204" xfId="11115"/>
    <cellStyle name="셀 확인 2 205" xfId="11116"/>
    <cellStyle name="셀 확인 2 206" xfId="11117"/>
    <cellStyle name="셀 확인 2 207" xfId="11118"/>
    <cellStyle name="셀 확인 2 208" xfId="11119"/>
    <cellStyle name="셀 확인 2 209" xfId="11120"/>
    <cellStyle name="셀 확인 2 21" xfId="11121"/>
    <cellStyle name="셀 확인 2 210" xfId="11122"/>
    <cellStyle name="셀 확인 2 211" xfId="11123"/>
    <cellStyle name="셀 확인 2 212" xfId="11124"/>
    <cellStyle name="셀 확인 2 213" xfId="11125"/>
    <cellStyle name="셀 확인 2 214" xfId="11126"/>
    <cellStyle name="셀 확인 2 215" xfId="11127"/>
    <cellStyle name="셀 확인 2 216" xfId="11128"/>
    <cellStyle name="셀 확인 2 217" xfId="11129"/>
    <cellStyle name="셀 확인 2 218" xfId="11130"/>
    <cellStyle name="셀 확인 2 219" xfId="11131"/>
    <cellStyle name="셀 확인 2 22" xfId="11132"/>
    <cellStyle name="셀 확인 2 220" xfId="11133"/>
    <cellStyle name="셀 확인 2 221" xfId="11134"/>
    <cellStyle name="셀 확인 2 222" xfId="11135"/>
    <cellStyle name="셀 확인 2 223" xfId="11136"/>
    <cellStyle name="셀 확인 2 224" xfId="11137"/>
    <cellStyle name="셀 확인 2 225" xfId="11138"/>
    <cellStyle name="셀 확인 2 226" xfId="11139"/>
    <cellStyle name="셀 확인 2 227" xfId="11140"/>
    <cellStyle name="셀 확인 2 228" xfId="11141"/>
    <cellStyle name="셀 확인 2 229" xfId="11142"/>
    <cellStyle name="셀 확인 2 23" xfId="11143"/>
    <cellStyle name="셀 확인 2 230" xfId="11144"/>
    <cellStyle name="셀 확인 2 231" xfId="11145"/>
    <cellStyle name="셀 확인 2 232" xfId="11146"/>
    <cellStyle name="셀 확인 2 233" xfId="11147"/>
    <cellStyle name="셀 확인 2 234" xfId="11148"/>
    <cellStyle name="셀 확인 2 235" xfId="11149"/>
    <cellStyle name="셀 확인 2 236" xfId="11150"/>
    <cellStyle name="셀 확인 2 237" xfId="11151"/>
    <cellStyle name="셀 확인 2 238" xfId="11152"/>
    <cellStyle name="셀 확인 2 239" xfId="11153"/>
    <cellStyle name="셀 확인 2 24" xfId="11154"/>
    <cellStyle name="셀 확인 2 240" xfId="11155"/>
    <cellStyle name="셀 확인 2 241" xfId="11156"/>
    <cellStyle name="셀 확인 2 25" xfId="11157"/>
    <cellStyle name="셀 확인 2 26" xfId="11158"/>
    <cellStyle name="셀 확인 2 27" xfId="11159"/>
    <cellStyle name="셀 확인 2 28" xfId="11160"/>
    <cellStyle name="셀 확인 2 29" xfId="11161"/>
    <cellStyle name="셀 확인 2 3" xfId="11162"/>
    <cellStyle name="셀 확인 2 30" xfId="11163"/>
    <cellStyle name="셀 확인 2 31" xfId="11164"/>
    <cellStyle name="셀 확인 2 32" xfId="11165"/>
    <cellStyle name="셀 확인 2 33" xfId="11166"/>
    <cellStyle name="셀 확인 2 34" xfId="11167"/>
    <cellStyle name="셀 확인 2 35" xfId="11168"/>
    <cellStyle name="셀 확인 2 36" xfId="11169"/>
    <cellStyle name="셀 확인 2 37" xfId="11170"/>
    <cellStyle name="셀 확인 2 38" xfId="11171"/>
    <cellStyle name="셀 확인 2 39" xfId="11172"/>
    <cellStyle name="셀 확인 2 4" xfId="11173"/>
    <cellStyle name="셀 확인 2 40" xfId="11174"/>
    <cellStyle name="셀 확인 2 41" xfId="11175"/>
    <cellStyle name="셀 확인 2 42" xfId="11176"/>
    <cellStyle name="셀 확인 2 43" xfId="11177"/>
    <cellStyle name="셀 확인 2 44" xfId="11178"/>
    <cellStyle name="셀 확인 2 45" xfId="11179"/>
    <cellStyle name="셀 확인 2 46" xfId="11180"/>
    <cellStyle name="셀 확인 2 47" xfId="11181"/>
    <cellStyle name="셀 확인 2 48" xfId="11182"/>
    <cellStyle name="셀 확인 2 49" xfId="11183"/>
    <cellStyle name="셀 확인 2 5" xfId="11184"/>
    <cellStyle name="셀 확인 2 50" xfId="11185"/>
    <cellStyle name="셀 확인 2 51" xfId="11186"/>
    <cellStyle name="셀 확인 2 52" xfId="11187"/>
    <cellStyle name="셀 확인 2 53" xfId="11188"/>
    <cellStyle name="셀 확인 2 54" xfId="11189"/>
    <cellStyle name="셀 확인 2 55" xfId="11190"/>
    <cellStyle name="셀 확인 2 56" xfId="11191"/>
    <cellStyle name="셀 확인 2 57" xfId="11192"/>
    <cellStyle name="셀 확인 2 58" xfId="11193"/>
    <cellStyle name="셀 확인 2 59" xfId="11194"/>
    <cellStyle name="셀 확인 2 6" xfId="11195"/>
    <cellStyle name="셀 확인 2 60" xfId="11196"/>
    <cellStyle name="셀 확인 2 61" xfId="11197"/>
    <cellStyle name="셀 확인 2 62" xfId="11198"/>
    <cellStyle name="셀 확인 2 63" xfId="11199"/>
    <cellStyle name="셀 확인 2 64" xfId="11200"/>
    <cellStyle name="셀 확인 2 65" xfId="11201"/>
    <cellStyle name="셀 확인 2 66" xfId="11202"/>
    <cellStyle name="셀 확인 2 67" xfId="11203"/>
    <cellStyle name="셀 확인 2 68" xfId="11204"/>
    <cellStyle name="셀 확인 2 69" xfId="11205"/>
    <cellStyle name="셀 확인 2 7" xfId="11206"/>
    <cellStyle name="셀 확인 2 70" xfId="11207"/>
    <cellStyle name="셀 확인 2 71" xfId="11208"/>
    <cellStyle name="셀 확인 2 72" xfId="11209"/>
    <cellStyle name="셀 확인 2 73" xfId="11210"/>
    <cellStyle name="셀 확인 2 74" xfId="11211"/>
    <cellStyle name="셀 확인 2 75" xfId="11212"/>
    <cellStyle name="셀 확인 2 76" xfId="11213"/>
    <cellStyle name="셀 확인 2 77" xfId="11214"/>
    <cellStyle name="셀 확인 2 78" xfId="11215"/>
    <cellStyle name="셀 확인 2 79" xfId="11216"/>
    <cellStyle name="셀 확인 2 8" xfId="11217"/>
    <cellStyle name="셀 확인 2 80" xfId="11218"/>
    <cellStyle name="셀 확인 2 81" xfId="11219"/>
    <cellStyle name="셀 확인 2 82" xfId="11220"/>
    <cellStyle name="셀 확인 2 83" xfId="11221"/>
    <cellStyle name="셀 확인 2 84" xfId="11222"/>
    <cellStyle name="셀 확인 2 85" xfId="11223"/>
    <cellStyle name="셀 확인 2 86" xfId="11224"/>
    <cellStyle name="셀 확인 2 87" xfId="11225"/>
    <cellStyle name="셀 확인 2 88" xfId="11226"/>
    <cellStyle name="셀 확인 2 89" xfId="11227"/>
    <cellStyle name="셀 확인 2 9" xfId="11228"/>
    <cellStyle name="셀 확인 2 90" xfId="11229"/>
    <cellStyle name="셀 확인 2 91" xfId="11230"/>
    <cellStyle name="셀 확인 2 92" xfId="11231"/>
    <cellStyle name="셀 확인 2 93" xfId="11232"/>
    <cellStyle name="셀 확인 2 94" xfId="11233"/>
    <cellStyle name="셀 확인 2 95" xfId="11234"/>
    <cellStyle name="셀 확인 2 96" xfId="11235"/>
    <cellStyle name="셀 확인 2 97" xfId="11236"/>
    <cellStyle name="셀 확인 2 98" xfId="11237"/>
    <cellStyle name="셀 확인 2 99" xfId="11238"/>
    <cellStyle name="셀 확인 20" xfId="17824"/>
    <cellStyle name="셀 확인 21" xfId="17825"/>
    <cellStyle name="셀 확인 22" xfId="17826"/>
    <cellStyle name="셀 확인 23" xfId="17827"/>
    <cellStyle name="셀 확인 24" xfId="17828"/>
    <cellStyle name="셀 확인 25" xfId="17829"/>
    <cellStyle name="셀 확인 26" xfId="17830"/>
    <cellStyle name="셀 확인 27" xfId="17831"/>
    <cellStyle name="셀 확인 28" xfId="17832"/>
    <cellStyle name="셀 확인 29" xfId="17833"/>
    <cellStyle name="셀 확인 3" xfId="17834"/>
    <cellStyle name="셀 확인 3 2" xfId="17835"/>
    <cellStyle name="셀 확인 3 3" xfId="17836"/>
    <cellStyle name="셀 확인 30" xfId="17837"/>
    <cellStyle name="셀 확인 31" xfId="17838"/>
    <cellStyle name="셀 확인 32" xfId="17839"/>
    <cellStyle name="셀 확인 4" xfId="17840"/>
    <cellStyle name="셀 확인 4 2" xfId="17841"/>
    <cellStyle name="셀 확인 4 3" xfId="17842"/>
    <cellStyle name="셀 확인 5" xfId="17843"/>
    <cellStyle name="셀 확인 6" xfId="17844"/>
    <cellStyle name="셀 확인 7" xfId="17845"/>
    <cellStyle name="셀 확인 8" xfId="17846"/>
    <cellStyle name="셀 확인 9" xfId="17847"/>
    <cellStyle name="输入" xfId="11239"/>
    <cellStyle name="输出" xfId="11240"/>
    <cellStyle name="쉼표 [0]" xfId="1" builtinId="6"/>
    <cellStyle name="쉼표 [0] 10" xfId="11241"/>
    <cellStyle name="쉼표 [0] 10 2" xfId="11242"/>
    <cellStyle name="쉼표 [0] 10 3" xfId="17848"/>
    <cellStyle name="쉼표 [0] 10 3 2" xfId="17849"/>
    <cellStyle name="쉼표 [0] 10 3 3" xfId="17850"/>
    <cellStyle name="쉼표 [0] 11" xfId="11243"/>
    <cellStyle name="쉼표 [0] 11 2" xfId="11244"/>
    <cellStyle name="쉼표 [0] 11 3" xfId="17851"/>
    <cellStyle name="쉼표 [0] 11 3 2" xfId="17852"/>
    <cellStyle name="쉼표 [0] 11 3 3" xfId="17853"/>
    <cellStyle name="쉼표 [0] 12" xfId="17854"/>
    <cellStyle name="쉼표 [0] 13" xfId="17855"/>
    <cellStyle name="쉼표 [0] 13 2" xfId="17856"/>
    <cellStyle name="쉼표 [0] 13 2 2" xfId="17857"/>
    <cellStyle name="쉼표 [0] 13 2 3" xfId="17858"/>
    <cellStyle name="쉼표 [0] 13 3" xfId="17859"/>
    <cellStyle name="쉼표 [0] 14" xfId="17860"/>
    <cellStyle name="쉼표 [0] 14 10" xfId="17861"/>
    <cellStyle name="쉼표 [0] 14 2" xfId="17862"/>
    <cellStyle name="쉼표 [0] 14 2 2" xfId="17863"/>
    <cellStyle name="쉼표 [0] 14 2 2 2" xfId="17864"/>
    <cellStyle name="쉼표 [0] 14 2 2 3" xfId="17865"/>
    <cellStyle name="쉼표 [0] 14 2 2 4" xfId="17866"/>
    <cellStyle name="쉼표 [0] 14 2 3" xfId="17867"/>
    <cellStyle name="쉼표 [0] 14 2 3 2" xfId="17868"/>
    <cellStyle name="쉼표 [0] 14 2 4" xfId="17869"/>
    <cellStyle name="쉼표 [0] 14 2 4 2" xfId="17870"/>
    <cellStyle name="쉼표 [0] 14 2 5" xfId="17871"/>
    <cellStyle name="쉼표 [0] 14 2 5 2" xfId="17872"/>
    <cellStyle name="쉼표 [0] 14 2 6" xfId="17873"/>
    <cellStyle name="쉼표 [0] 14 2 7" xfId="17874"/>
    <cellStyle name="쉼표 [0] 14 2 8" xfId="17875"/>
    <cellStyle name="쉼표 [0] 14 3" xfId="17876"/>
    <cellStyle name="쉼표 [0] 14 3 2" xfId="17877"/>
    <cellStyle name="쉼표 [0] 14 4" xfId="17878"/>
    <cellStyle name="쉼표 [0] 14 4 2" xfId="17879"/>
    <cellStyle name="쉼표 [0] 14 5" xfId="17880"/>
    <cellStyle name="쉼표 [0] 14 5 2" xfId="17881"/>
    <cellStyle name="쉼표 [0] 14 6" xfId="17882"/>
    <cellStyle name="쉼표 [0] 14 6 2" xfId="17883"/>
    <cellStyle name="쉼표 [0] 14 7" xfId="17884"/>
    <cellStyle name="쉼표 [0] 14 7 2" xfId="17885"/>
    <cellStyle name="쉼표 [0] 14 8" xfId="17886"/>
    <cellStyle name="쉼표 [0] 14 9" xfId="17887"/>
    <cellStyle name="쉼표 [0] 15" xfId="17888"/>
    <cellStyle name="쉼표 [0] 15 2" xfId="17889"/>
    <cellStyle name="쉼표 [0] 15 2 2" xfId="17890"/>
    <cellStyle name="쉼표 [0] 15 2 3" xfId="17891"/>
    <cellStyle name="쉼표 [0] 15 2 4" xfId="17892"/>
    <cellStyle name="쉼표 [0] 15 3" xfId="17893"/>
    <cellStyle name="쉼표 [0] 15 3 2" xfId="17894"/>
    <cellStyle name="쉼표 [0] 15 4" xfId="17895"/>
    <cellStyle name="쉼표 [0] 15 4 2" xfId="17896"/>
    <cellStyle name="쉼표 [0] 15 5" xfId="17897"/>
    <cellStyle name="쉼표 [0] 15 5 2" xfId="17898"/>
    <cellStyle name="쉼표 [0] 15 6" xfId="17899"/>
    <cellStyle name="쉼표 [0] 15 7" xfId="17900"/>
    <cellStyle name="쉼표 [0] 15 8" xfId="17901"/>
    <cellStyle name="쉼표 [0] 16" xfId="17902"/>
    <cellStyle name="쉼표 [0] 16 2" xfId="17903"/>
    <cellStyle name="쉼표 [0] 17" xfId="17904"/>
    <cellStyle name="쉼표 [0] 17 2" xfId="17905"/>
    <cellStyle name="쉼표 [0] 18" xfId="17906"/>
    <cellStyle name="쉼표 [0] 18 2" xfId="17907"/>
    <cellStyle name="쉼표 [0] 19" xfId="17908"/>
    <cellStyle name="쉼표 [0] 19 2" xfId="17909"/>
    <cellStyle name="쉼표 [0] 2" xfId="4"/>
    <cellStyle name="쉼표 [0] 2 10" xfId="11245"/>
    <cellStyle name="쉼표 [0] 2 100" xfId="11246"/>
    <cellStyle name="쉼표 [0] 2 101" xfId="11247"/>
    <cellStyle name="쉼표 [0] 2 102" xfId="11248"/>
    <cellStyle name="쉼표 [0] 2 103" xfId="11249"/>
    <cellStyle name="쉼표 [0] 2 104" xfId="11250"/>
    <cellStyle name="쉼표 [0] 2 105" xfId="11251"/>
    <cellStyle name="쉼표 [0] 2 106" xfId="11252"/>
    <cellStyle name="쉼표 [0] 2 107" xfId="11253"/>
    <cellStyle name="쉼표 [0] 2 108" xfId="11254"/>
    <cellStyle name="쉼표 [0] 2 109" xfId="11255"/>
    <cellStyle name="쉼표 [0] 2 11" xfId="11256"/>
    <cellStyle name="쉼표 [0] 2 110" xfId="11257"/>
    <cellStyle name="쉼표 [0] 2 111" xfId="11258"/>
    <cellStyle name="쉼표 [0] 2 112" xfId="11259"/>
    <cellStyle name="쉼표 [0] 2 113" xfId="11260"/>
    <cellStyle name="쉼표 [0] 2 114" xfId="11261"/>
    <cellStyle name="쉼표 [0] 2 115" xfId="11262"/>
    <cellStyle name="쉼표 [0] 2 116" xfId="11263"/>
    <cellStyle name="쉼표 [0] 2 117" xfId="11264"/>
    <cellStyle name="쉼표 [0] 2 118" xfId="11265"/>
    <cellStyle name="쉼표 [0] 2 119" xfId="11266"/>
    <cellStyle name="쉼표 [0] 2 12" xfId="11267"/>
    <cellStyle name="쉼표 [0] 2 120" xfId="11268"/>
    <cellStyle name="쉼표 [0] 2 121" xfId="11269"/>
    <cellStyle name="쉼표 [0] 2 122" xfId="11270"/>
    <cellStyle name="쉼표 [0] 2 123" xfId="11271"/>
    <cellStyle name="쉼표 [0] 2 124" xfId="11272"/>
    <cellStyle name="쉼표 [0] 2 125" xfId="11273"/>
    <cellStyle name="쉼표 [0] 2 126" xfId="11274"/>
    <cellStyle name="쉼표 [0] 2 127" xfId="11275"/>
    <cellStyle name="쉼표 [0] 2 128" xfId="11276"/>
    <cellStyle name="쉼표 [0] 2 129" xfId="11277"/>
    <cellStyle name="쉼표 [0] 2 13" xfId="11278"/>
    <cellStyle name="쉼표 [0] 2 130" xfId="11279"/>
    <cellStyle name="쉼표 [0] 2 131" xfId="11280"/>
    <cellStyle name="쉼표 [0] 2 132" xfId="11281"/>
    <cellStyle name="쉼표 [0] 2 133" xfId="11282"/>
    <cellStyle name="쉼표 [0] 2 134" xfId="11283"/>
    <cellStyle name="쉼표 [0] 2 135" xfId="11284"/>
    <cellStyle name="쉼표 [0] 2 136" xfId="11285"/>
    <cellStyle name="쉼표 [0] 2 137" xfId="11286"/>
    <cellStyle name="쉼표 [0] 2 138" xfId="11287"/>
    <cellStyle name="쉼표 [0] 2 139" xfId="11288"/>
    <cellStyle name="쉼표 [0] 2 14" xfId="11289"/>
    <cellStyle name="쉼표 [0] 2 140" xfId="11290"/>
    <cellStyle name="쉼표 [0] 2 141" xfId="11291"/>
    <cellStyle name="쉼표 [0] 2 142" xfId="11292"/>
    <cellStyle name="쉼표 [0] 2 143" xfId="11293"/>
    <cellStyle name="쉼표 [0] 2 144" xfId="11294"/>
    <cellStyle name="쉼표 [0] 2 145" xfId="11295"/>
    <cellStyle name="쉼표 [0] 2 146" xfId="11296"/>
    <cellStyle name="쉼표 [0] 2 147" xfId="11297"/>
    <cellStyle name="쉼표 [0] 2 148" xfId="11298"/>
    <cellStyle name="쉼표 [0] 2 149" xfId="11299"/>
    <cellStyle name="쉼표 [0] 2 15" xfId="11300"/>
    <cellStyle name="쉼표 [0] 2 150" xfId="11301"/>
    <cellStyle name="쉼표 [0] 2 151" xfId="11302"/>
    <cellStyle name="쉼표 [0] 2 152" xfId="11303"/>
    <cellStyle name="쉼표 [0] 2 153" xfId="11304"/>
    <cellStyle name="쉼표 [0] 2 154" xfId="11305"/>
    <cellStyle name="쉼표 [0] 2 155" xfId="11306"/>
    <cellStyle name="쉼표 [0] 2 156" xfId="11307"/>
    <cellStyle name="쉼표 [0] 2 157" xfId="11308"/>
    <cellStyle name="쉼표 [0] 2 158" xfId="11309"/>
    <cellStyle name="쉼표 [0] 2 159" xfId="11310"/>
    <cellStyle name="쉼표 [0] 2 16" xfId="11311"/>
    <cellStyle name="쉼표 [0] 2 160" xfId="11312"/>
    <cellStyle name="쉼표 [0] 2 161" xfId="11313"/>
    <cellStyle name="쉼표 [0] 2 162" xfId="11314"/>
    <cellStyle name="쉼표 [0] 2 163" xfId="11315"/>
    <cellStyle name="쉼표 [0] 2 164" xfId="11316"/>
    <cellStyle name="쉼표 [0] 2 165" xfId="11317"/>
    <cellStyle name="쉼표 [0] 2 166" xfId="11318"/>
    <cellStyle name="쉼표 [0] 2 167" xfId="11319"/>
    <cellStyle name="쉼표 [0] 2 168" xfId="11320"/>
    <cellStyle name="쉼표 [0] 2 169" xfId="11321"/>
    <cellStyle name="쉼표 [0] 2 17" xfId="11322"/>
    <cellStyle name="쉼표 [0] 2 170" xfId="11323"/>
    <cellStyle name="쉼표 [0] 2 171" xfId="11324"/>
    <cellStyle name="쉼표 [0] 2 172" xfId="11325"/>
    <cellStyle name="쉼표 [0] 2 173" xfId="11326"/>
    <cellStyle name="쉼표 [0] 2 174" xfId="11327"/>
    <cellStyle name="쉼표 [0] 2 175" xfId="11328"/>
    <cellStyle name="쉼표 [0] 2 176" xfId="11329"/>
    <cellStyle name="쉼표 [0] 2 177" xfId="11330"/>
    <cellStyle name="쉼표 [0] 2 178" xfId="11331"/>
    <cellStyle name="쉼표 [0] 2 179" xfId="11332"/>
    <cellStyle name="쉼표 [0] 2 18" xfId="11333"/>
    <cellStyle name="쉼표 [0] 2 180" xfId="11334"/>
    <cellStyle name="쉼표 [0] 2 181" xfId="11335"/>
    <cellStyle name="쉼표 [0] 2 182" xfId="11336"/>
    <cellStyle name="쉼표 [0] 2 183" xfId="11337"/>
    <cellStyle name="쉼표 [0] 2 184" xfId="11338"/>
    <cellStyle name="쉼표 [0] 2 185" xfId="11339"/>
    <cellStyle name="쉼표 [0] 2 186" xfId="11340"/>
    <cellStyle name="쉼표 [0] 2 187" xfId="11341"/>
    <cellStyle name="쉼표 [0] 2 188" xfId="11342"/>
    <cellStyle name="쉼표 [0] 2 189" xfId="11343"/>
    <cellStyle name="쉼표 [0] 2 19" xfId="11344"/>
    <cellStyle name="쉼표 [0] 2 190" xfId="11345"/>
    <cellStyle name="쉼표 [0] 2 191" xfId="11346"/>
    <cellStyle name="쉼표 [0] 2 192" xfId="11347"/>
    <cellStyle name="쉼표 [0] 2 193" xfId="11348"/>
    <cellStyle name="쉼표 [0] 2 194" xfId="11349"/>
    <cellStyle name="쉼표 [0] 2 195" xfId="11350"/>
    <cellStyle name="쉼표 [0] 2 196" xfId="11351"/>
    <cellStyle name="쉼표 [0] 2 197" xfId="11352"/>
    <cellStyle name="쉼표 [0] 2 198" xfId="11353"/>
    <cellStyle name="쉼표 [0] 2 199" xfId="11354"/>
    <cellStyle name="쉼표 [0] 2 2" xfId="11355"/>
    <cellStyle name="쉼표 [0] 2 2 10" xfId="17910"/>
    <cellStyle name="쉼표 [0] 2 2 11" xfId="17911"/>
    <cellStyle name="쉼표 [0] 2 2 12" xfId="17912"/>
    <cellStyle name="쉼표 [0] 2 2 13" xfId="17913"/>
    <cellStyle name="쉼표 [0] 2 2 14" xfId="17914"/>
    <cellStyle name="쉼표 [0] 2 2 15" xfId="17915"/>
    <cellStyle name="쉼표 [0] 2 2 16" xfId="17916"/>
    <cellStyle name="쉼표 [0] 2 2 17" xfId="17917"/>
    <cellStyle name="쉼표 [0] 2 2 18" xfId="17918"/>
    <cellStyle name="쉼표 [0] 2 2 19" xfId="17919"/>
    <cellStyle name="쉼표 [0] 2 2 2" xfId="17920"/>
    <cellStyle name="쉼표 [0] 2 2 2 2" xfId="17921"/>
    <cellStyle name="쉼표 [0] 2 2 2 2 2" xfId="17922"/>
    <cellStyle name="쉼표 [0] 2 2 2 2 2 2" xfId="17923"/>
    <cellStyle name="쉼표 [0] 2 2 2 2 2 3" xfId="17924"/>
    <cellStyle name="쉼표 [0] 2 2 2 2 2 3 2" xfId="17925"/>
    <cellStyle name="쉼표 [0] 2 2 2 2 2 3 3" xfId="17926"/>
    <cellStyle name="쉼표 [0] 2 2 2 2 3" xfId="17927"/>
    <cellStyle name="쉼표 [0] 2 2 2 2 3 2" xfId="17928"/>
    <cellStyle name="쉼표 [0] 2 2 2 2 3 2 2" xfId="17929"/>
    <cellStyle name="쉼표 [0] 2 2 2 2 3 2 3" xfId="17930"/>
    <cellStyle name="쉼표 [0] 2 2 2 2 3 3" xfId="17931"/>
    <cellStyle name="쉼표 [0] 2 2 2 2 3 3 2" xfId="17932"/>
    <cellStyle name="쉼표 [0] 2 2 2 2 4" xfId="17933"/>
    <cellStyle name="쉼표 [0] 2 2 2 2 4 2" xfId="17934"/>
    <cellStyle name="쉼표 [0] 2 2 2 2 4 3" xfId="17935"/>
    <cellStyle name="쉼표 [0] 2 2 2 2 5" xfId="17936"/>
    <cellStyle name="쉼표 [0] 2 2 2 3" xfId="17937"/>
    <cellStyle name="쉼표 [0] 2 2 2 4" xfId="17938"/>
    <cellStyle name="쉼표 [0] 2 2 2 4 2" xfId="17939"/>
    <cellStyle name="쉼표 [0] 2 2 2 4 3" xfId="17940"/>
    <cellStyle name="쉼표 [0] 2 2 20" xfId="17941"/>
    <cellStyle name="쉼표 [0] 2 2 21" xfId="17942"/>
    <cellStyle name="쉼표 [0] 2 2 22" xfId="17943"/>
    <cellStyle name="쉼표 [0] 2 2 23" xfId="17944"/>
    <cellStyle name="쉼표 [0] 2 2 24" xfId="17945"/>
    <cellStyle name="쉼표 [0] 2 2 25" xfId="17946"/>
    <cellStyle name="쉼표 [0] 2 2 26" xfId="17947"/>
    <cellStyle name="쉼표 [0] 2 2 3" xfId="17948"/>
    <cellStyle name="쉼표 [0] 2 2 3 2" xfId="17949"/>
    <cellStyle name="쉼표 [0] 2 2 3 2 2" xfId="17950"/>
    <cellStyle name="쉼표 [0] 2 2 3 3" xfId="17951"/>
    <cellStyle name="쉼표 [0] 2 2 3 3 2" xfId="17952"/>
    <cellStyle name="쉼표 [0] 2 2 3 3 3" xfId="17953"/>
    <cellStyle name="쉼표 [0] 2 2 3 3 4" xfId="17954"/>
    <cellStyle name="쉼표 [0] 2 2 4" xfId="17955"/>
    <cellStyle name="쉼표 [0] 2 2 4 2" xfId="17956"/>
    <cellStyle name="쉼표 [0] 2 2 4 2 2" xfId="17957"/>
    <cellStyle name="쉼표 [0] 2 2 4 2 2 2" xfId="17958"/>
    <cellStyle name="쉼표 [0] 2 2 4 2 2 3" xfId="17959"/>
    <cellStyle name="쉼표 [0] 2 2 4 2 3" xfId="17960"/>
    <cellStyle name="쉼표 [0] 2 2 4 3" xfId="17961"/>
    <cellStyle name="쉼표 [0] 2 2 4 3 2" xfId="17962"/>
    <cellStyle name="쉼표 [0] 2 2 4 3 3" xfId="17963"/>
    <cellStyle name="쉼표 [0] 2 2 5" xfId="17964"/>
    <cellStyle name="쉼표 [0] 2 2 5 2" xfId="17965"/>
    <cellStyle name="쉼표 [0] 2 2 5 3" xfId="17966"/>
    <cellStyle name="쉼표 [0] 2 2 6" xfId="17967"/>
    <cellStyle name="쉼표 [0] 2 2 7" xfId="17968"/>
    <cellStyle name="쉼표 [0] 2 2 8" xfId="17969"/>
    <cellStyle name="쉼표 [0] 2 2 9" xfId="17970"/>
    <cellStyle name="쉼표 [0] 2 20" xfId="11356"/>
    <cellStyle name="쉼표 [0] 2 200" xfId="11357"/>
    <cellStyle name="쉼표 [0] 2 201" xfId="11358"/>
    <cellStyle name="쉼표 [0] 2 202" xfId="11359"/>
    <cellStyle name="쉼표 [0] 2 203" xfId="11360"/>
    <cellStyle name="쉼표 [0] 2 204" xfId="11361"/>
    <cellStyle name="쉼표 [0] 2 205" xfId="11362"/>
    <cellStyle name="쉼표 [0] 2 206" xfId="11363"/>
    <cellStyle name="쉼표 [0] 2 207" xfId="11364"/>
    <cellStyle name="쉼표 [0] 2 208" xfId="11365"/>
    <cellStyle name="쉼표 [0] 2 209" xfId="11366"/>
    <cellStyle name="쉼표 [0] 2 21" xfId="11367"/>
    <cellStyle name="쉼표 [0] 2 210" xfId="11368"/>
    <cellStyle name="쉼표 [0] 2 211" xfId="11369"/>
    <cellStyle name="쉼표 [0] 2 212" xfId="11370"/>
    <cellStyle name="쉼표 [0] 2 213" xfId="11371"/>
    <cellStyle name="쉼표 [0] 2 214" xfId="11372"/>
    <cellStyle name="쉼표 [0] 2 215" xfId="11373"/>
    <cellStyle name="쉼표 [0] 2 216" xfId="11374"/>
    <cellStyle name="쉼표 [0] 2 217" xfId="11375"/>
    <cellStyle name="쉼표 [0] 2 218" xfId="11376"/>
    <cellStyle name="쉼표 [0] 2 219" xfId="11377"/>
    <cellStyle name="쉼표 [0] 2 22" xfId="11378"/>
    <cellStyle name="쉼표 [0] 2 220" xfId="11379"/>
    <cellStyle name="쉼표 [0] 2 221" xfId="11380"/>
    <cellStyle name="쉼표 [0] 2 222" xfId="11381"/>
    <cellStyle name="쉼표 [0] 2 223" xfId="11382"/>
    <cellStyle name="쉼표 [0] 2 224" xfId="11383"/>
    <cellStyle name="쉼표 [0] 2 225" xfId="11384"/>
    <cellStyle name="쉼표 [0] 2 226" xfId="11385"/>
    <cellStyle name="쉼표 [0] 2 227" xfId="11386"/>
    <cellStyle name="쉼표 [0] 2 228" xfId="11387"/>
    <cellStyle name="쉼표 [0] 2 229" xfId="11388"/>
    <cellStyle name="쉼표 [0] 2 23" xfId="11389"/>
    <cellStyle name="쉼표 [0] 2 230" xfId="11390"/>
    <cellStyle name="쉼표 [0] 2 231" xfId="11391"/>
    <cellStyle name="쉼표 [0] 2 232" xfId="11392"/>
    <cellStyle name="쉼표 [0] 2 233" xfId="11393"/>
    <cellStyle name="쉼표 [0] 2 234" xfId="11394"/>
    <cellStyle name="쉼표 [0] 2 235" xfId="11395"/>
    <cellStyle name="쉼표 [0] 2 236" xfId="11396"/>
    <cellStyle name="쉼표 [0] 2 237" xfId="11397"/>
    <cellStyle name="쉼표 [0] 2 238" xfId="11398"/>
    <cellStyle name="쉼표 [0] 2 239" xfId="11399"/>
    <cellStyle name="쉼표 [0] 2 24" xfId="11400"/>
    <cellStyle name="쉼표 [0] 2 240" xfId="11401"/>
    <cellStyle name="쉼표 [0] 2 241" xfId="11402"/>
    <cellStyle name="쉼표 [0] 2 242" xfId="11403"/>
    <cellStyle name="쉼표 [0] 2 243" xfId="11404"/>
    <cellStyle name="쉼표 [0] 2 244" xfId="11405"/>
    <cellStyle name="쉼표 [0] 2 245" xfId="11406"/>
    <cellStyle name="쉼표 [0] 2 246" xfId="11407"/>
    <cellStyle name="쉼표 [0] 2 247" xfId="11408"/>
    <cellStyle name="쉼표 [0] 2 248" xfId="11409"/>
    <cellStyle name="쉼표 [0] 2 249" xfId="11410"/>
    <cellStyle name="쉼표 [0] 2 25" xfId="11411"/>
    <cellStyle name="쉼표 [0] 2 250" xfId="11412"/>
    <cellStyle name="쉼표 [0] 2 251" xfId="11413"/>
    <cellStyle name="쉼표 [0] 2 252" xfId="11414"/>
    <cellStyle name="쉼표 [0] 2 26" xfId="11415"/>
    <cellStyle name="쉼표 [0] 2 27" xfId="11416"/>
    <cellStyle name="쉼표 [0] 2 28" xfId="11417"/>
    <cellStyle name="쉼표 [0] 2 29" xfId="11418"/>
    <cellStyle name="쉼표 [0] 2 3" xfId="11419"/>
    <cellStyle name="쉼표 [0] 2 3 2" xfId="17971"/>
    <cellStyle name="쉼표 [0] 2 3 2 2" xfId="17972"/>
    <cellStyle name="쉼표 [0] 2 3 2 2 2" xfId="17973"/>
    <cellStyle name="쉼표 [0] 2 3 2 2 3" xfId="17974"/>
    <cellStyle name="쉼표 [0] 2 3 2 3" xfId="17975"/>
    <cellStyle name="쉼표 [0] 2 3 3" xfId="17976"/>
    <cellStyle name="쉼표 [0] 2 30" xfId="11420"/>
    <cellStyle name="쉼표 [0] 2 31" xfId="11421"/>
    <cellStyle name="쉼표 [0] 2 32" xfId="11422"/>
    <cellStyle name="쉼표 [0] 2 33" xfId="11423"/>
    <cellStyle name="쉼표 [0] 2 34" xfId="11424"/>
    <cellStyle name="쉼표 [0] 2 35" xfId="11425"/>
    <cellStyle name="쉼표 [0] 2 36" xfId="11426"/>
    <cellStyle name="쉼표 [0] 2 37" xfId="11427"/>
    <cellStyle name="쉼표 [0] 2 38" xfId="11428"/>
    <cellStyle name="쉼표 [0] 2 39" xfId="11429"/>
    <cellStyle name="쉼표 [0] 2 4" xfId="11430"/>
    <cellStyle name="쉼표 [0] 2 4 2" xfId="17977"/>
    <cellStyle name="쉼표 [0] 2 4 3" xfId="17978"/>
    <cellStyle name="쉼표 [0] 2 4 3 2" xfId="17979"/>
    <cellStyle name="쉼표 [0] 2 4 3 3" xfId="17980"/>
    <cellStyle name="쉼표 [0] 2 4 4" xfId="17981"/>
    <cellStyle name="쉼표 [0] 2 4 4 2" xfId="17982"/>
    <cellStyle name="쉼표 [0] 2 4 4 3" xfId="17983"/>
    <cellStyle name="쉼표 [0] 2 40" xfId="11431"/>
    <cellStyle name="쉼표 [0] 2 41" xfId="11432"/>
    <cellStyle name="쉼표 [0] 2 42" xfId="11433"/>
    <cellStyle name="쉼표 [0] 2 43" xfId="11434"/>
    <cellStyle name="쉼표 [0] 2 44" xfId="11435"/>
    <cellStyle name="쉼표 [0] 2 45" xfId="11436"/>
    <cellStyle name="쉼표 [0] 2 46" xfId="11437"/>
    <cellStyle name="쉼표 [0] 2 47" xfId="11438"/>
    <cellStyle name="쉼표 [0] 2 48" xfId="11439"/>
    <cellStyle name="쉼표 [0] 2 49" xfId="11440"/>
    <cellStyle name="쉼표 [0] 2 5" xfId="11441"/>
    <cellStyle name="쉼표 [0] 2 5 2" xfId="17984"/>
    <cellStyle name="쉼표 [0] 2 5 2 2" xfId="17985"/>
    <cellStyle name="쉼표 [0] 2 5 2 3" xfId="17986"/>
    <cellStyle name="쉼표 [0] 2 5 3" xfId="17987"/>
    <cellStyle name="쉼표 [0] 2 5 3 2" xfId="17988"/>
    <cellStyle name="쉼표 [0] 2 5 3 3" xfId="17989"/>
    <cellStyle name="쉼표 [0] 2 5 4" xfId="17990"/>
    <cellStyle name="쉼표 [0] 2 5 5" xfId="17991"/>
    <cellStyle name="쉼표 [0] 2 50" xfId="11442"/>
    <cellStyle name="쉼표 [0] 2 51" xfId="11443"/>
    <cellStyle name="쉼표 [0] 2 52" xfId="11444"/>
    <cellStyle name="쉼표 [0] 2 53" xfId="11445"/>
    <cellStyle name="쉼표 [0] 2 54" xfId="11446"/>
    <cellStyle name="쉼표 [0] 2 55" xfId="11447"/>
    <cellStyle name="쉼표 [0] 2 56" xfId="11448"/>
    <cellStyle name="쉼표 [0] 2 57" xfId="11449"/>
    <cellStyle name="쉼표 [0] 2 58" xfId="11450"/>
    <cellStyle name="쉼표 [0] 2 59" xfId="11451"/>
    <cellStyle name="쉼표 [0] 2 6" xfId="11452"/>
    <cellStyle name="쉼표 [0] 2 6 2" xfId="17992"/>
    <cellStyle name="쉼표 [0] 2 6 3" xfId="17993"/>
    <cellStyle name="쉼표 [0] 2 60" xfId="11453"/>
    <cellStyle name="쉼표 [0] 2 61" xfId="11454"/>
    <cellStyle name="쉼표 [0] 2 62" xfId="11455"/>
    <cellStyle name="쉼표 [0] 2 63" xfId="11456"/>
    <cellStyle name="쉼표 [0] 2 64" xfId="11457"/>
    <cellStyle name="쉼표 [0] 2 65" xfId="11458"/>
    <cellStyle name="쉼표 [0] 2 66" xfId="11459"/>
    <cellStyle name="쉼표 [0] 2 67" xfId="11460"/>
    <cellStyle name="쉼표 [0] 2 68" xfId="11461"/>
    <cellStyle name="쉼표 [0] 2 69" xfId="11462"/>
    <cellStyle name="쉼표 [0] 2 7" xfId="11463"/>
    <cellStyle name="쉼표 [0] 2 70" xfId="11464"/>
    <cellStyle name="쉼표 [0] 2 71" xfId="11465"/>
    <cellStyle name="쉼표 [0] 2 72" xfId="11466"/>
    <cellStyle name="쉼표 [0] 2 73" xfId="11467"/>
    <cellStyle name="쉼표 [0] 2 74" xfId="11468"/>
    <cellStyle name="쉼표 [0] 2 75" xfId="11469"/>
    <cellStyle name="쉼표 [0] 2 76" xfId="11470"/>
    <cellStyle name="쉼표 [0] 2 77" xfId="11471"/>
    <cellStyle name="쉼표 [0] 2 78" xfId="11472"/>
    <cellStyle name="쉼표 [0] 2 79" xfId="11473"/>
    <cellStyle name="쉼표 [0] 2 8" xfId="11474"/>
    <cellStyle name="쉼표 [0] 2 8 2" xfId="11475"/>
    <cellStyle name="쉼표 [0] 2 80" xfId="11476"/>
    <cellStyle name="쉼표 [0] 2 81" xfId="11477"/>
    <cellStyle name="쉼표 [0] 2 82" xfId="11478"/>
    <cellStyle name="쉼표 [0] 2 83" xfId="11479"/>
    <cellStyle name="쉼표 [0] 2 84" xfId="11480"/>
    <cellStyle name="쉼표 [0] 2 85" xfId="11481"/>
    <cellStyle name="쉼표 [0] 2 86" xfId="11482"/>
    <cellStyle name="쉼표 [0] 2 87" xfId="11483"/>
    <cellStyle name="쉼표 [0] 2 88" xfId="11484"/>
    <cellStyle name="쉼표 [0] 2 89" xfId="11485"/>
    <cellStyle name="쉼표 [0] 2 9" xfId="11486"/>
    <cellStyle name="쉼표 [0] 2 9 2" xfId="11487"/>
    <cellStyle name="쉼표 [0] 2 90" xfId="11488"/>
    <cellStyle name="쉼표 [0] 2 91" xfId="11489"/>
    <cellStyle name="쉼표 [0] 2 92" xfId="11490"/>
    <cellStyle name="쉼표 [0] 2 93" xfId="11491"/>
    <cellStyle name="쉼표 [0] 2 94" xfId="11492"/>
    <cellStyle name="쉼표 [0] 2 95" xfId="11493"/>
    <cellStyle name="쉼표 [0] 2 96" xfId="11494"/>
    <cellStyle name="쉼표 [0] 2 97" xfId="11495"/>
    <cellStyle name="쉼표 [0] 2 98" xfId="11496"/>
    <cellStyle name="쉼표 [0] 2 99" xfId="11497"/>
    <cellStyle name="쉼표 [0] 20" xfId="17994"/>
    <cellStyle name="쉼표 [0] 20 2" xfId="17995"/>
    <cellStyle name="쉼표 [0] 21" xfId="17996"/>
    <cellStyle name="쉼표 [0] 21 2" xfId="17997"/>
    <cellStyle name="쉼표 [0] 22" xfId="17998"/>
    <cellStyle name="쉼표 [0] 3" xfId="11498"/>
    <cellStyle name="쉼표 [0] 3 2" xfId="11499"/>
    <cellStyle name="쉼표 [0] 3 2 2" xfId="11500"/>
    <cellStyle name="쉼표 [0] 3 2 2 2" xfId="17999"/>
    <cellStyle name="쉼표 [0] 3 2 2 2 2" xfId="18000"/>
    <cellStyle name="쉼표 [0] 3 2 2 2 2 2" xfId="18001"/>
    <cellStyle name="쉼표 [0] 3 2 2 2 2 2 2" xfId="18002"/>
    <cellStyle name="쉼표 [0] 3 2 2 2 2 2 3" xfId="18003"/>
    <cellStyle name="쉼표 [0] 3 2 2 2 2 3" xfId="18004"/>
    <cellStyle name="쉼표 [0] 3 2 2 2 3" xfId="18005"/>
    <cellStyle name="쉼표 [0] 3 2 2 3" xfId="18006"/>
    <cellStyle name="쉼표 [0] 3 2 2 3 2" xfId="18007"/>
    <cellStyle name="쉼표 [0] 3 2 2 3 3" xfId="18008"/>
    <cellStyle name="쉼표 [0] 3 2 3" xfId="11501"/>
    <cellStyle name="쉼표 [0] 3 2 3 2" xfId="18009"/>
    <cellStyle name="쉼표 [0] 3 2 4" xfId="18010"/>
    <cellStyle name="쉼표 [0] 3 2 4 2" xfId="18011"/>
    <cellStyle name="쉼표 [0] 3 2 4 3" xfId="18012"/>
    <cellStyle name="쉼표 [0] 3 2 5" xfId="18013"/>
    <cellStyle name="쉼표 [0] 3 3" xfId="11502"/>
    <cellStyle name="쉼표 [0] 3 3 2" xfId="18014"/>
    <cellStyle name="쉼표 [0] 3 3 2 2" xfId="18015"/>
    <cellStyle name="쉼표 [0] 3 3 2 2 2" xfId="18016"/>
    <cellStyle name="쉼표 [0] 3 3 2 2 2 2" xfId="18017"/>
    <cellStyle name="쉼표 [0] 3 3 2 2 2 3" xfId="18018"/>
    <cellStyle name="쉼표 [0] 3 3 2 2 3" xfId="18019"/>
    <cellStyle name="쉼표 [0] 3 3 2 3" xfId="18020"/>
    <cellStyle name="쉼표 [0] 3 3 3" xfId="18021"/>
    <cellStyle name="쉼표 [0] 3 3 3 2" xfId="18022"/>
    <cellStyle name="쉼표 [0] 3 3 3 2 2" xfId="18023"/>
    <cellStyle name="쉼표 [0] 3 3 3 3" xfId="18024"/>
    <cellStyle name="쉼표 [0] 3 3 4" xfId="18025"/>
    <cellStyle name="쉼표 [0] 3 3 4 2" xfId="18026"/>
    <cellStyle name="쉼표 [0] 3 3 4 2 2" xfId="18027"/>
    <cellStyle name="쉼표 [0] 3 3 5" xfId="18028"/>
    <cellStyle name="쉼표 [0] 3 3 5 2" xfId="18029"/>
    <cellStyle name="쉼표 [0] 3 3 5 3" xfId="18030"/>
    <cellStyle name="쉼표 [0] 3 3 6" xfId="18031"/>
    <cellStyle name="쉼표 [0] 3 4" xfId="11503"/>
    <cellStyle name="쉼표 [0] 3 4 2" xfId="18032"/>
    <cellStyle name="쉼표 [0] 3 4 2 2" xfId="18033"/>
    <cellStyle name="쉼표 [0] 3 4 2 2 2" xfId="18034"/>
    <cellStyle name="쉼표 [0] 3 4 2 2 3" xfId="18035"/>
    <cellStyle name="쉼표 [0] 3 4 2 3" xfId="18036"/>
    <cellStyle name="쉼표 [0] 3 4 2 3 2" xfId="18037"/>
    <cellStyle name="쉼표 [0] 3 4 2 3 3" xfId="18038"/>
    <cellStyle name="쉼표 [0] 3 4 3" xfId="18039"/>
    <cellStyle name="쉼표 [0] 3 5" xfId="11504"/>
    <cellStyle name="쉼표 [0] 3 5 2" xfId="18040"/>
    <cellStyle name="쉼표 [0] 3 5 3" xfId="18041"/>
    <cellStyle name="쉼표 [0] 3 6" xfId="18042"/>
    <cellStyle name="쉼표 [0] 4" xfId="11505"/>
    <cellStyle name="쉼표 [0] 4 2" xfId="11506"/>
    <cellStyle name="쉼표 [0] 4 2 2" xfId="11507"/>
    <cellStyle name="쉼표 [0] 4 2 2 2" xfId="18043"/>
    <cellStyle name="쉼표 [0] 4 2 2 2 2" xfId="18044"/>
    <cellStyle name="쉼표 [0] 4 2 2 2 2 2" xfId="18045"/>
    <cellStyle name="쉼표 [0] 4 2 2 2 3" xfId="18046"/>
    <cellStyle name="쉼표 [0] 4 2 2 3" xfId="18047"/>
    <cellStyle name="쉼표 [0] 4 2 2 3 2" xfId="18048"/>
    <cellStyle name="쉼표 [0] 4 2 2 3 2 2" xfId="18049"/>
    <cellStyle name="쉼표 [0] 4 2 2 3 3" xfId="18050"/>
    <cellStyle name="쉼표 [0] 4 2 2 3 4" xfId="18051"/>
    <cellStyle name="쉼표 [0] 4 2 2 4" xfId="18052"/>
    <cellStyle name="쉼표 [0] 4 2 3" xfId="18053"/>
    <cellStyle name="쉼표 [0] 4 2 3 2" xfId="18054"/>
    <cellStyle name="쉼표 [0] 4 2 3 2 2" xfId="18055"/>
    <cellStyle name="쉼표 [0] 4 2 3 2 2 2" xfId="18056"/>
    <cellStyle name="쉼표 [0] 4 2 3 2 2 3" xfId="18057"/>
    <cellStyle name="쉼표 [0] 4 2 3 2 3" xfId="18058"/>
    <cellStyle name="쉼표 [0] 4 2 3 3" xfId="18059"/>
    <cellStyle name="쉼표 [0] 4 2 3 3 2" xfId="18060"/>
    <cellStyle name="쉼표 [0] 4 2 3 3 3" xfId="18061"/>
    <cellStyle name="쉼표 [0] 4 2 4" xfId="18062"/>
    <cellStyle name="쉼표 [0] 4 2 4 2" xfId="18063"/>
    <cellStyle name="쉼표 [0] 4 2 4 3" xfId="18064"/>
    <cellStyle name="쉼표 [0] 4 2 4 4" xfId="18065"/>
    <cellStyle name="쉼표 [0] 4 2 4 5" xfId="18066"/>
    <cellStyle name="쉼표 [0] 4 2 5" xfId="18067"/>
    <cellStyle name="쉼표 [0] 4 2 6" xfId="18068"/>
    <cellStyle name="쉼표 [0] 4 3" xfId="18069"/>
    <cellStyle name="쉼표 [0] 4 3 2" xfId="18070"/>
    <cellStyle name="쉼표 [0] 4 3 2 2" xfId="18071"/>
    <cellStyle name="쉼표 [0] 4 3 3" xfId="18072"/>
    <cellStyle name="쉼표 [0] 4 3 3 2" xfId="18073"/>
    <cellStyle name="쉼표 [0] 4 3 3 3" xfId="18074"/>
    <cellStyle name="쉼표 [0] 4 3 3 4" xfId="18075"/>
    <cellStyle name="쉼표 [0] 4 4" xfId="18076"/>
    <cellStyle name="쉼표 [0] 4 4 2" xfId="18077"/>
    <cellStyle name="쉼표 [0] 4 4 2 2" xfId="18078"/>
    <cellStyle name="쉼표 [0] 4 4 2 2 2" xfId="18079"/>
    <cellStyle name="쉼표 [0] 4 4 2 2 2 2" xfId="18080"/>
    <cellStyle name="쉼표 [0] 4 4 2 2 2 3" xfId="18081"/>
    <cellStyle name="쉼표 [0] 4 4 2 2 3" xfId="18082"/>
    <cellStyle name="쉼표 [0] 4 4 2 2 3 2" xfId="18083"/>
    <cellStyle name="쉼표 [0] 4 4 2 2 3 3" xfId="18084"/>
    <cellStyle name="쉼표 [0] 4 4 2 3" xfId="18085"/>
    <cellStyle name="쉼표 [0] 4 4 3" xfId="18086"/>
    <cellStyle name="쉼표 [0] 4 4 3 2" xfId="18087"/>
    <cellStyle name="쉼표 [0] 4 4 3 3" xfId="18088"/>
    <cellStyle name="쉼표 [0] 4 4 3 4" xfId="18089"/>
    <cellStyle name="쉼표 [0] 4 4 4" xfId="18090"/>
    <cellStyle name="쉼표 [0] 4 4 5" xfId="18091"/>
    <cellStyle name="쉼표 [0] 4 4 5 2" xfId="18092"/>
    <cellStyle name="쉼표 [0] 4 4 6" xfId="18093"/>
    <cellStyle name="쉼표 [0] 4 5" xfId="18094"/>
    <cellStyle name="쉼표 [0] 4 5 2" xfId="18095"/>
    <cellStyle name="쉼표 [0] 4 5 2 2" xfId="18096"/>
    <cellStyle name="쉼표 [0] 4 5 2 2 2" xfId="18097"/>
    <cellStyle name="쉼표 [0] 4 5 2 2 3" xfId="18098"/>
    <cellStyle name="쉼표 [0] 4 5 2 3" xfId="18099"/>
    <cellStyle name="쉼표 [0] 4 5 3" xfId="18100"/>
    <cellStyle name="쉼표 [0] 4 5 3 2" xfId="18101"/>
    <cellStyle name="쉼표 [0] 4 5 3 3" xfId="18102"/>
    <cellStyle name="쉼표 [0] 4 6" xfId="18103"/>
    <cellStyle name="쉼표 [0] 4 6 2" xfId="18104"/>
    <cellStyle name="쉼표 [0] 4 6 2 2" xfId="18105"/>
    <cellStyle name="쉼표 [0] 4 6 2 3" xfId="18106"/>
    <cellStyle name="쉼표 [0] 4 6 3" xfId="18107"/>
    <cellStyle name="쉼표 [0] 4 7" xfId="18108"/>
    <cellStyle name="쉼표 [0] 4 7 2" xfId="18109"/>
    <cellStyle name="쉼표 [0] 4 7 3" xfId="18110"/>
    <cellStyle name="쉼표 [0] 5" xfId="11508"/>
    <cellStyle name="쉼표 [0] 5 2" xfId="11509"/>
    <cellStyle name="쉼표 [0] 5 3" xfId="18111"/>
    <cellStyle name="쉼표 [0] 5 3 2" xfId="18112"/>
    <cellStyle name="쉼표 [0] 5 3 3" xfId="18113"/>
    <cellStyle name="쉼표 [0] 6" xfId="11510"/>
    <cellStyle name="쉼표 [0] 6 2" xfId="11511"/>
    <cellStyle name="쉼표 [0] 6 2 2" xfId="18114"/>
    <cellStyle name="쉼표 [0] 6 3" xfId="18115"/>
    <cellStyle name="쉼표 [0] 6 3 2" xfId="18116"/>
    <cellStyle name="쉼표 [0] 6 3 3" xfId="18117"/>
    <cellStyle name="쉼표 [0] 7" xfId="11512"/>
    <cellStyle name="쉼표 [0] 7 2" xfId="18118"/>
    <cellStyle name="쉼표 [0] 7 2 2" xfId="18119"/>
    <cellStyle name="쉼표 [0] 7 2 2 2" xfId="18120"/>
    <cellStyle name="쉼표 [0] 7 2 3" xfId="18121"/>
    <cellStyle name="쉼표 [0] 7 2 3 2" xfId="18122"/>
    <cellStyle name="쉼표 [0] 7 2 3 3" xfId="18123"/>
    <cellStyle name="쉼표 [0] 7 2 3 4" xfId="18124"/>
    <cellStyle name="쉼표 [0] 7 3" xfId="18125"/>
    <cellStyle name="쉼표 [0] 7 3 2" xfId="18126"/>
    <cellStyle name="쉼표 [0] 7 3 2 2" xfId="18127"/>
    <cellStyle name="쉼표 [0] 7 3 2 2 2" xfId="18128"/>
    <cellStyle name="쉼표 [0] 7 3 2 2 2 2" xfId="18129"/>
    <cellStyle name="쉼표 [0] 7 3 2 2 2 3" xfId="18130"/>
    <cellStyle name="쉼표 [0] 7 3 2 2 3" xfId="18131"/>
    <cellStyle name="쉼표 [0] 7 3 2 3" xfId="18132"/>
    <cellStyle name="쉼표 [0] 7 3 3" xfId="18133"/>
    <cellStyle name="쉼표 [0] 7 3 3 2" xfId="18134"/>
    <cellStyle name="쉼표 [0] 7 3 3 3" xfId="18135"/>
    <cellStyle name="쉼표 [0] 7 4" xfId="18136"/>
    <cellStyle name="쉼표 [0] 7 4 2" xfId="18137"/>
    <cellStyle name="쉼표 [0] 7 4 2 2" xfId="18138"/>
    <cellStyle name="쉼표 [0] 7 4 3" xfId="18139"/>
    <cellStyle name="쉼표 [0] 7 4 3 2" xfId="18140"/>
    <cellStyle name="쉼표 [0] 7 4 3 3" xfId="18141"/>
    <cellStyle name="쉼표 [0] 7 4 3 4" xfId="18142"/>
    <cellStyle name="쉼표 [0] 7 5" xfId="18143"/>
    <cellStyle name="쉼표 [0] 7 5 2" xfId="18144"/>
    <cellStyle name="쉼표 [0] 7 5 2 2" xfId="18145"/>
    <cellStyle name="쉼표 [0] 7 5 2 2 2" xfId="18146"/>
    <cellStyle name="쉼표 [0] 7 5 2 2 3" xfId="18147"/>
    <cellStyle name="쉼표 [0] 7 5 2 3" xfId="18148"/>
    <cellStyle name="쉼표 [0] 7 5 3" xfId="18149"/>
    <cellStyle name="쉼표 [0] 7 6" xfId="18150"/>
    <cellStyle name="쉼표 [0] 7 6 2" xfId="18151"/>
    <cellStyle name="쉼표 [0] 7 6 3" xfId="18152"/>
    <cellStyle name="쉼표 [0] 8" xfId="11513"/>
    <cellStyle name="쉼표 [0] 8 2" xfId="11514"/>
    <cellStyle name="쉼표 [0] 8 2 2" xfId="18153"/>
    <cellStyle name="쉼표 [0] 8 2 2 2" xfId="18154"/>
    <cellStyle name="쉼표 [0] 8 2 2 2 2" xfId="18155"/>
    <cellStyle name="쉼표 [0] 8 2 2 2 3" xfId="18156"/>
    <cellStyle name="쉼표 [0] 8 2 2 3" xfId="18157"/>
    <cellStyle name="쉼표 [0] 8 2 3" xfId="18158"/>
    <cellStyle name="쉼표 [0] 8 3" xfId="18159"/>
    <cellStyle name="쉼표 [0] 8 3 2" xfId="18160"/>
    <cellStyle name="쉼표 [0] 8 3 2 2" xfId="18161"/>
    <cellStyle name="쉼표 [0] 8 3 2 3" xfId="18162"/>
    <cellStyle name="쉼표 [0] 8 3 3" xfId="18163"/>
    <cellStyle name="쉼표 [0] 8 4" xfId="18164"/>
    <cellStyle name="쉼표 [0] 8 4 2" xfId="18165"/>
    <cellStyle name="쉼표 [0] 8 4 3" xfId="18166"/>
    <cellStyle name="쉼표 [0] 9" xfId="11515"/>
    <cellStyle name="쉼표 [0] 9 2" xfId="11516"/>
    <cellStyle name="쉼표 [0] 9 3" xfId="18167"/>
    <cellStyle name="쉼표 [0] 9 3 2" xfId="18168"/>
    <cellStyle name="쉼표 [0] 9 3 3" xfId="18169"/>
    <cellStyle name="쉼표 10" xfId="18170"/>
    <cellStyle name="쉼표 2" xfId="11517"/>
    <cellStyle name="쉼표 2 10" xfId="11518"/>
    <cellStyle name="쉼표 2 100" xfId="11519"/>
    <cellStyle name="쉼표 2 101" xfId="11520"/>
    <cellStyle name="쉼표 2 102" xfId="11521"/>
    <cellStyle name="쉼표 2 103" xfId="11522"/>
    <cellStyle name="쉼표 2 104" xfId="11523"/>
    <cellStyle name="쉼표 2 105" xfId="11524"/>
    <cellStyle name="쉼표 2 106" xfId="11525"/>
    <cellStyle name="쉼표 2 107" xfId="11526"/>
    <cellStyle name="쉼표 2 108" xfId="11527"/>
    <cellStyle name="쉼표 2 109" xfId="11528"/>
    <cellStyle name="쉼표 2 11" xfId="11529"/>
    <cellStyle name="쉼표 2 110" xfId="11530"/>
    <cellStyle name="쉼표 2 111" xfId="11531"/>
    <cellStyle name="쉼표 2 112" xfId="11532"/>
    <cellStyle name="쉼표 2 113" xfId="11533"/>
    <cellStyle name="쉼표 2 114" xfId="11534"/>
    <cellStyle name="쉼표 2 115" xfId="11535"/>
    <cellStyle name="쉼표 2 116" xfId="11536"/>
    <cellStyle name="쉼표 2 117" xfId="11537"/>
    <cellStyle name="쉼표 2 118" xfId="11538"/>
    <cellStyle name="쉼표 2 119" xfId="11539"/>
    <cellStyle name="쉼표 2 12" xfId="11540"/>
    <cellStyle name="쉼표 2 120" xfId="11541"/>
    <cellStyle name="쉼표 2 121" xfId="11542"/>
    <cellStyle name="쉼표 2 122" xfId="11543"/>
    <cellStyle name="쉼표 2 123" xfId="11544"/>
    <cellStyle name="쉼표 2 124" xfId="11545"/>
    <cellStyle name="쉼표 2 125" xfId="11546"/>
    <cellStyle name="쉼표 2 126" xfId="11547"/>
    <cellStyle name="쉼표 2 127" xfId="11548"/>
    <cellStyle name="쉼표 2 128" xfId="11549"/>
    <cellStyle name="쉼표 2 129" xfId="11550"/>
    <cellStyle name="쉼표 2 13" xfId="11551"/>
    <cellStyle name="쉼표 2 130" xfId="11552"/>
    <cellStyle name="쉼표 2 131" xfId="11553"/>
    <cellStyle name="쉼표 2 132" xfId="11554"/>
    <cellStyle name="쉼표 2 133" xfId="11555"/>
    <cellStyle name="쉼표 2 134" xfId="11556"/>
    <cellStyle name="쉼표 2 135" xfId="11557"/>
    <cellStyle name="쉼표 2 136" xfId="11558"/>
    <cellStyle name="쉼표 2 137" xfId="11559"/>
    <cellStyle name="쉼표 2 138" xfId="11560"/>
    <cellStyle name="쉼표 2 139" xfId="11561"/>
    <cellStyle name="쉼표 2 14" xfId="11562"/>
    <cellStyle name="쉼표 2 140" xfId="11563"/>
    <cellStyle name="쉼표 2 141" xfId="11564"/>
    <cellStyle name="쉼표 2 142" xfId="11565"/>
    <cellStyle name="쉼표 2 143" xfId="11566"/>
    <cellStyle name="쉼표 2 144" xfId="11567"/>
    <cellStyle name="쉼표 2 145" xfId="11568"/>
    <cellStyle name="쉼표 2 146" xfId="11569"/>
    <cellStyle name="쉼표 2 147" xfId="11570"/>
    <cellStyle name="쉼표 2 148" xfId="11571"/>
    <cellStyle name="쉼표 2 149" xfId="11572"/>
    <cellStyle name="쉼표 2 15" xfId="11573"/>
    <cellStyle name="쉼표 2 150" xfId="11574"/>
    <cellStyle name="쉼표 2 151" xfId="11575"/>
    <cellStyle name="쉼표 2 152" xfId="11576"/>
    <cellStyle name="쉼표 2 153" xfId="11577"/>
    <cellStyle name="쉼표 2 154" xfId="11578"/>
    <cellStyle name="쉼표 2 155" xfId="11579"/>
    <cellStyle name="쉼표 2 156" xfId="11580"/>
    <cellStyle name="쉼표 2 157" xfId="11581"/>
    <cellStyle name="쉼표 2 158" xfId="11582"/>
    <cellStyle name="쉼표 2 159" xfId="11583"/>
    <cellStyle name="쉼표 2 16" xfId="11584"/>
    <cellStyle name="쉼표 2 160" xfId="11585"/>
    <cellStyle name="쉼표 2 161" xfId="11586"/>
    <cellStyle name="쉼표 2 162" xfId="11587"/>
    <cellStyle name="쉼표 2 163" xfId="11588"/>
    <cellStyle name="쉼표 2 164" xfId="11589"/>
    <cellStyle name="쉼표 2 165" xfId="11590"/>
    <cellStyle name="쉼표 2 166" xfId="11591"/>
    <cellStyle name="쉼표 2 167" xfId="11592"/>
    <cellStyle name="쉼표 2 168" xfId="11593"/>
    <cellStyle name="쉼표 2 169" xfId="11594"/>
    <cellStyle name="쉼표 2 17" xfId="11595"/>
    <cellStyle name="쉼표 2 170" xfId="11596"/>
    <cellStyle name="쉼표 2 171" xfId="11597"/>
    <cellStyle name="쉼표 2 172" xfId="11598"/>
    <cellStyle name="쉼표 2 173" xfId="11599"/>
    <cellStyle name="쉼표 2 174" xfId="11600"/>
    <cellStyle name="쉼표 2 175" xfId="11601"/>
    <cellStyle name="쉼표 2 176" xfId="11602"/>
    <cellStyle name="쉼표 2 177" xfId="11603"/>
    <cellStyle name="쉼표 2 178" xfId="11604"/>
    <cellStyle name="쉼표 2 179" xfId="11605"/>
    <cellStyle name="쉼표 2 18" xfId="11606"/>
    <cellStyle name="쉼표 2 180" xfId="11607"/>
    <cellStyle name="쉼표 2 181" xfId="11608"/>
    <cellStyle name="쉼표 2 182" xfId="11609"/>
    <cellStyle name="쉼표 2 183" xfId="11610"/>
    <cellStyle name="쉼표 2 184" xfId="11611"/>
    <cellStyle name="쉼표 2 185" xfId="11612"/>
    <cellStyle name="쉼표 2 186" xfId="11613"/>
    <cellStyle name="쉼표 2 187" xfId="11614"/>
    <cellStyle name="쉼표 2 188" xfId="11615"/>
    <cellStyle name="쉼표 2 189" xfId="11616"/>
    <cellStyle name="쉼표 2 19" xfId="11617"/>
    <cellStyle name="쉼표 2 190" xfId="11618"/>
    <cellStyle name="쉼표 2 191" xfId="11619"/>
    <cellStyle name="쉼표 2 192" xfId="11620"/>
    <cellStyle name="쉼표 2 193" xfId="11621"/>
    <cellStyle name="쉼표 2 194" xfId="11622"/>
    <cellStyle name="쉼표 2 195" xfId="11623"/>
    <cellStyle name="쉼표 2 196" xfId="11624"/>
    <cellStyle name="쉼표 2 197" xfId="11625"/>
    <cellStyle name="쉼표 2 198" xfId="11626"/>
    <cellStyle name="쉼표 2 199" xfId="11627"/>
    <cellStyle name="쉼표 2 2" xfId="11628"/>
    <cellStyle name="쉼표 2 20" xfId="11629"/>
    <cellStyle name="쉼표 2 200" xfId="11630"/>
    <cellStyle name="쉼표 2 201" xfId="11631"/>
    <cellStyle name="쉼표 2 202" xfId="11632"/>
    <cellStyle name="쉼표 2 203" xfId="11633"/>
    <cellStyle name="쉼표 2 204" xfId="11634"/>
    <cellStyle name="쉼표 2 205" xfId="11635"/>
    <cellStyle name="쉼표 2 206" xfId="11636"/>
    <cellStyle name="쉼표 2 207" xfId="11637"/>
    <cellStyle name="쉼표 2 208" xfId="11638"/>
    <cellStyle name="쉼표 2 209" xfId="11639"/>
    <cellStyle name="쉼표 2 21" xfId="11640"/>
    <cellStyle name="쉼표 2 210" xfId="11641"/>
    <cellStyle name="쉼표 2 211" xfId="11642"/>
    <cellStyle name="쉼표 2 212" xfId="11643"/>
    <cellStyle name="쉼표 2 213" xfId="11644"/>
    <cellStyle name="쉼표 2 214" xfId="11645"/>
    <cellStyle name="쉼표 2 215" xfId="11646"/>
    <cellStyle name="쉼표 2 216" xfId="11647"/>
    <cellStyle name="쉼표 2 217" xfId="11648"/>
    <cellStyle name="쉼표 2 218" xfId="11649"/>
    <cellStyle name="쉼표 2 219" xfId="11650"/>
    <cellStyle name="쉼표 2 22" xfId="11651"/>
    <cellStyle name="쉼표 2 220" xfId="11652"/>
    <cellStyle name="쉼표 2 221" xfId="11653"/>
    <cellStyle name="쉼표 2 222" xfId="11654"/>
    <cellStyle name="쉼표 2 223" xfId="11655"/>
    <cellStyle name="쉼표 2 224" xfId="11656"/>
    <cellStyle name="쉼표 2 225" xfId="11657"/>
    <cellStyle name="쉼표 2 226" xfId="11658"/>
    <cellStyle name="쉼표 2 227" xfId="11659"/>
    <cellStyle name="쉼표 2 228" xfId="11660"/>
    <cellStyle name="쉼표 2 229" xfId="11661"/>
    <cellStyle name="쉼표 2 23" xfId="11662"/>
    <cellStyle name="쉼표 2 230" xfId="11663"/>
    <cellStyle name="쉼표 2 231" xfId="11664"/>
    <cellStyle name="쉼표 2 232" xfId="11665"/>
    <cellStyle name="쉼표 2 233" xfId="11666"/>
    <cellStyle name="쉼표 2 234" xfId="11667"/>
    <cellStyle name="쉼표 2 235" xfId="11668"/>
    <cellStyle name="쉼표 2 236" xfId="11669"/>
    <cellStyle name="쉼표 2 237" xfId="11670"/>
    <cellStyle name="쉼표 2 238" xfId="11671"/>
    <cellStyle name="쉼표 2 239" xfId="11672"/>
    <cellStyle name="쉼표 2 24" xfId="11673"/>
    <cellStyle name="쉼표 2 240" xfId="11674"/>
    <cellStyle name="쉼표 2 241" xfId="11675"/>
    <cellStyle name="쉼표 2 242" xfId="11676"/>
    <cellStyle name="쉼표 2 25" xfId="11677"/>
    <cellStyle name="쉼표 2 26" xfId="11678"/>
    <cellStyle name="쉼표 2 27" xfId="11679"/>
    <cellStyle name="쉼표 2 28" xfId="11680"/>
    <cellStyle name="쉼표 2 29" xfId="11681"/>
    <cellStyle name="쉼표 2 3" xfId="11682"/>
    <cellStyle name="쉼표 2 30" xfId="11683"/>
    <cellStyle name="쉼표 2 31" xfId="11684"/>
    <cellStyle name="쉼표 2 32" xfId="11685"/>
    <cellStyle name="쉼표 2 33" xfId="11686"/>
    <cellStyle name="쉼표 2 34" xfId="11687"/>
    <cellStyle name="쉼표 2 35" xfId="11688"/>
    <cellStyle name="쉼표 2 36" xfId="11689"/>
    <cellStyle name="쉼표 2 37" xfId="11690"/>
    <cellStyle name="쉼표 2 38" xfId="11691"/>
    <cellStyle name="쉼표 2 39" xfId="11692"/>
    <cellStyle name="쉼표 2 4" xfId="11693"/>
    <cellStyle name="쉼표 2 40" xfId="11694"/>
    <cellStyle name="쉼표 2 41" xfId="11695"/>
    <cellStyle name="쉼표 2 42" xfId="11696"/>
    <cellStyle name="쉼표 2 43" xfId="11697"/>
    <cellStyle name="쉼표 2 44" xfId="11698"/>
    <cellStyle name="쉼표 2 45" xfId="11699"/>
    <cellStyle name="쉼표 2 46" xfId="11700"/>
    <cellStyle name="쉼표 2 47" xfId="11701"/>
    <cellStyle name="쉼표 2 48" xfId="11702"/>
    <cellStyle name="쉼표 2 49" xfId="11703"/>
    <cellStyle name="쉼표 2 5" xfId="11704"/>
    <cellStyle name="쉼표 2 50" xfId="11705"/>
    <cellStyle name="쉼표 2 51" xfId="11706"/>
    <cellStyle name="쉼표 2 52" xfId="11707"/>
    <cellStyle name="쉼표 2 53" xfId="11708"/>
    <cellStyle name="쉼표 2 54" xfId="11709"/>
    <cellStyle name="쉼표 2 55" xfId="11710"/>
    <cellStyle name="쉼표 2 56" xfId="11711"/>
    <cellStyle name="쉼표 2 57" xfId="11712"/>
    <cellStyle name="쉼표 2 58" xfId="11713"/>
    <cellStyle name="쉼표 2 59" xfId="11714"/>
    <cellStyle name="쉼표 2 6" xfId="11715"/>
    <cellStyle name="쉼표 2 60" xfId="11716"/>
    <cellStyle name="쉼표 2 61" xfId="11717"/>
    <cellStyle name="쉼표 2 62" xfId="11718"/>
    <cellStyle name="쉼표 2 63" xfId="11719"/>
    <cellStyle name="쉼표 2 64" xfId="11720"/>
    <cellStyle name="쉼표 2 65" xfId="11721"/>
    <cellStyle name="쉼표 2 66" xfId="11722"/>
    <cellStyle name="쉼표 2 67" xfId="11723"/>
    <cellStyle name="쉼표 2 68" xfId="11724"/>
    <cellStyle name="쉼표 2 69" xfId="11725"/>
    <cellStyle name="쉼표 2 7" xfId="11726"/>
    <cellStyle name="쉼표 2 70" xfId="11727"/>
    <cellStyle name="쉼표 2 71" xfId="11728"/>
    <cellStyle name="쉼표 2 72" xfId="11729"/>
    <cellStyle name="쉼표 2 73" xfId="11730"/>
    <cellStyle name="쉼표 2 74" xfId="11731"/>
    <cellStyle name="쉼표 2 75" xfId="11732"/>
    <cellStyle name="쉼표 2 76" xfId="11733"/>
    <cellStyle name="쉼표 2 77" xfId="11734"/>
    <cellStyle name="쉼표 2 78" xfId="11735"/>
    <cellStyle name="쉼표 2 79" xfId="11736"/>
    <cellStyle name="쉼표 2 8" xfId="11737"/>
    <cellStyle name="쉼표 2 80" xfId="11738"/>
    <cellStyle name="쉼표 2 81" xfId="11739"/>
    <cellStyle name="쉼표 2 82" xfId="11740"/>
    <cellStyle name="쉼표 2 83" xfId="11741"/>
    <cellStyle name="쉼표 2 84" xfId="11742"/>
    <cellStyle name="쉼표 2 85" xfId="11743"/>
    <cellStyle name="쉼표 2 86" xfId="11744"/>
    <cellStyle name="쉼표 2 87" xfId="11745"/>
    <cellStyle name="쉼표 2 88" xfId="11746"/>
    <cellStyle name="쉼표 2 89" xfId="11747"/>
    <cellStyle name="쉼표 2 9" xfId="11748"/>
    <cellStyle name="쉼표 2 90" xfId="11749"/>
    <cellStyle name="쉼표 2 91" xfId="11750"/>
    <cellStyle name="쉼표 2 92" xfId="11751"/>
    <cellStyle name="쉼표 2 93" xfId="11752"/>
    <cellStyle name="쉼표 2 94" xfId="11753"/>
    <cellStyle name="쉼표 2 95" xfId="11754"/>
    <cellStyle name="쉼표 2 96" xfId="11755"/>
    <cellStyle name="쉼표 2 97" xfId="11756"/>
    <cellStyle name="쉼표 2 98" xfId="11757"/>
    <cellStyle name="쉼표 2 99" xfId="11758"/>
    <cellStyle name="쉼표 3" xfId="18171"/>
    <cellStyle name="쉼표 3 2" xfId="18172"/>
    <cellStyle name="쉼표 4" xfId="18173"/>
    <cellStyle name="쉼표 4 2" xfId="18174"/>
    <cellStyle name="쉼표 5" xfId="18175"/>
    <cellStyle name="쉼표 5 2" xfId="18176"/>
    <cellStyle name="쉼표 6" xfId="18177"/>
    <cellStyle name="쉼표 6 2" xfId="18178"/>
    <cellStyle name="쉼표 7" xfId="18179"/>
    <cellStyle name="쉼표 7 2" xfId="18180"/>
    <cellStyle name="쉼표 8" xfId="18181"/>
    <cellStyle name="쉼표 8 2" xfId="18182"/>
    <cellStyle name="쉼표 9" xfId="18183"/>
    <cellStyle name="쉼표 9 2" xfId="18184"/>
    <cellStyle name="스타일 1" xfId="11759"/>
    <cellStyle name="스타일 1 2" xfId="11760"/>
    <cellStyle name="스타일 1 3" xfId="11761"/>
    <cellStyle name="스타일 1 4" xfId="11762"/>
    <cellStyle name="스타일 10" xfId="11763"/>
    <cellStyle name="스타일 11" xfId="11764"/>
    <cellStyle name="스타일 12" xfId="11765"/>
    <cellStyle name="스타일 13" xfId="11766"/>
    <cellStyle name="스타일 14" xfId="11767"/>
    <cellStyle name="스타일 15" xfId="11768"/>
    <cellStyle name="스타일 15 2" xfId="11769"/>
    <cellStyle name="스타일 16" xfId="11770"/>
    <cellStyle name="스타일 17" xfId="11771"/>
    <cellStyle name="스타일 18" xfId="11772"/>
    <cellStyle name="스타일 19" xfId="11773"/>
    <cellStyle name="스타일 2" xfId="11774"/>
    <cellStyle name="스타일 20" xfId="11775"/>
    <cellStyle name="스타일 21" xfId="11776"/>
    <cellStyle name="스타일 22" xfId="11777"/>
    <cellStyle name="스타일 23" xfId="11778"/>
    <cellStyle name="스타일 24" xfId="11779"/>
    <cellStyle name="스타일 25" xfId="11780"/>
    <cellStyle name="스타일 26" xfId="11781"/>
    <cellStyle name="스타일 27" xfId="11782"/>
    <cellStyle name="스타일 28" xfId="11783"/>
    <cellStyle name="스타일 29" xfId="11784"/>
    <cellStyle name="스타일 3" xfId="11785"/>
    <cellStyle name="스타일 30" xfId="11786"/>
    <cellStyle name="스타일 31" xfId="11787"/>
    <cellStyle name="스타일 32" xfId="11788"/>
    <cellStyle name="스타일 33" xfId="11789"/>
    <cellStyle name="스타일 34" xfId="11790"/>
    <cellStyle name="스타일 35" xfId="11791"/>
    <cellStyle name="스타일 36" xfId="11792"/>
    <cellStyle name="스타일 37" xfId="11793"/>
    <cellStyle name="스타일 38" xfId="11794"/>
    <cellStyle name="스타일 39" xfId="11795"/>
    <cellStyle name="스타일 4" xfId="11796"/>
    <cellStyle name="스타일 40" xfId="11797"/>
    <cellStyle name="스타일 41" xfId="11798"/>
    <cellStyle name="스타일 42" xfId="11799"/>
    <cellStyle name="스타일 43" xfId="11800"/>
    <cellStyle name="스타일 44" xfId="11801"/>
    <cellStyle name="스타일 45" xfId="11802"/>
    <cellStyle name="스타일 46" xfId="11803"/>
    <cellStyle name="스타일 47" xfId="11804"/>
    <cellStyle name="스타일 5" xfId="11805"/>
    <cellStyle name="스타일 6" xfId="11806"/>
    <cellStyle name="스타일 7" xfId="11807"/>
    <cellStyle name="스타일 8" xfId="11808"/>
    <cellStyle name="스타일 8 2" xfId="11809"/>
    <cellStyle name="스타일 9" xfId="11810"/>
    <cellStyle name="연결된 셀 10" xfId="18185"/>
    <cellStyle name="연결된 셀 11" xfId="18186"/>
    <cellStyle name="연결된 셀 12" xfId="18187"/>
    <cellStyle name="연결된 셀 13" xfId="18188"/>
    <cellStyle name="연결된 셀 14" xfId="18189"/>
    <cellStyle name="연결된 셀 15" xfId="18190"/>
    <cellStyle name="연결된 셀 16" xfId="18191"/>
    <cellStyle name="연결된 셀 17" xfId="18192"/>
    <cellStyle name="연결된 셀 18" xfId="18193"/>
    <cellStyle name="연결된 셀 19" xfId="18194"/>
    <cellStyle name="연결된 셀 2" xfId="11811"/>
    <cellStyle name="연결된 셀 2 10" xfId="11812"/>
    <cellStyle name="연결된 셀 2 100" xfId="11813"/>
    <cellStyle name="연결된 셀 2 101" xfId="11814"/>
    <cellStyle name="연결된 셀 2 102" xfId="11815"/>
    <cellStyle name="연결된 셀 2 103" xfId="11816"/>
    <cellStyle name="연결된 셀 2 104" xfId="11817"/>
    <cellStyle name="연결된 셀 2 105" xfId="11818"/>
    <cellStyle name="연결된 셀 2 106" xfId="11819"/>
    <cellStyle name="연결된 셀 2 107" xfId="11820"/>
    <cellStyle name="연결된 셀 2 108" xfId="11821"/>
    <cellStyle name="연결된 셀 2 109" xfId="11822"/>
    <cellStyle name="연결된 셀 2 11" xfId="11823"/>
    <cellStyle name="연결된 셀 2 110" xfId="11824"/>
    <cellStyle name="연결된 셀 2 111" xfId="11825"/>
    <cellStyle name="연결된 셀 2 112" xfId="11826"/>
    <cellStyle name="연결된 셀 2 113" xfId="11827"/>
    <cellStyle name="연결된 셀 2 114" xfId="11828"/>
    <cellStyle name="연결된 셀 2 115" xfId="11829"/>
    <cellStyle name="연결된 셀 2 116" xfId="11830"/>
    <cellStyle name="연결된 셀 2 117" xfId="11831"/>
    <cellStyle name="연결된 셀 2 118" xfId="11832"/>
    <cellStyle name="연결된 셀 2 119" xfId="11833"/>
    <cellStyle name="연결된 셀 2 12" xfId="11834"/>
    <cellStyle name="연결된 셀 2 120" xfId="11835"/>
    <cellStyle name="연결된 셀 2 121" xfId="11836"/>
    <cellStyle name="연결된 셀 2 122" xfId="11837"/>
    <cellStyle name="연결된 셀 2 123" xfId="11838"/>
    <cellStyle name="연결된 셀 2 124" xfId="11839"/>
    <cellStyle name="연결된 셀 2 125" xfId="11840"/>
    <cellStyle name="연결된 셀 2 126" xfId="11841"/>
    <cellStyle name="연결된 셀 2 127" xfId="11842"/>
    <cellStyle name="연결된 셀 2 128" xfId="11843"/>
    <cellStyle name="연결된 셀 2 129" xfId="11844"/>
    <cellStyle name="연결된 셀 2 13" xfId="11845"/>
    <cellStyle name="연결된 셀 2 130" xfId="11846"/>
    <cellStyle name="연결된 셀 2 131" xfId="11847"/>
    <cellStyle name="연결된 셀 2 132" xfId="11848"/>
    <cellStyle name="연결된 셀 2 133" xfId="11849"/>
    <cellStyle name="연결된 셀 2 134" xfId="11850"/>
    <cellStyle name="연결된 셀 2 135" xfId="11851"/>
    <cellStyle name="연결된 셀 2 136" xfId="11852"/>
    <cellStyle name="연결된 셀 2 137" xfId="11853"/>
    <cellStyle name="연결된 셀 2 138" xfId="11854"/>
    <cellStyle name="연결된 셀 2 139" xfId="11855"/>
    <cellStyle name="연결된 셀 2 14" xfId="11856"/>
    <cellStyle name="연결된 셀 2 140" xfId="11857"/>
    <cellStyle name="연결된 셀 2 141" xfId="11858"/>
    <cellStyle name="연결된 셀 2 142" xfId="11859"/>
    <cellStyle name="연결된 셀 2 143" xfId="11860"/>
    <cellStyle name="연결된 셀 2 144" xfId="11861"/>
    <cellStyle name="연결된 셀 2 145" xfId="11862"/>
    <cellStyle name="연결된 셀 2 146" xfId="11863"/>
    <cellStyle name="연결된 셀 2 147" xfId="11864"/>
    <cellStyle name="연결된 셀 2 148" xfId="11865"/>
    <cellStyle name="연결된 셀 2 149" xfId="11866"/>
    <cellStyle name="연결된 셀 2 15" xfId="11867"/>
    <cellStyle name="연결된 셀 2 150" xfId="11868"/>
    <cellStyle name="연결된 셀 2 151" xfId="11869"/>
    <cellStyle name="연결된 셀 2 152" xfId="11870"/>
    <cellStyle name="연결된 셀 2 153" xfId="11871"/>
    <cellStyle name="연결된 셀 2 154" xfId="11872"/>
    <cellStyle name="연결된 셀 2 155" xfId="11873"/>
    <cellStyle name="연결된 셀 2 156" xfId="11874"/>
    <cellStyle name="연결된 셀 2 157" xfId="11875"/>
    <cellStyle name="연결된 셀 2 158" xfId="11876"/>
    <cellStyle name="연결된 셀 2 159" xfId="11877"/>
    <cellStyle name="연결된 셀 2 16" xfId="11878"/>
    <cellStyle name="연결된 셀 2 160" xfId="11879"/>
    <cellStyle name="연결된 셀 2 161" xfId="11880"/>
    <cellStyle name="연결된 셀 2 162" xfId="11881"/>
    <cellStyle name="연결된 셀 2 163" xfId="11882"/>
    <cellStyle name="연결된 셀 2 164" xfId="11883"/>
    <cellStyle name="연결된 셀 2 165" xfId="11884"/>
    <cellStyle name="연결된 셀 2 166" xfId="11885"/>
    <cellStyle name="연결된 셀 2 167" xfId="11886"/>
    <cellStyle name="연결된 셀 2 168" xfId="11887"/>
    <cellStyle name="연결된 셀 2 169" xfId="11888"/>
    <cellStyle name="연결된 셀 2 17" xfId="11889"/>
    <cellStyle name="연결된 셀 2 170" xfId="11890"/>
    <cellStyle name="연결된 셀 2 171" xfId="11891"/>
    <cellStyle name="연결된 셀 2 172" xfId="11892"/>
    <cellStyle name="연결된 셀 2 173" xfId="11893"/>
    <cellStyle name="연결된 셀 2 174" xfId="11894"/>
    <cellStyle name="연결된 셀 2 175" xfId="11895"/>
    <cellStyle name="연결된 셀 2 176" xfId="11896"/>
    <cellStyle name="연결된 셀 2 177" xfId="11897"/>
    <cellStyle name="연결된 셀 2 178" xfId="11898"/>
    <cellStyle name="연결된 셀 2 179" xfId="11899"/>
    <cellStyle name="연결된 셀 2 18" xfId="11900"/>
    <cellStyle name="연결된 셀 2 180" xfId="11901"/>
    <cellStyle name="연결된 셀 2 181" xfId="11902"/>
    <cellStyle name="연결된 셀 2 182" xfId="11903"/>
    <cellStyle name="연결된 셀 2 183" xfId="11904"/>
    <cellStyle name="연결된 셀 2 184" xfId="11905"/>
    <cellStyle name="연결된 셀 2 185" xfId="11906"/>
    <cellStyle name="연결된 셀 2 186" xfId="11907"/>
    <cellStyle name="연결된 셀 2 187" xfId="11908"/>
    <cellStyle name="연결된 셀 2 188" xfId="11909"/>
    <cellStyle name="연결된 셀 2 189" xfId="11910"/>
    <cellStyle name="연결된 셀 2 19" xfId="11911"/>
    <cellStyle name="연결된 셀 2 190" xfId="11912"/>
    <cellStyle name="연결된 셀 2 191" xfId="11913"/>
    <cellStyle name="연결된 셀 2 192" xfId="11914"/>
    <cellStyle name="연결된 셀 2 193" xfId="11915"/>
    <cellStyle name="연결된 셀 2 194" xfId="11916"/>
    <cellStyle name="연결된 셀 2 195" xfId="11917"/>
    <cellStyle name="연결된 셀 2 196" xfId="11918"/>
    <cellStyle name="연결된 셀 2 197" xfId="11919"/>
    <cellStyle name="연결된 셀 2 198" xfId="11920"/>
    <cellStyle name="연결된 셀 2 199" xfId="11921"/>
    <cellStyle name="연결된 셀 2 2" xfId="11922"/>
    <cellStyle name="연결된 셀 2 20" xfId="11923"/>
    <cellStyle name="연결된 셀 2 200" xfId="11924"/>
    <cellStyle name="연결된 셀 2 201" xfId="11925"/>
    <cellStyle name="연결된 셀 2 202" xfId="11926"/>
    <cellStyle name="연결된 셀 2 203" xfId="11927"/>
    <cellStyle name="연결된 셀 2 204" xfId="11928"/>
    <cellStyle name="연결된 셀 2 205" xfId="11929"/>
    <cellStyle name="연결된 셀 2 206" xfId="11930"/>
    <cellStyle name="연결된 셀 2 207" xfId="11931"/>
    <cellStyle name="연결된 셀 2 208" xfId="11932"/>
    <cellStyle name="연결된 셀 2 209" xfId="11933"/>
    <cellStyle name="연결된 셀 2 21" xfId="11934"/>
    <cellStyle name="연결된 셀 2 210" xfId="11935"/>
    <cellStyle name="연결된 셀 2 211" xfId="11936"/>
    <cellStyle name="연결된 셀 2 212" xfId="11937"/>
    <cellStyle name="연결된 셀 2 213" xfId="11938"/>
    <cellStyle name="연결된 셀 2 214" xfId="11939"/>
    <cellStyle name="연결된 셀 2 215" xfId="11940"/>
    <cellStyle name="연결된 셀 2 216" xfId="11941"/>
    <cellStyle name="연결된 셀 2 217" xfId="11942"/>
    <cellStyle name="연결된 셀 2 218" xfId="11943"/>
    <cellStyle name="연결된 셀 2 219" xfId="11944"/>
    <cellStyle name="연결된 셀 2 22" xfId="11945"/>
    <cellStyle name="연결된 셀 2 220" xfId="11946"/>
    <cellStyle name="연결된 셀 2 221" xfId="11947"/>
    <cellStyle name="연결된 셀 2 222" xfId="11948"/>
    <cellStyle name="연결된 셀 2 223" xfId="11949"/>
    <cellStyle name="연결된 셀 2 224" xfId="11950"/>
    <cellStyle name="연결된 셀 2 225" xfId="11951"/>
    <cellStyle name="연결된 셀 2 226" xfId="11952"/>
    <cellStyle name="연결된 셀 2 227" xfId="11953"/>
    <cellStyle name="연결된 셀 2 228" xfId="11954"/>
    <cellStyle name="연결된 셀 2 229" xfId="11955"/>
    <cellStyle name="연결된 셀 2 23" xfId="11956"/>
    <cellStyle name="연결된 셀 2 230" xfId="11957"/>
    <cellStyle name="연결된 셀 2 231" xfId="11958"/>
    <cellStyle name="연결된 셀 2 232" xfId="11959"/>
    <cellStyle name="연결된 셀 2 233" xfId="11960"/>
    <cellStyle name="연결된 셀 2 234" xfId="11961"/>
    <cellStyle name="연결된 셀 2 235" xfId="11962"/>
    <cellStyle name="연결된 셀 2 236" xfId="11963"/>
    <cellStyle name="연결된 셀 2 237" xfId="11964"/>
    <cellStyle name="연결된 셀 2 238" xfId="11965"/>
    <cellStyle name="연결된 셀 2 239" xfId="11966"/>
    <cellStyle name="연결된 셀 2 24" xfId="11967"/>
    <cellStyle name="연결된 셀 2 240" xfId="11968"/>
    <cellStyle name="연결된 셀 2 241" xfId="11969"/>
    <cellStyle name="연결된 셀 2 25" xfId="11970"/>
    <cellStyle name="연결된 셀 2 26" xfId="11971"/>
    <cellStyle name="연결된 셀 2 27" xfId="11972"/>
    <cellStyle name="연결된 셀 2 28" xfId="11973"/>
    <cellStyle name="연결된 셀 2 29" xfId="11974"/>
    <cellStyle name="연결된 셀 2 3" xfId="11975"/>
    <cellStyle name="연결된 셀 2 30" xfId="11976"/>
    <cellStyle name="연결된 셀 2 31" xfId="11977"/>
    <cellStyle name="연결된 셀 2 32" xfId="11978"/>
    <cellStyle name="연결된 셀 2 33" xfId="11979"/>
    <cellStyle name="연결된 셀 2 34" xfId="11980"/>
    <cellStyle name="연결된 셀 2 35" xfId="11981"/>
    <cellStyle name="연결된 셀 2 36" xfId="11982"/>
    <cellStyle name="연결된 셀 2 37" xfId="11983"/>
    <cellStyle name="연결된 셀 2 38" xfId="11984"/>
    <cellStyle name="연결된 셀 2 39" xfId="11985"/>
    <cellStyle name="연결된 셀 2 4" xfId="11986"/>
    <cellStyle name="연결된 셀 2 40" xfId="11987"/>
    <cellStyle name="연결된 셀 2 41" xfId="11988"/>
    <cellStyle name="연결된 셀 2 42" xfId="11989"/>
    <cellStyle name="연결된 셀 2 43" xfId="11990"/>
    <cellStyle name="연결된 셀 2 44" xfId="11991"/>
    <cellStyle name="연결된 셀 2 45" xfId="11992"/>
    <cellStyle name="연결된 셀 2 46" xfId="11993"/>
    <cellStyle name="연결된 셀 2 47" xfId="11994"/>
    <cellStyle name="연결된 셀 2 48" xfId="11995"/>
    <cellStyle name="연결된 셀 2 49" xfId="11996"/>
    <cellStyle name="연결된 셀 2 5" xfId="11997"/>
    <cellStyle name="연결된 셀 2 50" xfId="11998"/>
    <cellStyle name="연결된 셀 2 51" xfId="11999"/>
    <cellStyle name="연결된 셀 2 52" xfId="12000"/>
    <cellStyle name="연결된 셀 2 53" xfId="12001"/>
    <cellStyle name="연결된 셀 2 54" xfId="12002"/>
    <cellStyle name="연결된 셀 2 55" xfId="12003"/>
    <cellStyle name="연결된 셀 2 56" xfId="12004"/>
    <cellStyle name="연결된 셀 2 57" xfId="12005"/>
    <cellStyle name="연결된 셀 2 58" xfId="12006"/>
    <cellStyle name="연결된 셀 2 59" xfId="12007"/>
    <cellStyle name="연결된 셀 2 6" xfId="12008"/>
    <cellStyle name="연결된 셀 2 60" xfId="12009"/>
    <cellStyle name="연결된 셀 2 61" xfId="12010"/>
    <cellStyle name="연결된 셀 2 62" xfId="12011"/>
    <cellStyle name="연결된 셀 2 63" xfId="12012"/>
    <cellStyle name="연결된 셀 2 64" xfId="12013"/>
    <cellStyle name="연결된 셀 2 65" xfId="12014"/>
    <cellStyle name="연결된 셀 2 66" xfId="12015"/>
    <cellStyle name="연결된 셀 2 67" xfId="12016"/>
    <cellStyle name="연결된 셀 2 68" xfId="12017"/>
    <cellStyle name="연결된 셀 2 69" xfId="12018"/>
    <cellStyle name="연결된 셀 2 7" xfId="12019"/>
    <cellStyle name="연결된 셀 2 70" xfId="12020"/>
    <cellStyle name="연결된 셀 2 71" xfId="12021"/>
    <cellStyle name="연결된 셀 2 72" xfId="12022"/>
    <cellStyle name="연결된 셀 2 73" xfId="12023"/>
    <cellStyle name="연결된 셀 2 74" xfId="12024"/>
    <cellStyle name="연결된 셀 2 75" xfId="12025"/>
    <cellStyle name="연결된 셀 2 76" xfId="12026"/>
    <cellStyle name="연결된 셀 2 77" xfId="12027"/>
    <cellStyle name="연결된 셀 2 78" xfId="12028"/>
    <cellStyle name="연결된 셀 2 79" xfId="12029"/>
    <cellStyle name="연결된 셀 2 8" xfId="12030"/>
    <cellStyle name="연결된 셀 2 80" xfId="12031"/>
    <cellStyle name="연결된 셀 2 81" xfId="12032"/>
    <cellStyle name="연결된 셀 2 82" xfId="12033"/>
    <cellStyle name="연결된 셀 2 83" xfId="12034"/>
    <cellStyle name="연결된 셀 2 84" xfId="12035"/>
    <cellStyle name="연결된 셀 2 85" xfId="12036"/>
    <cellStyle name="연결된 셀 2 86" xfId="12037"/>
    <cellStyle name="연결된 셀 2 87" xfId="12038"/>
    <cellStyle name="연결된 셀 2 88" xfId="12039"/>
    <cellStyle name="연결된 셀 2 89" xfId="12040"/>
    <cellStyle name="연결된 셀 2 9" xfId="12041"/>
    <cellStyle name="연결된 셀 2 90" xfId="12042"/>
    <cellStyle name="연결된 셀 2 91" xfId="12043"/>
    <cellStyle name="연결된 셀 2 92" xfId="12044"/>
    <cellStyle name="연결된 셀 2 93" xfId="12045"/>
    <cellStyle name="연결된 셀 2 94" xfId="12046"/>
    <cellStyle name="연결된 셀 2 95" xfId="12047"/>
    <cellStyle name="연결된 셀 2 96" xfId="12048"/>
    <cellStyle name="연결된 셀 2 97" xfId="12049"/>
    <cellStyle name="연결된 셀 2 98" xfId="12050"/>
    <cellStyle name="연결된 셀 2 99" xfId="12051"/>
    <cellStyle name="연결된 셀 20" xfId="18195"/>
    <cellStyle name="연결된 셀 21" xfId="18196"/>
    <cellStyle name="연결된 셀 22" xfId="18197"/>
    <cellStyle name="연결된 셀 23" xfId="18198"/>
    <cellStyle name="연결된 셀 24" xfId="18199"/>
    <cellStyle name="연결된 셀 25" xfId="18200"/>
    <cellStyle name="연결된 셀 26" xfId="18201"/>
    <cellStyle name="연결된 셀 27" xfId="18202"/>
    <cellStyle name="연결된 셀 28" xfId="18203"/>
    <cellStyle name="연결된 셀 29" xfId="18204"/>
    <cellStyle name="연결된 셀 3" xfId="18205"/>
    <cellStyle name="연결된 셀 3 2" xfId="18206"/>
    <cellStyle name="연결된 셀 3 3" xfId="18207"/>
    <cellStyle name="연결된 셀 30" xfId="18208"/>
    <cellStyle name="연결된 셀 31" xfId="18209"/>
    <cellStyle name="연결된 셀 32" xfId="18210"/>
    <cellStyle name="연결된 셀 4" xfId="18211"/>
    <cellStyle name="연결된 셀 4 2" xfId="18212"/>
    <cellStyle name="연결된 셀 4 3" xfId="18213"/>
    <cellStyle name="연결된 셀 5" xfId="18214"/>
    <cellStyle name="연결된 셀 6" xfId="18215"/>
    <cellStyle name="연결된 셀 7" xfId="18216"/>
    <cellStyle name="연결된 셀 8" xfId="18217"/>
    <cellStyle name="연결된 셀 9" xfId="18218"/>
    <cellStyle name="요약 10" xfId="18219"/>
    <cellStyle name="요약 11" xfId="18220"/>
    <cellStyle name="요약 12" xfId="18221"/>
    <cellStyle name="요약 13" xfId="18222"/>
    <cellStyle name="요약 14" xfId="18223"/>
    <cellStyle name="요약 15" xfId="18224"/>
    <cellStyle name="요약 16" xfId="18225"/>
    <cellStyle name="요약 17" xfId="18226"/>
    <cellStyle name="요약 18" xfId="18227"/>
    <cellStyle name="요약 19" xfId="18228"/>
    <cellStyle name="요약 2" xfId="12052"/>
    <cellStyle name="요약 2 10" xfId="12053"/>
    <cellStyle name="요약 2 100" xfId="12054"/>
    <cellStyle name="요약 2 101" xfId="12055"/>
    <cellStyle name="요약 2 102" xfId="12056"/>
    <cellStyle name="요약 2 103" xfId="12057"/>
    <cellStyle name="요약 2 104" xfId="12058"/>
    <cellStyle name="요약 2 105" xfId="12059"/>
    <cellStyle name="요약 2 106" xfId="12060"/>
    <cellStyle name="요약 2 107" xfId="12061"/>
    <cellStyle name="요약 2 108" xfId="12062"/>
    <cellStyle name="요약 2 109" xfId="12063"/>
    <cellStyle name="요약 2 11" xfId="12064"/>
    <cellStyle name="요약 2 110" xfId="12065"/>
    <cellStyle name="요약 2 111" xfId="12066"/>
    <cellStyle name="요약 2 112" xfId="12067"/>
    <cellStyle name="요약 2 113" xfId="12068"/>
    <cellStyle name="요약 2 114" xfId="12069"/>
    <cellStyle name="요약 2 115" xfId="12070"/>
    <cellStyle name="요약 2 116" xfId="12071"/>
    <cellStyle name="요약 2 117" xfId="12072"/>
    <cellStyle name="요약 2 118" xfId="12073"/>
    <cellStyle name="요약 2 119" xfId="12074"/>
    <cellStyle name="요약 2 12" xfId="12075"/>
    <cellStyle name="요약 2 120" xfId="12076"/>
    <cellStyle name="요약 2 121" xfId="12077"/>
    <cellStyle name="요약 2 122" xfId="12078"/>
    <cellStyle name="요약 2 123" xfId="12079"/>
    <cellStyle name="요약 2 124" xfId="12080"/>
    <cellStyle name="요약 2 125" xfId="12081"/>
    <cellStyle name="요약 2 126" xfId="12082"/>
    <cellStyle name="요약 2 127" xfId="12083"/>
    <cellStyle name="요약 2 128" xfId="12084"/>
    <cellStyle name="요약 2 129" xfId="12085"/>
    <cellStyle name="요약 2 13" xfId="12086"/>
    <cellStyle name="요약 2 130" xfId="12087"/>
    <cellStyle name="요약 2 131" xfId="12088"/>
    <cellStyle name="요약 2 132" xfId="12089"/>
    <cellStyle name="요약 2 133" xfId="12090"/>
    <cellStyle name="요약 2 134" xfId="12091"/>
    <cellStyle name="요약 2 135" xfId="12092"/>
    <cellStyle name="요약 2 136" xfId="12093"/>
    <cellStyle name="요약 2 137" xfId="12094"/>
    <cellStyle name="요약 2 138" xfId="12095"/>
    <cellStyle name="요약 2 139" xfId="12096"/>
    <cellStyle name="요약 2 14" xfId="12097"/>
    <cellStyle name="요약 2 140" xfId="12098"/>
    <cellStyle name="요약 2 141" xfId="12099"/>
    <cellStyle name="요약 2 142" xfId="12100"/>
    <cellStyle name="요약 2 143" xfId="12101"/>
    <cellStyle name="요약 2 144" xfId="12102"/>
    <cellStyle name="요약 2 145" xfId="12103"/>
    <cellStyle name="요약 2 146" xfId="12104"/>
    <cellStyle name="요약 2 147" xfId="12105"/>
    <cellStyle name="요약 2 148" xfId="12106"/>
    <cellStyle name="요약 2 149" xfId="12107"/>
    <cellStyle name="요약 2 15" xfId="12108"/>
    <cellStyle name="요약 2 150" xfId="12109"/>
    <cellStyle name="요약 2 151" xfId="12110"/>
    <cellStyle name="요약 2 152" xfId="12111"/>
    <cellStyle name="요약 2 153" xfId="12112"/>
    <cellStyle name="요약 2 154" xfId="12113"/>
    <cellStyle name="요약 2 155" xfId="12114"/>
    <cellStyle name="요약 2 156" xfId="12115"/>
    <cellStyle name="요약 2 157" xfId="12116"/>
    <cellStyle name="요약 2 158" xfId="12117"/>
    <cellStyle name="요약 2 159" xfId="12118"/>
    <cellStyle name="요약 2 16" xfId="12119"/>
    <cellStyle name="요약 2 160" xfId="12120"/>
    <cellStyle name="요약 2 161" xfId="12121"/>
    <cellStyle name="요약 2 162" xfId="12122"/>
    <cellStyle name="요약 2 163" xfId="12123"/>
    <cellStyle name="요약 2 164" xfId="12124"/>
    <cellStyle name="요약 2 165" xfId="12125"/>
    <cellStyle name="요약 2 166" xfId="12126"/>
    <cellStyle name="요약 2 167" xfId="12127"/>
    <cellStyle name="요약 2 168" xfId="12128"/>
    <cellStyle name="요약 2 169" xfId="12129"/>
    <cellStyle name="요약 2 17" xfId="12130"/>
    <cellStyle name="요약 2 170" xfId="12131"/>
    <cellStyle name="요약 2 171" xfId="12132"/>
    <cellStyle name="요약 2 172" xfId="12133"/>
    <cellStyle name="요약 2 173" xfId="12134"/>
    <cellStyle name="요약 2 174" xfId="12135"/>
    <cellStyle name="요약 2 175" xfId="12136"/>
    <cellStyle name="요약 2 176" xfId="12137"/>
    <cellStyle name="요약 2 177" xfId="12138"/>
    <cellStyle name="요약 2 178" xfId="12139"/>
    <cellStyle name="요약 2 179" xfId="12140"/>
    <cellStyle name="요약 2 18" xfId="12141"/>
    <cellStyle name="요약 2 180" xfId="12142"/>
    <cellStyle name="요약 2 181" xfId="12143"/>
    <cellStyle name="요약 2 182" xfId="12144"/>
    <cellStyle name="요약 2 183" xfId="12145"/>
    <cellStyle name="요약 2 184" xfId="12146"/>
    <cellStyle name="요약 2 185" xfId="12147"/>
    <cellStyle name="요약 2 186" xfId="12148"/>
    <cellStyle name="요약 2 187" xfId="12149"/>
    <cellStyle name="요약 2 188" xfId="12150"/>
    <cellStyle name="요약 2 189" xfId="12151"/>
    <cellStyle name="요약 2 19" xfId="12152"/>
    <cellStyle name="요약 2 190" xfId="12153"/>
    <cellStyle name="요약 2 191" xfId="12154"/>
    <cellStyle name="요약 2 192" xfId="12155"/>
    <cellStyle name="요약 2 193" xfId="12156"/>
    <cellStyle name="요약 2 194" xfId="12157"/>
    <cellStyle name="요약 2 195" xfId="12158"/>
    <cellStyle name="요약 2 196" xfId="12159"/>
    <cellStyle name="요약 2 197" xfId="12160"/>
    <cellStyle name="요약 2 198" xfId="12161"/>
    <cellStyle name="요약 2 199" xfId="12162"/>
    <cellStyle name="요약 2 2" xfId="12163"/>
    <cellStyle name="요약 2 2 2" xfId="18229"/>
    <cellStyle name="요약 2 2 2 2" xfId="18230"/>
    <cellStyle name="요약 2 2 2 3" xfId="18231"/>
    <cellStyle name="요약 2 2 2 4" xfId="18232"/>
    <cellStyle name="요약 2 2 2 5" xfId="18233"/>
    <cellStyle name="요약 2 2 3" xfId="18234"/>
    <cellStyle name="요약 2 2 3 2" xfId="18235"/>
    <cellStyle name="요약 2 2 3 3" xfId="18236"/>
    <cellStyle name="요약 2 2 3 4" xfId="18237"/>
    <cellStyle name="요약 2 2 3 5" xfId="18238"/>
    <cellStyle name="요약 2 2 4" xfId="18239"/>
    <cellStyle name="요약 2 2 4 2" xfId="18240"/>
    <cellStyle name="요약 2 2 4 3" xfId="18241"/>
    <cellStyle name="요약 2 2 4 4" xfId="18242"/>
    <cellStyle name="요약 2 2 4 5" xfId="18243"/>
    <cellStyle name="요약 2 2 5" xfId="18244"/>
    <cellStyle name="요약 2 2 6" xfId="18245"/>
    <cellStyle name="요약 2 2 7" xfId="18246"/>
    <cellStyle name="요약 2 2 8" xfId="18247"/>
    <cellStyle name="요약 2 20" xfId="12164"/>
    <cellStyle name="요약 2 200" xfId="12165"/>
    <cellStyle name="요약 2 201" xfId="12166"/>
    <cellStyle name="요약 2 202" xfId="12167"/>
    <cellStyle name="요약 2 203" xfId="12168"/>
    <cellStyle name="요약 2 204" xfId="12169"/>
    <cellStyle name="요약 2 205" xfId="12170"/>
    <cellStyle name="요약 2 206" xfId="12171"/>
    <cellStyle name="요약 2 207" xfId="12172"/>
    <cellStyle name="요약 2 208" xfId="12173"/>
    <cellStyle name="요약 2 209" xfId="12174"/>
    <cellStyle name="요약 2 21" xfId="12175"/>
    <cellStyle name="요약 2 210" xfId="12176"/>
    <cellStyle name="요약 2 211" xfId="12177"/>
    <cellStyle name="요약 2 212" xfId="12178"/>
    <cellStyle name="요약 2 213" xfId="12179"/>
    <cellStyle name="요약 2 214" xfId="12180"/>
    <cellStyle name="요약 2 215" xfId="12181"/>
    <cellStyle name="요약 2 216" xfId="12182"/>
    <cellStyle name="요약 2 217" xfId="12183"/>
    <cellStyle name="요약 2 218" xfId="12184"/>
    <cellStyle name="요약 2 219" xfId="12185"/>
    <cellStyle name="요약 2 22" xfId="12186"/>
    <cellStyle name="요약 2 220" xfId="12187"/>
    <cellStyle name="요약 2 221" xfId="12188"/>
    <cellStyle name="요약 2 222" xfId="12189"/>
    <cellStyle name="요약 2 223" xfId="12190"/>
    <cellStyle name="요약 2 224" xfId="12191"/>
    <cellStyle name="요약 2 225" xfId="12192"/>
    <cellStyle name="요약 2 226" xfId="12193"/>
    <cellStyle name="요약 2 227" xfId="12194"/>
    <cellStyle name="요약 2 228" xfId="12195"/>
    <cellStyle name="요약 2 229" xfId="12196"/>
    <cellStyle name="요약 2 23" xfId="12197"/>
    <cellStyle name="요약 2 230" xfId="12198"/>
    <cellStyle name="요약 2 231" xfId="12199"/>
    <cellStyle name="요약 2 232" xfId="12200"/>
    <cellStyle name="요약 2 233" xfId="12201"/>
    <cellStyle name="요약 2 234" xfId="12202"/>
    <cellStyle name="요약 2 235" xfId="12203"/>
    <cellStyle name="요약 2 236" xfId="12204"/>
    <cellStyle name="요약 2 237" xfId="12205"/>
    <cellStyle name="요약 2 238" xfId="12206"/>
    <cellStyle name="요약 2 239" xfId="12207"/>
    <cellStyle name="요약 2 24" xfId="12208"/>
    <cellStyle name="요약 2 240" xfId="12209"/>
    <cellStyle name="요약 2 241" xfId="12210"/>
    <cellStyle name="요약 2 25" xfId="12211"/>
    <cellStyle name="요약 2 26" xfId="12212"/>
    <cellStyle name="요약 2 27" xfId="12213"/>
    <cellStyle name="요약 2 28" xfId="12214"/>
    <cellStyle name="요약 2 29" xfId="12215"/>
    <cellStyle name="요약 2 3" xfId="12216"/>
    <cellStyle name="요약 2 30" xfId="12217"/>
    <cellStyle name="요약 2 31" xfId="12218"/>
    <cellStyle name="요약 2 32" xfId="12219"/>
    <cellStyle name="요약 2 33" xfId="12220"/>
    <cellStyle name="요약 2 34" xfId="12221"/>
    <cellStyle name="요약 2 35" xfId="12222"/>
    <cellStyle name="요약 2 36" xfId="12223"/>
    <cellStyle name="요약 2 37" xfId="12224"/>
    <cellStyle name="요약 2 38" xfId="12225"/>
    <cellStyle name="요약 2 39" xfId="12226"/>
    <cellStyle name="요약 2 4" xfId="12227"/>
    <cellStyle name="요약 2 40" xfId="12228"/>
    <cellStyle name="요약 2 41" xfId="12229"/>
    <cellStyle name="요약 2 42" xfId="12230"/>
    <cellStyle name="요약 2 43" xfId="12231"/>
    <cellStyle name="요약 2 44" xfId="12232"/>
    <cellStyle name="요약 2 45" xfId="12233"/>
    <cellStyle name="요약 2 46" xfId="12234"/>
    <cellStyle name="요약 2 47" xfId="12235"/>
    <cellStyle name="요약 2 48" xfId="12236"/>
    <cellStyle name="요약 2 49" xfId="12237"/>
    <cellStyle name="요약 2 5" xfId="12238"/>
    <cellStyle name="요약 2 50" xfId="12239"/>
    <cellStyle name="요약 2 51" xfId="12240"/>
    <cellStyle name="요약 2 52" xfId="12241"/>
    <cellStyle name="요약 2 53" xfId="12242"/>
    <cellStyle name="요약 2 54" xfId="12243"/>
    <cellStyle name="요약 2 55" xfId="12244"/>
    <cellStyle name="요약 2 56" xfId="12245"/>
    <cellStyle name="요약 2 57" xfId="12246"/>
    <cellStyle name="요약 2 58" xfId="12247"/>
    <cellStyle name="요약 2 59" xfId="12248"/>
    <cellStyle name="요약 2 6" xfId="12249"/>
    <cellStyle name="요약 2 60" xfId="12250"/>
    <cellStyle name="요약 2 61" xfId="12251"/>
    <cellStyle name="요약 2 62" xfId="12252"/>
    <cellStyle name="요약 2 63" xfId="12253"/>
    <cellStyle name="요약 2 64" xfId="12254"/>
    <cellStyle name="요약 2 65" xfId="12255"/>
    <cellStyle name="요약 2 66" xfId="12256"/>
    <cellStyle name="요약 2 67" xfId="12257"/>
    <cellStyle name="요약 2 68" xfId="12258"/>
    <cellStyle name="요약 2 69" xfId="12259"/>
    <cellStyle name="요약 2 7" xfId="12260"/>
    <cellStyle name="요약 2 70" xfId="12261"/>
    <cellStyle name="요약 2 71" xfId="12262"/>
    <cellStyle name="요약 2 72" xfId="12263"/>
    <cellStyle name="요약 2 73" xfId="12264"/>
    <cellStyle name="요약 2 74" xfId="12265"/>
    <cellStyle name="요약 2 75" xfId="12266"/>
    <cellStyle name="요약 2 76" xfId="12267"/>
    <cellStyle name="요약 2 77" xfId="12268"/>
    <cellStyle name="요약 2 78" xfId="12269"/>
    <cellStyle name="요약 2 79" xfId="12270"/>
    <cellStyle name="요약 2 8" xfId="12271"/>
    <cellStyle name="요약 2 80" xfId="12272"/>
    <cellStyle name="요약 2 81" xfId="12273"/>
    <cellStyle name="요약 2 82" xfId="12274"/>
    <cellStyle name="요약 2 83" xfId="12275"/>
    <cellStyle name="요약 2 84" xfId="12276"/>
    <cellStyle name="요약 2 85" xfId="12277"/>
    <cellStyle name="요약 2 86" xfId="12278"/>
    <cellStyle name="요약 2 87" xfId="12279"/>
    <cellStyle name="요약 2 88" xfId="12280"/>
    <cellStyle name="요약 2 89" xfId="12281"/>
    <cellStyle name="요약 2 9" xfId="12282"/>
    <cellStyle name="요약 2 90" xfId="12283"/>
    <cellStyle name="요약 2 91" xfId="12284"/>
    <cellStyle name="요약 2 92" xfId="12285"/>
    <cellStyle name="요약 2 93" xfId="12286"/>
    <cellStyle name="요약 2 94" xfId="12287"/>
    <cellStyle name="요약 2 95" xfId="12288"/>
    <cellStyle name="요약 2 96" xfId="12289"/>
    <cellStyle name="요약 2 97" xfId="12290"/>
    <cellStyle name="요약 2 98" xfId="12291"/>
    <cellStyle name="요약 2 99" xfId="12292"/>
    <cellStyle name="요약 20" xfId="18248"/>
    <cellStyle name="요약 21" xfId="18249"/>
    <cellStyle name="요약 22" xfId="18250"/>
    <cellStyle name="요약 23" xfId="18251"/>
    <cellStyle name="요약 24" xfId="18252"/>
    <cellStyle name="요약 25" xfId="18253"/>
    <cellStyle name="요약 26" xfId="18254"/>
    <cellStyle name="요약 27" xfId="18255"/>
    <cellStyle name="요약 28" xfId="18256"/>
    <cellStyle name="요약 29" xfId="18257"/>
    <cellStyle name="요약 3" xfId="18258"/>
    <cellStyle name="요약 3 2" xfId="18259"/>
    <cellStyle name="요약 3 2 2" xfId="18260"/>
    <cellStyle name="요약 3 2 2 2" xfId="18261"/>
    <cellStyle name="요약 3 2 2 3" xfId="18262"/>
    <cellStyle name="요약 3 2 2 4" xfId="18263"/>
    <cellStyle name="요약 3 2 2 5" xfId="18264"/>
    <cellStyle name="요약 3 2 3" xfId="18265"/>
    <cellStyle name="요약 3 2 3 2" xfId="18266"/>
    <cellStyle name="요약 3 2 3 3" xfId="18267"/>
    <cellStyle name="요약 3 2 3 4" xfId="18268"/>
    <cellStyle name="요약 3 2 3 5" xfId="18269"/>
    <cellStyle name="요약 3 2 4" xfId="18270"/>
    <cellStyle name="요약 3 2 4 2" xfId="18271"/>
    <cellStyle name="요약 3 2 4 3" xfId="18272"/>
    <cellStyle name="요약 3 2 4 4" xfId="18273"/>
    <cellStyle name="요약 3 2 4 5" xfId="18274"/>
    <cellStyle name="요약 3 2 5" xfId="18275"/>
    <cellStyle name="요약 3 2 6" xfId="18276"/>
    <cellStyle name="요약 3 2 7" xfId="18277"/>
    <cellStyle name="요약 3 2 8" xfId="18278"/>
    <cellStyle name="요약 3 2 9" xfId="18279"/>
    <cellStyle name="요약 3 3" xfId="18280"/>
    <cellStyle name="요약 3 4" xfId="18281"/>
    <cellStyle name="요약 3 5" xfId="18282"/>
    <cellStyle name="요약 30" xfId="18283"/>
    <cellStyle name="요약 31" xfId="18284"/>
    <cellStyle name="요약 32" xfId="18285"/>
    <cellStyle name="요약 4" xfId="18286"/>
    <cellStyle name="요약 4 2" xfId="18287"/>
    <cellStyle name="요약 4 2 2" xfId="18288"/>
    <cellStyle name="요약 4 2 2 2" xfId="18289"/>
    <cellStyle name="요약 4 2 2 3" xfId="18290"/>
    <cellStyle name="요약 4 2 2 4" xfId="18291"/>
    <cellStyle name="요약 4 2 2 5" xfId="18292"/>
    <cellStyle name="요약 4 2 3" xfId="18293"/>
    <cellStyle name="요약 4 2 3 2" xfId="18294"/>
    <cellStyle name="요약 4 2 3 3" xfId="18295"/>
    <cellStyle name="요약 4 2 3 4" xfId="18296"/>
    <cellStyle name="요약 4 2 3 5" xfId="18297"/>
    <cellStyle name="요약 4 2 4" xfId="18298"/>
    <cellStyle name="요약 4 2 4 2" xfId="18299"/>
    <cellStyle name="요약 4 2 4 3" xfId="18300"/>
    <cellStyle name="요약 4 2 4 4" xfId="18301"/>
    <cellStyle name="요약 4 2 4 5" xfId="18302"/>
    <cellStyle name="요약 4 2 5" xfId="18303"/>
    <cellStyle name="요약 4 2 6" xfId="18304"/>
    <cellStyle name="요약 4 2 7" xfId="18305"/>
    <cellStyle name="요약 4 2 8" xfId="18306"/>
    <cellStyle name="요약 4 3" xfId="18307"/>
    <cellStyle name="요약 4 4" xfId="18308"/>
    <cellStyle name="요약 5" xfId="18309"/>
    <cellStyle name="요약 6" xfId="18310"/>
    <cellStyle name="요약 7" xfId="18311"/>
    <cellStyle name="요약 8" xfId="18312"/>
    <cellStyle name="요약 9" xfId="18313"/>
    <cellStyle name="一般_RoFo 0104 Annex DU 2~6 (010328)" xfId="12293"/>
    <cellStyle name="입력 10" xfId="18314"/>
    <cellStyle name="입력 11" xfId="18315"/>
    <cellStyle name="입력 12" xfId="18316"/>
    <cellStyle name="입력 13" xfId="18317"/>
    <cellStyle name="입력 14" xfId="18318"/>
    <cellStyle name="입력 15" xfId="18319"/>
    <cellStyle name="입력 16" xfId="18320"/>
    <cellStyle name="입력 17" xfId="18321"/>
    <cellStyle name="입력 18" xfId="18322"/>
    <cellStyle name="입력 19" xfId="18323"/>
    <cellStyle name="입력 2" xfId="12294"/>
    <cellStyle name="입력 2 10" xfId="12295"/>
    <cellStyle name="입력 2 100" xfId="12296"/>
    <cellStyle name="입력 2 101" xfId="12297"/>
    <cellStyle name="입력 2 102" xfId="12298"/>
    <cellStyle name="입력 2 103" xfId="12299"/>
    <cellStyle name="입력 2 104" xfId="12300"/>
    <cellStyle name="입력 2 105" xfId="12301"/>
    <cellStyle name="입력 2 106" xfId="12302"/>
    <cellStyle name="입력 2 107" xfId="12303"/>
    <cellStyle name="입력 2 108" xfId="12304"/>
    <cellStyle name="입력 2 109" xfId="12305"/>
    <cellStyle name="입력 2 11" xfId="12306"/>
    <cellStyle name="입력 2 110" xfId="12307"/>
    <cellStyle name="입력 2 111" xfId="12308"/>
    <cellStyle name="입력 2 112" xfId="12309"/>
    <cellStyle name="입력 2 113" xfId="12310"/>
    <cellStyle name="입력 2 114" xfId="12311"/>
    <cellStyle name="입력 2 115" xfId="12312"/>
    <cellStyle name="입력 2 116" xfId="12313"/>
    <cellStyle name="입력 2 117" xfId="12314"/>
    <cellStyle name="입력 2 118" xfId="12315"/>
    <cellStyle name="입력 2 119" xfId="12316"/>
    <cellStyle name="입력 2 12" xfId="12317"/>
    <cellStyle name="입력 2 120" xfId="12318"/>
    <cellStyle name="입력 2 121" xfId="12319"/>
    <cellStyle name="입력 2 122" xfId="12320"/>
    <cellStyle name="입력 2 123" xfId="12321"/>
    <cellStyle name="입력 2 124" xfId="12322"/>
    <cellStyle name="입력 2 125" xfId="12323"/>
    <cellStyle name="입력 2 126" xfId="12324"/>
    <cellStyle name="입력 2 127" xfId="12325"/>
    <cellStyle name="입력 2 128" xfId="12326"/>
    <cellStyle name="입력 2 129" xfId="12327"/>
    <cellStyle name="입력 2 13" xfId="12328"/>
    <cellStyle name="입력 2 130" xfId="12329"/>
    <cellStyle name="입력 2 131" xfId="12330"/>
    <cellStyle name="입력 2 132" xfId="12331"/>
    <cellStyle name="입력 2 133" xfId="12332"/>
    <cellStyle name="입력 2 134" xfId="12333"/>
    <cellStyle name="입력 2 135" xfId="12334"/>
    <cellStyle name="입력 2 136" xfId="12335"/>
    <cellStyle name="입력 2 137" xfId="12336"/>
    <cellStyle name="입력 2 138" xfId="12337"/>
    <cellStyle name="입력 2 139" xfId="12338"/>
    <cellStyle name="입력 2 14" xfId="12339"/>
    <cellStyle name="입력 2 140" xfId="12340"/>
    <cellStyle name="입력 2 141" xfId="12341"/>
    <cellStyle name="입력 2 142" xfId="12342"/>
    <cellStyle name="입력 2 143" xfId="12343"/>
    <cellStyle name="입력 2 144" xfId="12344"/>
    <cellStyle name="입력 2 145" xfId="12345"/>
    <cellStyle name="입력 2 146" xfId="12346"/>
    <cellStyle name="입력 2 147" xfId="12347"/>
    <cellStyle name="입력 2 148" xfId="12348"/>
    <cellStyle name="입력 2 149" xfId="12349"/>
    <cellStyle name="입력 2 15" xfId="12350"/>
    <cellStyle name="입력 2 150" xfId="12351"/>
    <cellStyle name="입력 2 151" xfId="12352"/>
    <cellStyle name="입력 2 152" xfId="12353"/>
    <cellStyle name="입력 2 153" xfId="12354"/>
    <cellStyle name="입력 2 154" xfId="12355"/>
    <cellStyle name="입력 2 155" xfId="12356"/>
    <cellStyle name="입력 2 156" xfId="12357"/>
    <cellStyle name="입력 2 157" xfId="12358"/>
    <cellStyle name="입력 2 158" xfId="12359"/>
    <cellStyle name="입력 2 159" xfId="12360"/>
    <cellStyle name="입력 2 16" xfId="12361"/>
    <cellStyle name="입력 2 160" xfId="12362"/>
    <cellStyle name="입력 2 161" xfId="12363"/>
    <cellStyle name="입력 2 162" xfId="12364"/>
    <cellStyle name="입력 2 163" xfId="12365"/>
    <cellStyle name="입력 2 164" xfId="12366"/>
    <cellStyle name="입력 2 165" xfId="12367"/>
    <cellStyle name="입력 2 166" xfId="12368"/>
    <cellStyle name="입력 2 167" xfId="12369"/>
    <cellStyle name="입력 2 168" xfId="12370"/>
    <cellStyle name="입력 2 169" xfId="12371"/>
    <cellStyle name="입력 2 17" xfId="12372"/>
    <cellStyle name="입력 2 170" xfId="12373"/>
    <cellStyle name="입력 2 171" xfId="12374"/>
    <cellStyle name="입력 2 172" xfId="12375"/>
    <cellStyle name="입력 2 173" xfId="12376"/>
    <cellStyle name="입력 2 174" xfId="12377"/>
    <cellStyle name="입력 2 175" xfId="12378"/>
    <cellStyle name="입력 2 176" xfId="12379"/>
    <cellStyle name="입력 2 177" xfId="12380"/>
    <cellStyle name="입력 2 178" xfId="12381"/>
    <cellStyle name="입력 2 179" xfId="12382"/>
    <cellStyle name="입력 2 18" xfId="12383"/>
    <cellStyle name="입력 2 180" xfId="12384"/>
    <cellStyle name="입력 2 181" xfId="12385"/>
    <cellStyle name="입력 2 182" xfId="12386"/>
    <cellStyle name="입력 2 183" xfId="12387"/>
    <cellStyle name="입력 2 184" xfId="12388"/>
    <cellStyle name="입력 2 185" xfId="12389"/>
    <cellStyle name="입력 2 186" xfId="12390"/>
    <cellStyle name="입력 2 187" xfId="12391"/>
    <cellStyle name="입력 2 188" xfId="12392"/>
    <cellStyle name="입력 2 189" xfId="12393"/>
    <cellStyle name="입력 2 19" xfId="12394"/>
    <cellStyle name="입력 2 190" xfId="12395"/>
    <cellStyle name="입력 2 191" xfId="12396"/>
    <cellStyle name="입력 2 192" xfId="12397"/>
    <cellStyle name="입력 2 193" xfId="12398"/>
    <cellStyle name="입력 2 194" xfId="12399"/>
    <cellStyle name="입력 2 195" xfId="12400"/>
    <cellStyle name="입력 2 196" xfId="12401"/>
    <cellStyle name="입력 2 197" xfId="12402"/>
    <cellStyle name="입력 2 198" xfId="12403"/>
    <cellStyle name="입력 2 199" xfId="12404"/>
    <cellStyle name="입력 2 2" xfId="12405"/>
    <cellStyle name="입력 2 2 2" xfId="18324"/>
    <cellStyle name="입력 2 2 2 2" xfId="18325"/>
    <cellStyle name="입력 2 2 2 3" xfId="18326"/>
    <cellStyle name="입력 2 2 2 4" xfId="18327"/>
    <cellStyle name="입력 2 2 2 5" xfId="18328"/>
    <cellStyle name="입력 2 2 2 6" xfId="18329"/>
    <cellStyle name="입력 2 2 3" xfId="18330"/>
    <cellStyle name="입력 2 2 3 2" xfId="18331"/>
    <cellStyle name="입력 2 2 3 3" xfId="18332"/>
    <cellStyle name="입력 2 2 3 4" xfId="18333"/>
    <cellStyle name="입력 2 2 3 5" xfId="18334"/>
    <cellStyle name="입력 2 2 3 6" xfId="18335"/>
    <cellStyle name="입력 2 2 4" xfId="18336"/>
    <cellStyle name="입력 2 2 4 2" xfId="18337"/>
    <cellStyle name="입력 2 2 4 3" xfId="18338"/>
    <cellStyle name="입력 2 2 4 4" xfId="18339"/>
    <cellStyle name="입력 2 2 4 5" xfId="18340"/>
    <cellStyle name="입력 2 2 4 6" xfId="18341"/>
    <cellStyle name="입력 2 2 5" xfId="18342"/>
    <cellStyle name="입력 2 2 6" xfId="18343"/>
    <cellStyle name="입력 2 2 7" xfId="18344"/>
    <cellStyle name="입력 2 2 8" xfId="18345"/>
    <cellStyle name="입력 2 2 9" xfId="18346"/>
    <cellStyle name="입력 2 20" xfId="12406"/>
    <cellStyle name="입력 2 200" xfId="12407"/>
    <cellStyle name="입력 2 201" xfId="12408"/>
    <cellStyle name="입력 2 202" xfId="12409"/>
    <cellStyle name="입력 2 203" xfId="12410"/>
    <cellStyle name="입력 2 204" xfId="12411"/>
    <cellStyle name="입력 2 205" xfId="12412"/>
    <cellStyle name="입력 2 206" xfId="12413"/>
    <cellStyle name="입력 2 207" xfId="12414"/>
    <cellStyle name="입력 2 208" xfId="12415"/>
    <cellStyle name="입력 2 209" xfId="12416"/>
    <cellStyle name="입력 2 21" xfId="12417"/>
    <cellStyle name="입력 2 210" xfId="12418"/>
    <cellStyle name="입력 2 211" xfId="12419"/>
    <cellStyle name="입력 2 212" xfId="12420"/>
    <cellStyle name="입력 2 213" xfId="12421"/>
    <cellStyle name="입력 2 214" xfId="12422"/>
    <cellStyle name="입력 2 215" xfId="12423"/>
    <cellStyle name="입력 2 216" xfId="12424"/>
    <cellStyle name="입력 2 217" xfId="12425"/>
    <cellStyle name="입력 2 218" xfId="12426"/>
    <cellStyle name="입력 2 219" xfId="12427"/>
    <cellStyle name="입력 2 22" xfId="12428"/>
    <cellStyle name="입력 2 220" xfId="12429"/>
    <cellStyle name="입력 2 221" xfId="12430"/>
    <cellStyle name="입력 2 222" xfId="12431"/>
    <cellStyle name="입력 2 223" xfId="12432"/>
    <cellStyle name="입력 2 224" xfId="12433"/>
    <cellStyle name="입력 2 225" xfId="12434"/>
    <cellStyle name="입력 2 226" xfId="12435"/>
    <cellStyle name="입력 2 227" xfId="12436"/>
    <cellStyle name="입력 2 228" xfId="12437"/>
    <cellStyle name="입력 2 229" xfId="12438"/>
    <cellStyle name="입력 2 23" xfId="12439"/>
    <cellStyle name="입력 2 230" xfId="12440"/>
    <cellStyle name="입력 2 231" xfId="12441"/>
    <cellStyle name="입력 2 232" xfId="12442"/>
    <cellStyle name="입력 2 233" xfId="12443"/>
    <cellStyle name="입력 2 234" xfId="12444"/>
    <cellStyle name="입력 2 235" xfId="12445"/>
    <cellStyle name="입력 2 236" xfId="12446"/>
    <cellStyle name="입력 2 237" xfId="12447"/>
    <cellStyle name="입력 2 238" xfId="12448"/>
    <cellStyle name="입력 2 239" xfId="12449"/>
    <cellStyle name="입력 2 24" xfId="12450"/>
    <cellStyle name="입력 2 240" xfId="12451"/>
    <cellStyle name="입력 2 241" xfId="12452"/>
    <cellStyle name="입력 2 25" xfId="12453"/>
    <cellStyle name="입력 2 26" xfId="12454"/>
    <cellStyle name="입력 2 27" xfId="12455"/>
    <cellStyle name="입력 2 28" xfId="12456"/>
    <cellStyle name="입력 2 29" xfId="12457"/>
    <cellStyle name="입력 2 3" xfId="12458"/>
    <cellStyle name="입력 2 3 2" xfId="18347"/>
    <cellStyle name="입력 2 3 3" xfId="18348"/>
    <cellStyle name="입력 2 30" xfId="12459"/>
    <cellStyle name="입력 2 31" xfId="12460"/>
    <cellStyle name="입력 2 32" xfId="12461"/>
    <cellStyle name="입력 2 33" xfId="12462"/>
    <cellStyle name="입력 2 34" xfId="12463"/>
    <cellStyle name="입력 2 35" xfId="12464"/>
    <cellStyle name="입력 2 36" xfId="12465"/>
    <cellStyle name="입력 2 37" xfId="12466"/>
    <cellStyle name="입력 2 38" xfId="12467"/>
    <cellStyle name="입력 2 39" xfId="12468"/>
    <cellStyle name="입력 2 4" xfId="12469"/>
    <cellStyle name="입력 2 40" xfId="12470"/>
    <cellStyle name="입력 2 41" xfId="12471"/>
    <cellStyle name="입력 2 42" xfId="12472"/>
    <cellStyle name="입력 2 43" xfId="12473"/>
    <cellStyle name="입력 2 44" xfId="12474"/>
    <cellStyle name="입력 2 45" xfId="12475"/>
    <cellStyle name="입력 2 46" xfId="12476"/>
    <cellStyle name="입력 2 47" xfId="12477"/>
    <cellStyle name="입력 2 48" xfId="12478"/>
    <cellStyle name="입력 2 49" xfId="12479"/>
    <cellStyle name="입력 2 5" xfId="12480"/>
    <cellStyle name="입력 2 50" xfId="12481"/>
    <cellStyle name="입력 2 51" xfId="12482"/>
    <cellStyle name="입력 2 52" xfId="12483"/>
    <cellStyle name="입력 2 53" xfId="12484"/>
    <cellStyle name="입력 2 54" xfId="12485"/>
    <cellStyle name="입력 2 55" xfId="12486"/>
    <cellStyle name="입력 2 56" xfId="12487"/>
    <cellStyle name="입력 2 57" xfId="12488"/>
    <cellStyle name="입력 2 58" xfId="12489"/>
    <cellStyle name="입력 2 59" xfId="12490"/>
    <cellStyle name="입력 2 6" xfId="12491"/>
    <cellStyle name="입력 2 60" xfId="12492"/>
    <cellStyle name="입력 2 61" xfId="12493"/>
    <cellStyle name="입력 2 62" xfId="12494"/>
    <cellStyle name="입력 2 63" xfId="12495"/>
    <cellStyle name="입력 2 64" xfId="12496"/>
    <cellStyle name="입력 2 65" xfId="12497"/>
    <cellStyle name="입력 2 66" xfId="12498"/>
    <cellStyle name="입력 2 67" xfId="12499"/>
    <cellStyle name="입력 2 68" xfId="12500"/>
    <cellStyle name="입력 2 69" xfId="12501"/>
    <cellStyle name="입력 2 7" xfId="12502"/>
    <cellStyle name="입력 2 70" xfId="12503"/>
    <cellStyle name="입력 2 71" xfId="12504"/>
    <cellStyle name="입력 2 72" xfId="12505"/>
    <cellStyle name="입력 2 73" xfId="12506"/>
    <cellStyle name="입력 2 74" xfId="12507"/>
    <cellStyle name="입력 2 75" xfId="12508"/>
    <cellStyle name="입력 2 76" xfId="12509"/>
    <cellStyle name="입력 2 77" xfId="12510"/>
    <cellStyle name="입력 2 78" xfId="12511"/>
    <cellStyle name="입력 2 79" xfId="12512"/>
    <cellStyle name="입력 2 8" xfId="12513"/>
    <cellStyle name="입력 2 80" xfId="12514"/>
    <cellStyle name="입력 2 81" xfId="12515"/>
    <cellStyle name="입력 2 82" xfId="12516"/>
    <cellStyle name="입력 2 83" xfId="12517"/>
    <cellStyle name="입력 2 84" xfId="12518"/>
    <cellStyle name="입력 2 85" xfId="12519"/>
    <cellStyle name="입력 2 86" xfId="12520"/>
    <cellStyle name="입력 2 87" xfId="12521"/>
    <cellStyle name="입력 2 88" xfId="12522"/>
    <cellStyle name="입력 2 89" xfId="12523"/>
    <cellStyle name="입력 2 9" xfId="12524"/>
    <cellStyle name="입력 2 90" xfId="12525"/>
    <cellStyle name="입력 2 91" xfId="12526"/>
    <cellStyle name="입력 2 92" xfId="12527"/>
    <cellStyle name="입력 2 93" xfId="12528"/>
    <cellStyle name="입력 2 94" xfId="12529"/>
    <cellStyle name="입력 2 95" xfId="12530"/>
    <cellStyle name="입력 2 96" xfId="12531"/>
    <cellStyle name="입력 2 97" xfId="12532"/>
    <cellStyle name="입력 2 98" xfId="12533"/>
    <cellStyle name="입력 2 99" xfId="12534"/>
    <cellStyle name="입력 20" xfId="18349"/>
    <cellStyle name="입력 21" xfId="18350"/>
    <cellStyle name="입력 22" xfId="18351"/>
    <cellStyle name="입력 23" xfId="18352"/>
    <cellStyle name="입력 24" xfId="18353"/>
    <cellStyle name="입력 25" xfId="18354"/>
    <cellStyle name="입력 26" xfId="18355"/>
    <cellStyle name="입력 27" xfId="18356"/>
    <cellStyle name="입력 28" xfId="18357"/>
    <cellStyle name="입력 29" xfId="18358"/>
    <cellStyle name="입력 3" xfId="18359"/>
    <cellStyle name="입력 3 2" xfId="18360"/>
    <cellStyle name="입력 3 2 2" xfId="18361"/>
    <cellStyle name="입력 3 2 2 2" xfId="18362"/>
    <cellStyle name="입력 3 2 2 3" xfId="18363"/>
    <cellStyle name="입력 3 2 2 4" xfId="18364"/>
    <cellStyle name="입력 3 2 2 5" xfId="18365"/>
    <cellStyle name="입력 3 2 2 6" xfId="18366"/>
    <cellStyle name="입력 3 2 3" xfId="18367"/>
    <cellStyle name="입력 3 2 3 2" xfId="18368"/>
    <cellStyle name="입력 3 2 3 3" xfId="18369"/>
    <cellStyle name="입력 3 2 3 4" xfId="18370"/>
    <cellStyle name="입력 3 2 3 5" xfId="18371"/>
    <cellStyle name="입력 3 2 3 6" xfId="18372"/>
    <cellStyle name="입력 3 2 4" xfId="18373"/>
    <cellStyle name="입력 3 2 4 2" xfId="18374"/>
    <cellStyle name="입력 3 2 4 3" xfId="18375"/>
    <cellStyle name="입력 3 2 4 4" xfId="18376"/>
    <cellStyle name="입력 3 2 4 5" xfId="18377"/>
    <cellStyle name="입력 3 2 4 6" xfId="18378"/>
    <cellStyle name="입력 3 2 5" xfId="18379"/>
    <cellStyle name="입력 3 2 6" xfId="18380"/>
    <cellStyle name="입력 3 2 7" xfId="18381"/>
    <cellStyle name="입력 3 2 8" xfId="18382"/>
    <cellStyle name="입력 3 2 9" xfId="18383"/>
    <cellStyle name="입력 3 3" xfId="18384"/>
    <cellStyle name="입력 3 3 2" xfId="18385"/>
    <cellStyle name="입력 3 3 3" xfId="18386"/>
    <cellStyle name="입력 3 4" xfId="18387"/>
    <cellStyle name="입력 3 5" xfId="18388"/>
    <cellStyle name="입력 3 6" xfId="18389"/>
    <cellStyle name="입력 30" xfId="18390"/>
    <cellStyle name="입력 31" xfId="18391"/>
    <cellStyle name="입력 32" xfId="18392"/>
    <cellStyle name="입력 4" xfId="18393"/>
    <cellStyle name="입력 4 2" xfId="18394"/>
    <cellStyle name="입력 4 2 2" xfId="18395"/>
    <cellStyle name="입력 4 2 2 2" xfId="18396"/>
    <cellStyle name="입력 4 2 2 3" xfId="18397"/>
    <cellStyle name="입력 4 2 2 4" xfId="18398"/>
    <cellStyle name="입력 4 2 2 5" xfId="18399"/>
    <cellStyle name="입력 4 2 3" xfId="18400"/>
    <cellStyle name="입력 4 2 3 2" xfId="18401"/>
    <cellStyle name="입력 4 2 3 3" xfId="18402"/>
    <cellStyle name="입력 4 2 3 4" xfId="18403"/>
    <cellStyle name="입력 4 2 3 5" xfId="18404"/>
    <cellStyle name="입력 4 2 4" xfId="18405"/>
    <cellStyle name="입력 4 2 4 2" xfId="18406"/>
    <cellStyle name="입력 4 2 4 3" xfId="18407"/>
    <cellStyle name="입력 4 2 4 4" xfId="18408"/>
    <cellStyle name="입력 4 2 4 5" xfId="18409"/>
    <cellStyle name="입력 4 2 5" xfId="18410"/>
    <cellStyle name="입력 4 2 6" xfId="18411"/>
    <cellStyle name="입력 4 2 7" xfId="18412"/>
    <cellStyle name="입력 4 2 8" xfId="18413"/>
    <cellStyle name="입력 4 3" xfId="18414"/>
    <cellStyle name="입력 4 4" xfId="18415"/>
    <cellStyle name="입력 5" xfId="18416"/>
    <cellStyle name="입력 6" xfId="18417"/>
    <cellStyle name="입력 7" xfId="18418"/>
    <cellStyle name="입력 8" xfId="18419"/>
    <cellStyle name="입력 9" xfId="18420"/>
    <cellStyle name="자리수" xfId="12535"/>
    <cellStyle name="자리수0" xfId="12536"/>
    <cellStyle name="제목 1 10" xfId="18421"/>
    <cellStyle name="제목 1 10 2" xfId="18422"/>
    <cellStyle name="제목 1 10 3" xfId="18423"/>
    <cellStyle name="제목 1 11" xfId="18424"/>
    <cellStyle name="제목 1 12" xfId="18425"/>
    <cellStyle name="제목 1 13" xfId="18426"/>
    <cellStyle name="제목 1 14" xfId="18427"/>
    <cellStyle name="제목 1 15" xfId="18428"/>
    <cellStyle name="제목 1 16" xfId="18429"/>
    <cellStyle name="제목 1 17" xfId="18430"/>
    <cellStyle name="제목 1 18" xfId="18431"/>
    <cellStyle name="제목 1 19" xfId="18432"/>
    <cellStyle name="제목 1 2" xfId="12537"/>
    <cellStyle name="제목 1 2 10" xfId="12538"/>
    <cellStyle name="제목 1 2 100" xfId="12539"/>
    <cellStyle name="제목 1 2 101" xfId="12540"/>
    <cellStyle name="제목 1 2 102" xfId="12541"/>
    <cellStyle name="제목 1 2 103" xfId="12542"/>
    <cellStyle name="제목 1 2 104" xfId="12543"/>
    <cellStyle name="제목 1 2 105" xfId="12544"/>
    <cellStyle name="제목 1 2 106" xfId="12545"/>
    <cellStyle name="제목 1 2 107" xfId="12546"/>
    <cellStyle name="제목 1 2 108" xfId="12547"/>
    <cellStyle name="제목 1 2 109" xfId="12548"/>
    <cellStyle name="제목 1 2 11" xfId="12549"/>
    <cellStyle name="제목 1 2 110" xfId="12550"/>
    <cellStyle name="제목 1 2 111" xfId="12551"/>
    <cellStyle name="제목 1 2 112" xfId="12552"/>
    <cellStyle name="제목 1 2 113" xfId="12553"/>
    <cellStyle name="제목 1 2 114" xfId="12554"/>
    <cellStyle name="제목 1 2 115" xfId="12555"/>
    <cellStyle name="제목 1 2 116" xfId="12556"/>
    <cellStyle name="제목 1 2 117" xfId="12557"/>
    <cellStyle name="제목 1 2 118" xfId="12558"/>
    <cellStyle name="제목 1 2 119" xfId="12559"/>
    <cellStyle name="제목 1 2 12" xfId="12560"/>
    <cellStyle name="제목 1 2 120" xfId="12561"/>
    <cellStyle name="제목 1 2 121" xfId="12562"/>
    <cellStyle name="제목 1 2 122" xfId="12563"/>
    <cellStyle name="제목 1 2 123" xfId="12564"/>
    <cellStyle name="제목 1 2 124" xfId="12565"/>
    <cellStyle name="제목 1 2 125" xfId="12566"/>
    <cellStyle name="제목 1 2 126" xfId="12567"/>
    <cellStyle name="제목 1 2 127" xfId="12568"/>
    <cellStyle name="제목 1 2 128" xfId="12569"/>
    <cellStyle name="제목 1 2 129" xfId="12570"/>
    <cellStyle name="제목 1 2 13" xfId="12571"/>
    <cellStyle name="제목 1 2 130" xfId="12572"/>
    <cellStyle name="제목 1 2 131" xfId="12573"/>
    <cellStyle name="제목 1 2 132" xfId="12574"/>
    <cellStyle name="제목 1 2 133" xfId="12575"/>
    <cellStyle name="제목 1 2 134" xfId="12576"/>
    <cellStyle name="제목 1 2 135" xfId="12577"/>
    <cellStyle name="제목 1 2 136" xfId="12578"/>
    <cellStyle name="제목 1 2 137" xfId="12579"/>
    <cellStyle name="제목 1 2 138" xfId="12580"/>
    <cellStyle name="제목 1 2 139" xfId="12581"/>
    <cellStyle name="제목 1 2 14" xfId="12582"/>
    <cellStyle name="제목 1 2 140" xfId="12583"/>
    <cellStyle name="제목 1 2 141" xfId="12584"/>
    <cellStyle name="제목 1 2 142" xfId="12585"/>
    <cellStyle name="제목 1 2 143" xfId="12586"/>
    <cellStyle name="제목 1 2 144" xfId="12587"/>
    <cellStyle name="제목 1 2 145" xfId="12588"/>
    <cellStyle name="제목 1 2 146" xfId="12589"/>
    <cellStyle name="제목 1 2 147" xfId="12590"/>
    <cellStyle name="제목 1 2 148" xfId="12591"/>
    <cellStyle name="제목 1 2 149" xfId="12592"/>
    <cellStyle name="제목 1 2 15" xfId="12593"/>
    <cellStyle name="제목 1 2 150" xfId="12594"/>
    <cellStyle name="제목 1 2 151" xfId="12595"/>
    <cellStyle name="제목 1 2 152" xfId="12596"/>
    <cellStyle name="제목 1 2 153" xfId="12597"/>
    <cellStyle name="제목 1 2 154" xfId="12598"/>
    <cellStyle name="제목 1 2 155" xfId="12599"/>
    <cellStyle name="제목 1 2 156" xfId="12600"/>
    <cellStyle name="제목 1 2 157" xfId="12601"/>
    <cellStyle name="제목 1 2 158" xfId="12602"/>
    <cellStyle name="제목 1 2 159" xfId="12603"/>
    <cellStyle name="제목 1 2 16" xfId="12604"/>
    <cellStyle name="제목 1 2 160" xfId="12605"/>
    <cellStyle name="제목 1 2 161" xfId="12606"/>
    <cellStyle name="제목 1 2 162" xfId="12607"/>
    <cellStyle name="제목 1 2 163" xfId="12608"/>
    <cellStyle name="제목 1 2 164" xfId="12609"/>
    <cellStyle name="제목 1 2 165" xfId="12610"/>
    <cellStyle name="제목 1 2 166" xfId="12611"/>
    <cellStyle name="제목 1 2 167" xfId="12612"/>
    <cellStyle name="제목 1 2 168" xfId="12613"/>
    <cellStyle name="제목 1 2 169" xfId="12614"/>
    <cellStyle name="제목 1 2 17" xfId="12615"/>
    <cellStyle name="제목 1 2 170" xfId="12616"/>
    <cellStyle name="제목 1 2 171" xfId="12617"/>
    <cellStyle name="제목 1 2 172" xfId="12618"/>
    <cellStyle name="제목 1 2 173" xfId="12619"/>
    <cellStyle name="제목 1 2 174" xfId="12620"/>
    <cellStyle name="제목 1 2 175" xfId="12621"/>
    <cellStyle name="제목 1 2 176" xfId="12622"/>
    <cellStyle name="제목 1 2 177" xfId="12623"/>
    <cellStyle name="제목 1 2 178" xfId="12624"/>
    <cellStyle name="제목 1 2 179" xfId="12625"/>
    <cellStyle name="제목 1 2 18" xfId="12626"/>
    <cellStyle name="제목 1 2 180" xfId="12627"/>
    <cellStyle name="제목 1 2 181" xfId="12628"/>
    <cellStyle name="제목 1 2 182" xfId="12629"/>
    <cellStyle name="제목 1 2 183" xfId="12630"/>
    <cellStyle name="제목 1 2 184" xfId="12631"/>
    <cellStyle name="제목 1 2 185" xfId="12632"/>
    <cellStyle name="제목 1 2 186" xfId="12633"/>
    <cellStyle name="제목 1 2 187" xfId="12634"/>
    <cellStyle name="제목 1 2 188" xfId="12635"/>
    <cellStyle name="제목 1 2 189" xfId="12636"/>
    <cellStyle name="제목 1 2 19" xfId="12637"/>
    <cellStyle name="제목 1 2 190" xfId="12638"/>
    <cellStyle name="제목 1 2 191" xfId="12639"/>
    <cellStyle name="제목 1 2 192" xfId="12640"/>
    <cellStyle name="제목 1 2 193" xfId="12641"/>
    <cellStyle name="제목 1 2 194" xfId="12642"/>
    <cellStyle name="제목 1 2 195" xfId="12643"/>
    <cellStyle name="제목 1 2 196" xfId="12644"/>
    <cellStyle name="제목 1 2 197" xfId="12645"/>
    <cellStyle name="제목 1 2 198" xfId="12646"/>
    <cellStyle name="제목 1 2 199" xfId="12647"/>
    <cellStyle name="제목 1 2 2" xfId="12648"/>
    <cellStyle name="제목 1 2 2 2" xfId="18433"/>
    <cellStyle name="제목 1 2 2 2 2" xfId="18434"/>
    <cellStyle name="제목 1 2 2 2 3" xfId="18435"/>
    <cellStyle name="제목 1 2 2 3" xfId="18436"/>
    <cellStyle name="제목 1 2 2 4" xfId="18437"/>
    <cellStyle name="제목 1 2 2 5" xfId="18438"/>
    <cellStyle name="제목 1 2 2_MS1" xfId="18439"/>
    <cellStyle name="제목 1 2 20" xfId="12649"/>
    <cellStyle name="제목 1 2 200" xfId="12650"/>
    <cellStyle name="제목 1 2 201" xfId="12651"/>
    <cellStyle name="제목 1 2 202" xfId="12652"/>
    <cellStyle name="제목 1 2 203" xfId="12653"/>
    <cellStyle name="제목 1 2 204" xfId="12654"/>
    <cellStyle name="제목 1 2 205" xfId="12655"/>
    <cellStyle name="제목 1 2 206" xfId="12656"/>
    <cellStyle name="제목 1 2 207" xfId="12657"/>
    <cellStyle name="제목 1 2 208" xfId="12658"/>
    <cellStyle name="제목 1 2 209" xfId="12659"/>
    <cellStyle name="제목 1 2 21" xfId="12660"/>
    <cellStyle name="제목 1 2 210" xfId="12661"/>
    <cellStyle name="제목 1 2 211" xfId="12662"/>
    <cellStyle name="제목 1 2 212" xfId="12663"/>
    <cellStyle name="제목 1 2 213" xfId="12664"/>
    <cellStyle name="제목 1 2 214" xfId="12665"/>
    <cellStyle name="제목 1 2 215" xfId="12666"/>
    <cellStyle name="제목 1 2 216" xfId="12667"/>
    <cellStyle name="제목 1 2 217" xfId="12668"/>
    <cellStyle name="제목 1 2 218" xfId="12669"/>
    <cellStyle name="제목 1 2 219" xfId="12670"/>
    <cellStyle name="제목 1 2 22" xfId="12671"/>
    <cellStyle name="제목 1 2 220" xfId="12672"/>
    <cellStyle name="제목 1 2 221" xfId="12673"/>
    <cellStyle name="제목 1 2 222" xfId="12674"/>
    <cellStyle name="제목 1 2 223" xfId="12675"/>
    <cellStyle name="제목 1 2 224" xfId="12676"/>
    <cellStyle name="제목 1 2 225" xfId="12677"/>
    <cellStyle name="제목 1 2 226" xfId="12678"/>
    <cellStyle name="제목 1 2 227" xfId="12679"/>
    <cellStyle name="제목 1 2 228" xfId="12680"/>
    <cellStyle name="제목 1 2 229" xfId="12681"/>
    <cellStyle name="제목 1 2 23" xfId="12682"/>
    <cellStyle name="제목 1 2 230" xfId="12683"/>
    <cellStyle name="제목 1 2 231" xfId="12684"/>
    <cellStyle name="제목 1 2 232" xfId="12685"/>
    <cellStyle name="제목 1 2 233" xfId="12686"/>
    <cellStyle name="제목 1 2 234" xfId="12687"/>
    <cellStyle name="제목 1 2 235" xfId="12688"/>
    <cellStyle name="제목 1 2 236" xfId="12689"/>
    <cellStyle name="제목 1 2 237" xfId="12690"/>
    <cellStyle name="제목 1 2 238" xfId="12691"/>
    <cellStyle name="제목 1 2 239" xfId="12692"/>
    <cellStyle name="제목 1 2 24" xfId="12693"/>
    <cellStyle name="제목 1 2 240" xfId="12694"/>
    <cellStyle name="제목 1 2 241" xfId="12695"/>
    <cellStyle name="제목 1 2 25" xfId="12696"/>
    <cellStyle name="제목 1 2 26" xfId="12697"/>
    <cellStyle name="제목 1 2 27" xfId="12698"/>
    <cellStyle name="제목 1 2 28" xfId="12699"/>
    <cellStyle name="제목 1 2 29" xfId="12700"/>
    <cellStyle name="제목 1 2 3" xfId="12701"/>
    <cellStyle name="제목 1 2 30" xfId="12702"/>
    <cellStyle name="제목 1 2 31" xfId="12703"/>
    <cellStyle name="제목 1 2 32" xfId="12704"/>
    <cellStyle name="제목 1 2 33" xfId="12705"/>
    <cellStyle name="제목 1 2 34" xfId="12706"/>
    <cellStyle name="제목 1 2 35" xfId="12707"/>
    <cellStyle name="제목 1 2 36" xfId="12708"/>
    <cellStyle name="제목 1 2 37" xfId="12709"/>
    <cellStyle name="제목 1 2 38" xfId="12710"/>
    <cellStyle name="제목 1 2 39" xfId="12711"/>
    <cellStyle name="제목 1 2 4" xfId="12712"/>
    <cellStyle name="제목 1 2 40" xfId="12713"/>
    <cellStyle name="제목 1 2 41" xfId="12714"/>
    <cellStyle name="제목 1 2 42" xfId="12715"/>
    <cellStyle name="제목 1 2 43" xfId="12716"/>
    <cellStyle name="제목 1 2 44" xfId="12717"/>
    <cellStyle name="제목 1 2 45" xfId="12718"/>
    <cellStyle name="제목 1 2 46" xfId="12719"/>
    <cellStyle name="제목 1 2 47" xfId="12720"/>
    <cellStyle name="제목 1 2 48" xfId="12721"/>
    <cellStyle name="제목 1 2 49" xfId="12722"/>
    <cellStyle name="제목 1 2 5" xfId="12723"/>
    <cellStyle name="제목 1 2 50" xfId="12724"/>
    <cellStyle name="제목 1 2 51" xfId="12725"/>
    <cellStyle name="제목 1 2 52" xfId="12726"/>
    <cellStyle name="제목 1 2 53" xfId="12727"/>
    <cellStyle name="제목 1 2 54" xfId="12728"/>
    <cellStyle name="제목 1 2 55" xfId="12729"/>
    <cellStyle name="제목 1 2 56" xfId="12730"/>
    <cellStyle name="제목 1 2 57" xfId="12731"/>
    <cellStyle name="제목 1 2 58" xfId="12732"/>
    <cellStyle name="제목 1 2 59" xfId="12733"/>
    <cellStyle name="제목 1 2 6" xfId="12734"/>
    <cellStyle name="제목 1 2 60" xfId="12735"/>
    <cellStyle name="제목 1 2 61" xfId="12736"/>
    <cellStyle name="제목 1 2 62" xfId="12737"/>
    <cellStyle name="제목 1 2 63" xfId="12738"/>
    <cellStyle name="제목 1 2 64" xfId="12739"/>
    <cellStyle name="제목 1 2 65" xfId="12740"/>
    <cellStyle name="제목 1 2 66" xfId="12741"/>
    <cellStyle name="제목 1 2 67" xfId="12742"/>
    <cellStyle name="제목 1 2 68" xfId="12743"/>
    <cellStyle name="제목 1 2 69" xfId="12744"/>
    <cellStyle name="제목 1 2 7" xfId="12745"/>
    <cellStyle name="제목 1 2 70" xfId="12746"/>
    <cellStyle name="제목 1 2 71" xfId="12747"/>
    <cellStyle name="제목 1 2 72" xfId="12748"/>
    <cellStyle name="제목 1 2 73" xfId="12749"/>
    <cellStyle name="제목 1 2 74" xfId="12750"/>
    <cellStyle name="제목 1 2 75" xfId="12751"/>
    <cellStyle name="제목 1 2 76" xfId="12752"/>
    <cellStyle name="제목 1 2 77" xfId="12753"/>
    <cellStyle name="제목 1 2 78" xfId="12754"/>
    <cellStyle name="제목 1 2 79" xfId="12755"/>
    <cellStyle name="제목 1 2 8" xfId="12756"/>
    <cellStyle name="제목 1 2 80" xfId="12757"/>
    <cellStyle name="제목 1 2 81" xfId="12758"/>
    <cellStyle name="제목 1 2 82" xfId="12759"/>
    <cellStyle name="제목 1 2 83" xfId="12760"/>
    <cellStyle name="제목 1 2 84" xfId="12761"/>
    <cellStyle name="제목 1 2 85" xfId="12762"/>
    <cellStyle name="제목 1 2 86" xfId="12763"/>
    <cellStyle name="제목 1 2 87" xfId="12764"/>
    <cellStyle name="제목 1 2 88" xfId="12765"/>
    <cellStyle name="제목 1 2 89" xfId="12766"/>
    <cellStyle name="제목 1 2 9" xfId="12767"/>
    <cellStyle name="제목 1 2 90" xfId="12768"/>
    <cellStyle name="제목 1 2 91" xfId="12769"/>
    <cellStyle name="제목 1 2 92" xfId="12770"/>
    <cellStyle name="제목 1 2 93" xfId="12771"/>
    <cellStyle name="제목 1 2 94" xfId="12772"/>
    <cellStyle name="제목 1 2 95" xfId="12773"/>
    <cellStyle name="제목 1 2 96" xfId="12774"/>
    <cellStyle name="제목 1 2 97" xfId="12775"/>
    <cellStyle name="제목 1 2 98" xfId="12776"/>
    <cellStyle name="제목 1 2 99" xfId="12777"/>
    <cellStyle name="제목 1 2_CHK_DATA" xfId="18440"/>
    <cellStyle name="제목 1 20" xfId="18441"/>
    <cellStyle name="제목 1 21" xfId="18442"/>
    <cellStyle name="제목 1 22" xfId="18443"/>
    <cellStyle name="제목 1 23" xfId="18444"/>
    <cellStyle name="제목 1 24" xfId="18445"/>
    <cellStyle name="제목 1 25" xfId="18446"/>
    <cellStyle name="제목 1 26" xfId="18447"/>
    <cellStyle name="제목 1 27" xfId="18448"/>
    <cellStyle name="제목 1 28" xfId="18449"/>
    <cellStyle name="제목 1 29" xfId="18450"/>
    <cellStyle name="제목 1 3" xfId="18451"/>
    <cellStyle name="제목 1 3 2" xfId="18452"/>
    <cellStyle name="제목 1 3 3" xfId="18453"/>
    <cellStyle name="제목 1 30" xfId="18454"/>
    <cellStyle name="제목 1 31" xfId="18455"/>
    <cellStyle name="제목 1 32" xfId="18456"/>
    <cellStyle name="제목 1 4" xfId="18457"/>
    <cellStyle name="제목 1 4 2" xfId="18458"/>
    <cellStyle name="제목 1 4 3" xfId="18459"/>
    <cellStyle name="제목 1 5" xfId="18460"/>
    <cellStyle name="제목 1 5 2" xfId="18461"/>
    <cellStyle name="제목 1 5 3" xfId="18462"/>
    <cellStyle name="제목 1 6" xfId="18463"/>
    <cellStyle name="제목 1 6 2" xfId="18464"/>
    <cellStyle name="제목 1 6 3" xfId="18465"/>
    <cellStyle name="제목 1 7" xfId="18466"/>
    <cellStyle name="제목 1 7 2" xfId="18467"/>
    <cellStyle name="제목 1 7 3" xfId="18468"/>
    <cellStyle name="제목 1 8" xfId="18469"/>
    <cellStyle name="제목 1 8 2" xfId="18470"/>
    <cellStyle name="제목 1 8 3" xfId="18471"/>
    <cellStyle name="제목 1 9" xfId="18472"/>
    <cellStyle name="제목 1 9 2" xfId="18473"/>
    <cellStyle name="제목 1 9 3" xfId="18474"/>
    <cellStyle name="제목 10" xfId="18475"/>
    <cellStyle name="제목 10 2" xfId="18476"/>
    <cellStyle name="제목 10 3" xfId="18477"/>
    <cellStyle name="제목 11" xfId="18478"/>
    <cellStyle name="제목 11 2" xfId="18479"/>
    <cellStyle name="제목 11 3" xfId="18480"/>
    <cellStyle name="제목 12" xfId="18481"/>
    <cellStyle name="제목 12 2" xfId="18482"/>
    <cellStyle name="제목 12 3" xfId="18483"/>
    <cellStyle name="제목 13" xfId="18484"/>
    <cellStyle name="제목 13 2" xfId="18485"/>
    <cellStyle name="제목 13 3" xfId="18486"/>
    <cellStyle name="제목 14" xfId="18487"/>
    <cellStyle name="제목 14 2" xfId="18488"/>
    <cellStyle name="제목 14 3" xfId="18489"/>
    <cellStyle name="제목 15" xfId="18490"/>
    <cellStyle name="제목 15 2" xfId="18491"/>
    <cellStyle name="제목 15 3" xfId="18492"/>
    <cellStyle name="제목 16" xfId="18493"/>
    <cellStyle name="제목 16 2" xfId="18494"/>
    <cellStyle name="제목 16 3" xfId="18495"/>
    <cellStyle name="제목 17" xfId="18496"/>
    <cellStyle name="제목 17 2" xfId="18497"/>
    <cellStyle name="제목 17 3" xfId="18498"/>
    <cellStyle name="제목 18" xfId="18499"/>
    <cellStyle name="제목 18 2" xfId="18500"/>
    <cellStyle name="제목 18 3" xfId="18501"/>
    <cellStyle name="제목 19" xfId="18502"/>
    <cellStyle name="제목 19 2" xfId="18503"/>
    <cellStyle name="제목 19 3" xfId="18504"/>
    <cellStyle name="제목 2 10" xfId="18505"/>
    <cellStyle name="제목 2 11" xfId="18506"/>
    <cellStyle name="제목 2 12" xfId="18507"/>
    <cellStyle name="제목 2 13" xfId="18508"/>
    <cellStyle name="제목 2 14" xfId="18509"/>
    <cellStyle name="제목 2 15" xfId="18510"/>
    <cellStyle name="제목 2 16" xfId="18511"/>
    <cellStyle name="제목 2 17" xfId="18512"/>
    <cellStyle name="제목 2 18" xfId="18513"/>
    <cellStyle name="제목 2 19" xfId="18514"/>
    <cellStyle name="제목 2 2" xfId="12778"/>
    <cellStyle name="제목 2 2 10" xfId="12779"/>
    <cellStyle name="제목 2 2 100" xfId="12780"/>
    <cellStyle name="제목 2 2 101" xfId="12781"/>
    <cellStyle name="제목 2 2 102" xfId="12782"/>
    <cellStyle name="제목 2 2 103" xfId="12783"/>
    <cellStyle name="제목 2 2 104" xfId="12784"/>
    <cellStyle name="제목 2 2 105" xfId="12785"/>
    <cellStyle name="제목 2 2 106" xfId="12786"/>
    <cellStyle name="제목 2 2 107" xfId="12787"/>
    <cellStyle name="제목 2 2 108" xfId="12788"/>
    <cellStyle name="제목 2 2 109" xfId="12789"/>
    <cellStyle name="제목 2 2 11" xfId="12790"/>
    <cellStyle name="제목 2 2 110" xfId="12791"/>
    <cellStyle name="제목 2 2 111" xfId="12792"/>
    <cellStyle name="제목 2 2 112" xfId="12793"/>
    <cellStyle name="제목 2 2 113" xfId="12794"/>
    <cellStyle name="제목 2 2 114" xfId="12795"/>
    <cellStyle name="제목 2 2 115" xfId="12796"/>
    <cellStyle name="제목 2 2 116" xfId="12797"/>
    <cellStyle name="제목 2 2 117" xfId="12798"/>
    <cellStyle name="제목 2 2 118" xfId="12799"/>
    <cellStyle name="제목 2 2 119" xfId="12800"/>
    <cellStyle name="제목 2 2 12" xfId="12801"/>
    <cellStyle name="제목 2 2 120" xfId="12802"/>
    <cellStyle name="제목 2 2 121" xfId="12803"/>
    <cellStyle name="제목 2 2 122" xfId="12804"/>
    <cellStyle name="제목 2 2 123" xfId="12805"/>
    <cellStyle name="제목 2 2 124" xfId="12806"/>
    <cellStyle name="제목 2 2 125" xfId="12807"/>
    <cellStyle name="제목 2 2 126" xfId="12808"/>
    <cellStyle name="제목 2 2 127" xfId="12809"/>
    <cellStyle name="제목 2 2 128" xfId="12810"/>
    <cellStyle name="제목 2 2 129" xfId="12811"/>
    <cellStyle name="제목 2 2 13" xfId="12812"/>
    <cellStyle name="제목 2 2 130" xfId="12813"/>
    <cellStyle name="제목 2 2 131" xfId="12814"/>
    <cellStyle name="제목 2 2 132" xfId="12815"/>
    <cellStyle name="제목 2 2 133" xfId="12816"/>
    <cellStyle name="제목 2 2 134" xfId="12817"/>
    <cellStyle name="제목 2 2 135" xfId="12818"/>
    <cellStyle name="제목 2 2 136" xfId="12819"/>
    <cellStyle name="제목 2 2 137" xfId="12820"/>
    <cellStyle name="제목 2 2 138" xfId="12821"/>
    <cellStyle name="제목 2 2 139" xfId="12822"/>
    <cellStyle name="제목 2 2 14" xfId="12823"/>
    <cellStyle name="제목 2 2 140" xfId="12824"/>
    <cellStyle name="제목 2 2 141" xfId="12825"/>
    <cellStyle name="제목 2 2 142" xfId="12826"/>
    <cellStyle name="제목 2 2 143" xfId="12827"/>
    <cellStyle name="제목 2 2 144" xfId="12828"/>
    <cellStyle name="제목 2 2 145" xfId="12829"/>
    <cellStyle name="제목 2 2 146" xfId="12830"/>
    <cellStyle name="제목 2 2 147" xfId="12831"/>
    <cellStyle name="제목 2 2 148" xfId="12832"/>
    <cellStyle name="제목 2 2 149" xfId="12833"/>
    <cellStyle name="제목 2 2 15" xfId="12834"/>
    <cellStyle name="제목 2 2 150" xfId="12835"/>
    <cellStyle name="제목 2 2 151" xfId="12836"/>
    <cellStyle name="제목 2 2 152" xfId="12837"/>
    <cellStyle name="제목 2 2 153" xfId="12838"/>
    <cellStyle name="제목 2 2 154" xfId="12839"/>
    <cellStyle name="제목 2 2 155" xfId="12840"/>
    <cellStyle name="제목 2 2 156" xfId="12841"/>
    <cellStyle name="제목 2 2 157" xfId="12842"/>
    <cellStyle name="제목 2 2 158" xfId="12843"/>
    <cellStyle name="제목 2 2 159" xfId="12844"/>
    <cellStyle name="제목 2 2 16" xfId="12845"/>
    <cellStyle name="제목 2 2 160" xfId="12846"/>
    <cellStyle name="제목 2 2 161" xfId="12847"/>
    <cellStyle name="제목 2 2 162" xfId="12848"/>
    <cellStyle name="제목 2 2 163" xfId="12849"/>
    <cellStyle name="제목 2 2 164" xfId="12850"/>
    <cellStyle name="제목 2 2 165" xfId="12851"/>
    <cellStyle name="제목 2 2 166" xfId="12852"/>
    <cellStyle name="제목 2 2 167" xfId="12853"/>
    <cellStyle name="제목 2 2 168" xfId="12854"/>
    <cellStyle name="제목 2 2 169" xfId="12855"/>
    <cellStyle name="제목 2 2 17" xfId="12856"/>
    <cellStyle name="제목 2 2 170" xfId="12857"/>
    <cellStyle name="제목 2 2 171" xfId="12858"/>
    <cellStyle name="제목 2 2 172" xfId="12859"/>
    <cellStyle name="제목 2 2 173" xfId="12860"/>
    <cellStyle name="제목 2 2 174" xfId="12861"/>
    <cellStyle name="제목 2 2 175" xfId="12862"/>
    <cellStyle name="제목 2 2 176" xfId="12863"/>
    <cellStyle name="제목 2 2 177" xfId="12864"/>
    <cellStyle name="제목 2 2 178" xfId="12865"/>
    <cellStyle name="제목 2 2 179" xfId="12866"/>
    <cellStyle name="제목 2 2 18" xfId="12867"/>
    <cellStyle name="제목 2 2 180" xfId="12868"/>
    <cellStyle name="제목 2 2 181" xfId="12869"/>
    <cellStyle name="제목 2 2 182" xfId="12870"/>
    <cellStyle name="제목 2 2 183" xfId="12871"/>
    <cellStyle name="제목 2 2 184" xfId="12872"/>
    <cellStyle name="제목 2 2 185" xfId="12873"/>
    <cellStyle name="제목 2 2 186" xfId="12874"/>
    <cellStyle name="제목 2 2 187" xfId="12875"/>
    <cellStyle name="제목 2 2 188" xfId="12876"/>
    <cellStyle name="제목 2 2 189" xfId="12877"/>
    <cellStyle name="제목 2 2 19" xfId="12878"/>
    <cellStyle name="제목 2 2 190" xfId="12879"/>
    <cellStyle name="제목 2 2 191" xfId="12880"/>
    <cellStyle name="제목 2 2 192" xfId="12881"/>
    <cellStyle name="제목 2 2 193" xfId="12882"/>
    <cellStyle name="제목 2 2 194" xfId="12883"/>
    <cellStyle name="제목 2 2 195" xfId="12884"/>
    <cellStyle name="제목 2 2 196" xfId="12885"/>
    <cellStyle name="제목 2 2 197" xfId="12886"/>
    <cellStyle name="제목 2 2 198" xfId="12887"/>
    <cellStyle name="제목 2 2 199" xfId="12888"/>
    <cellStyle name="제목 2 2 2" xfId="12889"/>
    <cellStyle name="제목 2 2 20" xfId="12890"/>
    <cellStyle name="제목 2 2 200" xfId="12891"/>
    <cellStyle name="제목 2 2 201" xfId="12892"/>
    <cellStyle name="제목 2 2 202" xfId="12893"/>
    <cellStyle name="제목 2 2 203" xfId="12894"/>
    <cellStyle name="제목 2 2 204" xfId="12895"/>
    <cellStyle name="제목 2 2 205" xfId="12896"/>
    <cellStyle name="제목 2 2 206" xfId="12897"/>
    <cellStyle name="제목 2 2 207" xfId="12898"/>
    <cellStyle name="제목 2 2 208" xfId="12899"/>
    <cellStyle name="제목 2 2 209" xfId="12900"/>
    <cellStyle name="제목 2 2 21" xfId="12901"/>
    <cellStyle name="제목 2 2 210" xfId="12902"/>
    <cellStyle name="제목 2 2 211" xfId="12903"/>
    <cellStyle name="제목 2 2 212" xfId="12904"/>
    <cellStyle name="제목 2 2 213" xfId="12905"/>
    <cellStyle name="제목 2 2 214" xfId="12906"/>
    <cellStyle name="제목 2 2 215" xfId="12907"/>
    <cellStyle name="제목 2 2 216" xfId="12908"/>
    <cellStyle name="제목 2 2 217" xfId="12909"/>
    <cellStyle name="제목 2 2 218" xfId="12910"/>
    <cellStyle name="제목 2 2 219" xfId="12911"/>
    <cellStyle name="제목 2 2 22" xfId="12912"/>
    <cellStyle name="제목 2 2 220" xfId="12913"/>
    <cellStyle name="제목 2 2 221" xfId="12914"/>
    <cellStyle name="제목 2 2 222" xfId="12915"/>
    <cellStyle name="제목 2 2 223" xfId="12916"/>
    <cellStyle name="제목 2 2 224" xfId="12917"/>
    <cellStyle name="제목 2 2 225" xfId="12918"/>
    <cellStyle name="제목 2 2 226" xfId="12919"/>
    <cellStyle name="제목 2 2 227" xfId="12920"/>
    <cellStyle name="제목 2 2 228" xfId="12921"/>
    <cellStyle name="제목 2 2 229" xfId="12922"/>
    <cellStyle name="제목 2 2 23" xfId="12923"/>
    <cellStyle name="제목 2 2 230" xfId="12924"/>
    <cellStyle name="제목 2 2 231" xfId="12925"/>
    <cellStyle name="제목 2 2 232" xfId="12926"/>
    <cellStyle name="제목 2 2 233" xfId="12927"/>
    <cellStyle name="제목 2 2 234" xfId="12928"/>
    <cellStyle name="제목 2 2 235" xfId="12929"/>
    <cellStyle name="제목 2 2 236" xfId="12930"/>
    <cellStyle name="제목 2 2 237" xfId="12931"/>
    <cellStyle name="제목 2 2 238" xfId="12932"/>
    <cellStyle name="제목 2 2 239" xfId="12933"/>
    <cellStyle name="제목 2 2 24" xfId="12934"/>
    <cellStyle name="제목 2 2 240" xfId="12935"/>
    <cellStyle name="제목 2 2 241" xfId="12936"/>
    <cellStyle name="제목 2 2 25" xfId="12937"/>
    <cellStyle name="제목 2 2 26" xfId="12938"/>
    <cellStyle name="제목 2 2 27" xfId="12939"/>
    <cellStyle name="제목 2 2 28" xfId="12940"/>
    <cellStyle name="제목 2 2 29" xfId="12941"/>
    <cellStyle name="제목 2 2 3" xfId="12942"/>
    <cellStyle name="제목 2 2 30" xfId="12943"/>
    <cellStyle name="제목 2 2 31" xfId="12944"/>
    <cellStyle name="제목 2 2 32" xfId="12945"/>
    <cellStyle name="제목 2 2 33" xfId="12946"/>
    <cellStyle name="제목 2 2 34" xfId="12947"/>
    <cellStyle name="제목 2 2 35" xfId="12948"/>
    <cellStyle name="제목 2 2 36" xfId="12949"/>
    <cellStyle name="제목 2 2 37" xfId="12950"/>
    <cellStyle name="제목 2 2 38" xfId="12951"/>
    <cellStyle name="제목 2 2 39" xfId="12952"/>
    <cellStyle name="제목 2 2 4" xfId="12953"/>
    <cellStyle name="제목 2 2 40" xfId="12954"/>
    <cellStyle name="제목 2 2 41" xfId="12955"/>
    <cellStyle name="제목 2 2 42" xfId="12956"/>
    <cellStyle name="제목 2 2 43" xfId="12957"/>
    <cellStyle name="제목 2 2 44" xfId="12958"/>
    <cellStyle name="제목 2 2 45" xfId="12959"/>
    <cellStyle name="제목 2 2 46" xfId="12960"/>
    <cellStyle name="제목 2 2 47" xfId="12961"/>
    <cellStyle name="제목 2 2 48" xfId="12962"/>
    <cellStyle name="제목 2 2 49" xfId="12963"/>
    <cellStyle name="제목 2 2 5" xfId="12964"/>
    <cellStyle name="제목 2 2 50" xfId="12965"/>
    <cellStyle name="제목 2 2 51" xfId="12966"/>
    <cellStyle name="제목 2 2 52" xfId="12967"/>
    <cellStyle name="제목 2 2 53" xfId="12968"/>
    <cellStyle name="제목 2 2 54" xfId="12969"/>
    <cellStyle name="제목 2 2 55" xfId="12970"/>
    <cellStyle name="제목 2 2 56" xfId="12971"/>
    <cellStyle name="제목 2 2 57" xfId="12972"/>
    <cellStyle name="제목 2 2 58" xfId="12973"/>
    <cellStyle name="제목 2 2 59" xfId="12974"/>
    <cellStyle name="제목 2 2 6" xfId="12975"/>
    <cellStyle name="제목 2 2 60" xfId="12976"/>
    <cellStyle name="제목 2 2 61" xfId="12977"/>
    <cellStyle name="제목 2 2 62" xfId="12978"/>
    <cellStyle name="제목 2 2 63" xfId="12979"/>
    <cellStyle name="제목 2 2 64" xfId="12980"/>
    <cellStyle name="제목 2 2 65" xfId="12981"/>
    <cellStyle name="제목 2 2 66" xfId="12982"/>
    <cellStyle name="제목 2 2 67" xfId="12983"/>
    <cellStyle name="제목 2 2 68" xfId="12984"/>
    <cellStyle name="제목 2 2 69" xfId="12985"/>
    <cellStyle name="제목 2 2 7" xfId="12986"/>
    <cellStyle name="제목 2 2 70" xfId="12987"/>
    <cellStyle name="제목 2 2 71" xfId="12988"/>
    <cellStyle name="제목 2 2 72" xfId="12989"/>
    <cellStyle name="제목 2 2 73" xfId="12990"/>
    <cellStyle name="제목 2 2 74" xfId="12991"/>
    <cellStyle name="제목 2 2 75" xfId="12992"/>
    <cellStyle name="제목 2 2 76" xfId="12993"/>
    <cellStyle name="제목 2 2 77" xfId="12994"/>
    <cellStyle name="제목 2 2 78" xfId="12995"/>
    <cellStyle name="제목 2 2 79" xfId="12996"/>
    <cellStyle name="제목 2 2 8" xfId="12997"/>
    <cellStyle name="제목 2 2 80" xfId="12998"/>
    <cellStyle name="제목 2 2 81" xfId="12999"/>
    <cellStyle name="제목 2 2 82" xfId="13000"/>
    <cellStyle name="제목 2 2 83" xfId="13001"/>
    <cellStyle name="제목 2 2 84" xfId="13002"/>
    <cellStyle name="제목 2 2 85" xfId="13003"/>
    <cellStyle name="제목 2 2 86" xfId="13004"/>
    <cellStyle name="제목 2 2 87" xfId="13005"/>
    <cellStyle name="제목 2 2 88" xfId="13006"/>
    <cellStyle name="제목 2 2 89" xfId="13007"/>
    <cellStyle name="제목 2 2 9" xfId="13008"/>
    <cellStyle name="제목 2 2 90" xfId="13009"/>
    <cellStyle name="제목 2 2 91" xfId="13010"/>
    <cellStyle name="제목 2 2 92" xfId="13011"/>
    <cellStyle name="제목 2 2 93" xfId="13012"/>
    <cellStyle name="제목 2 2 94" xfId="13013"/>
    <cellStyle name="제목 2 2 95" xfId="13014"/>
    <cellStyle name="제목 2 2 96" xfId="13015"/>
    <cellStyle name="제목 2 2 97" xfId="13016"/>
    <cellStyle name="제목 2 2 98" xfId="13017"/>
    <cellStyle name="제목 2 2 99" xfId="13018"/>
    <cellStyle name="제목 2 20" xfId="18515"/>
    <cellStyle name="제목 2 21" xfId="18516"/>
    <cellStyle name="제목 2 22" xfId="18517"/>
    <cellStyle name="제목 2 23" xfId="18518"/>
    <cellStyle name="제목 2 24" xfId="18519"/>
    <cellStyle name="제목 2 25" xfId="18520"/>
    <cellStyle name="제목 2 26" xfId="18521"/>
    <cellStyle name="제목 2 27" xfId="18522"/>
    <cellStyle name="제목 2 28" xfId="18523"/>
    <cellStyle name="제목 2 29" xfId="18524"/>
    <cellStyle name="제목 2 3" xfId="18525"/>
    <cellStyle name="제목 2 3 2" xfId="18526"/>
    <cellStyle name="제목 2 3 3" xfId="18527"/>
    <cellStyle name="제목 2 3 4" xfId="18528"/>
    <cellStyle name="제목 2 30" xfId="18529"/>
    <cellStyle name="제목 2 31" xfId="18530"/>
    <cellStyle name="제목 2 32" xfId="18531"/>
    <cellStyle name="제목 2 4" xfId="18532"/>
    <cellStyle name="제목 2 4 2" xfId="18533"/>
    <cellStyle name="제목 2 4 3" xfId="18534"/>
    <cellStyle name="제목 2 5" xfId="18535"/>
    <cellStyle name="제목 2 6" xfId="18536"/>
    <cellStyle name="제목 2 7" xfId="18537"/>
    <cellStyle name="제목 2 8" xfId="18538"/>
    <cellStyle name="제목 2 9" xfId="18539"/>
    <cellStyle name="제목 20" xfId="18540"/>
    <cellStyle name="제목 21" xfId="18541"/>
    <cellStyle name="제목 22" xfId="18542"/>
    <cellStyle name="제목 23" xfId="18543"/>
    <cellStyle name="제목 24" xfId="18544"/>
    <cellStyle name="제목 25" xfId="18545"/>
    <cellStyle name="제목 26" xfId="18546"/>
    <cellStyle name="제목 27" xfId="18547"/>
    <cellStyle name="제목 28" xfId="18548"/>
    <cellStyle name="제목 29" xfId="18549"/>
    <cellStyle name="제목 3 10" xfId="18550"/>
    <cellStyle name="제목 3 10 2" xfId="18551"/>
    <cellStyle name="제목 3 10 3" xfId="18552"/>
    <cellStyle name="제목 3 11" xfId="18553"/>
    <cellStyle name="제목 3 12" xfId="18554"/>
    <cellStyle name="제목 3 13" xfId="18555"/>
    <cellStyle name="제목 3 14" xfId="18556"/>
    <cellStyle name="제목 3 15" xfId="18557"/>
    <cellStyle name="제목 3 16" xfId="18558"/>
    <cellStyle name="제목 3 17" xfId="18559"/>
    <cellStyle name="제목 3 18" xfId="18560"/>
    <cellStyle name="제목 3 19" xfId="18561"/>
    <cellStyle name="제목 3 2" xfId="13019"/>
    <cellStyle name="제목 3 2 10" xfId="13020"/>
    <cellStyle name="제목 3 2 100" xfId="13021"/>
    <cellStyle name="제목 3 2 101" xfId="13022"/>
    <cellStyle name="제목 3 2 102" xfId="13023"/>
    <cellStyle name="제목 3 2 103" xfId="13024"/>
    <cellStyle name="제목 3 2 104" xfId="13025"/>
    <cellStyle name="제목 3 2 105" xfId="13026"/>
    <cellStyle name="제목 3 2 106" xfId="13027"/>
    <cellStyle name="제목 3 2 107" xfId="13028"/>
    <cellStyle name="제목 3 2 108" xfId="13029"/>
    <cellStyle name="제목 3 2 109" xfId="13030"/>
    <cellStyle name="제목 3 2 11" xfId="13031"/>
    <cellStyle name="제목 3 2 110" xfId="13032"/>
    <cellStyle name="제목 3 2 111" xfId="13033"/>
    <cellStyle name="제목 3 2 112" xfId="13034"/>
    <cellStyle name="제목 3 2 113" xfId="13035"/>
    <cellStyle name="제목 3 2 114" xfId="13036"/>
    <cellStyle name="제목 3 2 115" xfId="13037"/>
    <cellStyle name="제목 3 2 116" xfId="13038"/>
    <cellStyle name="제목 3 2 117" xfId="13039"/>
    <cellStyle name="제목 3 2 118" xfId="13040"/>
    <cellStyle name="제목 3 2 119" xfId="13041"/>
    <cellStyle name="제목 3 2 12" xfId="13042"/>
    <cellStyle name="제목 3 2 120" xfId="13043"/>
    <cellStyle name="제목 3 2 121" xfId="13044"/>
    <cellStyle name="제목 3 2 122" xfId="13045"/>
    <cellStyle name="제목 3 2 123" xfId="13046"/>
    <cellStyle name="제목 3 2 124" xfId="13047"/>
    <cellStyle name="제목 3 2 125" xfId="13048"/>
    <cellStyle name="제목 3 2 126" xfId="13049"/>
    <cellStyle name="제목 3 2 127" xfId="13050"/>
    <cellStyle name="제목 3 2 128" xfId="13051"/>
    <cellStyle name="제목 3 2 129" xfId="13052"/>
    <cellStyle name="제목 3 2 13" xfId="13053"/>
    <cellStyle name="제목 3 2 130" xfId="13054"/>
    <cellStyle name="제목 3 2 131" xfId="13055"/>
    <cellStyle name="제목 3 2 132" xfId="13056"/>
    <cellStyle name="제목 3 2 133" xfId="13057"/>
    <cellStyle name="제목 3 2 134" xfId="13058"/>
    <cellStyle name="제목 3 2 135" xfId="13059"/>
    <cellStyle name="제목 3 2 136" xfId="13060"/>
    <cellStyle name="제목 3 2 137" xfId="13061"/>
    <cellStyle name="제목 3 2 138" xfId="13062"/>
    <cellStyle name="제목 3 2 139" xfId="13063"/>
    <cellStyle name="제목 3 2 14" xfId="13064"/>
    <cellStyle name="제목 3 2 140" xfId="13065"/>
    <cellStyle name="제목 3 2 141" xfId="13066"/>
    <cellStyle name="제목 3 2 142" xfId="13067"/>
    <cellStyle name="제목 3 2 143" xfId="13068"/>
    <cellStyle name="제목 3 2 144" xfId="13069"/>
    <cellStyle name="제목 3 2 145" xfId="13070"/>
    <cellStyle name="제목 3 2 146" xfId="13071"/>
    <cellStyle name="제목 3 2 147" xfId="13072"/>
    <cellStyle name="제목 3 2 148" xfId="13073"/>
    <cellStyle name="제목 3 2 149" xfId="13074"/>
    <cellStyle name="제목 3 2 15" xfId="13075"/>
    <cellStyle name="제목 3 2 150" xfId="13076"/>
    <cellStyle name="제목 3 2 151" xfId="13077"/>
    <cellStyle name="제목 3 2 152" xfId="13078"/>
    <cellStyle name="제목 3 2 153" xfId="13079"/>
    <cellStyle name="제목 3 2 154" xfId="13080"/>
    <cellStyle name="제목 3 2 155" xfId="13081"/>
    <cellStyle name="제목 3 2 156" xfId="13082"/>
    <cellStyle name="제목 3 2 157" xfId="13083"/>
    <cellStyle name="제목 3 2 158" xfId="13084"/>
    <cellStyle name="제목 3 2 159" xfId="13085"/>
    <cellStyle name="제목 3 2 16" xfId="13086"/>
    <cellStyle name="제목 3 2 160" xfId="13087"/>
    <cellStyle name="제목 3 2 161" xfId="13088"/>
    <cellStyle name="제목 3 2 162" xfId="13089"/>
    <cellStyle name="제목 3 2 163" xfId="13090"/>
    <cellStyle name="제목 3 2 164" xfId="13091"/>
    <cellStyle name="제목 3 2 165" xfId="13092"/>
    <cellStyle name="제목 3 2 166" xfId="13093"/>
    <cellStyle name="제목 3 2 167" xfId="13094"/>
    <cellStyle name="제목 3 2 168" xfId="13095"/>
    <cellStyle name="제목 3 2 169" xfId="13096"/>
    <cellStyle name="제목 3 2 17" xfId="13097"/>
    <cellStyle name="제목 3 2 170" xfId="13098"/>
    <cellStyle name="제목 3 2 171" xfId="13099"/>
    <cellStyle name="제목 3 2 172" xfId="13100"/>
    <cellStyle name="제목 3 2 173" xfId="13101"/>
    <cellStyle name="제목 3 2 174" xfId="13102"/>
    <cellStyle name="제목 3 2 175" xfId="13103"/>
    <cellStyle name="제목 3 2 176" xfId="13104"/>
    <cellStyle name="제목 3 2 177" xfId="13105"/>
    <cellStyle name="제목 3 2 178" xfId="13106"/>
    <cellStyle name="제목 3 2 179" xfId="13107"/>
    <cellStyle name="제목 3 2 18" xfId="13108"/>
    <cellStyle name="제목 3 2 180" xfId="13109"/>
    <cellStyle name="제목 3 2 181" xfId="13110"/>
    <cellStyle name="제목 3 2 182" xfId="13111"/>
    <cellStyle name="제목 3 2 183" xfId="13112"/>
    <cellStyle name="제목 3 2 184" xfId="13113"/>
    <cellStyle name="제목 3 2 185" xfId="13114"/>
    <cellStyle name="제목 3 2 186" xfId="13115"/>
    <cellStyle name="제목 3 2 187" xfId="13116"/>
    <cellStyle name="제목 3 2 188" xfId="13117"/>
    <cellStyle name="제목 3 2 189" xfId="13118"/>
    <cellStyle name="제목 3 2 19" xfId="13119"/>
    <cellStyle name="제목 3 2 190" xfId="13120"/>
    <cellStyle name="제목 3 2 191" xfId="13121"/>
    <cellStyle name="제목 3 2 192" xfId="13122"/>
    <cellStyle name="제목 3 2 193" xfId="13123"/>
    <cellStyle name="제목 3 2 194" xfId="13124"/>
    <cellStyle name="제목 3 2 195" xfId="13125"/>
    <cellStyle name="제목 3 2 196" xfId="13126"/>
    <cellStyle name="제목 3 2 197" xfId="13127"/>
    <cellStyle name="제목 3 2 198" xfId="13128"/>
    <cellStyle name="제목 3 2 199" xfId="13129"/>
    <cellStyle name="제목 3 2 2" xfId="13130"/>
    <cellStyle name="제목 3 2 2 2" xfId="18562"/>
    <cellStyle name="제목 3 2 2 2 2" xfId="18563"/>
    <cellStyle name="제목 3 2 2 2 3" xfId="18564"/>
    <cellStyle name="제목 3 2 2 3" xfId="18565"/>
    <cellStyle name="제목 3 2 2 4" xfId="18566"/>
    <cellStyle name="제목 3 2 2 5" xfId="18567"/>
    <cellStyle name="제목 3 2 20" xfId="13131"/>
    <cellStyle name="제목 3 2 200" xfId="13132"/>
    <cellStyle name="제목 3 2 201" xfId="13133"/>
    <cellStyle name="제목 3 2 202" xfId="13134"/>
    <cellStyle name="제목 3 2 203" xfId="13135"/>
    <cellStyle name="제목 3 2 204" xfId="13136"/>
    <cellStyle name="제목 3 2 205" xfId="13137"/>
    <cellStyle name="제목 3 2 206" xfId="13138"/>
    <cellStyle name="제목 3 2 207" xfId="13139"/>
    <cellStyle name="제목 3 2 208" xfId="13140"/>
    <cellStyle name="제목 3 2 209" xfId="13141"/>
    <cellStyle name="제목 3 2 21" xfId="13142"/>
    <cellStyle name="제목 3 2 210" xfId="13143"/>
    <cellStyle name="제목 3 2 211" xfId="13144"/>
    <cellStyle name="제목 3 2 212" xfId="13145"/>
    <cellStyle name="제목 3 2 213" xfId="13146"/>
    <cellStyle name="제목 3 2 214" xfId="13147"/>
    <cellStyle name="제목 3 2 215" xfId="13148"/>
    <cellStyle name="제목 3 2 216" xfId="13149"/>
    <cellStyle name="제목 3 2 217" xfId="13150"/>
    <cellStyle name="제목 3 2 218" xfId="13151"/>
    <cellStyle name="제목 3 2 219" xfId="13152"/>
    <cellStyle name="제목 3 2 22" xfId="13153"/>
    <cellStyle name="제목 3 2 220" xfId="13154"/>
    <cellStyle name="제목 3 2 221" xfId="13155"/>
    <cellStyle name="제목 3 2 222" xfId="13156"/>
    <cellStyle name="제목 3 2 223" xfId="13157"/>
    <cellStyle name="제목 3 2 224" xfId="13158"/>
    <cellStyle name="제목 3 2 225" xfId="13159"/>
    <cellStyle name="제목 3 2 226" xfId="13160"/>
    <cellStyle name="제목 3 2 227" xfId="13161"/>
    <cellStyle name="제목 3 2 228" xfId="13162"/>
    <cellStyle name="제목 3 2 229" xfId="13163"/>
    <cellStyle name="제목 3 2 23" xfId="13164"/>
    <cellStyle name="제목 3 2 230" xfId="13165"/>
    <cellStyle name="제목 3 2 231" xfId="13166"/>
    <cellStyle name="제목 3 2 232" xfId="13167"/>
    <cellStyle name="제목 3 2 233" xfId="13168"/>
    <cellStyle name="제목 3 2 234" xfId="13169"/>
    <cellStyle name="제목 3 2 235" xfId="13170"/>
    <cellStyle name="제목 3 2 236" xfId="13171"/>
    <cellStyle name="제목 3 2 237" xfId="13172"/>
    <cellStyle name="제목 3 2 238" xfId="13173"/>
    <cellStyle name="제목 3 2 239" xfId="13174"/>
    <cellStyle name="제목 3 2 24" xfId="13175"/>
    <cellStyle name="제목 3 2 240" xfId="13176"/>
    <cellStyle name="제목 3 2 241" xfId="13177"/>
    <cellStyle name="제목 3 2 25" xfId="13178"/>
    <cellStyle name="제목 3 2 26" xfId="13179"/>
    <cellStyle name="제목 3 2 27" xfId="13180"/>
    <cellStyle name="제목 3 2 28" xfId="13181"/>
    <cellStyle name="제목 3 2 29" xfId="13182"/>
    <cellStyle name="제목 3 2 3" xfId="13183"/>
    <cellStyle name="제목 3 2 30" xfId="13184"/>
    <cellStyle name="제목 3 2 31" xfId="13185"/>
    <cellStyle name="제목 3 2 32" xfId="13186"/>
    <cellStyle name="제목 3 2 33" xfId="13187"/>
    <cellStyle name="제목 3 2 34" xfId="13188"/>
    <cellStyle name="제목 3 2 35" xfId="13189"/>
    <cellStyle name="제목 3 2 36" xfId="13190"/>
    <cellStyle name="제목 3 2 37" xfId="13191"/>
    <cellStyle name="제목 3 2 38" xfId="13192"/>
    <cellStyle name="제목 3 2 39" xfId="13193"/>
    <cellStyle name="제목 3 2 4" xfId="13194"/>
    <cellStyle name="제목 3 2 40" xfId="13195"/>
    <cellStyle name="제목 3 2 41" xfId="13196"/>
    <cellStyle name="제목 3 2 42" xfId="13197"/>
    <cellStyle name="제목 3 2 43" xfId="13198"/>
    <cellStyle name="제목 3 2 44" xfId="13199"/>
    <cellStyle name="제목 3 2 45" xfId="13200"/>
    <cellStyle name="제목 3 2 46" xfId="13201"/>
    <cellStyle name="제목 3 2 47" xfId="13202"/>
    <cellStyle name="제목 3 2 48" xfId="13203"/>
    <cellStyle name="제목 3 2 49" xfId="13204"/>
    <cellStyle name="제목 3 2 5" xfId="13205"/>
    <cellStyle name="제목 3 2 50" xfId="13206"/>
    <cellStyle name="제목 3 2 51" xfId="13207"/>
    <cellStyle name="제목 3 2 52" xfId="13208"/>
    <cellStyle name="제목 3 2 53" xfId="13209"/>
    <cellStyle name="제목 3 2 54" xfId="13210"/>
    <cellStyle name="제목 3 2 55" xfId="13211"/>
    <cellStyle name="제목 3 2 56" xfId="13212"/>
    <cellStyle name="제목 3 2 57" xfId="13213"/>
    <cellStyle name="제목 3 2 58" xfId="13214"/>
    <cellStyle name="제목 3 2 59" xfId="13215"/>
    <cellStyle name="제목 3 2 6" xfId="13216"/>
    <cellStyle name="제목 3 2 60" xfId="13217"/>
    <cellStyle name="제목 3 2 61" xfId="13218"/>
    <cellStyle name="제목 3 2 62" xfId="13219"/>
    <cellStyle name="제목 3 2 63" xfId="13220"/>
    <cellStyle name="제목 3 2 64" xfId="13221"/>
    <cellStyle name="제목 3 2 65" xfId="13222"/>
    <cellStyle name="제목 3 2 66" xfId="13223"/>
    <cellStyle name="제목 3 2 67" xfId="13224"/>
    <cellStyle name="제목 3 2 68" xfId="13225"/>
    <cellStyle name="제목 3 2 69" xfId="13226"/>
    <cellStyle name="제목 3 2 7" xfId="13227"/>
    <cellStyle name="제목 3 2 70" xfId="13228"/>
    <cellStyle name="제목 3 2 71" xfId="13229"/>
    <cellStyle name="제목 3 2 72" xfId="13230"/>
    <cellStyle name="제목 3 2 73" xfId="13231"/>
    <cellStyle name="제목 3 2 74" xfId="13232"/>
    <cellStyle name="제목 3 2 75" xfId="13233"/>
    <cellStyle name="제목 3 2 76" xfId="13234"/>
    <cellStyle name="제목 3 2 77" xfId="13235"/>
    <cellStyle name="제목 3 2 78" xfId="13236"/>
    <cellStyle name="제목 3 2 79" xfId="13237"/>
    <cellStyle name="제목 3 2 8" xfId="13238"/>
    <cellStyle name="제목 3 2 80" xfId="13239"/>
    <cellStyle name="제목 3 2 81" xfId="13240"/>
    <cellStyle name="제목 3 2 82" xfId="13241"/>
    <cellStyle name="제목 3 2 83" xfId="13242"/>
    <cellStyle name="제목 3 2 84" xfId="13243"/>
    <cellStyle name="제목 3 2 85" xfId="13244"/>
    <cellStyle name="제목 3 2 86" xfId="13245"/>
    <cellStyle name="제목 3 2 87" xfId="13246"/>
    <cellStyle name="제목 3 2 88" xfId="13247"/>
    <cellStyle name="제목 3 2 89" xfId="13248"/>
    <cellStyle name="제목 3 2 9" xfId="13249"/>
    <cellStyle name="제목 3 2 90" xfId="13250"/>
    <cellStyle name="제목 3 2 91" xfId="13251"/>
    <cellStyle name="제목 3 2 92" xfId="13252"/>
    <cellStyle name="제목 3 2 93" xfId="13253"/>
    <cellStyle name="제목 3 2 94" xfId="13254"/>
    <cellStyle name="제목 3 2 95" xfId="13255"/>
    <cellStyle name="제목 3 2 96" xfId="13256"/>
    <cellStyle name="제목 3 2 97" xfId="13257"/>
    <cellStyle name="제목 3 2 98" xfId="13258"/>
    <cellStyle name="제목 3 2 99" xfId="13259"/>
    <cellStyle name="제목 3 2_CHK_DATA" xfId="18568"/>
    <cellStyle name="제목 3 20" xfId="18569"/>
    <cellStyle name="제목 3 21" xfId="18570"/>
    <cellStyle name="제목 3 22" xfId="18571"/>
    <cellStyle name="제목 3 23" xfId="18572"/>
    <cellStyle name="제목 3 24" xfId="18573"/>
    <cellStyle name="제목 3 25" xfId="18574"/>
    <cellStyle name="제목 3 26" xfId="18575"/>
    <cellStyle name="제목 3 27" xfId="18576"/>
    <cellStyle name="제목 3 28" xfId="18577"/>
    <cellStyle name="제목 3 29" xfId="18578"/>
    <cellStyle name="제목 3 3" xfId="18579"/>
    <cellStyle name="제목 3 3 2" xfId="18580"/>
    <cellStyle name="제목 3 3 3" xfId="18581"/>
    <cellStyle name="제목 3 30" xfId="18582"/>
    <cellStyle name="제목 3 31" xfId="18583"/>
    <cellStyle name="제목 3 32" xfId="18584"/>
    <cellStyle name="제목 3 4" xfId="18585"/>
    <cellStyle name="제목 3 4 2" xfId="18586"/>
    <cellStyle name="제목 3 4 3" xfId="18587"/>
    <cellStyle name="제목 3 5" xfId="18588"/>
    <cellStyle name="제목 3 5 2" xfId="18589"/>
    <cellStyle name="제목 3 5 3" xfId="18590"/>
    <cellStyle name="제목 3 6" xfId="18591"/>
    <cellStyle name="제목 3 6 2" xfId="18592"/>
    <cellStyle name="제목 3 6 3" xfId="18593"/>
    <cellStyle name="제목 3 7" xfId="18594"/>
    <cellStyle name="제목 3 7 2" xfId="18595"/>
    <cellStyle name="제목 3 7 3" xfId="18596"/>
    <cellStyle name="제목 3 8" xfId="18597"/>
    <cellStyle name="제목 3 8 2" xfId="18598"/>
    <cellStyle name="제목 3 8 3" xfId="18599"/>
    <cellStyle name="제목 3 9" xfId="18600"/>
    <cellStyle name="제목 3 9 2" xfId="18601"/>
    <cellStyle name="제목 3 9 3" xfId="18602"/>
    <cellStyle name="제목 30" xfId="18603"/>
    <cellStyle name="제목 31" xfId="18604"/>
    <cellStyle name="제목 32" xfId="18605"/>
    <cellStyle name="제목 33" xfId="18606"/>
    <cellStyle name="제목 34" xfId="18607"/>
    <cellStyle name="제목 35" xfId="18608"/>
    <cellStyle name="제목 4 10" xfId="18609"/>
    <cellStyle name="제목 4 10 2" xfId="18610"/>
    <cellStyle name="제목 4 10 3" xfId="18611"/>
    <cellStyle name="제목 4 11" xfId="18612"/>
    <cellStyle name="제목 4 12" xfId="18613"/>
    <cellStyle name="제목 4 13" xfId="18614"/>
    <cellStyle name="제목 4 14" xfId="18615"/>
    <cellStyle name="제목 4 15" xfId="18616"/>
    <cellStyle name="제목 4 16" xfId="18617"/>
    <cellStyle name="제목 4 17" xfId="18618"/>
    <cellStyle name="제목 4 18" xfId="18619"/>
    <cellStyle name="제목 4 19" xfId="18620"/>
    <cellStyle name="제목 4 2" xfId="13260"/>
    <cellStyle name="제목 4 2 10" xfId="13261"/>
    <cellStyle name="제목 4 2 100" xfId="13262"/>
    <cellStyle name="제목 4 2 101" xfId="13263"/>
    <cellStyle name="제목 4 2 102" xfId="13264"/>
    <cellStyle name="제목 4 2 103" xfId="13265"/>
    <cellStyle name="제목 4 2 104" xfId="13266"/>
    <cellStyle name="제목 4 2 105" xfId="13267"/>
    <cellStyle name="제목 4 2 106" xfId="13268"/>
    <cellStyle name="제목 4 2 107" xfId="13269"/>
    <cellStyle name="제목 4 2 108" xfId="13270"/>
    <cellStyle name="제목 4 2 109" xfId="13271"/>
    <cellStyle name="제목 4 2 11" xfId="13272"/>
    <cellStyle name="제목 4 2 110" xfId="13273"/>
    <cellStyle name="제목 4 2 111" xfId="13274"/>
    <cellStyle name="제목 4 2 112" xfId="13275"/>
    <cellStyle name="제목 4 2 113" xfId="13276"/>
    <cellStyle name="제목 4 2 114" xfId="13277"/>
    <cellStyle name="제목 4 2 115" xfId="13278"/>
    <cellStyle name="제목 4 2 116" xfId="13279"/>
    <cellStyle name="제목 4 2 117" xfId="13280"/>
    <cellStyle name="제목 4 2 118" xfId="13281"/>
    <cellStyle name="제목 4 2 119" xfId="13282"/>
    <cellStyle name="제목 4 2 12" xfId="13283"/>
    <cellStyle name="제목 4 2 120" xfId="13284"/>
    <cellStyle name="제목 4 2 121" xfId="13285"/>
    <cellStyle name="제목 4 2 122" xfId="13286"/>
    <cellStyle name="제목 4 2 123" xfId="13287"/>
    <cellStyle name="제목 4 2 124" xfId="13288"/>
    <cellStyle name="제목 4 2 125" xfId="13289"/>
    <cellStyle name="제목 4 2 126" xfId="13290"/>
    <cellStyle name="제목 4 2 127" xfId="13291"/>
    <cellStyle name="제목 4 2 128" xfId="13292"/>
    <cellStyle name="제목 4 2 129" xfId="13293"/>
    <cellStyle name="제목 4 2 13" xfId="13294"/>
    <cellStyle name="제목 4 2 130" xfId="13295"/>
    <cellStyle name="제목 4 2 131" xfId="13296"/>
    <cellStyle name="제목 4 2 132" xfId="13297"/>
    <cellStyle name="제목 4 2 133" xfId="13298"/>
    <cellStyle name="제목 4 2 134" xfId="13299"/>
    <cellStyle name="제목 4 2 135" xfId="13300"/>
    <cellStyle name="제목 4 2 136" xfId="13301"/>
    <cellStyle name="제목 4 2 137" xfId="13302"/>
    <cellStyle name="제목 4 2 138" xfId="13303"/>
    <cellStyle name="제목 4 2 139" xfId="13304"/>
    <cellStyle name="제목 4 2 14" xfId="13305"/>
    <cellStyle name="제목 4 2 140" xfId="13306"/>
    <cellStyle name="제목 4 2 141" xfId="13307"/>
    <cellStyle name="제목 4 2 142" xfId="13308"/>
    <cellStyle name="제목 4 2 143" xfId="13309"/>
    <cellStyle name="제목 4 2 144" xfId="13310"/>
    <cellStyle name="제목 4 2 145" xfId="13311"/>
    <cellStyle name="제목 4 2 146" xfId="13312"/>
    <cellStyle name="제목 4 2 147" xfId="13313"/>
    <cellStyle name="제목 4 2 148" xfId="13314"/>
    <cellStyle name="제목 4 2 149" xfId="13315"/>
    <cellStyle name="제목 4 2 15" xfId="13316"/>
    <cellStyle name="제목 4 2 150" xfId="13317"/>
    <cellStyle name="제목 4 2 151" xfId="13318"/>
    <cellStyle name="제목 4 2 152" xfId="13319"/>
    <cellStyle name="제목 4 2 153" xfId="13320"/>
    <cellStyle name="제목 4 2 154" xfId="13321"/>
    <cellStyle name="제목 4 2 155" xfId="13322"/>
    <cellStyle name="제목 4 2 156" xfId="13323"/>
    <cellStyle name="제목 4 2 157" xfId="13324"/>
    <cellStyle name="제목 4 2 158" xfId="13325"/>
    <cellStyle name="제목 4 2 159" xfId="13326"/>
    <cellStyle name="제목 4 2 16" xfId="13327"/>
    <cellStyle name="제목 4 2 160" xfId="13328"/>
    <cellStyle name="제목 4 2 161" xfId="13329"/>
    <cellStyle name="제목 4 2 162" xfId="13330"/>
    <cellStyle name="제목 4 2 163" xfId="13331"/>
    <cellStyle name="제목 4 2 164" xfId="13332"/>
    <cellStyle name="제목 4 2 165" xfId="13333"/>
    <cellStyle name="제목 4 2 166" xfId="13334"/>
    <cellStyle name="제목 4 2 167" xfId="13335"/>
    <cellStyle name="제목 4 2 168" xfId="13336"/>
    <cellStyle name="제목 4 2 169" xfId="13337"/>
    <cellStyle name="제목 4 2 17" xfId="13338"/>
    <cellStyle name="제목 4 2 170" xfId="13339"/>
    <cellStyle name="제목 4 2 171" xfId="13340"/>
    <cellStyle name="제목 4 2 172" xfId="13341"/>
    <cellStyle name="제목 4 2 173" xfId="13342"/>
    <cellStyle name="제목 4 2 174" xfId="13343"/>
    <cellStyle name="제목 4 2 175" xfId="13344"/>
    <cellStyle name="제목 4 2 176" xfId="13345"/>
    <cellStyle name="제목 4 2 177" xfId="13346"/>
    <cellStyle name="제목 4 2 178" xfId="13347"/>
    <cellStyle name="제목 4 2 179" xfId="13348"/>
    <cellStyle name="제목 4 2 18" xfId="13349"/>
    <cellStyle name="제목 4 2 180" xfId="13350"/>
    <cellStyle name="제목 4 2 181" xfId="13351"/>
    <cellStyle name="제목 4 2 182" xfId="13352"/>
    <cellStyle name="제목 4 2 183" xfId="13353"/>
    <cellStyle name="제목 4 2 184" xfId="13354"/>
    <cellStyle name="제목 4 2 185" xfId="13355"/>
    <cellStyle name="제목 4 2 186" xfId="13356"/>
    <cellStyle name="제목 4 2 187" xfId="13357"/>
    <cellStyle name="제목 4 2 188" xfId="13358"/>
    <cellStyle name="제목 4 2 189" xfId="13359"/>
    <cellStyle name="제목 4 2 19" xfId="13360"/>
    <cellStyle name="제목 4 2 190" xfId="13361"/>
    <cellStyle name="제목 4 2 191" xfId="13362"/>
    <cellStyle name="제목 4 2 192" xfId="13363"/>
    <cellStyle name="제목 4 2 193" xfId="13364"/>
    <cellStyle name="제목 4 2 194" xfId="13365"/>
    <cellStyle name="제목 4 2 195" xfId="13366"/>
    <cellStyle name="제목 4 2 196" xfId="13367"/>
    <cellStyle name="제목 4 2 197" xfId="13368"/>
    <cellStyle name="제목 4 2 198" xfId="13369"/>
    <cellStyle name="제목 4 2 199" xfId="13370"/>
    <cellStyle name="제목 4 2 2" xfId="13371"/>
    <cellStyle name="제목 4 2 2 2" xfId="18621"/>
    <cellStyle name="제목 4 2 2 2 2" xfId="18622"/>
    <cellStyle name="제목 4 2 2 2 3" xfId="18623"/>
    <cellStyle name="제목 4 2 2 3" xfId="18624"/>
    <cellStyle name="제목 4 2 2 4" xfId="18625"/>
    <cellStyle name="제목 4 2 2 5" xfId="18626"/>
    <cellStyle name="제목 4 2 20" xfId="13372"/>
    <cellStyle name="제목 4 2 200" xfId="13373"/>
    <cellStyle name="제목 4 2 201" xfId="13374"/>
    <cellStyle name="제목 4 2 202" xfId="13375"/>
    <cellStyle name="제목 4 2 203" xfId="13376"/>
    <cellStyle name="제목 4 2 204" xfId="13377"/>
    <cellStyle name="제목 4 2 205" xfId="13378"/>
    <cellStyle name="제목 4 2 206" xfId="13379"/>
    <cellStyle name="제목 4 2 207" xfId="13380"/>
    <cellStyle name="제목 4 2 208" xfId="13381"/>
    <cellStyle name="제목 4 2 209" xfId="13382"/>
    <cellStyle name="제목 4 2 21" xfId="13383"/>
    <cellStyle name="제목 4 2 210" xfId="13384"/>
    <cellStyle name="제목 4 2 211" xfId="13385"/>
    <cellStyle name="제목 4 2 212" xfId="13386"/>
    <cellStyle name="제목 4 2 213" xfId="13387"/>
    <cellStyle name="제목 4 2 214" xfId="13388"/>
    <cellStyle name="제목 4 2 215" xfId="13389"/>
    <cellStyle name="제목 4 2 216" xfId="13390"/>
    <cellStyle name="제목 4 2 217" xfId="13391"/>
    <cellStyle name="제목 4 2 218" xfId="13392"/>
    <cellStyle name="제목 4 2 219" xfId="13393"/>
    <cellStyle name="제목 4 2 22" xfId="13394"/>
    <cellStyle name="제목 4 2 220" xfId="13395"/>
    <cellStyle name="제목 4 2 221" xfId="13396"/>
    <cellStyle name="제목 4 2 222" xfId="13397"/>
    <cellStyle name="제목 4 2 223" xfId="13398"/>
    <cellStyle name="제목 4 2 224" xfId="13399"/>
    <cellStyle name="제목 4 2 225" xfId="13400"/>
    <cellStyle name="제목 4 2 226" xfId="13401"/>
    <cellStyle name="제목 4 2 227" xfId="13402"/>
    <cellStyle name="제목 4 2 228" xfId="13403"/>
    <cellStyle name="제목 4 2 229" xfId="13404"/>
    <cellStyle name="제목 4 2 23" xfId="13405"/>
    <cellStyle name="제목 4 2 230" xfId="13406"/>
    <cellStyle name="제목 4 2 231" xfId="13407"/>
    <cellStyle name="제목 4 2 232" xfId="13408"/>
    <cellStyle name="제목 4 2 233" xfId="13409"/>
    <cellStyle name="제목 4 2 234" xfId="13410"/>
    <cellStyle name="제목 4 2 235" xfId="13411"/>
    <cellStyle name="제목 4 2 236" xfId="13412"/>
    <cellStyle name="제목 4 2 237" xfId="13413"/>
    <cellStyle name="제목 4 2 238" xfId="13414"/>
    <cellStyle name="제목 4 2 239" xfId="13415"/>
    <cellStyle name="제목 4 2 24" xfId="13416"/>
    <cellStyle name="제목 4 2 240" xfId="13417"/>
    <cellStyle name="제목 4 2 241" xfId="13418"/>
    <cellStyle name="제목 4 2 25" xfId="13419"/>
    <cellStyle name="제목 4 2 26" xfId="13420"/>
    <cellStyle name="제목 4 2 27" xfId="13421"/>
    <cellStyle name="제목 4 2 28" xfId="13422"/>
    <cellStyle name="제목 4 2 29" xfId="13423"/>
    <cellStyle name="제목 4 2 3" xfId="13424"/>
    <cellStyle name="제목 4 2 30" xfId="13425"/>
    <cellStyle name="제목 4 2 31" xfId="13426"/>
    <cellStyle name="제목 4 2 32" xfId="13427"/>
    <cellStyle name="제목 4 2 33" xfId="13428"/>
    <cellStyle name="제목 4 2 34" xfId="13429"/>
    <cellStyle name="제목 4 2 35" xfId="13430"/>
    <cellStyle name="제목 4 2 36" xfId="13431"/>
    <cellStyle name="제목 4 2 37" xfId="13432"/>
    <cellStyle name="제목 4 2 38" xfId="13433"/>
    <cellStyle name="제목 4 2 39" xfId="13434"/>
    <cellStyle name="제목 4 2 4" xfId="13435"/>
    <cellStyle name="제목 4 2 40" xfId="13436"/>
    <cellStyle name="제목 4 2 41" xfId="13437"/>
    <cellStyle name="제목 4 2 42" xfId="13438"/>
    <cellStyle name="제목 4 2 43" xfId="13439"/>
    <cellStyle name="제목 4 2 44" xfId="13440"/>
    <cellStyle name="제목 4 2 45" xfId="13441"/>
    <cellStyle name="제목 4 2 46" xfId="13442"/>
    <cellStyle name="제목 4 2 47" xfId="13443"/>
    <cellStyle name="제목 4 2 48" xfId="13444"/>
    <cellStyle name="제목 4 2 49" xfId="13445"/>
    <cellStyle name="제목 4 2 5" xfId="13446"/>
    <cellStyle name="제목 4 2 50" xfId="13447"/>
    <cellStyle name="제목 4 2 51" xfId="13448"/>
    <cellStyle name="제목 4 2 52" xfId="13449"/>
    <cellStyle name="제목 4 2 53" xfId="13450"/>
    <cellStyle name="제목 4 2 54" xfId="13451"/>
    <cellStyle name="제목 4 2 55" xfId="13452"/>
    <cellStyle name="제목 4 2 56" xfId="13453"/>
    <cellStyle name="제목 4 2 57" xfId="13454"/>
    <cellStyle name="제목 4 2 58" xfId="13455"/>
    <cellStyle name="제목 4 2 59" xfId="13456"/>
    <cellStyle name="제목 4 2 6" xfId="13457"/>
    <cellStyle name="제목 4 2 60" xfId="13458"/>
    <cellStyle name="제목 4 2 61" xfId="13459"/>
    <cellStyle name="제목 4 2 62" xfId="13460"/>
    <cellStyle name="제목 4 2 63" xfId="13461"/>
    <cellStyle name="제목 4 2 64" xfId="13462"/>
    <cellStyle name="제목 4 2 65" xfId="13463"/>
    <cellStyle name="제목 4 2 66" xfId="13464"/>
    <cellStyle name="제목 4 2 67" xfId="13465"/>
    <cellStyle name="제목 4 2 68" xfId="13466"/>
    <cellStyle name="제목 4 2 69" xfId="13467"/>
    <cellStyle name="제목 4 2 7" xfId="13468"/>
    <cellStyle name="제목 4 2 70" xfId="13469"/>
    <cellStyle name="제목 4 2 71" xfId="13470"/>
    <cellStyle name="제목 4 2 72" xfId="13471"/>
    <cellStyle name="제목 4 2 73" xfId="13472"/>
    <cellStyle name="제목 4 2 74" xfId="13473"/>
    <cellStyle name="제목 4 2 75" xfId="13474"/>
    <cellStyle name="제목 4 2 76" xfId="13475"/>
    <cellStyle name="제목 4 2 77" xfId="13476"/>
    <cellStyle name="제목 4 2 78" xfId="13477"/>
    <cellStyle name="제목 4 2 79" xfId="13478"/>
    <cellStyle name="제목 4 2 8" xfId="13479"/>
    <cellStyle name="제목 4 2 80" xfId="13480"/>
    <cellStyle name="제목 4 2 81" xfId="13481"/>
    <cellStyle name="제목 4 2 82" xfId="13482"/>
    <cellStyle name="제목 4 2 83" xfId="13483"/>
    <cellStyle name="제목 4 2 84" xfId="13484"/>
    <cellStyle name="제목 4 2 85" xfId="13485"/>
    <cellStyle name="제목 4 2 86" xfId="13486"/>
    <cellStyle name="제목 4 2 87" xfId="13487"/>
    <cellStyle name="제목 4 2 88" xfId="13488"/>
    <cellStyle name="제목 4 2 89" xfId="13489"/>
    <cellStyle name="제목 4 2 9" xfId="13490"/>
    <cellStyle name="제목 4 2 90" xfId="13491"/>
    <cellStyle name="제목 4 2 91" xfId="13492"/>
    <cellStyle name="제목 4 2 92" xfId="13493"/>
    <cellStyle name="제목 4 2 93" xfId="13494"/>
    <cellStyle name="제목 4 2 94" xfId="13495"/>
    <cellStyle name="제목 4 2 95" xfId="13496"/>
    <cellStyle name="제목 4 2 96" xfId="13497"/>
    <cellStyle name="제목 4 2 97" xfId="13498"/>
    <cellStyle name="제목 4 2 98" xfId="13499"/>
    <cellStyle name="제목 4 2 99" xfId="13500"/>
    <cellStyle name="제목 4 2_CHK_DATA" xfId="18627"/>
    <cellStyle name="제목 4 20" xfId="18628"/>
    <cellStyle name="제목 4 21" xfId="18629"/>
    <cellStyle name="제목 4 22" xfId="18630"/>
    <cellStyle name="제목 4 23" xfId="18631"/>
    <cellStyle name="제목 4 24" xfId="18632"/>
    <cellStyle name="제목 4 25" xfId="18633"/>
    <cellStyle name="제목 4 26" xfId="18634"/>
    <cellStyle name="제목 4 27" xfId="18635"/>
    <cellStyle name="제목 4 28" xfId="18636"/>
    <cellStyle name="제목 4 29" xfId="18637"/>
    <cellStyle name="제목 4 3" xfId="18638"/>
    <cellStyle name="제목 4 3 2" xfId="18639"/>
    <cellStyle name="제목 4 3 3" xfId="18640"/>
    <cellStyle name="제목 4 30" xfId="18641"/>
    <cellStyle name="제목 4 31" xfId="18642"/>
    <cellStyle name="제목 4 32" xfId="18643"/>
    <cellStyle name="제목 4 4" xfId="18644"/>
    <cellStyle name="제목 4 4 2" xfId="18645"/>
    <cellStyle name="제목 4 4 3" xfId="18646"/>
    <cellStyle name="제목 4 5" xfId="18647"/>
    <cellStyle name="제목 4 5 2" xfId="18648"/>
    <cellStyle name="제목 4 5 3" xfId="18649"/>
    <cellStyle name="제목 4 6" xfId="18650"/>
    <cellStyle name="제목 4 6 2" xfId="18651"/>
    <cellStyle name="제목 4 6 3" xfId="18652"/>
    <cellStyle name="제목 4 7" xfId="18653"/>
    <cellStyle name="제목 4 7 2" xfId="18654"/>
    <cellStyle name="제목 4 7 3" xfId="18655"/>
    <cellStyle name="제목 4 8" xfId="18656"/>
    <cellStyle name="제목 4 8 2" xfId="18657"/>
    <cellStyle name="제목 4 8 3" xfId="18658"/>
    <cellStyle name="제목 4 9" xfId="18659"/>
    <cellStyle name="제목 4 9 2" xfId="18660"/>
    <cellStyle name="제목 4 9 3" xfId="18661"/>
    <cellStyle name="제목 5" xfId="18662"/>
    <cellStyle name="제목 5 10" xfId="18663"/>
    <cellStyle name="제목 5 11" xfId="18664"/>
    <cellStyle name="제목 5 12" xfId="18665"/>
    <cellStyle name="제목 5 13" xfId="18666"/>
    <cellStyle name="제목 5 14" xfId="18667"/>
    <cellStyle name="제목 5 15" xfId="18668"/>
    <cellStyle name="제목 5 16" xfId="18669"/>
    <cellStyle name="제목 5 17" xfId="18670"/>
    <cellStyle name="제목 5 18" xfId="18671"/>
    <cellStyle name="제목 5 19" xfId="18672"/>
    <cellStyle name="제목 5 2" xfId="18673"/>
    <cellStyle name="제목 5 2 2" xfId="18674"/>
    <cellStyle name="제목 5 2 2 2" xfId="18675"/>
    <cellStyle name="제목 5 2 2 3" xfId="18676"/>
    <cellStyle name="제목 5 2 3" xfId="18677"/>
    <cellStyle name="제목 5 2 4" xfId="18678"/>
    <cellStyle name="제목 5 2 5" xfId="18679"/>
    <cellStyle name="제목 5 20" xfId="18680"/>
    <cellStyle name="제목 5 21" xfId="18681"/>
    <cellStyle name="제목 5 22" xfId="18682"/>
    <cellStyle name="제목 5 23" xfId="18683"/>
    <cellStyle name="제목 5 24" xfId="18684"/>
    <cellStyle name="제목 5 25" xfId="18685"/>
    <cellStyle name="제목 5 26" xfId="18686"/>
    <cellStyle name="제목 5 27" xfId="18687"/>
    <cellStyle name="제목 5 3" xfId="18688"/>
    <cellStyle name="제목 5 4" xfId="18689"/>
    <cellStyle name="제목 5 5" xfId="18690"/>
    <cellStyle name="제목 5 6" xfId="18691"/>
    <cellStyle name="제목 5 7" xfId="18692"/>
    <cellStyle name="제목 5 8" xfId="18693"/>
    <cellStyle name="제목 5 9" xfId="18694"/>
    <cellStyle name="제목 5_CHK_DATA" xfId="18695"/>
    <cellStyle name="제목 6" xfId="18696"/>
    <cellStyle name="제목 6 2" xfId="18697"/>
    <cellStyle name="제목 6 3" xfId="18698"/>
    <cellStyle name="제목 7" xfId="18699"/>
    <cellStyle name="제목 7 2" xfId="18700"/>
    <cellStyle name="제목 7 2 2" xfId="18701"/>
    <cellStyle name="제목 7 2 3" xfId="18702"/>
    <cellStyle name="제목 7 3" xfId="18703"/>
    <cellStyle name="제목 7 4" xfId="18704"/>
    <cellStyle name="제목 8" xfId="18705"/>
    <cellStyle name="제목 8 2" xfId="18706"/>
    <cellStyle name="제목 8 3" xfId="18707"/>
    <cellStyle name="제목 9" xfId="18708"/>
    <cellStyle name="제목 9 2" xfId="18709"/>
    <cellStyle name="제목 9 3" xfId="18710"/>
    <cellStyle name="좋음 10" xfId="18711"/>
    <cellStyle name="좋음 11" xfId="18712"/>
    <cellStyle name="좋음 12" xfId="18713"/>
    <cellStyle name="좋음 13" xfId="18714"/>
    <cellStyle name="좋음 14" xfId="18715"/>
    <cellStyle name="좋음 15" xfId="18716"/>
    <cellStyle name="좋음 16" xfId="18717"/>
    <cellStyle name="좋음 17" xfId="18718"/>
    <cellStyle name="좋음 18" xfId="18719"/>
    <cellStyle name="좋음 19" xfId="18720"/>
    <cellStyle name="좋음 2" xfId="13501"/>
    <cellStyle name="좋음 2 10" xfId="13502"/>
    <cellStyle name="좋음 2 100" xfId="13503"/>
    <cellStyle name="좋음 2 101" xfId="13504"/>
    <cellStyle name="좋음 2 102" xfId="13505"/>
    <cellStyle name="좋음 2 103" xfId="13506"/>
    <cellStyle name="좋음 2 104" xfId="13507"/>
    <cellStyle name="좋음 2 105" xfId="13508"/>
    <cellStyle name="좋음 2 106" xfId="13509"/>
    <cellStyle name="좋음 2 107" xfId="13510"/>
    <cellStyle name="좋음 2 108" xfId="13511"/>
    <cellStyle name="좋음 2 109" xfId="13512"/>
    <cellStyle name="좋음 2 11" xfId="13513"/>
    <cellStyle name="좋음 2 110" xfId="13514"/>
    <cellStyle name="좋음 2 111" xfId="13515"/>
    <cellStyle name="좋음 2 112" xfId="13516"/>
    <cellStyle name="좋음 2 113" xfId="13517"/>
    <cellStyle name="좋음 2 114" xfId="13518"/>
    <cellStyle name="좋음 2 115" xfId="13519"/>
    <cellStyle name="좋음 2 116" xfId="13520"/>
    <cellStyle name="좋음 2 117" xfId="13521"/>
    <cellStyle name="좋음 2 118" xfId="13522"/>
    <cellStyle name="좋음 2 119" xfId="13523"/>
    <cellStyle name="좋음 2 12" xfId="13524"/>
    <cellStyle name="좋음 2 120" xfId="13525"/>
    <cellStyle name="좋음 2 121" xfId="13526"/>
    <cellStyle name="좋음 2 122" xfId="13527"/>
    <cellStyle name="좋음 2 123" xfId="13528"/>
    <cellStyle name="좋음 2 124" xfId="13529"/>
    <cellStyle name="좋음 2 125" xfId="13530"/>
    <cellStyle name="좋음 2 126" xfId="13531"/>
    <cellStyle name="좋음 2 127" xfId="13532"/>
    <cellStyle name="좋음 2 128" xfId="13533"/>
    <cellStyle name="좋음 2 129" xfId="13534"/>
    <cellStyle name="좋음 2 13" xfId="13535"/>
    <cellStyle name="좋음 2 130" xfId="13536"/>
    <cellStyle name="좋음 2 131" xfId="13537"/>
    <cellStyle name="좋음 2 132" xfId="13538"/>
    <cellStyle name="좋음 2 133" xfId="13539"/>
    <cellStyle name="좋음 2 134" xfId="13540"/>
    <cellStyle name="좋음 2 135" xfId="13541"/>
    <cellStyle name="좋음 2 136" xfId="13542"/>
    <cellStyle name="좋음 2 137" xfId="13543"/>
    <cellStyle name="좋음 2 138" xfId="13544"/>
    <cellStyle name="좋음 2 139" xfId="13545"/>
    <cellStyle name="좋음 2 14" xfId="13546"/>
    <cellStyle name="좋음 2 140" xfId="13547"/>
    <cellStyle name="좋음 2 141" xfId="13548"/>
    <cellStyle name="좋음 2 142" xfId="13549"/>
    <cellStyle name="좋음 2 143" xfId="13550"/>
    <cellStyle name="좋음 2 144" xfId="13551"/>
    <cellStyle name="좋음 2 145" xfId="13552"/>
    <cellStyle name="좋음 2 146" xfId="13553"/>
    <cellStyle name="좋음 2 147" xfId="13554"/>
    <cellStyle name="좋음 2 148" xfId="13555"/>
    <cellStyle name="좋음 2 149" xfId="13556"/>
    <cellStyle name="좋음 2 15" xfId="13557"/>
    <cellStyle name="좋음 2 150" xfId="13558"/>
    <cellStyle name="좋음 2 151" xfId="13559"/>
    <cellStyle name="좋음 2 152" xfId="13560"/>
    <cellStyle name="좋음 2 153" xfId="13561"/>
    <cellStyle name="좋음 2 154" xfId="13562"/>
    <cellStyle name="좋음 2 155" xfId="13563"/>
    <cellStyle name="좋음 2 156" xfId="13564"/>
    <cellStyle name="좋음 2 157" xfId="13565"/>
    <cellStyle name="좋음 2 158" xfId="13566"/>
    <cellStyle name="좋음 2 159" xfId="13567"/>
    <cellStyle name="좋음 2 16" xfId="13568"/>
    <cellStyle name="좋음 2 160" xfId="13569"/>
    <cellStyle name="좋음 2 161" xfId="13570"/>
    <cellStyle name="좋음 2 162" xfId="13571"/>
    <cellStyle name="좋음 2 163" xfId="13572"/>
    <cellStyle name="좋음 2 164" xfId="13573"/>
    <cellStyle name="좋음 2 165" xfId="13574"/>
    <cellStyle name="좋음 2 166" xfId="13575"/>
    <cellStyle name="좋음 2 167" xfId="13576"/>
    <cellStyle name="좋음 2 168" xfId="13577"/>
    <cellStyle name="좋음 2 169" xfId="13578"/>
    <cellStyle name="좋음 2 17" xfId="13579"/>
    <cellStyle name="좋음 2 170" xfId="13580"/>
    <cellStyle name="좋음 2 171" xfId="13581"/>
    <cellStyle name="좋음 2 172" xfId="13582"/>
    <cellStyle name="좋음 2 173" xfId="13583"/>
    <cellStyle name="좋음 2 174" xfId="13584"/>
    <cellStyle name="좋음 2 175" xfId="13585"/>
    <cellStyle name="좋음 2 176" xfId="13586"/>
    <cellStyle name="좋음 2 177" xfId="13587"/>
    <cellStyle name="좋음 2 178" xfId="13588"/>
    <cellStyle name="좋음 2 179" xfId="13589"/>
    <cellStyle name="좋음 2 18" xfId="13590"/>
    <cellStyle name="좋음 2 180" xfId="13591"/>
    <cellStyle name="좋음 2 181" xfId="13592"/>
    <cellStyle name="좋음 2 182" xfId="13593"/>
    <cellStyle name="좋음 2 183" xfId="13594"/>
    <cellStyle name="좋음 2 184" xfId="13595"/>
    <cellStyle name="좋음 2 185" xfId="13596"/>
    <cellStyle name="좋음 2 186" xfId="13597"/>
    <cellStyle name="좋음 2 187" xfId="13598"/>
    <cellStyle name="좋음 2 188" xfId="13599"/>
    <cellStyle name="좋음 2 189" xfId="13600"/>
    <cellStyle name="좋음 2 19" xfId="13601"/>
    <cellStyle name="좋음 2 190" xfId="13602"/>
    <cellStyle name="좋음 2 191" xfId="13603"/>
    <cellStyle name="좋음 2 192" xfId="13604"/>
    <cellStyle name="좋음 2 193" xfId="13605"/>
    <cellStyle name="좋음 2 194" xfId="13606"/>
    <cellStyle name="좋음 2 195" xfId="13607"/>
    <cellStyle name="좋음 2 196" xfId="13608"/>
    <cellStyle name="좋음 2 197" xfId="13609"/>
    <cellStyle name="좋음 2 198" xfId="13610"/>
    <cellStyle name="좋음 2 199" xfId="13611"/>
    <cellStyle name="좋음 2 2" xfId="13612"/>
    <cellStyle name="좋음 2 20" xfId="13613"/>
    <cellStyle name="좋음 2 200" xfId="13614"/>
    <cellStyle name="좋음 2 201" xfId="13615"/>
    <cellStyle name="좋음 2 202" xfId="13616"/>
    <cellStyle name="좋음 2 203" xfId="13617"/>
    <cellStyle name="좋음 2 204" xfId="13618"/>
    <cellStyle name="좋음 2 205" xfId="13619"/>
    <cellStyle name="좋음 2 206" xfId="13620"/>
    <cellStyle name="좋음 2 207" xfId="13621"/>
    <cellStyle name="좋음 2 208" xfId="13622"/>
    <cellStyle name="좋음 2 209" xfId="13623"/>
    <cellStyle name="좋음 2 21" xfId="13624"/>
    <cellStyle name="좋음 2 210" xfId="13625"/>
    <cellStyle name="좋음 2 211" xfId="13626"/>
    <cellStyle name="좋음 2 212" xfId="13627"/>
    <cellStyle name="좋음 2 213" xfId="13628"/>
    <cellStyle name="좋음 2 214" xfId="13629"/>
    <cellStyle name="좋음 2 215" xfId="13630"/>
    <cellStyle name="좋음 2 216" xfId="13631"/>
    <cellStyle name="좋음 2 217" xfId="13632"/>
    <cellStyle name="좋음 2 218" xfId="13633"/>
    <cellStyle name="좋음 2 219" xfId="13634"/>
    <cellStyle name="좋음 2 22" xfId="13635"/>
    <cellStyle name="좋음 2 220" xfId="13636"/>
    <cellStyle name="좋음 2 221" xfId="13637"/>
    <cellStyle name="좋음 2 222" xfId="13638"/>
    <cellStyle name="좋음 2 223" xfId="13639"/>
    <cellStyle name="좋음 2 224" xfId="13640"/>
    <cellStyle name="좋음 2 225" xfId="13641"/>
    <cellStyle name="좋음 2 226" xfId="13642"/>
    <cellStyle name="좋음 2 227" xfId="13643"/>
    <cellStyle name="좋음 2 228" xfId="13644"/>
    <cellStyle name="좋음 2 229" xfId="13645"/>
    <cellStyle name="좋음 2 23" xfId="13646"/>
    <cellStyle name="좋음 2 230" xfId="13647"/>
    <cellStyle name="좋음 2 231" xfId="13648"/>
    <cellStyle name="좋음 2 232" xfId="13649"/>
    <cellStyle name="좋음 2 233" xfId="13650"/>
    <cellStyle name="좋음 2 234" xfId="13651"/>
    <cellStyle name="좋음 2 235" xfId="13652"/>
    <cellStyle name="좋음 2 236" xfId="13653"/>
    <cellStyle name="좋음 2 237" xfId="13654"/>
    <cellStyle name="좋음 2 238" xfId="13655"/>
    <cellStyle name="좋음 2 239" xfId="13656"/>
    <cellStyle name="좋음 2 24" xfId="13657"/>
    <cellStyle name="좋음 2 240" xfId="13658"/>
    <cellStyle name="좋음 2 241" xfId="13659"/>
    <cellStyle name="좋음 2 25" xfId="13660"/>
    <cellStyle name="좋음 2 26" xfId="13661"/>
    <cellStyle name="좋음 2 27" xfId="13662"/>
    <cellStyle name="좋음 2 28" xfId="13663"/>
    <cellStyle name="좋음 2 29" xfId="13664"/>
    <cellStyle name="좋음 2 3" xfId="13665"/>
    <cellStyle name="좋음 2 30" xfId="13666"/>
    <cellStyle name="좋음 2 31" xfId="13667"/>
    <cellStyle name="좋음 2 32" xfId="13668"/>
    <cellStyle name="좋음 2 33" xfId="13669"/>
    <cellStyle name="좋음 2 34" xfId="13670"/>
    <cellStyle name="좋음 2 35" xfId="13671"/>
    <cellStyle name="좋음 2 36" xfId="13672"/>
    <cellStyle name="좋음 2 37" xfId="13673"/>
    <cellStyle name="좋음 2 38" xfId="13674"/>
    <cellStyle name="좋음 2 39" xfId="13675"/>
    <cellStyle name="좋음 2 4" xfId="13676"/>
    <cellStyle name="좋음 2 40" xfId="13677"/>
    <cellStyle name="좋음 2 41" xfId="13678"/>
    <cellStyle name="좋음 2 42" xfId="13679"/>
    <cellStyle name="좋음 2 43" xfId="13680"/>
    <cellStyle name="좋음 2 44" xfId="13681"/>
    <cellStyle name="좋음 2 45" xfId="13682"/>
    <cellStyle name="좋음 2 46" xfId="13683"/>
    <cellStyle name="좋음 2 47" xfId="13684"/>
    <cellStyle name="좋음 2 48" xfId="13685"/>
    <cellStyle name="좋음 2 49" xfId="13686"/>
    <cellStyle name="좋음 2 5" xfId="13687"/>
    <cellStyle name="좋음 2 50" xfId="13688"/>
    <cellStyle name="좋음 2 51" xfId="13689"/>
    <cellStyle name="좋음 2 52" xfId="13690"/>
    <cellStyle name="좋음 2 53" xfId="13691"/>
    <cellStyle name="좋음 2 54" xfId="13692"/>
    <cellStyle name="좋음 2 55" xfId="13693"/>
    <cellStyle name="좋음 2 56" xfId="13694"/>
    <cellStyle name="좋음 2 57" xfId="13695"/>
    <cellStyle name="좋음 2 58" xfId="13696"/>
    <cellStyle name="좋음 2 59" xfId="13697"/>
    <cellStyle name="좋음 2 6" xfId="13698"/>
    <cellStyle name="좋음 2 60" xfId="13699"/>
    <cellStyle name="좋음 2 61" xfId="13700"/>
    <cellStyle name="좋음 2 62" xfId="13701"/>
    <cellStyle name="좋음 2 63" xfId="13702"/>
    <cellStyle name="좋음 2 64" xfId="13703"/>
    <cellStyle name="좋음 2 65" xfId="13704"/>
    <cellStyle name="좋음 2 66" xfId="13705"/>
    <cellStyle name="좋음 2 67" xfId="13706"/>
    <cellStyle name="좋음 2 68" xfId="13707"/>
    <cellStyle name="좋음 2 69" xfId="13708"/>
    <cellStyle name="좋음 2 7" xfId="13709"/>
    <cellStyle name="좋음 2 70" xfId="13710"/>
    <cellStyle name="좋음 2 71" xfId="13711"/>
    <cellStyle name="좋음 2 72" xfId="13712"/>
    <cellStyle name="좋음 2 73" xfId="13713"/>
    <cellStyle name="좋음 2 74" xfId="13714"/>
    <cellStyle name="좋음 2 75" xfId="13715"/>
    <cellStyle name="좋음 2 76" xfId="13716"/>
    <cellStyle name="좋음 2 77" xfId="13717"/>
    <cellStyle name="좋음 2 78" xfId="13718"/>
    <cellStyle name="좋음 2 79" xfId="13719"/>
    <cellStyle name="좋음 2 8" xfId="13720"/>
    <cellStyle name="좋음 2 80" xfId="13721"/>
    <cellStyle name="좋음 2 81" xfId="13722"/>
    <cellStyle name="좋음 2 82" xfId="13723"/>
    <cellStyle name="좋음 2 83" xfId="13724"/>
    <cellStyle name="좋음 2 84" xfId="13725"/>
    <cellStyle name="좋음 2 85" xfId="13726"/>
    <cellStyle name="좋음 2 86" xfId="13727"/>
    <cellStyle name="좋음 2 87" xfId="13728"/>
    <cellStyle name="좋음 2 88" xfId="13729"/>
    <cellStyle name="좋음 2 89" xfId="13730"/>
    <cellStyle name="좋음 2 9" xfId="13731"/>
    <cellStyle name="좋음 2 90" xfId="13732"/>
    <cellStyle name="좋음 2 91" xfId="13733"/>
    <cellStyle name="좋음 2 92" xfId="13734"/>
    <cellStyle name="좋음 2 93" xfId="13735"/>
    <cellStyle name="좋음 2 94" xfId="13736"/>
    <cellStyle name="좋음 2 95" xfId="13737"/>
    <cellStyle name="좋음 2 96" xfId="13738"/>
    <cellStyle name="좋음 2 97" xfId="13739"/>
    <cellStyle name="좋음 2 98" xfId="13740"/>
    <cellStyle name="좋음 2 99" xfId="13741"/>
    <cellStyle name="좋음 20" xfId="18721"/>
    <cellStyle name="좋음 21" xfId="18722"/>
    <cellStyle name="좋음 22" xfId="18723"/>
    <cellStyle name="좋음 23" xfId="18724"/>
    <cellStyle name="좋음 24" xfId="18725"/>
    <cellStyle name="좋음 25" xfId="18726"/>
    <cellStyle name="좋음 26" xfId="18727"/>
    <cellStyle name="좋음 27" xfId="18728"/>
    <cellStyle name="좋음 28" xfId="18729"/>
    <cellStyle name="좋음 29" xfId="18730"/>
    <cellStyle name="좋음 3" xfId="18731"/>
    <cellStyle name="좋음 3 2" xfId="18732"/>
    <cellStyle name="좋음 3 3" xfId="18733"/>
    <cellStyle name="좋음 30" xfId="18734"/>
    <cellStyle name="좋음 31" xfId="18735"/>
    <cellStyle name="좋음 32" xfId="18736"/>
    <cellStyle name="좋음 4" xfId="18737"/>
    <cellStyle name="좋음 4 2" xfId="18738"/>
    <cellStyle name="좋음 4 3" xfId="18739"/>
    <cellStyle name="좋음 5" xfId="18740"/>
    <cellStyle name="좋음 6" xfId="18741"/>
    <cellStyle name="좋음 7" xfId="18742"/>
    <cellStyle name="좋음 8" xfId="18743"/>
    <cellStyle name="좋음 9" xfId="18744"/>
    <cellStyle name="注释" xfId="13742"/>
    <cellStyle name="줿㼿㼿㼿㼿?" xfId="18745"/>
    <cellStyle name="줿㼿㼿㼿㼿㼿㼿㼿㼿㼿?" xfId="18746"/>
    <cellStyle name="줿㼿㼿㼿㼿㼿㼿㼿㼿㼿㼿㼿㼿㼿㼿?" xfId="18747"/>
    <cellStyle name="지정되지 않음" xfId="13743"/>
    <cellStyle name="差" xfId="13744"/>
    <cellStyle name="差_`12년 전략CM_투자_RA Total_배부율_S3수정" xfId="13745"/>
    <cellStyle name="千分位[0]_RoFo 0104 Annex DU 2~6 (010328)" xfId="13746"/>
    <cellStyle name="千分位_RoFo 0104 Annex DU 2~6 (010328)" xfId="13747"/>
    <cellStyle name="千位[0]_Sheet1 (2)" xfId="13748"/>
    <cellStyle name="千位_Sheet1 (2)" xfId="13749"/>
    <cellStyle name="千位分隔[0]_BOOK1" xfId="13750"/>
    <cellStyle name="千位分隔_复件 NK-rep-temp" xfId="13751"/>
    <cellStyle name="超级链接" xfId="13752"/>
    <cellStyle name="출력 10" xfId="18748"/>
    <cellStyle name="출력 11" xfId="18749"/>
    <cellStyle name="출력 12" xfId="18750"/>
    <cellStyle name="출력 13" xfId="18751"/>
    <cellStyle name="출력 14" xfId="18752"/>
    <cellStyle name="출력 15" xfId="18753"/>
    <cellStyle name="출력 16" xfId="18754"/>
    <cellStyle name="출력 17" xfId="18755"/>
    <cellStyle name="출력 18" xfId="18756"/>
    <cellStyle name="출력 19" xfId="18757"/>
    <cellStyle name="출력 2" xfId="13753"/>
    <cellStyle name="출력 2 10" xfId="13754"/>
    <cellStyle name="출력 2 100" xfId="13755"/>
    <cellStyle name="출력 2 101" xfId="13756"/>
    <cellStyle name="출력 2 102" xfId="13757"/>
    <cellStyle name="출력 2 103" xfId="13758"/>
    <cellStyle name="출력 2 104" xfId="13759"/>
    <cellStyle name="출력 2 105" xfId="13760"/>
    <cellStyle name="출력 2 106" xfId="13761"/>
    <cellStyle name="출력 2 107" xfId="13762"/>
    <cellStyle name="출력 2 108" xfId="13763"/>
    <cellStyle name="출력 2 109" xfId="13764"/>
    <cellStyle name="출력 2 11" xfId="13765"/>
    <cellStyle name="출력 2 110" xfId="13766"/>
    <cellStyle name="출력 2 111" xfId="13767"/>
    <cellStyle name="출력 2 112" xfId="13768"/>
    <cellStyle name="출력 2 113" xfId="13769"/>
    <cellStyle name="출력 2 114" xfId="13770"/>
    <cellStyle name="출력 2 115" xfId="13771"/>
    <cellStyle name="출력 2 116" xfId="13772"/>
    <cellStyle name="출력 2 117" xfId="13773"/>
    <cellStyle name="출력 2 118" xfId="13774"/>
    <cellStyle name="출력 2 119" xfId="13775"/>
    <cellStyle name="출력 2 12" xfId="13776"/>
    <cellStyle name="출력 2 120" xfId="13777"/>
    <cellStyle name="출력 2 121" xfId="13778"/>
    <cellStyle name="출력 2 122" xfId="13779"/>
    <cellStyle name="출력 2 123" xfId="13780"/>
    <cellStyle name="출력 2 124" xfId="13781"/>
    <cellStyle name="출력 2 125" xfId="13782"/>
    <cellStyle name="출력 2 126" xfId="13783"/>
    <cellStyle name="출력 2 127" xfId="13784"/>
    <cellStyle name="출력 2 128" xfId="13785"/>
    <cellStyle name="출력 2 129" xfId="13786"/>
    <cellStyle name="출력 2 13" xfId="13787"/>
    <cellStyle name="출력 2 130" xfId="13788"/>
    <cellStyle name="출력 2 131" xfId="13789"/>
    <cellStyle name="출력 2 132" xfId="13790"/>
    <cellStyle name="출력 2 133" xfId="13791"/>
    <cellStyle name="출력 2 134" xfId="13792"/>
    <cellStyle name="출력 2 135" xfId="13793"/>
    <cellStyle name="출력 2 136" xfId="13794"/>
    <cellStyle name="출력 2 137" xfId="13795"/>
    <cellStyle name="출력 2 138" xfId="13796"/>
    <cellStyle name="출력 2 139" xfId="13797"/>
    <cellStyle name="출력 2 14" xfId="13798"/>
    <cellStyle name="출력 2 140" xfId="13799"/>
    <cellStyle name="출력 2 141" xfId="13800"/>
    <cellStyle name="출력 2 142" xfId="13801"/>
    <cellStyle name="출력 2 143" xfId="13802"/>
    <cellStyle name="출력 2 144" xfId="13803"/>
    <cellStyle name="출력 2 145" xfId="13804"/>
    <cellStyle name="출력 2 146" xfId="13805"/>
    <cellStyle name="출력 2 147" xfId="13806"/>
    <cellStyle name="출력 2 148" xfId="13807"/>
    <cellStyle name="출력 2 149" xfId="13808"/>
    <cellStyle name="출력 2 15" xfId="13809"/>
    <cellStyle name="출력 2 150" xfId="13810"/>
    <cellStyle name="출력 2 151" xfId="13811"/>
    <cellStyle name="출력 2 152" xfId="13812"/>
    <cellStyle name="출력 2 153" xfId="13813"/>
    <cellStyle name="출력 2 154" xfId="13814"/>
    <cellStyle name="출력 2 155" xfId="13815"/>
    <cellStyle name="출력 2 156" xfId="13816"/>
    <cellStyle name="출력 2 157" xfId="13817"/>
    <cellStyle name="출력 2 158" xfId="13818"/>
    <cellStyle name="출력 2 159" xfId="13819"/>
    <cellStyle name="출력 2 16" xfId="13820"/>
    <cellStyle name="출력 2 160" xfId="13821"/>
    <cellStyle name="출력 2 161" xfId="13822"/>
    <cellStyle name="출력 2 162" xfId="13823"/>
    <cellStyle name="출력 2 163" xfId="13824"/>
    <cellStyle name="출력 2 164" xfId="13825"/>
    <cellStyle name="출력 2 165" xfId="13826"/>
    <cellStyle name="출력 2 166" xfId="13827"/>
    <cellStyle name="출력 2 167" xfId="13828"/>
    <cellStyle name="출력 2 168" xfId="13829"/>
    <cellStyle name="출력 2 169" xfId="13830"/>
    <cellStyle name="출력 2 17" xfId="13831"/>
    <cellStyle name="출력 2 170" xfId="13832"/>
    <cellStyle name="출력 2 171" xfId="13833"/>
    <cellStyle name="출력 2 172" xfId="13834"/>
    <cellStyle name="출력 2 173" xfId="13835"/>
    <cellStyle name="출력 2 174" xfId="13836"/>
    <cellStyle name="출력 2 175" xfId="13837"/>
    <cellStyle name="출력 2 176" xfId="13838"/>
    <cellStyle name="출력 2 177" xfId="13839"/>
    <cellStyle name="출력 2 178" xfId="13840"/>
    <cellStyle name="출력 2 179" xfId="13841"/>
    <cellStyle name="출력 2 18" xfId="13842"/>
    <cellStyle name="출력 2 180" xfId="13843"/>
    <cellStyle name="출력 2 181" xfId="13844"/>
    <cellStyle name="출력 2 182" xfId="13845"/>
    <cellStyle name="출력 2 183" xfId="13846"/>
    <cellStyle name="출력 2 184" xfId="13847"/>
    <cellStyle name="출력 2 185" xfId="13848"/>
    <cellStyle name="출력 2 186" xfId="13849"/>
    <cellStyle name="출력 2 187" xfId="13850"/>
    <cellStyle name="출력 2 188" xfId="13851"/>
    <cellStyle name="출력 2 189" xfId="13852"/>
    <cellStyle name="출력 2 19" xfId="13853"/>
    <cellStyle name="출력 2 190" xfId="13854"/>
    <cellStyle name="출력 2 191" xfId="13855"/>
    <cellStyle name="출력 2 192" xfId="13856"/>
    <cellStyle name="출력 2 193" xfId="13857"/>
    <cellStyle name="출력 2 194" xfId="13858"/>
    <cellStyle name="출력 2 195" xfId="13859"/>
    <cellStyle name="출력 2 196" xfId="13860"/>
    <cellStyle name="출력 2 197" xfId="13861"/>
    <cellStyle name="출력 2 198" xfId="13862"/>
    <cellStyle name="출력 2 199" xfId="13863"/>
    <cellStyle name="출력 2 2" xfId="13864"/>
    <cellStyle name="출력 2 2 2" xfId="18758"/>
    <cellStyle name="출력 2 2 2 2" xfId="18759"/>
    <cellStyle name="출력 2 2 2 3" xfId="18760"/>
    <cellStyle name="출력 2 2 2 4" xfId="18761"/>
    <cellStyle name="출력 2 2 2 5" xfId="18762"/>
    <cellStyle name="출력 2 2 3" xfId="18763"/>
    <cellStyle name="출력 2 2 3 2" xfId="18764"/>
    <cellStyle name="출력 2 2 3 3" xfId="18765"/>
    <cellStyle name="출력 2 2 3 4" xfId="18766"/>
    <cellStyle name="출력 2 2 3 5" xfId="18767"/>
    <cellStyle name="출력 2 2 4" xfId="18768"/>
    <cellStyle name="출력 2 2 4 2" xfId="18769"/>
    <cellStyle name="출력 2 2 4 3" xfId="18770"/>
    <cellStyle name="출력 2 2 4 4" xfId="18771"/>
    <cellStyle name="출력 2 2 4 5" xfId="18772"/>
    <cellStyle name="출력 2 2 5" xfId="18773"/>
    <cellStyle name="출력 2 2 6" xfId="18774"/>
    <cellStyle name="출력 2 2 7" xfId="18775"/>
    <cellStyle name="출력 2 2 8" xfId="18776"/>
    <cellStyle name="출력 2 20" xfId="13865"/>
    <cellStyle name="출력 2 200" xfId="13866"/>
    <cellStyle name="출력 2 201" xfId="13867"/>
    <cellStyle name="출력 2 202" xfId="13868"/>
    <cellStyle name="출력 2 203" xfId="13869"/>
    <cellStyle name="출력 2 204" xfId="13870"/>
    <cellStyle name="출력 2 205" xfId="13871"/>
    <cellStyle name="출력 2 206" xfId="13872"/>
    <cellStyle name="출력 2 207" xfId="13873"/>
    <cellStyle name="출력 2 208" xfId="13874"/>
    <cellStyle name="출력 2 209" xfId="13875"/>
    <cellStyle name="출력 2 21" xfId="13876"/>
    <cellStyle name="출력 2 210" xfId="13877"/>
    <cellStyle name="출력 2 211" xfId="13878"/>
    <cellStyle name="출력 2 212" xfId="13879"/>
    <cellStyle name="출력 2 213" xfId="13880"/>
    <cellStyle name="출력 2 214" xfId="13881"/>
    <cellStyle name="출력 2 215" xfId="13882"/>
    <cellStyle name="출력 2 216" xfId="13883"/>
    <cellStyle name="출력 2 217" xfId="13884"/>
    <cellStyle name="출력 2 218" xfId="13885"/>
    <cellStyle name="출력 2 219" xfId="13886"/>
    <cellStyle name="출력 2 22" xfId="13887"/>
    <cellStyle name="출력 2 220" xfId="13888"/>
    <cellStyle name="출력 2 221" xfId="13889"/>
    <cellStyle name="출력 2 222" xfId="13890"/>
    <cellStyle name="출력 2 223" xfId="13891"/>
    <cellStyle name="출력 2 224" xfId="13892"/>
    <cellStyle name="출력 2 225" xfId="13893"/>
    <cellStyle name="출력 2 226" xfId="13894"/>
    <cellStyle name="출력 2 227" xfId="13895"/>
    <cellStyle name="출력 2 228" xfId="13896"/>
    <cellStyle name="출력 2 229" xfId="13897"/>
    <cellStyle name="출력 2 23" xfId="13898"/>
    <cellStyle name="출력 2 230" xfId="13899"/>
    <cellStyle name="출력 2 231" xfId="13900"/>
    <cellStyle name="출력 2 232" xfId="13901"/>
    <cellStyle name="출력 2 233" xfId="13902"/>
    <cellStyle name="출력 2 234" xfId="13903"/>
    <cellStyle name="출력 2 235" xfId="13904"/>
    <cellStyle name="출력 2 236" xfId="13905"/>
    <cellStyle name="출력 2 237" xfId="13906"/>
    <cellStyle name="출력 2 238" xfId="13907"/>
    <cellStyle name="출력 2 239" xfId="13908"/>
    <cellStyle name="출력 2 24" xfId="13909"/>
    <cellStyle name="출력 2 240" xfId="13910"/>
    <cellStyle name="출력 2 241" xfId="13911"/>
    <cellStyle name="출력 2 25" xfId="13912"/>
    <cellStyle name="출력 2 26" xfId="13913"/>
    <cellStyle name="출력 2 27" xfId="13914"/>
    <cellStyle name="출력 2 28" xfId="13915"/>
    <cellStyle name="출력 2 29" xfId="13916"/>
    <cellStyle name="출력 2 3" xfId="13917"/>
    <cellStyle name="출력 2 30" xfId="13918"/>
    <cellStyle name="출력 2 31" xfId="13919"/>
    <cellStyle name="출력 2 32" xfId="13920"/>
    <cellStyle name="출력 2 33" xfId="13921"/>
    <cellStyle name="출력 2 34" xfId="13922"/>
    <cellStyle name="출력 2 35" xfId="13923"/>
    <cellStyle name="출력 2 36" xfId="13924"/>
    <cellStyle name="출력 2 37" xfId="13925"/>
    <cellStyle name="출력 2 38" xfId="13926"/>
    <cellStyle name="출력 2 39" xfId="13927"/>
    <cellStyle name="출력 2 4" xfId="13928"/>
    <cellStyle name="출력 2 40" xfId="13929"/>
    <cellStyle name="출력 2 41" xfId="13930"/>
    <cellStyle name="출력 2 42" xfId="13931"/>
    <cellStyle name="출력 2 43" xfId="13932"/>
    <cellStyle name="출력 2 44" xfId="13933"/>
    <cellStyle name="출력 2 45" xfId="13934"/>
    <cellStyle name="출력 2 46" xfId="13935"/>
    <cellStyle name="출력 2 47" xfId="13936"/>
    <cellStyle name="출력 2 48" xfId="13937"/>
    <cellStyle name="출력 2 49" xfId="13938"/>
    <cellStyle name="출력 2 5" xfId="13939"/>
    <cellStyle name="출력 2 50" xfId="13940"/>
    <cellStyle name="출력 2 51" xfId="13941"/>
    <cellStyle name="출력 2 52" xfId="13942"/>
    <cellStyle name="출력 2 53" xfId="13943"/>
    <cellStyle name="출력 2 54" xfId="13944"/>
    <cellStyle name="출력 2 55" xfId="13945"/>
    <cellStyle name="출력 2 56" xfId="13946"/>
    <cellStyle name="출력 2 57" xfId="13947"/>
    <cellStyle name="출력 2 58" xfId="13948"/>
    <cellStyle name="출력 2 59" xfId="13949"/>
    <cellStyle name="출력 2 6" xfId="13950"/>
    <cellStyle name="출력 2 60" xfId="13951"/>
    <cellStyle name="출력 2 61" xfId="13952"/>
    <cellStyle name="출력 2 62" xfId="13953"/>
    <cellStyle name="출력 2 63" xfId="13954"/>
    <cellStyle name="출력 2 64" xfId="13955"/>
    <cellStyle name="출력 2 65" xfId="13956"/>
    <cellStyle name="출력 2 66" xfId="13957"/>
    <cellStyle name="출력 2 67" xfId="13958"/>
    <cellStyle name="출력 2 68" xfId="13959"/>
    <cellStyle name="출력 2 69" xfId="13960"/>
    <cellStyle name="출력 2 7" xfId="13961"/>
    <cellStyle name="출력 2 70" xfId="13962"/>
    <cellStyle name="출력 2 71" xfId="13963"/>
    <cellStyle name="출력 2 72" xfId="13964"/>
    <cellStyle name="출력 2 73" xfId="13965"/>
    <cellStyle name="출력 2 74" xfId="13966"/>
    <cellStyle name="출력 2 75" xfId="13967"/>
    <cellStyle name="출력 2 76" xfId="13968"/>
    <cellStyle name="출력 2 77" xfId="13969"/>
    <cellStyle name="출력 2 78" xfId="13970"/>
    <cellStyle name="출력 2 79" xfId="13971"/>
    <cellStyle name="출력 2 8" xfId="13972"/>
    <cellStyle name="출력 2 80" xfId="13973"/>
    <cellStyle name="출력 2 81" xfId="13974"/>
    <cellStyle name="출력 2 82" xfId="13975"/>
    <cellStyle name="출력 2 83" xfId="13976"/>
    <cellStyle name="출력 2 84" xfId="13977"/>
    <cellStyle name="출력 2 85" xfId="13978"/>
    <cellStyle name="출력 2 86" xfId="13979"/>
    <cellStyle name="출력 2 87" xfId="13980"/>
    <cellStyle name="출력 2 88" xfId="13981"/>
    <cellStyle name="출력 2 89" xfId="13982"/>
    <cellStyle name="출력 2 9" xfId="13983"/>
    <cellStyle name="출력 2 90" xfId="13984"/>
    <cellStyle name="출력 2 91" xfId="13985"/>
    <cellStyle name="출력 2 92" xfId="13986"/>
    <cellStyle name="출력 2 93" xfId="13987"/>
    <cellStyle name="출력 2 94" xfId="13988"/>
    <cellStyle name="출력 2 95" xfId="13989"/>
    <cellStyle name="출력 2 96" xfId="13990"/>
    <cellStyle name="출력 2 97" xfId="13991"/>
    <cellStyle name="출력 2 98" xfId="13992"/>
    <cellStyle name="출력 2 99" xfId="13993"/>
    <cellStyle name="출력 20" xfId="18777"/>
    <cellStyle name="출력 21" xfId="18778"/>
    <cellStyle name="출력 22" xfId="18779"/>
    <cellStyle name="출력 23" xfId="18780"/>
    <cellStyle name="출력 24" xfId="18781"/>
    <cellStyle name="출력 25" xfId="18782"/>
    <cellStyle name="출력 26" xfId="18783"/>
    <cellStyle name="출력 27" xfId="18784"/>
    <cellStyle name="출력 28" xfId="18785"/>
    <cellStyle name="출력 29" xfId="18786"/>
    <cellStyle name="출력 3" xfId="18787"/>
    <cellStyle name="출력 3 2" xfId="18788"/>
    <cellStyle name="출력 3 2 2" xfId="18789"/>
    <cellStyle name="출력 3 2 2 2" xfId="18790"/>
    <cellStyle name="출력 3 2 2 3" xfId="18791"/>
    <cellStyle name="출력 3 2 2 4" xfId="18792"/>
    <cellStyle name="출력 3 2 2 5" xfId="18793"/>
    <cellStyle name="출력 3 2 3" xfId="18794"/>
    <cellStyle name="출력 3 2 3 2" xfId="18795"/>
    <cellStyle name="출력 3 2 3 3" xfId="18796"/>
    <cellStyle name="출력 3 2 3 4" xfId="18797"/>
    <cellStyle name="출력 3 2 3 5" xfId="18798"/>
    <cellStyle name="출력 3 2 4" xfId="18799"/>
    <cellStyle name="출력 3 2 4 2" xfId="18800"/>
    <cellStyle name="출력 3 2 4 3" xfId="18801"/>
    <cellStyle name="출력 3 2 4 4" xfId="18802"/>
    <cellStyle name="출력 3 2 4 5" xfId="18803"/>
    <cellStyle name="출력 3 2 5" xfId="18804"/>
    <cellStyle name="출력 3 2 6" xfId="18805"/>
    <cellStyle name="출력 3 2 7" xfId="18806"/>
    <cellStyle name="출력 3 2 8" xfId="18807"/>
    <cellStyle name="출력 3 2 9" xfId="18808"/>
    <cellStyle name="출력 3 3" xfId="18809"/>
    <cellStyle name="출력 3 4" xfId="18810"/>
    <cellStyle name="출력 3 5" xfId="18811"/>
    <cellStyle name="출력 30" xfId="18812"/>
    <cellStyle name="출력 31" xfId="18813"/>
    <cellStyle name="출력 32" xfId="18814"/>
    <cellStyle name="출력 4" xfId="18815"/>
    <cellStyle name="출력 4 2" xfId="18816"/>
    <cellStyle name="출력 4 2 2" xfId="18817"/>
    <cellStyle name="출력 4 2 2 2" xfId="18818"/>
    <cellStyle name="출력 4 2 2 3" xfId="18819"/>
    <cellStyle name="출력 4 2 2 4" xfId="18820"/>
    <cellStyle name="출력 4 2 2 5" xfId="18821"/>
    <cellStyle name="출력 4 2 3" xfId="18822"/>
    <cellStyle name="출력 4 2 3 2" xfId="18823"/>
    <cellStyle name="출력 4 2 3 3" xfId="18824"/>
    <cellStyle name="출력 4 2 3 4" xfId="18825"/>
    <cellStyle name="출력 4 2 3 5" xfId="18826"/>
    <cellStyle name="출력 4 2 4" xfId="18827"/>
    <cellStyle name="출력 4 2 4 2" xfId="18828"/>
    <cellStyle name="출력 4 2 4 3" xfId="18829"/>
    <cellStyle name="출력 4 2 4 4" xfId="18830"/>
    <cellStyle name="출력 4 2 4 5" xfId="18831"/>
    <cellStyle name="출력 4 2 5" xfId="18832"/>
    <cellStyle name="출력 4 2 6" xfId="18833"/>
    <cellStyle name="출력 4 2 7" xfId="18834"/>
    <cellStyle name="출력 4 2 8" xfId="18835"/>
    <cellStyle name="출력 4 3" xfId="18836"/>
    <cellStyle name="출력 4 4" xfId="18837"/>
    <cellStyle name="출력 5" xfId="18838"/>
    <cellStyle name="출력 6" xfId="18839"/>
    <cellStyle name="출력 7" xfId="18840"/>
    <cellStyle name="출력 8" xfId="18841"/>
    <cellStyle name="출력 9" xfId="18842"/>
    <cellStyle name="콤마 [0]_  종  합  " xfId="13994"/>
    <cellStyle name="콤마_  종  합  " xfId="13995"/>
    <cellStyle name="테두리(실선)" xfId="13996"/>
    <cellStyle name="통화 [0] 2" xfId="13997"/>
    <cellStyle name="통화 [0] 2 10" xfId="13998"/>
    <cellStyle name="통화 [0] 2 100" xfId="13999"/>
    <cellStyle name="통화 [0] 2 101" xfId="14000"/>
    <cellStyle name="통화 [0] 2 102" xfId="14001"/>
    <cellStyle name="통화 [0] 2 103" xfId="14002"/>
    <cellStyle name="통화 [0] 2 104" xfId="14003"/>
    <cellStyle name="통화 [0] 2 105" xfId="14004"/>
    <cellStyle name="통화 [0] 2 106" xfId="14005"/>
    <cellStyle name="통화 [0] 2 107" xfId="14006"/>
    <cellStyle name="통화 [0] 2 108" xfId="14007"/>
    <cellStyle name="통화 [0] 2 109" xfId="14008"/>
    <cellStyle name="통화 [0] 2 11" xfId="14009"/>
    <cellStyle name="통화 [0] 2 110" xfId="14010"/>
    <cellStyle name="통화 [0] 2 111" xfId="14011"/>
    <cellStyle name="통화 [0] 2 112" xfId="14012"/>
    <cellStyle name="통화 [0] 2 113" xfId="14013"/>
    <cellStyle name="통화 [0] 2 114" xfId="14014"/>
    <cellStyle name="통화 [0] 2 115" xfId="14015"/>
    <cellStyle name="통화 [0] 2 116" xfId="14016"/>
    <cellStyle name="통화 [0] 2 117" xfId="14017"/>
    <cellStyle name="통화 [0] 2 118" xfId="14018"/>
    <cellStyle name="통화 [0] 2 119" xfId="14019"/>
    <cellStyle name="통화 [0] 2 12" xfId="14020"/>
    <cellStyle name="통화 [0] 2 120" xfId="14021"/>
    <cellStyle name="통화 [0] 2 121" xfId="14022"/>
    <cellStyle name="통화 [0] 2 122" xfId="14023"/>
    <cellStyle name="통화 [0] 2 123" xfId="14024"/>
    <cellStyle name="통화 [0] 2 124" xfId="14025"/>
    <cellStyle name="통화 [0] 2 125" xfId="14026"/>
    <cellStyle name="통화 [0] 2 126" xfId="14027"/>
    <cellStyle name="통화 [0] 2 127" xfId="14028"/>
    <cellStyle name="통화 [0] 2 128" xfId="14029"/>
    <cellStyle name="통화 [0] 2 129" xfId="14030"/>
    <cellStyle name="통화 [0] 2 13" xfId="14031"/>
    <cellStyle name="통화 [0] 2 130" xfId="14032"/>
    <cellStyle name="통화 [0] 2 131" xfId="14033"/>
    <cellStyle name="통화 [0] 2 132" xfId="14034"/>
    <cellStyle name="통화 [0] 2 133" xfId="14035"/>
    <cellStyle name="통화 [0] 2 134" xfId="14036"/>
    <cellStyle name="통화 [0] 2 135" xfId="14037"/>
    <cellStyle name="통화 [0] 2 136" xfId="14038"/>
    <cellStyle name="통화 [0] 2 137" xfId="14039"/>
    <cellStyle name="통화 [0] 2 138" xfId="14040"/>
    <cellStyle name="통화 [0] 2 139" xfId="14041"/>
    <cellStyle name="통화 [0] 2 14" xfId="14042"/>
    <cellStyle name="통화 [0] 2 140" xfId="14043"/>
    <cellStyle name="통화 [0] 2 141" xfId="14044"/>
    <cellStyle name="통화 [0] 2 142" xfId="14045"/>
    <cellStyle name="통화 [0] 2 143" xfId="14046"/>
    <cellStyle name="통화 [0] 2 144" xfId="14047"/>
    <cellStyle name="통화 [0] 2 145" xfId="14048"/>
    <cellStyle name="통화 [0] 2 146" xfId="14049"/>
    <cellStyle name="통화 [0] 2 147" xfId="14050"/>
    <cellStyle name="통화 [0] 2 148" xfId="14051"/>
    <cellStyle name="통화 [0] 2 149" xfId="14052"/>
    <cellStyle name="통화 [0] 2 15" xfId="14053"/>
    <cellStyle name="통화 [0] 2 150" xfId="14054"/>
    <cellStyle name="통화 [0] 2 151" xfId="14055"/>
    <cellStyle name="통화 [0] 2 152" xfId="14056"/>
    <cellStyle name="통화 [0] 2 153" xfId="14057"/>
    <cellStyle name="통화 [0] 2 154" xfId="14058"/>
    <cellStyle name="통화 [0] 2 155" xfId="14059"/>
    <cellStyle name="통화 [0] 2 156" xfId="14060"/>
    <cellStyle name="통화 [0] 2 157" xfId="14061"/>
    <cellStyle name="통화 [0] 2 158" xfId="14062"/>
    <cellStyle name="통화 [0] 2 159" xfId="14063"/>
    <cellStyle name="통화 [0] 2 16" xfId="14064"/>
    <cellStyle name="통화 [0] 2 160" xfId="14065"/>
    <cellStyle name="통화 [0] 2 161" xfId="14066"/>
    <cellStyle name="통화 [0] 2 162" xfId="14067"/>
    <cellStyle name="통화 [0] 2 163" xfId="14068"/>
    <cellStyle name="통화 [0] 2 164" xfId="14069"/>
    <cellStyle name="통화 [0] 2 165" xfId="14070"/>
    <cellStyle name="통화 [0] 2 166" xfId="14071"/>
    <cellStyle name="통화 [0] 2 167" xfId="14072"/>
    <cellStyle name="통화 [0] 2 168" xfId="14073"/>
    <cellStyle name="통화 [0] 2 169" xfId="14074"/>
    <cellStyle name="통화 [0] 2 17" xfId="14075"/>
    <cellStyle name="통화 [0] 2 170" xfId="14076"/>
    <cellStyle name="통화 [0] 2 171" xfId="14077"/>
    <cellStyle name="통화 [0] 2 172" xfId="14078"/>
    <cellStyle name="통화 [0] 2 173" xfId="14079"/>
    <cellStyle name="통화 [0] 2 174" xfId="14080"/>
    <cellStyle name="통화 [0] 2 175" xfId="14081"/>
    <cellStyle name="통화 [0] 2 176" xfId="14082"/>
    <cellStyle name="통화 [0] 2 177" xfId="14083"/>
    <cellStyle name="통화 [0] 2 178" xfId="14084"/>
    <cellStyle name="통화 [0] 2 179" xfId="14085"/>
    <cellStyle name="통화 [0] 2 18" xfId="14086"/>
    <cellStyle name="통화 [0] 2 180" xfId="14087"/>
    <cellStyle name="통화 [0] 2 181" xfId="14088"/>
    <cellStyle name="통화 [0] 2 182" xfId="14089"/>
    <cellStyle name="통화 [0] 2 183" xfId="14090"/>
    <cellStyle name="통화 [0] 2 184" xfId="14091"/>
    <cellStyle name="통화 [0] 2 185" xfId="14092"/>
    <cellStyle name="통화 [0] 2 186" xfId="14093"/>
    <cellStyle name="통화 [0] 2 187" xfId="14094"/>
    <cellStyle name="통화 [0] 2 188" xfId="14095"/>
    <cellStyle name="통화 [0] 2 189" xfId="14096"/>
    <cellStyle name="통화 [0] 2 19" xfId="14097"/>
    <cellStyle name="통화 [0] 2 190" xfId="14098"/>
    <cellStyle name="통화 [0] 2 191" xfId="14099"/>
    <cellStyle name="통화 [0] 2 192" xfId="14100"/>
    <cellStyle name="통화 [0] 2 193" xfId="14101"/>
    <cellStyle name="통화 [0] 2 194" xfId="14102"/>
    <cellStyle name="통화 [0] 2 195" xfId="14103"/>
    <cellStyle name="통화 [0] 2 196" xfId="14104"/>
    <cellStyle name="통화 [0] 2 197" xfId="14105"/>
    <cellStyle name="통화 [0] 2 198" xfId="14106"/>
    <cellStyle name="통화 [0] 2 199" xfId="14107"/>
    <cellStyle name="통화 [0] 2 2" xfId="14108"/>
    <cellStyle name="통화 [0] 2 20" xfId="14109"/>
    <cellStyle name="통화 [0] 2 200" xfId="14110"/>
    <cellStyle name="통화 [0] 2 201" xfId="14111"/>
    <cellStyle name="통화 [0] 2 202" xfId="14112"/>
    <cellStyle name="통화 [0] 2 203" xfId="14113"/>
    <cellStyle name="통화 [0] 2 204" xfId="14114"/>
    <cellStyle name="통화 [0] 2 205" xfId="14115"/>
    <cellStyle name="통화 [0] 2 206" xfId="14116"/>
    <cellStyle name="통화 [0] 2 207" xfId="14117"/>
    <cellStyle name="통화 [0] 2 208" xfId="14118"/>
    <cellStyle name="통화 [0] 2 209" xfId="14119"/>
    <cellStyle name="통화 [0] 2 21" xfId="14120"/>
    <cellStyle name="통화 [0] 2 210" xfId="14121"/>
    <cellStyle name="통화 [0] 2 211" xfId="14122"/>
    <cellStyle name="통화 [0] 2 212" xfId="14123"/>
    <cellStyle name="통화 [0] 2 213" xfId="14124"/>
    <cellStyle name="통화 [0] 2 214" xfId="14125"/>
    <cellStyle name="통화 [0] 2 215" xfId="14126"/>
    <cellStyle name="통화 [0] 2 216" xfId="14127"/>
    <cellStyle name="통화 [0] 2 217" xfId="14128"/>
    <cellStyle name="통화 [0] 2 218" xfId="14129"/>
    <cellStyle name="통화 [0] 2 219" xfId="14130"/>
    <cellStyle name="통화 [0] 2 22" xfId="14131"/>
    <cellStyle name="통화 [0] 2 220" xfId="14132"/>
    <cellStyle name="통화 [0] 2 221" xfId="14133"/>
    <cellStyle name="통화 [0] 2 222" xfId="14134"/>
    <cellStyle name="통화 [0] 2 223" xfId="14135"/>
    <cellStyle name="통화 [0] 2 224" xfId="14136"/>
    <cellStyle name="통화 [0] 2 225" xfId="14137"/>
    <cellStyle name="통화 [0] 2 226" xfId="14138"/>
    <cellStyle name="통화 [0] 2 227" xfId="14139"/>
    <cellStyle name="통화 [0] 2 228" xfId="14140"/>
    <cellStyle name="통화 [0] 2 229" xfId="14141"/>
    <cellStyle name="통화 [0] 2 23" xfId="14142"/>
    <cellStyle name="통화 [0] 2 230" xfId="14143"/>
    <cellStyle name="통화 [0] 2 231" xfId="14144"/>
    <cellStyle name="통화 [0] 2 232" xfId="14145"/>
    <cellStyle name="통화 [0] 2 233" xfId="14146"/>
    <cellStyle name="통화 [0] 2 234" xfId="14147"/>
    <cellStyle name="통화 [0] 2 235" xfId="14148"/>
    <cellStyle name="통화 [0] 2 236" xfId="14149"/>
    <cellStyle name="통화 [0] 2 237" xfId="14150"/>
    <cellStyle name="통화 [0] 2 238" xfId="14151"/>
    <cellStyle name="통화 [0] 2 239" xfId="14152"/>
    <cellStyle name="통화 [0] 2 24" xfId="14153"/>
    <cellStyle name="통화 [0] 2 240" xfId="14154"/>
    <cellStyle name="통화 [0] 2 241" xfId="14155"/>
    <cellStyle name="통화 [0] 2 242" xfId="14156"/>
    <cellStyle name="통화 [0] 2 25" xfId="14157"/>
    <cellStyle name="통화 [0] 2 26" xfId="14158"/>
    <cellStyle name="통화 [0] 2 27" xfId="14159"/>
    <cellStyle name="통화 [0] 2 28" xfId="14160"/>
    <cellStyle name="통화 [0] 2 29" xfId="14161"/>
    <cellStyle name="통화 [0] 2 3" xfId="14162"/>
    <cellStyle name="통화 [0] 2 30" xfId="14163"/>
    <cellStyle name="통화 [0] 2 31" xfId="14164"/>
    <cellStyle name="통화 [0] 2 32" xfId="14165"/>
    <cellStyle name="통화 [0] 2 33" xfId="14166"/>
    <cellStyle name="통화 [0] 2 34" xfId="14167"/>
    <cellStyle name="통화 [0] 2 35" xfId="14168"/>
    <cellStyle name="통화 [0] 2 36" xfId="14169"/>
    <cellStyle name="통화 [0] 2 37" xfId="14170"/>
    <cellStyle name="통화 [0] 2 38" xfId="14171"/>
    <cellStyle name="통화 [0] 2 39" xfId="14172"/>
    <cellStyle name="통화 [0] 2 4" xfId="14173"/>
    <cellStyle name="통화 [0] 2 40" xfId="14174"/>
    <cellStyle name="통화 [0] 2 41" xfId="14175"/>
    <cellStyle name="통화 [0] 2 42" xfId="14176"/>
    <cellStyle name="통화 [0] 2 43" xfId="14177"/>
    <cellStyle name="통화 [0] 2 44" xfId="14178"/>
    <cellStyle name="통화 [0] 2 45" xfId="14179"/>
    <cellStyle name="통화 [0] 2 46" xfId="14180"/>
    <cellStyle name="통화 [0] 2 47" xfId="14181"/>
    <cellStyle name="통화 [0] 2 48" xfId="14182"/>
    <cellStyle name="통화 [0] 2 49" xfId="14183"/>
    <cellStyle name="통화 [0] 2 5" xfId="14184"/>
    <cellStyle name="통화 [0] 2 50" xfId="14185"/>
    <cellStyle name="통화 [0] 2 51" xfId="14186"/>
    <cellStyle name="통화 [0] 2 52" xfId="14187"/>
    <cellStyle name="통화 [0] 2 53" xfId="14188"/>
    <cellStyle name="통화 [0] 2 54" xfId="14189"/>
    <cellStyle name="통화 [0] 2 55" xfId="14190"/>
    <cellStyle name="통화 [0] 2 56" xfId="14191"/>
    <cellStyle name="통화 [0] 2 57" xfId="14192"/>
    <cellStyle name="통화 [0] 2 58" xfId="14193"/>
    <cellStyle name="통화 [0] 2 59" xfId="14194"/>
    <cellStyle name="통화 [0] 2 6" xfId="14195"/>
    <cellStyle name="통화 [0] 2 60" xfId="14196"/>
    <cellStyle name="통화 [0] 2 61" xfId="14197"/>
    <cellStyle name="통화 [0] 2 62" xfId="14198"/>
    <cellStyle name="통화 [0] 2 63" xfId="14199"/>
    <cellStyle name="통화 [0] 2 64" xfId="14200"/>
    <cellStyle name="통화 [0] 2 65" xfId="14201"/>
    <cellStyle name="통화 [0] 2 66" xfId="14202"/>
    <cellStyle name="통화 [0] 2 67" xfId="14203"/>
    <cellStyle name="통화 [0] 2 68" xfId="14204"/>
    <cellStyle name="통화 [0] 2 69" xfId="14205"/>
    <cellStyle name="통화 [0] 2 7" xfId="14206"/>
    <cellStyle name="통화 [0] 2 70" xfId="14207"/>
    <cellStyle name="통화 [0] 2 71" xfId="14208"/>
    <cellStyle name="통화 [0] 2 72" xfId="14209"/>
    <cellStyle name="통화 [0] 2 73" xfId="14210"/>
    <cellStyle name="통화 [0] 2 74" xfId="14211"/>
    <cellStyle name="통화 [0] 2 75" xfId="14212"/>
    <cellStyle name="통화 [0] 2 76" xfId="14213"/>
    <cellStyle name="통화 [0] 2 77" xfId="14214"/>
    <cellStyle name="통화 [0] 2 78" xfId="14215"/>
    <cellStyle name="통화 [0] 2 79" xfId="14216"/>
    <cellStyle name="통화 [0] 2 8" xfId="14217"/>
    <cellStyle name="통화 [0] 2 80" xfId="14218"/>
    <cellStyle name="통화 [0] 2 81" xfId="14219"/>
    <cellStyle name="통화 [0] 2 82" xfId="14220"/>
    <cellStyle name="통화 [0] 2 83" xfId="14221"/>
    <cellStyle name="통화 [0] 2 84" xfId="14222"/>
    <cellStyle name="통화 [0] 2 85" xfId="14223"/>
    <cellStyle name="통화 [0] 2 86" xfId="14224"/>
    <cellStyle name="통화 [0] 2 87" xfId="14225"/>
    <cellStyle name="통화 [0] 2 88" xfId="14226"/>
    <cellStyle name="통화 [0] 2 89" xfId="14227"/>
    <cellStyle name="통화 [0] 2 9" xfId="14228"/>
    <cellStyle name="통화 [0] 2 90" xfId="14229"/>
    <cellStyle name="통화 [0] 2 91" xfId="14230"/>
    <cellStyle name="통화 [0] 2 92" xfId="14231"/>
    <cellStyle name="통화 [0] 2 93" xfId="14232"/>
    <cellStyle name="통화 [0] 2 94" xfId="14233"/>
    <cellStyle name="통화 [0] 2 95" xfId="14234"/>
    <cellStyle name="통화 [0] 2 96" xfId="14235"/>
    <cellStyle name="통화 [0] 2 97" xfId="14236"/>
    <cellStyle name="통화 [0] 2 98" xfId="14237"/>
    <cellStyle name="통화 [0] 2 99" xfId="14238"/>
    <cellStyle name="통화 [1]" xfId="14239"/>
    <cellStyle name="통화 2" xfId="14240"/>
    <cellStyle name="통화 2 10" xfId="14241"/>
    <cellStyle name="통화 2 100" xfId="14242"/>
    <cellStyle name="통화 2 101" xfId="14243"/>
    <cellStyle name="통화 2 102" xfId="14244"/>
    <cellStyle name="통화 2 103" xfId="14245"/>
    <cellStyle name="통화 2 104" xfId="14246"/>
    <cellStyle name="통화 2 105" xfId="14247"/>
    <cellStyle name="통화 2 106" xfId="14248"/>
    <cellStyle name="통화 2 107" xfId="14249"/>
    <cellStyle name="통화 2 108" xfId="14250"/>
    <cellStyle name="통화 2 109" xfId="14251"/>
    <cellStyle name="통화 2 11" xfId="14252"/>
    <cellStyle name="통화 2 110" xfId="14253"/>
    <cellStyle name="통화 2 111" xfId="14254"/>
    <cellStyle name="통화 2 112" xfId="14255"/>
    <cellStyle name="통화 2 113" xfId="14256"/>
    <cellStyle name="통화 2 114" xfId="14257"/>
    <cellStyle name="통화 2 115" xfId="14258"/>
    <cellStyle name="통화 2 116" xfId="14259"/>
    <cellStyle name="통화 2 117" xfId="14260"/>
    <cellStyle name="통화 2 118" xfId="14261"/>
    <cellStyle name="통화 2 119" xfId="14262"/>
    <cellStyle name="통화 2 12" xfId="14263"/>
    <cellStyle name="통화 2 120" xfId="14264"/>
    <cellStyle name="통화 2 121" xfId="14265"/>
    <cellStyle name="통화 2 122" xfId="14266"/>
    <cellStyle name="통화 2 123" xfId="14267"/>
    <cellStyle name="통화 2 124" xfId="14268"/>
    <cellStyle name="통화 2 125" xfId="14269"/>
    <cellStyle name="통화 2 126" xfId="14270"/>
    <cellStyle name="통화 2 127" xfId="14271"/>
    <cellStyle name="통화 2 128" xfId="14272"/>
    <cellStyle name="통화 2 129" xfId="14273"/>
    <cellStyle name="통화 2 13" xfId="14274"/>
    <cellStyle name="통화 2 130" xfId="14275"/>
    <cellStyle name="통화 2 131" xfId="14276"/>
    <cellStyle name="통화 2 132" xfId="14277"/>
    <cellStyle name="통화 2 133" xfId="14278"/>
    <cellStyle name="통화 2 134" xfId="14279"/>
    <cellStyle name="통화 2 135" xfId="14280"/>
    <cellStyle name="통화 2 136" xfId="14281"/>
    <cellStyle name="통화 2 137" xfId="14282"/>
    <cellStyle name="통화 2 138" xfId="14283"/>
    <cellStyle name="통화 2 139" xfId="14284"/>
    <cellStyle name="통화 2 14" xfId="14285"/>
    <cellStyle name="통화 2 140" xfId="14286"/>
    <cellStyle name="통화 2 141" xfId="14287"/>
    <cellStyle name="통화 2 142" xfId="14288"/>
    <cellStyle name="통화 2 143" xfId="14289"/>
    <cellStyle name="통화 2 144" xfId="14290"/>
    <cellStyle name="통화 2 145" xfId="14291"/>
    <cellStyle name="통화 2 146" xfId="14292"/>
    <cellStyle name="통화 2 147" xfId="14293"/>
    <cellStyle name="통화 2 148" xfId="14294"/>
    <cellStyle name="통화 2 149" xfId="14295"/>
    <cellStyle name="통화 2 15" xfId="14296"/>
    <cellStyle name="통화 2 150" xfId="14297"/>
    <cellStyle name="통화 2 151" xfId="14298"/>
    <cellStyle name="통화 2 152" xfId="14299"/>
    <cellStyle name="통화 2 153" xfId="14300"/>
    <cellStyle name="통화 2 154" xfId="14301"/>
    <cellStyle name="통화 2 155" xfId="14302"/>
    <cellStyle name="통화 2 156" xfId="14303"/>
    <cellStyle name="통화 2 157" xfId="14304"/>
    <cellStyle name="통화 2 158" xfId="14305"/>
    <cellStyle name="통화 2 159" xfId="14306"/>
    <cellStyle name="통화 2 16" xfId="14307"/>
    <cellStyle name="통화 2 160" xfId="14308"/>
    <cellStyle name="통화 2 161" xfId="14309"/>
    <cellStyle name="통화 2 162" xfId="14310"/>
    <cellStyle name="통화 2 163" xfId="14311"/>
    <cellStyle name="통화 2 164" xfId="14312"/>
    <cellStyle name="통화 2 165" xfId="14313"/>
    <cellStyle name="통화 2 166" xfId="14314"/>
    <cellStyle name="통화 2 167" xfId="14315"/>
    <cellStyle name="통화 2 168" xfId="14316"/>
    <cellStyle name="통화 2 169" xfId="14317"/>
    <cellStyle name="통화 2 17" xfId="14318"/>
    <cellStyle name="통화 2 170" xfId="14319"/>
    <cellStyle name="통화 2 171" xfId="14320"/>
    <cellStyle name="통화 2 172" xfId="14321"/>
    <cellStyle name="통화 2 173" xfId="14322"/>
    <cellStyle name="통화 2 174" xfId="14323"/>
    <cellStyle name="통화 2 175" xfId="14324"/>
    <cellStyle name="통화 2 176" xfId="14325"/>
    <cellStyle name="통화 2 177" xfId="14326"/>
    <cellStyle name="통화 2 178" xfId="14327"/>
    <cellStyle name="통화 2 179" xfId="14328"/>
    <cellStyle name="통화 2 18" xfId="14329"/>
    <cellStyle name="통화 2 180" xfId="14330"/>
    <cellStyle name="통화 2 181" xfId="14331"/>
    <cellStyle name="통화 2 182" xfId="14332"/>
    <cellStyle name="통화 2 183" xfId="14333"/>
    <cellStyle name="통화 2 184" xfId="14334"/>
    <cellStyle name="통화 2 185" xfId="14335"/>
    <cellStyle name="통화 2 186" xfId="14336"/>
    <cellStyle name="통화 2 187" xfId="14337"/>
    <cellStyle name="통화 2 188" xfId="14338"/>
    <cellStyle name="통화 2 189" xfId="14339"/>
    <cellStyle name="통화 2 19" xfId="14340"/>
    <cellStyle name="통화 2 190" xfId="14341"/>
    <cellStyle name="통화 2 191" xfId="14342"/>
    <cellStyle name="통화 2 192" xfId="14343"/>
    <cellStyle name="통화 2 193" xfId="14344"/>
    <cellStyle name="통화 2 194" xfId="14345"/>
    <cellStyle name="통화 2 195" xfId="14346"/>
    <cellStyle name="통화 2 196" xfId="14347"/>
    <cellStyle name="통화 2 197" xfId="14348"/>
    <cellStyle name="통화 2 198" xfId="14349"/>
    <cellStyle name="통화 2 199" xfId="14350"/>
    <cellStyle name="통화 2 2" xfId="14351"/>
    <cellStyle name="통화 2 20" xfId="14352"/>
    <cellStyle name="통화 2 200" xfId="14353"/>
    <cellStyle name="통화 2 201" xfId="14354"/>
    <cellStyle name="통화 2 202" xfId="14355"/>
    <cellStyle name="통화 2 203" xfId="14356"/>
    <cellStyle name="통화 2 204" xfId="14357"/>
    <cellStyle name="통화 2 205" xfId="14358"/>
    <cellStyle name="통화 2 206" xfId="14359"/>
    <cellStyle name="통화 2 207" xfId="14360"/>
    <cellStyle name="통화 2 208" xfId="14361"/>
    <cellStyle name="통화 2 209" xfId="14362"/>
    <cellStyle name="통화 2 21" xfId="14363"/>
    <cellStyle name="통화 2 210" xfId="14364"/>
    <cellStyle name="통화 2 211" xfId="14365"/>
    <cellStyle name="통화 2 212" xfId="14366"/>
    <cellStyle name="통화 2 213" xfId="14367"/>
    <cellStyle name="통화 2 214" xfId="14368"/>
    <cellStyle name="통화 2 215" xfId="14369"/>
    <cellStyle name="통화 2 216" xfId="14370"/>
    <cellStyle name="통화 2 217" xfId="14371"/>
    <cellStyle name="통화 2 218" xfId="14372"/>
    <cellStyle name="통화 2 219" xfId="14373"/>
    <cellStyle name="통화 2 22" xfId="14374"/>
    <cellStyle name="통화 2 220" xfId="14375"/>
    <cellStyle name="통화 2 221" xfId="14376"/>
    <cellStyle name="통화 2 222" xfId="14377"/>
    <cellStyle name="통화 2 223" xfId="14378"/>
    <cellStyle name="통화 2 224" xfId="14379"/>
    <cellStyle name="통화 2 225" xfId="14380"/>
    <cellStyle name="통화 2 226" xfId="14381"/>
    <cellStyle name="통화 2 227" xfId="14382"/>
    <cellStyle name="통화 2 228" xfId="14383"/>
    <cellStyle name="통화 2 229" xfId="14384"/>
    <cellStyle name="통화 2 23" xfId="14385"/>
    <cellStyle name="통화 2 230" xfId="14386"/>
    <cellStyle name="통화 2 231" xfId="14387"/>
    <cellStyle name="통화 2 232" xfId="14388"/>
    <cellStyle name="통화 2 233" xfId="14389"/>
    <cellStyle name="통화 2 234" xfId="14390"/>
    <cellStyle name="통화 2 235" xfId="14391"/>
    <cellStyle name="통화 2 236" xfId="14392"/>
    <cellStyle name="통화 2 237" xfId="14393"/>
    <cellStyle name="통화 2 238" xfId="14394"/>
    <cellStyle name="통화 2 239" xfId="14395"/>
    <cellStyle name="통화 2 24" xfId="14396"/>
    <cellStyle name="통화 2 240" xfId="14397"/>
    <cellStyle name="통화 2 241" xfId="14398"/>
    <cellStyle name="통화 2 242" xfId="14399"/>
    <cellStyle name="통화 2 25" xfId="14400"/>
    <cellStyle name="통화 2 26" xfId="14401"/>
    <cellStyle name="통화 2 27" xfId="14402"/>
    <cellStyle name="통화 2 28" xfId="14403"/>
    <cellStyle name="통화 2 29" xfId="14404"/>
    <cellStyle name="통화 2 3" xfId="14405"/>
    <cellStyle name="통화 2 30" xfId="14406"/>
    <cellStyle name="통화 2 31" xfId="14407"/>
    <cellStyle name="통화 2 32" xfId="14408"/>
    <cellStyle name="통화 2 33" xfId="14409"/>
    <cellStyle name="통화 2 34" xfId="14410"/>
    <cellStyle name="통화 2 35" xfId="14411"/>
    <cellStyle name="통화 2 36" xfId="14412"/>
    <cellStyle name="통화 2 37" xfId="14413"/>
    <cellStyle name="통화 2 38" xfId="14414"/>
    <cellStyle name="통화 2 39" xfId="14415"/>
    <cellStyle name="통화 2 4" xfId="14416"/>
    <cellStyle name="통화 2 40" xfId="14417"/>
    <cellStyle name="통화 2 41" xfId="14418"/>
    <cellStyle name="통화 2 42" xfId="14419"/>
    <cellStyle name="통화 2 43" xfId="14420"/>
    <cellStyle name="통화 2 44" xfId="14421"/>
    <cellStyle name="통화 2 45" xfId="14422"/>
    <cellStyle name="통화 2 46" xfId="14423"/>
    <cellStyle name="통화 2 47" xfId="14424"/>
    <cellStyle name="통화 2 48" xfId="14425"/>
    <cellStyle name="통화 2 49" xfId="14426"/>
    <cellStyle name="통화 2 5" xfId="14427"/>
    <cellStyle name="통화 2 50" xfId="14428"/>
    <cellStyle name="통화 2 51" xfId="14429"/>
    <cellStyle name="통화 2 52" xfId="14430"/>
    <cellStyle name="통화 2 53" xfId="14431"/>
    <cellStyle name="통화 2 54" xfId="14432"/>
    <cellStyle name="통화 2 55" xfId="14433"/>
    <cellStyle name="통화 2 56" xfId="14434"/>
    <cellStyle name="통화 2 57" xfId="14435"/>
    <cellStyle name="통화 2 58" xfId="14436"/>
    <cellStyle name="통화 2 59" xfId="14437"/>
    <cellStyle name="통화 2 6" xfId="14438"/>
    <cellStyle name="통화 2 60" xfId="14439"/>
    <cellStyle name="통화 2 61" xfId="14440"/>
    <cellStyle name="통화 2 62" xfId="14441"/>
    <cellStyle name="통화 2 63" xfId="14442"/>
    <cellStyle name="통화 2 64" xfId="14443"/>
    <cellStyle name="통화 2 65" xfId="14444"/>
    <cellStyle name="통화 2 66" xfId="14445"/>
    <cellStyle name="통화 2 67" xfId="14446"/>
    <cellStyle name="통화 2 68" xfId="14447"/>
    <cellStyle name="통화 2 69" xfId="14448"/>
    <cellStyle name="통화 2 7" xfId="14449"/>
    <cellStyle name="통화 2 70" xfId="14450"/>
    <cellStyle name="통화 2 71" xfId="14451"/>
    <cellStyle name="통화 2 72" xfId="14452"/>
    <cellStyle name="통화 2 73" xfId="14453"/>
    <cellStyle name="통화 2 74" xfId="14454"/>
    <cellStyle name="통화 2 75" xfId="14455"/>
    <cellStyle name="통화 2 76" xfId="14456"/>
    <cellStyle name="통화 2 77" xfId="14457"/>
    <cellStyle name="통화 2 78" xfId="14458"/>
    <cellStyle name="통화 2 79" xfId="14459"/>
    <cellStyle name="통화 2 8" xfId="14460"/>
    <cellStyle name="통화 2 80" xfId="14461"/>
    <cellStyle name="통화 2 81" xfId="14462"/>
    <cellStyle name="통화 2 82" xfId="14463"/>
    <cellStyle name="통화 2 83" xfId="14464"/>
    <cellStyle name="통화 2 84" xfId="14465"/>
    <cellStyle name="통화 2 85" xfId="14466"/>
    <cellStyle name="통화 2 86" xfId="14467"/>
    <cellStyle name="통화 2 87" xfId="14468"/>
    <cellStyle name="통화 2 88" xfId="14469"/>
    <cellStyle name="통화 2 89" xfId="14470"/>
    <cellStyle name="통화 2 9" xfId="14471"/>
    <cellStyle name="통화 2 90" xfId="14472"/>
    <cellStyle name="통화 2 91" xfId="14473"/>
    <cellStyle name="통화 2 92" xfId="14474"/>
    <cellStyle name="통화 2 93" xfId="14475"/>
    <cellStyle name="통화 2 94" xfId="14476"/>
    <cellStyle name="통화 2 95" xfId="14477"/>
    <cellStyle name="통화 2 96" xfId="14478"/>
    <cellStyle name="통화 2 97" xfId="14479"/>
    <cellStyle name="통화 2 98" xfId="14480"/>
    <cellStyle name="통화 2 99" xfId="14481"/>
    <cellStyle name="팹繫_11墩작셕粮앉  " xfId="14482"/>
    <cellStyle name="퍼센트" xfId="14483"/>
    <cellStyle name="标题" xfId="14484"/>
    <cellStyle name="标题 1" xfId="14485"/>
    <cellStyle name="标题 2" xfId="14486"/>
    <cellStyle name="标题 3" xfId="14487"/>
    <cellStyle name="标题 4" xfId="14488"/>
    <cellStyle name="标题_`12년 전략CM_투자_RA Total_배부율_S3수정" xfId="14489"/>
    <cellStyle name="표준" xfId="0" builtinId="0"/>
    <cellStyle name="표준 10" xfId="14490"/>
    <cellStyle name="표준 10 2" xfId="14491"/>
    <cellStyle name="표준 10 2 2" xfId="18843"/>
    <cellStyle name="표준 10 2 2 2" xfId="18844"/>
    <cellStyle name="표준 10 2 2 2 2" xfId="18845"/>
    <cellStyle name="표준 10 2 2 2 2 2" xfId="18846"/>
    <cellStyle name="표준 10 2 2 3" xfId="18847"/>
    <cellStyle name="표준 10 2 2 3 2" xfId="18848"/>
    <cellStyle name="표준 10 2 2 4" xfId="18849"/>
    <cellStyle name="표준 10 2 2 5" xfId="18850"/>
    <cellStyle name="표준 10 2 3" xfId="18851"/>
    <cellStyle name="표준 10 2 4" xfId="18852"/>
    <cellStyle name="표준 10 2 5" xfId="18853"/>
    <cellStyle name="표준 10 2 6" xfId="18854"/>
    <cellStyle name="표준 10 2 7" xfId="18855"/>
    <cellStyle name="표준 10 2_SalesMostLikelyDivision" xfId="18856"/>
    <cellStyle name="표준 10 3" xfId="14492"/>
    <cellStyle name="표준 10 3 2" xfId="18857"/>
    <cellStyle name="표준 10 3 3" xfId="18858"/>
    <cellStyle name="표준 10 4" xfId="18859"/>
    <cellStyle name="표준 10 4 2" xfId="18860"/>
    <cellStyle name="표준 10 4 3" xfId="18861"/>
    <cellStyle name="표준 10 4 4" xfId="18862"/>
    <cellStyle name="표준 10 5" xfId="18863"/>
    <cellStyle name="표준 10 5 2" xfId="18864"/>
    <cellStyle name="표준 10 5 3" xfId="18865"/>
    <cellStyle name="표준 10 5 4" xfId="18866"/>
    <cellStyle name="표준 10 6" xfId="18867"/>
    <cellStyle name="표준 10 7" xfId="18868"/>
    <cellStyle name="표준 10 8" xfId="18869"/>
    <cellStyle name="표준 10 9" xfId="18870"/>
    <cellStyle name="표준 10_KPIDIOAmtSubsidiary_MFG" xfId="18871"/>
    <cellStyle name="표준 11" xfId="14493"/>
    <cellStyle name="표준 11 2" xfId="18872"/>
    <cellStyle name="표준 11 3" xfId="18873"/>
    <cellStyle name="표준 12" xfId="14494"/>
    <cellStyle name="표준 12 10" xfId="18874"/>
    <cellStyle name="표준 12 11" xfId="18875"/>
    <cellStyle name="표준 12 12" xfId="18876"/>
    <cellStyle name="표준 12 2" xfId="18877"/>
    <cellStyle name="표준 12 2 2" xfId="18878"/>
    <cellStyle name="표준 12 2 2 2" xfId="18879"/>
    <cellStyle name="표준 12 2 2 3" xfId="18880"/>
    <cellStyle name="표준 12 2 3" xfId="18881"/>
    <cellStyle name="표준 12 2 3 2" xfId="18882"/>
    <cellStyle name="표준 12 2 4" xfId="18883"/>
    <cellStyle name="표준 12 2 5" xfId="18884"/>
    <cellStyle name="표준 12 2 6" xfId="18885"/>
    <cellStyle name="표준 12 2_MAIN" xfId="18886"/>
    <cellStyle name="표준 12 3" xfId="18887"/>
    <cellStyle name="표준 12 3 2" xfId="18888"/>
    <cellStyle name="표준 12 3 2 2" xfId="18889"/>
    <cellStyle name="표준 12 3 2 2 2" xfId="18890"/>
    <cellStyle name="표준 12 3 2 3" xfId="18891"/>
    <cellStyle name="표준 12 3 2 4" xfId="18892"/>
    <cellStyle name="표준 12 3 3" xfId="18893"/>
    <cellStyle name="표준 12 3 3 2" xfId="18894"/>
    <cellStyle name="표준 12 3 3 3" xfId="18895"/>
    <cellStyle name="표준 12 3 4" xfId="18896"/>
    <cellStyle name="표준 12 3 5" xfId="18897"/>
    <cellStyle name="표준 12 4" xfId="18898"/>
    <cellStyle name="표준 12 4 2" xfId="18899"/>
    <cellStyle name="표준 12 4 2 2" xfId="18900"/>
    <cellStyle name="표준 12 4 2 3" xfId="18901"/>
    <cellStyle name="표준 12 4 2 4" xfId="18902"/>
    <cellStyle name="표준 12 4 3" xfId="18903"/>
    <cellStyle name="표준 12 4 3 2" xfId="18904"/>
    <cellStyle name="표준 12 4 4" xfId="18905"/>
    <cellStyle name="표준 12 4 5" xfId="18906"/>
    <cellStyle name="표준 12 5" xfId="18907"/>
    <cellStyle name="표준 12 5 2" xfId="18908"/>
    <cellStyle name="표준 12 5 3" xfId="18909"/>
    <cellStyle name="표준 12 6" xfId="18910"/>
    <cellStyle name="표준 12 6 2" xfId="18911"/>
    <cellStyle name="표준 12 6 3" xfId="18912"/>
    <cellStyle name="표준 12 7" xfId="18913"/>
    <cellStyle name="표준 12 8" xfId="18914"/>
    <cellStyle name="표준 12 9" xfId="18915"/>
    <cellStyle name="표준 12_CHK_DATA" xfId="18916"/>
    <cellStyle name="표준 13" xfId="14495"/>
    <cellStyle name="표준 13 10" xfId="18917"/>
    <cellStyle name="표준 13 11" xfId="18918"/>
    <cellStyle name="표준 13 2" xfId="18919"/>
    <cellStyle name="표준 13 2 2" xfId="18920"/>
    <cellStyle name="표준 13 2 2 2" xfId="18921"/>
    <cellStyle name="표준 13 2 2 3" xfId="18922"/>
    <cellStyle name="표준 13 2 3" xfId="18923"/>
    <cellStyle name="표준 13 2 3 2" xfId="18924"/>
    <cellStyle name="표준 13 2 3 3" xfId="18925"/>
    <cellStyle name="표준 13 2 3 4" xfId="18926"/>
    <cellStyle name="표준 13 2 4" xfId="18927"/>
    <cellStyle name="표준 13 2 4 2" xfId="18928"/>
    <cellStyle name="표준 13 2 4 3" xfId="18929"/>
    <cellStyle name="표준 13 2 5" xfId="18930"/>
    <cellStyle name="표준 13 2 6" xfId="18931"/>
    <cellStyle name="표준 13 2_MAIN" xfId="18932"/>
    <cellStyle name="표준 13 3" xfId="18933"/>
    <cellStyle name="표준 13 3 2" xfId="18934"/>
    <cellStyle name="표준 13 3 2 2" xfId="18935"/>
    <cellStyle name="표준 13 3 2 3" xfId="18936"/>
    <cellStyle name="표준 13 3 2 4" xfId="18937"/>
    <cellStyle name="표준 13 3 3" xfId="18938"/>
    <cellStyle name="표준 13 3 3 2" xfId="18939"/>
    <cellStyle name="표준 13 3 3 3" xfId="18940"/>
    <cellStyle name="표준 13 3 4" xfId="18941"/>
    <cellStyle name="표준 13 3 5" xfId="18942"/>
    <cellStyle name="표준 13 4" xfId="18943"/>
    <cellStyle name="표준 13 4 2" xfId="18944"/>
    <cellStyle name="표준 13 4 2 2" xfId="18945"/>
    <cellStyle name="표준 13 4 2 3" xfId="18946"/>
    <cellStyle name="표준 13 4 3" xfId="18947"/>
    <cellStyle name="표준 13 4 3 2" xfId="18948"/>
    <cellStyle name="표준 13 4 4" xfId="18949"/>
    <cellStyle name="표준 13 4 5" xfId="18950"/>
    <cellStyle name="표준 13 5" xfId="18951"/>
    <cellStyle name="표준 13 5 2" xfId="18952"/>
    <cellStyle name="표준 13 5 2 2" xfId="18953"/>
    <cellStyle name="표준 13 5 3" xfId="18954"/>
    <cellStyle name="표준 13 5 4" xfId="18955"/>
    <cellStyle name="표준 13 6" xfId="18956"/>
    <cellStyle name="표준 13 6 2" xfId="18957"/>
    <cellStyle name="표준 13 6 3" xfId="18958"/>
    <cellStyle name="표준 13 6 4" xfId="18959"/>
    <cellStyle name="표준 13 7" xfId="18960"/>
    <cellStyle name="표준 13 7 2" xfId="18961"/>
    <cellStyle name="표준 13 7 3" xfId="18962"/>
    <cellStyle name="표준 13 8" xfId="18963"/>
    <cellStyle name="표준 13 9" xfId="18964"/>
    <cellStyle name="표준 13_FIELDNAME_MASTER" xfId="18965"/>
    <cellStyle name="표준 14" xfId="14496"/>
    <cellStyle name="표준 14 2" xfId="18966"/>
    <cellStyle name="표준 14 2 2" xfId="18967"/>
    <cellStyle name="표준 14 2 3" xfId="18968"/>
    <cellStyle name="표준 14 2 4" xfId="18969"/>
    <cellStyle name="표준 14 3" xfId="18970"/>
    <cellStyle name="표준 14 3 2" xfId="18971"/>
    <cellStyle name="표준 14 3 3" xfId="18972"/>
    <cellStyle name="표준 14 4" xfId="18973"/>
    <cellStyle name="표준 14 5" xfId="18974"/>
    <cellStyle name="표준 14 6" xfId="18975"/>
    <cellStyle name="표준 14 7" xfId="18976"/>
    <cellStyle name="표준 14_MAIN" xfId="18977"/>
    <cellStyle name="표준 15" xfId="14497"/>
    <cellStyle name="표준 15 10" xfId="18978"/>
    <cellStyle name="표준 15 11" xfId="18979"/>
    <cellStyle name="표준 15 2" xfId="18980"/>
    <cellStyle name="표준 15 2 2" xfId="18981"/>
    <cellStyle name="표준 15 2 2 2" xfId="18982"/>
    <cellStyle name="표준 15 2 2_MAIN" xfId="18983"/>
    <cellStyle name="표준 15 2 3" xfId="18984"/>
    <cellStyle name="표준 15 2 4" xfId="18985"/>
    <cellStyle name="표준 15 2 5" xfId="18986"/>
    <cellStyle name="표준 15 2 6" xfId="18987"/>
    <cellStyle name="표준 15 2 7" xfId="18988"/>
    <cellStyle name="표준 15 2 8" xfId="18989"/>
    <cellStyle name="표준 15 2 9" xfId="18990"/>
    <cellStyle name="표준 15 2_MAIN" xfId="18991"/>
    <cellStyle name="표준 15 3" xfId="18992"/>
    <cellStyle name="표준 15 3 2" xfId="18993"/>
    <cellStyle name="표준 15 3 3" xfId="18994"/>
    <cellStyle name="표준 15 3 4" xfId="18995"/>
    <cellStyle name="표준 15 3 5" xfId="18996"/>
    <cellStyle name="표준 15 3_MAIN" xfId="18997"/>
    <cellStyle name="표준 15 4" xfId="18998"/>
    <cellStyle name="표준 15 4 2" xfId="18999"/>
    <cellStyle name="표준 15 4 3" xfId="19000"/>
    <cellStyle name="표준 15 5" xfId="19001"/>
    <cellStyle name="표준 15 6" xfId="19002"/>
    <cellStyle name="표준 15 7" xfId="19003"/>
    <cellStyle name="표준 15 8" xfId="19004"/>
    <cellStyle name="표준 15 9" xfId="19005"/>
    <cellStyle name="표준 15_KPIDIOAmtSubsidiary_MFG" xfId="19006"/>
    <cellStyle name="표준 16" xfId="14498"/>
    <cellStyle name="표준 16 2" xfId="14499"/>
    <cellStyle name="표준 16 2 2" xfId="19007"/>
    <cellStyle name="표준 16 2 3" xfId="19008"/>
    <cellStyle name="표준 16 2 4" xfId="19009"/>
    <cellStyle name="표준 16 2 5" xfId="19010"/>
    <cellStyle name="표준 16 3" xfId="19011"/>
    <cellStyle name="표준 16 3 2" xfId="19012"/>
    <cellStyle name="표준 16 3 3" xfId="19013"/>
    <cellStyle name="표준 16 4" xfId="19014"/>
    <cellStyle name="표준 16 4 2" xfId="19015"/>
    <cellStyle name="표준 16 4 3" xfId="19016"/>
    <cellStyle name="표준 16 5" xfId="19017"/>
    <cellStyle name="표준 16 5 2" xfId="19018"/>
    <cellStyle name="표준 16 6" xfId="19019"/>
    <cellStyle name="표준 16 7" xfId="19020"/>
    <cellStyle name="표준 16 8" xfId="19021"/>
    <cellStyle name="표준 16_Dashboard" xfId="19022"/>
    <cellStyle name="표준 17" xfId="14500"/>
    <cellStyle name="표준 17 2" xfId="14501"/>
    <cellStyle name="표준 17 2 2" xfId="19023"/>
    <cellStyle name="표준 17 3" xfId="19024"/>
    <cellStyle name="표준 17 4" xfId="19025"/>
    <cellStyle name="표준 17 5" xfId="19026"/>
    <cellStyle name="표준 17 6" xfId="19027"/>
    <cellStyle name="표준 17 7" xfId="19028"/>
    <cellStyle name="표준 17 8" xfId="19029"/>
    <cellStyle name="표준 17_MAIN" xfId="19030"/>
    <cellStyle name="표준 18" xfId="14502"/>
    <cellStyle name="표준 18 10" xfId="19031"/>
    <cellStyle name="표준 18 2" xfId="14503"/>
    <cellStyle name="표준 18 2 2" xfId="19032"/>
    <cellStyle name="표준 18 2 2 2" xfId="19033"/>
    <cellStyle name="표준 18 2 3" xfId="19034"/>
    <cellStyle name="표준 18 2 4" xfId="19035"/>
    <cellStyle name="표준 18 2 5" xfId="19036"/>
    <cellStyle name="표준 18 3" xfId="19037"/>
    <cellStyle name="표준 18 3 2" xfId="19038"/>
    <cellStyle name="표준 18 3 3" xfId="19039"/>
    <cellStyle name="표준 18 3 4" xfId="19040"/>
    <cellStyle name="표준 18 4" xfId="19041"/>
    <cellStyle name="표준 18 4 2" xfId="19042"/>
    <cellStyle name="표준 18 5" xfId="19043"/>
    <cellStyle name="표준 18 6" xfId="19044"/>
    <cellStyle name="표준 18 7" xfId="19045"/>
    <cellStyle name="표준 18 8" xfId="19046"/>
    <cellStyle name="표준 18 9" xfId="19047"/>
    <cellStyle name="표준 18_MAIN" xfId="19048"/>
    <cellStyle name="표준 19" xfId="14504"/>
    <cellStyle name="표준 19 2" xfId="14505"/>
    <cellStyle name="표준 19 2 2" xfId="19049"/>
    <cellStyle name="표준 19 2 2 2" xfId="19050"/>
    <cellStyle name="표준 19 2 2 3" xfId="19051"/>
    <cellStyle name="표준 19 2 3" xfId="19052"/>
    <cellStyle name="표준 19 2 4" xfId="19053"/>
    <cellStyle name="표준 19 2 5" xfId="19054"/>
    <cellStyle name="표준 19 3" xfId="19055"/>
    <cellStyle name="표준 19 3 2" xfId="19056"/>
    <cellStyle name="표준 19 3 3" xfId="19057"/>
    <cellStyle name="표준 19 3 4" xfId="19058"/>
    <cellStyle name="표준 19 4" xfId="19059"/>
    <cellStyle name="표준 19 5" xfId="19060"/>
    <cellStyle name="표준 19 6" xfId="19061"/>
    <cellStyle name="표준 2" xfId="3"/>
    <cellStyle name="표준 2 10" xfId="14506"/>
    <cellStyle name="표준 2 10 2" xfId="14507"/>
    <cellStyle name="표준 2 10 3" xfId="19062"/>
    <cellStyle name="표준 2 10 4" xfId="19063"/>
    <cellStyle name="표준 2 11" xfId="14508"/>
    <cellStyle name="표준 2 11 2" xfId="14509"/>
    <cellStyle name="표준 2 11 2 2" xfId="19064"/>
    <cellStyle name="표준 2 11 2 3" xfId="19065"/>
    <cellStyle name="표준 2 11 3" xfId="14510"/>
    <cellStyle name="표준 2 11 4" xfId="19066"/>
    <cellStyle name="표준 2 11 5" xfId="19067"/>
    <cellStyle name="표준 2 12" xfId="14511"/>
    <cellStyle name="표준 2 13" xfId="14512"/>
    <cellStyle name="표준 2 14" xfId="14513"/>
    <cellStyle name="표준 2 15" xfId="14514"/>
    <cellStyle name="표준 2 16" xfId="19068"/>
    <cellStyle name="표준 2 17" xfId="19069"/>
    <cellStyle name="표준 2 18" xfId="19070"/>
    <cellStyle name="표준 2 19" xfId="19071"/>
    <cellStyle name="표준 2 2" xfId="14515"/>
    <cellStyle name="표준 2 2 10" xfId="14516"/>
    <cellStyle name="표준 2 2 10 2" xfId="14517"/>
    <cellStyle name="표준 2 2 10 3" xfId="19072"/>
    <cellStyle name="표준 2 2 10 4" xfId="19073"/>
    <cellStyle name="표준 2 2 10 5" xfId="19074"/>
    <cellStyle name="표준 2 2 10 6" xfId="19075"/>
    <cellStyle name="표준 2 2 10 7" xfId="19076"/>
    <cellStyle name="표준 2 2 11" xfId="14518"/>
    <cellStyle name="표준 2 2 12" xfId="14519"/>
    <cellStyle name="표준 2 2 13" xfId="19077"/>
    <cellStyle name="표준 2 2 14" xfId="19078"/>
    <cellStyle name="표준 2 2 15" xfId="19079"/>
    <cellStyle name="표준 2 2 16" xfId="19080"/>
    <cellStyle name="표준 2 2 17" xfId="19081"/>
    <cellStyle name="표준 2 2 2" xfId="14520"/>
    <cellStyle name="표준 2 2 2 10" xfId="19082"/>
    <cellStyle name="표준 2 2 2 10 2" xfId="19083"/>
    <cellStyle name="표준 2 2 2 10 2 2" xfId="19084"/>
    <cellStyle name="표준 2 2 2 10 2 3" xfId="19085"/>
    <cellStyle name="표준 2 2 2 10 2 4" xfId="19086"/>
    <cellStyle name="표준 2 2 2 10 3" xfId="19087"/>
    <cellStyle name="표준 2 2 2 10 3 2" xfId="19088"/>
    <cellStyle name="표준 2 2 2 10 3 3" xfId="19089"/>
    <cellStyle name="표준 2 2 2 10 4" xfId="19090"/>
    <cellStyle name="표준 2 2 2 10 5" xfId="19091"/>
    <cellStyle name="표준 2 2 2 10 6" xfId="19092"/>
    <cellStyle name="표준 2 2 2 10 7" xfId="19093"/>
    <cellStyle name="표준 2 2 2 10 8" xfId="19094"/>
    <cellStyle name="표준 2 2 2 11" xfId="19095"/>
    <cellStyle name="표준 2 2 2 12" xfId="19096"/>
    <cellStyle name="표준 2 2 2 13" xfId="19097"/>
    <cellStyle name="표준 2 2 2 14" xfId="19098"/>
    <cellStyle name="표준 2 2 2 15" xfId="19099"/>
    <cellStyle name="표준 2 2 2 16" xfId="19100"/>
    <cellStyle name="표준 2 2 2 17" xfId="19101"/>
    <cellStyle name="표준 2 2 2 2" xfId="14521"/>
    <cellStyle name="표준 2 2 2 2 10" xfId="19102"/>
    <cellStyle name="표준 2 2 2 2 11" xfId="19103"/>
    <cellStyle name="표준 2 2 2 2 12" xfId="19104"/>
    <cellStyle name="표준 2 2 2 2 2" xfId="14522"/>
    <cellStyle name="표준 2 2 2 2 2 2" xfId="14523"/>
    <cellStyle name="표준 2 2 2 2 2 2 2" xfId="14524"/>
    <cellStyle name="표준 2 2 2 2 2 2 2 2" xfId="19105"/>
    <cellStyle name="표준 2 2 2 2 2 2 2 3" xfId="19106"/>
    <cellStyle name="표준 2 2 2 2 2 2 2 4" xfId="19107"/>
    <cellStyle name="표준 2 2 2 2 2 2 3" xfId="19108"/>
    <cellStyle name="표준 2 2 2 2 2 2 4" xfId="19109"/>
    <cellStyle name="표준 2 2 2 2 2 2 5" xfId="19110"/>
    <cellStyle name="표준 2 2 2 2 2 2 6" xfId="19111"/>
    <cellStyle name="표준 2 2 2 2 2 3" xfId="14525"/>
    <cellStyle name="표준 2 2 2 2 2 3 2" xfId="14526"/>
    <cellStyle name="표준 2 2 2 2 2 4" xfId="14527"/>
    <cellStyle name="표준 2 2 2 2 2 4 2" xfId="14528"/>
    <cellStyle name="표준 2 2 2 2 2 5" xfId="14529"/>
    <cellStyle name="표준 2 2 2 2 2 6" xfId="19112"/>
    <cellStyle name="표준 2 2 2 2 2_MAIN1" xfId="19113"/>
    <cellStyle name="표준 2 2 2 2 3" xfId="14530"/>
    <cellStyle name="표준 2 2 2 2 3 2" xfId="14531"/>
    <cellStyle name="표준 2 2 2 2 3 2 2" xfId="14532"/>
    <cellStyle name="표준 2 2 2 2 3 3" xfId="14533"/>
    <cellStyle name="표준 2 2 2 2 3 3 2" xfId="14534"/>
    <cellStyle name="표준 2 2 2 2 3 4" xfId="14535"/>
    <cellStyle name="표준 2 2 2 2 3 4 2" xfId="14536"/>
    <cellStyle name="표준 2 2 2 2 3 5" xfId="14537"/>
    <cellStyle name="표준 2 2 2 2 4" xfId="14538"/>
    <cellStyle name="표준 2 2 2 2 4 2" xfId="14539"/>
    <cellStyle name="표준 2 2 2 2 5" xfId="14540"/>
    <cellStyle name="표준 2 2 2 2 5 2" xfId="14541"/>
    <cellStyle name="표준 2 2 2 2 5 3" xfId="19114"/>
    <cellStyle name="표준 2 2 2 2 5 4" xfId="19115"/>
    <cellStyle name="표준 2 2 2 2 6" xfId="14542"/>
    <cellStyle name="표준 2 2 2 2 6 2" xfId="14543"/>
    <cellStyle name="표준 2 2 2 2 7" xfId="14544"/>
    <cellStyle name="표준 2 2 2 2 8" xfId="19116"/>
    <cellStyle name="표준 2 2 2 2 9" xfId="19117"/>
    <cellStyle name="표준 2 2 2 3" xfId="14545"/>
    <cellStyle name="표준 2 2 2 3 2" xfId="14546"/>
    <cellStyle name="표준 2 2 2 3 2 2" xfId="14547"/>
    <cellStyle name="표준 2 2 2 3 3" xfId="14548"/>
    <cellStyle name="표준 2 2 2 3 3 2" xfId="14549"/>
    <cellStyle name="표준 2 2 2 3 4" xfId="14550"/>
    <cellStyle name="표준 2 2 2 3 4 2" xfId="14551"/>
    <cellStyle name="표준 2 2 2 3 5" xfId="14552"/>
    <cellStyle name="표준 2 2 2 4" xfId="14553"/>
    <cellStyle name="표준 2 2 2 4 2" xfId="14554"/>
    <cellStyle name="표준 2 2 2 4 2 2" xfId="14555"/>
    <cellStyle name="표준 2 2 2 4 3" xfId="14556"/>
    <cellStyle name="표준 2 2 2 4 3 2" xfId="14557"/>
    <cellStyle name="표준 2 2 2 4 4" xfId="14558"/>
    <cellStyle name="표준 2 2 2 4 4 2" xfId="14559"/>
    <cellStyle name="표준 2 2 2 4 5" xfId="14560"/>
    <cellStyle name="표준 2 2 2 5" xfId="14561"/>
    <cellStyle name="표준 2 2 2 5 2" xfId="14562"/>
    <cellStyle name="표준 2 2 2 5 3" xfId="19118"/>
    <cellStyle name="표준 2 2 2 6" xfId="14563"/>
    <cellStyle name="표준 2 2 2 6 2" xfId="14564"/>
    <cellStyle name="표준 2 2 2 6 3" xfId="19119"/>
    <cellStyle name="표준 2 2 2 7" xfId="14565"/>
    <cellStyle name="표준 2 2 2 7 2" xfId="14566"/>
    <cellStyle name="표준 2 2 2 7 3" xfId="19120"/>
    <cellStyle name="표준 2 2 2 8" xfId="14567"/>
    <cellStyle name="표준 2 2 2 8 2" xfId="19121"/>
    <cellStyle name="표준 2 2 2 8 2 2" xfId="19122"/>
    <cellStyle name="표준 2 2 2 8 2 3" xfId="19123"/>
    <cellStyle name="표준 2 2 2 8 2 4" xfId="19124"/>
    <cellStyle name="표준 2 2 2 8 3" xfId="19125"/>
    <cellStyle name="표준 2 2 2 8 3 2" xfId="19126"/>
    <cellStyle name="표준 2 2 2 8 3 3" xfId="19127"/>
    <cellStyle name="표준 2 2 2 8 3 4" xfId="19128"/>
    <cellStyle name="표준 2 2 2 8 4" xfId="19129"/>
    <cellStyle name="표준 2 2 2 8 5" xfId="19130"/>
    <cellStyle name="표준 2 2 2 8 6" xfId="19131"/>
    <cellStyle name="표준 2 2 2 8 7" xfId="19132"/>
    <cellStyle name="표준 2 2 2 8 8" xfId="19133"/>
    <cellStyle name="표준 2 2 2 9" xfId="19134"/>
    <cellStyle name="표준 2 2 2 9 2" xfId="19135"/>
    <cellStyle name="표준 2 2 2 9 2 2" xfId="19136"/>
    <cellStyle name="표준 2 2 2 9 3" xfId="19137"/>
    <cellStyle name="표준 2 2 2 9 4" xfId="19138"/>
    <cellStyle name="표준 2 2 2 9 5" xfId="19139"/>
    <cellStyle name="표준 2 2 2 9 6" xfId="19140"/>
    <cellStyle name="표준 2 2 2_Dashboard" xfId="19141"/>
    <cellStyle name="표준 2 2 3" xfId="14568"/>
    <cellStyle name="표준 2 2 3 2" xfId="14569"/>
    <cellStyle name="표준 2 2 3 2 2" xfId="14570"/>
    <cellStyle name="표준 2 2 3 2 2 2" xfId="14571"/>
    <cellStyle name="표준 2 2 3 2 2 2 2" xfId="14572"/>
    <cellStyle name="표준 2 2 3 2 2 3" xfId="14573"/>
    <cellStyle name="표준 2 2 3 2 2 3 2" xfId="14574"/>
    <cellStyle name="표준 2 2 3 2 2 4" xfId="14575"/>
    <cellStyle name="표준 2 2 3 2 2 4 2" xfId="14576"/>
    <cellStyle name="표준 2 2 3 2 2 5" xfId="14577"/>
    <cellStyle name="표준 2 2 3 2 3" xfId="14578"/>
    <cellStyle name="표준 2 2 3 2 3 2" xfId="14579"/>
    <cellStyle name="표준 2 2 3 2 3 2 2" xfId="14580"/>
    <cellStyle name="표준 2 2 3 2 3 3" xfId="14581"/>
    <cellStyle name="표준 2 2 3 2 3 3 2" xfId="14582"/>
    <cellStyle name="표준 2 2 3 2 3 4" xfId="14583"/>
    <cellStyle name="표준 2 2 3 2 3 4 2" xfId="14584"/>
    <cellStyle name="표준 2 2 3 2 3 5" xfId="14585"/>
    <cellStyle name="표준 2 2 3 2 4" xfId="14586"/>
    <cellStyle name="표준 2 2 3 2 4 2" xfId="14587"/>
    <cellStyle name="표준 2 2 3 2 5" xfId="14588"/>
    <cellStyle name="표준 2 2 3 2 5 2" xfId="14589"/>
    <cellStyle name="표준 2 2 3 2 6" xfId="14590"/>
    <cellStyle name="표준 2 2 3 2 6 2" xfId="14591"/>
    <cellStyle name="표준 2 2 3 2 7" xfId="14592"/>
    <cellStyle name="표준 2 2 3 3" xfId="14593"/>
    <cellStyle name="표준 2 2 3 3 2" xfId="14594"/>
    <cellStyle name="표준 2 2 3 3 2 2" xfId="14595"/>
    <cellStyle name="표준 2 2 3 3 3" xfId="14596"/>
    <cellStyle name="표준 2 2 3 3 3 2" xfId="14597"/>
    <cellStyle name="표준 2 2 3 3 4" xfId="14598"/>
    <cellStyle name="표준 2 2 3 3 4 2" xfId="14599"/>
    <cellStyle name="표준 2 2 3 3 5" xfId="14600"/>
    <cellStyle name="표준 2 2 3 4" xfId="14601"/>
    <cellStyle name="표준 2 2 3 4 2" xfId="14602"/>
    <cellStyle name="표준 2 2 3 4 2 2" xfId="14603"/>
    <cellStyle name="표준 2 2 3 4 3" xfId="14604"/>
    <cellStyle name="표준 2 2 3 4 3 2" xfId="14605"/>
    <cellStyle name="표준 2 2 3 4 4" xfId="14606"/>
    <cellStyle name="표준 2 2 3 4 4 2" xfId="14607"/>
    <cellStyle name="표준 2 2 3 4 5" xfId="14608"/>
    <cellStyle name="표준 2 2 3 5" xfId="14609"/>
    <cellStyle name="표준 2 2 3 5 2" xfId="14610"/>
    <cellStyle name="표준 2 2 3 6" xfId="14611"/>
    <cellStyle name="표준 2 2 3 6 2" xfId="14612"/>
    <cellStyle name="표준 2 2 3 7" xfId="14613"/>
    <cellStyle name="표준 2 2 3 7 2" xfId="14614"/>
    <cellStyle name="표준 2 2 3 8" xfId="14615"/>
    <cellStyle name="표준 2 2 4" xfId="14616"/>
    <cellStyle name="표준 2 2 4 2" xfId="14617"/>
    <cellStyle name="표준 2 2 4 2 2" xfId="14618"/>
    <cellStyle name="표준 2 2 4 2 2 2" xfId="14619"/>
    <cellStyle name="표준 2 2 4 2 3" xfId="14620"/>
    <cellStyle name="표준 2 2 4 2 3 2" xfId="14621"/>
    <cellStyle name="표준 2 2 4 2 4" xfId="14622"/>
    <cellStyle name="표준 2 2 4 2 4 2" xfId="14623"/>
    <cellStyle name="표준 2 2 4 2 5" xfId="14624"/>
    <cellStyle name="표준 2 2 4 3" xfId="14625"/>
    <cellStyle name="표준 2 2 4 3 2" xfId="14626"/>
    <cellStyle name="표준 2 2 4 3 2 2" xfId="14627"/>
    <cellStyle name="표준 2 2 4 3 3" xfId="14628"/>
    <cellStyle name="표준 2 2 4 3 3 2" xfId="14629"/>
    <cellStyle name="표준 2 2 4 3 4" xfId="14630"/>
    <cellStyle name="표준 2 2 4 3 4 2" xfId="14631"/>
    <cellStyle name="표준 2 2 4 3 5" xfId="14632"/>
    <cellStyle name="표준 2 2 4 4" xfId="14633"/>
    <cellStyle name="표준 2 2 4 4 2" xfId="14634"/>
    <cellStyle name="표준 2 2 4 5" xfId="14635"/>
    <cellStyle name="표준 2 2 4 5 2" xfId="14636"/>
    <cellStyle name="표준 2 2 4 6" xfId="14637"/>
    <cellStyle name="표준 2 2 4 6 2" xfId="14638"/>
    <cellStyle name="표준 2 2 4 7" xfId="14639"/>
    <cellStyle name="표준 2 2 5" xfId="14640"/>
    <cellStyle name="표준 2 2 5 2" xfId="14641"/>
    <cellStyle name="표준 2 2 5 2 2" xfId="14642"/>
    <cellStyle name="표준 2 2 5 2 2 2" xfId="14643"/>
    <cellStyle name="표준 2 2 5 2 3" xfId="14644"/>
    <cellStyle name="표준 2 2 5 2 3 2" xfId="14645"/>
    <cellStyle name="표준 2 2 5 2 4" xfId="14646"/>
    <cellStyle name="표준 2 2 5 2 4 2" xfId="14647"/>
    <cellStyle name="표준 2 2 5 2 5" xfId="14648"/>
    <cellStyle name="표준 2 2 5 3" xfId="14649"/>
    <cellStyle name="표준 2 2 5 3 2" xfId="14650"/>
    <cellStyle name="표준 2 2 5 3 2 2" xfId="14651"/>
    <cellStyle name="표준 2 2 5 3 3" xfId="14652"/>
    <cellStyle name="표준 2 2 5 3 3 2" xfId="14653"/>
    <cellStyle name="표준 2 2 5 3 4" xfId="14654"/>
    <cellStyle name="표준 2 2 5 3 4 2" xfId="14655"/>
    <cellStyle name="표준 2 2 5 3 5" xfId="14656"/>
    <cellStyle name="표준 2 2 5 4" xfId="14657"/>
    <cellStyle name="표준 2 2 5 4 2" xfId="14658"/>
    <cellStyle name="표준 2 2 5 5" xfId="14659"/>
    <cellStyle name="표준 2 2 5 5 2" xfId="14660"/>
    <cellStyle name="표준 2 2 5 6" xfId="14661"/>
    <cellStyle name="표준 2 2 5 6 2" xfId="14662"/>
    <cellStyle name="표준 2 2 5 7" xfId="14663"/>
    <cellStyle name="표준 2 2 6" xfId="14664"/>
    <cellStyle name="표준 2 2 6 2" xfId="14665"/>
    <cellStyle name="표준 2 2 6 2 2" xfId="14666"/>
    <cellStyle name="표준 2 2 6 3" xfId="14667"/>
    <cellStyle name="표준 2 2 6 3 2" xfId="14668"/>
    <cellStyle name="표준 2 2 6 4" xfId="14669"/>
    <cellStyle name="표준 2 2 6 4 2" xfId="14670"/>
    <cellStyle name="표준 2 2 6 5" xfId="14671"/>
    <cellStyle name="표준 2 2 7" xfId="14672"/>
    <cellStyle name="표준 2 2 7 2" xfId="14673"/>
    <cellStyle name="표준 2 2 7 2 2" xfId="14674"/>
    <cellStyle name="표준 2 2 7 3" xfId="14675"/>
    <cellStyle name="표준 2 2 7 3 2" xfId="14676"/>
    <cellStyle name="표준 2 2 7 4" xfId="14677"/>
    <cellStyle name="표준 2 2 7 4 2" xfId="14678"/>
    <cellStyle name="표준 2 2 7 5" xfId="14679"/>
    <cellStyle name="표준 2 2 8" xfId="14680"/>
    <cellStyle name="표준 2 2 8 2" xfId="14681"/>
    <cellStyle name="표준 2 2 8 2 2" xfId="19142"/>
    <cellStyle name="표준 2 2 8 2 2 2" xfId="19143"/>
    <cellStyle name="표준 2 2 8 2 2 3" xfId="19144"/>
    <cellStyle name="표준 2 2 8 2 2 4" xfId="19145"/>
    <cellStyle name="표준 2 2 8 2 3" xfId="19146"/>
    <cellStyle name="표준 2 2 8 2 4" xfId="19147"/>
    <cellStyle name="표준 2 2 8 3" xfId="19148"/>
    <cellStyle name="표준 2 2 8 3 2" xfId="19149"/>
    <cellStyle name="표준 2 2 8 3 3" xfId="19150"/>
    <cellStyle name="표준 2 2 8 4" xfId="19151"/>
    <cellStyle name="표준 2 2 8 5" xfId="19152"/>
    <cellStyle name="표준 2 2 8 6" xfId="19153"/>
    <cellStyle name="표준 2 2 8 7" xfId="19154"/>
    <cellStyle name="표준 2 2 8 8" xfId="19155"/>
    <cellStyle name="표준 2 2 9" xfId="14682"/>
    <cellStyle name="표준 2 2 9 2" xfId="14683"/>
    <cellStyle name="표준 2 2 9 2 2" xfId="19156"/>
    <cellStyle name="표준 2 2 9 3" xfId="19157"/>
    <cellStyle name="표준 2 2 9 4" xfId="19158"/>
    <cellStyle name="표준 2 2 9 5" xfId="19159"/>
    <cellStyle name="표준 2 2 9 6" xfId="19160"/>
    <cellStyle name="표준 2 20" xfId="19161"/>
    <cellStyle name="표준 2 21" xfId="19162"/>
    <cellStyle name="표준 2 22" xfId="19163"/>
    <cellStyle name="표준 2 23" xfId="19164"/>
    <cellStyle name="표준 2 24" xfId="19165"/>
    <cellStyle name="표준 2 25" xfId="19166"/>
    <cellStyle name="표준 2 26" xfId="19167"/>
    <cellStyle name="표준 2 27" xfId="19168"/>
    <cellStyle name="표준 2 3" xfId="14684"/>
    <cellStyle name="표준 2 3 2" xfId="14685"/>
    <cellStyle name="표준 2 3 2 2" xfId="14686"/>
    <cellStyle name="표준 2 3 2 2 2" xfId="14687"/>
    <cellStyle name="표준 2 3 2 2 2 2" xfId="14688"/>
    <cellStyle name="표준 2 3 2 2 3" xfId="14689"/>
    <cellStyle name="표준 2 3 2 2 3 2" xfId="14690"/>
    <cellStyle name="표준 2 3 2 2 4" xfId="14691"/>
    <cellStyle name="표준 2 3 2 2 4 2" xfId="14692"/>
    <cellStyle name="표준 2 3 2 2 5" xfId="14693"/>
    <cellStyle name="표준 2 3 2 3" xfId="14694"/>
    <cellStyle name="표준 2 3 2 3 2" xfId="14695"/>
    <cellStyle name="표준 2 3 2 3 2 2" xfId="14696"/>
    <cellStyle name="표준 2 3 2 3 3" xfId="14697"/>
    <cellStyle name="표준 2 3 2 3 3 2" xfId="14698"/>
    <cellStyle name="표준 2 3 2 3 4" xfId="14699"/>
    <cellStyle name="표준 2 3 2 3 4 2" xfId="14700"/>
    <cellStyle name="표준 2 3 2 3 5" xfId="14701"/>
    <cellStyle name="표준 2 3 2 4" xfId="14702"/>
    <cellStyle name="표준 2 3 2 4 2" xfId="14703"/>
    <cellStyle name="표준 2 3 2 5" xfId="14704"/>
    <cellStyle name="표준 2 3 2 5 2" xfId="14705"/>
    <cellStyle name="표준 2 3 2 6" xfId="14706"/>
    <cellStyle name="표준 2 3 2 6 2" xfId="14707"/>
    <cellStyle name="표준 2 3 2 7" xfId="14708"/>
    <cellStyle name="표준 2 3 3" xfId="14709"/>
    <cellStyle name="표준 2 3 3 2" xfId="14710"/>
    <cellStyle name="표준 2 3 3 2 2" xfId="14711"/>
    <cellStyle name="표준 2 3 3 3" xfId="14712"/>
    <cellStyle name="표준 2 3 3 3 2" xfId="14713"/>
    <cellStyle name="표준 2 3 3 4" xfId="14714"/>
    <cellStyle name="표준 2 3 3 4 2" xfId="14715"/>
    <cellStyle name="표준 2 3 3 5" xfId="14716"/>
    <cellStyle name="표준 2 3 4" xfId="14717"/>
    <cellStyle name="표준 2 3 4 2" xfId="14718"/>
    <cellStyle name="표준 2 3 4 2 2" xfId="14719"/>
    <cellStyle name="표준 2 3 4 3" xfId="14720"/>
    <cellStyle name="표준 2 3 4 3 2" xfId="14721"/>
    <cellStyle name="표준 2 3 4 4" xfId="14722"/>
    <cellStyle name="표준 2 3 4 4 2" xfId="14723"/>
    <cellStyle name="표준 2 3 4 5" xfId="14724"/>
    <cellStyle name="표준 2 3 5" xfId="14725"/>
    <cellStyle name="표준 2 3 5 2" xfId="14726"/>
    <cellStyle name="표준 2 3 6" xfId="14727"/>
    <cellStyle name="표준 2 3 6 2" xfId="14728"/>
    <cellStyle name="표준 2 3 7" xfId="14729"/>
    <cellStyle name="표준 2 3 7 2" xfId="14730"/>
    <cellStyle name="표준 2 3 8" xfId="14731"/>
    <cellStyle name="표준 2 3 9" xfId="14732"/>
    <cellStyle name="표준 2 4" xfId="14733"/>
    <cellStyle name="표준 2 4 2" xfId="14734"/>
    <cellStyle name="표준 2 4 2 2" xfId="14735"/>
    <cellStyle name="표준 2 4 2 2 2" xfId="14736"/>
    <cellStyle name="표준 2 4 2 2 2 2" xfId="14737"/>
    <cellStyle name="표준 2 4 2 2 3" xfId="14738"/>
    <cellStyle name="표준 2 4 2 2 3 2" xfId="14739"/>
    <cellStyle name="표준 2 4 2 2 4" xfId="14740"/>
    <cellStyle name="표준 2 4 2 2 4 2" xfId="14741"/>
    <cellStyle name="표준 2 4 2 2 5" xfId="14742"/>
    <cellStyle name="표준 2 4 2 3" xfId="14743"/>
    <cellStyle name="표준 2 4 2 3 2" xfId="14744"/>
    <cellStyle name="표준 2 4 2 3 2 2" xfId="14745"/>
    <cellStyle name="표준 2 4 2 3 3" xfId="14746"/>
    <cellStyle name="표준 2 4 2 3 3 2" xfId="14747"/>
    <cellStyle name="표준 2 4 2 3 4" xfId="14748"/>
    <cellStyle name="표준 2 4 2 3 4 2" xfId="14749"/>
    <cellStyle name="표준 2 4 2 3 5" xfId="14750"/>
    <cellStyle name="표준 2 4 2 4" xfId="14751"/>
    <cellStyle name="표준 2 4 2 4 2" xfId="14752"/>
    <cellStyle name="표준 2 4 2 5" xfId="14753"/>
    <cellStyle name="표준 2 4 2 5 2" xfId="14754"/>
    <cellStyle name="표준 2 4 2 6" xfId="14755"/>
    <cellStyle name="표준 2 4 2 6 2" xfId="14756"/>
    <cellStyle name="표준 2 4 2 7" xfId="14757"/>
    <cellStyle name="표준 2 4 3" xfId="14758"/>
    <cellStyle name="표준 2 4 3 2" xfId="14759"/>
    <cellStyle name="표준 2 4 3 2 2" xfId="14760"/>
    <cellStyle name="표준 2 4 3 3" xfId="14761"/>
    <cellStyle name="표준 2 4 3 3 2" xfId="14762"/>
    <cellStyle name="표준 2 4 3 4" xfId="14763"/>
    <cellStyle name="표준 2 4 3 4 2" xfId="14764"/>
    <cellStyle name="표준 2 4 3 5" xfId="14765"/>
    <cellStyle name="표준 2 4 4" xfId="14766"/>
    <cellStyle name="표준 2 4 4 2" xfId="14767"/>
    <cellStyle name="표준 2 4 4 2 2" xfId="14768"/>
    <cellStyle name="표준 2 4 4 3" xfId="14769"/>
    <cellStyle name="표준 2 4 4 3 2" xfId="14770"/>
    <cellStyle name="표준 2 4 4 4" xfId="14771"/>
    <cellStyle name="표준 2 4 4 4 2" xfId="14772"/>
    <cellStyle name="표준 2 4 4 5" xfId="14773"/>
    <cellStyle name="표준 2 4 5" xfId="14774"/>
    <cellStyle name="표준 2 4 5 2" xfId="14775"/>
    <cellStyle name="표준 2 4 6" xfId="14776"/>
    <cellStyle name="표준 2 4 6 2" xfId="14777"/>
    <cellStyle name="표준 2 4 7" xfId="14778"/>
    <cellStyle name="표준 2 4 7 2" xfId="14779"/>
    <cellStyle name="표준 2 4 8" xfId="14780"/>
    <cellStyle name="표준 2 4 9" xfId="14781"/>
    <cellStyle name="표준 2 5" xfId="14782"/>
    <cellStyle name="표준 2 5 2" xfId="14783"/>
    <cellStyle name="표준 2 5 2 2" xfId="14784"/>
    <cellStyle name="표준 2 5 2 2 2" xfId="14785"/>
    <cellStyle name="표준 2 5 2 3" xfId="14786"/>
    <cellStyle name="표준 2 5 2 3 2" xfId="14787"/>
    <cellStyle name="표준 2 5 2 4" xfId="14788"/>
    <cellStyle name="표준 2 5 2 4 2" xfId="14789"/>
    <cellStyle name="표준 2 5 2 5" xfId="14790"/>
    <cellStyle name="표준 2 5 3" xfId="14791"/>
    <cellStyle name="표준 2 5 3 2" xfId="14792"/>
    <cellStyle name="표준 2 5 3 2 2" xfId="14793"/>
    <cellStyle name="표준 2 5 3 3" xfId="14794"/>
    <cellStyle name="표준 2 5 3 3 2" xfId="14795"/>
    <cellStyle name="표준 2 5 3 4" xfId="14796"/>
    <cellStyle name="표준 2 5 3 4 2" xfId="14797"/>
    <cellStyle name="표준 2 5 3 5" xfId="14798"/>
    <cellStyle name="표준 2 5 4" xfId="14799"/>
    <cellStyle name="표준 2 5 4 2" xfId="14800"/>
    <cellStyle name="표준 2 5 5" xfId="14801"/>
    <cellStyle name="표준 2 5 5 2" xfId="14802"/>
    <cellStyle name="표준 2 5 6" xfId="14803"/>
    <cellStyle name="표준 2 5 6 2" xfId="14804"/>
    <cellStyle name="표준 2 5 7" xfId="14805"/>
    <cellStyle name="표준 2 6" xfId="14806"/>
    <cellStyle name="표준 2 6 2" xfId="14807"/>
    <cellStyle name="표준 2 6 2 2" xfId="14808"/>
    <cellStyle name="표준 2 6 2 2 2" xfId="14809"/>
    <cellStyle name="표준 2 6 2 3" xfId="14810"/>
    <cellStyle name="표준 2 6 2 3 2" xfId="14811"/>
    <cellStyle name="표준 2 6 2 4" xfId="14812"/>
    <cellStyle name="표준 2 6 2 4 2" xfId="14813"/>
    <cellStyle name="표준 2 6 2 5" xfId="14814"/>
    <cellStyle name="표준 2 6 3" xfId="14815"/>
    <cellStyle name="표준 2 6 3 2" xfId="14816"/>
    <cellStyle name="표준 2 6 3 2 2" xfId="14817"/>
    <cellStyle name="표준 2 6 3 3" xfId="14818"/>
    <cellStyle name="표준 2 6 3 3 2" xfId="14819"/>
    <cellStyle name="표준 2 6 3 4" xfId="14820"/>
    <cellStyle name="표준 2 6 3 4 2" xfId="14821"/>
    <cellStyle name="표준 2 6 3 5" xfId="14822"/>
    <cellStyle name="표준 2 6 4" xfId="14823"/>
    <cellStyle name="표준 2 6 4 2" xfId="14824"/>
    <cellStyle name="표준 2 6 5" xfId="14825"/>
    <cellStyle name="표준 2 6 5 2" xfId="14826"/>
    <cellStyle name="표준 2 6 6" xfId="14827"/>
    <cellStyle name="표준 2 6 6 2" xfId="14828"/>
    <cellStyle name="표준 2 6 7" xfId="14829"/>
    <cellStyle name="표준 2 7" xfId="14830"/>
    <cellStyle name="표준 2 7 2" xfId="14831"/>
    <cellStyle name="표준 2 7 2 2" xfId="14832"/>
    <cellStyle name="표준 2 7 2 3" xfId="19169"/>
    <cellStyle name="표준 2 7 3" xfId="14833"/>
    <cellStyle name="표준 2 7 3 2" xfId="14834"/>
    <cellStyle name="표준 2 7 3 3" xfId="19170"/>
    <cellStyle name="표준 2 7 4" xfId="14835"/>
    <cellStyle name="표준 2 7 4 2" xfId="14836"/>
    <cellStyle name="표준 2 7 5" xfId="14837"/>
    <cellStyle name="표준 2 8" xfId="14838"/>
    <cellStyle name="표준 2 8 2" xfId="14839"/>
    <cellStyle name="표준 2 8 2 2" xfId="14840"/>
    <cellStyle name="표준 2 8 2 3" xfId="19171"/>
    <cellStyle name="표준 2 8 3" xfId="14841"/>
    <cellStyle name="표준 2 8 3 2" xfId="14842"/>
    <cellStyle name="표준 2 8 4" xfId="14843"/>
    <cellStyle name="표준 2 8 4 2" xfId="14844"/>
    <cellStyle name="표준 2 8 5" xfId="14845"/>
    <cellStyle name="표준 2 9" xfId="14846"/>
    <cellStyle name="표준 2 9 2" xfId="14847"/>
    <cellStyle name="표준 2 9 3" xfId="19172"/>
    <cellStyle name="표준 2 9 4" xfId="19173"/>
    <cellStyle name="표준 2_110428_CMRCPQ정리_이C회신" xfId="19174"/>
    <cellStyle name="표준 20" xfId="14848"/>
    <cellStyle name="표준 20 2" xfId="14849"/>
    <cellStyle name="표준 20 3" xfId="19175"/>
    <cellStyle name="표준 20 4" xfId="19176"/>
    <cellStyle name="표준 20 5" xfId="19177"/>
    <cellStyle name="표준 21" xfId="14850"/>
    <cellStyle name="표준 21 2" xfId="19178"/>
    <cellStyle name="표준 21 2 2" xfId="19179"/>
    <cellStyle name="표준 21 2 3" xfId="19180"/>
    <cellStyle name="표준 21 2 4" xfId="19181"/>
    <cellStyle name="표준 21 3" xfId="19182"/>
    <cellStyle name="표준 21 3 2" xfId="19183"/>
    <cellStyle name="표준 21 3 3" xfId="19184"/>
    <cellStyle name="표준 21 3 4" xfId="19185"/>
    <cellStyle name="표준 21 4" xfId="19186"/>
    <cellStyle name="표준 21 4 2" xfId="19187"/>
    <cellStyle name="표준 21 5" xfId="19188"/>
    <cellStyle name="표준 22" xfId="14851"/>
    <cellStyle name="표준 22 2" xfId="19189"/>
    <cellStyle name="표준 22 2 2" xfId="19190"/>
    <cellStyle name="표준 22 2 2 2" xfId="19191"/>
    <cellStyle name="표준 22 2 2 3" xfId="19192"/>
    <cellStyle name="표준 22 2 3" xfId="19193"/>
    <cellStyle name="표준 22 2 4" xfId="19194"/>
    <cellStyle name="표준 22 3" xfId="19195"/>
    <cellStyle name="표준 22 3 2" xfId="19196"/>
    <cellStyle name="표준 22 3 3" xfId="19197"/>
    <cellStyle name="표준 22 4" xfId="19198"/>
    <cellStyle name="표준 22 5" xfId="19199"/>
    <cellStyle name="표준 22 5 2" xfId="19200"/>
    <cellStyle name="표준 23" xfId="15232"/>
    <cellStyle name="표준 23 2" xfId="19201"/>
    <cellStyle name="표준 23 2 2" xfId="19202"/>
    <cellStyle name="표준 23 2 3" xfId="19203"/>
    <cellStyle name="표준 23 2 4" xfId="19204"/>
    <cellStyle name="표준 23 3" xfId="19205"/>
    <cellStyle name="표준 23 3 2" xfId="19206"/>
    <cellStyle name="표준 23 3 3" xfId="19207"/>
    <cellStyle name="표준 23 4" xfId="19208"/>
    <cellStyle name="표준 23 5" xfId="19209"/>
    <cellStyle name="표준 24" xfId="19210"/>
    <cellStyle name="표준 24 2" xfId="19211"/>
    <cellStyle name="표준 24 2 2" xfId="19212"/>
    <cellStyle name="표준 24 2 3" xfId="19213"/>
    <cellStyle name="표준 24 2 4" xfId="19214"/>
    <cellStyle name="표준 24 3" xfId="19215"/>
    <cellStyle name="표준 24 3 2" xfId="19216"/>
    <cellStyle name="표준 24 3 3" xfId="19217"/>
    <cellStyle name="표준 24 4" xfId="19218"/>
    <cellStyle name="표준 24 5" xfId="19219"/>
    <cellStyle name="표준 25" xfId="19220"/>
    <cellStyle name="표준 25 2" xfId="19221"/>
    <cellStyle name="표준 25 2 2" xfId="19222"/>
    <cellStyle name="표준 25 2 3" xfId="19223"/>
    <cellStyle name="표준 25 2 4" xfId="19224"/>
    <cellStyle name="표준 25 3" xfId="19225"/>
    <cellStyle name="표준 25 3 2" xfId="19226"/>
    <cellStyle name="표준 25 3 3" xfId="19227"/>
    <cellStyle name="표준 25 4" xfId="19228"/>
    <cellStyle name="표준 26" xfId="19229"/>
    <cellStyle name="표준 26 2" xfId="19230"/>
    <cellStyle name="표준 26 3" xfId="19231"/>
    <cellStyle name="표준 26 4" xfId="19232"/>
    <cellStyle name="표준 27" xfId="19233"/>
    <cellStyle name="표준 27 2" xfId="19234"/>
    <cellStyle name="표준 27 3" xfId="19235"/>
    <cellStyle name="표준 28" xfId="19236"/>
    <cellStyle name="표준 28 2" xfId="19237"/>
    <cellStyle name="표준 28 3" xfId="19238"/>
    <cellStyle name="표준 29" xfId="19239"/>
    <cellStyle name="표준 29 2" xfId="19240"/>
    <cellStyle name="표준 29 3" xfId="19241"/>
    <cellStyle name="표준 3" xfId="14852"/>
    <cellStyle name="표준 3 10" xfId="14853"/>
    <cellStyle name="표준 3 10 2" xfId="14854"/>
    <cellStyle name="표준 3 11" xfId="14855"/>
    <cellStyle name="표준 3 11 2" xfId="14856"/>
    <cellStyle name="표준 3 11 3" xfId="14857"/>
    <cellStyle name="표준 3 12" xfId="14858"/>
    <cellStyle name="표준 3 2" xfId="14859"/>
    <cellStyle name="표준 3 2 10" xfId="14860"/>
    <cellStyle name="표준 3 2 10 2" xfId="14861"/>
    <cellStyle name="표준 3 2 11" xfId="14862"/>
    <cellStyle name="표준 3 2 2" xfId="14863"/>
    <cellStyle name="표준 3 2 2 2" xfId="14864"/>
    <cellStyle name="표준 3 2 2 2 2" xfId="14865"/>
    <cellStyle name="표준 3 2 2 2 2 2" xfId="14866"/>
    <cellStyle name="표준 3 2 2 2 2 2 2" xfId="14867"/>
    <cellStyle name="표준 3 2 2 2 2 3" xfId="14868"/>
    <cellStyle name="표준 3 2 2 2 2 3 2" xfId="14869"/>
    <cellStyle name="표준 3 2 2 2 2 4" xfId="14870"/>
    <cellStyle name="표준 3 2 2 2 2 4 2" xfId="14871"/>
    <cellStyle name="표준 3 2 2 2 2 5" xfId="14872"/>
    <cellStyle name="표준 3 2 2 2 3" xfId="14873"/>
    <cellStyle name="표준 3 2 2 2 3 2" xfId="14874"/>
    <cellStyle name="표준 3 2 2 2 3 2 2" xfId="14875"/>
    <cellStyle name="표준 3 2 2 2 3 3" xfId="14876"/>
    <cellStyle name="표준 3 2 2 2 3 3 2" xfId="14877"/>
    <cellStyle name="표준 3 2 2 2 3 4" xfId="14878"/>
    <cellStyle name="표준 3 2 2 2 3 4 2" xfId="14879"/>
    <cellStyle name="표준 3 2 2 2 3 5" xfId="14880"/>
    <cellStyle name="표준 3 2 2 2 4" xfId="14881"/>
    <cellStyle name="표준 3 2 2 2 4 2" xfId="14882"/>
    <cellStyle name="표준 3 2 2 2 5" xfId="14883"/>
    <cellStyle name="표준 3 2 2 2 5 2" xfId="14884"/>
    <cellStyle name="표준 3 2 2 2 6" xfId="14885"/>
    <cellStyle name="표준 3 2 2 2 6 2" xfId="14886"/>
    <cellStyle name="표준 3 2 2 2 7" xfId="14887"/>
    <cellStyle name="표준 3 2 2 3" xfId="14888"/>
    <cellStyle name="표준 3 2 2 3 2" xfId="14889"/>
    <cellStyle name="표준 3 2 2 3 2 2" xfId="14890"/>
    <cellStyle name="표준 3 2 2 3 3" xfId="14891"/>
    <cellStyle name="표준 3 2 2 3 3 2" xfId="14892"/>
    <cellStyle name="표준 3 2 2 3 4" xfId="14893"/>
    <cellStyle name="표준 3 2 2 3 4 2" xfId="14894"/>
    <cellStyle name="표준 3 2 2 3 5" xfId="14895"/>
    <cellStyle name="표준 3 2 2 4" xfId="14896"/>
    <cellStyle name="표준 3 2 2 4 2" xfId="14897"/>
    <cellStyle name="표준 3 2 2 4 2 2" xfId="14898"/>
    <cellStyle name="표준 3 2 2 4 3" xfId="14899"/>
    <cellStyle name="표준 3 2 2 4 3 2" xfId="14900"/>
    <cellStyle name="표준 3 2 2 4 4" xfId="14901"/>
    <cellStyle name="표준 3 2 2 4 4 2" xfId="14902"/>
    <cellStyle name="표준 3 2 2 4 5" xfId="14903"/>
    <cellStyle name="표준 3 2 2 5" xfId="14904"/>
    <cellStyle name="표준 3 2 2 5 2" xfId="14905"/>
    <cellStyle name="표준 3 2 2 6" xfId="14906"/>
    <cellStyle name="표준 3 2 2 6 2" xfId="14907"/>
    <cellStyle name="표준 3 2 2 7" xfId="14908"/>
    <cellStyle name="표준 3 2 2 7 2" xfId="14909"/>
    <cellStyle name="표준 3 2 2 8" xfId="14910"/>
    <cellStyle name="표준 3 2 3" xfId="14911"/>
    <cellStyle name="표준 3 2 3 2" xfId="14912"/>
    <cellStyle name="표준 3 2 3 2 2" xfId="14913"/>
    <cellStyle name="표준 3 2 3 2 2 2" xfId="14914"/>
    <cellStyle name="표준 3 2 3 2 2 2 2" xfId="14915"/>
    <cellStyle name="표준 3 2 3 2 2 3" xfId="14916"/>
    <cellStyle name="표준 3 2 3 2 2 3 2" xfId="14917"/>
    <cellStyle name="표준 3 2 3 2 2 4" xfId="14918"/>
    <cellStyle name="표준 3 2 3 2 2 4 2" xfId="14919"/>
    <cellStyle name="표준 3 2 3 2 2 5" xfId="14920"/>
    <cellStyle name="표준 3 2 3 2 3" xfId="14921"/>
    <cellStyle name="표준 3 2 3 2 3 2" xfId="14922"/>
    <cellStyle name="표준 3 2 3 2 3 2 2" xfId="14923"/>
    <cellStyle name="표준 3 2 3 2 3 3" xfId="14924"/>
    <cellStyle name="표준 3 2 3 2 3 3 2" xfId="14925"/>
    <cellStyle name="표준 3 2 3 2 3 4" xfId="14926"/>
    <cellStyle name="표준 3 2 3 2 3 4 2" xfId="14927"/>
    <cellStyle name="표준 3 2 3 2 3 5" xfId="14928"/>
    <cellStyle name="표준 3 2 3 2 4" xfId="14929"/>
    <cellStyle name="표준 3 2 3 2 4 2" xfId="14930"/>
    <cellStyle name="표준 3 2 3 2 5" xfId="14931"/>
    <cellStyle name="표준 3 2 3 2 5 2" xfId="14932"/>
    <cellStyle name="표준 3 2 3 2 6" xfId="14933"/>
    <cellStyle name="표준 3 2 3 2 6 2" xfId="14934"/>
    <cellStyle name="표준 3 2 3 2 7" xfId="14935"/>
    <cellStyle name="표준 3 2 3 3" xfId="14936"/>
    <cellStyle name="표준 3 2 3 3 2" xfId="14937"/>
    <cellStyle name="표준 3 2 3 3 2 2" xfId="14938"/>
    <cellStyle name="표준 3 2 3 3 3" xfId="14939"/>
    <cellStyle name="표준 3 2 3 3 3 2" xfId="14940"/>
    <cellStyle name="표준 3 2 3 3 4" xfId="14941"/>
    <cellStyle name="표준 3 2 3 3 4 2" xfId="14942"/>
    <cellStyle name="표준 3 2 3 3 5" xfId="14943"/>
    <cellStyle name="표준 3 2 3 4" xfId="14944"/>
    <cellStyle name="표준 3 2 3 4 2" xfId="14945"/>
    <cellStyle name="표준 3 2 3 4 2 2" xfId="14946"/>
    <cellStyle name="표준 3 2 3 4 3" xfId="14947"/>
    <cellStyle name="표준 3 2 3 4 3 2" xfId="14948"/>
    <cellStyle name="표준 3 2 3 4 4" xfId="14949"/>
    <cellStyle name="표준 3 2 3 4 4 2" xfId="14950"/>
    <cellStyle name="표준 3 2 3 4 5" xfId="14951"/>
    <cellStyle name="표준 3 2 3 5" xfId="14952"/>
    <cellStyle name="표준 3 2 3 5 2" xfId="14953"/>
    <cellStyle name="표준 3 2 3 6" xfId="14954"/>
    <cellStyle name="표준 3 2 3 6 2" xfId="14955"/>
    <cellStyle name="표준 3 2 3 7" xfId="14956"/>
    <cellStyle name="표준 3 2 3 7 2" xfId="14957"/>
    <cellStyle name="표준 3 2 3 8" xfId="14958"/>
    <cellStyle name="표준 3 2 4" xfId="14959"/>
    <cellStyle name="표준 3 2 4 2" xfId="14960"/>
    <cellStyle name="표준 3 2 4 2 2" xfId="14961"/>
    <cellStyle name="표준 3 2 4 2 2 2" xfId="14962"/>
    <cellStyle name="표준 3 2 4 2 3" xfId="14963"/>
    <cellStyle name="표준 3 2 4 2 3 2" xfId="14964"/>
    <cellStyle name="표준 3 2 4 2 4" xfId="14965"/>
    <cellStyle name="표준 3 2 4 2 4 2" xfId="14966"/>
    <cellStyle name="표준 3 2 4 2 5" xfId="14967"/>
    <cellStyle name="표준 3 2 4 3" xfId="14968"/>
    <cellStyle name="표준 3 2 4 3 2" xfId="14969"/>
    <cellStyle name="표준 3 2 4 3 2 2" xfId="14970"/>
    <cellStyle name="표준 3 2 4 3 3" xfId="14971"/>
    <cellStyle name="표준 3 2 4 3 3 2" xfId="14972"/>
    <cellStyle name="표준 3 2 4 3 4" xfId="14973"/>
    <cellStyle name="표준 3 2 4 3 4 2" xfId="14974"/>
    <cellStyle name="표준 3 2 4 3 5" xfId="14975"/>
    <cellStyle name="표준 3 2 4 4" xfId="14976"/>
    <cellStyle name="표준 3 2 4 4 2" xfId="14977"/>
    <cellStyle name="표준 3 2 4 5" xfId="14978"/>
    <cellStyle name="표준 3 2 4 5 2" xfId="14979"/>
    <cellStyle name="표준 3 2 4 6" xfId="14980"/>
    <cellStyle name="표준 3 2 4 6 2" xfId="14981"/>
    <cellStyle name="표준 3 2 4 7" xfId="14982"/>
    <cellStyle name="표준 3 2 4 8" xfId="14983"/>
    <cellStyle name="표준 3 2 5" xfId="14984"/>
    <cellStyle name="표준 3 2 5 2" xfId="14985"/>
    <cellStyle name="표준 3 2 5 2 2" xfId="14986"/>
    <cellStyle name="표준 3 2 5 2 2 2" xfId="14987"/>
    <cellStyle name="표준 3 2 5 2 3" xfId="14988"/>
    <cellStyle name="표준 3 2 5 2 3 2" xfId="14989"/>
    <cellStyle name="표준 3 2 5 2 4" xfId="14990"/>
    <cellStyle name="표준 3 2 5 2 4 2" xfId="14991"/>
    <cellStyle name="표준 3 2 5 2 5" xfId="14992"/>
    <cellStyle name="표준 3 2 5 3" xfId="14993"/>
    <cellStyle name="표준 3 2 5 3 2" xfId="14994"/>
    <cellStyle name="표준 3 2 5 3 2 2" xfId="14995"/>
    <cellStyle name="표준 3 2 5 3 3" xfId="14996"/>
    <cellStyle name="표준 3 2 5 3 3 2" xfId="14997"/>
    <cellStyle name="표준 3 2 5 3 4" xfId="14998"/>
    <cellStyle name="표준 3 2 5 3 4 2" xfId="14999"/>
    <cellStyle name="표준 3 2 5 3 5" xfId="15000"/>
    <cellStyle name="표준 3 2 5 4" xfId="15001"/>
    <cellStyle name="표준 3 2 5 4 2" xfId="15002"/>
    <cellStyle name="표준 3 2 5 5" xfId="15003"/>
    <cellStyle name="표준 3 2 5 5 2" xfId="15004"/>
    <cellStyle name="표준 3 2 5 6" xfId="15005"/>
    <cellStyle name="표준 3 2 5 6 2" xfId="15006"/>
    <cellStyle name="표준 3 2 5 7" xfId="15007"/>
    <cellStyle name="표준 3 2 6" xfId="15008"/>
    <cellStyle name="표준 3 2 6 2" xfId="15009"/>
    <cellStyle name="표준 3 2 6 2 2" xfId="15010"/>
    <cellStyle name="표준 3 2 6 3" xfId="15011"/>
    <cellStyle name="표준 3 2 6 3 2" xfId="15012"/>
    <cellStyle name="표준 3 2 6 4" xfId="15013"/>
    <cellStyle name="표준 3 2 6 4 2" xfId="15014"/>
    <cellStyle name="표준 3 2 6 5" xfId="15015"/>
    <cellStyle name="표준 3 2 7" xfId="15016"/>
    <cellStyle name="표준 3 2 7 2" xfId="15017"/>
    <cellStyle name="표준 3 2 7 2 2" xfId="15018"/>
    <cellStyle name="표준 3 2 7 3" xfId="15019"/>
    <cellStyle name="표준 3 2 7 3 2" xfId="15020"/>
    <cellStyle name="표준 3 2 7 4" xfId="15021"/>
    <cellStyle name="표준 3 2 7 4 2" xfId="15022"/>
    <cellStyle name="표준 3 2 7 5" xfId="15023"/>
    <cellStyle name="표준 3 2 8" xfId="15024"/>
    <cellStyle name="표준 3 2 8 2" xfId="15025"/>
    <cellStyle name="표준 3 2 9" xfId="15026"/>
    <cellStyle name="표준 3 2 9 2" xfId="15027"/>
    <cellStyle name="표준 3 3" xfId="15028"/>
    <cellStyle name="표준 3 3 2" xfId="15029"/>
    <cellStyle name="표준 3 3 2 2" xfId="15030"/>
    <cellStyle name="표준 3 3 2 2 2" xfId="15031"/>
    <cellStyle name="표준 3 3 2 2 2 2" xfId="15032"/>
    <cellStyle name="표준 3 3 2 2 3" xfId="15033"/>
    <cellStyle name="표준 3 3 2 2 3 2" xfId="15034"/>
    <cellStyle name="표준 3 3 2 2 4" xfId="15035"/>
    <cellStyle name="표준 3 3 2 2 4 2" xfId="15036"/>
    <cellStyle name="표준 3 3 2 2 5" xfId="15037"/>
    <cellStyle name="표준 3 3 2 3" xfId="15038"/>
    <cellStyle name="표준 3 3 2 3 2" xfId="15039"/>
    <cellStyle name="표준 3 3 2 3 2 2" xfId="15040"/>
    <cellStyle name="표준 3 3 2 3 3" xfId="15041"/>
    <cellStyle name="표준 3 3 2 3 3 2" xfId="15042"/>
    <cellStyle name="표준 3 3 2 3 4" xfId="15043"/>
    <cellStyle name="표준 3 3 2 3 4 2" xfId="15044"/>
    <cellStyle name="표준 3 3 2 3 5" xfId="15045"/>
    <cellStyle name="표준 3 3 2 4" xfId="15046"/>
    <cellStyle name="표준 3 3 2 4 2" xfId="15047"/>
    <cellStyle name="표준 3 3 2 5" xfId="15048"/>
    <cellStyle name="표준 3 3 2 5 2" xfId="15049"/>
    <cellStyle name="표준 3 3 2 6" xfId="15050"/>
    <cellStyle name="표준 3 3 2 6 2" xfId="15051"/>
    <cellStyle name="표준 3 3 2 7" xfId="15052"/>
    <cellStyle name="표준 3 3 3" xfId="15053"/>
    <cellStyle name="표준 3 3 3 2" xfId="15054"/>
    <cellStyle name="표준 3 3 3 2 2" xfId="15055"/>
    <cellStyle name="표준 3 3 3 3" xfId="15056"/>
    <cellStyle name="표준 3 3 3 3 2" xfId="15057"/>
    <cellStyle name="표준 3 3 3 4" xfId="15058"/>
    <cellStyle name="표준 3 3 3 4 2" xfId="15059"/>
    <cellStyle name="표준 3 3 3 5" xfId="15060"/>
    <cellStyle name="표준 3 3 4" xfId="15061"/>
    <cellStyle name="표준 3 3 4 2" xfId="15062"/>
    <cellStyle name="표준 3 3 4 2 2" xfId="15063"/>
    <cellStyle name="표준 3 3 4 3" xfId="15064"/>
    <cellStyle name="표준 3 3 4 3 2" xfId="15065"/>
    <cellStyle name="표준 3 3 4 4" xfId="15066"/>
    <cellStyle name="표준 3 3 4 4 2" xfId="15067"/>
    <cellStyle name="표준 3 3 4 5" xfId="15068"/>
    <cellStyle name="표준 3 3 5" xfId="15069"/>
    <cellStyle name="표준 3 3 5 2" xfId="15070"/>
    <cellStyle name="표준 3 3 6" xfId="15071"/>
    <cellStyle name="표준 3 3 6 2" xfId="15072"/>
    <cellStyle name="표준 3 3 7" xfId="15073"/>
    <cellStyle name="표준 3 3 7 2" xfId="15074"/>
    <cellStyle name="표준 3 3 8" xfId="15075"/>
    <cellStyle name="표준 3 4" xfId="15076"/>
    <cellStyle name="표준 3 4 2" xfId="15077"/>
    <cellStyle name="표준 3 4 2 2" xfId="15078"/>
    <cellStyle name="표준 3 4 2 2 2" xfId="15079"/>
    <cellStyle name="표준 3 4 2 2 2 2" xfId="15080"/>
    <cellStyle name="표준 3 4 2 2 3" xfId="15081"/>
    <cellStyle name="표준 3 4 2 2 3 2" xfId="15082"/>
    <cellStyle name="표준 3 4 2 2 4" xfId="15083"/>
    <cellStyle name="표준 3 4 2 2 4 2" xfId="15084"/>
    <cellStyle name="표준 3 4 2 2 5" xfId="15085"/>
    <cellStyle name="표준 3 4 2 3" xfId="15086"/>
    <cellStyle name="표준 3 4 2 3 2" xfId="15087"/>
    <cellStyle name="표준 3 4 2 3 2 2" xfId="15088"/>
    <cellStyle name="표준 3 4 2 3 3" xfId="15089"/>
    <cellStyle name="표준 3 4 2 3 3 2" xfId="15090"/>
    <cellStyle name="표준 3 4 2 3 4" xfId="15091"/>
    <cellStyle name="표준 3 4 2 3 4 2" xfId="15092"/>
    <cellStyle name="표준 3 4 2 3 5" xfId="15093"/>
    <cellStyle name="표준 3 4 2 4" xfId="15094"/>
    <cellStyle name="표준 3 4 2 4 2" xfId="15095"/>
    <cellStyle name="표준 3 4 2 5" xfId="15096"/>
    <cellStyle name="표준 3 4 2 5 2" xfId="15097"/>
    <cellStyle name="표준 3 4 2 6" xfId="15098"/>
    <cellStyle name="표준 3 4 2 6 2" xfId="15099"/>
    <cellStyle name="표준 3 4 2 7" xfId="15100"/>
    <cellStyle name="표준 3 4 3" xfId="15101"/>
    <cellStyle name="표준 3 4 3 2" xfId="15102"/>
    <cellStyle name="표준 3 4 3 2 2" xfId="15103"/>
    <cellStyle name="표준 3 4 3 3" xfId="15104"/>
    <cellStyle name="표준 3 4 3 3 2" xfId="15105"/>
    <cellStyle name="표준 3 4 3 4" xfId="15106"/>
    <cellStyle name="표준 3 4 3 4 2" xfId="15107"/>
    <cellStyle name="표준 3 4 3 5" xfId="15108"/>
    <cellStyle name="표준 3 4 4" xfId="15109"/>
    <cellStyle name="표준 3 4 4 2" xfId="15110"/>
    <cellStyle name="표준 3 4 4 2 2" xfId="15111"/>
    <cellStyle name="표준 3 4 4 3" xfId="15112"/>
    <cellStyle name="표준 3 4 4 3 2" xfId="15113"/>
    <cellStyle name="표준 3 4 4 4" xfId="15114"/>
    <cellStyle name="표준 3 4 4 4 2" xfId="15115"/>
    <cellStyle name="표준 3 4 4 5" xfId="15116"/>
    <cellStyle name="표준 3 4 5" xfId="15117"/>
    <cellStyle name="표준 3 4 5 2" xfId="15118"/>
    <cellStyle name="표준 3 4 6" xfId="15119"/>
    <cellStyle name="표준 3 4 6 2" xfId="15120"/>
    <cellStyle name="표준 3 4 7" xfId="15121"/>
    <cellStyle name="표준 3 4 7 2" xfId="15122"/>
    <cellStyle name="표준 3 4 8" xfId="15123"/>
    <cellStyle name="표준 3 5" xfId="15124"/>
    <cellStyle name="표준 3 5 2" xfId="15125"/>
    <cellStyle name="표준 3 5 2 2" xfId="15126"/>
    <cellStyle name="표준 3 5 2 2 2" xfId="15127"/>
    <cellStyle name="표준 3 5 2 3" xfId="15128"/>
    <cellStyle name="표준 3 5 2 3 2" xfId="15129"/>
    <cellStyle name="표준 3 5 2 4" xfId="15130"/>
    <cellStyle name="표준 3 5 2 4 2" xfId="15131"/>
    <cellStyle name="표준 3 5 2 5" xfId="15132"/>
    <cellStyle name="표준 3 5 3" xfId="15133"/>
    <cellStyle name="표준 3 5 3 2" xfId="15134"/>
    <cellStyle name="표준 3 5 3 2 2" xfId="15135"/>
    <cellStyle name="표준 3 5 3 3" xfId="15136"/>
    <cellStyle name="표준 3 5 3 3 2" xfId="15137"/>
    <cellStyle name="표준 3 5 3 4" xfId="15138"/>
    <cellStyle name="표준 3 5 3 4 2" xfId="15139"/>
    <cellStyle name="표준 3 5 3 5" xfId="15140"/>
    <cellStyle name="표준 3 5 4" xfId="15141"/>
    <cellStyle name="표준 3 5 4 2" xfId="15142"/>
    <cellStyle name="표준 3 5 5" xfId="15143"/>
    <cellStyle name="표준 3 5 5 2" xfId="15144"/>
    <cellStyle name="표준 3 5 6" xfId="15145"/>
    <cellStyle name="표준 3 5 6 2" xfId="15146"/>
    <cellStyle name="표준 3 5 7" xfId="15147"/>
    <cellStyle name="표준 3 6" xfId="15148"/>
    <cellStyle name="표준 3 6 2" xfId="15149"/>
    <cellStyle name="표준 3 6 2 2" xfId="15150"/>
    <cellStyle name="표준 3 6 2 2 2" xfId="15151"/>
    <cellStyle name="표준 3 6 2 3" xfId="15152"/>
    <cellStyle name="표준 3 6 2 3 2" xfId="15153"/>
    <cellStyle name="표준 3 6 2 4" xfId="15154"/>
    <cellStyle name="표준 3 6 2 4 2" xfId="15155"/>
    <cellStyle name="표준 3 6 2 5" xfId="15156"/>
    <cellStyle name="표준 3 6 3" xfId="15157"/>
    <cellStyle name="표준 3 6 3 2" xfId="15158"/>
    <cellStyle name="표준 3 6 3 2 2" xfId="15159"/>
    <cellStyle name="표준 3 6 3 3" xfId="15160"/>
    <cellStyle name="표준 3 6 3 3 2" xfId="15161"/>
    <cellStyle name="표준 3 6 3 4" xfId="15162"/>
    <cellStyle name="표준 3 6 3 4 2" xfId="15163"/>
    <cellStyle name="표준 3 6 3 5" xfId="15164"/>
    <cellStyle name="표준 3 6 4" xfId="15165"/>
    <cellStyle name="표준 3 6 4 2" xfId="15166"/>
    <cellStyle name="표준 3 6 5" xfId="15167"/>
    <cellStyle name="표준 3 6 5 2" xfId="15168"/>
    <cellStyle name="표준 3 6 6" xfId="15169"/>
    <cellStyle name="표준 3 6 6 2" xfId="15170"/>
    <cellStyle name="표준 3 6 7" xfId="15171"/>
    <cellStyle name="표준 3 7" xfId="15172"/>
    <cellStyle name="표준 3 7 2" xfId="15173"/>
    <cellStyle name="표준 3 7 2 2" xfId="15174"/>
    <cellStyle name="표준 3 7 3" xfId="15175"/>
    <cellStyle name="표준 3 7 3 2" xfId="15176"/>
    <cellStyle name="표준 3 7 4" xfId="15177"/>
    <cellStyle name="표준 3 7 4 2" xfId="15178"/>
    <cellStyle name="표준 3 7 5" xfId="15179"/>
    <cellStyle name="표준 3 8" xfId="15180"/>
    <cellStyle name="표준 3 8 2" xfId="15181"/>
    <cellStyle name="표준 3 8 2 2" xfId="15182"/>
    <cellStyle name="표준 3 8 3" xfId="15183"/>
    <cellStyle name="표준 3 8 3 2" xfId="15184"/>
    <cellStyle name="표준 3 8 4" xfId="15185"/>
    <cellStyle name="표준 3 8 4 2" xfId="15186"/>
    <cellStyle name="표준 3 8 5" xfId="15187"/>
    <cellStyle name="표준 3 9" xfId="15188"/>
    <cellStyle name="표준 3 9 2" xfId="15189"/>
    <cellStyle name="표준 3_주차별 매출실적_사업부" xfId="19242"/>
    <cellStyle name="표준 30" xfId="19243"/>
    <cellStyle name="표준 30 2" xfId="19244"/>
    <cellStyle name="표준 30 3" xfId="19245"/>
    <cellStyle name="표준 31" xfId="19246"/>
    <cellStyle name="표준 31 2" xfId="19247"/>
    <cellStyle name="표준 31 3" xfId="19248"/>
    <cellStyle name="표준 31 4" xfId="19249"/>
    <cellStyle name="표준 32" xfId="19250"/>
    <cellStyle name="표준 32 2" xfId="19251"/>
    <cellStyle name="표준 32 3" xfId="19252"/>
    <cellStyle name="표준 32 4" xfId="19253"/>
    <cellStyle name="표준 33" xfId="19254"/>
    <cellStyle name="표준 33 2" xfId="19255"/>
    <cellStyle name="표준 33 3" xfId="19256"/>
    <cellStyle name="표준 34" xfId="19257"/>
    <cellStyle name="표준 34 2" xfId="19258"/>
    <cellStyle name="표준 34 3" xfId="19259"/>
    <cellStyle name="표준 35" xfId="19260"/>
    <cellStyle name="표준 35 2" xfId="19261"/>
    <cellStyle name="표준 35 3" xfId="19262"/>
    <cellStyle name="표준 36" xfId="19263"/>
    <cellStyle name="표준 36 2" xfId="19264"/>
    <cellStyle name="표준 36 3" xfId="19265"/>
    <cellStyle name="표준 37" xfId="19266"/>
    <cellStyle name="표준 37 2" xfId="19267"/>
    <cellStyle name="표준 37 3" xfId="19268"/>
    <cellStyle name="표준 38" xfId="19269"/>
    <cellStyle name="표준 38 2" xfId="19270"/>
    <cellStyle name="표준 38 2 2" xfId="19271"/>
    <cellStyle name="표준 38 2 3" xfId="19272"/>
    <cellStyle name="표준 38 3" xfId="19273"/>
    <cellStyle name="표준 38 4" xfId="19274"/>
    <cellStyle name="표준 39" xfId="19275"/>
    <cellStyle name="표준 39 2" xfId="19276"/>
    <cellStyle name="표준 39 3" xfId="19277"/>
    <cellStyle name="표준 4" xfId="15190"/>
    <cellStyle name="표준 4 10" xfId="19278"/>
    <cellStyle name="표준 4 10 2" xfId="19279"/>
    <cellStyle name="표준 4 10 2 2" xfId="19280"/>
    <cellStyle name="표준 4 10 3" xfId="19281"/>
    <cellStyle name="표준 4 10 4" xfId="19282"/>
    <cellStyle name="표준 4 11" xfId="19283"/>
    <cellStyle name="표준 4 11 2" xfId="19284"/>
    <cellStyle name="표준 4 11 2 2" xfId="19285"/>
    <cellStyle name="표준 4 11 2 3" xfId="19286"/>
    <cellStyle name="표준 4 11 3" xfId="19287"/>
    <cellStyle name="표준 4 11 4" xfId="19288"/>
    <cellStyle name="표준 4 11 5" xfId="19289"/>
    <cellStyle name="표준 4 12" xfId="19290"/>
    <cellStyle name="표준 4 12 2" xfId="19291"/>
    <cellStyle name="표준 4 12 3" xfId="19292"/>
    <cellStyle name="표준 4 13" xfId="19293"/>
    <cellStyle name="표준 4 14" xfId="19294"/>
    <cellStyle name="표준 4 15" xfId="19295"/>
    <cellStyle name="표준 4 2" xfId="15191"/>
    <cellStyle name="표준 4 2 10" xfId="19296"/>
    <cellStyle name="표준 4 2 11" xfId="19297"/>
    <cellStyle name="표준 4 2 12" xfId="19298"/>
    <cellStyle name="표준 4 2 2" xfId="15192"/>
    <cellStyle name="표준 4 2 2 2" xfId="19299"/>
    <cellStyle name="표준 4 2 2 2 2" xfId="19300"/>
    <cellStyle name="표준 4 2 2 2 2 2" xfId="19301"/>
    <cellStyle name="표준 4 2 2 2 3" xfId="19302"/>
    <cellStyle name="표준 4 2 2 2 4" xfId="19303"/>
    <cellStyle name="표준 4 2 2 2 5" xfId="19304"/>
    <cellStyle name="표준 4 2 2 2 6" xfId="19305"/>
    <cellStyle name="표준 4 2 2 3" xfId="19306"/>
    <cellStyle name="표준 4 2 2 3 2" xfId="19307"/>
    <cellStyle name="표준 4 2 2 3 3" xfId="19308"/>
    <cellStyle name="표준 4 2 2 4" xfId="19309"/>
    <cellStyle name="표준 4 2 2 5" xfId="19310"/>
    <cellStyle name="표준 4 2 2_MAIN" xfId="19311"/>
    <cellStyle name="표준 4 2 3" xfId="15193"/>
    <cellStyle name="표준 4 2 3 2" xfId="15194"/>
    <cellStyle name="표준 4 2 3 3" xfId="19312"/>
    <cellStyle name="표준 4 2 3 4" xfId="19313"/>
    <cellStyle name="표준 4 2 3 5" xfId="19314"/>
    <cellStyle name="표준 4 2 3 6" xfId="19315"/>
    <cellStyle name="표준 4 2 3 7" xfId="19316"/>
    <cellStyle name="표준 4 2 3_MAIN" xfId="19317"/>
    <cellStyle name="표준 4 2 4" xfId="15195"/>
    <cellStyle name="표준 4 2 4 2" xfId="15196"/>
    <cellStyle name="표준 4 2 4 3" xfId="19318"/>
    <cellStyle name="표준 4 2 4 4" xfId="19319"/>
    <cellStyle name="표준 4 2 5" xfId="19320"/>
    <cellStyle name="표준 4 2 5 2" xfId="19321"/>
    <cellStyle name="표준 4 2 5 3" xfId="19322"/>
    <cellStyle name="표준 4 2 6" xfId="19323"/>
    <cellStyle name="표준 4 2 6 2" xfId="19324"/>
    <cellStyle name="표준 4 2 6 3" xfId="19325"/>
    <cellStyle name="표준 4 2 6 4" xfId="19326"/>
    <cellStyle name="표준 4 2 7" xfId="19327"/>
    <cellStyle name="표준 4 2 8" xfId="19328"/>
    <cellStyle name="표준 4 2 9" xfId="19329"/>
    <cellStyle name="표준 4 2_HISTORY" xfId="19330"/>
    <cellStyle name="표준 4 3" xfId="15197"/>
    <cellStyle name="표준 4 3 2" xfId="19331"/>
    <cellStyle name="표준 4 3 2 2" xfId="19332"/>
    <cellStyle name="표준 4 3 2 3" xfId="19333"/>
    <cellStyle name="표준 4 3 2 4" xfId="19334"/>
    <cellStyle name="표준 4 3 2 5" xfId="19335"/>
    <cellStyle name="표준 4 3 2 6" xfId="19336"/>
    <cellStyle name="표준 4 3 2_MAIN" xfId="19337"/>
    <cellStyle name="표준 4 3 3" xfId="19338"/>
    <cellStyle name="표준 4 3 3 2" xfId="19339"/>
    <cellStyle name="표준 4 3 3 3" xfId="19340"/>
    <cellStyle name="표준 4 3 3 4" xfId="19341"/>
    <cellStyle name="표준 4 3 3 5" xfId="19342"/>
    <cellStyle name="표준 4 3 3 6" xfId="19343"/>
    <cellStyle name="표준 4 3 3_MAIN" xfId="19344"/>
    <cellStyle name="표준 4 3 4" xfId="19345"/>
    <cellStyle name="표준 4 3 4 2" xfId="19346"/>
    <cellStyle name="표준 4 3 4 3" xfId="19347"/>
    <cellStyle name="표준 4 3 5" xfId="19348"/>
    <cellStyle name="표준 4 3 5 2" xfId="19349"/>
    <cellStyle name="표준 4 3 5 3" xfId="19350"/>
    <cellStyle name="표준 4 3 6" xfId="19351"/>
    <cellStyle name="표준 4 3 6 2" xfId="19352"/>
    <cellStyle name="표준 4 3 7" xfId="19353"/>
    <cellStyle name="표준 4 3 8" xfId="19354"/>
    <cellStyle name="표준 4 3_Dashboard" xfId="19355"/>
    <cellStyle name="표준 4 4" xfId="15198"/>
    <cellStyle name="표준 4 4 2" xfId="15199"/>
    <cellStyle name="표준 4 4 3" xfId="19356"/>
    <cellStyle name="표준 4 4 4" xfId="19357"/>
    <cellStyle name="표준 4 4 5" xfId="19358"/>
    <cellStyle name="표준 4 4 6" xfId="19359"/>
    <cellStyle name="표준 4 4 7" xfId="19360"/>
    <cellStyle name="표준 4 4 8" xfId="19361"/>
    <cellStyle name="표준 4 4_MAIN" xfId="19362"/>
    <cellStyle name="표준 4 5" xfId="15200"/>
    <cellStyle name="표준 4 5 2" xfId="15201"/>
    <cellStyle name="표준 4 5 3" xfId="19363"/>
    <cellStyle name="표준 4 5 4" xfId="19364"/>
    <cellStyle name="표준 4 5 5" xfId="19365"/>
    <cellStyle name="표준 4 5 6" xfId="19366"/>
    <cellStyle name="표준 4 5 7" xfId="19367"/>
    <cellStyle name="표준 4 5 8" xfId="19368"/>
    <cellStyle name="표준 4 5_MAIN" xfId="19369"/>
    <cellStyle name="표준 4 6" xfId="19370"/>
    <cellStyle name="표준 4 6 2" xfId="19371"/>
    <cellStyle name="표준 4 6 3" xfId="19372"/>
    <cellStyle name="표준 4 6 4" xfId="19373"/>
    <cellStyle name="표준 4 6 5" xfId="19374"/>
    <cellStyle name="표준 4 6 6" xfId="19375"/>
    <cellStyle name="표준 4 6 7" xfId="19376"/>
    <cellStyle name="표준 4 6 8" xfId="19377"/>
    <cellStyle name="표준 4 6_MAIN" xfId="19378"/>
    <cellStyle name="표준 4 7" xfId="19379"/>
    <cellStyle name="표준 4 7 10" xfId="19380"/>
    <cellStyle name="표준 4 7 11" xfId="19381"/>
    <cellStyle name="표준 4 7 12" xfId="19382"/>
    <cellStyle name="표준 4 7 2" xfId="19383"/>
    <cellStyle name="표준 4 7 2 2" xfId="19384"/>
    <cellStyle name="표준 4 7 2 3" xfId="19385"/>
    <cellStyle name="표준 4 7 3" xfId="19386"/>
    <cellStyle name="표준 4 7 4" xfId="19387"/>
    <cellStyle name="표준 4 7 5" xfId="19388"/>
    <cellStyle name="표준 4 7 6" xfId="19389"/>
    <cellStyle name="표준 4 7 7" xfId="19390"/>
    <cellStyle name="표준 4 7 8" xfId="19391"/>
    <cellStyle name="표준 4 7 9" xfId="19392"/>
    <cellStyle name="표준 4 7_MAIN" xfId="19393"/>
    <cellStyle name="표준 4 8" xfId="19394"/>
    <cellStyle name="표준 4 8 2" xfId="19395"/>
    <cellStyle name="표준 4 8 2 2" xfId="19396"/>
    <cellStyle name="표준 4 8 2 2 2" xfId="19397"/>
    <cellStyle name="표준 4 8 2 2 3" xfId="19398"/>
    <cellStyle name="표준 4 8 2 3" xfId="19399"/>
    <cellStyle name="표준 4 8 2 4" xfId="19400"/>
    <cellStyle name="표준 4 8 3" xfId="19401"/>
    <cellStyle name="표준 4 8 3 2" xfId="19402"/>
    <cellStyle name="표준 4 8 3 3" xfId="19403"/>
    <cellStyle name="표준 4 8 4" xfId="19404"/>
    <cellStyle name="표준 4 8 5" xfId="19405"/>
    <cellStyle name="표준 4 9" xfId="19406"/>
    <cellStyle name="표준 4 9 2" xfId="19407"/>
    <cellStyle name="표준 4 9 2 2" xfId="19408"/>
    <cellStyle name="표준 4 9 3" xfId="19409"/>
    <cellStyle name="표준 4 9 4" xfId="19410"/>
    <cellStyle name="표준 4_CHK_DATA" xfId="19411"/>
    <cellStyle name="표준 40" xfId="19412"/>
    <cellStyle name="표준 40 2" xfId="19413"/>
    <cellStyle name="표준 40 3" xfId="19414"/>
    <cellStyle name="표준 41" xfId="19415"/>
    <cellStyle name="표준 41 2" xfId="19416"/>
    <cellStyle name="표준 41 3" xfId="19417"/>
    <cellStyle name="표준 42" xfId="19418"/>
    <cellStyle name="표준 42 2" xfId="19419"/>
    <cellStyle name="표준 42 3" xfId="19420"/>
    <cellStyle name="표준 43" xfId="19421"/>
    <cellStyle name="표준 43 2" xfId="19422"/>
    <cellStyle name="표준 43 3" xfId="19423"/>
    <cellStyle name="표준 44" xfId="19424"/>
    <cellStyle name="표준 44 2" xfId="19425"/>
    <cellStyle name="표준 44 3" xfId="19426"/>
    <cellStyle name="표준 44 4" xfId="19427"/>
    <cellStyle name="표준 44 5" xfId="19428"/>
    <cellStyle name="표준 44 6" xfId="19429"/>
    <cellStyle name="표준 44 7" xfId="19430"/>
    <cellStyle name="표준 44 8" xfId="19431"/>
    <cellStyle name="표준 44 9" xfId="19432"/>
    <cellStyle name="표준 45" xfId="19433"/>
    <cellStyle name="표준 45 2" xfId="19434"/>
    <cellStyle name="표준 45 3" xfId="19435"/>
    <cellStyle name="표준 46" xfId="19436"/>
    <cellStyle name="표준 46 2" xfId="19437"/>
    <cellStyle name="표준 46 3" xfId="19438"/>
    <cellStyle name="표준 47" xfId="19439"/>
    <cellStyle name="표준 47 2" xfId="19440"/>
    <cellStyle name="표준 47 3" xfId="19441"/>
    <cellStyle name="표준 47 4" xfId="19442"/>
    <cellStyle name="표준 48" xfId="19443"/>
    <cellStyle name="표준 48 2" xfId="19444"/>
    <cellStyle name="표준 48 3" xfId="19445"/>
    <cellStyle name="표준 48 4" xfId="19446"/>
    <cellStyle name="표준 49" xfId="19447"/>
    <cellStyle name="표준 49 2" xfId="19448"/>
    <cellStyle name="표준 49 3" xfId="19449"/>
    <cellStyle name="표준 49 4" xfId="19450"/>
    <cellStyle name="표준 5" xfId="15202"/>
    <cellStyle name="표준 5 10" xfId="19451"/>
    <cellStyle name="표준 5 10 2" xfId="19452"/>
    <cellStyle name="표준 5 10 2 2" xfId="19453"/>
    <cellStyle name="표준 5 10 2 3" xfId="19454"/>
    <cellStyle name="표준 5 10 3" xfId="19455"/>
    <cellStyle name="표준 5 10 4" xfId="19456"/>
    <cellStyle name="표준 5 10 5" xfId="19457"/>
    <cellStyle name="표준 5 10_MAIN" xfId="19458"/>
    <cellStyle name="표준 5 11" xfId="19459"/>
    <cellStyle name="표준 5 11 2" xfId="19460"/>
    <cellStyle name="표준 5 11 3" xfId="19461"/>
    <cellStyle name="표준 5 11 4" xfId="19462"/>
    <cellStyle name="표준 5 12" xfId="19463"/>
    <cellStyle name="표준 5 12 2" xfId="19464"/>
    <cellStyle name="표준 5 12 3" xfId="19465"/>
    <cellStyle name="표준 5 12 4" xfId="19466"/>
    <cellStyle name="표준 5 13" xfId="19467"/>
    <cellStyle name="표준 5 13 2" xfId="19468"/>
    <cellStyle name="표준 5 13 3" xfId="19469"/>
    <cellStyle name="표준 5 13 4" xfId="19470"/>
    <cellStyle name="표준 5 14" xfId="19471"/>
    <cellStyle name="표준 5 15" xfId="19472"/>
    <cellStyle name="표준 5 2" xfId="15203"/>
    <cellStyle name="표준 5 2 10" xfId="19473"/>
    <cellStyle name="표준 5 2 2" xfId="15204"/>
    <cellStyle name="표준 5 2 2 2" xfId="15205"/>
    <cellStyle name="표준 5 2 2 2 2" xfId="19474"/>
    <cellStyle name="표준 5 2 2 2 3" xfId="19475"/>
    <cellStyle name="표준 5 2 2 2 4" xfId="19476"/>
    <cellStyle name="표준 5 2 2 2 5" xfId="19477"/>
    <cellStyle name="표준 5 2 2 3" xfId="19478"/>
    <cellStyle name="표준 5 2 2 3 2" xfId="19479"/>
    <cellStyle name="표준 5 2 2 3 3" xfId="19480"/>
    <cellStyle name="표준 5 2 2 4" xfId="19481"/>
    <cellStyle name="표준 5 2 2 5" xfId="19482"/>
    <cellStyle name="표준 5 2 2_MAIN1" xfId="19483"/>
    <cellStyle name="표준 5 2 3" xfId="19484"/>
    <cellStyle name="표준 5 2 3 2" xfId="19485"/>
    <cellStyle name="표준 5 2 3 2 2" xfId="19486"/>
    <cellStyle name="표준 5 2 3 2 3" xfId="19487"/>
    <cellStyle name="표준 5 2 3 3" xfId="19488"/>
    <cellStyle name="표준 5 2 3 4" xfId="19489"/>
    <cellStyle name="표준 5 2 4" xfId="19490"/>
    <cellStyle name="표준 5 2 4 2" xfId="19491"/>
    <cellStyle name="표준 5 2 4 3" xfId="19492"/>
    <cellStyle name="표준 5 2 4 4" xfId="19493"/>
    <cellStyle name="표준 5 2 4 5" xfId="19494"/>
    <cellStyle name="표준 5 2 4 6" xfId="19495"/>
    <cellStyle name="표준 5 2 4_MAIN" xfId="19496"/>
    <cellStyle name="표준 5 2 5" xfId="19497"/>
    <cellStyle name="표준 5 2 5 2" xfId="19498"/>
    <cellStyle name="표준 5 2 5 3" xfId="19499"/>
    <cellStyle name="표준 5 2 5 4" xfId="19500"/>
    <cellStyle name="표준 5 2 6" xfId="19501"/>
    <cellStyle name="표준 5 2 7" xfId="19502"/>
    <cellStyle name="표준 5 2 8" xfId="19503"/>
    <cellStyle name="표준 5 2 9" xfId="19504"/>
    <cellStyle name="표준 5 2_HISTORY" xfId="19505"/>
    <cellStyle name="표준 5 3" xfId="15206"/>
    <cellStyle name="표준 5 3 2" xfId="19506"/>
    <cellStyle name="표준 5 3 2 2" xfId="19507"/>
    <cellStyle name="표준 5 3 2 3" xfId="19508"/>
    <cellStyle name="표준 5 3 3" xfId="19509"/>
    <cellStyle name="표준 5 3 3 2" xfId="19510"/>
    <cellStyle name="표준 5 3 4" xfId="19511"/>
    <cellStyle name="표준 5 3_MAIN" xfId="19512"/>
    <cellStyle name="표준 5 4" xfId="15207"/>
    <cellStyle name="표준 5 4 2" xfId="19513"/>
    <cellStyle name="표준 5 4 2 2" xfId="19514"/>
    <cellStyle name="표준 5 4 2 3" xfId="19515"/>
    <cellStyle name="표준 5 4 3" xfId="19516"/>
    <cellStyle name="표준 5 4 4" xfId="19517"/>
    <cellStyle name="표준 5 4_MAIN1" xfId="19518"/>
    <cellStyle name="표준 5 5" xfId="15208"/>
    <cellStyle name="표준 5 5 2" xfId="19519"/>
    <cellStyle name="표준 5 5 3" xfId="19520"/>
    <cellStyle name="표준 5 6" xfId="19521"/>
    <cellStyle name="표준 5 6 2" xfId="19522"/>
    <cellStyle name="표준 5 6 3" xfId="19523"/>
    <cellStyle name="표준 5 7" xfId="19524"/>
    <cellStyle name="표준 5 7 2" xfId="19525"/>
    <cellStyle name="표준 5 7 2 2" xfId="19526"/>
    <cellStyle name="표준 5 7 2 3" xfId="19527"/>
    <cellStyle name="표준 5 7 3" xfId="19528"/>
    <cellStyle name="표준 5 7 3 2" xfId="19529"/>
    <cellStyle name="표준 5 7 3 3" xfId="19530"/>
    <cellStyle name="표준 5 7 3 4" xfId="19531"/>
    <cellStyle name="표준 5 7 4" xfId="19532"/>
    <cellStyle name="표준 5 7 5" xfId="19533"/>
    <cellStyle name="표준 5 7 6" xfId="19534"/>
    <cellStyle name="표준 5 7 7" xfId="19535"/>
    <cellStyle name="표준 5 7 8" xfId="19536"/>
    <cellStyle name="표준 5 7 9" xfId="19537"/>
    <cellStyle name="표준 5 7_Dashboard" xfId="19538"/>
    <cellStyle name="표준 5 8" xfId="19539"/>
    <cellStyle name="표준 5 8 2" xfId="19540"/>
    <cellStyle name="표준 5 8 3" xfId="19541"/>
    <cellStyle name="표준 5 8 4" xfId="19542"/>
    <cellStyle name="표준 5 8 5" xfId="19543"/>
    <cellStyle name="표준 5 9" xfId="19544"/>
    <cellStyle name="표준 5 9 2" xfId="19545"/>
    <cellStyle name="표준 5 9 3" xfId="19546"/>
    <cellStyle name="표준 5 9 4" xfId="19547"/>
    <cellStyle name="표준 5 9 5" xfId="19548"/>
    <cellStyle name="표준 5 9 6" xfId="19549"/>
    <cellStyle name="표준 5 9_MAIN" xfId="19550"/>
    <cellStyle name="표준 5_CHK_DATA" xfId="19551"/>
    <cellStyle name="표준 50" xfId="19552"/>
    <cellStyle name="표준 50 2" xfId="19553"/>
    <cellStyle name="표준 50 3" xfId="19554"/>
    <cellStyle name="표준 50 4" xfId="19555"/>
    <cellStyle name="표준 51" xfId="19556"/>
    <cellStyle name="표준 51 2" xfId="19557"/>
    <cellStyle name="표준 51 3" xfId="19558"/>
    <cellStyle name="표준 52" xfId="19559"/>
    <cellStyle name="표준 52 2" xfId="19560"/>
    <cellStyle name="표준 52 3" xfId="19561"/>
    <cellStyle name="표준 53" xfId="19562"/>
    <cellStyle name="표준 53 2" xfId="19563"/>
    <cellStyle name="표준 53 3" xfId="19564"/>
    <cellStyle name="표준 54" xfId="19565"/>
    <cellStyle name="표준 54 2" xfId="19566"/>
    <cellStyle name="표준 54 3" xfId="19567"/>
    <cellStyle name="표준 55" xfId="19568"/>
    <cellStyle name="표준 55 2" xfId="19569"/>
    <cellStyle name="표준 55 3" xfId="19570"/>
    <cellStyle name="표준 56" xfId="19571"/>
    <cellStyle name="표준 56 2" xfId="19572"/>
    <cellStyle name="표준 56 3" xfId="19573"/>
    <cellStyle name="표준 57" xfId="19574"/>
    <cellStyle name="표준 57 2" xfId="19575"/>
    <cellStyle name="표준 57 3" xfId="19576"/>
    <cellStyle name="표준 58" xfId="19577"/>
    <cellStyle name="표준 58 2" xfId="19578"/>
    <cellStyle name="표준 58 3" xfId="19579"/>
    <cellStyle name="표준 58 4" xfId="19580"/>
    <cellStyle name="표준 59" xfId="19581"/>
    <cellStyle name="표준 59 2" xfId="19582"/>
    <cellStyle name="표준 59 3" xfId="19583"/>
    <cellStyle name="표준 59 4" xfId="19584"/>
    <cellStyle name="표준 6" xfId="15209"/>
    <cellStyle name="표준 6 10" xfId="19585"/>
    <cellStyle name="표준 6 11" xfId="19586"/>
    <cellStyle name="표준 6 12" xfId="19587"/>
    <cellStyle name="표준 6 2" xfId="15210"/>
    <cellStyle name="표준 6 2 2" xfId="19588"/>
    <cellStyle name="표준 6 2 2 2" xfId="19589"/>
    <cellStyle name="표준 6 2 2 2 2" xfId="19590"/>
    <cellStyle name="표준 6 2 2 3" xfId="19591"/>
    <cellStyle name="표준 6 2 2 4" xfId="19592"/>
    <cellStyle name="표준 6 2 3" xfId="19593"/>
    <cellStyle name="표준 6 2 3 2" xfId="19594"/>
    <cellStyle name="표준 6 2 3 3" xfId="19595"/>
    <cellStyle name="표준 6 2 4" xfId="19596"/>
    <cellStyle name="표준 6 2 5" xfId="19597"/>
    <cellStyle name="표준 6 2 6" xfId="19598"/>
    <cellStyle name="표준 6 2 7" xfId="19599"/>
    <cellStyle name="표준 6 2_HISTORY" xfId="19600"/>
    <cellStyle name="표준 6 3" xfId="15211"/>
    <cellStyle name="표준 6 3 2" xfId="19601"/>
    <cellStyle name="표준 6 3 2 2" xfId="19602"/>
    <cellStyle name="표준 6 3 2 3" xfId="19603"/>
    <cellStyle name="표준 6 3 2 4" xfId="19604"/>
    <cellStyle name="표준 6 3 3" xfId="19605"/>
    <cellStyle name="표준 6 3 3 2" xfId="19606"/>
    <cellStyle name="표준 6 3 3 2 2" xfId="19607"/>
    <cellStyle name="표준 6 3 3 3" xfId="19608"/>
    <cellStyle name="표준 6 3 3 4" xfId="19609"/>
    <cellStyle name="표준 6 3 4" xfId="19610"/>
    <cellStyle name="표준 6 3 5" xfId="19611"/>
    <cellStyle name="표준 6 3_MAIN" xfId="19612"/>
    <cellStyle name="표준 6 4" xfId="15212"/>
    <cellStyle name="표준 6 4 2" xfId="19613"/>
    <cellStyle name="표준 6 4 2 2" xfId="19614"/>
    <cellStyle name="표준 6 4 3" xfId="19615"/>
    <cellStyle name="표준 6 4 4" xfId="19616"/>
    <cellStyle name="표준 6 5" xfId="19617"/>
    <cellStyle name="표준 6 5 2" xfId="19618"/>
    <cellStyle name="표준 6 5 2 2" xfId="19619"/>
    <cellStyle name="표준 6 5 3" xfId="19620"/>
    <cellStyle name="표준 6 5 4" xfId="19621"/>
    <cellStyle name="표준 6 6" xfId="19622"/>
    <cellStyle name="표준 6 6 2" xfId="19623"/>
    <cellStyle name="표준 6 6 2 2" xfId="19624"/>
    <cellStyle name="표준 6 6 3" xfId="19625"/>
    <cellStyle name="표준 6 6 4" xfId="19626"/>
    <cellStyle name="표준 6 7" xfId="19627"/>
    <cellStyle name="표준 6 7 2" xfId="19628"/>
    <cellStyle name="표준 6 7 3" xfId="19629"/>
    <cellStyle name="표준 6 7 4" xfId="19630"/>
    <cellStyle name="표준 6 8" xfId="19631"/>
    <cellStyle name="표준 6 8 2" xfId="19632"/>
    <cellStyle name="표준 6 8 3" xfId="19633"/>
    <cellStyle name="표준 6 9" xfId="19634"/>
    <cellStyle name="표준 6_CHK_DATA" xfId="19635"/>
    <cellStyle name="표준 60" xfId="19636"/>
    <cellStyle name="표준 60 2" xfId="19637"/>
    <cellStyle name="표준 60 3" xfId="19638"/>
    <cellStyle name="표준 61" xfId="19639"/>
    <cellStyle name="표준 62" xfId="19640"/>
    <cellStyle name="표준 63" xfId="19641"/>
    <cellStyle name="표준 64" xfId="19642"/>
    <cellStyle name="표준 65" xfId="19643"/>
    <cellStyle name="표준 66" xfId="19644"/>
    <cellStyle name="표준 67" xfId="19645"/>
    <cellStyle name="표준 68" xfId="19646"/>
    <cellStyle name="표준 69" xfId="19647"/>
    <cellStyle name="표준 7" xfId="6"/>
    <cellStyle name="표준 7 2" xfId="15213"/>
    <cellStyle name="표준 7 2 2" xfId="19648"/>
    <cellStyle name="표준 7 2 2 2" xfId="19649"/>
    <cellStyle name="표준 7 2 2 3" xfId="19650"/>
    <cellStyle name="표준 7 2 2 4" xfId="19651"/>
    <cellStyle name="표준 7 2 3" xfId="19652"/>
    <cellStyle name="표준 7 2 4" xfId="19653"/>
    <cellStyle name="표준 7 2_SalesMostLikelyDivision" xfId="19654"/>
    <cellStyle name="표준 7 3" xfId="15214"/>
    <cellStyle name="표준 7 3 2" xfId="15215"/>
    <cellStyle name="표준 7 3 3" xfId="19655"/>
    <cellStyle name="표준 7 4" xfId="19656"/>
    <cellStyle name="표준 7 4 2" xfId="19657"/>
    <cellStyle name="표준 7 4 2 2" xfId="19658"/>
    <cellStyle name="표준 7 4 3" xfId="19659"/>
    <cellStyle name="표준 7 5" xfId="19660"/>
    <cellStyle name="표준 7 5 2" xfId="19661"/>
    <cellStyle name="표준 7 5 3" xfId="19662"/>
    <cellStyle name="표준 7 5 4" xfId="19663"/>
    <cellStyle name="표준 7 6" xfId="19664"/>
    <cellStyle name="표준 7 6 2" xfId="19665"/>
    <cellStyle name="표준 7 6 3" xfId="19666"/>
    <cellStyle name="표준 7 6 4" xfId="19667"/>
    <cellStyle name="표준 7 7" xfId="19668"/>
    <cellStyle name="표준 7 8" xfId="19669"/>
    <cellStyle name="표준 7 9" xfId="19670"/>
    <cellStyle name="표준 7_KPIDIOAmtSubsidiary_MFG" xfId="19671"/>
    <cellStyle name="표준 70" xfId="19672"/>
    <cellStyle name="표준 71" xfId="19673"/>
    <cellStyle name="표준 72" xfId="19674"/>
    <cellStyle name="표준 73" xfId="19675"/>
    <cellStyle name="표준 74" xfId="19676"/>
    <cellStyle name="표준 75" xfId="19677"/>
    <cellStyle name="표준 76" xfId="19678"/>
    <cellStyle name="표준 77" xfId="19759"/>
    <cellStyle name="표준 8" xfId="15216"/>
    <cellStyle name="표준 8 2" xfId="15217"/>
    <cellStyle name="표준 8 2 2" xfId="19679"/>
    <cellStyle name="표준 8 2 2 2" xfId="19680"/>
    <cellStyle name="표준 8 2 2 2 2" xfId="19681"/>
    <cellStyle name="표준 8 2 2 2 2 2" xfId="19682"/>
    <cellStyle name="표준 8 2 2 3" xfId="19683"/>
    <cellStyle name="표준 8 2 2 3 2" xfId="19684"/>
    <cellStyle name="표준 8 2 2 4" xfId="19685"/>
    <cellStyle name="표준 8 2 2 5" xfId="19686"/>
    <cellStyle name="표준 8 2 3" xfId="19687"/>
    <cellStyle name="표준 8 2 4" xfId="19688"/>
    <cellStyle name="표준 8 2 5" xfId="19689"/>
    <cellStyle name="표준 8 2 6" xfId="19690"/>
    <cellStyle name="표준 8 2 7" xfId="19691"/>
    <cellStyle name="표준 8 2 8" xfId="19692"/>
    <cellStyle name="표준 8 2 9" xfId="19693"/>
    <cellStyle name="표준 8 2_MAIN" xfId="19694"/>
    <cellStyle name="표준 8 3" xfId="15218"/>
    <cellStyle name="표준 8 3 2" xfId="19695"/>
    <cellStyle name="표준 8 3 3" xfId="19696"/>
    <cellStyle name="표준 8 4" xfId="19697"/>
    <cellStyle name="표준 8 4 2" xfId="19698"/>
    <cellStyle name="표준 8 4 3" xfId="19699"/>
    <cellStyle name="표준 8 4 4" xfId="19700"/>
    <cellStyle name="표준 8 4 5" xfId="19701"/>
    <cellStyle name="표준 8 4 6" xfId="19702"/>
    <cellStyle name="표준 8 4_MAIN" xfId="19703"/>
    <cellStyle name="표준 8 5" xfId="19704"/>
    <cellStyle name="표준 8 5 2" xfId="19705"/>
    <cellStyle name="표준 8 5 3" xfId="19706"/>
    <cellStyle name="표준 8 6" xfId="19707"/>
    <cellStyle name="표준 8 6 2" xfId="19708"/>
    <cellStyle name="표준 8 6 3" xfId="19709"/>
    <cellStyle name="표준 8 6 4" xfId="19710"/>
    <cellStyle name="표준 8 7" xfId="19711"/>
    <cellStyle name="표준 8 7 2" xfId="19712"/>
    <cellStyle name="표준 8 7 3" xfId="19713"/>
    <cellStyle name="표준 8 7 4" xfId="19714"/>
    <cellStyle name="표준 8 8" xfId="19715"/>
    <cellStyle name="표준 8 9" xfId="19716"/>
    <cellStyle name="표준 8_KPIDIOAmtSubsidiary_MFG" xfId="19717"/>
    <cellStyle name="표준 9" xfId="15219"/>
    <cellStyle name="표준 9 2" xfId="15220"/>
    <cellStyle name="표준 9 2 2" xfId="19718"/>
    <cellStyle name="표준 9 2 2 2" xfId="19719"/>
    <cellStyle name="표준 9 2 2 2 2" xfId="19720"/>
    <cellStyle name="표준 9 2 2 2 2 2" xfId="19721"/>
    <cellStyle name="표준 9 2 2 3" xfId="19722"/>
    <cellStyle name="표준 9 2 2 3 2" xfId="19723"/>
    <cellStyle name="표준 9 2 2 4" xfId="19724"/>
    <cellStyle name="표준 9 2 2 5" xfId="19725"/>
    <cellStyle name="표준 9 2 3" xfId="19726"/>
    <cellStyle name="표준 9 2 4" xfId="19727"/>
    <cellStyle name="표준 9 2 5" xfId="19728"/>
    <cellStyle name="표준 9 2 6" xfId="19729"/>
    <cellStyle name="표준 9 2 7" xfId="19730"/>
    <cellStyle name="표준 9 2 8" xfId="19731"/>
    <cellStyle name="표준 9 2 9" xfId="19732"/>
    <cellStyle name="표준 9 2_MAIN" xfId="19733"/>
    <cellStyle name="표준 9 3" xfId="19734"/>
    <cellStyle name="표준 9 3 2" xfId="19735"/>
    <cellStyle name="표준 9 3 3" xfId="19736"/>
    <cellStyle name="표준 9 4" xfId="19737"/>
    <cellStyle name="표준 9 4 2" xfId="19738"/>
    <cellStyle name="표준 9 4 3" xfId="19739"/>
    <cellStyle name="표준 9 5" xfId="19740"/>
    <cellStyle name="표준 9 5 2" xfId="19741"/>
    <cellStyle name="표준 9 5 3" xfId="19742"/>
    <cellStyle name="표준 9 5 4" xfId="19743"/>
    <cellStyle name="표준 9 6" xfId="19744"/>
    <cellStyle name="표준 9 6 2" xfId="19745"/>
    <cellStyle name="표준 9 6 3" xfId="19746"/>
    <cellStyle name="표준 9 6 4" xfId="19747"/>
    <cellStyle name="표준 9 7" xfId="19748"/>
    <cellStyle name="표준 9 8" xfId="19749"/>
    <cellStyle name="표준 9 9" xfId="19750"/>
    <cellStyle name="표준 9_KPIDIOAmtSubsidiary_MFG" xfId="19751"/>
    <cellStyle name="標準_Akia(F）-8" xfId="15221"/>
    <cellStyle name="하이퍼링크 2" xfId="19752"/>
    <cellStyle name="하이퍼링크 2 2" xfId="19753"/>
    <cellStyle name="하이퍼링크 3" xfId="19754"/>
    <cellStyle name="하이퍼링크 3 2" xfId="19755"/>
    <cellStyle name="하이퍼링크 4" xfId="19756"/>
    <cellStyle name="하이퍼링크 4 2" xfId="19757"/>
    <cellStyle name="하이퍼링크 5" xfId="19758"/>
    <cellStyle name="합산" xfId="15222"/>
    <cellStyle name="解释性文本" xfId="15223"/>
    <cellStyle name="好" xfId="15224"/>
    <cellStyle name="好_`12년 전략CM_투자_RA Total_배부율_S3수정" xfId="15225"/>
    <cellStyle name="貨幣 [0]_RoFo 0104 Annex DU 2~6 (010328)" xfId="15226"/>
    <cellStyle name="貨幣_RoFo 0104 Annex DU 2~6 (010328)" xfId="15227"/>
    <cellStyle name="화폐기호" xfId="15228"/>
    <cellStyle name="화폐기호0" xfId="15229"/>
    <cellStyle name="后继超级链接_200101CDMA" xfId="15230"/>
    <cellStyle name="汇总" xfId="15231"/>
  </cellStyles>
  <dxfs count="0"/>
  <tableStyles count="0" defaultTableStyle="TableStyleMedium9" defaultPivotStyle="PivotStyleLight16"/>
  <colors>
    <mruColors>
      <color rgb="FF96969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403412</xdr:colOff>
      <xdr:row>1</xdr:row>
      <xdr:rowOff>78441</xdr:rowOff>
    </xdr:from>
    <xdr:to>
      <xdr:col>7</xdr:col>
      <xdr:colOff>1143000</xdr:colOff>
      <xdr:row>6</xdr:row>
      <xdr:rowOff>44824</xdr:rowOff>
    </xdr:to>
    <xdr:sp macro="" textlink="">
      <xdr:nvSpPr>
        <xdr:cNvPr id="2" name="직사각형 1"/>
        <xdr:cNvSpPr/>
      </xdr:nvSpPr>
      <xdr:spPr>
        <a:xfrm>
          <a:off x="403412" y="291353"/>
          <a:ext cx="3238500" cy="1042147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가격성판촉율 </a:t>
          </a:r>
          <a:r>
            <a:rPr lang="en-US" altLang="ko-KR" sz="1100"/>
            <a:t>= SALES_DEDUCTION * -1 </a:t>
          </a:r>
        </a:p>
        <a:p>
          <a:pPr algn="ctr"/>
          <a:r>
            <a:rPr lang="en-US" altLang="ko-KR" sz="1100"/>
            <a:t>/ </a:t>
          </a:r>
        </a:p>
        <a:p>
          <a:pPr algn="ctr"/>
          <a:r>
            <a:rPr lang="en-US" altLang="ko-KR" sz="1100"/>
            <a:t>(SALE - SALES_DEDUCTION)</a:t>
          </a:r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0"/>
  <dimension ref="B2:AA37"/>
  <sheetViews>
    <sheetView showGridLines="0" tabSelected="1" zoomScale="85" zoomScaleNormal="85" workbookViewId="0">
      <selection activeCell="B2" sqref="B2"/>
    </sheetView>
  </sheetViews>
  <sheetFormatPr defaultColWidth="9" defaultRowHeight="16.5"/>
  <cols>
    <col min="1" max="1" width="2.625" style="80" customWidth="1"/>
    <col min="2" max="2" width="19.875" style="80" customWidth="1"/>
    <col min="3" max="3" width="15.25" style="106" customWidth="1"/>
    <col min="4" max="4" width="6.125" style="80" hidden="1" customWidth="1"/>
    <col min="5" max="5" width="6.125" style="80" customWidth="1"/>
    <col min="6" max="12" width="5.625" style="80" customWidth="1"/>
    <col min="13" max="13" width="4.75" style="79" hidden="1" customWidth="1"/>
    <col min="14" max="14" width="5.5" style="79" customWidth="1"/>
    <col min="15" max="15" width="19.625" style="80" customWidth="1"/>
    <col min="16" max="16" width="15.25" style="106" bestFit="1" customWidth="1"/>
    <col min="17" max="18" width="6.125" style="80" customWidth="1"/>
    <col min="19" max="25" width="5.625" style="80" customWidth="1"/>
    <col min="26" max="26" width="4.75" style="79" hidden="1" customWidth="1"/>
    <col min="27" max="27" width="5.5" style="79" customWidth="1"/>
    <col min="28" max="34" width="10" style="80" customWidth="1"/>
    <col min="35" max="16384" width="9" style="80"/>
  </cols>
  <sheetData>
    <row r="2" spans="2:27">
      <c r="B2" s="77"/>
      <c r="C2" s="78"/>
      <c r="D2" s="77"/>
      <c r="E2" s="77"/>
      <c r="F2" s="77"/>
      <c r="G2" s="77"/>
      <c r="H2" s="77"/>
      <c r="I2" s="77"/>
      <c r="J2" s="77"/>
      <c r="K2" s="77"/>
      <c r="L2" s="77"/>
      <c r="O2" s="77"/>
      <c r="P2" s="78"/>
      <c r="Q2" s="77"/>
      <c r="R2" s="77"/>
      <c r="S2" s="77"/>
      <c r="T2" s="77"/>
      <c r="U2" s="77"/>
      <c r="V2" s="77"/>
      <c r="W2" s="77"/>
      <c r="X2" s="77"/>
      <c r="Y2" s="108" t="s">
        <v>226</v>
      </c>
    </row>
    <row r="3" spans="2:27" s="83" customFormat="1" ht="21.95" customHeight="1">
      <c r="B3" s="116" t="s">
        <v>162</v>
      </c>
      <c r="C3" s="116"/>
      <c r="D3" s="81" t="str">
        <f>IF(MAIN_DATA!K7=0,"",MAIN_DATA!K7)</f>
        <v>'14년</v>
      </c>
      <c r="E3" s="81" t="str">
        <f>IF(MAIN_DATA!L7=0,"",MAIN_DATA!L7)</f>
        <v>'15년</v>
      </c>
      <c r="F3" s="81" t="str">
        <f>IF(MAIN_DATA!M7=0,"",MAIN_DATA!M7)</f>
        <v/>
      </c>
      <c r="G3" s="81" t="str">
        <f>IF(MAIN_DATA!N7=0,"",MAIN_DATA!N7)</f>
        <v/>
      </c>
      <c r="H3" s="82" t="str">
        <f>IF(MAIN_DATA!O7=0,"",MAIN_DATA!O7)</f>
        <v/>
      </c>
      <c r="I3" s="82" t="str">
        <f>IF(MAIN_DATA!P7=0,"",MAIN_DATA!P7)</f>
        <v/>
      </c>
      <c r="J3" s="82" t="str">
        <f>IF(MAIN_DATA!Q7=0,"",MAIN_DATA!Q7)</f>
        <v/>
      </c>
      <c r="K3" s="82" t="str">
        <f>IF(MAIN_DATA!R7=0,"",MAIN_DATA!R7)</f>
        <v/>
      </c>
      <c r="L3" s="82" t="str">
        <f>IF(MAIN_DATA!S7=0,"",MAIN_DATA!S7)</f>
        <v/>
      </c>
      <c r="M3" s="115" t="s">
        <v>209</v>
      </c>
      <c r="N3" s="115" t="s">
        <v>210</v>
      </c>
      <c r="O3" s="116" t="s">
        <v>162</v>
      </c>
      <c r="P3" s="116"/>
      <c r="Q3" s="81" t="str">
        <f>IF(MAIN_DATA!X7=0,"",MAIN_DATA!X7)</f>
        <v>'14년</v>
      </c>
      <c r="R3" s="81" t="str">
        <f>IF(MAIN_DATA!Y7=0,"",MAIN_DATA!Y7)</f>
        <v>'15년</v>
      </c>
      <c r="S3" s="81" t="str">
        <f>IF(MAIN_DATA!Z7=0,"",MAIN_DATA!Z7)</f>
        <v/>
      </c>
      <c r="T3" s="81" t="str">
        <f>IF(MAIN_DATA!AA7=0,"",MAIN_DATA!AA7)</f>
        <v/>
      </c>
      <c r="U3" s="82" t="str">
        <f>IF(MAIN_DATA!AB7=0,"",MAIN_DATA!AB7)</f>
        <v/>
      </c>
      <c r="V3" s="82" t="str">
        <f>IF(MAIN_DATA!AC7=0,"",MAIN_DATA!AC7)</f>
        <v/>
      </c>
      <c r="W3" s="82" t="str">
        <f>IF(MAIN_DATA!AD7=0,"",MAIN_DATA!AD7)</f>
        <v/>
      </c>
      <c r="X3" s="82" t="str">
        <f>IF(MAIN_DATA!AE7=0,"",MAIN_DATA!AE7)</f>
        <v/>
      </c>
      <c r="Y3" s="82" t="str">
        <f>IF(MAIN_DATA!AF7=0,"",MAIN_DATA!AF7)</f>
        <v/>
      </c>
      <c r="Z3" s="115" t="s">
        <v>209</v>
      </c>
      <c r="AA3" s="115" t="s">
        <v>210</v>
      </c>
    </row>
    <row r="4" spans="2:27" s="84" customFormat="1" ht="21.95" customHeight="1">
      <c r="B4" s="117"/>
      <c r="C4" s="117"/>
      <c r="D4" s="109" t="str">
        <f>IF(MAIN_DATA!K8=0,"",MAIN_DATA!K8)</f>
        <v>12월</v>
      </c>
      <c r="E4" s="109" t="str">
        <f>IF(MAIN_DATA!L8=0,"",MAIN_DATA!L8)</f>
        <v>5월</v>
      </c>
      <c r="F4" s="109" t="str">
        <f>IF(MAIN_DATA!M8=0,"",MAIN_DATA!M8)</f>
        <v>6월</v>
      </c>
      <c r="G4" s="109" t="str">
        <f>IF(MAIN_DATA!N8=0,"",MAIN_DATA!N8)</f>
        <v>7월</v>
      </c>
      <c r="H4" s="109" t="str">
        <f>IF(MAIN_DATA!O8=0,"",MAIN_DATA!O8)</f>
        <v>8월</v>
      </c>
      <c r="I4" s="109" t="str">
        <f>IF(MAIN_DATA!P8=0,"",MAIN_DATA!P8)</f>
        <v>9월</v>
      </c>
      <c r="J4" s="109" t="str">
        <f>IF(MAIN_DATA!Q8=0,"",MAIN_DATA!Q8)</f>
        <v>10월</v>
      </c>
      <c r="K4" s="109" t="str">
        <f>IF(MAIN_DATA!R8=0,"",MAIN_DATA!R8)</f>
        <v>11월</v>
      </c>
      <c r="L4" s="109" t="str">
        <f>IF(MAIN_DATA!S8=0,"",MAIN_DATA!S8)</f>
        <v>12월</v>
      </c>
      <c r="M4" s="115"/>
      <c r="N4" s="115"/>
      <c r="O4" s="117"/>
      <c r="P4" s="117"/>
      <c r="Q4" s="109" t="str">
        <f>IF(MAIN_DATA!X8=0,"",MAIN_DATA!X8)</f>
        <v>12월</v>
      </c>
      <c r="R4" s="109" t="str">
        <f>IF(MAIN_DATA!Y8=0,"",MAIN_DATA!Y8)</f>
        <v>5월</v>
      </c>
      <c r="S4" s="109" t="str">
        <f>IF(MAIN_DATA!Z8=0,"",MAIN_DATA!Z8)</f>
        <v>6월</v>
      </c>
      <c r="T4" s="109" t="str">
        <f>IF(MAIN_DATA!AA8=0,"",MAIN_DATA!AA8)</f>
        <v>7월</v>
      </c>
      <c r="U4" s="109" t="str">
        <f>IF(MAIN_DATA!AB8=0,"",MAIN_DATA!AB8)</f>
        <v>8월</v>
      </c>
      <c r="V4" s="109" t="str">
        <f>IF(MAIN_DATA!AC8=0,"",MAIN_DATA!AC8)</f>
        <v>9월</v>
      </c>
      <c r="W4" s="109" t="str">
        <f>IF(MAIN_DATA!AD8=0,"",MAIN_DATA!AD8)</f>
        <v>10월</v>
      </c>
      <c r="X4" s="109" t="str">
        <f>IF(MAIN_DATA!AE8=0,"",MAIN_DATA!AE8)</f>
        <v>11월</v>
      </c>
      <c r="Y4" s="109" t="str">
        <f>IF(MAIN_DATA!AF8=0,"",MAIN_DATA!AF8)</f>
        <v>12월</v>
      </c>
      <c r="Z4" s="115"/>
      <c r="AA4" s="115"/>
    </row>
    <row r="5" spans="2:27" ht="21.95" customHeight="1">
      <c r="B5" s="85" t="str">
        <f>IF(MAIN_DATA!I10=0,"",MAIN_DATA!I10)</f>
        <v/>
      </c>
      <c r="C5" s="86" t="str">
        <f>IF(MAIN_DATA!J10=0,"",MAIN_DATA!J10)</f>
        <v>수주잔고</v>
      </c>
      <c r="D5" s="87">
        <f>IF(MAIN_DATA!K10=0,"",MAIN_DATA!K10)</f>
        <v>4.8497545576038474</v>
      </c>
      <c r="E5" s="87">
        <f>IF(MAIN_DATA!$D10="","",MAIN_DATA!L10)</f>
        <v>8.8794540659473391</v>
      </c>
      <c r="F5" s="87">
        <f>IF(MAIN_DATA!$D10="","",MAIN_DATA!M10)</f>
        <v>8.4318693575604495</v>
      </c>
      <c r="G5" s="87">
        <f>IF(MAIN_DATA!$D10="","",MAIN_DATA!N10)</f>
        <v>8.9060641804556795</v>
      </c>
      <c r="H5" s="87">
        <f>IF(MAIN_DATA!$D10="","",MAIN_DATA!O10)</f>
        <v>8.5527599644024512</v>
      </c>
      <c r="I5" s="87">
        <f>IF(MAIN_DATA!$D10="","",MAIN_DATA!P10)</f>
        <v>8.4383205033889386</v>
      </c>
      <c r="J5" s="87">
        <f>IF(MAIN_DATA!$D10="","",MAIN_DATA!Q10)</f>
        <v>9.2439031695024561</v>
      </c>
      <c r="K5" s="87">
        <f>IF(MAIN_DATA!$D10="","",MAIN_DATA!R10)</f>
        <v>10.817827386545456</v>
      </c>
      <c r="L5" s="87">
        <f>IF(MAIN_DATA!$D10="","",MAIN_DATA!S10)</f>
        <v>11.040179365459167</v>
      </c>
      <c r="M5" s="88">
        <f>IF(MAIN_DATA!T10=0,"",MAIN_DATA!T10)</f>
        <v>6.1904248078553197</v>
      </c>
      <c r="N5" s="89">
        <f>IF(MAIN_DATA!$D10="","",MAIN_DATA!U10)</f>
        <v>6.1904248078553197</v>
      </c>
      <c r="O5" s="90" t="str">
        <f>IF(MAIN_DATA!V10=0,"",MAIN_DATA!V10)</f>
        <v/>
      </c>
      <c r="P5" s="86" t="str">
        <f>IF(MAIN_DATA!W10=0,"",MAIN_DATA!W10)</f>
        <v>수주잔고</v>
      </c>
      <c r="Q5" s="87">
        <f>IF(MAIN_DATA!$E10="","",MAIN_DATA!X10)</f>
        <v>2.3043943313919044</v>
      </c>
      <c r="R5" s="87">
        <f>IF(MAIN_DATA!$E10="","",MAIN_DATA!Y10)</f>
        <v>0.37766065472149862</v>
      </c>
      <c r="S5" s="87">
        <f>IF(MAIN_DATA!$E10="","",MAIN_DATA!Z10)</f>
        <v>0.71702925430365083</v>
      </c>
      <c r="T5" s="87">
        <f>IF(MAIN_DATA!$E10="","",MAIN_DATA!AA10)</f>
        <v>2.4102864450747661</v>
      </c>
      <c r="U5" s="87">
        <f>IF(MAIN_DATA!$E10="","",MAIN_DATA!AB10)</f>
        <v>2.5837768262066763</v>
      </c>
      <c r="V5" s="87">
        <f>IF(MAIN_DATA!$E10="","",MAIN_DATA!AC10)</f>
        <v>2.4656052851261814</v>
      </c>
      <c r="W5" s="87">
        <f>IF(MAIN_DATA!$E10="","",MAIN_DATA!AD10)</f>
        <v>3.2988683992829664</v>
      </c>
      <c r="X5" s="87">
        <f>IF(MAIN_DATA!$E10="","",MAIN_DATA!AE10)</f>
        <v>2.8633403905720614</v>
      </c>
      <c r="Y5" s="87">
        <f>IF(MAIN_DATA!$E10="","",MAIN_DATA!AF10)</f>
        <v>2.1061079102071196</v>
      </c>
      <c r="Z5" s="88">
        <f>IF(MAIN_DATA!AG10=0,"",MAIN_DATA!AG10)</f>
        <v>2.1061079102071196</v>
      </c>
      <c r="AA5" s="89">
        <f>IF(MAIN_DATA!$E10="","",MAIN_DATA!AH10)</f>
        <v>-0.19828642118478479</v>
      </c>
    </row>
    <row r="6" spans="2:27" ht="21.95" customHeight="1">
      <c r="B6" s="85" t="str">
        <f>IF(MAIN_DATA!I11=0,"",MAIN_DATA!I11)</f>
        <v>모니터사이니지</v>
      </c>
      <c r="C6" s="91" t="str">
        <f>IF(MAIN_DATA!J11=0,"",MAIN_DATA!J11)</f>
        <v>매출(프로젝트)</v>
      </c>
      <c r="D6" s="92">
        <f>IF(MAIN_DATA!K11=0,"",MAIN_DATA!K11)</f>
        <v>0.32150113000000002</v>
      </c>
      <c r="E6" s="112">
        <f>IF(MAIN_DATA!$D11="","",MAIN_DATA!L11)</f>
        <v>0.56042873999999998</v>
      </c>
      <c r="F6" s="112">
        <f>IF(MAIN_DATA!$D11="","",MAIN_DATA!M11)</f>
        <v>0.86047834000000001</v>
      </c>
      <c r="G6" s="112">
        <f>IF(MAIN_DATA!$D11="","",MAIN_DATA!N11)</f>
        <v>0.69698070000000001</v>
      </c>
      <c r="H6" s="112">
        <f>IF(MAIN_DATA!$D11="","",MAIN_DATA!O11)</f>
        <v>1.0625911100000001</v>
      </c>
      <c r="I6" s="112">
        <f>IF(MAIN_DATA!$D11="","",MAIN_DATA!P11)</f>
        <v>0.70094164000000003</v>
      </c>
      <c r="J6" s="112">
        <f>IF(MAIN_DATA!$D11="","",MAIN_DATA!Q11)</f>
        <v>0.79059347999999996</v>
      </c>
      <c r="K6" s="112">
        <f>IF(MAIN_DATA!$D11="","",MAIN_DATA!R11)</f>
        <v>0.93290742999999998</v>
      </c>
      <c r="L6" s="112">
        <f>IF(MAIN_DATA!$D11="","",MAIN_DATA!S11)</f>
        <v>0.34099699999999999</v>
      </c>
      <c r="M6" s="93">
        <f>IF(MAIN_DATA!T11=0,"",MAIN_DATA!T11)</f>
        <v>1.9495869999999971E-2</v>
      </c>
      <c r="N6" s="93" t="str">
        <f>IF(MAIN_DATA!U11=0,"",MAIN_DATA!U11)</f>
        <v/>
      </c>
      <c r="O6" s="90" t="str">
        <f>IF(MAIN_DATA!V11=0,"",MAIN_DATA!V11)</f>
        <v>TV사이니지</v>
      </c>
      <c r="P6" s="91" t="str">
        <f>IF(MAIN_DATA!W11=0,"",MAIN_DATA!W11)</f>
        <v>매출(프로젝트)</v>
      </c>
      <c r="Q6" s="112">
        <f>IF(MAIN_DATA!$E11="","",MAIN_DATA!X11)</f>
        <v>0.14643644</v>
      </c>
      <c r="R6" s="112">
        <f>IF(MAIN_DATA!$E11="","",MAIN_DATA!Y11)</f>
        <v>0.33900651000000009</v>
      </c>
      <c r="S6" s="112">
        <f>IF(MAIN_DATA!$E11="","",MAIN_DATA!Z11)</f>
        <v>0.46239524000000004</v>
      </c>
      <c r="T6" s="112">
        <f>IF(MAIN_DATA!$E11="","",MAIN_DATA!AA11)</f>
        <v>0.33507548000000004</v>
      </c>
      <c r="U6" s="112">
        <f>IF(MAIN_DATA!$E11="","",MAIN_DATA!AB11)</f>
        <v>0.53963815999999998</v>
      </c>
      <c r="V6" s="112">
        <f>IF(MAIN_DATA!$E11="","",MAIN_DATA!AC11)</f>
        <v>1.1714839700000002</v>
      </c>
      <c r="W6" s="112">
        <f>IF(MAIN_DATA!$E11="","",MAIN_DATA!AD11)</f>
        <v>1.1260278100000001</v>
      </c>
      <c r="X6" s="112">
        <f>IF(MAIN_DATA!$E11="","",MAIN_DATA!AE11)</f>
        <v>0.68503075000000013</v>
      </c>
      <c r="Y6" s="112">
        <f>IF(MAIN_DATA!$E11="","",MAIN_DATA!AF11)</f>
        <v>0.43262997000000003</v>
      </c>
      <c r="Z6" s="93">
        <f>IF(MAIN_DATA!AG11=0,"",MAIN_DATA!AG11)</f>
        <v>0.43262997000000003</v>
      </c>
      <c r="AA6" s="93" t="str">
        <f>IF(MAIN_DATA!AH11=0,"",MAIN_DATA!AH11)</f>
        <v/>
      </c>
    </row>
    <row r="7" spans="2:27" ht="21.95" customHeight="1">
      <c r="B7" s="85" t="str">
        <f>IF(MAIN_DATA!I12=0,"",MAIN_DATA!I12)</f>
        <v/>
      </c>
      <c r="C7" s="94" t="str">
        <f>IF(MAIN_DATA!J12=0,"",MAIN_DATA!J12)</f>
        <v>매출(전체)</v>
      </c>
      <c r="D7" s="95">
        <f>IF(MAIN_DATA!K12=0,"",MAIN_DATA!K12)</f>
        <v>0.37772106575566133</v>
      </c>
      <c r="E7" s="113">
        <f>IF(MAIN_DATA!$D12="","",MAIN_DATA!L12)</f>
        <v>0.9391482842770501</v>
      </c>
      <c r="F7" s="113">
        <f>IF(MAIN_DATA!$D12="","",MAIN_DATA!M12)</f>
        <v>1.0535336926716385</v>
      </c>
      <c r="G7" s="113">
        <f>IF(MAIN_DATA!$D12="","",MAIN_DATA!N12)</f>
        <v>0.86750005858730095</v>
      </c>
      <c r="H7" s="113">
        <f>IF(MAIN_DATA!$D12="","",MAIN_DATA!O12)</f>
        <v>1.2885960659010673</v>
      </c>
      <c r="I7" s="113">
        <f>IF(MAIN_DATA!$D12="","",MAIN_DATA!P12)</f>
        <v>0.8405414557637827</v>
      </c>
      <c r="J7" s="113">
        <f>IF(MAIN_DATA!$D12="","",MAIN_DATA!Q12)</f>
        <v>0.95737360893181533</v>
      </c>
      <c r="K7" s="113">
        <f>IF(MAIN_DATA!$D12="","",MAIN_DATA!R12)</f>
        <v>0.985860807593535</v>
      </c>
      <c r="L7" s="113">
        <f>IF(MAIN_DATA!$D12="","",MAIN_DATA!S12)</f>
        <v>0.38621100763504979</v>
      </c>
      <c r="M7" s="88">
        <f>IF(MAIN_DATA!T12=0,"",MAIN_DATA!T12)</f>
        <v>8.4899418793884518E-3</v>
      </c>
      <c r="N7" s="88" t="str">
        <f>IF(MAIN_DATA!U12=0,"",MAIN_DATA!U12)</f>
        <v/>
      </c>
      <c r="O7" s="90" t="str">
        <f>IF(MAIN_DATA!V12=0,"",MAIN_DATA!V12)</f>
        <v/>
      </c>
      <c r="P7" s="94" t="str">
        <f>IF(MAIN_DATA!W12=0,"",MAIN_DATA!W12)</f>
        <v>매출(전체)</v>
      </c>
      <c r="Q7" s="113">
        <f>IF(MAIN_DATA!$E12="","",MAIN_DATA!X12)</f>
        <v>0</v>
      </c>
      <c r="R7" s="113">
        <f>IF(MAIN_DATA!$E12="","",MAIN_DATA!Y12)</f>
        <v>0</v>
      </c>
      <c r="S7" s="113">
        <f>IF(MAIN_DATA!$E12="","",MAIN_DATA!Z12)</f>
        <v>0</v>
      </c>
      <c r="T7" s="113">
        <f>IF(MAIN_DATA!$E12="","",MAIN_DATA!AA12)</f>
        <v>0</v>
      </c>
      <c r="U7" s="113">
        <f>IF(MAIN_DATA!$E12="","",MAIN_DATA!AB12)</f>
        <v>0</v>
      </c>
      <c r="V7" s="113">
        <f>IF(MAIN_DATA!$E12="","",MAIN_DATA!AC12)</f>
        <v>0</v>
      </c>
      <c r="W7" s="113">
        <f>IF(MAIN_DATA!$E12="","",MAIN_DATA!AD12)</f>
        <v>0</v>
      </c>
      <c r="X7" s="113">
        <f>IF(MAIN_DATA!$E12="","",MAIN_DATA!AE12)</f>
        <v>0</v>
      </c>
      <c r="Y7" s="113">
        <f>IF(MAIN_DATA!$E12="","",MAIN_DATA!AF12)</f>
        <v>0</v>
      </c>
      <c r="Z7" s="88" t="str">
        <f>IF(MAIN_DATA!AG12=0,"",MAIN_DATA!AG12)</f>
        <v/>
      </c>
      <c r="AA7" s="88" t="str">
        <f>IF(MAIN_DATA!AH12=0,"",MAIN_DATA!AH12)</f>
        <v/>
      </c>
    </row>
    <row r="8" spans="2:27" s="99" customFormat="1" ht="5.25" customHeight="1">
      <c r="B8" s="96" t="str">
        <f>IF(MAIN_DATA!I13=0,"",MAIN_DATA!I13)</f>
        <v/>
      </c>
      <c r="C8" s="97" t="str">
        <f>IF(MAIN_DATA!J13=0,"",MAIN_DATA!J13)</f>
        <v/>
      </c>
      <c r="D8" s="98" t="str">
        <f>IF(MAIN_DATA!K13=0,"",MAIN_DATA!K13)</f>
        <v/>
      </c>
      <c r="E8" s="98">
        <f>IF(MAIN_DATA!$D13="","",MAIN_DATA!L13)</f>
        <v>0</v>
      </c>
      <c r="F8" s="98">
        <f>IF(MAIN_DATA!$D13="","",MAIN_DATA!M13)</f>
        <v>0</v>
      </c>
      <c r="G8" s="98">
        <f>IF(MAIN_DATA!$D13="","",MAIN_DATA!N13)</f>
        <v>0</v>
      </c>
      <c r="H8" s="98">
        <f>IF(MAIN_DATA!$D13="","",MAIN_DATA!O13)</f>
        <v>0</v>
      </c>
      <c r="I8" s="98">
        <f>IF(MAIN_DATA!$D13="","",MAIN_DATA!P13)</f>
        <v>0</v>
      </c>
      <c r="J8" s="98">
        <f>IF(MAIN_DATA!$D13="","",MAIN_DATA!Q13)</f>
        <v>0</v>
      </c>
      <c r="K8" s="98">
        <f>IF(MAIN_DATA!$D13="","",MAIN_DATA!R13)</f>
        <v>0</v>
      </c>
      <c r="L8" s="98">
        <f>IF(MAIN_DATA!$D13="","",MAIN_DATA!S13)</f>
        <v>0</v>
      </c>
      <c r="M8" s="88" t="str">
        <f>IF(MAIN_DATA!T13=0,"",MAIN_DATA!T13)</f>
        <v/>
      </c>
      <c r="N8" s="88" t="str">
        <f>IF(MAIN_DATA!U13=0,"",MAIN_DATA!U13)</f>
        <v/>
      </c>
      <c r="O8" s="96" t="str">
        <f>IF(MAIN_DATA!V13=0,"",MAIN_DATA!V13)</f>
        <v/>
      </c>
      <c r="P8" s="97" t="str">
        <f>IF(MAIN_DATA!W13=0,"",MAIN_DATA!W13)</f>
        <v/>
      </c>
      <c r="Q8" s="98">
        <f>IF(MAIN_DATA!$E13="","",MAIN_DATA!X13)</f>
        <v>0</v>
      </c>
      <c r="R8" s="98">
        <f>IF(MAIN_DATA!$E13="","",MAIN_DATA!Y13)</f>
        <v>0</v>
      </c>
      <c r="S8" s="98">
        <f>IF(MAIN_DATA!$E13="","",MAIN_DATA!Z13)</f>
        <v>0</v>
      </c>
      <c r="T8" s="98">
        <f>IF(MAIN_DATA!$E13="","",MAIN_DATA!AA13)</f>
        <v>0</v>
      </c>
      <c r="U8" s="98">
        <f>IF(MAIN_DATA!$E13="","",MAIN_DATA!AB13)</f>
        <v>0</v>
      </c>
      <c r="V8" s="98">
        <f>IF(MAIN_DATA!$E13="","",MAIN_DATA!AC13)</f>
        <v>0</v>
      </c>
      <c r="W8" s="98">
        <f>IF(MAIN_DATA!$E13="","",MAIN_DATA!AD13)</f>
        <v>0</v>
      </c>
      <c r="X8" s="98">
        <f>IF(MAIN_DATA!$E13="","",MAIN_DATA!AE13)</f>
        <v>0</v>
      </c>
      <c r="Y8" s="98">
        <f>IF(MAIN_DATA!$E13="","",MAIN_DATA!AF13)</f>
        <v>0</v>
      </c>
      <c r="Z8" s="88" t="str">
        <f>IF(MAIN_DATA!AG13=0,"",MAIN_DATA!AG13)</f>
        <v/>
      </c>
      <c r="AA8" s="88" t="str">
        <f>IF(MAIN_DATA!AH13=0,"",MAIN_DATA!AH13)</f>
        <v/>
      </c>
    </row>
    <row r="9" spans="2:27" ht="21.95" customHeight="1">
      <c r="B9" s="90" t="str">
        <f>IF(MAIN_DATA!I14=0,"",MAIN_DATA!I14)</f>
        <v/>
      </c>
      <c r="C9" s="86" t="str">
        <f>IF(MAIN_DATA!J14=0,"",MAIN_DATA!J14)</f>
        <v>수주잔고</v>
      </c>
      <c r="D9" s="87">
        <f>IF(MAIN_DATA!K14=0,"",MAIN_DATA!K14)</f>
        <v>4.8497545576038474</v>
      </c>
      <c r="E9" s="87">
        <f>IF(MAIN_DATA!$D14="","",MAIN_DATA!L14)</f>
        <v>8.8794540659473391</v>
      </c>
      <c r="F9" s="87">
        <f>IF(MAIN_DATA!$D14="","",MAIN_DATA!M14)</f>
        <v>8.4318693575604495</v>
      </c>
      <c r="G9" s="87">
        <f>IF(MAIN_DATA!$D14="","",MAIN_DATA!N14)</f>
        <v>8.9060641804556795</v>
      </c>
      <c r="H9" s="87">
        <f>IF(MAIN_DATA!$D14="","",MAIN_DATA!O14)</f>
        <v>8.5527599644024512</v>
      </c>
      <c r="I9" s="87">
        <f>IF(MAIN_DATA!$D14="","",MAIN_DATA!P14)</f>
        <v>8.4383205033889386</v>
      </c>
      <c r="J9" s="87">
        <f>IF(MAIN_DATA!$D14="","",MAIN_DATA!Q14)</f>
        <v>9.2439031695024561</v>
      </c>
      <c r="K9" s="87">
        <f>IF(MAIN_DATA!$D14="","",MAIN_DATA!R14)</f>
        <v>10.817827386545456</v>
      </c>
      <c r="L9" s="87">
        <f>IF(MAIN_DATA!$D14="","",MAIN_DATA!S14)</f>
        <v>11.040179365459167</v>
      </c>
      <c r="M9" s="88">
        <f>IF(MAIN_DATA!T14=0,"",MAIN_DATA!T14)</f>
        <v>6.1904248078553197</v>
      </c>
      <c r="N9" s="89">
        <f>IF(MAIN_DATA!$D14="","",MAIN_DATA!U14)</f>
        <v>6.1904248078553197</v>
      </c>
      <c r="O9" s="90" t="str">
        <f>IF(MAIN_DATA!V14=0,"",MAIN_DATA!V14)</f>
        <v/>
      </c>
      <c r="P9" s="86" t="str">
        <f>IF(MAIN_DATA!W14=0,"",MAIN_DATA!W14)</f>
        <v>수주잔고</v>
      </c>
      <c r="Q9" s="87">
        <f>IF(MAIN_DATA!$E14="","",MAIN_DATA!X14)</f>
        <v>2.3043943313919044</v>
      </c>
      <c r="R9" s="87">
        <f>IF(MAIN_DATA!$E14="","",MAIN_DATA!Y14)</f>
        <v>0.37766065472149862</v>
      </c>
      <c r="S9" s="87">
        <f>IF(MAIN_DATA!$E14="","",MAIN_DATA!Z14)</f>
        <v>0.71702925430365083</v>
      </c>
      <c r="T9" s="87">
        <f>IF(MAIN_DATA!$E14="","",MAIN_DATA!AA14)</f>
        <v>2.4102864450747661</v>
      </c>
      <c r="U9" s="87">
        <f>IF(MAIN_DATA!$E14="","",MAIN_DATA!AB14)</f>
        <v>2.5837768262066763</v>
      </c>
      <c r="V9" s="87">
        <f>IF(MAIN_DATA!$E14="","",MAIN_DATA!AC14)</f>
        <v>2.4656052851261814</v>
      </c>
      <c r="W9" s="87">
        <f>IF(MAIN_DATA!$E14="","",MAIN_DATA!AD14)</f>
        <v>3.2988683992829664</v>
      </c>
      <c r="X9" s="87">
        <f>IF(MAIN_DATA!$E14="","",MAIN_DATA!AE14)</f>
        <v>2.8633403905720614</v>
      </c>
      <c r="Y9" s="87">
        <f>IF(MAIN_DATA!$E14="","",MAIN_DATA!AF14)</f>
        <v>2.1061079102071196</v>
      </c>
      <c r="Z9" s="100">
        <f>IF(MAIN_DATA!AG14=0,"",MAIN_DATA!AG14)</f>
        <v>2.1061079102071196</v>
      </c>
      <c r="AA9" s="89">
        <f>IF(MAIN_DATA!$E14="","",MAIN_DATA!AH14)</f>
        <v>-0.19828642118478479</v>
      </c>
    </row>
    <row r="10" spans="2:27" ht="21.95" customHeight="1">
      <c r="B10" s="90" t="str">
        <f>IF(MAIN_DATA!I15=0,"",MAIN_DATA!I15)</f>
        <v>호주</v>
      </c>
      <c r="C10" s="91" t="str">
        <f>IF(MAIN_DATA!J15=0,"",MAIN_DATA!J15)</f>
        <v>매출(프로젝트)</v>
      </c>
      <c r="D10" s="92">
        <f>IF(MAIN_DATA!K15=0,"",MAIN_DATA!K15)</f>
        <v>0.32150113000000002</v>
      </c>
      <c r="E10" s="112">
        <f>IF(MAIN_DATA!$D15="","",MAIN_DATA!L15)</f>
        <v>0.56042873999999998</v>
      </c>
      <c r="F10" s="112">
        <f>IF(MAIN_DATA!$D15="","",MAIN_DATA!M15)</f>
        <v>0.86047834000000001</v>
      </c>
      <c r="G10" s="112">
        <f>IF(MAIN_DATA!$D15="","",MAIN_DATA!N15)</f>
        <v>0.69698070000000001</v>
      </c>
      <c r="H10" s="112">
        <f>IF(MAIN_DATA!$D15="","",MAIN_DATA!O15)</f>
        <v>1.0625911100000001</v>
      </c>
      <c r="I10" s="112">
        <f>IF(MAIN_DATA!$D15="","",MAIN_DATA!P15)</f>
        <v>0.70094164000000003</v>
      </c>
      <c r="J10" s="112">
        <f>IF(MAIN_DATA!$D15="","",MAIN_DATA!Q15)</f>
        <v>0.79059347999999996</v>
      </c>
      <c r="K10" s="112">
        <f>IF(MAIN_DATA!$D15="","",MAIN_DATA!R15)</f>
        <v>0.93290742999999998</v>
      </c>
      <c r="L10" s="112">
        <f>IF(MAIN_DATA!$D15="","",MAIN_DATA!S15)</f>
        <v>0.34099699999999999</v>
      </c>
      <c r="M10" s="93">
        <f>IF(MAIN_DATA!T15=0,"",MAIN_DATA!T15)</f>
        <v>1.9495869999999971E-2</v>
      </c>
      <c r="N10" s="93" t="str">
        <f>IF(MAIN_DATA!U15=0,"",MAIN_DATA!U15)</f>
        <v/>
      </c>
      <c r="O10" s="90" t="str">
        <f>IF(MAIN_DATA!V15=0,"",MAIN_DATA!V15)</f>
        <v>호주</v>
      </c>
      <c r="P10" s="91" t="str">
        <f>IF(MAIN_DATA!W15=0,"",MAIN_DATA!W15)</f>
        <v>매출(프로젝트)</v>
      </c>
      <c r="Q10" s="112">
        <f>IF(MAIN_DATA!$E15="","",MAIN_DATA!X15)</f>
        <v>0.14643644</v>
      </c>
      <c r="R10" s="112">
        <f>IF(MAIN_DATA!$E15="","",MAIN_DATA!Y15)</f>
        <v>0.33900651000000009</v>
      </c>
      <c r="S10" s="112">
        <f>IF(MAIN_DATA!$E15="","",MAIN_DATA!Z15)</f>
        <v>0.46239524000000004</v>
      </c>
      <c r="T10" s="112">
        <f>IF(MAIN_DATA!$E15="","",MAIN_DATA!AA15)</f>
        <v>0.33507548000000004</v>
      </c>
      <c r="U10" s="112">
        <f>IF(MAIN_DATA!$E15="","",MAIN_DATA!AB15)</f>
        <v>0.53963815999999998</v>
      </c>
      <c r="V10" s="112">
        <f>IF(MAIN_DATA!$E15="","",MAIN_DATA!AC15)</f>
        <v>1.1714839700000002</v>
      </c>
      <c r="W10" s="112">
        <f>IF(MAIN_DATA!$E15="","",MAIN_DATA!AD15)</f>
        <v>1.1260278100000001</v>
      </c>
      <c r="X10" s="112">
        <f>IF(MAIN_DATA!$E15="","",MAIN_DATA!AE15)</f>
        <v>0.68503075000000013</v>
      </c>
      <c r="Y10" s="112">
        <f>IF(MAIN_DATA!$E15="","",MAIN_DATA!AF15)</f>
        <v>0.43262997000000003</v>
      </c>
      <c r="Z10" s="101">
        <f>IF(MAIN_DATA!AG15=0,"",MAIN_DATA!AG15)</f>
        <v>0.43262997000000003</v>
      </c>
      <c r="AA10" s="101" t="str">
        <f>IF(MAIN_DATA!AH15=0,"",MAIN_DATA!AH15)</f>
        <v/>
      </c>
    </row>
    <row r="11" spans="2:27" ht="21.95" customHeight="1">
      <c r="B11" s="90" t="str">
        <f>IF(MAIN_DATA!I16=0,"",MAIN_DATA!I16)</f>
        <v/>
      </c>
      <c r="C11" s="94" t="str">
        <f>IF(MAIN_DATA!J16=0,"",MAIN_DATA!J16)</f>
        <v>매출(전체)</v>
      </c>
      <c r="D11" s="95">
        <f>IF(MAIN_DATA!K16=0,"",MAIN_DATA!K16)</f>
        <v>0.37772106575566133</v>
      </c>
      <c r="E11" s="113">
        <f>IF(MAIN_DATA!$D16="","",MAIN_DATA!L16)</f>
        <v>0.9391482842770501</v>
      </c>
      <c r="F11" s="113">
        <f>IF(MAIN_DATA!$D16="","",MAIN_DATA!M16)</f>
        <v>1.0535336926716385</v>
      </c>
      <c r="G11" s="113">
        <f>IF(MAIN_DATA!$D16="","",MAIN_DATA!N16)</f>
        <v>0.86750005858730095</v>
      </c>
      <c r="H11" s="113">
        <f>IF(MAIN_DATA!$D16="","",MAIN_DATA!O16)</f>
        <v>1.2885960659010673</v>
      </c>
      <c r="I11" s="113">
        <f>IF(MAIN_DATA!$D16="","",MAIN_DATA!P16)</f>
        <v>0.8405414557637827</v>
      </c>
      <c r="J11" s="113">
        <f>IF(MAIN_DATA!$D16="","",MAIN_DATA!Q16)</f>
        <v>0.95737360893181533</v>
      </c>
      <c r="K11" s="113">
        <f>IF(MAIN_DATA!$D16="","",MAIN_DATA!R16)</f>
        <v>0.985860807593535</v>
      </c>
      <c r="L11" s="113">
        <f>IF(MAIN_DATA!$D16="","",MAIN_DATA!S16)</f>
        <v>0.38621100763504979</v>
      </c>
      <c r="M11" s="88">
        <f>IF(MAIN_DATA!T16=0,"",MAIN_DATA!T16)</f>
        <v>8.4899418793884518E-3</v>
      </c>
      <c r="N11" s="88" t="str">
        <f>IF(MAIN_DATA!U16=0,"",MAIN_DATA!U16)</f>
        <v/>
      </c>
      <c r="O11" s="90" t="str">
        <f>IF(MAIN_DATA!V16=0,"",MAIN_DATA!V16)</f>
        <v/>
      </c>
      <c r="P11" s="94" t="str">
        <f>IF(MAIN_DATA!W16=0,"",MAIN_DATA!W16)</f>
        <v>매출(전체)</v>
      </c>
      <c r="Q11" s="113">
        <f>IF(MAIN_DATA!$E16="","",MAIN_DATA!X16)</f>
        <v>0</v>
      </c>
      <c r="R11" s="113">
        <f>IF(MAIN_DATA!$E16="","",MAIN_DATA!Y16)</f>
        <v>0</v>
      </c>
      <c r="S11" s="113">
        <f>IF(MAIN_DATA!$E16="","",MAIN_DATA!Z16)</f>
        <v>0</v>
      </c>
      <c r="T11" s="113">
        <f>IF(MAIN_DATA!$E16="","",MAIN_DATA!AA16)</f>
        <v>0</v>
      </c>
      <c r="U11" s="113">
        <f>IF(MAIN_DATA!$E16="","",MAIN_DATA!AB16)</f>
        <v>0</v>
      </c>
      <c r="V11" s="113">
        <f>IF(MAIN_DATA!$E16="","",MAIN_DATA!AC16)</f>
        <v>0</v>
      </c>
      <c r="W11" s="113">
        <f>IF(MAIN_DATA!$E16="","",MAIN_DATA!AD16)</f>
        <v>0</v>
      </c>
      <c r="X11" s="113">
        <f>IF(MAIN_DATA!$E16="","",MAIN_DATA!AE16)</f>
        <v>0</v>
      </c>
      <c r="Y11" s="113">
        <f>IF(MAIN_DATA!$E16="","",MAIN_DATA!AF16)</f>
        <v>0</v>
      </c>
      <c r="Z11" s="100" t="str">
        <f>IF(MAIN_DATA!AG16=0,"",MAIN_DATA!AG16)</f>
        <v/>
      </c>
      <c r="AA11" s="100" t="str">
        <f>IF(MAIN_DATA!AH16=0,"",MAIN_DATA!AH16)</f>
        <v/>
      </c>
    </row>
    <row r="12" spans="2:27" s="99" customFormat="1" ht="5.25" customHeight="1">
      <c r="B12" s="102" t="str">
        <f>IF(MAIN_DATA!I17=0,"",MAIN_DATA!I17)</f>
        <v/>
      </c>
      <c r="C12" s="103" t="str">
        <f>IF(MAIN_DATA!J17=0,"",MAIN_DATA!J17)</f>
        <v/>
      </c>
      <c r="D12" s="104" t="str">
        <f>IF(MAIN_DATA!K17=0,"",MAIN_DATA!K17)</f>
        <v/>
      </c>
      <c r="E12" s="98">
        <f>IF(MAIN_DATA!$D17="","",MAIN_DATA!L17)</f>
        <v>0</v>
      </c>
      <c r="F12" s="98">
        <f>IF(MAIN_DATA!$D17="","",MAIN_DATA!M17)</f>
        <v>0</v>
      </c>
      <c r="G12" s="98">
        <f>IF(MAIN_DATA!$D17="","",MAIN_DATA!N17)</f>
        <v>0</v>
      </c>
      <c r="H12" s="98">
        <f>IF(MAIN_DATA!$D17="","",MAIN_DATA!O17)</f>
        <v>0</v>
      </c>
      <c r="I12" s="98">
        <f>IF(MAIN_DATA!$D17="","",MAIN_DATA!P17)</f>
        <v>0</v>
      </c>
      <c r="J12" s="98">
        <f>IF(MAIN_DATA!$D17="","",MAIN_DATA!Q17)</f>
        <v>0</v>
      </c>
      <c r="K12" s="98">
        <f>IF(MAIN_DATA!$D17="","",MAIN_DATA!R17)</f>
        <v>0</v>
      </c>
      <c r="L12" s="98">
        <f>IF(MAIN_DATA!$D17="","",MAIN_DATA!S17)</f>
        <v>0</v>
      </c>
      <c r="M12" s="88" t="str">
        <f>IF(MAIN_DATA!T17=0,"",MAIN_DATA!T17)</f>
        <v/>
      </c>
      <c r="N12" s="88" t="str">
        <f>IF(MAIN_DATA!U17=0,"",MAIN_DATA!U17)</f>
        <v/>
      </c>
      <c r="O12" s="96" t="str">
        <f>IF(MAIN_DATA!V17=0,"",MAIN_DATA!V17)</f>
        <v/>
      </c>
      <c r="P12" s="97" t="str">
        <f>IF(MAIN_DATA!W17=0,"",MAIN_DATA!W17)</f>
        <v/>
      </c>
      <c r="Q12" s="98">
        <f>IF(MAIN_DATA!$E17="","",MAIN_DATA!X17)</f>
        <v>0</v>
      </c>
      <c r="R12" s="98">
        <f>IF(MAIN_DATA!$E17="","",MAIN_DATA!Y17)</f>
        <v>0</v>
      </c>
      <c r="S12" s="98">
        <f>IF(MAIN_DATA!$E17="","",MAIN_DATA!Z17)</f>
        <v>0</v>
      </c>
      <c r="T12" s="98">
        <f>IF(MAIN_DATA!$E17="","",MAIN_DATA!AA17)</f>
        <v>0</v>
      </c>
      <c r="U12" s="98">
        <f>IF(MAIN_DATA!$E17="","",MAIN_DATA!AB17)</f>
        <v>0</v>
      </c>
      <c r="V12" s="98">
        <f>IF(MAIN_DATA!$E17="","",MAIN_DATA!AC17)</f>
        <v>0</v>
      </c>
      <c r="W12" s="98">
        <f>IF(MAIN_DATA!$E17="","",MAIN_DATA!AD17)</f>
        <v>0</v>
      </c>
      <c r="X12" s="98">
        <f>IF(MAIN_DATA!$E17="","",MAIN_DATA!AE17)</f>
        <v>0</v>
      </c>
      <c r="Y12" s="98">
        <f>IF(MAIN_DATA!$E17="","",MAIN_DATA!AF17)</f>
        <v>0</v>
      </c>
      <c r="Z12" s="88" t="str">
        <f>IF(MAIN_DATA!AG17=0,"",MAIN_DATA!AG17)</f>
        <v/>
      </c>
      <c r="AA12" s="88" t="str">
        <f>IF(MAIN_DATA!AH17=0,"",MAIN_DATA!AH17)</f>
        <v/>
      </c>
    </row>
    <row r="13" spans="2:27" ht="21.95" customHeight="1">
      <c r="B13" s="90" t="str">
        <f>IF(MAIN_DATA!I18=0,"",MAIN_DATA!I18)</f>
        <v/>
      </c>
      <c r="C13" s="86" t="str">
        <f>IF(MAIN_DATA!J18=0,"",MAIN_DATA!J18)</f>
        <v/>
      </c>
      <c r="D13" s="87" t="str">
        <f>IF(MAIN_DATA!K18=0,"",MAIN_DATA!K18)</f>
        <v/>
      </c>
      <c r="E13" s="87" t="str">
        <f>IF(MAIN_DATA!$D18="","",MAIN_DATA!L18)</f>
        <v/>
      </c>
      <c r="F13" s="87" t="str">
        <f>IF(MAIN_DATA!$D18="","",MAIN_DATA!M18)</f>
        <v/>
      </c>
      <c r="G13" s="87" t="str">
        <f>IF(MAIN_DATA!$D18="","",MAIN_DATA!N18)</f>
        <v/>
      </c>
      <c r="H13" s="87" t="str">
        <f>IF(MAIN_DATA!$D18="","",MAIN_DATA!O18)</f>
        <v/>
      </c>
      <c r="I13" s="87" t="str">
        <f>IF(MAIN_DATA!$D18="","",MAIN_DATA!P18)</f>
        <v/>
      </c>
      <c r="J13" s="87" t="str">
        <f>IF(MAIN_DATA!$D18="","",MAIN_DATA!Q18)</f>
        <v/>
      </c>
      <c r="K13" s="87" t="str">
        <f>IF(MAIN_DATA!$D18="","",MAIN_DATA!R18)</f>
        <v/>
      </c>
      <c r="L13" s="87" t="str">
        <f>IF(MAIN_DATA!$D18="","",MAIN_DATA!S18)</f>
        <v/>
      </c>
      <c r="M13" s="88" t="str">
        <f>IF(MAIN_DATA!T18=0,"",MAIN_DATA!T18)</f>
        <v/>
      </c>
      <c r="N13" s="89" t="str">
        <f>IF(MAIN_DATA!$D18="","",MAIN_DATA!U18)</f>
        <v/>
      </c>
      <c r="O13" s="90" t="str">
        <f>IF(MAIN_DATA!V18=0,"",MAIN_DATA!V18)</f>
        <v/>
      </c>
      <c r="P13" s="86" t="str">
        <f>IF(MAIN_DATA!W18=0,"",MAIN_DATA!W18)</f>
        <v/>
      </c>
      <c r="Q13" s="87" t="str">
        <f>IF(MAIN_DATA!$E18="","",MAIN_DATA!X18)</f>
        <v/>
      </c>
      <c r="R13" s="87" t="str">
        <f>IF(MAIN_DATA!$E18="","",MAIN_DATA!Y18)</f>
        <v/>
      </c>
      <c r="S13" s="87" t="str">
        <f>IF(MAIN_DATA!$E18="","",MAIN_DATA!Z18)</f>
        <v/>
      </c>
      <c r="T13" s="87" t="str">
        <f>IF(MAIN_DATA!$E18="","",MAIN_DATA!AA18)</f>
        <v/>
      </c>
      <c r="U13" s="87" t="str">
        <f>IF(MAIN_DATA!$E18="","",MAIN_DATA!AB18)</f>
        <v/>
      </c>
      <c r="V13" s="87" t="str">
        <f>IF(MAIN_DATA!$E18="","",MAIN_DATA!AC18)</f>
        <v/>
      </c>
      <c r="W13" s="87" t="str">
        <f>IF(MAIN_DATA!$E18="","",MAIN_DATA!AD18)</f>
        <v/>
      </c>
      <c r="X13" s="87" t="str">
        <f>IF(MAIN_DATA!$E18="","",MAIN_DATA!AE18)</f>
        <v/>
      </c>
      <c r="Y13" s="87" t="str">
        <f>IF(MAIN_DATA!$E18="","",MAIN_DATA!AF18)</f>
        <v/>
      </c>
      <c r="Z13" s="100" t="str">
        <f>IF(MAIN_DATA!AG18=0,"",MAIN_DATA!AG18)</f>
        <v/>
      </c>
      <c r="AA13" s="89" t="str">
        <f>IF(MAIN_DATA!$E18="","",MAIN_DATA!AH18)</f>
        <v/>
      </c>
    </row>
    <row r="14" spans="2:27" ht="21.95" customHeight="1">
      <c r="B14" s="90" t="str">
        <f>IF(MAIN_DATA!I19=0,"",MAIN_DATA!I19)</f>
        <v/>
      </c>
      <c r="C14" s="91" t="str">
        <f>IF(MAIN_DATA!J19=0,"",MAIN_DATA!J19)</f>
        <v/>
      </c>
      <c r="D14" s="92" t="str">
        <f>IF(MAIN_DATA!K19=0,"",MAIN_DATA!K19)</f>
        <v/>
      </c>
      <c r="E14" s="112" t="str">
        <f>IF(MAIN_DATA!$D19="","",MAIN_DATA!L19)</f>
        <v/>
      </c>
      <c r="F14" s="112" t="str">
        <f>IF(MAIN_DATA!$D19="","",MAIN_DATA!M19)</f>
        <v/>
      </c>
      <c r="G14" s="112" t="str">
        <f>IF(MAIN_DATA!$D19="","",MAIN_DATA!N19)</f>
        <v/>
      </c>
      <c r="H14" s="112" t="str">
        <f>IF(MAIN_DATA!$D19="","",MAIN_DATA!O19)</f>
        <v/>
      </c>
      <c r="I14" s="112" t="str">
        <f>IF(MAIN_DATA!$D19="","",MAIN_DATA!P19)</f>
        <v/>
      </c>
      <c r="J14" s="112" t="str">
        <f>IF(MAIN_DATA!$D19="","",MAIN_DATA!Q19)</f>
        <v/>
      </c>
      <c r="K14" s="112" t="str">
        <f>IF(MAIN_DATA!$D19="","",MAIN_DATA!R19)</f>
        <v/>
      </c>
      <c r="L14" s="112" t="str">
        <f>IF(MAIN_DATA!$D19="","",MAIN_DATA!S19)</f>
        <v/>
      </c>
      <c r="M14" s="93" t="str">
        <f>IF(MAIN_DATA!T19=0,"",MAIN_DATA!T19)</f>
        <v/>
      </c>
      <c r="N14" s="93" t="str">
        <f>IF(MAIN_DATA!U19=0,"",MAIN_DATA!U19)</f>
        <v/>
      </c>
      <c r="O14" s="90" t="str">
        <f>IF(MAIN_DATA!V19=0,"",MAIN_DATA!V19)</f>
        <v/>
      </c>
      <c r="P14" s="91" t="str">
        <f>IF(MAIN_DATA!W19=0,"",MAIN_DATA!W19)</f>
        <v/>
      </c>
      <c r="Q14" s="112" t="str">
        <f>IF(MAIN_DATA!$E19="","",MAIN_DATA!X19)</f>
        <v/>
      </c>
      <c r="R14" s="112" t="str">
        <f>IF(MAIN_DATA!$E19="","",MAIN_DATA!Y19)</f>
        <v/>
      </c>
      <c r="S14" s="112" t="str">
        <f>IF(MAIN_DATA!$E19="","",MAIN_DATA!Z19)</f>
        <v/>
      </c>
      <c r="T14" s="112" t="str">
        <f>IF(MAIN_DATA!$E19="","",MAIN_DATA!AA19)</f>
        <v/>
      </c>
      <c r="U14" s="112" t="str">
        <f>IF(MAIN_DATA!$E19="","",MAIN_DATA!AB19)</f>
        <v/>
      </c>
      <c r="V14" s="112" t="str">
        <f>IF(MAIN_DATA!$E19="","",MAIN_DATA!AC19)</f>
        <v/>
      </c>
      <c r="W14" s="112" t="str">
        <f>IF(MAIN_DATA!$E19="","",MAIN_DATA!AD19)</f>
        <v/>
      </c>
      <c r="X14" s="112" t="str">
        <f>IF(MAIN_DATA!$E19="","",MAIN_DATA!AE19)</f>
        <v/>
      </c>
      <c r="Y14" s="112" t="str">
        <f>IF(MAIN_DATA!$E19="","",MAIN_DATA!AF19)</f>
        <v/>
      </c>
      <c r="Z14" s="101" t="str">
        <f>IF(MAIN_DATA!AG19=0,"",MAIN_DATA!AG19)</f>
        <v/>
      </c>
      <c r="AA14" s="101" t="str">
        <f>IF(MAIN_DATA!AH19=0,"",MAIN_DATA!AH19)</f>
        <v/>
      </c>
    </row>
    <row r="15" spans="2:27" ht="21.95" customHeight="1">
      <c r="B15" s="90" t="str">
        <f>IF(MAIN_DATA!I20=0,"",MAIN_DATA!I20)</f>
        <v/>
      </c>
      <c r="C15" s="94" t="str">
        <f>IF(MAIN_DATA!J20=0,"",MAIN_DATA!J20)</f>
        <v/>
      </c>
      <c r="D15" s="95" t="str">
        <f>IF(MAIN_DATA!K20=0,"",MAIN_DATA!K20)</f>
        <v/>
      </c>
      <c r="E15" s="113" t="str">
        <f>IF(MAIN_DATA!$D20="","",MAIN_DATA!L20)</f>
        <v/>
      </c>
      <c r="F15" s="113" t="str">
        <f>IF(MAIN_DATA!$D20="","",MAIN_DATA!M20)</f>
        <v/>
      </c>
      <c r="G15" s="113" t="str">
        <f>IF(MAIN_DATA!$D20="","",MAIN_DATA!N20)</f>
        <v/>
      </c>
      <c r="H15" s="113" t="str">
        <f>IF(MAIN_DATA!$D20="","",MAIN_DATA!O20)</f>
        <v/>
      </c>
      <c r="I15" s="113" t="str">
        <f>IF(MAIN_DATA!$D20="","",MAIN_DATA!P20)</f>
        <v/>
      </c>
      <c r="J15" s="113" t="str">
        <f>IF(MAIN_DATA!$D20="","",MAIN_DATA!Q20)</f>
        <v/>
      </c>
      <c r="K15" s="113" t="str">
        <f>IF(MAIN_DATA!$D20="","",MAIN_DATA!R20)</f>
        <v/>
      </c>
      <c r="L15" s="113" t="str">
        <f>IF(MAIN_DATA!$D20="","",MAIN_DATA!S20)</f>
        <v/>
      </c>
      <c r="M15" s="88" t="str">
        <f>IF(MAIN_DATA!T20=0,"",MAIN_DATA!T20)</f>
        <v/>
      </c>
      <c r="N15" s="88" t="str">
        <f>IF(MAIN_DATA!U20=0,"",MAIN_DATA!U20)</f>
        <v/>
      </c>
      <c r="O15" s="90" t="str">
        <f>IF(MAIN_DATA!V20=0,"",MAIN_DATA!V20)</f>
        <v/>
      </c>
      <c r="P15" s="94" t="str">
        <f>IF(MAIN_DATA!W20=0,"",MAIN_DATA!W20)</f>
        <v/>
      </c>
      <c r="Q15" s="113" t="str">
        <f>IF(MAIN_DATA!$E20="","",MAIN_DATA!X20)</f>
        <v/>
      </c>
      <c r="R15" s="113" t="str">
        <f>IF(MAIN_DATA!$E20="","",MAIN_DATA!Y20)</f>
        <v/>
      </c>
      <c r="S15" s="113" t="str">
        <f>IF(MAIN_DATA!$E20="","",MAIN_DATA!Z20)</f>
        <v/>
      </c>
      <c r="T15" s="113" t="str">
        <f>IF(MAIN_DATA!$E20="","",MAIN_DATA!AA20)</f>
        <v/>
      </c>
      <c r="U15" s="113" t="str">
        <f>IF(MAIN_DATA!$E20="","",MAIN_DATA!AB20)</f>
        <v/>
      </c>
      <c r="V15" s="113" t="str">
        <f>IF(MAIN_DATA!$E20="","",MAIN_DATA!AC20)</f>
        <v/>
      </c>
      <c r="W15" s="113" t="str">
        <f>IF(MAIN_DATA!$E20="","",MAIN_DATA!AD20)</f>
        <v/>
      </c>
      <c r="X15" s="113" t="str">
        <f>IF(MAIN_DATA!$E20="","",MAIN_DATA!AE20)</f>
        <v/>
      </c>
      <c r="Y15" s="113" t="str">
        <f>IF(MAIN_DATA!$E20="","",MAIN_DATA!AF20)</f>
        <v/>
      </c>
      <c r="Z15" s="100" t="str">
        <f>IF(MAIN_DATA!AG20=0,"",MAIN_DATA!AG20)</f>
        <v/>
      </c>
      <c r="AA15" s="100" t="str">
        <f>IF(MAIN_DATA!AH20=0,"",MAIN_DATA!AH20)</f>
        <v/>
      </c>
    </row>
    <row r="16" spans="2:27" s="99" customFormat="1" ht="5.25" customHeight="1">
      <c r="B16" s="102" t="str">
        <f>IF(MAIN_DATA!I21=0,"",MAIN_DATA!I21)</f>
        <v/>
      </c>
      <c r="C16" s="103" t="str">
        <f>IF(MAIN_DATA!J21=0,"",MAIN_DATA!J21)</f>
        <v/>
      </c>
      <c r="D16" s="104" t="str">
        <f>IF(MAIN_DATA!K21=0,"",MAIN_DATA!K21)</f>
        <v/>
      </c>
      <c r="E16" s="98" t="str">
        <f>IF(MAIN_DATA!$D21="","",MAIN_DATA!L21)</f>
        <v/>
      </c>
      <c r="F16" s="98" t="str">
        <f>IF(MAIN_DATA!$D21="","",MAIN_DATA!M21)</f>
        <v/>
      </c>
      <c r="G16" s="98" t="str">
        <f>IF(MAIN_DATA!$D21="","",MAIN_DATA!N21)</f>
        <v/>
      </c>
      <c r="H16" s="98" t="str">
        <f>IF(MAIN_DATA!$D21="","",MAIN_DATA!O21)</f>
        <v/>
      </c>
      <c r="I16" s="98" t="str">
        <f>IF(MAIN_DATA!$D21="","",MAIN_DATA!P21)</f>
        <v/>
      </c>
      <c r="J16" s="98" t="str">
        <f>IF(MAIN_DATA!$D21="","",MAIN_DATA!Q21)</f>
        <v/>
      </c>
      <c r="K16" s="98" t="str">
        <f>IF(MAIN_DATA!$D21="","",MAIN_DATA!R21)</f>
        <v/>
      </c>
      <c r="L16" s="98" t="str">
        <f>IF(MAIN_DATA!$D21="","",MAIN_DATA!S21)</f>
        <v/>
      </c>
      <c r="M16" s="88" t="str">
        <f>IF(MAIN_DATA!T21=0,"",MAIN_DATA!T21)</f>
        <v/>
      </c>
      <c r="N16" s="88" t="str">
        <f>IF(MAIN_DATA!U21=0,"",MAIN_DATA!U21)</f>
        <v/>
      </c>
      <c r="O16" s="96" t="str">
        <f>IF(MAIN_DATA!V21=0,"",MAIN_DATA!V21)</f>
        <v/>
      </c>
      <c r="P16" s="97" t="str">
        <f>IF(MAIN_DATA!W21=0,"",MAIN_DATA!W21)</f>
        <v/>
      </c>
      <c r="Q16" s="98" t="str">
        <f>IF(MAIN_DATA!$E21="","",MAIN_DATA!X21)</f>
        <v/>
      </c>
      <c r="R16" s="98" t="str">
        <f>IF(MAIN_DATA!$E21="","",MAIN_DATA!Y21)</f>
        <v/>
      </c>
      <c r="S16" s="98" t="str">
        <f>IF(MAIN_DATA!$E21="","",MAIN_DATA!Z21)</f>
        <v/>
      </c>
      <c r="T16" s="98" t="str">
        <f>IF(MAIN_DATA!$E21="","",MAIN_DATA!AA21)</f>
        <v/>
      </c>
      <c r="U16" s="98" t="str">
        <f>IF(MAIN_DATA!$E21="","",MAIN_DATA!AB21)</f>
        <v/>
      </c>
      <c r="V16" s="98" t="str">
        <f>IF(MAIN_DATA!$E21="","",MAIN_DATA!AC21)</f>
        <v/>
      </c>
      <c r="W16" s="98" t="str">
        <f>IF(MAIN_DATA!$E21="","",MAIN_DATA!AD21)</f>
        <v/>
      </c>
      <c r="X16" s="98" t="str">
        <f>IF(MAIN_DATA!$E21="","",MAIN_DATA!AE21)</f>
        <v/>
      </c>
      <c r="Y16" s="98" t="str">
        <f>IF(MAIN_DATA!$E21="","",MAIN_DATA!AF21)</f>
        <v/>
      </c>
      <c r="Z16" s="88" t="str">
        <f>IF(MAIN_DATA!AG21=0,"",MAIN_DATA!AG21)</f>
        <v/>
      </c>
      <c r="AA16" s="88" t="str">
        <f>IF(MAIN_DATA!AH21=0,"",MAIN_DATA!AH21)</f>
        <v/>
      </c>
    </row>
    <row r="17" spans="2:27" ht="21.95" customHeight="1">
      <c r="B17" s="105" t="str">
        <f>IF(MAIN_DATA!I22=0,"",MAIN_DATA!I22)</f>
        <v/>
      </c>
      <c r="C17" s="86" t="str">
        <f>IF(MAIN_DATA!J22=0,"",MAIN_DATA!J22)</f>
        <v/>
      </c>
      <c r="D17" s="87" t="str">
        <f>IF(MAIN_DATA!K22=0,"",MAIN_DATA!K22)</f>
        <v/>
      </c>
      <c r="E17" s="87" t="str">
        <f>IF(MAIN_DATA!$D22="","",MAIN_DATA!L22)</f>
        <v/>
      </c>
      <c r="F17" s="87" t="str">
        <f>IF(MAIN_DATA!$D22="","",MAIN_DATA!M22)</f>
        <v/>
      </c>
      <c r="G17" s="87" t="str">
        <f>IF(MAIN_DATA!$D22="","",MAIN_DATA!N22)</f>
        <v/>
      </c>
      <c r="H17" s="87" t="str">
        <f>IF(MAIN_DATA!$D22="","",MAIN_DATA!O22)</f>
        <v/>
      </c>
      <c r="I17" s="87" t="str">
        <f>IF(MAIN_DATA!$D22="","",MAIN_DATA!P22)</f>
        <v/>
      </c>
      <c r="J17" s="87" t="str">
        <f>IF(MAIN_DATA!$D22="","",MAIN_DATA!Q22)</f>
        <v/>
      </c>
      <c r="K17" s="87" t="str">
        <f>IF(MAIN_DATA!$D22="","",MAIN_DATA!R22)</f>
        <v/>
      </c>
      <c r="L17" s="87" t="str">
        <f>IF(MAIN_DATA!$D22="","",MAIN_DATA!S22)</f>
        <v/>
      </c>
      <c r="M17" s="88" t="str">
        <f>IF(MAIN_DATA!T22=0,"",MAIN_DATA!T22)</f>
        <v/>
      </c>
      <c r="N17" s="89" t="str">
        <f>IF(MAIN_DATA!$D22="","",MAIN_DATA!U22)</f>
        <v/>
      </c>
      <c r="O17" s="90" t="str">
        <f>IF(MAIN_DATA!V22=0,"",MAIN_DATA!V22)</f>
        <v/>
      </c>
      <c r="P17" s="86" t="str">
        <f>IF(MAIN_DATA!W22=0,"",MAIN_DATA!W22)</f>
        <v/>
      </c>
      <c r="Q17" s="87" t="str">
        <f>IF(MAIN_DATA!$E22="","",MAIN_DATA!X22)</f>
        <v/>
      </c>
      <c r="R17" s="87" t="str">
        <f>IF(MAIN_DATA!$E22="","",MAIN_DATA!Y22)</f>
        <v/>
      </c>
      <c r="S17" s="87" t="str">
        <f>IF(MAIN_DATA!$E22="","",MAIN_DATA!Z22)</f>
        <v/>
      </c>
      <c r="T17" s="87" t="str">
        <f>IF(MAIN_DATA!$E22="","",MAIN_DATA!AA22)</f>
        <v/>
      </c>
      <c r="U17" s="87" t="str">
        <f>IF(MAIN_DATA!$E22="","",MAIN_DATA!AB22)</f>
        <v/>
      </c>
      <c r="V17" s="87" t="str">
        <f>IF(MAIN_DATA!$E22="","",MAIN_DATA!AC22)</f>
        <v/>
      </c>
      <c r="W17" s="87" t="str">
        <f>IF(MAIN_DATA!$E22="","",MAIN_DATA!AD22)</f>
        <v/>
      </c>
      <c r="X17" s="87" t="str">
        <f>IF(MAIN_DATA!$E22="","",MAIN_DATA!AE22)</f>
        <v/>
      </c>
      <c r="Y17" s="87" t="str">
        <f>IF(MAIN_DATA!$E22="","",MAIN_DATA!AF22)</f>
        <v/>
      </c>
      <c r="Z17" s="100" t="str">
        <f>IF(MAIN_DATA!AG22=0,"",MAIN_DATA!AG22)</f>
        <v/>
      </c>
      <c r="AA17" s="89" t="str">
        <f>IF(MAIN_DATA!$E22="","",MAIN_DATA!AH22)</f>
        <v/>
      </c>
    </row>
    <row r="18" spans="2:27" ht="21.95" customHeight="1">
      <c r="B18" s="90" t="str">
        <f>IF(MAIN_DATA!I23=0,"",MAIN_DATA!I23)</f>
        <v/>
      </c>
      <c r="C18" s="91" t="str">
        <f>IF(MAIN_DATA!J23=0,"",MAIN_DATA!J23)</f>
        <v/>
      </c>
      <c r="D18" s="92" t="str">
        <f>IF(MAIN_DATA!K23=0,"",MAIN_DATA!K23)</f>
        <v/>
      </c>
      <c r="E18" s="112" t="str">
        <f>IF(MAIN_DATA!$D23="","",MAIN_DATA!L23)</f>
        <v/>
      </c>
      <c r="F18" s="112" t="str">
        <f>IF(MAIN_DATA!$D23="","",MAIN_DATA!M23)</f>
        <v/>
      </c>
      <c r="G18" s="112" t="str">
        <f>IF(MAIN_DATA!$D23="","",MAIN_DATA!N23)</f>
        <v/>
      </c>
      <c r="H18" s="112" t="str">
        <f>IF(MAIN_DATA!$D23="","",MAIN_DATA!O23)</f>
        <v/>
      </c>
      <c r="I18" s="112" t="str">
        <f>IF(MAIN_DATA!$D23="","",MAIN_DATA!P23)</f>
        <v/>
      </c>
      <c r="J18" s="112" t="str">
        <f>IF(MAIN_DATA!$D23="","",MAIN_DATA!Q23)</f>
        <v/>
      </c>
      <c r="K18" s="112" t="str">
        <f>IF(MAIN_DATA!$D23="","",MAIN_DATA!R23)</f>
        <v/>
      </c>
      <c r="L18" s="112" t="str">
        <f>IF(MAIN_DATA!$D23="","",MAIN_DATA!S23)</f>
        <v/>
      </c>
      <c r="M18" s="93" t="str">
        <f>IF(MAIN_DATA!T23=0,"",MAIN_DATA!T23)</f>
        <v/>
      </c>
      <c r="N18" s="93" t="str">
        <f>IF(MAIN_DATA!U23=0,"",MAIN_DATA!U23)</f>
        <v/>
      </c>
      <c r="O18" s="90" t="str">
        <f>IF(MAIN_DATA!V23=0,"",MAIN_DATA!V23)</f>
        <v/>
      </c>
      <c r="P18" s="91" t="str">
        <f>IF(MAIN_DATA!W23=0,"",MAIN_DATA!W23)</f>
        <v/>
      </c>
      <c r="Q18" s="112" t="str">
        <f>IF(MAIN_DATA!$E23="","",MAIN_DATA!X23)</f>
        <v/>
      </c>
      <c r="R18" s="112" t="str">
        <f>IF(MAIN_DATA!$E23="","",MAIN_DATA!Y23)</f>
        <v/>
      </c>
      <c r="S18" s="112" t="str">
        <f>IF(MAIN_DATA!$E23="","",MAIN_DATA!Z23)</f>
        <v/>
      </c>
      <c r="T18" s="112" t="str">
        <f>IF(MAIN_DATA!$E23="","",MAIN_DATA!AA23)</f>
        <v/>
      </c>
      <c r="U18" s="112" t="str">
        <f>IF(MAIN_DATA!$E23="","",MAIN_DATA!AB23)</f>
        <v/>
      </c>
      <c r="V18" s="112" t="str">
        <f>IF(MAIN_DATA!$E23="","",MAIN_DATA!AC23)</f>
        <v/>
      </c>
      <c r="W18" s="112" t="str">
        <f>IF(MAIN_DATA!$E23="","",MAIN_DATA!AD23)</f>
        <v/>
      </c>
      <c r="X18" s="112" t="str">
        <f>IF(MAIN_DATA!$E23="","",MAIN_DATA!AE23)</f>
        <v/>
      </c>
      <c r="Y18" s="112" t="str">
        <f>IF(MAIN_DATA!$E23="","",MAIN_DATA!AF23)</f>
        <v/>
      </c>
      <c r="Z18" s="101" t="str">
        <f>IF(MAIN_DATA!AG23=0,"",MAIN_DATA!AG23)</f>
        <v/>
      </c>
      <c r="AA18" s="101" t="str">
        <f>IF(MAIN_DATA!AH23=0,"",MAIN_DATA!AH23)</f>
        <v/>
      </c>
    </row>
    <row r="19" spans="2:27" ht="21.95" customHeight="1">
      <c r="B19" s="90" t="str">
        <f>IF(MAIN_DATA!I24=0,"",MAIN_DATA!I24)</f>
        <v/>
      </c>
      <c r="C19" s="94" t="str">
        <f>IF(MAIN_DATA!J24=0,"",MAIN_DATA!J24)</f>
        <v/>
      </c>
      <c r="D19" s="95" t="str">
        <f>IF(MAIN_DATA!K24=0,"",MAIN_DATA!K24)</f>
        <v/>
      </c>
      <c r="E19" s="113" t="str">
        <f>IF(MAIN_DATA!$D24="","",MAIN_DATA!L24)</f>
        <v/>
      </c>
      <c r="F19" s="113" t="str">
        <f>IF(MAIN_DATA!$D24="","",MAIN_DATA!M24)</f>
        <v/>
      </c>
      <c r="G19" s="113" t="str">
        <f>IF(MAIN_DATA!$D24="","",MAIN_DATA!N24)</f>
        <v/>
      </c>
      <c r="H19" s="113" t="str">
        <f>IF(MAIN_DATA!$D24="","",MAIN_DATA!O24)</f>
        <v/>
      </c>
      <c r="I19" s="113" t="str">
        <f>IF(MAIN_DATA!$D24="","",MAIN_DATA!P24)</f>
        <v/>
      </c>
      <c r="J19" s="113" t="str">
        <f>IF(MAIN_DATA!$D24="","",MAIN_DATA!Q24)</f>
        <v/>
      </c>
      <c r="K19" s="113" t="str">
        <f>IF(MAIN_DATA!$D24="","",MAIN_DATA!R24)</f>
        <v/>
      </c>
      <c r="L19" s="113" t="str">
        <f>IF(MAIN_DATA!$D24="","",MAIN_DATA!S24)</f>
        <v/>
      </c>
      <c r="M19" s="88" t="str">
        <f>IF(MAIN_DATA!T24=0,"",MAIN_DATA!T24)</f>
        <v/>
      </c>
      <c r="N19" s="88" t="str">
        <f>IF(MAIN_DATA!U24=0,"",MAIN_DATA!U24)</f>
        <v/>
      </c>
      <c r="O19" s="90" t="str">
        <f>IF(MAIN_DATA!V24=0,"",MAIN_DATA!V24)</f>
        <v/>
      </c>
      <c r="P19" s="94" t="str">
        <f>IF(MAIN_DATA!W24=0,"",MAIN_DATA!W24)</f>
        <v/>
      </c>
      <c r="Q19" s="113" t="str">
        <f>IF(MAIN_DATA!$E24="","",MAIN_DATA!X24)</f>
        <v/>
      </c>
      <c r="R19" s="113" t="str">
        <f>IF(MAIN_DATA!$E24="","",MAIN_DATA!Y24)</f>
        <v/>
      </c>
      <c r="S19" s="113" t="str">
        <f>IF(MAIN_DATA!$E24="","",MAIN_DATA!Z24)</f>
        <v/>
      </c>
      <c r="T19" s="113" t="str">
        <f>IF(MAIN_DATA!$E24="","",MAIN_DATA!AA24)</f>
        <v/>
      </c>
      <c r="U19" s="113" t="str">
        <f>IF(MAIN_DATA!$E24="","",MAIN_DATA!AB24)</f>
        <v/>
      </c>
      <c r="V19" s="113" t="str">
        <f>IF(MAIN_DATA!$E24="","",MAIN_DATA!AC24)</f>
        <v/>
      </c>
      <c r="W19" s="113" t="str">
        <f>IF(MAIN_DATA!$E24="","",MAIN_DATA!AD24)</f>
        <v/>
      </c>
      <c r="X19" s="113" t="str">
        <f>IF(MAIN_DATA!$E24="","",MAIN_DATA!AE24)</f>
        <v/>
      </c>
      <c r="Y19" s="113" t="str">
        <f>IF(MAIN_DATA!$E24="","",MAIN_DATA!AF24)</f>
        <v/>
      </c>
      <c r="Z19" s="100" t="str">
        <f>IF(MAIN_DATA!AG24=0,"",MAIN_DATA!AG24)</f>
        <v/>
      </c>
      <c r="AA19" s="100" t="str">
        <f>IF(MAIN_DATA!AH24=0,"",MAIN_DATA!AH24)</f>
        <v/>
      </c>
    </row>
    <row r="20" spans="2:27" s="99" customFormat="1" ht="5.25" customHeight="1">
      <c r="B20" s="102" t="str">
        <f>IF(MAIN_DATA!I25=0,"",MAIN_DATA!I25)</f>
        <v/>
      </c>
      <c r="C20" s="103" t="str">
        <f>IF(MAIN_DATA!J25=0,"",MAIN_DATA!J25)</f>
        <v/>
      </c>
      <c r="D20" s="104" t="str">
        <f>IF(MAIN_DATA!K25=0,"",MAIN_DATA!K25)</f>
        <v/>
      </c>
      <c r="E20" s="98" t="str">
        <f>IF(MAIN_DATA!$D25="","",MAIN_DATA!L25)</f>
        <v/>
      </c>
      <c r="F20" s="98" t="str">
        <f>IF(MAIN_DATA!$D25="","",MAIN_DATA!M25)</f>
        <v/>
      </c>
      <c r="G20" s="98" t="str">
        <f>IF(MAIN_DATA!$D25="","",MAIN_DATA!N25)</f>
        <v/>
      </c>
      <c r="H20" s="98" t="str">
        <f>IF(MAIN_DATA!$D25="","",MAIN_DATA!O25)</f>
        <v/>
      </c>
      <c r="I20" s="98" t="str">
        <f>IF(MAIN_DATA!$D25="","",MAIN_DATA!P25)</f>
        <v/>
      </c>
      <c r="J20" s="98" t="str">
        <f>IF(MAIN_DATA!$D25="","",MAIN_DATA!Q25)</f>
        <v/>
      </c>
      <c r="K20" s="98" t="str">
        <f>IF(MAIN_DATA!$D25="","",MAIN_DATA!R25)</f>
        <v/>
      </c>
      <c r="L20" s="98" t="str">
        <f>IF(MAIN_DATA!$D25="","",MAIN_DATA!S25)</f>
        <v/>
      </c>
      <c r="M20" s="88" t="str">
        <f>IF(MAIN_DATA!T25=0,"",MAIN_DATA!T25)</f>
        <v/>
      </c>
      <c r="N20" s="88" t="str">
        <f>IF(MAIN_DATA!U25=0,"",MAIN_DATA!U25)</f>
        <v/>
      </c>
      <c r="O20" s="96" t="str">
        <f>IF(MAIN_DATA!V25=0,"",MAIN_DATA!V25)</f>
        <v/>
      </c>
      <c r="P20" s="97" t="str">
        <f>IF(MAIN_DATA!W25=0,"",MAIN_DATA!W25)</f>
        <v/>
      </c>
      <c r="Q20" s="98" t="str">
        <f>IF(MAIN_DATA!$E25="","",MAIN_DATA!X25)</f>
        <v/>
      </c>
      <c r="R20" s="98" t="str">
        <f>IF(MAIN_DATA!$E25="","",MAIN_DATA!Y25)</f>
        <v/>
      </c>
      <c r="S20" s="98" t="str">
        <f>IF(MAIN_DATA!$E25="","",MAIN_DATA!Z25)</f>
        <v/>
      </c>
      <c r="T20" s="98" t="str">
        <f>IF(MAIN_DATA!$E25="","",MAIN_DATA!AA25)</f>
        <v/>
      </c>
      <c r="U20" s="98" t="str">
        <f>IF(MAIN_DATA!$E25="","",MAIN_DATA!AB25)</f>
        <v/>
      </c>
      <c r="V20" s="98" t="str">
        <f>IF(MAIN_DATA!$E25="","",MAIN_DATA!AC25)</f>
        <v/>
      </c>
      <c r="W20" s="98" t="str">
        <f>IF(MAIN_DATA!$E25="","",MAIN_DATA!AD25)</f>
        <v/>
      </c>
      <c r="X20" s="98" t="str">
        <f>IF(MAIN_DATA!$E25="","",MAIN_DATA!AE25)</f>
        <v/>
      </c>
      <c r="Y20" s="98" t="str">
        <f>IF(MAIN_DATA!$E25="","",MAIN_DATA!AF25)</f>
        <v/>
      </c>
      <c r="Z20" s="88" t="str">
        <f>IF(MAIN_DATA!AG25=0,"",MAIN_DATA!AG25)</f>
        <v/>
      </c>
      <c r="AA20" s="88" t="str">
        <f>IF(MAIN_DATA!AH25=0,"",MAIN_DATA!AH25)</f>
        <v/>
      </c>
    </row>
    <row r="21" spans="2:27" ht="21.95" customHeight="1">
      <c r="B21" s="90" t="str">
        <f>IF(MAIN_DATA!I26=0,"",MAIN_DATA!I26)</f>
        <v/>
      </c>
      <c r="C21" s="86" t="str">
        <f>IF(MAIN_DATA!J26=0,"",MAIN_DATA!J26)</f>
        <v/>
      </c>
      <c r="D21" s="87" t="str">
        <f>IF(MAIN_DATA!K26=0,"",MAIN_DATA!K26)</f>
        <v/>
      </c>
      <c r="E21" s="87" t="str">
        <f>IF(MAIN_DATA!$D26="","",MAIN_DATA!L26)</f>
        <v/>
      </c>
      <c r="F21" s="87" t="str">
        <f>IF(MAIN_DATA!$D26="","",MAIN_DATA!M26)</f>
        <v/>
      </c>
      <c r="G21" s="87" t="str">
        <f>IF(MAIN_DATA!$D26="","",MAIN_DATA!N26)</f>
        <v/>
      </c>
      <c r="H21" s="87" t="str">
        <f>IF(MAIN_DATA!$D26="","",MAIN_DATA!O26)</f>
        <v/>
      </c>
      <c r="I21" s="87" t="str">
        <f>IF(MAIN_DATA!$D26="","",MAIN_DATA!P26)</f>
        <v/>
      </c>
      <c r="J21" s="87" t="str">
        <f>IF(MAIN_DATA!$D26="","",MAIN_DATA!Q26)</f>
        <v/>
      </c>
      <c r="K21" s="87" t="str">
        <f>IF(MAIN_DATA!$D26="","",MAIN_DATA!R26)</f>
        <v/>
      </c>
      <c r="L21" s="87" t="str">
        <f>IF(MAIN_DATA!$D26="","",MAIN_DATA!S26)</f>
        <v/>
      </c>
      <c r="M21" s="88" t="str">
        <f>IF(MAIN_DATA!T26=0,"",MAIN_DATA!T26)</f>
        <v/>
      </c>
      <c r="N21" s="89" t="str">
        <f>IF(MAIN_DATA!$D26="","",MAIN_DATA!U26)</f>
        <v/>
      </c>
      <c r="O21" s="90" t="str">
        <f>IF(MAIN_DATA!V26=0,"",MAIN_DATA!V26)</f>
        <v/>
      </c>
      <c r="P21" s="86" t="str">
        <f>IF(MAIN_DATA!W26=0,"",MAIN_DATA!W26)</f>
        <v/>
      </c>
      <c r="Q21" s="87" t="str">
        <f>IF(MAIN_DATA!$E26="","",MAIN_DATA!X26)</f>
        <v/>
      </c>
      <c r="R21" s="87" t="str">
        <f>IF(MAIN_DATA!$E26="","",MAIN_DATA!Y26)</f>
        <v/>
      </c>
      <c r="S21" s="87" t="str">
        <f>IF(MAIN_DATA!$E26="","",MAIN_DATA!Z26)</f>
        <v/>
      </c>
      <c r="T21" s="87" t="str">
        <f>IF(MAIN_DATA!$E26="","",MAIN_DATA!AA26)</f>
        <v/>
      </c>
      <c r="U21" s="87" t="str">
        <f>IF(MAIN_DATA!$E26="","",MAIN_DATA!AB26)</f>
        <v/>
      </c>
      <c r="V21" s="87" t="str">
        <f>IF(MAIN_DATA!$E26="","",MAIN_DATA!AC26)</f>
        <v/>
      </c>
      <c r="W21" s="87" t="str">
        <f>IF(MAIN_DATA!$E26="","",MAIN_DATA!AD26)</f>
        <v/>
      </c>
      <c r="X21" s="87" t="str">
        <f>IF(MAIN_DATA!$E26="","",MAIN_DATA!AE26)</f>
        <v/>
      </c>
      <c r="Y21" s="87" t="str">
        <f>IF(MAIN_DATA!$E26="","",MAIN_DATA!AF26)</f>
        <v/>
      </c>
      <c r="Z21" s="100" t="str">
        <f>IF(MAIN_DATA!AG26=0,"",MAIN_DATA!AG26)</f>
        <v/>
      </c>
      <c r="AA21" s="89" t="str">
        <f>IF(MAIN_DATA!$E26="","",MAIN_DATA!AH26)</f>
        <v/>
      </c>
    </row>
    <row r="22" spans="2:27" ht="21.95" customHeight="1">
      <c r="B22" s="90" t="str">
        <f>IF(MAIN_DATA!I27=0,"",MAIN_DATA!I27)</f>
        <v/>
      </c>
      <c r="C22" s="91" t="str">
        <f>IF(MAIN_DATA!J27=0,"",MAIN_DATA!J27)</f>
        <v/>
      </c>
      <c r="D22" s="92" t="str">
        <f>IF(MAIN_DATA!K27=0,"",MAIN_DATA!K27)</f>
        <v/>
      </c>
      <c r="E22" s="112" t="str">
        <f>IF(MAIN_DATA!$D27="","",MAIN_DATA!L27)</f>
        <v/>
      </c>
      <c r="F22" s="112" t="str">
        <f>IF(MAIN_DATA!$D27="","",MAIN_DATA!M27)</f>
        <v/>
      </c>
      <c r="G22" s="112" t="str">
        <f>IF(MAIN_DATA!$D27="","",MAIN_DATA!N27)</f>
        <v/>
      </c>
      <c r="H22" s="112" t="str">
        <f>IF(MAIN_DATA!$D27="","",MAIN_DATA!O27)</f>
        <v/>
      </c>
      <c r="I22" s="112" t="str">
        <f>IF(MAIN_DATA!$D27="","",MAIN_DATA!P27)</f>
        <v/>
      </c>
      <c r="J22" s="112" t="str">
        <f>IF(MAIN_DATA!$D27="","",MAIN_DATA!Q27)</f>
        <v/>
      </c>
      <c r="K22" s="112" t="str">
        <f>IF(MAIN_DATA!$D27="","",MAIN_DATA!R27)</f>
        <v/>
      </c>
      <c r="L22" s="112" t="str">
        <f>IF(MAIN_DATA!$D27="","",MAIN_DATA!S27)</f>
        <v/>
      </c>
      <c r="M22" s="93" t="str">
        <f>IF(MAIN_DATA!T27=0,"",MAIN_DATA!T27)</f>
        <v/>
      </c>
      <c r="N22" s="93" t="str">
        <f>IF(MAIN_DATA!U27=0,"",MAIN_DATA!U27)</f>
        <v/>
      </c>
      <c r="O22" s="90" t="str">
        <f>IF(MAIN_DATA!V27=0,"",MAIN_DATA!V27)</f>
        <v/>
      </c>
      <c r="P22" s="91" t="str">
        <f>IF(MAIN_DATA!W27=0,"",MAIN_DATA!W27)</f>
        <v/>
      </c>
      <c r="Q22" s="112" t="str">
        <f>IF(MAIN_DATA!$E27="","",MAIN_DATA!X27)</f>
        <v/>
      </c>
      <c r="R22" s="112" t="str">
        <f>IF(MAIN_DATA!$E27="","",MAIN_DATA!Y27)</f>
        <v/>
      </c>
      <c r="S22" s="112" t="str">
        <f>IF(MAIN_DATA!$E27="","",MAIN_DATA!Z27)</f>
        <v/>
      </c>
      <c r="T22" s="112" t="str">
        <f>IF(MAIN_DATA!$E27="","",MAIN_DATA!AA27)</f>
        <v/>
      </c>
      <c r="U22" s="112" t="str">
        <f>IF(MAIN_DATA!$E27="","",MAIN_DATA!AB27)</f>
        <v/>
      </c>
      <c r="V22" s="112" t="str">
        <f>IF(MAIN_DATA!$E27="","",MAIN_DATA!AC27)</f>
        <v/>
      </c>
      <c r="W22" s="112" t="str">
        <f>IF(MAIN_DATA!$E27="","",MAIN_DATA!AD27)</f>
        <v/>
      </c>
      <c r="X22" s="112" t="str">
        <f>IF(MAIN_DATA!$E27="","",MAIN_DATA!AE27)</f>
        <v/>
      </c>
      <c r="Y22" s="112" t="str">
        <f>IF(MAIN_DATA!$E27="","",MAIN_DATA!AF27)</f>
        <v/>
      </c>
      <c r="Z22" s="101" t="str">
        <f>IF(MAIN_DATA!AG27=0,"",MAIN_DATA!AG27)</f>
        <v/>
      </c>
      <c r="AA22" s="101" t="str">
        <f>IF(MAIN_DATA!AH27=0,"",MAIN_DATA!AH27)</f>
        <v/>
      </c>
    </row>
    <row r="23" spans="2:27" ht="21.95" customHeight="1">
      <c r="B23" s="90" t="str">
        <f>IF(MAIN_DATA!I28=0,"",MAIN_DATA!I28)</f>
        <v/>
      </c>
      <c r="C23" s="94" t="str">
        <f>IF(MAIN_DATA!J28=0,"",MAIN_DATA!J28)</f>
        <v/>
      </c>
      <c r="D23" s="95" t="str">
        <f>IF(MAIN_DATA!K28=0,"",MAIN_DATA!K28)</f>
        <v/>
      </c>
      <c r="E23" s="113" t="str">
        <f>IF(MAIN_DATA!$D28="","",MAIN_DATA!L28)</f>
        <v/>
      </c>
      <c r="F23" s="113" t="str">
        <f>IF(MAIN_DATA!$D28="","",MAIN_DATA!M28)</f>
        <v/>
      </c>
      <c r="G23" s="113" t="str">
        <f>IF(MAIN_DATA!$D28="","",MAIN_DATA!N28)</f>
        <v/>
      </c>
      <c r="H23" s="113" t="str">
        <f>IF(MAIN_DATA!$D28="","",MAIN_DATA!O28)</f>
        <v/>
      </c>
      <c r="I23" s="113" t="str">
        <f>IF(MAIN_DATA!$D28="","",MAIN_DATA!P28)</f>
        <v/>
      </c>
      <c r="J23" s="113" t="str">
        <f>IF(MAIN_DATA!$D28="","",MAIN_DATA!Q28)</f>
        <v/>
      </c>
      <c r="K23" s="113" t="str">
        <f>IF(MAIN_DATA!$D28="","",MAIN_DATA!R28)</f>
        <v/>
      </c>
      <c r="L23" s="113" t="str">
        <f>IF(MAIN_DATA!$D28="","",MAIN_DATA!S28)</f>
        <v/>
      </c>
      <c r="M23" s="88" t="str">
        <f>IF(MAIN_DATA!T28=0,"",MAIN_DATA!T28)</f>
        <v/>
      </c>
      <c r="N23" s="88" t="str">
        <f>IF(MAIN_DATA!U28=0,"",MAIN_DATA!U28)</f>
        <v/>
      </c>
      <c r="O23" s="90" t="str">
        <f>IF(MAIN_DATA!V28=0,"",MAIN_DATA!V28)</f>
        <v/>
      </c>
      <c r="P23" s="94" t="str">
        <f>IF(MAIN_DATA!W28=0,"",MAIN_DATA!W28)</f>
        <v/>
      </c>
      <c r="Q23" s="113" t="str">
        <f>IF(MAIN_DATA!$E28="","",MAIN_DATA!X28)</f>
        <v/>
      </c>
      <c r="R23" s="113" t="str">
        <f>IF(MAIN_DATA!$E28="","",MAIN_DATA!Y28)</f>
        <v/>
      </c>
      <c r="S23" s="113" t="str">
        <f>IF(MAIN_DATA!$E28="","",MAIN_DATA!Z28)</f>
        <v/>
      </c>
      <c r="T23" s="113" t="str">
        <f>IF(MAIN_DATA!$E28="","",MAIN_DATA!AA28)</f>
        <v/>
      </c>
      <c r="U23" s="113" t="str">
        <f>IF(MAIN_DATA!$E28="","",MAIN_DATA!AB28)</f>
        <v/>
      </c>
      <c r="V23" s="113" t="str">
        <f>IF(MAIN_DATA!$E28="","",MAIN_DATA!AC28)</f>
        <v/>
      </c>
      <c r="W23" s="113" t="str">
        <f>IF(MAIN_DATA!$E28="","",MAIN_DATA!AD28)</f>
        <v/>
      </c>
      <c r="X23" s="113" t="str">
        <f>IF(MAIN_DATA!$E28="","",MAIN_DATA!AE28)</f>
        <v/>
      </c>
      <c r="Y23" s="113" t="str">
        <f>IF(MAIN_DATA!$E28="","",MAIN_DATA!AF28)</f>
        <v/>
      </c>
      <c r="Z23" s="100" t="str">
        <f>IF(MAIN_DATA!AG28=0,"",MAIN_DATA!AG28)</f>
        <v/>
      </c>
      <c r="AA23" s="100" t="str">
        <f>IF(MAIN_DATA!AH28=0,"",MAIN_DATA!AH28)</f>
        <v/>
      </c>
    </row>
    <row r="24" spans="2:27" s="99" customFormat="1" ht="5.25" customHeight="1">
      <c r="B24" s="102" t="str">
        <f>IF(MAIN_DATA!I29=0,"",MAIN_DATA!I29)</f>
        <v/>
      </c>
      <c r="C24" s="103" t="str">
        <f>IF(MAIN_DATA!J29=0,"",MAIN_DATA!J29)</f>
        <v/>
      </c>
      <c r="D24" s="104" t="str">
        <f>IF(MAIN_DATA!K29=0,"",MAIN_DATA!K29)</f>
        <v/>
      </c>
      <c r="E24" s="98" t="str">
        <f>IF(MAIN_DATA!$D29="","",MAIN_DATA!L29)</f>
        <v/>
      </c>
      <c r="F24" s="98" t="str">
        <f>IF(MAIN_DATA!$D29="","",MAIN_DATA!M29)</f>
        <v/>
      </c>
      <c r="G24" s="98" t="str">
        <f>IF(MAIN_DATA!$D29="","",MAIN_DATA!N29)</f>
        <v/>
      </c>
      <c r="H24" s="98" t="str">
        <f>IF(MAIN_DATA!$D29="","",MAIN_DATA!O29)</f>
        <v/>
      </c>
      <c r="I24" s="98" t="str">
        <f>IF(MAIN_DATA!$D29="","",MAIN_DATA!P29)</f>
        <v/>
      </c>
      <c r="J24" s="98" t="str">
        <f>IF(MAIN_DATA!$D29="","",MAIN_DATA!Q29)</f>
        <v/>
      </c>
      <c r="K24" s="98" t="str">
        <f>IF(MAIN_DATA!$D29="","",MAIN_DATA!R29)</f>
        <v/>
      </c>
      <c r="L24" s="98" t="str">
        <f>IF(MAIN_DATA!$D29="","",MAIN_DATA!S29)</f>
        <v/>
      </c>
      <c r="M24" s="88" t="str">
        <f>IF(MAIN_DATA!T29=0,"",MAIN_DATA!T29)</f>
        <v/>
      </c>
      <c r="N24" s="88" t="str">
        <f>IF(MAIN_DATA!U29=0,"",MAIN_DATA!U29)</f>
        <v/>
      </c>
      <c r="O24" s="96" t="str">
        <f>IF(MAIN_DATA!V29=0,"",MAIN_DATA!V29)</f>
        <v/>
      </c>
      <c r="P24" s="97" t="str">
        <f>IF(MAIN_DATA!W29=0,"",MAIN_DATA!W29)</f>
        <v/>
      </c>
      <c r="Q24" s="98" t="str">
        <f>IF(MAIN_DATA!$E29="","",MAIN_DATA!X29)</f>
        <v/>
      </c>
      <c r="R24" s="98" t="str">
        <f>IF(MAIN_DATA!$E29="","",MAIN_DATA!Y29)</f>
        <v/>
      </c>
      <c r="S24" s="98" t="str">
        <f>IF(MAIN_DATA!$E29="","",MAIN_DATA!Z29)</f>
        <v/>
      </c>
      <c r="T24" s="98" t="str">
        <f>IF(MAIN_DATA!$E29="","",MAIN_DATA!AA29)</f>
        <v/>
      </c>
      <c r="U24" s="98" t="str">
        <f>IF(MAIN_DATA!$E29="","",MAIN_DATA!AB29)</f>
        <v/>
      </c>
      <c r="V24" s="98" t="str">
        <f>IF(MAIN_DATA!$E29="","",MAIN_DATA!AC29)</f>
        <v/>
      </c>
      <c r="W24" s="98" t="str">
        <f>IF(MAIN_DATA!$E29="","",MAIN_DATA!AD29)</f>
        <v/>
      </c>
      <c r="X24" s="98" t="str">
        <f>IF(MAIN_DATA!$E29="","",MAIN_DATA!AE29)</f>
        <v/>
      </c>
      <c r="Y24" s="98" t="str">
        <f>IF(MAIN_DATA!$E29="","",MAIN_DATA!AF29)</f>
        <v/>
      </c>
      <c r="Z24" s="88" t="str">
        <f>IF(MAIN_DATA!AG29=0,"",MAIN_DATA!AG29)</f>
        <v/>
      </c>
      <c r="AA24" s="88" t="str">
        <f>IF(MAIN_DATA!AH29=0,"",MAIN_DATA!AH29)</f>
        <v/>
      </c>
    </row>
    <row r="25" spans="2:27" ht="21.95" customHeight="1">
      <c r="B25" s="90" t="str">
        <f>IF(MAIN_DATA!I30=0,"",MAIN_DATA!I30)</f>
        <v/>
      </c>
      <c r="C25" s="86" t="str">
        <f>IF(MAIN_DATA!J30=0,"",MAIN_DATA!J30)</f>
        <v/>
      </c>
      <c r="D25" s="87" t="str">
        <f>IF(MAIN_DATA!K30=0,"",MAIN_DATA!K30)</f>
        <v/>
      </c>
      <c r="E25" s="87" t="str">
        <f>IF(MAIN_DATA!$D30="","",MAIN_DATA!L30)</f>
        <v/>
      </c>
      <c r="F25" s="87" t="str">
        <f>IF(MAIN_DATA!$D30="","",MAIN_DATA!M30)</f>
        <v/>
      </c>
      <c r="G25" s="87" t="str">
        <f>IF(MAIN_DATA!$D30="","",MAIN_DATA!N30)</f>
        <v/>
      </c>
      <c r="H25" s="87" t="str">
        <f>IF(MAIN_DATA!$D30="","",MAIN_DATA!O30)</f>
        <v/>
      </c>
      <c r="I25" s="87" t="str">
        <f>IF(MAIN_DATA!$D30="","",MAIN_DATA!P30)</f>
        <v/>
      </c>
      <c r="J25" s="87" t="str">
        <f>IF(MAIN_DATA!$D30="","",MAIN_DATA!Q30)</f>
        <v/>
      </c>
      <c r="K25" s="87" t="str">
        <f>IF(MAIN_DATA!$D30="","",MAIN_DATA!R30)</f>
        <v/>
      </c>
      <c r="L25" s="87" t="str">
        <f>IF(MAIN_DATA!$D30="","",MAIN_DATA!S30)</f>
        <v/>
      </c>
      <c r="M25" s="88" t="str">
        <f>IF(MAIN_DATA!T30=0,"",MAIN_DATA!T30)</f>
        <v/>
      </c>
      <c r="N25" s="89" t="str">
        <f>IF(MAIN_DATA!$D30="","",MAIN_DATA!U30)</f>
        <v/>
      </c>
      <c r="O25" s="90" t="str">
        <f>IF(MAIN_DATA!V30=0,"",MAIN_DATA!V30)</f>
        <v/>
      </c>
      <c r="P25" s="86" t="str">
        <f>IF(MAIN_DATA!W30=0,"",MAIN_DATA!W30)</f>
        <v/>
      </c>
      <c r="Q25" s="87" t="str">
        <f>IF(MAIN_DATA!$E30="","",MAIN_DATA!X30)</f>
        <v/>
      </c>
      <c r="R25" s="87" t="str">
        <f>IF(MAIN_DATA!$E30="","",MAIN_DATA!Y30)</f>
        <v/>
      </c>
      <c r="S25" s="87" t="str">
        <f>IF(MAIN_DATA!$E30="","",MAIN_DATA!Z30)</f>
        <v/>
      </c>
      <c r="T25" s="87" t="str">
        <f>IF(MAIN_DATA!$E30="","",MAIN_DATA!AA30)</f>
        <v/>
      </c>
      <c r="U25" s="87" t="str">
        <f>IF(MAIN_DATA!$E30="","",MAIN_DATA!AB30)</f>
        <v/>
      </c>
      <c r="V25" s="87" t="str">
        <f>IF(MAIN_DATA!$E30="","",MAIN_DATA!AC30)</f>
        <v/>
      </c>
      <c r="W25" s="87" t="str">
        <f>IF(MAIN_DATA!$E30="","",MAIN_DATA!AD30)</f>
        <v/>
      </c>
      <c r="X25" s="87" t="str">
        <f>IF(MAIN_DATA!$E30="","",MAIN_DATA!AE30)</f>
        <v/>
      </c>
      <c r="Y25" s="87" t="str">
        <f>IF(MAIN_DATA!$E30="","",MAIN_DATA!AF30)</f>
        <v/>
      </c>
      <c r="Z25" s="100" t="str">
        <f>IF(MAIN_DATA!AG30=0,"",MAIN_DATA!AG30)</f>
        <v/>
      </c>
      <c r="AA25" s="89" t="str">
        <f>IF(MAIN_DATA!$E30="","",MAIN_DATA!AH30)</f>
        <v/>
      </c>
    </row>
    <row r="26" spans="2:27" ht="21.95" customHeight="1">
      <c r="B26" s="90" t="str">
        <f>IF(MAIN_DATA!I31=0,"",MAIN_DATA!I31)</f>
        <v/>
      </c>
      <c r="C26" s="91" t="str">
        <f>IF(MAIN_DATA!J31=0,"",MAIN_DATA!J31)</f>
        <v/>
      </c>
      <c r="D26" s="92" t="str">
        <f>IF(MAIN_DATA!K31=0,"",MAIN_DATA!K31)</f>
        <v/>
      </c>
      <c r="E26" s="112" t="str">
        <f>IF(MAIN_DATA!$D31="","",MAIN_DATA!L31)</f>
        <v/>
      </c>
      <c r="F26" s="112" t="str">
        <f>IF(MAIN_DATA!$D31="","",MAIN_DATA!M31)</f>
        <v/>
      </c>
      <c r="G26" s="112" t="str">
        <f>IF(MAIN_DATA!$D31="","",MAIN_DATA!N31)</f>
        <v/>
      </c>
      <c r="H26" s="112" t="str">
        <f>IF(MAIN_DATA!$D31="","",MAIN_DATA!O31)</f>
        <v/>
      </c>
      <c r="I26" s="112" t="str">
        <f>IF(MAIN_DATA!$D31="","",MAIN_DATA!P31)</f>
        <v/>
      </c>
      <c r="J26" s="112" t="str">
        <f>IF(MAIN_DATA!$D31="","",MAIN_DATA!Q31)</f>
        <v/>
      </c>
      <c r="K26" s="112" t="str">
        <f>IF(MAIN_DATA!$D31="","",MAIN_DATA!R31)</f>
        <v/>
      </c>
      <c r="L26" s="112" t="str">
        <f>IF(MAIN_DATA!$D31="","",MAIN_DATA!S31)</f>
        <v/>
      </c>
      <c r="M26" s="93" t="str">
        <f>IF(MAIN_DATA!T31=0,"",MAIN_DATA!T31)</f>
        <v/>
      </c>
      <c r="N26" s="93" t="str">
        <f>IF(MAIN_DATA!U31=0,"",MAIN_DATA!U31)</f>
        <v/>
      </c>
      <c r="O26" s="90" t="str">
        <f>IF(MAIN_DATA!V31=0,"",MAIN_DATA!V31)</f>
        <v/>
      </c>
      <c r="P26" s="91" t="str">
        <f>IF(MAIN_DATA!W31=0,"",MAIN_DATA!W31)</f>
        <v/>
      </c>
      <c r="Q26" s="112" t="str">
        <f>IF(MAIN_DATA!$E31="","",MAIN_DATA!X31)</f>
        <v/>
      </c>
      <c r="R26" s="112" t="str">
        <f>IF(MAIN_DATA!$E31="","",MAIN_DATA!Y31)</f>
        <v/>
      </c>
      <c r="S26" s="112" t="str">
        <f>IF(MAIN_DATA!$E31="","",MAIN_DATA!Z31)</f>
        <v/>
      </c>
      <c r="T26" s="112" t="str">
        <f>IF(MAIN_DATA!$E31="","",MAIN_DATA!AA31)</f>
        <v/>
      </c>
      <c r="U26" s="112" t="str">
        <f>IF(MAIN_DATA!$E31="","",MAIN_DATA!AB31)</f>
        <v/>
      </c>
      <c r="V26" s="112" t="str">
        <f>IF(MAIN_DATA!$E31="","",MAIN_DATA!AC31)</f>
        <v/>
      </c>
      <c r="W26" s="112" t="str">
        <f>IF(MAIN_DATA!$E31="","",MAIN_DATA!AD31)</f>
        <v/>
      </c>
      <c r="X26" s="112" t="str">
        <f>IF(MAIN_DATA!$E31="","",MAIN_DATA!AE31)</f>
        <v/>
      </c>
      <c r="Y26" s="112" t="str">
        <f>IF(MAIN_DATA!$E31="","",MAIN_DATA!AF31)</f>
        <v/>
      </c>
      <c r="Z26" s="101" t="str">
        <f>IF(MAIN_DATA!AG31=0,"",MAIN_DATA!AG31)</f>
        <v/>
      </c>
      <c r="AA26" s="101" t="str">
        <f>IF(MAIN_DATA!AH31=0,"",MAIN_DATA!AH31)</f>
        <v/>
      </c>
    </row>
    <row r="27" spans="2:27" ht="21.95" customHeight="1">
      <c r="B27" s="90" t="str">
        <f>IF(MAIN_DATA!I32=0,"",MAIN_DATA!I32)</f>
        <v/>
      </c>
      <c r="C27" s="94" t="str">
        <f>IF(MAIN_DATA!J32=0,"",MAIN_DATA!J32)</f>
        <v/>
      </c>
      <c r="D27" s="95" t="str">
        <f>IF(MAIN_DATA!K32=0,"",MAIN_DATA!K32)</f>
        <v/>
      </c>
      <c r="E27" s="113" t="str">
        <f>IF(MAIN_DATA!$D32="","",MAIN_DATA!L32)</f>
        <v/>
      </c>
      <c r="F27" s="113" t="str">
        <f>IF(MAIN_DATA!$D32="","",MAIN_DATA!M32)</f>
        <v/>
      </c>
      <c r="G27" s="113" t="str">
        <f>IF(MAIN_DATA!$D32="","",MAIN_DATA!N32)</f>
        <v/>
      </c>
      <c r="H27" s="113" t="str">
        <f>IF(MAIN_DATA!$D32="","",MAIN_DATA!O32)</f>
        <v/>
      </c>
      <c r="I27" s="113" t="str">
        <f>IF(MAIN_DATA!$D32="","",MAIN_DATA!P32)</f>
        <v/>
      </c>
      <c r="J27" s="113" t="str">
        <f>IF(MAIN_DATA!$D32="","",MAIN_DATA!Q32)</f>
        <v/>
      </c>
      <c r="K27" s="113" t="str">
        <f>IF(MAIN_DATA!$D32="","",MAIN_DATA!R32)</f>
        <v/>
      </c>
      <c r="L27" s="113" t="str">
        <f>IF(MAIN_DATA!$D32="","",MAIN_DATA!S32)</f>
        <v/>
      </c>
      <c r="M27" s="88" t="str">
        <f>IF(MAIN_DATA!T32=0,"",MAIN_DATA!T32)</f>
        <v/>
      </c>
      <c r="N27" s="88" t="str">
        <f>IF(MAIN_DATA!U32=0,"",MAIN_DATA!U32)</f>
        <v/>
      </c>
      <c r="O27" s="90" t="str">
        <f>IF(MAIN_DATA!V32=0,"",MAIN_DATA!V32)</f>
        <v/>
      </c>
      <c r="P27" s="94" t="str">
        <f>IF(MAIN_DATA!W32=0,"",MAIN_DATA!W32)</f>
        <v/>
      </c>
      <c r="Q27" s="113" t="str">
        <f>IF(MAIN_DATA!$E32="","",MAIN_DATA!X32)</f>
        <v/>
      </c>
      <c r="R27" s="113" t="str">
        <f>IF(MAIN_DATA!$E32="","",MAIN_DATA!Y32)</f>
        <v/>
      </c>
      <c r="S27" s="113" t="str">
        <f>IF(MAIN_DATA!$E32="","",MAIN_DATA!Z32)</f>
        <v/>
      </c>
      <c r="T27" s="113" t="str">
        <f>IF(MAIN_DATA!$E32="","",MAIN_DATA!AA32)</f>
        <v/>
      </c>
      <c r="U27" s="113" t="str">
        <f>IF(MAIN_DATA!$E32="","",MAIN_DATA!AB32)</f>
        <v/>
      </c>
      <c r="V27" s="113" t="str">
        <f>IF(MAIN_DATA!$E32="","",MAIN_DATA!AC32)</f>
        <v/>
      </c>
      <c r="W27" s="113" t="str">
        <f>IF(MAIN_DATA!$E32="","",MAIN_DATA!AD32)</f>
        <v/>
      </c>
      <c r="X27" s="113" t="str">
        <f>IF(MAIN_DATA!$E32="","",MAIN_DATA!AE32)</f>
        <v/>
      </c>
      <c r="Y27" s="113" t="str">
        <f>IF(MAIN_DATA!$E32="","",MAIN_DATA!AF32)</f>
        <v/>
      </c>
      <c r="Z27" s="100" t="str">
        <f>IF(MAIN_DATA!AG32=0,"",MAIN_DATA!AG32)</f>
        <v/>
      </c>
      <c r="AA27" s="100" t="str">
        <f>IF(MAIN_DATA!AH32=0,"",MAIN_DATA!AH32)</f>
        <v/>
      </c>
    </row>
    <row r="28" spans="2:27" s="99" customFormat="1" ht="5.25" customHeight="1">
      <c r="B28" s="102" t="str">
        <f>IF(MAIN_DATA!I33=0,"",MAIN_DATA!I33)</f>
        <v/>
      </c>
      <c r="C28" s="103" t="str">
        <f>IF(MAIN_DATA!J33=0,"",MAIN_DATA!J33)</f>
        <v/>
      </c>
      <c r="D28" s="104" t="str">
        <f>IF(MAIN_DATA!K33=0,"",MAIN_DATA!K33)</f>
        <v/>
      </c>
      <c r="E28" s="98" t="str">
        <f>IF(MAIN_DATA!$D33="","",MAIN_DATA!L33)</f>
        <v/>
      </c>
      <c r="F28" s="98" t="str">
        <f>IF(MAIN_DATA!$D33="","",MAIN_DATA!M33)</f>
        <v/>
      </c>
      <c r="G28" s="98" t="str">
        <f>IF(MAIN_DATA!$D33="","",MAIN_DATA!N33)</f>
        <v/>
      </c>
      <c r="H28" s="98" t="str">
        <f>IF(MAIN_DATA!$D33="","",MAIN_DATA!O33)</f>
        <v/>
      </c>
      <c r="I28" s="98" t="str">
        <f>IF(MAIN_DATA!$D33="","",MAIN_DATA!P33)</f>
        <v/>
      </c>
      <c r="J28" s="98" t="str">
        <f>IF(MAIN_DATA!$D33="","",MAIN_DATA!Q33)</f>
        <v/>
      </c>
      <c r="K28" s="98" t="str">
        <f>IF(MAIN_DATA!$D33="","",MAIN_DATA!R33)</f>
        <v/>
      </c>
      <c r="L28" s="98" t="str">
        <f>IF(MAIN_DATA!$D33="","",MAIN_DATA!S33)</f>
        <v/>
      </c>
      <c r="M28" s="88" t="str">
        <f>IF(MAIN_DATA!T33=0,"",MAIN_DATA!T33)</f>
        <v/>
      </c>
      <c r="N28" s="88" t="str">
        <f>IF(MAIN_DATA!U33=0,"",MAIN_DATA!U33)</f>
        <v/>
      </c>
      <c r="O28" s="96" t="str">
        <f>IF(MAIN_DATA!V33=0,"",MAIN_DATA!V33)</f>
        <v/>
      </c>
      <c r="P28" s="97" t="str">
        <f>IF(MAIN_DATA!W33=0,"",MAIN_DATA!W33)</f>
        <v/>
      </c>
      <c r="Q28" s="98" t="str">
        <f>IF(MAIN_DATA!$E33="","",MAIN_DATA!X33)</f>
        <v/>
      </c>
      <c r="R28" s="98" t="str">
        <f>IF(MAIN_DATA!$E33="","",MAIN_DATA!Y33)</f>
        <v/>
      </c>
      <c r="S28" s="98" t="str">
        <f>IF(MAIN_DATA!$E33="","",MAIN_DATA!Z33)</f>
        <v/>
      </c>
      <c r="T28" s="98" t="str">
        <f>IF(MAIN_DATA!$E33="","",MAIN_DATA!AA33)</f>
        <v/>
      </c>
      <c r="U28" s="98" t="str">
        <f>IF(MAIN_DATA!$E33="","",MAIN_DATA!AB33)</f>
        <v/>
      </c>
      <c r="V28" s="98" t="str">
        <f>IF(MAIN_DATA!$E33="","",MAIN_DATA!AC33)</f>
        <v/>
      </c>
      <c r="W28" s="98" t="str">
        <f>IF(MAIN_DATA!$E33="","",MAIN_DATA!AD33)</f>
        <v/>
      </c>
      <c r="X28" s="98" t="str">
        <f>IF(MAIN_DATA!$E33="","",MAIN_DATA!AE33)</f>
        <v/>
      </c>
      <c r="Y28" s="98" t="str">
        <f>IF(MAIN_DATA!$E33="","",MAIN_DATA!AF33)</f>
        <v/>
      </c>
      <c r="Z28" s="88" t="str">
        <f>IF(MAIN_DATA!AG33=0,"",MAIN_DATA!AG33)</f>
        <v/>
      </c>
      <c r="AA28" s="88" t="str">
        <f>IF(MAIN_DATA!AH33=0,"",MAIN_DATA!AH33)</f>
        <v/>
      </c>
    </row>
    <row r="29" spans="2:27" ht="21.95" customHeight="1">
      <c r="B29" s="90" t="str">
        <f>IF(MAIN_DATA!I34=0,"",MAIN_DATA!I34)</f>
        <v/>
      </c>
      <c r="C29" s="86" t="str">
        <f>IF(MAIN_DATA!J34=0,"",MAIN_DATA!J34)</f>
        <v/>
      </c>
      <c r="D29" s="87" t="str">
        <f>IF(MAIN_DATA!K34=0,"",MAIN_DATA!K34)</f>
        <v/>
      </c>
      <c r="E29" s="87" t="str">
        <f>IF(MAIN_DATA!$D34="","",MAIN_DATA!L34)</f>
        <v/>
      </c>
      <c r="F29" s="87" t="str">
        <f>IF(MAIN_DATA!$D34="","",MAIN_DATA!M34)</f>
        <v/>
      </c>
      <c r="G29" s="87" t="str">
        <f>IF(MAIN_DATA!$D34="","",MAIN_DATA!N34)</f>
        <v/>
      </c>
      <c r="H29" s="87" t="str">
        <f>IF(MAIN_DATA!$D34="","",MAIN_DATA!O34)</f>
        <v/>
      </c>
      <c r="I29" s="87" t="str">
        <f>IF(MAIN_DATA!$D34="","",MAIN_DATA!P34)</f>
        <v/>
      </c>
      <c r="J29" s="87" t="str">
        <f>IF(MAIN_DATA!$D34="","",MAIN_DATA!Q34)</f>
        <v/>
      </c>
      <c r="K29" s="87" t="str">
        <f>IF(MAIN_DATA!$D34="","",MAIN_DATA!R34)</f>
        <v/>
      </c>
      <c r="L29" s="87" t="str">
        <f>IF(MAIN_DATA!$D34="","",MAIN_DATA!S34)</f>
        <v/>
      </c>
      <c r="M29" s="88" t="str">
        <f>IF(MAIN_DATA!T34=0,"",MAIN_DATA!T34)</f>
        <v/>
      </c>
      <c r="N29" s="89" t="str">
        <f>IF(MAIN_DATA!$D34="","",MAIN_DATA!U34)</f>
        <v/>
      </c>
      <c r="O29" s="90" t="str">
        <f>IF(MAIN_DATA!V34=0,"",MAIN_DATA!V34)</f>
        <v/>
      </c>
      <c r="P29" s="86" t="str">
        <f>IF(MAIN_DATA!W34=0,"",MAIN_DATA!W34)</f>
        <v/>
      </c>
      <c r="Q29" s="87" t="str">
        <f>IF(MAIN_DATA!$E34="","",MAIN_DATA!X34)</f>
        <v/>
      </c>
      <c r="R29" s="87" t="str">
        <f>IF(MAIN_DATA!$E34="","",MAIN_DATA!Y34)</f>
        <v/>
      </c>
      <c r="S29" s="87" t="str">
        <f>IF(MAIN_DATA!$E34="","",MAIN_DATA!Z34)</f>
        <v/>
      </c>
      <c r="T29" s="87" t="str">
        <f>IF(MAIN_DATA!$E34="","",MAIN_DATA!AA34)</f>
        <v/>
      </c>
      <c r="U29" s="87" t="str">
        <f>IF(MAIN_DATA!$E34="","",MAIN_DATA!AB34)</f>
        <v/>
      </c>
      <c r="V29" s="87" t="str">
        <f>IF(MAIN_DATA!$E34="","",MAIN_DATA!AC34)</f>
        <v/>
      </c>
      <c r="W29" s="87" t="str">
        <f>IF(MAIN_DATA!$E34="","",MAIN_DATA!AD34)</f>
        <v/>
      </c>
      <c r="X29" s="87" t="str">
        <f>IF(MAIN_DATA!$E34="","",MAIN_DATA!AE34)</f>
        <v/>
      </c>
      <c r="Y29" s="87" t="str">
        <f>IF(MAIN_DATA!$E34="","",MAIN_DATA!AF34)</f>
        <v/>
      </c>
      <c r="Z29" s="100" t="str">
        <f>IF(MAIN_DATA!AG34=0,"",MAIN_DATA!AG34)</f>
        <v/>
      </c>
      <c r="AA29" s="89" t="str">
        <f>IF(MAIN_DATA!$E34="","",MAIN_DATA!AH34)</f>
        <v/>
      </c>
    </row>
    <row r="30" spans="2:27" ht="21.95" customHeight="1">
      <c r="B30" s="90" t="str">
        <f>IF(MAIN_DATA!I35=0,"",MAIN_DATA!I35)</f>
        <v/>
      </c>
      <c r="C30" s="91" t="str">
        <f>IF(MAIN_DATA!J35=0,"",MAIN_DATA!J35)</f>
        <v/>
      </c>
      <c r="D30" s="92" t="str">
        <f>IF(MAIN_DATA!K35=0,"",MAIN_DATA!K35)</f>
        <v/>
      </c>
      <c r="E30" s="112" t="str">
        <f>IF(MAIN_DATA!$D35="","",MAIN_DATA!L35)</f>
        <v/>
      </c>
      <c r="F30" s="112" t="str">
        <f>IF(MAIN_DATA!$D35="","",MAIN_DATA!M35)</f>
        <v/>
      </c>
      <c r="G30" s="112" t="str">
        <f>IF(MAIN_DATA!$D35="","",MAIN_DATA!N35)</f>
        <v/>
      </c>
      <c r="H30" s="112" t="str">
        <f>IF(MAIN_DATA!$D35="","",MAIN_DATA!O35)</f>
        <v/>
      </c>
      <c r="I30" s="112" t="str">
        <f>IF(MAIN_DATA!$D35="","",MAIN_DATA!P35)</f>
        <v/>
      </c>
      <c r="J30" s="112" t="str">
        <f>IF(MAIN_DATA!$D35="","",MAIN_DATA!Q35)</f>
        <v/>
      </c>
      <c r="K30" s="112" t="str">
        <f>IF(MAIN_DATA!$D35="","",MAIN_DATA!R35)</f>
        <v/>
      </c>
      <c r="L30" s="112" t="str">
        <f>IF(MAIN_DATA!$D35="","",MAIN_DATA!S35)</f>
        <v/>
      </c>
      <c r="M30" s="93" t="str">
        <f>IF(MAIN_DATA!T35=0,"",MAIN_DATA!T35)</f>
        <v/>
      </c>
      <c r="N30" s="93" t="str">
        <f>IF(MAIN_DATA!U35=0,"",MAIN_DATA!U35)</f>
        <v/>
      </c>
      <c r="O30" s="90" t="str">
        <f>IF(MAIN_DATA!V35=0,"",MAIN_DATA!V35)</f>
        <v/>
      </c>
      <c r="P30" s="91" t="str">
        <f>IF(MAIN_DATA!W35=0,"",MAIN_DATA!W35)</f>
        <v/>
      </c>
      <c r="Q30" s="112" t="str">
        <f>IF(MAIN_DATA!$E35="","",MAIN_DATA!X35)</f>
        <v/>
      </c>
      <c r="R30" s="112" t="str">
        <f>IF(MAIN_DATA!$E35="","",MAIN_DATA!Y35)</f>
        <v/>
      </c>
      <c r="S30" s="112" t="str">
        <f>IF(MAIN_DATA!$E35="","",MAIN_DATA!Z35)</f>
        <v/>
      </c>
      <c r="T30" s="112" t="str">
        <f>IF(MAIN_DATA!$E35="","",MAIN_DATA!AA35)</f>
        <v/>
      </c>
      <c r="U30" s="112" t="str">
        <f>IF(MAIN_DATA!$E35="","",MAIN_DATA!AB35)</f>
        <v/>
      </c>
      <c r="V30" s="112" t="str">
        <f>IF(MAIN_DATA!$E35="","",MAIN_DATA!AC35)</f>
        <v/>
      </c>
      <c r="W30" s="112" t="str">
        <f>IF(MAIN_DATA!$E35="","",MAIN_DATA!AD35)</f>
        <v/>
      </c>
      <c r="X30" s="112" t="str">
        <f>IF(MAIN_DATA!$E35="","",MAIN_DATA!AE35)</f>
        <v/>
      </c>
      <c r="Y30" s="112" t="str">
        <f>IF(MAIN_DATA!$E35="","",MAIN_DATA!AF35)</f>
        <v/>
      </c>
      <c r="Z30" s="101" t="str">
        <f>IF(MAIN_DATA!AG35=0,"",MAIN_DATA!AG35)</f>
        <v/>
      </c>
      <c r="AA30" s="101" t="str">
        <f>IF(MAIN_DATA!AH35=0,"",MAIN_DATA!AH35)</f>
        <v/>
      </c>
    </row>
    <row r="31" spans="2:27" ht="21.95" customHeight="1">
      <c r="B31" s="90" t="str">
        <f>IF(MAIN_DATA!I36=0,"",MAIN_DATA!I36)</f>
        <v/>
      </c>
      <c r="C31" s="94" t="str">
        <f>IF(MAIN_DATA!J36=0,"",MAIN_DATA!J36)</f>
        <v/>
      </c>
      <c r="D31" s="95" t="str">
        <f>IF(MAIN_DATA!K36=0,"",MAIN_DATA!K36)</f>
        <v/>
      </c>
      <c r="E31" s="113" t="str">
        <f>IF(MAIN_DATA!$D36="","",MAIN_DATA!L36)</f>
        <v/>
      </c>
      <c r="F31" s="113" t="str">
        <f>IF(MAIN_DATA!$D36="","",MAIN_DATA!M36)</f>
        <v/>
      </c>
      <c r="G31" s="113" t="str">
        <f>IF(MAIN_DATA!$D36="","",MAIN_DATA!N36)</f>
        <v/>
      </c>
      <c r="H31" s="113" t="str">
        <f>IF(MAIN_DATA!$D36="","",MAIN_DATA!O36)</f>
        <v/>
      </c>
      <c r="I31" s="113" t="str">
        <f>IF(MAIN_DATA!$D36="","",MAIN_DATA!P36)</f>
        <v/>
      </c>
      <c r="J31" s="113" t="str">
        <f>IF(MAIN_DATA!$D36="","",MAIN_DATA!Q36)</f>
        <v/>
      </c>
      <c r="K31" s="113" t="str">
        <f>IF(MAIN_DATA!$D36="","",MAIN_DATA!R36)</f>
        <v/>
      </c>
      <c r="L31" s="113" t="str">
        <f>IF(MAIN_DATA!$D36="","",MAIN_DATA!S36)</f>
        <v/>
      </c>
      <c r="M31" s="88" t="str">
        <f>IF(MAIN_DATA!T36=0,"",MAIN_DATA!T36)</f>
        <v/>
      </c>
      <c r="N31" s="88" t="str">
        <f>IF(MAIN_DATA!U36=0,"",MAIN_DATA!U36)</f>
        <v/>
      </c>
      <c r="O31" s="90" t="str">
        <f>IF(MAIN_DATA!V36=0,"",MAIN_DATA!V36)</f>
        <v/>
      </c>
      <c r="P31" s="94" t="str">
        <f>IF(MAIN_DATA!W36=0,"",MAIN_DATA!W36)</f>
        <v/>
      </c>
      <c r="Q31" s="113" t="str">
        <f>IF(MAIN_DATA!$E36="","",MAIN_DATA!X36)</f>
        <v/>
      </c>
      <c r="R31" s="113" t="str">
        <f>IF(MAIN_DATA!$E36="","",MAIN_DATA!Y36)</f>
        <v/>
      </c>
      <c r="S31" s="113" t="str">
        <f>IF(MAIN_DATA!$E36="","",MAIN_DATA!Z36)</f>
        <v/>
      </c>
      <c r="T31" s="113" t="str">
        <f>IF(MAIN_DATA!$E36="","",MAIN_DATA!AA36)</f>
        <v/>
      </c>
      <c r="U31" s="113" t="str">
        <f>IF(MAIN_DATA!$E36="","",MAIN_DATA!AB36)</f>
        <v/>
      </c>
      <c r="V31" s="113" t="str">
        <f>IF(MAIN_DATA!$E36="","",MAIN_DATA!AC36)</f>
        <v/>
      </c>
      <c r="W31" s="113" t="str">
        <f>IF(MAIN_DATA!$E36="","",MAIN_DATA!AD36)</f>
        <v/>
      </c>
      <c r="X31" s="113" t="str">
        <f>IF(MAIN_DATA!$E36="","",MAIN_DATA!AE36)</f>
        <v/>
      </c>
      <c r="Y31" s="113" t="str">
        <f>IF(MAIN_DATA!$E36="","",MAIN_DATA!AF36)</f>
        <v/>
      </c>
      <c r="Z31" s="100" t="str">
        <f>IF(MAIN_DATA!AG36=0,"",MAIN_DATA!AG36)</f>
        <v/>
      </c>
      <c r="AA31" s="100" t="str">
        <f>IF(MAIN_DATA!AH36=0,"",MAIN_DATA!AH36)</f>
        <v/>
      </c>
    </row>
    <row r="32" spans="2:27" s="99" customFormat="1" ht="5.25" customHeight="1">
      <c r="B32" s="102" t="str">
        <f>IF(MAIN_DATA!I37=0,"",MAIN_DATA!I37)</f>
        <v/>
      </c>
      <c r="C32" s="103" t="str">
        <f>IF(MAIN_DATA!J37=0,"",MAIN_DATA!J37)</f>
        <v/>
      </c>
      <c r="D32" s="104" t="str">
        <f>IF(MAIN_DATA!K37=0,"",MAIN_DATA!K37)</f>
        <v/>
      </c>
      <c r="E32" s="98" t="str">
        <f>IF(MAIN_DATA!$D37="","",MAIN_DATA!L37)</f>
        <v/>
      </c>
      <c r="F32" s="98" t="str">
        <f>IF(MAIN_DATA!$D37="","",MAIN_DATA!M37)</f>
        <v/>
      </c>
      <c r="G32" s="98" t="str">
        <f>IF(MAIN_DATA!$D37="","",MAIN_DATA!N37)</f>
        <v/>
      </c>
      <c r="H32" s="98" t="str">
        <f>IF(MAIN_DATA!$D37="","",MAIN_DATA!O37)</f>
        <v/>
      </c>
      <c r="I32" s="98" t="str">
        <f>IF(MAIN_DATA!$D37="","",MAIN_DATA!P37)</f>
        <v/>
      </c>
      <c r="J32" s="98" t="str">
        <f>IF(MAIN_DATA!$D37="","",MAIN_DATA!Q37)</f>
        <v/>
      </c>
      <c r="K32" s="98" t="str">
        <f>IF(MAIN_DATA!$D37="","",MAIN_DATA!R37)</f>
        <v/>
      </c>
      <c r="L32" s="98" t="str">
        <f>IF(MAIN_DATA!$D37="","",MAIN_DATA!S37)</f>
        <v/>
      </c>
      <c r="M32" s="88" t="str">
        <f>IF(MAIN_DATA!T37=0,"",MAIN_DATA!T37)</f>
        <v/>
      </c>
      <c r="N32" s="88" t="str">
        <f>IF(MAIN_DATA!U37=0,"",MAIN_DATA!U37)</f>
        <v/>
      </c>
      <c r="O32" s="96" t="str">
        <f>IF(MAIN_DATA!V37=0,"",MAIN_DATA!V37)</f>
        <v/>
      </c>
      <c r="P32" s="97" t="str">
        <f>IF(MAIN_DATA!W37=0,"",MAIN_DATA!W37)</f>
        <v/>
      </c>
      <c r="Q32" s="98" t="str">
        <f>IF(MAIN_DATA!$E37="","",MAIN_DATA!X37)</f>
        <v/>
      </c>
      <c r="R32" s="98" t="str">
        <f>IF(MAIN_DATA!$E37="","",MAIN_DATA!Y37)</f>
        <v/>
      </c>
      <c r="S32" s="98" t="str">
        <f>IF(MAIN_DATA!$E37="","",MAIN_DATA!Z37)</f>
        <v/>
      </c>
      <c r="T32" s="98" t="str">
        <f>IF(MAIN_DATA!$E37="","",MAIN_DATA!AA37)</f>
        <v/>
      </c>
      <c r="U32" s="98" t="str">
        <f>IF(MAIN_DATA!$E37="","",MAIN_DATA!AB37)</f>
        <v/>
      </c>
      <c r="V32" s="98" t="str">
        <f>IF(MAIN_DATA!$E37="","",MAIN_DATA!AC37)</f>
        <v/>
      </c>
      <c r="W32" s="98" t="str">
        <f>IF(MAIN_DATA!$E37="","",MAIN_DATA!AD37)</f>
        <v/>
      </c>
      <c r="X32" s="98" t="str">
        <f>IF(MAIN_DATA!$E37="","",MAIN_DATA!AE37)</f>
        <v/>
      </c>
      <c r="Y32" s="98" t="str">
        <f>IF(MAIN_DATA!$E37="","",MAIN_DATA!AF37)</f>
        <v/>
      </c>
      <c r="Z32" s="88" t="str">
        <f>IF(MAIN_DATA!AG37=0,"",MAIN_DATA!AG37)</f>
        <v/>
      </c>
      <c r="AA32" s="88" t="str">
        <f>IF(MAIN_DATA!AH37=0,"",MAIN_DATA!AH37)</f>
        <v/>
      </c>
    </row>
    <row r="33" spans="2:27" ht="21.95" customHeight="1">
      <c r="B33" s="90" t="str">
        <f>IF(MAIN_DATA!I38=0,"",MAIN_DATA!I38)</f>
        <v/>
      </c>
      <c r="C33" s="86" t="str">
        <f>IF(MAIN_DATA!J38=0,"",MAIN_DATA!J38)</f>
        <v/>
      </c>
      <c r="D33" s="87" t="str">
        <f>IF(MAIN_DATA!K38=0,"",MAIN_DATA!K38)</f>
        <v/>
      </c>
      <c r="E33" s="87" t="str">
        <f>IF(MAIN_DATA!$D38="","",MAIN_DATA!L38)</f>
        <v/>
      </c>
      <c r="F33" s="87" t="str">
        <f>IF(MAIN_DATA!$D38="","",MAIN_DATA!M38)</f>
        <v/>
      </c>
      <c r="G33" s="87" t="str">
        <f>IF(MAIN_DATA!$D38="","",MAIN_DATA!N38)</f>
        <v/>
      </c>
      <c r="H33" s="87" t="str">
        <f>IF(MAIN_DATA!$D38="","",MAIN_DATA!O38)</f>
        <v/>
      </c>
      <c r="I33" s="87" t="str">
        <f>IF(MAIN_DATA!$D38="","",MAIN_DATA!P38)</f>
        <v/>
      </c>
      <c r="J33" s="87" t="str">
        <f>IF(MAIN_DATA!$D38="","",MAIN_DATA!Q38)</f>
        <v/>
      </c>
      <c r="K33" s="87" t="str">
        <f>IF(MAIN_DATA!$D38="","",MAIN_DATA!R38)</f>
        <v/>
      </c>
      <c r="L33" s="87" t="str">
        <f>IF(MAIN_DATA!$D38="","",MAIN_DATA!S38)</f>
        <v/>
      </c>
      <c r="M33" s="88" t="str">
        <f>IF(MAIN_DATA!T38=0,"",MAIN_DATA!T38)</f>
        <v/>
      </c>
      <c r="N33" s="89" t="str">
        <f>IF(MAIN_DATA!$D38="","",MAIN_DATA!U38)</f>
        <v/>
      </c>
      <c r="O33" s="90" t="str">
        <f>IF(MAIN_DATA!V38=0,"",MAIN_DATA!V38)</f>
        <v/>
      </c>
      <c r="P33" s="86" t="str">
        <f>IF(MAIN_DATA!W38=0,"",MAIN_DATA!W38)</f>
        <v/>
      </c>
      <c r="Q33" s="87" t="str">
        <f>IF(MAIN_DATA!$E38="","",MAIN_DATA!X38)</f>
        <v/>
      </c>
      <c r="R33" s="87" t="str">
        <f>IF(MAIN_DATA!$E38="","",MAIN_DATA!Y38)</f>
        <v/>
      </c>
      <c r="S33" s="87" t="str">
        <f>IF(MAIN_DATA!$E38="","",MAIN_DATA!Z38)</f>
        <v/>
      </c>
      <c r="T33" s="87" t="str">
        <f>IF(MAIN_DATA!$E38="","",MAIN_DATA!AA38)</f>
        <v/>
      </c>
      <c r="U33" s="87" t="str">
        <f>IF(MAIN_DATA!$E38="","",MAIN_DATA!AB38)</f>
        <v/>
      </c>
      <c r="V33" s="87" t="str">
        <f>IF(MAIN_DATA!$E38="","",MAIN_DATA!AC38)</f>
        <v/>
      </c>
      <c r="W33" s="87" t="str">
        <f>IF(MAIN_DATA!$E38="","",MAIN_DATA!AD38)</f>
        <v/>
      </c>
      <c r="X33" s="87" t="str">
        <f>IF(MAIN_DATA!$E38="","",MAIN_DATA!AE38)</f>
        <v/>
      </c>
      <c r="Y33" s="87" t="str">
        <f>IF(MAIN_DATA!$E38="","",MAIN_DATA!AF38)</f>
        <v/>
      </c>
      <c r="Z33" s="100" t="str">
        <f>IF(MAIN_DATA!AG38=0,"",MAIN_DATA!AG38)</f>
        <v/>
      </c>
      <c r="AA33" s="89" t="str">
        <f>IF(MAIN_DATA!$E38="","",MAIN_DATA!AH38)</f>
        <v/>
      </c>
    </row>
    <row r="34" spans="2:27" ht="21.95" customHeight="1">
      <c r="B34" s="90" t="str">
        <f>IF(MAIN_DATA!I39=0,"",MAIN_DATA!I39)</f>
        <v/>
      </c>
      <c r="C34" s="91" t="str">
        <f>IF(MAIN_DATA!J39=0,"",MAIN_DATA!J39)</f>
        <v/>
      </c>
      <c r="D34" s="92" t="str">
        <f>IF(MAIN_DATA!K39=0,"",MAIN_DATA!K39)</f>
        <v/>
      </c>
      <c r="E34" s="112" t="str">
        <f>IF(MAIN_DATA!$D39="","",MAIN_DATA!L39)</f>
        <v/>
      </c>
      <c r="F34" s="112" t="str">
        <f>IF(MAIN_DATA!$D39="","",MAIN_DATA!M39)</f>
        <v/>
      </c>
      <c r="G34" s="112" t="str">
        <f>IF(MAIN_DATA!$D39="","",MAIN_DATA!N39)</f>
        <v/>
      </c>
      <c r="H34" s="112" t="str">
        <f>IF(MAIN_DATA!$D39="","",MAIN_DATA!O39)</f>
        <v/>
      </c>
      <c r="I34" s="112" t="str">
        <f>IF(MAIN_DATA!$D39="","",MAIN_DATA!P39)</f>
        <v/>
      </c>
      <c r="J34" s="112" t="str">
        <f>IF(MAIN_DATA!$D39="","",MAIN_DATA!Q39)</f>
        <v/>
      </c>
      <c r="K34" s="112" t="str">
        <f>IF(MAIN_DATA!$D39="","",MAIN_DATA!R39)</f>
        <v/>
      </c>
      <c r="L34" s="112" t="str">
        <f>IF(MAIN_DATA!$D39="","",MAIN_DATA!S39)</f>
        <v/>
      </c>
      <c r="M34" s="93" t="str">
        <f>IF(MAIN_DATA!T39=0,"",MAIN_DATA!T39)</f>
        <v/>
      </c>
      <c r="N34" s="93" t="str">
        <f>IF(MAIN_DATA!U39=0,"",MAIN_DATA!U39)</f>
        <v/>
      </c>
      <c r="O34" s="90" t="str">
        <f>IF(MAIN_DATA!V39=0,"",MAIN_DATA!V39)</f>
        <v/>
      </c>
      <c r="P34" s="91" t="str">
        <f>IF(MAIN_DATA!W39=0,"",MAIN_DATA!W39)</f>
        <v/>
      </c>
      <c r="Q34" s="112" t="str">
        <f>IF(MAIN_DATA!$E39="","",MAIN_DATA!X39)</f>
        <v/>
      </c>
      <c r="R34" s="112" t="str">
        <f>IF(MAIN_DATA!$E39="","",MAIN_DATA!Y39)</f>
        <v/>
      </c>
      <c r="S34" s="112" t="str">
        <f>IF(MAIN_DATA!$E39="","",MAIN_DATA!Z39)</f>
        <v/>
      </c>
      <c r="T34" s="112" t="str">
        <f>IF(MAIN_DATA!$E39="","",MAIN_DATA!AA39)</f>
        <v/>
      </c>
      <c r="U34" s="112" t="str">
        <f>IF(MAIN_DATA!$E39="","",MAIN_DATA!AB39)</f>
        <v/>
      </c>
      <c r="V34" s="112" t="str">
        <f>IF(MAIN_DATA!$E39="","",MAIN_DATA!AC39)</f>
        <v/>
      </c>
      <c r="W34" s="112" t="str">
        <f>IF(MAIN_DATA!$E39="","",MAIN_DATA!AD39)</f>
        <v/>
      </c>
      <c r="X34" s="112" t="str">
        <f>IF(MAIN_DATA!$E39="","",MAIN_DATA!AE39)</f>
        <v/>
      </c>
      <c r="Y34" s="112" t="str">
        <f>IF(MAIN_DATA!$E39="","",MAIN_DATA!AF39)</f>
        <v/>
      </c>
      <c r="Z34" s="101" t="str">
        <f>IF(MAIN_DATA!AG39=0,"",MAIN_DATA!AG39)</f>
        <v/>
      </c>
      <c r="AA34" s="101" t="str">
        <f>IF(MAIN_DATA!AH39=0,"",MAIN_DATA!AH39)</f>
        <v/>
      </c>
    </row>
    <row r="35" spans="2:27" ht="21.95" customHeight="1">
      <c r="B35" s="90" t="str">
        <f>IF(MAIN_DATA!I40=0,"",MAIN_DATA!I40)</f>
        <v/>
      </c>
      <c r="C35" s="94" t="str">
        <f>IF(MAIN_DATA!J40=0,"",MAIN_DATA!J40)</f>
        <v/>
      </c>
      <c r="D35" s="95" t="str">
        <f>IF(MAIN_DATA!K40=0,"",MAIN_DATA!K40)</f>
        <v/>
      </c>
      <c r="E35" s="113" t="str">
        <f>IF(MAIN_DATA!$D40="","",MAIN_DATA!L40)</f>
        <v/>
      </c>
      <c r="F35" s="113" t="str">
        <f>IF(MAIN_DATA!$D40="","",MAIN_DATA!M40)</f>
        <v/>
      </c>
      <c r="G35" s="113" t="str">
        <f>IF(MAIN_DATA!$D40="","",MAIN_DATA!N40)</f>
        <v/>
      </c>
      <c r="H35" s="113" t="str">
        <f>IF(MAIN_DATA!$D40="","",MAIN_DATA!O40)</f>
        <v/>
      </c>
      <c r="I35" s="113" t="str">
        <f>IF(MAIN_DATA!$D40="","",MAIN_DATA!P40)</f>
        <v/>
      </c>
      <c r="J35" s="113" t="str">
        <f>IF(MAIN_DATA!$D40="","",MAIN_DATA!Q40)</f>
        <v/>
      </c>
      <c r="K35" s="113" t="str">
        <f>IF(MAIN_DATA!$D40="","",MAIN_DATA!R40)</f>
        <v/>
      </c>
      <c r="L35" s="113" t="str">
        <f>IF(MAIN_DATA!$D40="","",MAIN_DATA!S40)</f>
        <v/>
      </c>
      <c r="M35" s="88" t="str">
        <f>IF(MAIN_DATA!T40=0,"",MAIN_DATA!T40)</f>
        <v/>
      </c>
      <c r="N35" s="88" t="str">
        <f>IF(MAIN_DATA!U40=0,"",MAIN_DATA!U40)</f>
        <v/>
      </c>
      <c r="O35" s="90" t="str">
        <f>IF(MAIN_DATA!V40=0,"",MAIN_DATA!V40)</f>
        <v/>
      </c>
      <c r="P35" s="94" t="str">
        <f>IF(MAIN_DATA!W40=0,"",MAIN_DATA!W40)</f>
        <v/>
      </c>
      <c r="Q35" s="113" t="str">
        <f>IF(MAIN_DATA!$E40="","",MAIN_DATA!X40)</f>
        <v/>
      </c>
      <c r="R35" s="113" t="str">
        <f>IF(MAIN_DATA!$E40="","",MAIN_DATA!Y40)</f>
        <v/>
      </c>
      <c r="S35" s="113" t="str">
        <f>IF(MAIN_DATA!$E40="","",MAIN_DATA!Z40)</f>
        <v/>
      </c>
      <c r="T35" s="113" t="str">
        <f>IF(MAIN_DATA!$E40="","",MAIN_DATA!AA40)</f>
        <v/>
      </c>
      <c r="U35" s="113" t="str">
        <f>IF(MAIN_DATA!$E40="","",MAIN_DATA!AB40)</f>
        <v/>
      </c>
      <c r="V35" s="113" t="str">
        <f>IF(MAIN_DATA!$E40="","",MAIN_DATA!AC40)</f>
        <v/>
      </c>
      <c r="W35" s="113" t="str">
        <f>IF(MAIN_DATA!$E40="","",MAIN_DATA!AD40)</f>
        <v/>
      </c>
      <c r="X35" s="113" t="str">
        <f>IF(MAIN_DATA!$E40="","",MAIN_DATA!AE40)</f>
        <v/>
      </c>
      <c r="Y35" s="113" t="str">
        <f>IF(MAIN_DATA!$E40="","",MAIN_DATA!AF40)</f>
        <v/>
      </c>
      <c r="Z35" s="100" t="str">
        <f>IF(MAIN_DATA!AG40=0,"",MAIN_DATA!AG40)</f>
        <v/>
      </c>
      <c r="AA35" s="100" t="str">
        <f>IF(MAIN_DATA!AH40=0,"",MAIN_DATA!AH40)</f>
        <v/>
      </c>
    </row>
    <row r="36" spans="2:27" s="99" customFormat="1" ht="5.25" customHeight="1">
      <c r="B36" s="96"/>
      <c r="C36" s="97"/>
      <c r="D36" s="98"/>
      <c r="E36" s="98"/>
      <c r="F36" s="98"/>
      <c r="G36" s="98"/>
      <c r="H36" s="98"/>
      <c r="I36" s="98"/>
      <c r="J36" s="98"/>
      <c r="K36" s="98"/>
      <c r="L36" s="98"/>
      <c r="M36" s="88"/>
      <c r="N36" s="88"/>
      <c r="O36" s="96"/>
      <c r="P36" s="97"/>
      <c r="Q36" s="98"/>
      <c r="R36" s="98"/>
      <c r="S36" s="98"/>
      <c r="T36" s="98"/>
      <c r="U36" s="98"/>
      <c r="V36" s="98"/>
      <c r="W36" s="98"/>
      <c r="X36" s="98"/>
      <c r="Y36" s="98"/>
      <c r="Z36" s="88"/>
      <c r="AA36" s="88"/>
    </row>
    <row r="37" spans="2:27" ht="5.0999999999999996" customHeight="1"/>
  </sheetData>
  <mergeCells count="6">
    <mergeCell ref="AA3:AA4"/>
    <mergeCell ref="B3:C4"/>
    <mergeCell ref="M3:M4"/>
    <mergeCell ref="N3:N4"/>
    <mergeCell ref="O3:P4"/>
    <mergeCell ref="Z3:Z4"/>
  </mergeCells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3"/>
  <dimension ref="B2:AA37"/>
  <sheetViews>
    <sheetView showGridLines="0" zoomScale="85" zoomScaleNormal="85" workbookViewId="0">
      <selection activeCell="B1" sqref="B1"/>
    </sheetView>
  </sheetViews>
  <sheetFormatPr defaultColWidth="9" defaultRowHeight="16.5"/>
  <cols>
    <col min="1" max="1" width="2.625" style="80" customWidth="1"/>
    <col min="2" max="2" width="19.875" style="80" customWidth="1"/>
    <col min="3" max="3" width="15.25" style="106" customWidth="1"/>
    <col min="4" max="4" width="6.125" style="80" hidden="1" customWidth="1"/>
    <col min="5" max="5" width="6.125" style="80" customWidth="1"/>
    <col min="6" max="12" width="5.625" style="80" customWidth="1"/>
    <col min="13" max="13" width="4.75" style="79" hidden="1" customWidth="1"/>
    <col min="14" max="14" width="5.5" style="79" customWidth="1"/>
    <col min="15" max="15" width="19.625" style="80" customWidth="1"/>
    <col min="16" max="16" width="15.25" style="106" bestFit="1" customWidth="1"/>
    <col min="17" max="18" width="6.125" style="80" customWidth="1"/>
    <col min="19" max="25" width="5.625" style="80" customWidth="1"/>
    <col min="26" max="26" width="4.75" style="79" hidden="1" customWidth="1"/>
    <col min="27" max="27" width="5.5" style="79" customWidth="1"/>
    <col min="28" max="34" width="10" style="80" customWidth="1"/>
    <col min="35" max="16384" width="9" style="80"/>
  </cols>
  <sheetData>
    <row r="2" spans="2:27">
      <c r="B2" s="77"/>
      <c r="C2" s="78"/>
      <c r="D2" s="77"/>
      <c r="E2" s="77"/>
      <c r="F2" s="77"/>
      <c r="G2" s="77"/>
      <c r="H2" s="77"/>
      <c r="I2" s="77"/>
      <c r="J2" s="77"/>
      <c r="K2" s="77"/>
      <c r="L2" s="77"/>
      <c r="O2" s="77"/>
      <c r="P2" s="78"/>
      <c r="Q2" s="77"/>
      <c r="R2" s="77"/>
      <c r="S2" s="77"/>
      <c r="T2" s="77"/>
      <c r="U2" s="77"/>
      <c r="V2" s="77"/>
      <c r="W2" s="77"/>
      <c r="X2" s="77"/>
      <c r="Y2" s="108" t="s">
        <v>1459</v>
      </c>
    </row>
    <row r="3" spans="2:27" s="83" customFormat="1" ht="21.95" customHeight="1">
      <c r="B3" s="116" t="s">
        <v>1453</v>
      </c>
      <c r="C3" s="116"/>
      <c r="D3" s="81" t="str">
        <f>IF(MAIN_DATA!K7=0,"",MAIN_DATA!K7)</f>
        <v>'14년</v>
      </c>
      <c r="E3" s="81" t="str">
        <f>IF(MAIN_DATA!L7=0,"",MAIN_DATA!L7)</f>
        <v>'15년</v>
      </c>
      <c r="F3" s="81" t="str">
        <f>IF(MAIN_DATA!M7=0,"",MAIN_DATA!M7)</f>
        <v/>
      </c>
      <c r="G3" s="81" t="str">
        <f>IF(MAIN_DATA!N7=0,"",MAIN_DATA!N7)</f>
        <v/>
      </c>
      <c r="H3" s="82" t="str">
        <f>IF(MAIN_DATA!O7=0,"",MAIN_DATA!O7)</f>
        <v/>
      </c>
      <c r="I3" s="82" t="str">
        <f>IF(MAIN_DATA!P7=0,"",MAIN_DATA!P7)</f>
        <v/>
      </c>
      <c r="J3" s="82" t="str">
        <f>IF(MAIN_DATA!Q7=0,"",MAIN_DATA!Q7)</f>
        <v/>
      </c>
      <c r="K3" s="82" t="str">
        <f>IF(MAIN_DATA!R7=0,"",MAIN_DATA!R7)</f>
        <v/>
      </c>
      <c r="L3" s="82" t="str">
        <f>IF(MAIN_DATA!S7=0,"",MAIN_DATA!S7)</f>
        <v/>
      </c>
      <c r="M3" s="115" t="s">
        <v>209</v>
      </c>
      <c r="N3" s="115" t="s">
        <v>210</v>
      </c>
      <c r="O3" s="116" t="s">
        <v>1453</v>
      </c>
      <c r="P3" s="116"/>
      <c r="Q3" s="81" t="str">
        <f>IF(MAIN_DATA!X7=0,"",MAIN_DATA!X7)</f>
        <v>'14년</v>
      </c>
      <c r="R3" s="81" t="str">
        <f>IF(MAIN_DATA!Y7=0,"",MAIN_DATA!Y7)</f>
        <v>'15년</v>
      </c>
      <c r="S3" s="81" t="str">
        <f>IF(MAIN_DATA!Z7=0,"",MAIN_DATA!Z7)</f>
        <v/>
      </c>
      <c r="T3" s="81" t="str">
        <f>IF(MAIN_DATA!AA7=0,"",MAIN_DATA!AA7)</f>
        <v/>
      </c>
      <c r="U3" s="82" t="str">
        <f>IF(MAIN_DATA!AB7=0,"",MAIN_DATA!AB7)</f>
        <v/>
      </c>
      <c r="V3" s="82" t="str">
        <f>IF(MAIN_DATA!AC7=0,"",MAIN_DATA!AC7)</f>
        <v/>
      </c>
      <c r="W3" s="82" t="str">
        <f>IF(MAIN_DATA!AD7=0,"",MAIN_DATA!AD7)</f>
        <v/>
      </c>
      <c r="X3" s="82" t="str">
        <f>IF(MAIN_DATA!AE7=0,"",MAIN_DATA!AE7)</f>
        <v/>
      </c>
      <c r="Y3" s="82" t="str">
        <f>IF(MAIN_DATA!AF7=0,"",MAIN_DATA!AF7)</f>
        <v/>
      </c>
      <c r="Z3" s="115" t="s">
        <v>209</v>
      </c>
      <c r="AA3" s="115" t="s">
        <v>210</v>
      </c>
    </row>
    <row r="4" spans="2:27" s="84" customFormat="1" ht="21.95" customHeight="1">
      <c r="B4" s="117"/>
      <c r="C4" s="117"/>
      <c r="D4" s="109" t="str">
        <f>IF(MAIN_DATA!K8=0,"",MAIN_DATA!K8)</f>
        <v>12월</v>
      </c>
      <c r="E4" s="109" t="str">
        <f>IF(MAIN_DATA!L8=0,"",MAIN_DATA!L8)</f>
        <v>5월</v>
      </c>
      <c r="F4" s="109" t="str">
        <f>IF(MAIN_DATA!M8=0,"",MAIN_DATA!M8)</f>
        <v>6월</v>
      </c>
      <c r="G4" s="109" t="str">
        <f>IF(MAIN_DATA!N8=0,"",MAIN_DATA!N8)</f>
        <v>7월</v>
      </c>
      <c r="H4" s="109" t="str">
        <f>IF(MAIN_DATA!O8=0,"",MAIN_DATA!O8)</f>
        <v>8월</v>
      </c>
      <c r="I4" s="109" t="str">
        <f>IF(MAIN_DATA!P8=0,"",MAIN_DATA!P8)</f>
        <v>9월</v>
      </c>
      <c r="J4" s="109" t="str">
        <f>IF(MAIN_DATA!Q8=0,"",MAIN_DATA!Q8)</f>
        <v>10월</v>
      </c>
      <c r="K4" s="109" t="str">
        <f>IF(MAIN_DATA!R8=0,"",MAIN_DATA!R8)</f>
        <v>11월</v>
      </c>
      <c r="L4" s="109" t="str">
        <f>IF(MAIN_DATA!S8=0,"",MAIN_DATA!S8)</f>
        <v>12월</v>
      </c>
      <c r="M4" s="115"/>
      <c r="N4" s="115"/>
      <c r="O4" s="117"/>
      <c r="P4" s="117"/>
      <c r="Q4" s="109" t="str">
        <f>IF(MAIN_DATA!X8=0,"",MAIN_DATA!X8)</f>
        <v>12월</v>
      </c>
      <c r="R4" s="109" t="str">
        <f>IF(MAIN_DATA!Y8=0,"",MAIN_DATA!Y8)</f>
        <v>5월</v>
      </c>
      <c r="S4" s="109" t="str">
        <f>IF(MAIN_DATA!Z8=0,"",MAIN_DATA!Z8)</f>
        <v>6월</v>
      </c>
      <c r="T4" s="109" t="str">
        <f>IF(MAIN_DATA!AA8=0,"",MAIN_DATA!AA8)</f>
        <v>7월</v>
      </c>
      <c r="U4" s="109" t="str">
        <f>IF(MAIN_DATA!AB8=0,"",MAIN_DATA!AB8)</f>
        <v>8월</v>
      </c>
      <c r="V4" s="109" t="str">
        <f>IF(MAIN_DATA!AC8=0,"",MAIN_DATA!AC8)</f>
        <v>9월</v>
      </c>
      <c r="W4" s="109" t="str">
        <f>IF(MAIN_DATA!AD8=0,"",MAIN_DATA!AD8)</f>
        <v>10월</v>
      </c>
      <c r="X4" s="109" t="str">
        <f>IF(MAIN_DATA!AE8=0,"",MAIN_DATA!AE8)</f>
        <v>11월</v>
      </c>
      <c r="Y4" s="109" t="str">
        <f>IF(MAIN_DATA!AF8=0,"",MAIN_DATA!AF8)</f>
        <v>12월</v>
      </c>
      <c r="Z4" s="115"/>
      <c r="AA4" s="115"/>
    </row>
    <row r="5" spans="2:27" ht="21.95" customHeight="1">
      <c r="B5" s="85" t="str">
        <f>IF(MAIN_DATA!I10=0,"",MAIN_DATA!I10)</f>
        <v/>
      </c>
      <c r="C5" s="86" t="str">
        <f>IF(MAIN_DATA!J10=0,"",MAIN_DATA!J10)</f>
        <v>수주잔고</v>
      </c>
      <c r="D5" s="87">
        <f>IF(MAIN_DATA!K10=0,"",MAIN_DATA!K10)</f>
        <v>4.8497545576038474</v>
      </c>
      <c r="E5" s="87">
        <f>IF(MAIN_DATA!$D10="","",MAIN_DATA!L10)</f>
        <v>8.8794540659473391</v>
      </c>
      <c r="F5" s="87">
        <f>IF(MAIN_DATA!$D10="","",MAIN_DATA!M10)</f>
        <v>8.4318693575604495</v>
      </c>
      <c r="G5" s="87">
        <f>IF(MAIN_DATA!$D10="","",MAIN_DATA!N10)</f>
        <v>8.9060641804556795</v>
      </c>
      <c r="H5" s="87">
        <f>IF(MAIN_DATA!$D10="","",MAIN_DATA!O10)</f>
        <v>8.5527599644024512</v>
      </c>
      <c r="I5" s="87">
        <f>IF(MAIN_DATA!$D10="","",MAIN_DATA!P10)</f>
        <v>8.4383205033889386</v>
      </c>
      <c r="J5" s="87">
        <f>IF(MAIN_DATA!$D10="","",MAIN_DATA!Q10)</f>
        <v>9.2439031695024561</v>
      </c>
      <c r="K5" s="87">
        <f>IF(MAIN_DATA!$D10="","",MAIN_DATA!R10)</f>
        <v>10.817827386545456</v>
      </c>
      <c r="L5" s="87">
        <f>IF(MAIN_DATA!$D10="","",MAIN_DATA!S10)</f>
        <v>11.040179365459167</v>
      </c>
      <c r="M5" s="88">
        <f>IF(MAIN_DATA!T10=0,"",MAIN_DATA!T10)</f>
        <v>6.1904248078553197</v>
      </c>
      <c r="N5" s="89">
        <f>IF(MAIN_DATA!$D10="","",MAIN_DATA!U10)</f>
        <v>6.1904248078553197</v>
      </c>
      <c r="O5" s="90" t="str">
        <f>IF(MAIN_DATA!V10=0,"",MAIN_DATA!V10)</f>
        <v/>
      </c>
      <c r="P5" s="86" t="str">
        <f>IF(MAIN_DATA!W10=0,"",MAIN_DATA!W10)</f>
        <v>수주잔고</v>
      </c>
      <c r="Q5" s="87">
        <f>IF(MAIN_DATA!$E10="","",MAIN_DATA!X10)</f>
        <v>2.3043943313919044</v>
      </c>
      <c r="R5" s="87">
        <f>IF(MAIN_DATA!$E10="","",MAIN_DATA!Y10)</f>
        <v>0.37766065472149862</v>
      </c>
      <c r="S5" s="87">
        <f>IF(MAIN_DATA!$E10="","",MAIN_DATA!Z10)</f>
        <v>0.71702925430365083</v>
      </c>
      <c r="T5" s="87">
        <f>IF(MAIN_DATA!$E10="","",MAIN_DATA!AA10)</f>
        <v>2.4102864450747661</v>
      </c>
      <c r="U5" s="87">
        <f>IF(MAIN_DATA!$E10="","",MAIN_DATA!AB10)</f>
        <v>2.5837768262066763</v>
      </c>
      <c r="V5" s="87">
        <f>IF(MAIN_DATA!$E10="","",MAIN_DATA!AC10)</f>
        <v>2.4656052851261814</v>
      </c>
      <c r="W5" s="87">
        <f>IF(MAIN_DATA!$E10="","",MAIN_DATA!AD10)</f>
        <v>3.2988683992829664</v>
      </c>
      <c r="X5" s="87">
        <f>IF(MAIN_DATA!$E10="","",MAIN_DATA!AE10)</f>
        <v>2.8633403905720614</v>
      </c>
      <c r="Y5" s="87">
        <f>IF(MAIN_DATA!$E10="","",MAIN_DATA!AF10)</f>
        <v>2.1061079102071196</v>
      </c>
      <c r="Z5" s="88">
        <f>IF(MAIN_DATA!AG10=0,"",MAIN_DATA!AG10)</f>
        <v>2.1061079102071196</v>
      </c>
      <c r="AA5" s="89">
        <f>IF(MAIN_DATA!$E10="","",MAIN_DATA!AH10)</f>
        <v>-0.19828642118478479</v>
      </c>
    </row>
    <row r="6" spans="2:27" ht="21.95" customHeight="1">
      <c r="B6" s="85" t="str">
        <f>DB_LIST1!L7</f>
        <v>MNT Signage</v>
      </c>
      <c r="C6" s="91" t="str">
        <f>IF(MAIN_DATA!J11=0,"",MAIN_DATA!J11)</f>
        <v>매출(프로젝트)</v>
      </c>
      <c r="D6" s="92">
        <f>IF(MAIN_DATA!K11=0,"",MAIN_DATA!K11)</f>
        <v>0.32150113000000002</v>
      </c>
      <c r="E6" s="112">
        <f>IF(MAIN_DATA!$D11="","",MAIN_DATA!L11)</f>
        <v>0.56042873999999998</v>
      </c>
      <c r="F6" s="112">
        <f>IF(MAIN_DATA!$D11="","",MAIN_DATA!M11)</f>
        <v>0.86047834000000001</v>
      </c>
      <c r="G6" s="112">
        <f>IF(MAIN_DATA!$D11="","",MAIN_DATA!N11)</f>
        <v>0.69698070000000001</v>
      </c>
      <c r="H6" s="112">
        <f>IF(MAIN_DATA!$D11="","",MAIN_DATA!O11)</f>
        <v>1.0625911100000001</v>
      </c>
      <c r="I6" s="112">
        <f>IF(MAIN_DATA!$D11="","",MAIN_DATA!P11)</f>
        <v>0.70094164000000003</v>
      </c>
      <c r="J6" s="112">
        <f>IF(MAIN_DATA!$D11="","",MAIN_DATA!Q11)</f>
        <v>0.79059347999999996</v>
      </c>
      <c r="K6" s="112">
        <f>IF(MAIN_DATA!$D11="","",MAIN_DATA!R11)</f>
        <v>0.93290742999999998</v>
      </c>
      <c r="L6" s="112">
        <f>IF(MAIN_DATA!$D11="","",MAIN_DATA!S11)</f>
        <v>0.34099699999999999</v>
      </c>
      <c r="M6" s="93">
        <f>IF(MAIN_DATA!T11=0,"",MAIN_DATA!T11)</f>
        <v>1.9495869999999971E-2</v>
      </c>
      <c r="N6" s="93" t="str">
        <f>IF(MAIN_DATA!U11=0,"",MAIN_DATA!U11)</f>
        <v/>
      </c>
      <c r="O6" s="90" t="str">
        <f>IF(MAIN_DATA!V11=0,"",MAIN_DATA!V11)</f>
        <v>TV사이니지</v>
      </c>
      <c r="P6" s="91" t="str">
        <f>IF(MAIN_DATA!W11=0,"",MAIN_DATA!W11)</f>
        <v>매출(프로젝트)</v>
      </c>
      <c r="Q6" s="112">
        <f>IF(MAIN_DATA!$E11="","",MAIN_DATA!X11)</f>
        <v>0.14643644</v>
      </c>
      <c r="R6" s="112">
        <f>IF(MAIN_DATA!$E11="","",MAIN_DATA!Y11)</f>
        <v>0.33900651000000009</v>
      </c>
      <c r="S6" s="112">
        <f>IF(MAIN_DATA!$E11="","",MAIN_DATA!Z11)</f>
        <v>0.46239524000000004</v>
      </c>
      <c r="T6" s="112">
        <f>IF(MAIN_DATA!$E11="","",MAIN_DATA!AA11)</f>
        <v>0.33507548000000004</v>
      </c>
      <c r="U6" s="112">
        <f>IF(MAIN_DATA!$E11="","",MAIN_DATA!AB11)</f>
        <v>0.53963815999999998</v>
      </c>
      <c r="V6" s="112">
        <f>IF(MAIN_DATA!$E11="","",MAIN_DATA!AC11)</f>
        <v>1.1714839700000002</v>
      </c>
      <c r="W6" s="112">
        <f>IF(MAIN_DATA!$E11="","",MAIN_DATA!AD11)</f>
        <v>1.1260278100000001</v>
      </c>
      <c r="X6" s="112">
        <f>IF(MAIN_DATA!$E11="","",MAIN_DATA!AE11)</f>
        <v>0.68503075000000013</v>
      </c>
      <c r="Y6" s="112">
        <f>IF(MAIN_DATA!$E11="","",MAIN_DATA!AF11)</f>
        <v>0.43262997000000003</v>
      </c>
      <c r="Z6" s="93">
        <f>IF(MAIN_DATA!AG11=0,"",MAIN_DATA!AG11)</f>
        <v>0.43262997000000003</v>
      </c>
      <c r="AA6" s="93" t="str">
        <f>IF(MAIN_DATA!AH11=0,"",MAIN_DATA!AH11)</f>
        <v/>
      </c>
    </row>
    <row r="7" spans="2:27" ht="21.95" customHeight="1">
      <c r="B7" s="85" t="str">
        <f>IF(MAIN_DATA!I12=0,"",MAIN_DATA!I12)</f>
        <v/>
      </c>
      <c r="C7" s="94" t="str">
        <f>IF(MAIN_DATA!J12=0,"",MAIN_DATA!J12)</f>
        <v>매출(전체)</v>
      </c>
      <c r="D7" s="95">
        <f>IF(MAIN_DATA!K12=0,"",MAIN_DATA!K12)</f>
        <v>0.37772106575566133</v>
      </c>
      <c r="E7" s="113">
        <f>IF(MAIN_DATA!$D12="","",MAIN_DATA!L12)</f>
        <v>0.9391482842770501</v>
      </c>
      <c r="F7" s="113">
        <f>IF(MAIN_DATA!$D12="","",MAIN_DATA!M12)</f>
        <v>1.0535336926716385</v>
      </c>
      <c r="G7" s="113">
        <f>IF(MAIN_DATA!$D12="","",MAIN_DATA!N12)</f>
        <v>0.86750005858730095</v>
      </c>
      <c r="H7" s="113">
        <f>IF(MAIN_DATA!$D12="","",MAIN_DATA!O12)</f>
        <v>1.2885960659010673</v>
      </c>
      <c r="I7" s="113">
        <f>IF(MAIN_DATA!$D12="","",MAIN_DATA!P12)</f>
        <v>0.8405414557637827</v>
      </c>
      <c r="J7" s="113">
        <f>IF(MAIN_DATA!$D12="","",MAIN_DATA!Q12)</f>
        <v>0.95737360893181533</v>
      </c>
      <c r="K7" s="113">
        <f>IF(MAIN_DATA!$D12="","",MAIN_DATA!R12)</f>
        <v>0.985860807593535</v>
      </c>
      <c r="L7" s="113">
        <f>IF(MAIN_DATA!$D12="","",MAIN_DATA!S12)</f>
        <v>0.38621100763504979</v>
      </c>
      <c r="M7" s="88">
        <f>IF(MAIN_DATA!T12=0,"",MAIN_DATA!T12)</f>
        <v>8.4899418793884518E-3</v>
      </c>
      <c r="N7" s="88" t="str">
        <f>IF(MAIN_DATA!U12=0,"",MAIN_DATA!U12)</f>
        <v/>
      </c>
      <c r="O7" s="90" t="str">
        <f>IF(MAIN_DATA!V12=0,"",MAIN_DATA!V12)</f>
        <v/>
      </c>
      <c r="P7" s="94" t="str">
        <f>IF(MAIN_DATA!W12=0,"",MAIN_DATA!W12)</f>
        <v>매출(전체)</v>
      </c>
      <c r="Q7" s="113">
        <f>IF(MAIN_DATA!$E12="","",MAIN_DATA!X12)</f>
        <v>0</v>
      </c>
      <c r="R7" s="113">
        <f>IF(MAIN_DATA!$E12="","",MAIN_DATA!Y12)</f>
        <v>0</v>
      </c>
      <c r="S7" s="113">
        <f>IF(MAIN_DATA!$E12="","",MAIN_DATA!Z12)</f>
        <v>0</v>
      </c>
      <c r="T7" s="113">
        <f>IF(MAIN_DATA!$E12="","",MAIN_DATA!AA12)</f>
        <v>0</v>
      </c>
      <c r="U7" s="113">
        <f>IF(MAIN_DATA!$E12="","",MAIN_DATA!AB12)</f>
        <v>0</v>
      </c>
      <c r="V7" s="113">
        <f>IF(MAIN_DATA!$E12="","",MAIN_DATA!AC12)</f>
        <v>0</v>
      </c>
      <c r="W7" s="113">
        <f>IF(MAIN_DATA!$E12="","",MAIN_DATA!AD12)</f>
        <v>0</v>
      </c>
      <c r="X7" s="113">
        <f>IF(MAIN_DATA!$E12="","",MAIN_DATA!AE12)</f>
        <v>0</v>
      </c>
      <c r="Y7" s="113">
        <f>IF(MAIN_DATA!$E12="","",MAIN_DATA!AF12)</f>
        <v>0</v>
      </c>
      <c r="Z7" s="88" t="str">
        <f>IF(MAIN_DATA!AG12=0,"",MAIN_DATA!AG12)</f>
        <v/>
      </c>
      <c r="AA7" s="88" t="str">
        <f>IF(MAIN_DATA!AH12=0,"",MAIN_DATA!AH12)</f>
        <v/>
      </c>
    </row>
    <row r="8" spans="2:27" s="99" customFormat="1" ht="5.25" customHeight="1">
      <c r="B8" s="96" t="str">
        <f>IF(MAIN_DATA!I13=0,"",MAIN_DATA!I13)</f>
        <v/>
      </c>
      <c r="C8" s="97" t="str">
        <f>IF(MAIN_DATA!J13=0,"",MAIN_DATA!J13)</f>
        <v/>
      </c>
      <c r="D8" s="98" t="str">
        <f>IF(MAIN_DATA!K13=0,"",MAIN_DATA!K13)</f>
        <v/>
      </c>
      <c r="E8" s="98">
        <f>IF(MAIN_DATA!$D13="","",MAIN_DATA!L13)</f>
        <v>0</v>
      </c>
      <c r="F8" s="98">
        <f>IF(MAIN_DATA!$D13="","",MAIN_DATA!M13)</f>
        <v>0</v>
      </c>
      <c r="G8" s="98">
        <f>IF(MAIN_DATA!$D13="","",MAIN_DATA!N13)</f>
        <v>0</v>
      </c>
      <c r="H8" s="98">
        <f>IF(MAIN_DATA!$D13="","",MAIN_DATA!O13)</f>
        <v>0</v>
      </c>
      <c r="I8" s="98">
        <f>IF(MAIN_DATA!$D13="","",MAIN_DATA!P13)</f>
        <v>0</v>
      </c>
      <c r="J8" s="98">
        <f>IF(MAIN_DATA!$D13="","",MAIN_DATA!Q13)</f>
        <v>0</v>
      </c>
      <c r="K8" s="98">
        <f>IF(MAIN_DATA!$D13="","",MAIN_DATA!R13)</f>
        <v>0</v>
      </c>
      <c r="L8" s="98">
        <f>IF(MAIN_DATA!$D13="","",MAIN_DATA!S13)</f>
        <v>0</v>
      </c>
      <c r="M8" s="88" t="str">
        <f>IF(MAIN_DATA!T13=0,"",MAIN_DATA!T13)</f>
        <v/>
      </c>
      <c r="N8" s="88" t="str">
        <f>IF(MAIN_DATA!U13=0,"",MAIN_DATA!U13)</f>
        <v/>
      </c>
      <c r="O8" s="96" t="str">
        <f>IF(MAIN_DATA!V13=0,"",MAIN_DATA!V13)</f>
        <v/>
      </c>
      <c r="P8" s="97" t="str">
        <f>IF(MAIN_DATA!W13=0,"",MAIN_DATA!W13)</f>
        <v/>
      </c>
      <c r="Q8" s="98">
        <f>IF(MAIN_DATA!$E13="","",MAIN_DATA!X13)</f>
        <v>0</v>
      </c>
      <c r="R8" s="98">
        <f>IF(MAIN_DATA!$E13="","",MAIN_DATA!Y13)</f>
        <v>0</v>
      </c>
      <c r="S8" s="98">
        <f>IF(MAIN_DATA!$E13="","",MAIN_DATA!Z13)</f>
        <v>0</v>
      </c>
      <c r="T8" s="98">
        <f>IF(MAIN_DATA!$E13="","",MAIN_DATA!AA13)</f>
        <v>0</v>
      </c>
      <c r="U8" s="98">
        <f>IF(MAIN_DATA!$E13="","",MAIN_DATA!AB13)</f>
        <v>0</v>
      </c>
      <c r="V8" s="98">
        <f>IF(MAIN_DATA!$E13="","",MAIN_DATA!AC13)</f>
        <v>0</v>
      </c>
      <c r="W8" s="98">
        <f>IF(MAIN_DATA!$E13="","",MAIN_DATA!AD13)</f>
        <v>0</v>
      </c>
      <c r="X8" s="98">
        <f>IF(MAIN_DATA!$E13="","",MAIN_DATA!AE13)</f>
        <v>0</v>
      </c>
      <c r="Y8" s="98">
        <f>IF(MAIN_DATA!$E13="","",MAIN_DATA!AF13)</f>
        <v>0</v>
      </c>
      <c r="Z8" s="88" t="str">
        <f>IF(MAIN_DATA!AG13=0,"",MAIN_DATA!AG13)</f>
        <v/>
      </c>
      <c r="AA8" s="88" t="str">
        <f>IF(MAIN_DATA!AH13=0,"",MAIN_DATA!AH13)</f>
        <v/>
      </c>
    </row>
    <row r="9" spans="2:27" ht="21.95" customHeight="1">
      <c r="B9" s="90" t="str">
        <f>IF(MAIN_DATA!I14=0,"",MAIN_DATA!I14)</f>
        <v/>
      </c>
      <c r="C9" s="86" t="str">
        <f>IF(MAIN_DATA!J14=0,"",MAIN_DATA!J14)</f>
        <v>수주잔고</v>
      </c>
      <c r="D9" s="87">
        <f>IF(MAIN_DATA!K14=0,"",MAIN_DATA!K14)</f>
        <v>4.8497545576038474</v>
      </c>
      <c r="E9" s="87">
        <f>IF(MAIN_DATA!$D14="","",MAIN_DATA!L14)</f>
        <v>8.8794540659473391</v>
      </c>
      <c r="F9" s="87">
        <f>IF(MAIN_DATA!$D14="","",MAIN_DATA!M14)</f>
        <v>8.4318693575604495</v>
      </c>
      <c r="G9" s="87">
        <f>IF(MAIN_DATA!$D14="","",MAIN_DATA!N14)</f>
        <v>8.9060641804556795</v>
      </c>
      <c r="H9" s="87">
        <f>IF(MAIN_DATA!$D14="","",MAIN_DATA!O14)</f>
        <v>8.5527599644024512</v>
      </c>
      <c r="I9" s="87">
        <f>IF(MAIN_DATA!$D14="","",MAIN_DATA!P14)</f>
        <v>8.4383205033889386</v>
      </c>
      <c r="J9" s="87">
        <f>IF(MAIN_DATA!$D14="","",MAIN_DATA!Q14)</f>
        <v>9.2439031695024561</v>
      </c>
      <c r="K9" s="87">
        <f>IF(MAIN_DATA!$D14="","",MAIN_DATA!R14)</f>
        <v>10.817827386545456</v>
      </c>
      <c r="L9" s="87">
        <f>IF(MAIN_DATA!$D14="","",MAIN_DATA!S14)</f>
        <v>11.040179365459167</v>
      </c>
      <c r="M9" s="88">
        <f>IF(MAIN_DATA!T14=0,"",MAIN_DATA!T14)</f>
        <v>6.1904248078553197</v>
      </c>
      <c r="N9" s="89">
        <f>IF(MAIN_DATA!$D14="","",MAIN_DATA!U14)</f>
        <v>6.1904248078553197</v>
      </c>
      <c r="O9" s="90" t="str">
        <f>IF(MAIN_DATA!V14=0,"",MAIN_DATA!V14)</f>
        <v/>
      </c>
      <c r="P9" s="86" t="str">
        <f>IF(MAIN_DATA!W14=0,"",MAIN_DATA!W14)</f>
        <v>수주잔고</v>
      </c>
      <c r="Q9" s="87">
        <f>IF(MAIN_DATA!$E14="","",MAIN_DATA!X14)</f>
        <v>2.3043943313919044</v>
      </c>
      <c r="R9" s="87">
        <f>IF(MAIN_DATA!$E14="","",MAIN_DATA!Y14)</f>
        <v>0.37766065472149862</v>
      </c>
      <c r="S9" s="87">
        <f>IF(MAIN_DATA!$E14="","",MAIN_DATA!Z14)</f>
        <v>0.71702925430365083</v>
      </c>
      <c r="T9" s="87">
        <f>IF(MAIN_DATA!$E14="","",MAIN_DATA!AA14)</f>
        <v>2.4102864450747661</v>
      </c>
      <c r="U9" s="87">
        <f>IF(MAIN_DATA!$E14="","",MAIN_DATA!AB14)</f>
        <v>2.5837768262066763</v>
      </c>
      <c r="V9" s="87">
        <f>IF(MAIN_DATA!$E14="","",MAIN_DATA!AC14)</f>
        <v>2.4656052851261814</v>
      </c>
      <c r="W9" s="87">
        <f>IF(MAIN_DATA!$E14="","",MAIN_DATA!AD14)</f>
        <v>3.2988683992829664</v>
      </c>
      <c r="X9" s="87">
        <f>IF(MAIN_DATA!$E14="","",MAIN_DATA!AE14)</f>
        <v>2.8633403905720614</v>
      </c>
      <c r="Y9" s="87">
        <f>IF(MAIN_DATA!$E14="","",MAIN_DATA!AF14)</f>
        <v>2.1061079102071196</v>
      </c>
      <c r="Z9" s="100">
        <f>IF(MAIN_DATA!AG14=0,"",MAIN_DATA!AG14)</f>
        <v>2.1061079102071196</v>
      </c>
      <c r="AA9" s="89">
        <f>IF(MAIN_DATA!$E14="","",MAIN_DATA!AH14)</f>
        <v>-0.19828642118478479</v>
      </c>
    </row>
    <row r="10" spans="2:27" ht="21.95" customHeight="1">
      <c r="B10" s="90" t="str">
        <f>IFERROR(VLOOKUP(MAIN_DATA!$I15,DB_NM!$I:$J,2,FALSE),"")</f>
        <v>Australia</v>
      </c>
      <c r="C10" s="91" t="str">
        <f>IF(MAIN_DATA!J15=0,"",MAIN_DATA!J15)</f>
        <v>매출(프로젝트)</v>
      </c>
      <c r="D10" s="92">
        <f>IF(MAIN_DATA!K15=0,"",MAIN_DATA!K15)</f>
        <v>0.32150113000000002</v>
      </c>
      <c r="E10" s="112">
        <f>IF(MAIN_DATA!$D15="","",MAIN_DATA!L15)</f>
        <v>0.56042873999999998</v>
      </c>
      <c r="F10" s="112">
        <f>IF(MAIN_DATA!$D15="","",MAIN_DATA!M15)</f>
        <v>0.86047834000000001</v>
      </c>
      <c r="G10" s="112">
        <f>IF(MAIN_DATA!$D15="","",MAIN_DATA!N15)</f>
        <v>0.69698070000000001</v>
      </c>
      <c r="H10" s="112">
        <f>IF(MAIN_DATA!$D15="","",MAIN_DATA!O15)</f>
        <v>1.0625911100000001</v>
      </c>
      <c r="I10" s="112">
        <f>IF(MAIN_DATA!$D15="","",MAIN_DATA!P15)</f>
        <v>0.70094164000000003</v>
      </c>
      <c r="J10" s="112">
        <f>IF(MAIN_DATA!$D15="","",MAIN_DATA!Q15)</f>
        <v>0.79059347999999996</v>
      </c>
      <c r="K10" s="112">
        <f>IF(MAIN_DATA!$D15="","",MAIN_DATA!R15)</f>
        <v>0.93290742999999998</v>
      </c>
      <c r="L10" s="112">
        <f>IF(MAIN_DATA!$D15="","",MAIN_DATA!S15)</f>
        <v>0.34099699999999999</v>
      </c>
      <c r="M10" s="93">
        <f>IF(MAIN_DATA!T15=0,"",MAIN_DATA!T15)</f>
        <v>1.9495869999999971E-2</v>
      </c>
      <c r="N10" s="93" t="str">
        <f>IF(MAIN_DATA!U15=0,"",MAIN_DATA!U15)</f>
        <v/>
      </c>
      <c r="O10" s="90" t="str">
        <f>IF(MAIN_DATA!V15=0,"",MAIN_DATA!V15)</f>
        <v>호주</v>
      </c>
      <c r="P10" s="91" t="str">
        <f>IF(MAIN_DATA!W15=0,"",MAIN_DATA!W15)</f>
        <v>매출(프로젝트)</v>
      </c>
      <c r="Q10" s="112">
        <f>IF(MAIN_DATA!$E15="","",MAIN_DATA!X15)</f>
        <v>0.14643644</v>
      </c>
      <c r="R10" s="112">
        <f>IF(MAIN_DATA!$E15="","",MAIN_DATA!Y15)</f>
        <v>0.33900651000000009</v>
      </c>
      <c r="S10" s="112">
        <f>IF(MAIN_DATA!$E15="","",MAIN_DATA!Z15)</f>
        <v>0.46239524000000004</v>
      </c>
      <c r="T10" s="112">
        <f>IF(MAIN_DATA!$E15="","",MAIN_DATA!AA15)</f>
        <v>0.33507548000000004</v>
      </c>
      <c r="U10" s="112">
        <f>IF(MAIN_DATA!$E15="","",MAIN_DATA!AB15)</f>
        <v>0.53963815999999998</v>
      </c>
      <c r="V10" s="112">
        <f>IF(MAIN_DATA!$E15="","",MAIN_DATA!AC15)</f>
        <v>1.1714839700000002</v>
      </c>
      <c r="W10" s="112">
        <f>IF(MAIN_DATA!$E15="","",MAIN_DATA!AD15)</f>
        <v>1.1260278100000001</v>
      </c>
      <c r="X10" s="112">
        <f>IF(MAIN_DATA!$E15="","",MAIN_DATA!AE15)</f>
        <v>0.68503075000000013</v>
      </c>
      <c r="Y10" s="112">
        <f>IF(MAIN_DATA!$E15="","",MAIN_DATA!AF15)</f>
        <v>0.43262997000000003</v>
      </c>
      <c r="Z10" s="101">
        <f>IF(MAIN_DATA!AG15=0,"",MAIN_DATA!AG15)</f>
        <v>0.43262997000000003</v>
      </c>
      <c r="AA10" s="101" t="str">
        <f>IF(MAIN_DATA!AH15=0,"",MAIN_DATA!AH15)</f>
        <v/>
      </c>
    </row>
    <row r="11" spans="2:27" ht="21.95" customHeight="1">
      <c r="B11" s="90" t="str">
        <f>IF(MAIN_DATA!I16=0,"",MAIN_DATA!I16)</f>
        <v/>
      </c>
      <c r="C11" s="94" t="str">
        <f>IF(MAIN_DATA!J16=0,"",MAIN_DATA!J16)</f>
        <v>매출(전체)</v>
      </c>
      <c r="D11" s="95">
        <f>IF(MAIN_DATA!K16=0,"",MAIN_DATA!K16)</f>
        <v>0.37772106575566133</v>
      </c>
      <c r="E11" s="113">
        <f>IF(MAIN_DATA!$D16="","",MAIN_DATA!L16)</f>
        <v>0.9391482842770501</v>
      </c>
      <c r="F11" s="113">
        <f>IF(MAIN_DATA!$D16="","",MAIN_DATA!M16)</f>
        <v>1.0535336926716385</v>
      </c>
      <c r="G11" s="113">
        <f>IF(MAIN_DATA!$D16="","",MAIN_DATA!N16)</f>
        <v>0.86750005858730095</v>
      </c>
      <c r="H11" s="113">
        <f>IF(MAIN_DATA!$D16="","",MAIN_DATA!O16)</f>
        <v>1.2885960659010673</v>
      </c>
      <c r="I11" s="113">
        <f>IF(MAIN_DATA!$D16="","",MAIN_DATA!P16)</f>
        <v>0.8405414557637827</v>
      </c>
      <c r="J11" s="113">
        <f>IF(MAIN_DATA!$D16="","",MAIN_DATA!Q16)</f>
        <v>0.95737360893181533</v>
      </c>
      <c r="K11" s="113">
        <f>IF(MAIN_DATA!$D16="","",MAIN_DATA!R16)</f>
        <v>0.985860807593535</v>
      </c>
      <c r="L11" s="113">
        <f>IF(MAIN_DATA!$D16="","",MAIN_DATA!S16)</f>
        <v>0.38621100763504979</v>
      </c>
      <c r="M11" s="88">
        <f>IF(MAIN_DATA!T16=0,"",MAIN_DATA!T16)</f>
        <v>8.4899418793884518E-3</v>
      </c>
      <c r="N11" s="88" t="str">
        <f>IF(MAIN_DATA!U16=0,"",MAIN_DATA!U16)</f>
        <v/>
      </c>
      <c r="O11" s="90" t="str">
        <f>IF(MAIN_DATA!V16=0,"",MAIN_DATA!V16)</f>
        <v/>
      </c>
      <c r="P11" s="94" t="str">
        <f>IF(MAIN_DATA!W16=0,"",MAIN_DATA!W16)</f>
        <v>매출(전체)</v>
      </c>
      <c r="Q11" s="113">
        <f>IF(MAIN_DATA!$E16="","",MAIN_DATA!X16)</f>
        <v>0</v>
      </c>
      <c r="R11" s="113">
        <f>IF(MAIN_DATA!$E16="","",MAIN_DATA!Y16)</f>
        <v>0</v>
      </c>
      <c r="S11" s="113">
        <f>IF(MAIN_DATA!$E16="","",MAIN_DATA!Z16)</f>
        <v>0</v>
      </c>
      <c r="T11" s="113">
        <f>IF(MAIN_DATA!$E16="","",MAIN_DATA!AA16)</f>
        <v>0</v>
      </c>
      <c r="U11" s="113">
        <f>IF(MAIN_DATA!$E16="","",MAIN_DATA!AB16)</f>
        <v>0</v>
      </c>
      <c r="V11" s="113">
        <f>IF(MAIN_DATA!$E16="","",MAIN_DATA!AC16)</f>
        <v>0</v>
      </c>
      <c r="W11" s="113">
        <f>IF(MAIN_DATA!$E16="","",MAIN_DATA!AD16)</f>
        <v>0</v>
      </c>
      <c r="X11" s="113">
        <f>IF(MAIN_DATA!$E16="","",MAIN_DATA!AE16)</f>
        <v>0</v>
      </c>
      <c r="Y11" s="113">
        <f>IF(MAIN_DATA!$E16="","",MAIN_DATA!AF16)</f>
        <v>0</v>
      </c>
      <c r="Z11" s="100" t="str">
        <f>IF(MAIN_DATA!AG16=0,"",MAIN_DATA!AG16)</f>
        <v/>
      </c>
      <c r="AA11" s="100" t="str">
        <f>IF(MAIN_DATA!AH16=0,"",MAIN_DATA!AH16)</f>
        <v/>
      </c>
    </row>
    <row r="12" spans="2:27" s="99" customFormat="1" ht="5.25" customHeight="1">
      <c r="B12" s="102" t="str">
        <f>IF(MAIN_DATA!I17=0,"",MAIN_DATA!I17)</f>
        <v/>
      </c>
      <c r="C12" s="103" t="str">
        <f>IF(MAIN_DATA!J17=0,"",MAIN_DATA!J17)</f>
        <v/>
      </c>
      <c r="D12" s="104" t="str">
        <f>IF(MAIN_DATA!K17=0,"",MAIN_DATA!K17)</f>
        <v/>
      </c>
      <c r="E12" s="98">
        <f>IF(MAIN_DATA!$D17="","",MAIN_DATA!L17)</f>
        <v>0</v>
      </c>
      <c r="F12" s="98">
        <f>IF(MAIN_DATA!$D17="","",MAIN_DATA!M17)</f>
        <v>0</v>
      </c>
      <c r="G12" s="98">
        <f>IF(MAIN_DATA!$D17="","",MAIN_DATA!N17)</f>
        <v>0</v>
      </c>
      <c r="H12" s="98">
        <f>IF(MAIN_DATA!$D17="","",MAIN_DATA!O17)</f>
        <v>0</v>
      </c>
      <c r="I12" s="98">
        <f>IF(MAIN_DATA!$D17="","",MAIN_DATA!P17)</f>
        <v>0</v>
      </c>
      <c r="J12" s="98">
        <f>IF(MAIN_DATA!$D17="","",MAIN_DATA!Q17)</f>
        <v>0</v>
      </c>
      <c r="K12" s="98">
        <f>IF(MAIN_DATA!$D17="","",MAIN_DATA!R17)</f>
        <v>0</v>
      </c>
      <c r="L12" s="98">
        <f>IF(MAIN_DATA!$D17="","",MAIN_DATA!S17)</f>
        <v>0</v>
      </c>
      <c r="M12" s="88" t="str">
        <f>IF(MAIN_DATA!T17=0,"",MAIN_DATA!T17)</f>
        <v/>
      </c>
      <c r="N12" s="88" t="str">
        <f>IF(MAIN_DATA!U17=0,"",MAIN_DATA!U17)</f>
        <v/>
      </c>
      <c r="O12" s="96" t="str">
        <f>IF(MAIN_DATA!V17=0,"",MAIN_DATA!V17)</f>
        <v/>
      </c>
      <c r="P12" s="97" t="str">
        <f>IF(MAIN_DATA!W17=0,"",MAIN_DATA!W17)</f>
        <v/>
      </c>
      <c r="Q12" s="98">
        <f>IF(MAIN_DATA!$E17="","",MAIN_DATA!X17)</f>
        <v>0</v>
      </c>
      <c r="R12" s="98">
        <f>IF(MAIN_DATA!$E17="","",MAIN_DATA!Y17)</f>
        <v>0</v>
      </c>
      <c r="S12" s="98">
        <f>IF(MAIN_DATA!$E17="","",MAIN_DATA!Z17)</f>
        <v>0</v>
      </c>
      <c r="T12" s="98">
        <f>IF(MAIN_DATA!$E17="","",MAIN_DATA!AA17)</f>
        <v>0</v>
      </c>
      <c r="U12" s="98">
        <f>IF(MAIN_DATA!$E17="","",MAIN_DATA!AB17)</f>
        <v>0</v>
      </c>
      <c r="V12" s="98">
        <f>IF(MAIN_DATA!$E17="","",MAIN_DATA!AC17)</f>
        <v>0</v>
      </c>
      <c r="W12" s="98">
        <f>IF(MAIN_DATA!$E17="","",MAIN_DATA!AD17)</f>
        <v>0</v>
      </c>
      <c r="X12" s="98">
        <f>IF(MAIN_DATA!$E17="","",MAIN_DATA!AE17)</f>
        <v>0</v>
      </c>
      <c r="Y12" s="98">
        <f>IF(MAIN_DATA!$E17="","",MAIN_DATA!AF17)</f>
        <v>0</v>
      </c>
      <c r="Z12" s="88" t="str">
        <f>IF(MAIN_DATA!AG17=0,"",MAIN_DATA!AG17)</f>
        <v/>
      </c>
      <c r="AA12" s="88" t="str">
        <f>IF(MAIN_DATA!AH17=0,"",MAIN_DATA!AH17)</f>
        <v/>
      </c>
    </row>
    <row r="13" spans="2:27" ht="21.95" customHeight="1">
      <c r="B13" s="90" t="str">
        <f>IF(MAIN_DATA!I18=0,"",MAIN_DATA!I18)</f>
        <v/>
      </c>
      <c r="C13" s="86" t="str">
        <f>IF(MAIN_DATA!J18=0,"",MAIN_DATA!J18)</f>
        <v/>
      </c>
      <c r="D13" s="87" t="str">
        <f>IF(MAIN_DATA!K18=0,"",MAIN_DATA!K18)</f>
        <v/>
      </c>
      <c r="E13" s="87" t="str">
        <f>IF(MAIN_DATA!$D18="","",MAIN_DATA!L18)</f>
        <v/>
      </c>
      <c r="F13" s="87" t="str">
        <f>IF(MAIN_DATA!$D18="","",MAIN_DATA!M18)</f>
        <v/>
      </c>
      <c r="G13" s="87" t="str">
        <f>IF(MAIN_DATA!$D18="","",MAIN_DATA!N18)</f>
        <v/>
      </c>
      <c r="H13" s="87" t="str">
        <f>IF(MAIN_DATA!$D18="","",MAIN_DATA!O18)</f>
        <v/>
      </c>
      <c r="I13" s="87" t="str">
        <f>IF(MAIN_DATA!$D18="","",MAIN_DATA!P18)</f>
        <v/>
      </c>
      <c r="J13" s="87" t="str">
        <f>IF(MAIN_DATA!$D18="","",MAIN_DATA!Q18)</f>
        <v/>
      </c>
      <c r="K13" s="87" t="str">
        <f>IF(MAIN_DATA!$D18="","",MAIN_DATA!R18)</f>
        <v/>
      </c>
      <c r="L13" s="87" t="str">
        <f>IF(MAIN_DATA!$D18="","",MAIN_DATA!S18)</f>
        <v/>
      </c>
      <c r="M13" s="88" t="str">
        <f>IF(MAIN_DATA!T18=0,"",MAIN_DATA!T18)</f>
        <v/>
      </c>
      <c r="N13" s="89" t="str">
        <f>IF(MAIN_DATA!$D18="","",MAIN_DATA!U18)</f>
        <v/>
      </c>
      <c r="O13" s="90" t="str">
        <f>IF(MAIN_DATA!V18=0,"",MAIN_DATA!V18)</f>
        <v/>
      </c>
      <c r="P13" s="86" t="str">
        <f>IF(MAIN_DATA!W18=0,"",MAIN_DATA!W18)</f>
        <v/>
      </c>
      <c r="Q13" s="87" t="str">
        <f>IF(MAIN_DATA!$E18="","",MAIN_DATA!X18)</f>
        <v/>
      </c>
      <c r="R13" s="87" t="str">
        <f>IF(MAIN_DATA!$E18="","",MAIN_DATA!Y18)</f>
        <v/>
      </c>
      <c r="S13" s="87" t="str">
        <f>IF(MAIN_DATA!$E18="","",MAIN_DATA!Z18)</f>
        <v/>
      </c>
      <c r="T13" s="87" t="str">
        <f>IF(MAIN_DATA!$E18="","",MAIN_DATA!AA18)</f>
        <v/>
      </c>
      <c r="U13" s="87" t="str">
        <f>IF(MAIN_DATA!$E18="","",MAIN_DATA!AB18)</f>
        <v/>
      </c>
      <c r="V13" s="87" t="str">
        <f>IF(MAIN_DATA!$E18="","",MAIN_DATA!AC18)</f>
        <v/>
      </c>
      <c r="W13" s="87" t="str">
        <f>IF(MAIN_DATA!$E18="","",MAIN_DATA!AD18)</f>
        <v/>
      </c>
      <c r="X13" s="87" t="str">
        <f>IF(MAIN_DATA!$E18="","",MAIN_DATA!AE18)</f>
        <v/>
      </c>
      <c r="Y13" s="87" t="str">
        <f>IF(MAIN_DATA!$E18="","",MAIN_DATA!AF18)</f>
        <v/>
      </c>
      <c r="Z13" s="100" t="str">
        <f>IF(MAIN_DATA!AG18=0,"",MAIN_DATA!AG18)</f>
        <v/>
      </c>
      <c r="AA13" s="89" t="str">
        <f>IF(MAIN_DATA!$E18="","",MAIN_DATA!AH18)</f>
        <v/>
      </c>
    </row>
    <row r="14" spans="2:27" ht="21.95" customHeight="1">
      <c r="B14" s="90" t="str">
        <f>IFERROR(VLOOKUP(MAIN_DATA!$I19,DB_NM!$I:$J,2,FALSE),"")</f>
        <v/>
      </c>
      <c r="C14" s="91" t="str">
        <f>IF(MAIN_DATA!J19=0,"",MAIN_DATA!J19)</f>
        <v/>
      </c>
      <c r="D14" s="92" t="str">
        <f>IF(MAIN_DATA!K19=0,"",MAIN_DATA!K19)</f>
        <v/>
      </c>
      <c r="E14" s="112" t="str">
        <f>IF(MAIN_DATA!$D19="","",MAIN_DATA!L19)</f>
        <v/>
      </c>
      <c r="F14" s="112" t="str">
        <f>IF(MAIN_DATA!$D19="","",MAIN_DATA!M19)</f>
        <v/>
      </c>
      <c r="G14" s="112" t="str">
        <f>IF(MAIN_DATA!$D19="","",MAIN_DATA!N19)</f>
        <v/>
      </c>
      <c r="H14" s="112" t="str">
        <f>IF(MAIN_DATA!$D19="","",MAIN_DATA!O19)</f>
        <v/>
      </c>
      <c r="I14" s="112" t="str">
        <f>IF(MAIN_DATA!$D19="","",MAIN_DATA!P19)</f>
        <v/>
      </c>
      <c r="J14" s="112" t="str">
        <f>IF(MAIN_DATA!$D19="","",MAIN_DATA!Q19)</f>
        <v/>
      </c>
      <c r="K14" s="112" t="str">
        <f>IF(MAIN_DATA!$D19="","",MAIN_DATA!R19)</f>
        <v/>
      </c>
      <c r="L14" s="112" t="str">
        <f>IF(MAIN_DATA!$D19="","",MAIN_DATA!S19)</f>
        <v/>
      </c>
      <c r="M14" s="93" t="str">
        <f>IF(MAIN_DATA!T19=0,"",MAIN_DATA!T19)</f>
        <v/>
      </c>
      <c r="N14" s="93" t="str">
        <f>IF(MAIN_DATA!U19=0,"",MAIN_DATA!U19)</f>
        <v/>
      </c>
      <c r="O14" s="90" t="str">
        <f>IF(MAIN_DATA!V19=0,"",MAIN_DATA!V19)</f>
        <v/>
      </c>
      <c r="P14" s="91" t="str">
        <f>IF(MAIN_DATA!W19=0,"",MAIN_DATA!W19)</f>
        <v/>
      </c>
      <c r="Q14" s="112" t="str">
        <f>IF(MAIN_DATA!$E19="","",MAIN_DATA!X19)</f>
        <v/>
      </c>
      <c r="R14" s="112" t="str">
        <f>IF(MAIN_DATA!$E19="","",MAIN_DATA!Y19)</f>
        <v/>
      </c>
      <c r="S14" s="112" t="str">
        <f>IF(MAIN_DATA!$E19="","",MAIN_DATA!Z19)</f>
        <v/>
      </c>
      <c r="T14" s="112" t="str">
        <f>IF(MAIN_DATA!$E19="","",MAIN_DATA!AA19)</f>
        <v/>
      </c>
      <c r="U14" s="112" t="str">
        <f>IF(MAIN_DATA!$E19="","",MAIN_DATA!AB19)</f>
        <v/>
      </c>
      <c r="V14" s="112" t="str">
        <f>IF(MAIN_DATA!$E19="","",MAIN_DATA!AC19)</f>
        <v/>
      </c>
      <c r="W14" s="112" t="str">
        <f>IF(MAIN_DATA!$E19="","",MAIN_DATA!AD19)</f>
        <v/>
      </c>
      <c r="X14" s="112" t="str">
        <f>IF(MAIN_DATA!$E19="","",MAIN_DATA!AE19)</f>
        <v/>
      </c>
      <c r="Y14" s="112" t="str">
        <f>IF(MAIN_DATA!$E19="","",MAIN_DATA!AF19)</f>
        <v/>
      </c>
      <c r="Z14" s="101" t="str">
        <f>IF(MAIN_DATA!AG19=0,"",MAIN_DATA!AG19)</f>
        <v/>
      </c>
      <c r="AA14" s="101" t="str">
        <f>IF(MAIN_DATA!AH19=0,"",MAIN_DATA!AH19)</f>
        <v/>
      </c>
    </row>
    <row r="15" spans="2:27" ht="21.95" customHeight="1">
      <c r="B15" s="90" t="str">
        <f>IF(MAIN_DATA!I20=0,"",MAIN_DATA!I20)</f>
        <v/>
      </c>
      <c r="C15" s="94" t="str">
        <f>IF(MAIN_DATA!J20=0,"",MAIN_DATA!J20)</f>
        <v/>
      </c>
      <c r="D15" s="95" t="str">
        <f>IF(MAIN_DATA!K20=0,"",MAIN_DATA!K20)</f>
        <v/>
      </c>
      <c r="E15" s="113" t="str">
        <f>IF(MAIN_DATA!$D20="","",MAIN_DATA!L20)</f>
        <v/>
      </c>
      <c r="F15" s="113" t="str">
        <f>IF(MAIN_DATA!$D20="","",MAIN_DATA!M20)</f>
        <v/>
      </c>
      <c r="G15" s="113" t="str">
        <f>IF(MAIN_DATA!$D20="","",MAIN_DATA!N20)</f>
        <v/>
      </c>
      <c r="H15" s="113" t="str">
        <f>IF(MAIN_DATA!$D20="","",MAIN_DATA!O20)</f>
        <v/>
      </c>
      <c r="I15" s="113" t="str">
        <f>IF(MAIN_DATA!$D20="","",MAIN_DATA!P20)</f>
        <v/>
      </c>
      <c r="J15" s="113" t="str">
        <f>IF(MAIN_DATA!$D20="","",MAIN_DATA!Q20)</f>
        <v/>
      </c>
      <c r="K15" s="113" t="str">
        <f>IF(MAIN_DATA!$D20="","",MAIN_DATA!R20)</f>
        <v/>
      </c>
      <c r="L15" s="113" t="str">
        <f>IF(MAIN_DATA!$D20="","",MAIN_DATA!S20)</f>
        <v/>
      </c>
      <c r="M15" s="88" t="str">
        <f>IF(MAIN_DATA!T20=0,"",MAIN_DATA!T20)</f>
        <v/>
      </c>
      <c r="N15" s="88" t="str">
        <f>IF(MAIN_DATA!U20=0,"",MAIN_DATA!U20)</f>
        <v/>
      </c>
      <c r="O15" s="90" t="str">
        <f>IF(MAIN_DATA!V20=0,"",MAIN_DATA!V20)</f>
        <v/>
      </c>
      <c r="P15" s="94" t="str">
        <f>IF(MAIN_DATA!W20=0,"",MAIN_DATA!W20)</f>
        <v/>
      </c>
      <c r="Q15" s="113" t="str">
        <f>IF(MAIN_DATA!$E20="","",MAIN_DATA!X20)</f>
        <v/>
      </c>
      <c r="R15" s="113" t="str">
        <f>IF(MAIN_DATA!$E20="","",MAIN_DATA!Y20)</f>
        <v/>
      </c>
      <c r="S15" s="113" t="str">
        <f>IF(MAIN_DATA!$E20="","",MAIN_DATA!Z20)</f>
        <v/>
      </c>
      <c r="T15" s="113" t="str">
        <f>IF(MAIN_DATA!$E20="","",MAIN_DATA!AA20)</f>
        <v/>
      </c>
      <c r="U15" s="113" t="str">
        <f>IF(MAIN_DATA!$E20="","",MAIN_DATA!AB20)</f>
        <v/>
      </c>
      <c r="V15" s="113" t="str">
        <f>IF(MAIN_DATA!$E20="","",MAIN_DATA!AC20)</f>
        <v/>
      </c>
      <c r="W15" s="113" t="str">
        <f>IF(MAIN_DATA!$E20="","",MAIN_DATA!AD20)</f>
        <v/>
      </c>
      <c r="X15" s="113" t="str">
        <f>IF(MAIN_DATA!$E20="","",MAIN_DATA!AE20)</f>
        <v/>
      </c>
      <c r="Y15" s="113" t="str">
        <f>IF(MAIN_DATA!$E20="","",MAIN_DATA!AF20)</f>
        <v/>
      </c>
      <c r="Z15" s="100" t="str">
        <f>IF(MAIN_DATA!AG20=0,"",MAIN_DATA!AG20)</f>
        <v/>
      </c>
      <c r="AA15" s="100" t="str">
        <f>IF(MAIN_DATA!AH20=0,"",MAIN_DATA!AH20)</f>
        <v/>
      </c>
    </row>
    <row r="16" spans="2:27" s="99" customFormat="1" ht="5.25" customHeight="1">
      <c r="B16" s="102" t="str">
        <f>IF(MAIN_DATA!I21=0,"",MAIN_DATA!I21)</f>
        <v/>
      </c>
      <c r="C16" s="103" t="str">
        <f>IF(MAIN_DATA!J21=0,"",MAIN_DATA!J21)</f>
        <v/>
      </c>
      <c r="D16" s="104" t="str">
        <f>IF(MAIN_DATA!K21=0,"",MAIN_DATA!K21)</f>
        <v/>
      </c>
      <c r="E16" s="98" t="str">
        <f>IF(MAIN_DATA!$D21="","",MAIN_DATA!L21)</f>
        <v/>
      </c>
      <c r="F16" s="98" t="str">
        <f>IF(MAIN_DATA!$D21="","",MAIN_DATA!M21)</f>
        <v/>
      </c>
      <c r="G16" s="98" t="str">
        <f>IF(MAIN_DATA!$D21="","",MAIN_DATA!N21)</f>
        <v/>
      </c>
      <c r="H16" s="98" t="str">
        <f>IF(MAIN_DATA!$D21="","",MAIN_DATA!O21)</f>
        <v/>
      </c>
      <c r="I16" s="98" t="str">
        <f>IF(MAIN_DATA!$D21="","",MAIN_DATA!P21)</f>
        <v/>
      </c>
      <c r="J16" s="98" t="str">
        <f>IF(MAIN_DATA!$D21="","",MAIN_DATA!Q21)</f>
        <v/>
      </c>
      <c r="K16" s="98" t="str">
        <f>IF(MAIN_DATA!$D21="","",MAIN_DATA!R21)</f>
        <v/>
      </c>
      <c r="L16" s="98" t="str">
        <f>IF(MAIN_DATA!$D21="","",MAIN_DATA!S21)</f>
        <v/>
      </c>
      <c r="M16" s="88" t="str">
        <f>IF(MAIN_DATA!T21=0,"",MAIN_DATA!T21)</f>
        <v/>
      </c>
      <c r="N16" s="88" t="str">
        <f>IF(MAIN_DATA!U21=0,"",MAIN_DATA!U21)</f>
        <v/>
      </c>
      <c r="O16" s="96" t="str">
        <f>IF(MAIN_DATA!V21=0,"",MAIN_DATA!V21)</f>
        <v/>
      </c>
      <c r="P16" s="97" t="str">
        <f>IF(MAIN_DATA!W21=0,"",MAIN_DATA!W21)</f>
        <v/>
      </c>
      <c r="Q16" s="98" t="str">
        <f>IF(MAIN_DATA!$E21="","",MAIN_DATA!X21)</f>
        <v/>
      </c>
      <c r="R16" s="98" t="str">
        <f>IF(MAIN_DATA!$E21="","",MAIN_DATA!Y21)</f>
        <v/>
      </c>
      <c r="S16" s="98" t="str">
        <f>IF(MAIN_DATA!$E21="","",MAIN_DATA!Z21)</f>
        <v/>
      </c>
      <c r="T16" s="98" t="str">
        <f>IF(MAIN_DATA!$E21="","",MAIN_DATA!AA21)</f>
        <v/>
      </c>
      <c r="U16" s="98" t="str">
        <f>IF(MAIN_DATA!$E21="","",MAIN_DATA!AB21)</f>
        <v/>
      </c>
      <c r="V16" s="98" t="str">
        <f>IF(MAIN_DATA!$E21="","",MAIN_DATA!AC21)</f>
        <v/>
      </c>
      <c r="W16" s="98" t="str">
        <f>IF(MAIN_DATA!$E21="","",MAIN_DATA!AD21)</f>
        <v/>
      </c>
      <c r="X16" s="98" t="str">
        <f>IF(MAIN_DATA!$E21="","",MAIN_DATA!AE21)</f>
        <v/>
      </c>
      <c r="Y16" s="98" t="str">
        <f>IF(MAIN_DATA!$E21="","",MAIN_DATA!AF21)</f>
        <v/>
      </c>
      <c r="Z16" s="88" t="str">
        <f>IF(MAIN_DATA!AG21=0,"",MAIN_DATA!AG21)</f>
        <v/>
      </c>
      <c r="AA16" s="88" t="str">
        <f>IF(MAIN_DATA!AH21=0,"",MAIN_DATA!AH21)</f>
        <v/>
      </c>
    </row>
    <row r="17" spans="2:27" ht="21.95" customHeight="1">
      <c r="B17" s="105" t="str">
        <f>IF(MAIN_DATA!I22=0,"",MAIN_DATA!I22)</f>
        <v/>
      </c>
      <c r="C17" s="86" t="str">
        <f>IF(MAIN_DATA!J22=0,"",MAIN_DATA!J22)</f>
        <v/>
      </c>
      <c r="D17" s="87" t="str">
        <f>IF(MAIN_DATA!K22=0,"",MAIN_DATA!K22)</f>
        <v/>
      </c>
      <c r="E17" s="87" t="str">
        <f>IF(MAIN_DATA!$D22="","",MAIN_DATA!L22)</f>
        <v/>
      </c>
      <c r="F17" s="87" t="str">
        <f>IF(MAIN_DATA!$D22="","",MAIN_DATA!M22)</f>
        <v/>
      </c>
      <c r="G17" s="87" t="str">
        <f>IF(MAIN_DATA!$D22="","",MAIN_DATA!N22)</f>
        <v/>
      </c>
      <c r="H17" s="87" t="str">
        <f>IF(MAIN_DATA!$D22="","",MAIN_DATA!O22)</f>
        <v/>
      </c>
      <c r="I17" s="87" t="str">
        <f>IF(MAIN_DATA!$D22="","",MAIN_DATA!P22)</f>
        <v/>
      </c>
      <c r="J17" s="87" t="str">
        <f>IF(MAIN_DATA!$D22="","",MAIN_DATA!Q22)</f>
        <v/>
      </c>
      <c r="K17" s="87" t="str">
        <f>IF(MAIN_DATA!$D22="","",MAIN_DATA!R22)</f>
        <v/>
      </c>
      <c r="L17" s="87" t="str">
        <f>IF(MAIN_DATA!$D22="","",MAIN_DATA!S22)</f>
        <v/>
      </c>
      <c r="M17" s="88" t="str">
        <f>IF(MAIN_DATA!T22=0,"",MAIN_DATA!T22)</f>
        <v/>
      </c>
      <c r="N17" s="89" t="str">
        <f>IF(MAIN_DATA!$D22="","",MAIN_DATA!U22)</f>
        <v/>
      </c>
      <c r="O17" s="90" t="str">
        <f>IF(MAIN_DATA!V22=0,"",MAIN_DATA!V22)</f>
        <v/>
      </c>
      <c r="P17" s="86" t="str">
        <f>IF(MAIN_DATA!W22=0,"",MAIN_DATA!W22)</f>
        <v/>
      </c>
      <c r="Q17" s="87" t="str">
        <f>IF(MAIN_DATA!$E22="","",MAIN_DATA!X22)</f>
        <v/>
      </c>
      <c r="R17" s="87" t="str">
        <f>IF(MAIN_DATA!$E22="","",MAIN_DATA!Y22)</f>
        <v/>
      </c>
      <c r="S17" s="87" t="str">
        <f>IF(MAIN_DATA!$E22="","",MAIN_DATA!Z22)</f>
        <v/>
      </c>
      <c r="T17" s="87" t="str">
        <f>IF(MAIN_DATA!$E22="","",MAIN_DATA!AA22)</f>
        <v/>
      </c>
      <c r="U17" s="87" t="str">
        <f>IF(MAIN_DATA!$E22="","",MAIN_DATA!AB22)</f>
        <v/>
      </c>
      <c r="V17" s="87" t="str">
        <f>IF(MAIN_DATA!$E22="","",MAIN_DATA!AC22)</f>
        <v/>
      </c>
      <c r="W17" s="87" t="str">
        <f>IF(MAIN_DATA!$E22="","",MAIN_DATA!AD22)</f>
        <v/>
      </c>
      <c r="X17" s="87" t="str">
        <f>IF(MAIN_DATA!$E22="","",MAIN_DATA!AE22)</f>
        <v/>
      </c>
      <c r="Y17" s="87" t="str">
        <f>IF(MAIN_DATA!$E22="","",MAIN_DATA!AF22)</f>
        <v/>
      </c>
      <c r="Z17" s="100" t="str">
        <f>IF(MAIN_DATA!AG22=0,"",MAIN_DATA!AG22)</f>
        <v/>
      </c>
      <c r="AA17" s="89" t="str">
        <f>IF(MAIN_DATA!$E22="","",MAIN_DATA!AH22)</f>
        <v/>
      </c>
    </row>
    <row r="18" spans="2:27" ht="21.95" customHeight="1">
      <c r="B18" s="90" t="str">
        <f>IFERROR(VLOOKUP(MAIN_DATA!$I23,DB_NM!$I:$J,2,FALSE),"")</f>
        <v/>
      </c>
      <c r="C18" s="91" t="str">
        <f>IF(MAIN_DATA!J23=0,"",MAIN_DATA!J23)</f>
        <v/>
      </c>
      <c r="D18" s="92" t="str">
        <f>IF(MAIN_DATA!K23=0,"",MAIN_DATA!K23)</f>
        <v/>
      </c>
      <c r="E18" s="112" t="str">
        <f>IF(MAIN_DATA!$D23="","",MAIN_DATA!L23)</f>
        <v/>
      </c>
      <c r="F18" s="112" t="str">
        <f>IF(MAIN_DATA!$D23="","",MAIN_DATA!M23)</f>
        <v/>
      </c>
      <c r="G18" s="112" t="str">
        <f>IF(MAIN_DATA!$D23="","",MAIN_DATA!N23)</f>
        <v/>
      </c>
      <c r="H18" s="112" t="str">
        <f>IF(MAIN_DATA!$D23="","",MAIN_DATA!O23)</f>
        <v/>
      </c>
      <c r="I18" s="112" t="str">
        <f>IF(MAIN_DATA!$D23="","",MAIN_DATA!P23)</f>
        <v/>
      </c>
      <c r="J18" s="112" t="str">
        <f>IF(MAIN_DATA!$D23="","",MAIN_DATA!Q23)</f>
        <v/>
      </c>
      <c r="K18" s="112" t="str">
        <f>IF(MAIN_DATA!$D23="","",MAIN_DATA!R23)</f>
        <v/>
      </c>
      <c r="L18" s="112" t="str">
        <f>IF(MAIN_DATA!$D23="","",MAIN_DATA!S23)</f>
        <v/>
      </c>
      <c r="M18" s="93" t="str">
        <f>IF(MAIN_DATA!T23=0,"",MAIN_DATA!T23)</f>
        <v/>
      </c>
      <c r="N18" s="93" t="str">
        <f>IF(MAIN_DATA!U23=0,"",MAIN_DATA!U23)</f>
        <v/>
      </c>
      <c r="O18" s="90" t="str">
        <f>IF(MAIN_DATA!V23=0,"",MAIN_DATA!V23)</f>
        <v/>
      </c>
      <c r="P18" s="91" t="str">
        <f>IF(MAIN_DATA!W23=0,"",MAIN_DATA!W23)</f>
        <v/>
      </c>
      <c r="Q18" s="112" t="str">
        <f>IF(MAIN_DATA!$E23="","",MAIN_DATA!X23)</f>
        <v/>
      </c>
      <c r="R18" s="112" t="str">
        <f>IF(MAIN_DATA!$E23="","",MAIN_DATA!Y23)</f>
        <v/>
      </c>
      <c r="S18" s="112" t="str">
        <f>IF(MAIN_DATA!$E23="","",MAIN_DATA!Z23)</f>
        <v/>
      </c>
      <c r="T18" s="112" t="str">
        <f>IF(MAIN_DATA!$E23="","",MAIN_DATA!AA23)</f>
        <v/>
      </c>
      <c r="U18" s="112" t="str">
        <f>IF(MAIN_DATA!$E23="","",MAIN_DATA!AB23)</f>
        <v/>
      </c>
      <c r="V18" s="112" t="str">
        <f>IF(MAIN_DATA!$E23="","",MAIN_DATA!AC23)</f>
        <v/>
      </c>
      <c r="W18" s="112" t="str">
        <f>IF(MAIN_DATA!$E23="","",MAIN_DATA!AD23)</f>
        <v/>
      </c>
      <c r="X18" s="112" t="str">
        <f>IF(MAIN_DATA!$E23="","",MAIN_DATA!AE23)</f>
        <v/>
      </c>
      <c r="Y18" s="112" t="str">
        <f>IF(MAIN_DATA!$E23="","",MAIN_DATA!AF23)</f>
        <v/>
      </c>
      <c r="Z18" s="101" t="str">
        <f>IF(MAIN_DATA!AG23=0,"",MAIN_DATA!AG23)</f>
        <v/>
      </c>
      <c r="AA18" s="101" t="str">
        <f>IF(MAIN_DATA!AH23=0,"",MAIN_DATA!AH23)</f>
        <v/>
      </c>
    </row>
    <row r="19" spans="2:27" ht="21.95" customHeight="1">
      <c r="B19" s="90" t="str">
        <f>IF(MAIN_DATA!I24=0,"",MAIN_DATA!I24)</f>
        <v/>
      </c>
      <c r="C19" s="94" t="str">
        <f>IF(MAIN_DATA!J24=0,"",MAIN_DATA!J24)</f>
        <v/>
      </c>
      <c r="D19" s="95" t="str">
        <f>IF(MAIN_DATA!K24=0,"",MAIN_DATA!K24)</f>
        <v/>
      </c>
      <c r="E19" s="113" t="str">
        <f>IF(MAIN_DATA!$D24="","",MAIN_DATA!L24)</f>
        <v/>
      </c>
      <c r="F19" s="113" t="str">
        <f>IF(MAIN_DATA!$D24="","",MAIN_DATA!M24)</f>
        <v/>
      </c>
      <c r="G19" s="113" t="str">
        <f>IF(MAIN_DATA!$D24="","",MAIN_DATA!N24)</f>
        <v/>
      </c>
      <c r="H19" s="113" t="str">
        <f>IF(MAIN_DATA!$D24="","",MAIN_DATA!O24)</f>
        <v/>
      </c>
      <c r="I19" s="113" t="str">
        <f>IF(MAIN_DATA!$D24="","",MAIN_DATA!P24)</f>
        <v/>
      </c>
      <c r="J19" s="113" t="str">
        <f>IF(MAIN_DATA!$D24="","",MAIN_DATA!Q24)</f>
        <v/>
      </c>
      <c r="K19" s="113" t="str">
        <f>IF(MAIN_DATA!$D24="","",MAIN_DATA!R24)</f>
        <v/>
      </c>
      <c r="L19" s="113" t="str">
        <f>IF(MAIN_DATA!$D24="","",MAIN_DATA!S24)</f>
        <v/>
      </c>
      <c r="M19" s="88" t="str">
        <f>IF(MAIN_DATA!T24=0,"",MAIN_DATA!T24)</f>
        <v/>
      </c>
      <c r="N19" s="88" t="str">
        <f>IF(MAIN_DATA!U24=0,"",MAIN_DATA!U24)</f>
        <v/>
      </c>
      <c r="O19" s="90" t="str">
        <f>IF(MAIN_DATA!V24=0,"",MAIN_DATA!V24)</f>
        <v/>
      </c>
      <c r="P19" s="94" t="str">
        <f>IF(MAIN_DATA!W24=0,"",MAIN_DATA!W24)</f>
        <v/>
      </c>
      <c r="Q19" s="113" t="str">
        <f>IF(MAIN_DATA!$E24="","",MAIN_DATA!X24)</f>
        <v/>
      </c>
      <c r="R19" s="113" t="str">
        <f>IF(MAIN_DATA!$E24="","",MAIN_DATA!Y24)</f>
        <v/>
      </c>
      <c r="S19" s="113" t="str">
        <f>IF(MAIN_DATA!$E24="","",MAIN_DATA!Z24)</f>
        <v/>
      </c>
      <c r="T19" s="113" t="str">
        <f>IF(MAIN_DATA!$E24="","",MAIN_DATA!AA24)</f>
        <v/>
      </c>
      <c r="U19" s="113" t="str">
        <f>IF(MAIN_DATA!$E24="","",MAIN_DATA!AB24)</f>
        <v/>
      </c>
      <c r="V19" s="113" t="str">
        <f>IF(MAIN_DATA!$E24="","",MAIN_DATA!AC24)</f>
        <v/>
      </c>
      <c r="W19" s="113" t="str">
        <f>IF(MAIN_DATA!$E24="","",MAIN_DATA!AD24)</f>
        <v/>
      </c>
      <c r="X19" s="113" t="str">
        <f>IF(MAIN_DATA!$E24="","",MAIN_DATA!AE24)</f>
        <v/>
      </c>
      <c r="Y19" s="113" t="str">
        <f>IF(MAIN_DATA!$E24="","",MAIN_DATA!AF24)</f>
        <v/>
      </c>
      <c r="Z19" s="100" t="str">
        <f>IF(MAIN_DATA!AG24=0,"",MAIN_DATA!AG24)</f>
        <v/>
      </c>
      <c r="AA19" s="100" t="str">
        <f>IF(MAIN_DATA!AH24=0,"",MAIN_DATA!AH24)</f>
        <v/>
      </c>
    </row>
    <row r="20" spans="2:27" s="99" customFormat="1" ht="5.25" customHeight="1">
      <c r="B20" s="102" t="str">
        <f>IF(MAIN_DATA!I25=0,"",MAIN_DATA!I25)</f>
        <v/>
      </c>
      <c r="C20" s="103" t="str">
        <f>IF(MAIN_DATA!J25=0,"",MAIN_DATA!J25)</f>
        <v/>
      </c>
      <c r="D20" s="104" t="str">
        <f>IF(MAIN_DATA!K25=0,"",MAIN_DATA!K25)</f>
        <v/>
      </c>
      <c r="E20" s="98" t="str">
        <f>IF(MAIN_DATA!$D25="","",MAIN_DATA!L25)</f>
        <v/>
      </c>
      <c r="F20" s="98" t="str">
        <f>IF(MAIN_DATA!$D25="","",MAIN_DATA!M25)</f>
        <v/>
      </c>
      <c r="G20" s="98" t="str">
        <f>IF(MAIN_DATA!$D25="","",MAIN_DATA!N25)</f>
        <v/>
      </c>
      <c r="H20" s="98" t="str">
        <f>IF(MAIN_DATA!$D25="","",MAIN_DATA!O25)</f>
        <v/>
      </c>
      <c r="I20" s="98" t="str">
        <f>IF(MAIN_DATA!$D25="","",MAIN_DATA!P25)</f>
        <v/>
      </c>
      <c r="J20" s="98" t="str">
        <f>IF(MAIN_DATA!$D25="","",MAIN_DATA!Q25)</f>
        <v/>
      </c>
      <c r="K20" s="98" t="str">
        <f>IF(MAIN_DATA!$D25="","",MAIN_DATA!R25)</f>
        <v/>
      </c>
      <c r="L20" s="98" t="str">
        <f>IF(MAIN_DATA!$D25="","",MAIN_DATA!S25)</f>
        <v/>
      </c>
      <c r="M20" s="88" t="str">
        <f>IF(MAIN_DATA!T25=0,"",MAIN_DATA!T25)</f>
        <v/>
      </c>
      <c r="N20" s="88" t="str">
        <f>IF(MAIN_DATA!U25=0,"",MAIN_DATA!U25)</f>
        <v/>
      </c>
      <c r="O20" s="96" t="str">
        <f>IF(MAIN_DATA!V25=0,"",MAIN_DATA!V25)</f>
        <v/>
      </c>
      <c r="P20" s="97" t="str">
        <f>IF(MAIN_DATA!W25=0,"",MAIN_DATA!W25)</f>
        <v/>
      </c>
      <c r="Q20" s="98" t="str">
        <f>IF(MAIN_DATA!$E25="","",MAIN_DATA!X25)</f>
        <v/>
      </c>
      <c r="R20" s="98" t="str">
        <f>IF(MAIN_DATA!$E25="","",MAIN_DATA!Y25)</f>
        <v/>
      </c>
      <c r="S20" s="98" t="str">
        <f>IF(MAIN_DATA!$E25="","",MAIN_DATA!Z25)</f>
        <v/>
      </c>
      <c r="T20" s="98" t="str">
        <f>IF(MAIN_DATA!$E25="","",MAIN_DATA!AA25)</f>
        <v/>
      </c>
      <c r="U20" s="98" t="str">
        <f>IF(MAIN_DATA!$E25="","",MAIN_DATA!AB25)</f>
        <v/>
      </c>
      <c r="V20" s="98" t="str">
        <f>IF(MAIN_DATA!$E25="","",MAIN_DATA!AC25)</f>
        <v/>
      </c>
      <c r="W20" s="98" t="str">
        <f>IF(MAIN_DATA!$E25="","",MAIN_DATA!AD25)</f>
        <v/>
      </c>
      <c r="X20" s="98" t="str">
        <f>IF(MAIN_DATA!$E25="","",MAIN_DATA!AE25)</f>
        <v/>
      </c>
      <c r="Y20" s="98" t="str">
        <f>IF(MAIN_DATA!$E25="","",MAIN_DATA!AF25)</f>
        <v/>
      </c>
      <c r="Z20" s="88" t="str">
        <f>IF(MAIN_DATA!AG25=0,"",MAIN_DATA!AG25)</f>
        <v/>
      </c>
      <c r="AA20" s="88" t="str">
        <f>IF(MAIN_DATA!AH25=0,"",MAIN_DATA!AH25)</f>
        <v/>
      </c>
    </row>
    <row r="21" spans="2:27" ht="21.95" customHeight="1">
      <c r="B21" s="90" t="str">
        <f>IF(MAIN_DATA!I26=0,"",MAIN_DATA!I26)</f>
        <v/>
      </c>
      <c r="C21" s="86" t="str">
        <f>IF(MAIN_DATA!J26=0,"",MAIN_DATA!J26)</f>
        <v/>
      </c>
      <c r="D21" s="87" t="str">
        <f>IF(MAIN_DATA!K26=0,"",MAIN_DATA!K26)</f>
        <v/>
      </c>
      <c r="E21" s="87" t="str">
        <f>IF(MAIN_DATA!$D26="","",MAIN_DATA!L26)</f>
        <v/>
      </c>
      <c r="F21" s="87" t="str">
        <f>IF(MAIN_DATA!$D26="","",MAIN_DATA!M26)</f>
        <v/>
      </c>
      <c r="G21" s="87" t="str">
        <f>IF(MAIN_DATA!$D26="","",MAIN_DATA!N26)</f>
        <v/>
      </c>
      <c r="H21" s="87" t="str">
        <f>IF(MAIN_DATA!$D26="","",MAIN_DATA!O26)</f>
        <v/>
      </c>
      <c r="I21" s="87" t="str">
        <f>IF(MAIN_DATA!$D26="","",MAIN_DATA!P26)</f>
        <v/>
      </c>
      <c r="J21" s="87" t="str">
        <f>IF(MAIN_DATA!$D26="","",MAIN_DATA!Q26)</f>
        <v/>
      </c>
      <c r="K21" s="87" t="str">
        <f>IF(MAIN_DATA!$D26="","",MAIN_DATA!R26)</f>
        <v/>
      </c>
      <c r="L21" s="87" t="str">
        <f>IF(MAIN_DATA!$D26="","",MAIN_DATA!S26)</f>
        <v/>
      </c>
      <c r="M21" s="88" t="str">
        <f>IF(MAIN_DATA!T26=0,"",MAIN_DATA!T26)</f>
        <v/>
      </c>
      <c r="N21" s="89" t="str">
        <f>IF(MAIN_DATA!$D26="","",MAIN_DATA!U26)</f>
        <v/>
      </c>
      <c r="O21" s="90" t="str">
        <f>IF(MAIN_DATA!V26=0,"",MAIN_DATA!V26)</f>
        <v/>
      </c>
      <c r="P21" s="86" t="str">
        <f>IF(MAIN_DATA!W26=0,"",MAIN_DATA!W26)</f>
        <v/>
      </c>
      <c r="Q21" s="87" t="str">
        <f>IF(MAIN_DATA!$E26="","",MAIN_DATA!X26)</f>
        <v/>
      </c>
      <c r="R21" s="87" t="str">
        <f>IF(MAIN_DATA!$E26="","",MAIN_DATA!Y26)</f>
        <v/>
      </c>
      <c r="S21" s="87" t="str">
        <f>IF(MAIN_DATA!$E26="","",MAIN_DATA!Z26)</f>
        <v/>
      </c>
      <c r="T21" s="87" t="str">
        <f>IF(MAIN_DATA!$E26="","",MAIN_DATA!AA26)</f>
        <v/>
      </c>
      <c r="U21" s="87" t="str">
        <f>IF(MAIN_DATA!$E26="","",MAIN_DATA!AB26)</f>
        <v/>
      </c>
      <c r="V21" s="87" t="str">
        <f>IF(MAIN_DATA!$E26="","",MAIN_DATA!AC26)</f>
        <v/>
      </c>
      <c r="W21" s="87" t="str">
        <f>IF(MAIN_DATA!$E26="","",MAIN_DATA!AD26)</f>
        <v/>
      </c>
      <c r="X21" s="87" t="str">
        <f>IF(MAIN_DATA!$E26="","",MAIN_DATA!AE26)</f>
        <v/>
      </c>
      <c r="Y21" s="87" t="str">
        <f>IF(MAIN_DATA!$E26="","",MAIN_DATA!AF26)</f>
        <v/>
      </c>
      <c r="Z21" s="100" t="str">
        <f>IF(MAIN_DATA!AG26=0,"",MAIN_DATA!AG26)</f>
        <v/>
      </c>
      <c r="AA21" s="89" t="str">
        <f>IF(MAIN_DATA!$E26="","",MAIN_DATA!AH26)</f>
        <v/>
      </c>
    </row>
    <row r="22" spans="2:27" ht="21.95" customHeight="1">
      <c r="B22" s="90" t="str">
        <f>IFERROR(VLOOKUP(MAIN_DATA!$I27,DB_NM!$I:$J,2,FALSE),"")</f>
        <v/>
      </c>
      <c r="C22" s="91" t="str">
        <f>IF(MAIN_DATA!J27=0,"",MAIN_DATA!J27)</f>
        <v/>
      </c>
      <c r="D22" s="92" t="str">
        <f>IF(MAIN_DATA!K27=0,"",MAIN_DATA!K27)</f>
        <v/>
      </c>
      <c r="E22" s="112" t="str">
        <f>IF(MAIN_DATA!$D27="","",MAIN_DATA!L27)</f>
        <v/>
      </c>
      <c r="F22" s="112" t="str">
        <f>IF(MAIN_DATA!$D27="","",MAIN_DATA!M27)</f>
        <v/>
      </c>
      <c r="G22" s="112" t="str">
        <f>IF(MAIN_DATA!$D27="","",MAIN_DATA!N27)</f>
        <v/>
      </c>
      <c r="H22" s="112" t="str">
        <f>IF(MAIN_DATA!$D27="","",MAIN_DATA!O27)</f>
        <v/>
      </c>
      <c r="I22" s="112" t="str">
        <f>IF(MAIN_DATA!$D27="","",MAIN_DATA!P27)</f>
        <v/>
      </c>
      <c r="J22" s="112" t="str">
        <f>IF(MAIN_DATA!$D27="","",MAIN_DATA!Q27)</f>
        <v/>
      </c>
      <c r="K22" s="112" t="str">
        <f>IF(MAIN_DATA!$D27="","",MAIN_DATA!R27)</f>
        <v/>
      </c>
      <c r="L22" s="112" t="str">
        <f>IF(MAIN_DATA!$D27="","",MAIN_DATA!S27)</f>
        <v/>
      </c>
      <c r="M22" s="93" t="str">
        <f>IF(MAIN_DATA!T27=0,"",MAIN_DATA!T27)</f>
        <v/>
      </c>
      <c r="N22" s="93" t="str">
        <f>IF(MAIN_DATA!U27=0,"",MAIN_DATA!U27)</f>
        <v/>
      </c>
      <c r="O22" s="90" t="str">
        <f>IF(MAIN_DATA!V27=0,"",MAIN_DATA!V27)</f>
        <v/>
      </c>
      <c r="P22" s="91" t="str">
        <f>IF(MAIN_DATA!W27=0,"",MAIN_DATA!W27)</f>
        <v/>
      </c>
      <c r="Q22" s="112" t="str">
        <f>IF(MAIN_DATA!$E27="","",MAIN_DATA!X27)</f>
        <v/>
      </c>
      <c r="R22" s="112" t="str">
        <f>IF(MAIN_DATA!$E27="","",MAIN_DATA!Y27)</f>
        <v/>
      </c>
      <c r="S22" s="112" t="str">
        <f>IF(MAIN_DATA!$E27="","",MAIN_DATA!Z27)</f>
        <v/>
      </c>
      <c r="T22" s="112" t="str">
        <f>IF(MAIN_DATA!$E27="","",MAIN_DATA!AA27)</f>
        <v/>
      </c>
      <c r="U22" s="112" t="str">
        <f>IF(MAIN_DATA!$E27="","",MAIN_DATA!AB27)</f>
        <v/>
      </c>
      <c r="V22" s="112" t="str">
        <f>IF(MAIN_DATA!$E27="","",MAIN_DATA!AC27)</f>
        <v/>
      </c>
      <c r="W22" s="112" t="str">
        <f>IF(MAIN_DATA!$E27="","",MAIN_DATA!AD27)</f>
        <v/>
      </c>
      <c r="X22" s="112" t="str">
        <f>IF(MAIN_DATA!$E27="","",MAIN_DATA!AE27)</f>
        <v/>
      </c>
      <c r="Y22" s="112" t="str">
        <f>IF(MAIN_DATA!$E27="","",MAIN_DATA!AF27)</f>
        <v/>
      </c>
      <c r="Z22" s="101" t="str">
        <f>IF(MAIN_DATA!AG27=0,"",MAIN_DATA!AG27)</f>
        <v/>
      </c>
      <c r="AA22" s="101" t="str">
        <f>IF(MAIN_DATA!AH27=0,"",MAIN_DATA!AH27)</f>
        <v/>
      </c>
    </row>
    <row r="23" spans="2:27" ht="21.95" customHeight="1">
      <c r="B23" s="90" t="str">
        <f>IF(MAIN_DATA!I28=0,"",MAIN_DATA!I28)</f>
        <v/>
      </c>
      <c r="C23" s="94" t="str">
        <f>IF(MAIN_DATA!J28=0,"",MAIN_DATA!J28)</f>
        <v/>
      </c>
      <c r="D23" s="95" t="str">
        <f>IF(MAIN_DATA!K28=0,"",MAIN_DATA!K28)</f>
        <v/>
      </c>
      <c r="E23" s="113" t="str">
        <f>IF(MAIN_DATA!$D28="","",MAIN_DATA!L28)</f>
        <v/>
      </c>
      <c r="F23" s="113" t="str">
        <f>IF(MAIN_DATA!$D28="","",MAIN_DATA!M28)</f>
        <v/>
      </c>
      <c r="G23" s="113" t="str">
        <f>IF(MAIN_DATA!$D28="","",MAIN_DATA!N28)</f>
        <v/>
      </c>
      <c r="H23" s="113" t="str">
        <f>IF(MAIN_DATA!$D28="","",MAIN_DATA!O28)</f>
        <v/>
      </c>
      <c r="I23" s="113" t="str">
        <f>IF(MAIN_DATA!$D28="","",MAIN_DATA!P28)</f>
        <v/>
      </c>
      <c r="J23" s="113" t="str">
        <f>IF(MAIN_DATA!$D28="","",MAIN_DATA!Q28)</f>
        <v/>
      </c>
      <c r="K23" s="113" t="str">
        <f>IF(MAIN_DATA!$D28="","",MAIN_DATA!R28)</f>
        <v/>
      </c>
      <c r="L23" s="113" t="str">
        <f>IF(MAIN_DATA!$D28="","",MAIN_DATA!S28)</f>
        <v/>
      </c>
      <c r="M23" s="88" t="str">
        <f>IF(MAIN_DATA!T28=0,"",MAIN_DATA!T28)</f>
        <v/>
      </c>
      <c r="N23" s="88" t="str">
        <f>IF(MAIN_DATA!U28=0,"",MAIN_DATA!U28)</f>
        <v/>
      </c>
      <c r="O23" s="90" t="str">
        <f>IF(MAIN_DATA!V28=0,"",MAIN_DATA!V28)</f>
        <v/>
      </c>
      <c r="P23" s="94" t="str">
        <f>IF(MAIN_DATA!W28=0,"",MAIN_DATA!W28)</f>
        <v/>
      </c>
      <c r="Q23" s="113" t="str">
        <f>IF(MAIN_DATA!$E28="","",MAIN_DATA!X28)</f>
        <v/>
      </c>
      <c r="R23" s="113" t="str">
        <f>IF(MAIN_DATA!$E28="","",MAIN_DATA!Y28)</f>
        <v/>
      </c>
      <c r="S23" s="113" t="str">
        <f>IF(MAIN_DATA!$E28="","",MAIN_DATA!Z28)</f>
        <v/>
      </c>
      <c r="T23" s="113" t="str">
        <f>IF(MAIN_DATA!$E28="","",MAIN_DATA!AA28)</f>
        <v/>
      </c>
      <c r="U23" s="113" t="str">
        <f>IF(MAIN_DATA!$E28="","",MAIN_DATA!AB28)</f>
        <v/>
      </c>
      <c r="V23" s="113" t="str">
        <f>IF(MAIN_DATA!$E28="","",MAIN_DATA!AC28)</f>
        <v/>
      </c>
      <c r="W23" s="113" t="str">
        <f>IF(MAIN_DATA!$E28="","",MAIN_DATA!AD28)</f>
        <v/>
      </c>
      <c r="X23" s="113" t="str">
        <f>IF(MAIN_DATA!$E28="","",MAIN_DATA!AE28)</f>
        <v/>
      </c>
      <c r="Y23" s="113" t="str">
        <f>IF(MAIN_DATA!$E28="","",MAIN_DATA!AF28)</f>
        <v/>
      </c>
      <c r="Z23" s="100" t="str">
        <f>IF(MAIN_DATA!AG28=0,"",MAIN_DATA!AG28)</f>
        <v/>
      </c>
      <c r="AA23" s="100" t="str">
        <f>IF(MAIN_DATA!AH28=0,"",MAIN_DATA!AH28)</f>
        <v/>
      </c>
    </row>
    <row r="24" spans="2:27" s="99" customFormat="1" ht="5.25" customHeight="1">
      <c r="B24" s="102" t="str">
        <f>IF(MAIN_DATA!I29=0,"",MAIN_DATA!I29)</f>
        <v/>
      </c>
      <c r="C24" s="103" t="str">
        <f>IF(MAIN_DATA!J29=0,"",MAIN_DATA!J29)</f>
        <v/>
      </c>
      <c r="D24" s="104" t="str">
        <f>IF(MAIN_DATA!K29=0,"",MAIN_DATA!K29)</f>
        <v/>
      </c>
      <c r="E24" s="98" t="str">
        <f>IF(MAIN_DATA!$D29="","",MAIN_DATA!L29)</f>
        <v/>
      </c>
      <c r="F24" s="98" t="str">
        <f>IF(MAIN_DATA!$D29="","",MAIN_DATA!M29)</f>
        <v/>
      </c>
      <c r="G24" s="98" t="str">
        <f>IF(MAIN_DATA!$D29="","",MAIN_DATA!N29)</f>
        <v/>
      </c>
      <c r="H24" s="98" t="str">
        <f>IF(MAIN_DATA!$D29="","",MAIN_DATA!O29)</f>
        <v/>
      </c>
      <c r="I24" s="98" t="str">
        <f>IF(MAIN_DATA!$D29="","",MAIN_DATA!P29)</f>
        <v/>
      </c>
      <c r="J24" s="98" t="str">
        <f>IF(MAIN_DATA!$D29="","",MAIN_DATA!Q29)</f>
        <v/>
      </c>
      <c r="K24" s="98" t="str">
        <f>IF(MAIN_DATA!$D29="","",MAIN_DATA!R29)</f>
        <v/>
      </c>
      <c r="L24" s="98" t="str">
        <f>IF(MAIN_DATA!$D29="","",MAIN_DATA!S29)</f>
        <v/>
      </c>
      <c r="M24" s="88" t="str">
        <f>IF(MAIN_DATA!T29=0,"",MAIN_DATA!T29)</f>
        <v/>
      </c>
      <c r="N24" s="88" t="str">
        <f>IF(MAIN_DATA!U29=0,"",MAIN_DATA!U29)</f>
        <v/>
      </c>
      <c r="O24" s="96" t="str">
        <f>IF(MAIN_DATA!V29=0,"",MAIN_DATA!V29)</f>
        <v/>
      </c>
      <c r="P24" s="97" t="str">
        <f>IF(MAIN_DATA!W29=0,"",MAIN_DATA!W29)</f>
        <v/>
      </c>
      <c r="Q24" s="98" t="str">
        <f>IF(MAIN_DATA!$E29="","",MAIN_DATA!X29)</f>
        <v/>
      </c>
      <c r="R24" s="98" t="str">
        <f>IF(MAIN_DATA!$E29="","",MAIN_DATA!Y29)</f>
        <v/>
      </c>
      <c r="S24" s="98" t="str">
        <f>IF(MAIN_DATA!$E29="","",MAIN_DATA!Z29)</f>
        <v/>
      </c>
      <c r="T24" s="98" t="str">
        <f>IF(MAIN_DATA!$E29="","",MAIN_DATA!AA29)</f>
        <v/>
      </c>
      <c r="U24" s="98" t="str">
        <f>IF(MAIN_DATA!$E29="","",MAIN_DATA!AB29)</f>
        <v/>
      </c>
      <c r="V24" s="98" t="str">
        <f>IF(MAIN_DATA!$E29="","",MAIN_DATA!AC29)</f>
        <v/>
      </c>
      <c r="W24" s="98" t="str">
        <f>IF(MAIN_DATA!$E29="","",MAIN_DATA!AD29)</f>
        <v/>
      </c>
      <c r="X24" s="98" t="str">
        <f>IF(MAIN_DATA!$E29="","",MAIN_DATA!AE29)</f>
        <v/>
      </c>
      <c r="Y24" s="98" t="str">
        <f>IF(MAIN_DATA!$E29="","",MAIN_DATA!AF29)</f>
        <v/>
      </c>
      <c r="Z24" s="88" t="str">
        <f>IF(MAIN_DATA!AG29=0,"",MAIN_DATA!AG29)</f>
        <v/>
      </c>
      <c r="AA24" s="88" t="str">
        <f>IF(MAIN_DATA!AH29=0,"",MAIN_DATA!AH29)</f>
        <v/>
      </c>
    </row>
    <row r="25" spans="2:27" ht="21.95" customHeight="1">
      <c r="B25" s="90" t="str">
        <f>IF(MAIN_DATA!I30=0,"",MAIN_DATA!I30)</f>
        <v/>
      </c>
      <c r="C25" s="86" t="str">
        <f>IF(MAIN_DATA!J30=0,"",MAIN_DATA!J30)</f>
        <v/>
      </c>
      <c r="D25" s="87" t="str">
        <f>IF(MAIN_DATA!K30=0,"",MAIN_DATA!K30)</f>
        <v/>
      </c>
      <c r="E25" s="87" t="str">
        <f>IF(MAIN_DATA!$D30="","",MAIN_DATA!L30)</f>
        <v/>
      </c>
      <c r="F25" s="87" t="str">
        <f>IF(MAIN_DATA!$D30="","",MAIN_DATA!M30)</f>
        <v/>
      </c>
      <c r="G25" s="87" t="str">
        <f>IF(MAIN_DATA!$D30="","",MAIN_DATA!N30)</f>
        <v/>
      </c>
      <c r="H25" s="87" t="str">
        <f>IF(MAIN_DATA!$D30="","",MAIN_DATA!O30)</f>
        <v/>
      </c>
      <c r="I25" s="87" t="str">
        <f>IF(MAIN_DATA!$D30="","",MAIN_DATA!P30)</f>
        <v/>
      </c>
      <c r="J25" s="87" t="str">
        <f>IF(MAIN_DATA!$D30="","",MAIN_DATA!Q30)</f>
        <v/>
      </c>
      <c r="K25" s="87" t="str">
        <f>IF(MAIN_DATA!$D30="","",MAIN_DATA!R30)</f>
        <v/>
      </c>
      <c r="L25" s="87" t="str">
        <f>IF(MAIN_DATA!$D30="","",MAIN_DATA!S30)</f>
        <v/>
      </c>
      <c r="M25" s="88" t="str">
        <f>IF(MAIN_DATA!T30=0,"",MAIN_DATA!T30)</f>
        <v/>
      </c>
      <c r="N25" s="89" t="str">
        <f>IF(MAIN_DATA!$D30="","",MAIN_DATA!U30)</f>
        <v/>
      </c>
      <c r="O25" s="90" t="str">
        <f>IF(MAIN_DATA!V30=0,"",MAIN_DATA!V30)</f>
        <v/>
      </c>
      <c r="P25" s="86" t="str">
        <f>IF(MAIN_DATA!W30=0,"",MAIN_DATA!W30)</f>
        <v/>
      </c>
      <c r="Q25" s="87" t="str">
        <f>IF(MAIN_DATA!$E30="","",MAIN_DATA!X30)</f>
        <v/>
      </c>
      <c r="R25" s="87" t="str">
        <f>IF(MAIN_DATA!$E30="","",MAIN_DATA!Y30)</f>
        <v/>
      </c>
      <c r="S25" s="87" t="str">
        <f>IF(MAIN_DATA!$E30="","",MAIN_DATA!Z30)</f>
        <v/>
      </c>
      <c r="T25" s="87" t="str">
        <f>IF(MAIN_DATA!$E30="","",MAIN_DATA!AA30)</f>
        <v/>
      </c>
      <c r="U25" s="87" t="str">
        <f>IF(MAIN_DATA!$E30="","",MAIN_DATA!AB30)</f>
        <v/>
      </c>
      <c r="V25" s="87" t="str">
        <f>IF(MAIN_DATA!$E30="","",MAIN_DATA!AC30)</f>
        <v/>
      </c>
      <c r="W25" s="87" t="str">
        <f>IF(MAIN_DATA!$E30="","",MAIN_DATA!AD30)</f>
        <v/>
      </c>
      <c r="X25" s="87" t="str">
        <f>IF(MAIN_DATA!$E30="","",MAIN_DATA!AE30)</f>
        <v/>
      </c>
      <c r="Y25" s="87" t="str">
        <f>IF(MAIN_DATA!$E30="","",MAIN_DATA!AF30)</f>
        <v/>
      </c>
      <c r="Z25" s="100" t="str">
        <f>IF(MAIN_DATA!AG30=0,"",MAIN_DATA!AG30)</f>
        <v/>
      </c>
      <c r="AA25" s="89" t="str">
        <f>IF(MAIN_DATA!$E30="","",MAIN_DATA!AH30)</f>
        <v/>
      </c>
    </row>
    <row r="26" spans="2:27" ht="21.95" customHeight="1">
      <c r="B26" s="90" t="str">
        <f>IFERROR(VLOOKUP(MAIN_DATA!$I31,DB_NM!$I:$J,2,FALSE),"")</f>
        <v/>
      </c>
      <c r="C26" s="91" t="str">
        <f>IF(MAIN_DATA!J31=0,"",MAIN_DATA!J31)</f>
        <v/>
      </c>
      <c r="D26" s="92" t="str">
        <f>IF(MAIN_DATA!K31=0,"",MAIN_DATA!K31)</f>
        <v/>
      </c>
      <c r="E26" s="112" t="str">
        <f>IF(MAIN_DATA!$D31="","",MAIN_DATA!L31)</f>
        <v/>
      </c>
      <c r="F26" s="112" t="str">
        <f>IF(MAIN_DATA!$D31="","",MAIN_DATA!M31)</f>
        <v/>
      </c>
      <c r="G26" s="112" t="str">
        <f>IF(MAIN_DATA!$D31="","",MAIN_DATA!N31)</f>
        <v/>
      </c>
      <c r="H26" s="112" t="str">
        <f>IF(MAIN_DATA!$D31="","",MAIN_DATA!O31)</f>
        <v/>
      </c>
      <c r="I26" s="112" t="str">
        <f>IF(MAIN_DATA!$D31="","",MAIN_DATA!P31)</f>
        <v/>
      </c>
      <c r="J26" s="112" t="str">
        <f>IF(MAIN_DATA!$D31="","",MAIN_DATA!Q31)</f>
        <v/>
      </c>
      <c r="K26" s="112" t="str">
        <f>IF(MAIN_DATA!$D31="","",MAIN_DATA!R31)</f>
        <v/>
      </c>
      <c r="L26" s="112" t="str">
        <f>IF(MAIN_DATA!$D31="","",MAIN_DATA!S31)</f>
        <v/>
      </c>
      <c r="M26" s="93" t="str">
        <f>IF(MAIN_DATA!T31=0,"",MAIN_DATA!T31)</f>
        <v/>
      </c>
      <c r="N26" s="93" t="str">
        <f>IF(MAIN_DATA!U31=0,"",MAIN_DATA!U31)</f>
        <v/>
      </c>
      <c r="O26" s="90" t="str">
        <f>IF(MAIN_DATA!V31=0,"",MAIN_DATA!V31)</f>
        <v/>
      </c>
      <c r="P26" s="91" t="str">
        <f>IF(MAIN_DATA!W31=0,"",MAIN_DATA!W31)</f>
        <v/>
      </c>
      <c r="Q26" s="112" t="str">
        <f>IF(MAIN_DATA!$E31="","",MAIN_DATA!X31)</f>
        <v/>
      </c>
      <c r="R26" s="112" t="str">
        <f>IF(MAIN_DATA!$E31="","",MAIN_DATA!Y31)</f>
        <v/>
      </c>
      <c r="S26" s="112" t="str">
        <f>IF(MAIN_DATA!$E31="","",MAIN_DATA!Z31)</f>
        <v/>
      </c>
      <c r="T26" s="112" t="str">
        <f>IF(MAIN_DATA!$E31="","",MAIN_DATA!AA31)</f>
        <v/>
      </c>
      <c r="U26" s="112" t="str">
        <f>IF(MAIN_DATA!$E31="","",MAIN_DATA!AB31)</f>
        <v/>
      </c>
      <c r="V26" s="112" t="str">
        <f>IF(MAIN_DATA!$E31="","",MAIN_DATA!AC31)</f>
        <v/>
      </c>
      <c r="W26" s="112" t="str">
        <f>IF(MAIN_DATA!$E31="","",MAIN_DATA!AD31)</f>
        <v/>
      </c>
      <c r="X26" s="112" t="str">
        <f>IF(MAIN_DATA!$E31="","",MAIN_DATA!AE31)</f>
        <v/>
      </c>
      <c r="Y26" s="112" t="str">
        <f>IF(MAIN_DATA!$E31="","",MAIN_DATA!AF31)</f>
        <v/>
      </c>
      <c r="Z26" s="101" t="str">
        <f>IF(MAIN_DATA!AG31=0,"",MAIN_DATA!AG31)</f>
        <v/>
      </c>
      <c r="AA26" s="101" t="str">
        <f>IF(MAIN_DATA!AH31=0,"",MAIN_DATA!AH31)</f>
        <v/>
      </c>
    </row>
    <row r="27" spans="2:27" ht="21.95" customHeight="1">
      <c r="B27" s="90" t="str">
        <f>IF(MAIN_DATA!I32=0,"",MAIN_DATA!I32)</f>
        <v/>
      </c>
      <c r="C27" s="94" t="str">
        <f>IF(MAIN_DATA!J32=0,"",MAIN_DATA!J32)</f>
        <v/>
      </c>
      <c r="D27" s="95" t="str">
        <f>IF(MAIN_DATA!K32=0,"",MAIN_DATA!K32)</f>
        <v/>
      </c>
      <c r="E27" s="113" t="str">
        <f>IF(MAIN_DATA!$D32="","",MAIN_DATA!L32)</f>
        <v/>
      </c>
      <c r="F27" s="113" t="str">
        <f>IF(MAIN_DATA!$D32="","",MAIN_DATA!M32)</f>
        <v/>
      </c>
      <c r="G27" s="113" t="str">
        <f>IF(MAIN_DATA!$D32="","",MAIN_DATA!N32)</f>
        <v/>
      </c>
      <c r="H27" s="113" t="str">
        <f>IF(MAIN_DATA!$D32="","",MAIN_DATA!O32)</f>
        <v/>
      </c>
      <c r="I27" s="113" t="str">
        <f>IF(MAIN_DATA!$D32="","",MAIN_DATA!P32)</f>
        <v/>
      </c>
      <c r="J27" s="113" t="str">
        <f>IF(MAIN_DATA!$D32="","",MAIN_DATA!Q32)</f>
        <v/>
      </c>
      <c r="K27" s="113" t="str">
        <f>IF(MAIN_DATA!$D32="","",MAIN_DATA!R32)</f>
        <v/>
      </c>
      <c r="L27" s="113" t="str">
        <f>IF(MAIN_DATA!$D32="","",MAIN_DATA!S32)</f>
        <v/>
      </c>
      <c r="M27" s="88" t="str">
        <f>IF(MAIN_DATA!T32=0,"",MAIN_DATA!T32)</f>
        <v/>
      </c>
      <c r="N27" s="88" t="str">
        <f>IF(MAIN_DATA!U32=0,"",MAIN_DATA!U32)</f>
        <v/>
      </c>
      <c r="O27" s="90" t="str">
        <f>IF(MAIN_DATA!V32=0,"",MAIN_DATA!V32)</f>
        <v/>
      </c>
      <c r="P27" s="94" t="str">
        <f>IF(MAIN_DATA!W32=0,"",MAIN_DATA!W32)</f>
        <v/>
      </c>
      <c r="Q27" s="113" t="str">
        <f>IF(MAIN_DATA!$E32="","",MAIN_DATA!X32)</f>
        <v/>
      </c>
      <c r="R27" s="113" t="str">
        <f>IF(MAIN_DATA!$E32="","",MAIN_DATA!Y32)</f>
        <v/>
      </c>
      <c r="S27" s="113" t="str">
        <f>IF(MAIN_DATA!$E32="","",MAIN_DATA!Z32)</f>
        <v/>
      </c>
      <c r="T27" s="113" t="str">
        <f>IF(MAIN_DATA!$E32="","",MAIN_DATA!AA32)</f>
        <v/>
      </c>
      <c r="U27" s="113" t="str">
        <f>IF(MAIN_DATA!$E32="","",MAIN_DATA!AB32)</f>
        <v/>
      </c>
      <c r="V27" s="113" t="str">
        <f>IF(MAIN_DATA!$E32="","",MAIN_DATA!AC32)</f>
        <v/>
      </c>
      <c r="W27" s="113" t="str">
        <f>IF(MAIN_DATA!$E32="","",MAIN_DATA!AD32)</f>
        <v/>
      </c>
      <c r="X27" s="113" t="str">
        <f>IF(MAIN_DATA!$E32="","",MAIN_DATA!AE32)</f>
        <v/>
      </c>
      <c r="Y27" s="113" t="str">
        <f>IF(MAIN_DATA!$E32="","",MAIN_DATA!AF32)</f>
        <v/>
      </c>
      <c r="Z27" s="100" t="str">
        <f>IF(MAIN_DATA!AG32=0,"",MAIN_DATA!AG32)</f>
        <v/>
      </c>
      <c r="AA27" s="100" t="str">
        <f>IF(MAIN_DATA!AH32=0,"",MAIN_DATA!AH32)</f>
        <v/>
      </c>
    </row>
    <row r="28" spans="2:27" s="99" customFormat="1" ht="5.25" customHeight="1">
      <c r="B28" s="102" t="str">
        <f>IF(MAIN_DATA!I33=0,"",MAIN_DATA!I33)</f>
        <v/>
      </c>
      <c r="C28" s="103" t="str">
        <f>IF(MAIN_DATA!J33=0,"",MAIN_DATA!J33)</f>
        <v/>
      </c>
      <c r="D28" s="104" t="str">
        <f>IF(MAIN_DATA!K33=0,"",MAIN_DATA!K33)</f>
        <v/>
      </c>
      <c r="E28" s="98" t="str">
        <f>IF(MAIN_DATA!$D33="","",MAIN_DATA!L33)</f>
        <v/>
      </c>
      <c r="F28" s="98" t="str">
        <f>IF(MAIN_DATA!$D33="","",MAIN_DATA!M33)</f>
        <v/>
      </c>
      <c r="G28" s="98" t="str">
        <f>IF(MAIN_DATA!$D33="","",MAIN_DATA!N33)</f>
        <v/>
      </c>
      <c r="H28" s="98" t="str">
        <f>IF(MAIN_DATA!$D33="","",MAIN_DATA!O33)</f>
        <v/>
      </c>
      <c r="I28" s="98" t="str">
        <f>IF(MAIN_DATA!$D33="","",MAIN_DATA!P33)</f>
        <v/>
      </c>
      <c r="J28" s="98" t="str">
        <f>IF(MAIN_DATA!$D33="","",MAIN_DATA!Q33)</f>
        <v/>
      </c>
      <c r="K28" s="98" t="str">
        <f>IF(MAIN_DATA!$D33="","",MAIN_DATA!R33)</f>
        <v/>
      </c>
      <c r="L28" s="98" t="str">
        <f>IF(MAIN_DATA!$D33="","",MAIN_DATA!S33)</f>
        <v/>
      </c>
      <c r="M28" s="88" t="str">
        <f>IF(MAIN_DATA!T33=0,"",MAIN_DATA!T33)</f>
        <v/>
      </c>
      <c r="N28" s="88" t="str">
        <f>IF(MAIN_DATA!U33=0,"",MAIN_DATA!U33)</f>
        <v/>
      </c>
      <c r="O28" s="96" t="str">
        <f>IF(MAIN_DATA!V33=0,"",MAIN_DATA!V33)</f>
        <v/>
      </c>
      <c r="P28" s="97" t="str">
        <f>IF(MAIN_DATA!W33=0,"",MAIN_DATA!W33)</f>
        <v/>
      </c>
      <c r="Q28" s="98" t="str">
        <f>IF(MAIN_DATA!$E33="","",MAIN_DATA!X33)</f>
        <v/>
      </c>
      <c r="R28" s="98" t="str">
        <f>IF(MAIN_DATA!$E33="","",MAIN_DATA!Y33)</f>
        <v/>
      </c>
      <c r="S28" s="98" t="str">
        <f>IF(MAIN_DATA!$E33="","",MAIN_DATA!Z33)</f>
        <v/>
      </c>
      <c r="T28" s="98" t="str">
        <f>IF(MAIN_DATA!$E33="","",MAIN_DATA!AA33)</f>
        <v/>
      </c>
      <c r="U28" s="98" t="str">
        <f>IF(MAIN_DATA!$E33="","",MAIN_DATA!AB33)</f>
        <v/>
      </c>
      <c r="V28" s="98" t="str">
        <f>IF(MAIN_DATA!$E33="","",MAIN_DATA!AC33)</f>
        <v/>
      </c>
      <c r="W28" s="98" t="str">
        <f>IF(MAIN_DATA!$E33="","",MAIN_DATA!AD33)</f>
        <v/>
      </c>
      <c r="X28" s="98" t="str">
        <f>IF(MAIN_DATA!$E33="","",MAIN_DATA!AE33)</f>
        <v/>
      </c>
      <c r="Y28" s="98" t="str">
        <f>IF(MAIN_DATA!$E33="","",MAIN_DATA!AF33)</f>
        <v/>
      </c>
      <c r="Z28" s="88" t="str">
        <f>IF(MAIN_DATA!AG33=0,"",MAIN_DATA!AG33)</f>
        <v/>
      </c>
      <c r="AA28" s="88" t="str">
        <f>IF(MAIN_DATA!AH33=0,"",MAIN_DATA!AH33)</f>
        <v/>
      </c>
    </row>
    <row r="29" spans="2:27" ht="21.95" customHeight="1">
      <c r="B29" s="90" t="str">
        <f>IF(MAIN_DATA!I34=0,"",MAIN_DATA!I34)</f>
        <v/>
      </c>
      <c r="C29" s="86" t="str">
        <f>IF(MAIN_DATA!J34=0,"",MAIN_DATA!J34)</f>
        <v/>
      </c>
      <c r="D29" s="87" t="str">
        <f>IF(MAIN_DATA!K34=0,"",MAIN_DATA!K34)</f>
        <v/>
      </c>
      <c r="E29" s="87" t="str">
        <f>IF(MAIN_DATA!$D34="","",MAIN_DATA!L34)</f>
        <v/>
      </c>
      <c r="F29" s="87" t="str">
        <f>IF(MAIN_DATA!$D34="","",MAIN_DATA!M34)</f>
        <v/>
      </c>
      <c r="G29" s="87" t="str">
        <f>IF(MAIN_DATA!$D34="","",MAIN_DATA!N34)</f>
        <v/>
      </c>
      <c r="H29" s="87" t="str">
        <f>IF(MAIN_DATA!$D34="","",MAIN_DATA!O34)</f>
        <v/>
      </c>
      <c r="I29" s="87" t="str">
        <f>IF(MAIN_DATA!$D34="","",MAIN_DATA!P34)</f>
        <v/>
      </c>
      <c r="J29" s="87" t="str">
        <f>IF(MAIN_DATA!$D34="","",MAIN_DATA!Q34)</f>
        <v/>
      </c>
      <c r="K29" s="87" t="str">
        <f>IF(MAIN_DATA!$D34="","",MAIN_DATA!R34)</f>
        <v/>
      </c>
      <c r="L29" s="87" t="str">
        <f>IF(MAIN_DATA!$D34="","",MAIN_DATA!S34)</f>
        <v/>
      </c>
      <c r="M29" s="88" t="str">
        <f>IF(MAIN_DATA!T34=0,"",MAIN_DATA!T34)</f>
        <v/>
      </c>
      <c r="N29" s="89" t="str">
        <f>IF(MAIN_DATA!$D34="","",MAIN_DATA!U34)</f>
        <v/>
      </c>
      <c r="O29" s="90" t="str">
        <f>IF(MAIN_DATA!V34=0,"",MAIN_DATA!V34)</f>
        <v/>
      </c>
      <c r="P29" s="86" t="str">
        <f>IF(MAIN_DATA!W34=0,"",MAIN_DATA!W34)</f>
        <v/>
      </c>
      <c r="Q29" s="87" t="str">
        <f>IF(MAIN_DATA!$E34="","",MAIN_DATA!X34)</f>
        <v/>
      </c>
      <c r="R29" s="87" t="str">
        <f>IF(MAIN_DATA!$E34="","",MAIN_DATA!Y34)</f>
        <v/>
      </c>
      <c r="S29" s="87" t="str">
        <f>IF(MAIN_DATA!$E34="","",MAIN_DATA!Z34)</f>
        <v/>
      </c>
      <c r="T29" s="87" t="str">
        <f>IF(MAIN_DATA!$E34="","",MAIN_DATA!AA34)</f>
        <v/>
      </c>
      <c r="U29" s="87" t="str">
        <f>IF(MAIN_DATA!$E34="","",MAIN_DATA!AB34)</f>
        <v/>
      </c>
      <c r="V29" s="87" t="str">
        <f>IF(MAIN_DATA!$E34="","",MAIN_DATA!AC34)</f>
        <v/>
      </c>
      <c r="W29" s="87" t="str">
        <f>IF(MAIN_DATA!$E34="","",MAIN_DATA!AD34)</f>
        <v/>
      </c>
      <c r="X29" s="87" t="str">
        <f>IF(MAIN_DATA!$E34="","",MAIN_DATA!AE34)</f>
        <v/>
      </c>
      <c r="Y29" s="87" t="str">
        <f>IF(MAIN_DATA!$E34="","",MAIN_DATA!AF34)</f>
        <v/>
      </c>
      <c r="Z29" s="100" t="str">
        <f>IF(MAIN_DATA!AG34=0,"",MAIN_DATA!AG34)</f>
        <v/>
      </c>
      <c r="AA29" s="89" t="str">
        <f>IF(MAIN_DATA!$E34="","",MAIN_DATA!AH34)</f>
        <v/>
      </c>
    </row>
    <row r="30" spans="2:27" ht="21.95" customHeight="1">
      <c r="B30" s="90" t="str">
        <f>IFERROR(VLOOKUP(MAIN_DATA!$I35,DB_NM!$I:$J,2,FALSE),"")</f>
        <v/>
      </c>
      <c r="C30" s="91" t="str">
        <f>IF(MAIN_DATA!J35=0,"",MAIN_DATA!J35)</f>
        <v/>
      </c>
      <c r="D30" s="92" t="str">
        <f>IF(MAIN_DATA!K35=0,"",MAIN_DATA!K35)</f>
        <v/>
      </c>
      <c r="E30" s="112" t="str">
        <f>IF(MAIN_DATA!$D35="","",MAIN_DATA!L35)</f>
        <v/>
      </c>
      <c r="F30" s="112" t="str">
        <f>IF(MAIN_DATA!$D35="","",MAIN_DATA!M35)</f>
        <v/>
      </c>
      <c r="G30" s="112" t="str">
        <f>IF(MAIN_DATA!$D35="","",MAIN_DATA!N35)</f>
        <v/>
      </c>
      <c r="H30" s="112" t="str">
        <f>IF(MAIN_DATA!$D35="","",MAIN_DATA!O35)</f>
        <v/>
      </c>
      <c r="I30" s="112" t="str">
        <f>IF(MAIN_DATA!$D35="","",MAIN_DATA!P35)</f>
        <v/>
      </c>
      <c r="J30" s="112" t="str">
        <f>IF(MAIN_DATA!$D35="","",MAIN_DATA!Q35)</f>
        <v/>
      </c>
      <c r="K30" s="112" t="str">
        <f>IF(MAIN_DATA!$D35="","",MAIN_DATA!R35)</f>
        <v/>
      </c>
      <c r="L30" s="112" t="str">
        <f>IF(MAIN_DATA!$D35="","",MAIN_DATA!S35)</f>
        <v/>
      </c>
      <c r="M30" s="93" t="str">
        <f>IF(MAIN_DATA!T35=0,"",MAIN_DATA!T35)</f>
        <v/>
      </c>
      <c r="N30" s="93" t="str">
        <f>IF(MAIN_DATA!U35=0,"",MAIN_DATA!U35)</f>
        <v/>
      </c>
      <c r="O30" s="90" t="str">
        <f>IF(MAIN_DATA!V35=0,"",MAIN_DATA!V35)</f>
        <v/>
      </c>
      <c r="P30" s="91" t="str">
        <f>IF(MAIN_DATA!W35=0,"",MAIN_DATA!W35)</f>
        <v/>
      </c>
      <c r="Q30" s="112" t="str">
        <f>IF(MAIN_DATA!$E35="","",MAIN_DATA!X35)</f>
        <v/>
      </c>
      <c r="R30" s="112" t="str">
        <f>IF(MAIN_DATA!$E35="","",MAIN_DATA!Y35)</f>
        <v/>
      </c>
      <c r="S30" s="112" t="str">
        <f>IF(MAIN_DATA!$E35="","",MAIN_DATA!Z35)</f>
        <v/>
      </c>
      <c r="T30" s="112" t="str">
        <f>IF(MAIN_DATA!$E35="","",MAIN_DATA!AA35)</f>
        <v/>
      </c>
      <c r="U30" s="112" t="str">
        <f>IF(MAIN_DATA!$E35="","",MAIN_DATA!AB35)</f>
        <v/>
      </c>
      <c r="V30" s="112" t="str">
        <f>IF(MAIN_DATA!$E35="","",MAIN_DATA!AC35)</f>
        <v/>
      </c>
      <c r="W30" s="112" t="str">
        <f>IF(MAIN_DATA!$E35="","",MAIN_DATA!AD35)</f>
        <v/>
      </c>
      <c r="X30" s="112" t="str">
        <f>IF(MAIN_DATA!$E35="","",MAIN_DATA!AE35)</f>
        <v/>
      </c>
      <c r="Y30" s="112" t="str">
        <f>IF(MAIN_DATA!$E35="","",MAIN_DATA!AF35)</f>
        <v/>
      </c>
      <c r="Z30" s="101" t="str">
        <f>IF(MAIN_DATA!AG35=0,"",MAIN_DATA!AG35)</f>
        <v/>
      </c>
      <c r="AA30" s="101" t="str">
        <f>IF(MAIN_DATA!AH35=0,"",MAIN_DATA!AH35)</f>
        <v/>
      </c>
    </row>
    <row r="31" spans="2:27" ht="21.95" customHeight="1">
      <c r="B31" s="90" t="str">
        <f>IF(MAIN_DATA!I36=0,"",MAIN_DATA!I36)</f>
        <v/>
      </c>
      <c r="C31" s="94" t="str">
        <f>IF(MAIN_DATA!J36=0,"",MAIN_DATA!J36)</f>
        <v/>
      </c>
      <c r="D31" s="95" t="str">
        <f>IF(MAIN_DATA!K36=0,"",MAIN_DATA!K36)</f>
        <v/>
      </c>
      <c r="E31" s="113" t="str">
        <f>IF(MAIN_DATA!$D36="","",MAIN_DATA!L36)</f>
        <v/>
      </c>
      <c r="F31" s="113" t="str">
        <f>IF(MAIN_DATA!$D36="","",MAIN_DATA!M36)</f>
        <v/>
      </c>
      <c r="G31" s="113" t="str">
        <f>IF(MAIN_DATA!$D36="","",MAIN_DATA!N36)</f>
        <v/>
      </c>
      <c r="H31" s="113" t="str">
        <f>IF(MAIN_DATA!$D36="","",MAIN_DATA!O36)</f>
        <v/>
      </c>
      <c r="I31" s="113" t="str">
        <f>IF(MAIN_DATA!$D36="","",MAIN_DATA!P36)</f>
        <v/>
      </c>
      <c r="J31" s="113" t="str">
        <f>IF(MAIN_DATA!$D36="","",MAIN_DATA!Q36)</f>
        <v/>
      </c>
      <c r="K31" s="113" t="str">
        <f>IF(MAIN_DATA!$D36="","",MAIN_DATA!R36)</f>
        <v/>
      </c>
      <c r="L31" s="113" t="str">
        <f>IF(MAIN_DATA!$D36="","",MAIN_DATA!S36)</f>
        <v/>
      </c>
      <c r="M31" s="88" t="str">
        <f>IF(MAIN_DATA!T36=0,"",MAIN_DATA!T36)</f>
        <v/>
      </c>
      <c r="N31" s="88" t="str">
        <f>IF(MAIN_DATA!U36=0,"",MAIN_DATA!U36)</f>
        <v/>
      </c>
      <c r="O31" s="90" t="str">
        <f>IF(MAIN_DATA!V36=0,"",MAIN_DATA!V36)</f>
        <v/>
      </c>
      <c r="P31" s="94" t="str">
        <f>IF(MAIN_DATA!W36=0,"",MAIN_DATA!W36)</f>
        <v/>
      </c>
      <c r="Q31" s="113" t="str">
        <f>IF(MAIN_DATA!$E36="","",MAIN_DATA!X36)</f>
        <v/>
      </c>
      <c r="R31" s="113" t="str">
        <f>IF(MAIN_DATA!$E36="","",MAIN_DATA!Y36)</f>
        <v/>
      </c>
      <c r="S31" s="113" t="str">
        <f>IF(MAIN_DATA!$E36="","",MAIN_DATA!Z36)</f>
        <v/>
      </c>
      <c r="T31" s="113" t="str">
        <f>IF(MAIN_DATA!$E36="","",MAIN_DATA!AA36)</f>
        <v/>
      </c>
      <c r="U31" s="113" t="str">
        <f>IF(MAIN_DATA!$E36="","",MAIN_DATA!AB36)</f>
        <v/>
      </c>
      <c r="V31" s="113" t="str">
        <f>IF(MAIN_DATA!$E36="","",MAIN_DATA!AC36)</f>
        <v/>
      </c>
      <c r="W31" s="113" t="str">
        <f>IF(MAIN_DATA!$E36="","",MAIN_DATA!AD36)</f>
        <v/>
      </c>
      <c r="X31" s="113" t="str">
        <f>IF(MAIN_DATA!$E36="","",MAIN_DATA!AE36)</f>
        <v/>
      </c>
      <c r="Y31" s="113" t="str">
        <f>IF(MAIN_DATA!$E36="","",MAIN_DATA!AF36)</f>
        <v/>
      </c>
      <c r="Z31" s="100" t="str">
        <f>IF(MAIN_DATA!AG36=0,"",MAIN_DATA!AG36)</f>
        <v/>
      </c>
      <c r="AA31" s="100" t="str">
        <f>IF(MAIN_DATA!AH36=0,"",MAIN_DATA!AH36)</f>
        <v/>
      </c>
    </row>
    <row r="32" spans="2:27" s="99" customFormat="1" ht="5.25" customHeight="1">
      <c r="B32" s="102" t="str">
        <f>IF(MAIN_DATA!I37=0,"",MAIN_DATA!I37)</f>
        <v/>
      </c>
      <c r="C32" s="103" t="str">
        <f>IF(MAIN_DATA!J37=0,"",MAIN_DATA!J37)</f>
        <v/>
      </c>
      <c r="D32" s="104" t="str">
        <f>IF(MAIN_DATA!K37=0,"",MAIN_DATA!K37)</f>
        <v/>
      </c>
      <c r="E32" s="98" t="str">
        <f>IF(MAIN_DATA!$D37="","",MAIN_DATA!L37)</f>
        <v/>
      </c>
      <c r="F32" s="98" t="str">
        <f>IF(MAIN_DATA!$D37="","",MAIN_DATA!M37)</f>
        <v/>
      </c>
      <c r="G32" s="98" t="str">
        <f>IF(MAIN_DATA!$D37="","",MAIN_DATA!N37)</f>
        <v/>
      </c>
      <c r="H32" s="98" t="str">
        <f>IF(MAIN_DATA!$D37="","",MAIN_DATA!O37)</f>
        <v/>
      </c>
      <c r="I32" s="98" t="str">
        <f>IF(MAIN_DATA!$D37="","",MAIN_DATA!P37)</f>
        <v/>
      </c>
      <c r="J32" s="98" t="str">
        <f>IF(MAIN_DATA!$D37="","",MAIN_DATA!Q37)</f>
        <v/>
      </c>
      <c r="K32" s="98" t="str">
        <f>IF(MAIN_DATA!$D37="","",MAIN_DATA!R37)</f>
        <v/>
      </c>
      <c r="L32" s="98" t="str">
        <f>IF(MAIN_DATA!$D37="","",MAIN_DATA!S37)</f>
        <v/>
      </c>
      <c r="M32" s="88" t="str">
        <f>IF(MAIN_DATA!T37=0,"",MAIN_DATA!T37)</f>
        <v/>
      </c>
      <c r="N32" s="88" t="str">
        <f>IF(MAIN_DATA!U37=0,"",MAIN_DATA!U37)</f>
        <v/>
      </c>
      <c r="O32" s="96" t="str">
        <f>IF(MAIN_DATA!V37=0,"",MAIN_DATA!V37)</f>
        <v/>
      </c>
      <c r="P32" s="97" t="str">
        <f>IF(MAIN_DATA!W37=0,"",MAIN_DATA!W37)</f>
        <v/>
      </c>
      <c r="Q32" s="98" t="str">
        <f>IF(MAIN_DATA!$E37="","",MAIN_DATA!X37)</f>
        <v/>
      </c>
      <c r="R32" s="98" t="str">
        <f>IF(MAIN_DATA!$E37="","",MAIN_DATA!Y37)</f>
        <v/>
      </c>
      <c r="S32" s="98" t="str">
        <f>IF(MAIN_DATA!$E37="","",MAIN_DATA!Z37)</f>
        <v/>
      </c>
      <c r="T32" s="98" t="str">
        <f>IF(MAIN_DATA!$E37="","",MAIN_DATA!AA37)</f>
        <v/>
      </c>
      <c r="U32" s="98" t="str">
        <f>IF(MAIN_DATA!$E37="","",MAIN_DATA!AB37)</f>
        <v/>
      </c>
      <c r="V32" s="98" t="str">
        <f>IF(MAIN_DATA!$E37="","",MAIN_DATA!AC37)</f>
        <v/>
      </c>
      <c r="W32" s="98" t="str">
        <f>IF(MAIN_DATA!$E37="","",MAIN_DATA!AD37)</f>
        <v/>
      </c>
      <c r="X32" s="98" t="str">
        <f>IF(MAIN_DATA!$E37="","",MAIN_DATA!AE37)</f>
        <v/>
      </c>
      <c r="Y32" s="98" t="str">
        <f>IF(MAIN_DATA!$E37="","",MAIN_DATA!AF37)</f>
        <v/>
      </c>
      <c r="Z32" s="88" t="str">
        <f>IF(MAIN_DATA!AG37=0,"",MAIN_DATA!AG37)</f>
        <v/>
      </c>
      <c r="AA32" s="88" t="str">
        <f>IF(MAIN_DATA!AH37=0,"",MAIN_DATA!AH37)</f>
        <v/>
      </c>
    </row>
    <row r="33" spans="2:27" ht="21.95" customHeight="1">
      <c r="B33" s="90" t="str">
        <f>IF(MAIN_DATA!I38=0,"",MAIN_DATA!I38)</f>
        <v/>
      </c>
      <c r="C33" s="86" t="str">
        <f>IF(MAIN_DATA!J38=0,"",MAIN_DATA!J38)</f>
        <v/>
      </c>
      <c r="D33" s="87" t="str">
        <f>IF(MAIN_DATA!K38=0,"",MAIN_DATA!K38)</f>
        <v/>
      </c>
      <c r="E33" s="87" t="str">
        <f>IF(MAIN_DATA!$D38="","",MAIN_DATA!L38)</f>
        <v/>
      </c>
      <c r="F33" s="87" t="str">
        <f>IF(MAIN_DATA!$D38="","",MAIN_DATA!M38)</f>
        <v/>
      </c>
      <c r="G33" s="87" t="str">
        <f>IF(MAIN_DATA!$D38="","",MAIN_DATA!N38)</f>
        <v/>
      </c>
      <c r="H33" s="87" t="str">
        <f>IF(MAIN_DATA!$D38="","",MAIN_DATA!O38)</f>
        <v/>
      </c>
      <c r="I33" s="87" t="str">
        <f>IF(MAIN_DATA!$D38="","",MAIN_DATA!P38)</f>
        <v/>
      </c>
      <c r="J33" s="87" t="str">
        <f>IF(MAIN_DATA!$D38="","",MAIN_DATA!Q38)</f>
        <v/>
      </c>
      <c r="K33" s="87" t="str">
        <f>IF(MAIN_DATA!$D38="","",MAIN_DATA!R38)</f>
        <v/>
      </c>
      <c r="L33" s="87" t="str">
        <f>IF(MAIN_DATA!$D38="","",MAIN_DATA!S38)</f>
        <v/>
      </c>
      <c r="M33" s="88" t="str">
        <f>IF(MAIN_DATA!T38=0,"",MAIN_DATA!T38)</f>
        <v/>
      </c>
      <c r="N33" s="89" t="str">
        <f>IF(MAIN_DATA!$D38="","",MAIN_DATA!U38)</f>
        <v/>
      </c>
      <c r="O33" s="90" t="str">
        <f>IF(MAIN_DATA!V38=0,"",MAIN_DATA!V38)</f>
        <v/>
      </c>
      <c r="P33" s="86" t="str">
        <f>IF(MAIN_DATA!W38=0,"",MAIN_DATA!W38)</f>
        <v/>
      </c>
      <c r="Q33" s="87" t="str">
        <f>IF(MAIN_DATA!$E38="","",MAIN_DATA!X38)</f>
        <v/>
      </c>
      <c r="R33" s="87" t="str">
        <f>IF(MAIN_DATA!$E38="","",MAIN_DATA!Y38)</f>
        <v/>
      </c>
      <c r="S33" s="87" t="str">
        <f>IF(MAIN_DATA!$E38="","",MAIN_DATA!Z38)</f>
        <v/>
      </c>
      <c r="T33" s="87" t="str">
        <f>IF(MAIN_DATA!$E38="","",MAIN_DATA!AA38)</f>
        <v/>
      </c>
      <c r="U33" s="87" t="str">
        <f>IF(MAIN_DATA!$E38="","",MAIN_DATA!AB38)</f>
        <v/>
      </c>
      <c r="V33" s="87" t="str">
        <f>IF(MAIN_DATA!$E38="","",MAIN_DATA!AC38)</f>
        <v/>
      </c>
      <c r="W33" s="87" t="str">
        <f>IF(MAIN_DATA!$E38="","",MAIN_DATA!AD38)</f>
        <v/>
      </c>
      <c r="X33" s="87" t="str">
        <f>IF(MAIN_DATA!$E38="","",MAIN_DATA!AE38)</f>
        <v/>
      </c>
      <c r="Y33" s="87" t="str">
        <f>IF(MAIN_DATA!$E38="","",MAIN_DATA!AF38)</f>
        <v/>
      </c>
      <c r="Z33" s="100" t="str">
        <f>IF(MAIN_DATA!AG38=0,"",MAIN_DATA!AG38)</f>
        <v/>
      </c>
      <c r="AA33" s="89" t="str">
        <f>IF(MAIN_DATA!$E38="","",MAIN_DATA!AH38)</f>
        <v/>
      </c>
    </row>
    <row r="34" spans="2:27" ht="21.95" customHeight="1">
      <c r="B34" s="90" t="str">
        <f>IFERROR(VLOOKUP(MAIN_DATA!$I39,DB_NM!$I:$J,2,FALSE),"")</f>
        <v/>
      </c>
      <c r="C34" s="91" t="str">
        <f>IF(MAIN_DATA!J39=0,"",MAIN_DATA!J39)</f>
        <v/>
      </c>
      <c r="D34" s="92" t="str">
        <f>IF(MAIN_DATA!K39=0,"",MAIN_DATA!K39)</f>
        <v/>
      </c>
      <c r="E34" s="112" t="str">
        <f>IF(MAIN_DATA!$D39="","",MAIN_DATA!L39)</f>
        <v/>
      </c>
      <c r="F34" s="112" t="str">
        <f>IF(MAIN_DATA!$D39="","",MAIN_DATA!M39)</f>
        <v/>
      </c>
      <c r="G34" s="112" t="str">
        <f>IF(MAIN_DATA!$D39="","",MAIN_DATA!N39)</f>
        <v/>
      </c>
      <c r="H34" s="112" t="str">
        <f>IF(MAIN_DATA!$D39="","",MAIN_DATA!O39)</f>
        <v/>
      </c>
      <c r="I34" s="112" t="str">
        <f>IF(MAIN_DATA!$D39="","",MAIN_DATA!P39)</f>
        <v/>
      </c>
      <c r="J34" s="112" t="str">
        <f>IF(MAIN_DATA!$D39="","",MAIN_DATA!Q39)</f>
        <v/>
      </c>
      <c r="K34" s="112" t="str">
        <f>IF(MAIN_DATA!$D39="","",MAIN_DATA!R39)</f>
        <v/>
      </c>
      <c r="L34" s="112" t="str">
        <f>IF(MAIN_DATA!$D39="","",MAIN_DATA!S39)</f>
        <v/>
      </c>
      <c r="M34" s="93" t="str">
        <f>IF(MAIN_DATA!T39=0,"",MAIN_DATA!T39)</f>
        <v/>
      </c>
      <c r="N34" s="93" t="str">
        <f>IF(MAIN_DATA!U39=0,"",MAIN_DATA!U39)</f>
        <v/>
      </c>
      <c r="O34" s="90" t="str">
        <f>IF(MAIN_DATA!V39=0,"",MAIN_DATA!V39)</f>
        <v/>
      </c>
      <c r="P34" s="91" t="str">
        <f>IF(MAIN_DATA!W39=0,"",MAIN_DATA!W39)</f>
        <v/>
      </c>
      <c r="Q34" s="112" t="str">
        <f>IF(MAIN_DATA!$E39="","",MAIN_DATA!X39)</f>
        <v/>
      </c>
      <c r="R34" s="112" t="str">
        <f>IF(MAIN_DATA!$E39="","",MAIN_DATA!Y39)</f>
        <v/>
      </c>
      <c r="S34" s="112" t="str">
        <f>IF(MAIN_DATA!$E39="","",MAIN_DATA!Z39)</f>
        <v/>
      </c>
      <c r="T34" s="112" t="str">
        <f>IF(MAIN_DATA!$E39="","",MAIN_DATA!AA39)</f>
        <v/>
      </c>
      <c r="U34" s="112" t="str">
        <f>IF(MAIN_DATA!$E39="","",MAIN_DATA!AB39)</f>
        <v/>
      </c>
      <c r="V34" s="112" t="str">
        <f>IF(MAIN_DATA!$E39="","",MAIN_DATA!AC39)</f>
        <v/>
      </c>
      <c r="W34" s="112" t="str">
        <f>IF(MAIN_DATA!$E39="","",MAIN_DATA!AD39)</f>
        <v/>
      </c>
      <c r="X34" s="112" t="str">
        <f>IF(MAIN_DATA!$E39="","",MAIN_DATA!AE39)</f>
        <v/>
      </c>
      <c r="Y34" s="112" t="str">
        <f>IF(MAIN_DATA!$E39="","",MAIN_DATA!AF39)</f>
        <v/>
      </c>
      <c r="Z34" s="101" t="str">
        <f>IF(MAIN_DATA!AG39=0,"",MAIN_DATA!AG39)</f>
        <v/>
      </c>
      <c r="AA34" s="101" t="str">
        <f>IF(MAIN_DATA!AH39=0,"",MAIN_DATA!AH39)</f>
        <v/>
      </c>
    </row>
    <row r="35" spans="2:27" ht="21.95" customHeight="1">
      <c r="B35" s="90" t="str">
        <f>IF(MAIN_DATA!I40=0,"",MAIN_DATA!I40)</f>
        <v/>
      </c>
      <c r="C35" s="94" t="str">
        <f>IF(MAIN_DATA!J40=0,"",MAIN_DATA!J40)</f>
        <v/>
      </c>
      <c r="D35" s="95" t="str">
        <f>IF(MAIN_DATA!K40=0,"",MAIN_DATA!K40)</f>
        <v/>
      </c>
      <c r="E35" s="113" t="str">
        <f>IF(MAIN_DATA!$D40="","",MAIN_DATA!L40)</f>
        <v/>
      </c>
      <c r="F35" s="113" t="str">
        <f>IF(MAIN_DATA!$D40="","",MAIN_DATA!M40)</f>
        <v/>
      </c>
      <c r="G35" s="113" t="str">
        <f>IF(MAIN_DATA!$D40="","",MAIN_DATA!N40)</f>
        <v/>
      </c>
      <c r="H35" s="113" t="str">
        <f>IF(MAIN_DATA!$D40="","",MAIN_DATA!O40)</f>
        <v/>
      </c>
      <c r="I35" s="113" t="str">
        <f>IF(MAIN_DATA!$D40="","",MAIN_DATA!P40)</f>
        <v/>
      </c>
      <c r="J35" s="113" t="str">
        <f>IF(MAIN_DATA!$D40="","",MAIN_DATA!Q40)</f>
        <v/>
      </c>
      <c r="K35" s="113" t="str">
        <f>IF(MAIN_DATA!$D40="","",MAIN_DATA!R40)</f>
        <v/>
      </c>
      <c r="L35" s="113" t="str">
        <f>IF(MAIN_DATA!$D40="","",MAIN_DATA!S40)</f>
        <v/>
      </c>
      <c r="M35" s="88" t="str">
        <f>IF(MAIN_DATA!T40=0,"",MAIN_DATA!T40)</f>
        <v/>
      </c>
      <c r="N35" s="88" t="str">
        <f>IF(MAIN_DATA!U40=0,"",MAIN_DATA!U40)</f>
        <v/>
      </c>
      <c r="O35" s="90" t="str">
        <f>IF(MAIN_DATA!V40=0,"",MAIN_DATA!V40)</f>
        <v/>
      </c>
      <c r="P35" s="94" t="str">
        <f>IF(MAIN_DATA!W40=0,"",MAIN_DATA!W40)</f>
        <v/>
      </c>
      <c r="Q35" s="113" t="str">
        <f>IF(MAIN_DATA!$E40="","",MAIN_DATA!X40)</f>
        <v/>
      </c>
      <c r="R35" s="113" t="str">
        <f>IF(MAIN_DATA!$E40="","",MAIN_DATA!Y40)</f>
        <v/>
      </c>
      <c r="S35" s="113" t="str">
        <f>IF(MAIN_DATA!$E40="","",MAIN_DATA!Z40)</f>
        <v/>
      </c>
      <c r="T35" s="113" t="str">
        <f>IF(MAIN_DATA!$E40="","",MAIN_DATA!AA40)</f>
        <v/>
      </c>
      <c r="U35" s="113" t="str">
        <f>IF(MAIN_DATA!$E40="","",MAIN_DATA!AB40)</f>
        <v/>
      </c>
      <c r="V35" s="113" t="str">
        <f>IF(MAIN_DATA!$E40="","",MAIN_DATA!AC40)</f>
        <v/>
      </c>
      <c r="W35" s="113" t="str">
        <f>IF(MAIN_DATA!$E40="","",MAIN_DATA!AD40)</f>
        <v/>
      </c>
      <c r="X35" s="113" t="str">
        <f>IF(MAIN_DATA!$E40="","",MAIN_DATA!AE40)</f>
        <v/>
      </c>
      <c r="Y35" s="113" t="str">
        <f>IF(MAIN_DATA!$E40="","",MAIN_DATA!AF40)</f>
        <v/>
      </c>
      <c r="Z35" s="100" t="str">
        <f>IF(MAIN_DATA!AG40=0,"",MAIN_DATA!AG40)</f>
        <v/>
      </c>
      <c r="AA35" s="100" t="str">
        <f>IF(MAIN_DATA!AH40=0,"",MAIN_DATA!AH40)</f>
        <v/>
      </c>
    </row>
    <row r="36" spans="2:27" s="99" customFormat="1" ht="5.25" customHeight="1">
      <c r="B36" s="96"/>
      <c r="C36" s="97"/>
      <c r="D36" s="98"/>
      <c r="E36" s="98"/>
      <c r="F36" s="98"/>
      <c r="G36" s="98"/>
      <c r="H36" s="98"/>
      <c r="I36" s="98"/>
      <c r="J36" s="98"/>
      <c r="K36" s="98"/>
      <c r="L36" s="98"/>
      <c r="M36" s="88"/>
      <c r="N36" s="88"/>
      <c r="O36" s="96"/>
      <c r="P36" s="97"/>
      <c r="Q36" s="98"/>
      <c r="R36" s="98"/>
      <c r="S36" s="98"/>
      <c r="T36" s="98"/>
      <c r="U36" s="98"/>
      <c r="V36" s="98"/>
      <c r="W36" s="98"/>
      <c r="X36" s="98"/>
      <c r="Y36" s="98"/>
      <c r="Z36" s="88"/>
      <c r="AA36" s="88"/>
    </row>
    <row r="37" spans="2:27" ht="5.0999999999999996" customHeight="1"/>
  </sheetData>
  <mergeCells count="6">
    <mergeCell ref="AA3:AA4"/>
    <mergeCell ref="B3:C4"/>
    <mergeCell ref="M3:M4"/>
    <mergeCell ref="N3:N4"/>
    <mergeCell ref="O3:P4"/>
    <mergeCell ref="Z3:Z4"/>
  </mergeCells>
  <phoneticPr fontId="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H43"/>
  <sheetViews>
    <sheetView showGridLines="0" zoomScale="80" zoomScaleNormal="80" workbookViewId="0">
      <pane xSplit="10" ySplit="9" topLeftCell="K10" activePane="bottomRight" state="frozen"/>
      <selection pane="topRight" activeCell="K1" sqref="K1"/>
      <selection pane="bottomLeft" activeCell="A10" sqref="A10"/>
      <selection pane="bottomRight" activeCell="W20" sqref="W20"/>
    </sheetView>
  </sheetViews>
  <sheetFormatPr defaultRowHeight="17.25" customHeight="1"/>
  <cols>
    <col min="1" max="2" width="9.125" style="53" customWidth="1"/>
    <col min="3" max="3" width="2.25" style="53" customWidth="1"/>
    <col min="4" max="5" width="6.375" style="53" customWidth="1"/>
    <col min="6" max="6" width="13.625" style="53" customWidth="1"/>
    <col min="7" max="7" width="4.875" style="53" customWidth="1"/>
    <col min="8" max="8" width="3.625" style="53" customWidth="1"/>
    <col min="9" max="9" width="10.125" style="53" customWidth="1"/>
    <col min="10" max="10" width="14.625" style="52" customWidth="1"/>
    <col min="11" max="11" width="8.25" style="53" customWidth="1"/>
    <col min="12" max="12" width="8.375" style="53" customWidth="1"/>
    <col min="13" max="13" width="8.875" style="53" customWidth="1"/>
    <col min="14" max="15" width="10.875" style="53" customWidth="1"/>
    <col min="16" max="16" width="6.5" style="53" customWidth="1"/>
    <col min="17" max="19" width="8.375" style="53" customWidth="1"/>
    <col min="20" max="20" width="6.625" style="53" customWidth="1"/>
    <col min="21" max="21" width="6.25" style="53" customWidth="1"/>
    <col min="22" max="22" width="13.125" style="53" customWidth="1"/>
    <col min="23" max="23" width="12.125" style="53" customWidth="1"/>
    <col min="24" max="32" width="9" style="53"/>
    <col min="33" max="33" width="7.125" style="53" customWidth="1"/>
    <col min="34" max="34" width="6.5" style="53" customWidth="1"/>
    <col min="35" max="16384" width="9" style="53"/>
  </cols>
  <sheetData>
    <row r="1" spans="1:34" ht="15" customHeight="1">
      <c r="K1" s="31"/>
      <c r="L1" s="32">
        <v>7</v>
      </c>
      <c r="M1" s="32">
        <v>6</v>
      </c>
      <c r="N1" s="32">
        <v>5</v>
      </c>
      <c r="O1" s="32">
        <v>4</v>
      </c>
      <c r="P1" s="32">
        <v>3</v>
      </c>
      <c r="Q1" s="32">
        <v>2</v>
      </c>
      <c r="R1" s="32">
        <v>1</v>
      </c>
      <c r="S1" s="32">
        <v>0</v>
      </c>
      <c r="T1" s="32">
        <v>0</v>
      </c>
      <c r="U1" s="32"/>
      <c r="V1" s="32"/>
      <c r="W1" s="32"/>
      <c r="X1" s="31"/>
      <c r="Y1" s="32">
        <v>7</v>
      </c>
      <c r="Z1" s="32">
        <v>6</v>
      </c>
      <c r="AA1" s="32">
        <v>5</v>
      </c>
      <c r="AB1" s="32">
        <v>4</v>
      </c>
      <c r="AC1" s="32">
        <v>3</v>
      </c>
      <c r="AD1" s="32">
        <v>2</v>
      </c>
      <c r="AE1" s="32">
        <v>1</v>
      </c>
      <c r="AF1" s="32">
        <v>0</v>
      </c>
      <c r="AG1" s="32">
        <v>0</v>
      </c>
      <c r="AH1" s="32"/>
    </row>
    <row r="2" spans="1:34" ht="15" customHeight="1">
      <c r="J2" s="68" t="s">
        <v>222</v>
      </c>
      <c r="K2" s="31" t="str">
        <f>LEFT(N_YYYYMM,4)-1&amp;"12"</f>
        <v>201412</v>
      </c>
      <c r="L2" s="32" t="str">
        <f t="shared" ref="L2:AF2" si="0">TEXT(DATE(LEFT(N_YYYYMM,4),RIGHT(N_YYYYMM,2)-L$1,1),"YYYYMM")</f>
        <v>201505</v>
      </c>
      <c r="M2" s="32" t="str">
        <f t="shared" si="0"/>
        <v>201506</v>
      </c>
      <c r="N2" s="32" t="str">
        <f t="shared" si="0"/>
        <v>201507</v>
      </c>
      <c r="O2" s="32" t="str">
        <f t="shared" si="0"/>
        <v>201508</v>
      </c>
      <c r="P2" s="32" t="str">
        <f t="shared" si="0"/>
        <v>201509</v>
      </c>
      <c r="Q2" s="32" t="str">
        <f t="shared" si="0"/>
        <v>201510</v>
      </c>
      <c r="R2" s="32" t="str">
        <f t="shared" si="0"/>
        <v>201511</v>
      </c>
      <c r="S2" s="32" t="str">
        <f t="shared" si="0"/>
        <v>201512</v>
      </c>
      <c r="T2" s="32" t="str">
        <f>TEXT(DATE(LEFT(N_YYYYMM,4)-1,RIGHT(N_YYYYMM,2)-T$1,1),"YYYYMM")</f>
        <v>201412</v>
      </c>
      <c r="U2" s="32"/>
      <c r="V2" s="32"/>
      <c r="W2" s="32"/>
      <c r="X2" s="31" t="str">
        <f>LEFT(N_YYYYMM,4)-1&amp;"12"</f>
        <v>201412</v>
      </c>
      <c r="Y2" s="32" t="str">
        <f t="shared" si="0"/>
        <v>201505</v>
      </c>
      <c r="Z2" s="32" t="str">
        <f t="shared" si="0"/>
        <v>201506</v>
      </c>
      <c r="AA2" s="32" t="str">
        <f t="shared" si="0"/>
        <v>201507</v>
      </c>
      <c r="AB2" s="32" t="str">
        <f t="shared" si="0"/>
        <v>201508</v>
      </c>
      <c r="AC2" s="32" t="str">
        <f t="shared" si="0"/>
        <v>201509</v>
      </c>
      <c r="AD2" s="32" t="str">
        <f t="shared" si="0"/>
        <v>201510</v>
      </c>
      <c r="AE2" s="32" t="str">
        <f t="shared" si="0"/>
        <v>201511</v>
      </c>
      <c r="AF2" s="32" t="str">
        <f t="shared" si="0"/>
        <v>201512</v>
      </c>
      <c r="AG2" s="32" t="str">
        <f>TEXT(DATE(LEFT(N_YYYYMM,4)-1,RIGHT(N_YYYYMM,2)-AG$1,1),"YYYYMM")</f>
        <v>201412</v>
      </c>
      <c r="AH2" s="32"/>
    </row>
    <row r="3" spans="1:34" ht="15" customHeight="1">
      <c r="J3" s="107" t="s">
        <v>223</v>
      </c>
      <c r="K3" s="32" t="str">
        <f>DB_PROD!$G$7</f>
        <v>모니터사이니지</v>
      </c>
      <c r="L3" s="32" t="str">
        <f>DB_PROD!$G$7</f>
        <v>모니터사이니지</v>
      </c>
      <c r="M3" s="32" t="str">
        <f>DB_PROD!$G$7</f>
        <v>모니터사이니지</v>
      </c>
      <c r="N3" s="32" t="str">
        <f>DB_PROD!$G$7</f>
        <v>모니터사이니지</v>
      </c>
      <c r="O3" s="32" t="str">
        <f>DB_PROD!$G$7</f>
        <v>모니터사이니지</v>
      </c>
      <c r="P3" s="32" t="str">
        <f>DB_PROD!$G$7</f>
        <v>모니터사이니지</v>
      </c>
      <c r="Q3" s="32" t="str">
        <f>DB_PROD!$G$7</f>
        <v>모니터사이니지</v>
      </c>
      <c r="R3" s="32" t="str">
        <f>DB_PROD!$G$7</f>
        <v>모니터사이니지</v>
      </c>
      <c r="S3" s="32" t="str">
        <f>DB_PROD!$G$7</f>
        <v>모니터사이니지</v>
      </c>
      <c r="T3" s="32" t="str">
        <f>DB_PROD!$G$7</f>
        <v>모니터사이니지</v>
      </c>
      <c r="U3" s="32" t="str">
        <f>DB_PROD!$G$7</f>
        <v>모니터사이니지</v>
      </c>
      <c r="V3" s="32" t="str">
        <f>DB_PROD!$G$8</f>
        <v>TV사이니지</v>
      </c>
      <c r="W3" s="32" t="str">
        <f>DB_PROD!$G$8</f>
        <v>TV사이니지</v>
      </c>
      <c r="X3" s="32" t="str">
        <f>DB_PROD!$G$8</f>
        <v>TV사이니지</v>
      </c>
      <c r="Y3" s="32" t="str">
        <f>DB_PROD!$G$8</f>
        <v>TV사이니지</v>
      </c>
      <c r="Z3" s="32" t="str">
        <f>DB_PROD!$G$8</f>
        <v>TV사이니지</v>
      </c>
      <c r="AA3" s="32" t="str">
        <f>DB_PROD!$G$8</f>
        <v>TV사이니지</v>
      </c>
      <c r="AB3" s="32" t="str">
        <f>DB_PROD!$G$8</f>
        <v>TV사이니지</v>
      </c>
      <c r="AC3" s="32" t="str">
        <f>DB_PROD!$G$8</f>
        <v>TV사이니지</v>
      </c>
      <c r="AD3" s="32" t="str">
        <f>DB_PROD!$G$8</f>
        <v>TV사이니지</v>
      </c>
      <c r="AE3" s="32" t="str">
        <f>DB_PROD!$G$8</f>
        <v>TV사이니지</v>
      </c>
      <c r="AF3" s="32" t="str">
        <f>DB_PROD!$G$8</f>
        <v>TV사이니지</v>
      </c>
      <c r="AG3" s="32" t="str">
        <f>DB_PROD!$G$8</f>
        <v>TV사이니지</v>
      </c>
      <c r="AH3" s="32" t="str">
        <f>DB_PROD!$G$8</f>
        <v>TV사이니지</v>
      </c>
    </row>
    <row r="4" spans="1:34" ht="15" customHeight="1">
      <c r="J4" s="53"/>
    </row>
    <row r="5" spans="1:34" ht="15" customHeight="1">
      <c r="K5" s="72">
        <f>SUMIF(DB_LIST1!$A:$A,$A5&amp;K$2&amp;K$3,DB_LIST1!$J:$J)/N_UNIT</f>
        <v>0</v>
      </c>
      <c r="X5" s="72">
        <f>SUMIF(DB_LIST2!$A:$A,$B5&amp;X$2&amp;X$3,DB_LIST2!$J:$J)/N_UNIT</f>
        <v>0</v>
      </c>
    </row>
    <row r="6" spans="1:34" ht="20.100000000000001" customHeight="1">
      <c r="J6" s="66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</row>
    <row r="7" spans="1:34" s="54" customFormat="1" ht="15" customHeight="1">
      <c r="H7" s="53"/>
      <c r="I7" s="118" t="s">
        <v>162</v>
      </c>
      <c r="J7" s="119"/>
      <c r="K7" s="75" t="str">
        <f>"'"&amp;MID(N_YYYYMM,3,2)-1&amp;IF(N_LANGUAGE="KO","년","")</f>
        <v>'14년</v>
      </c>
      <c r="L7" s="75" t="str">
        <f t="shared" ref="L7:S7" si="1">IF(MID(K2,3,2)&lt;&gt;MID(L2,3,2),"'"&amp;MID(L2,3,2)&amp;IF(N_LANGUAGE="KO","년",""),"")</f>
        <v>'15년</v>
      </c>
      <c r="M7" s="75" t="str">
        <f t="shared" si="1"/>
        <v/>
      </c>
      <c r="N7" s="75" t="str">
        <f t="shared" si="1"/>
        <v/>
      </c>
      <c r="O7" s="75" t="str">
        <f t="shared" si="1"/>
        <v/>
      </c>
      <c r="P7" s="75" t="str">
        <f t="shared" si="1"/>
        <v/>
      </c>
      <c r="Q7" s="75" t="str">
        <f t="shared" si="1"/>
        <v/>
      </c>
      <c r="R7" s="75" t="str">
        <f t="shared" si="1"/>
        <v/>
      </c>
      <c r="S7" s="75" t="str">
        <f t="shared" si="1"/>
        <v/>
      </c>
      <c r="T7" s="115" t="s">
        <v>209</v>
      </c>
      <c r="U7" s="115" t="s">
        <v>210</v>
      </c>
      <c r="V7" s="118" t="s">
        <v>162</v>
      </c>
      <c r="W7" s="119"/>
      <c r="X7" s="75" t="str">
        <f>"'"&amp;MID(N_YYYYMM,3,2)-1&amp;IF(N_LANGUAGE="KO","년","")</f>
        <v>'14년</v>
      </c>
      <c r="Y7" s="75" t="str">
        <f t="shared" ref="Y7" si="2">IF(MID(X2,3,2)&lt;&gt;MID(Y2,3,2),"'"&amp;MID(Y2,3,2)&amp;IF(N_LANGUAGE="KO","년",""),"")</f>
        <v>'15년</v>
      </c>
      <c r="Z7" s="75" t="str">
        <f t="shared" ref="Z7" si="3">IF(MID(Y2,3,2)&lt;&gt;MID(Z2,3,2),"'"&amp;MID(Z2,3,2)&amp;IF(N_LANGUAGE="KO","년",""),"")</f>
        <v/>
      </c>
      <c r="AA7" s="75" t="str">
        <f t="shared" ref="AA7" si="4">IF(MID(Z2,3,2)&lt;&gt;MID(AA2,3,2),"'"&amp;MID(AA2,3,2)&amp;IF(N_LANGUAGE="KO","년",""),"")</f>
        <v/>
      </c>
      <c r="AB7" s="75" t="str">
        <f t="shared" ref="AB7" si="5">IF(MID(AA2,3,2)&lt;&gt;MID(AB2,3,2),"'"&amp;MID(AB2,3,2)&amp;IF(N_LANGUAGE="KO","년",""),"")</f>
        <v/>
      </c>
      <c r="AC7" s="75" t="str">
        <f t="shared" ref="AC7" si="6">IF(MID(AB2,3,2)&lt;&gt;MID(AC2,3,2),"'"&amp;MID(AC2,3,2)&amp;IF(N_LANGUAGE="KO","년",""),"")</f>
        <v/>
      </c>
      <c r="AD7" s="75" t="str">
        <f t="shared" ref="AD7" si="7">IF(MID(AC2,3,2)&lt;&gt;MID(AD2,3,2),"'"&amp;MID(AD2,3,2)&amp;IF(N_LANGUAGE="KO","년",""),"")</f>
        <v/>
      </c>
      <c r="AE7" s="75" t="str">
        <f t="shared" ref="AE7" si="8">IF(MID(AD2,3,2)&lt;&gt;MID(AE2,3,2),"'"&amp;MID(AE2,3,2)&amp;IF(N_LANGUAGE="KO","년",""),"")</f>
        <v/>
      </c>
      <c r="AF7" s="75" t="str">
        <f t="shared" ref="AF7" si="9">IF(MID(AE2,3,2)&lt;&gt;MID(AF2,3,2),"'"&amp;MID(AF2,3,2)&amp;IF(N_LANGUAGE="KO","년",""),"")</f>
        <v/>
      </c>
      <c r="AG7" s="115" t="s">
        <v>209</v>
      </c>
      <c r="AH7" s="115" t="s">
        <v>210</v>
      </c>
    </row>
    <row r="8" spans="1:34" s="54" customFormat="1" ht="15" customHeight="1">
      <c r="A8" s="68" t="s">
        <v>224</v>
      </c>
      <c r="B8" s="68" t="s">
        <v>225</v>
      </c>
      <c r="D8" s="68" t="s">
        <v>219</v>
      </c>
      <c r="E8" s="68" t="s">
        <v>220</v>
      </c>
      <c r="F8" s="68" t="s">
        <v>221</v>
      </c>
      <c r="G8" s="68" t="s">
        <v>161</v>
      </c>
      <c r="H8" s="53"/>
      <c r="I8" s="120"/>
      <c r="J8" s="120"/>
      <c r="K8" s="76" t="str">
        <f t="shared" ref="K8:S8" si="10">IF(N_LANGUAGE="KO",--RIGHT(K2,2) &amp; "월",CHOOSE(--RIGHT(K2,2),"JAN","FEB","MAR","APR","MAY","JUN","JUL","AUG","SEP","OCT","NOV","DEC"))</f>
        <v>12월</v>
      </c>
      <c r="L8" s="76" t="str">
        <f t="shared" si="10"/>
        <v>5월</v>
      </c>
      <c r="M8" s="76" t="str">
        <f t="shared" si="10"/>
        <v>6월</v>
      </c>
      <c r="N8" s="76" t="str">
        <f t="shared" si="10"/>
        <v>7월</v>
      </c>
      <c r="O8" s="76" t="str">
        <f t="shared" si="10"/>
        <v>8월</v>
      </c>
      <c r="P8" s="76" t="str">
        <f>IF(N_LANGUAGE="KO",--RIGHT(P2,2) &amp; "월",CHOOSE(--RIGHT(P2,2),"JAN","FEB","MAR","APR","MAY","JUN","JUL","AUG","SEP","OCT","NOV","DEC"))</f>
        <v>9월</v>
      </c>
      <c r="Q8" s="76" t="str">
        <f t="shared" si="10"/>
        <v>10월</v>
      </c>
      <c r="R8" s="76" t="str">
        <f t="shared" si="10"/>
        <v>11월</v>
      </c>
      <c r="S8" s="76" t="str">
        <f t="shared" si="10"/>
        <v>12월</v>
      </c>
      <c r="T8" s="115"/>
      <c r="U8" s="115"/>
      <c r="V8" s="120"/>
      <c r="W8" s="120"/>
      <c r="X8" s="76" t="str">
        <f t="shared" ref="X8:AB8" si="11">IF(N_LANGUAGE="KO",--RIGHT(X2,2) &amp; "월",CHOOSE(--RIGHT(X2,2),"JAN","FEB","MAR","APR","MAY","JUN","JUL","AUG","SEP","OCT","NOV","DEC"))</f>
        <v>12월</v>
      </c>
      <c r="Y8" s="76" t="str">
        <f t="shared" si="11"/>
        <v>5월</v>
      </c>
      <c r="Z8" s="76" t="str">
        <f t="shared" si="11"/>
        <v>6월</v>
      </c>
      <c r="AA8" s="76" t="str">
        <f t="shared" si="11"/>
        <v>7월</v>
      </c>
      <c r="AB8" s="76" t="str">
        <f t="shared" si="11"/>
        <v>8월</v>
      </c>
      <c r="AC8" s="76" t="str">
        <f>IF(N_LANGUAGE="KO",--RIGHT(AC2,2) &amp; "월",CHOOSE(--RIGHT(AC2,2),"JAN","FEB","MAR","APR","MAY","JUN","JUL","AUG","SEP","OCT","NOV","DEC"))</f>
        <v>9월</v>
      </c>
      <c r="AD8" s="76" t="str">
        <f t="shared" ref="AD8:AF8" si="12">IF(N_LANGUAGE="KO",--RIGHT(AD2,2) &amp; "월",CHOOSE(--RIGHT(AD2,2),"JAN","FEB","MAR","APR","MAY","JUN","JUL","AUG","SEP","OCT","NOV","DEC"))</f>
        <v>10월</v>
      </c>
      <c r="AE8" s="76" t="str">
        <f t="shared" si="12"/>
        <v>11월</v>
      </c>
      <c r="AF8" s="76" t="str">
        <f t="shared" si="12"/>
        <v>12월</v>
      </c>
      <c r="AG8" s="115"/>
      <c r="AH8" s="115"/>
    </row>
    <row r="9" spans="1:34" ht="2.1" customHeight="1">
      <c r="I9" s="73"/>
      <c r="J9" s="73"/>
      <c r="K9" s="65"/>
      <c r="L9" s="64"/>
      <c r="M9" s="64"/>
      <c r="N9" s="64"/>
      <c r="O9" s="64"/>
      <c r="P9" s="64"/>
      <c r="Q9" s="64"/>
      <c r="R9" s="64"/>
      <c r="S9" s="64"/>
      <c r="T9" s="64"/>
      <c r="U9" s="64"/>
    </row>
    <row r="10" spans="1:34" s="55" customFormat="1" ht="15" customHeight="1">
      <c r="A10" t="str">
        <f>TRIM(D10)&amp;TRIM(F10)</f>
        <v>ALL수주잔고</v>
      </c>
      <c r="B10" t="str">
        <f>TRIM(E10)&amp;TRIM(F10)</f>
        <v>ALL수주잔고</v>
      </c>
      <c r="C10"/>
      <c r="D10" s="30" t="s">
        <v>207</v>
      </c>
      <c r="E10" s="30" t="s">
        <v>207</v>
      </c>
      <c r="F10" s="30" t="s">
        <v>163</v>
      </c>
      <c r="G10" s="30">
        <v>0</v>
      </c>
      <c r="H10" s="53"/>
      <c r="I10" s="85"/>
      <c r="J10" s="86" t="s">
        <v>163</v>
      </c>
      <c r="K10" s="87">
        <f>SUMIF(DB_LIST1!$A:$A,$A10&amp;K$2&amp;K$3,DB_LIST1!$J:$J)/N_UNIT</f>
        <v>4.8497545576038474</v>
      </c>
      <c r="L10" s="87">
        <f>SUMIF(DB_LIST1!$A:$A,$A10&amp;L$2&amp;L$3,DB_LIST1!$J:$J)/N_UNIT</f>
        <v>8.8794540659473391</v>
      </c>
      <c r="M10" s="87">
        <f>SUMIF(DB_LIST1!$A:$A,$A10&amp;M$2&amp;M$3,DB_LIST1!$J:$J)/N_UNIT</f>
        <v>8.4318693575604495</v>
      </c>
      <c r="N10" s="87">
        <f>SUMIF(DB_LIST1!$A:$A,$A10&amp;N$2&amp;N$3,DB_LIST1!$J:$J)/N_UNIT</f>
        <v>8.9060641804556795</v>
      </c>
      <c r="O10" s="87">
        <f>SUMIF(DB_LIST1!$A:$A,$A10&amp;O$2&amp;O$3,DB_LIST1!$J:$J)/N_UNIT</f>
        <v>8.5527599644024512</v>
      </c>
      <c r="P10" s="87">
        <f>SUMIF(DB_LIST1!$A:$A,$A10&amp;P$2&amp;P$3,DB_LIST1!$J:$J)/N_UNIT</f>
        <v>8.4383205033889386</v>
      </c>
      <c r="Q10" s="87">
        <f>SUMIF(DB_LIST1!$A:$A,$A10&amp;Q$2&amp;Q$3,DB_LIST1!$J:$J)/N_UNIT</f>
        <v>9.2439031695024561</v>
      </c>
      <c r="R10" s="87">
        <f>SUMIF(DB_LIST1!$A:$A,$A10&amp;R$2&amp;R$3,DB_LIST1!$J:$J)/N_UNIT</f>
        <v>10.817827386545456</v>
      </c>
      <c r="S10" s="87">
        <f>SUMIF(DB_LIST1!$A:$A,$A10&amp;S$2&amp;S$3,DB_LIST1!$J:$J)/N_UNIT</f>
        <v>11.040179365459167</v>
      </c>
      <c r="T10" s="88">
        <f>S10-SUMIF(DB_LIST1!$A:$A,$A10&amp;T$2&amp;T$3,DB_LIST1!$J:$J)/N_UNIT</f>
        <v>6.1904248078553197</v>
      </c>
      <c r="U10" s="89">
        <f>S10-K10</f>
        <v>6.1904248078553197</v>
      </c>
      <c r="V10" s="90"/>
      <c r="W10" s="86" t="s">
        <v>163</v>
      </c>
      <c r="X10" s="87">
        <f>SUMIF(DB_LIST2!$A:$A,$B10&amp;X$2&amp;X$3,DB_LIST2!$J:$J)/N_UNIT</f>
        <v>2.3043943313919044</v>
      </c>
      <c r="Y10" s="87">
        <f>SUMIF(DB_LIST2!$A:$A,$B10&amp;Y$2&amp;Y$3,DB_LIST2!$J:$J)/N_UNIT</f>
        <v>0.37766065472149862</v>
      </c>
      <c r="Z10" s="87">
        <f>SUMIF(DB_LIST2!$A:$A,$B10&amp;Z$2&amp;Z$3,DB_LIST2!$J:$J)/N_UNIT</f>
        <v>0.71702925430365083</v>
      </c>
      <c r="AA10" s="87">
        <f>SUMIF(DB_LIST2!$A:$A,$B10&amp;AA$2&amp;AA$3,DB_LIST2!$J:$J)/N_UNIT</f>
        <v>2.4102864450747661</v>
      </c>
      <c r="AB10" s="87">
        <f>SUMIF(DB_LIST2!$A:$A,$B10&amp;AB$2&amp;AB$3,DB_LIST2!$J:$J)/N_UNIT</f>
        <v>2.5837768262066763</v>
      </c>
      <c r="AC10" s="87">
        <f>SUMIF(DB_LIST2!$A:$A,$B10&amp;AC$2&amp;AC$3,DB_LIST2!$J:$J)/N_UNIT</f>
        <v>2.4656052851261814</v>
      </c>
      <c r="AD10" s="87">
        <f>SUMIF(DB_LIST2!$A:$A,$B10&amp;AD$2&amp;AD$3,DB_LIST2!$J:$J)/N_UNIT</f>
        <v>3.2988683992829664</v>
      </c>
      <c r="AE10" s="87">
        <f>SUMIF(DB_LIST2!$A:$A,$B10&amp;AE$2&amp;AE$3,DB_LIST2!$J:$J)/N_UNIT</f>
        <v>2.8633403905720614</v>
      </c>
      <c r="AF10" s="87">
        <f>SUMIF(DB_LIST2!$A:$A,$B10&amp;AF$2&amp;AF$3,DB_LIST2!$J:$J)/N_UNIT</f>
        <v>2.1061079102071196</v>
      </c>
      <c r="AG10" s="88">
        <f>AF10-SUMIF(DB_LIST1!$A:$A,$A10&amp;AG$2&amp;AG$3,DB_LIST1!$J:$J)/N_UNIT</f>
        <v>2.1061079102071196</v>
      </c>
      <c r="AH10" s="89">
        <f>AF10-X10</f>
        <v>-0.19828642118478479</v>
      </c>
    </row>
    <row r="11" spans="1:34" s="55" customFormat="1" ht="15" customHeight="1">
      <c r="A11" t="str">
        <f t="shared" ref="A11:A40" si="13">TRIM(C11)&amp;TRIM(D11)&amp;TRIM(F11)</f>
        <v>ALL매출(프로젝트)</v>
      </c>
      <c r="B11" t="str">
        <f t="shared" ref="B11:B41" si="14">TRIM(E11)&amp;TRIM(F11)</f>
        <v>ALL매출(프로젝트)</v>
      </c>
      <c r="C11"/>
      <c r="D11" s="30" t="s">
        <v>207</v>
      </c>
      <c r="E11" s="30" t="s">
        <v>207</v>
      </c>
      <c r="F11" s="30" t="s">
        <v>165</v>
      </c>
      <c r="G11" s="30">
        <v>0</v>
      </c>
      <c r="H11" s="53"/>
      <c r="I11" s="85" t="s">
        <v>1457</v>
      </c>
      <c r="J11" s="91" t="s">
        <v>165</v>
      </c>
      <c r="K11" s="92">
        <f>SUMIF(DB_LIST1!$A:$A,$A11&amp;K$2&amp;K$3,DB_LIST1!$J:$J)/N_UNIT</f>
        <v>0.32150113000000002</v>
      </c>
      <c r="L11" s="92">
        <f>SUMIF(DB_LIST1!$A:$A,$A11&amp;L$2&amp;L$3,DB_LIST1!$J:$J)/N_UNIT</f>
        <v>0.56042873999999998</v>
      </c>
      <c r="M11" s="92">
        <f>SUMIF(DB_LIST1!$A:$A,$A11&amp;M$2&amp;M$3,DB_LIST1!$J:$J)/N_UNIT</f>
        <v>0.86047834000000001</v>
      </c>
      <c r="N11" s="92">
        <f>SUMIF(DB_LIST1!$A:$A,$A11&amp;N$2&amp;N$3,DB_LIST1!$J:$J)/N_UNIT</f>
        <v>0.69698070000000001</v>
      </c>
      <c r="O11" s="92">
        <f>SUMIF(DB_LIST1!$A:$A,$A11&amp;O$2&amp;O$3,DB_LIST1!$J:$J)/N_UNIT</f>
        <v>1.0625911100000001</v>
      </c>
      <c r="P11" s="92">
        <f>SUMIF(DB_LIST1!$A:$A,$A11&amp;P$2&amp;P$3,DB_LIST1!$J:$J)/N_UNIT</f>
        <v>0.70094164000000003</v>
      </c>
      <c r="Q11" s="92">
        <f>SUMIF(DB_LIST1!$A:$A,$A11&amp;Q$2&amp;Q$3,DB_LIST1!$J:$J)/N_UNIT</f>
        <v>0.79059347999999996</v>
      </c>
      <c r="R11" s="92">
        <f>SUMIF(DB_LIST1!$A:$A,$A11&amp;R$2&amp;R$3,DB_LIST1!$J:$J)/N_UNIT</f>
        <v>0.93290742999999998</v>
      </c>
      <c r="S11" s="92">
        <f>SUMIF(DB_LIST1!$A:$A,$A11&amp;S$2&amp;S$3,DB_LIST1!$J:$J)/N_UNIT</f>
        <v>0.34099699999999999</v>
      </c>
      <c r="T11" s="93">
        <f>S11-SUMIF(DB_LIST1!$A:$A,$A11&amp;T$2&amp;T$3,DB_LIST1!$J:$J)/N_UNIT</f>
        <v>1.9495869999999971E-2</v>
      </c>
      <c r="U11" s="93"/>
      <c r="V11" s="90" t="s">
        <v>1458</v>
      </c>
      <c r="W11" s="91" t="s">
        <v>165</v>
      </c>
      <c r="X11" s="92">
        <f>SUMIF(DB_LIST2!$A:$A,$B11&amp;X$2&amp;X$3,DB_LIST2!$J:$J)/N_UNIT</f>
        <v>0.14643644</v>
      </c>
      <c r="Y11" s="92">
        <f>SUMIF(DB_LIST2!$A:$A,$B11&amp;Y$2&amp;Y$3,DB_LIST2!$J:$J)/N_UNIT</f>
        <v>0.33900651000000009</v>
      </c>
      <c r="Z11" s="92">
        <f>SUMIF(DB_LIST2!$A:$A,$B11&amp;Z$2&amp;Z$3,DB_LIST2!$J:$J)/N_UNIT</f>
        <v>0.46239524000000004</v>
      </c>
      <c r="AA11" s="92">
        <f>SUMIF(DB_LIST2!$A:$A,$B11&amp;AA$2&amp;AA$3,DB_LIST2!$J:$J)/N_UNIT</f>
        <v>0.33507548000000004</v>
      </c>
      <c r="AB11" s="92">
        <f>SUMIF(DB_LIST2!$A:$A,$B11&amp;AB$2&amp;AB$3,DB_LIST2!$J:$J)/N_UNIT</f>
        <v>0.53963815999999998</v>
      </c>
      <c r="AC11" s="92">
        <f>SUMIF(DB_LIST2!$A:$A,$B11&amp;AC$2&amp;AC$3,DB_LIST2!$J:$J)/N_UNIT</f>
        <v>1.1714839700000002</v>
      </c>
      <c r="AD11" s="92">
        <f>SUMIF(DB_LIST2!$A:$A,$B11&amp;AD$2&amp;AD$3,DB_LIST2!$J:$J)/N_UNIT</f>
        <v>1.1260278100000001</v>
      </c>
      <c r="AE11" s="92">
        <f>SUMIF(DB_LIST2!$A:$A,$B11&amp;AE$2&amp;AE$3,DB_LIST2!$J:$J)/N_UNIT</f>
        <v>0.68503075000000013</v>
      </c>
      <c r="AF11" s="92">
        <f>SUMIF(DB_LIST2!$A:$A,$B11&amp;AF$2&amp;AF$3,DB_LIST2!$J:$J)/N_UNIT</f>
        <v>0.43262997000000003</v>
      </c>
      <c r="AG11" s="93">
        <f>AF11-SUMIF(DB_LIST1!$A:$A,$A11&amp;AG$2&amp;AG$3,DB_LIST1!$J:$J)/N_UNIT</f>
        <v>0.43262997000000003</v>
      </c>
      <c r="AH11" s="93"/>
    </row>
    <row r="12" spans="1:34" s="56" customFormat="1" ht="15" customHeight="1">
      <c r="A12" t="str">
        <f t="shared" si="13"/>
        <v>ALL매출(전체)</v>
      </c>
      <c r="B12" t="str">
        <f t="shared" si="14"/>
        <v>ALL매출(전체)</v>
      </c>
      <c r="C12"/>
      <c r="D12" s="30" t="s">
        <v>207</v>
      </c>
      <c r="E12" s="30" t="s">
        <v>207</v>
      </c>
      <c r="F12" s="30" t="s">
        <v>164</v>
      </c>
      <c r="G12" s="30">
        <v>0</v>
      </c>
      <c r="H12" s="53"/>
      <c r="I12" s="85"/>
      <c r="J12" s="94" t="s">
        <v>164</v>
      </c>
      <c r="K12" s="95">
        <f>SUMIF(DB_LIST1!$A:$A,$A12&amp;K$2&amp;K$3,DB_LIST1!$J:$J)/N_UNIT</f>
        <v>0.37772106575566133</v>
      </c>
      <c r="L12" s="95">
        <f>SUMIF(DB_LIST1!$A:$A,$A12&amp;L$2&amp;L$3,DB_LIST1!$J:$J)/N_UNIT</f>
        <v>0.9391482842770501</v>
      </c>
      <c r="M12" s="95">
        <f>SUMIF(DB_LIST1!$A:$A,$A12&amp;M$2&amp;M$3,DB_LIST1!$J:$J)/N_UNIT</f>
        <v>1.0535336926716385</v>
      </c>
      <c r="N12" s="95">
        <f>SUMIF(DB_LIST1!$A:$A,$A12&amp;N$2&amp;N$3,DB_LIST1!$J:$J)/N_UNIT</f>
        <v>0.86750005858730095</v>
      </c>
      <c r="O12" s="95">
        <f>SUMIF(DB_LIST1!$A:$A,$A12&amp;O$2&amp;O$3,DB_LIST1!$J:$J)/N_UNIT</f>
        <v>1.2885960659010673</v>
      </c>
      <c r="P12" s="95">
        <f>SUMIF(DB_LIST1!$A:$A,$A12&amp;P$2&amp;P$3,DB_LIST1!$J:$J)/N_UNIT</f>
        <v>0.8405414557637827</v>
      </c>
      <c r="Q12" s="95">
        <f>SUMIF(DB_LIST1!$A:$A,$A12&amp;Q$2&amp;Q$3,DB_LIST1!$J:$J)/N_UNIT</f>
        <v>0.95737360893181533</v>
      </c>
      <c r="R12" s="95">
        <f>SUMIF(DB_LIST1!$A:$A,$A12&amp;R$2&amp;R$3,DB_LIST1!$J:$J)/N_UNIT</f>
        <v>0.985860807593535</v>
      </c>
      <c r="S12" s="95">
        <f>SUMIF(DB_LIST1!$A:$A,$A12&amp;S$2&amp;S$3,DB_LIST1!$J:$J)/N_UNIT</f>
        <v>0.38621100763504979</v>
      </c>
      <c r="T12" s="88">
        <f>S12-SUMIF(DB_LIST1!$A:$A,$A12&amp;T$2&amp;T$3,DB_LIST1!$J:$J)/N_UNIT</f>
        <v>8.4899418793884518E-3</v>
      </c>
      <c r="U12" s="88"/>
      <c r="V12" s="90"/>
      <c r="W12" s="94" t="s">
        <v>164</v>
      </c>
      <c r="X12" s="95">
        <f>SUMIF(DB_LIST2!$A:$A,$B12&amp;X$2&amp;X$3,DB_LIST2!$J:$J)/N_UNIT</f>
        <v>0</v>
      </c>
      <c r="Y12" s="95">
        <f>SUMIF(DB_LIST2!$A:$A,$B12&amp;Y$2&amp;Y$3,DB_LIST2!$J:$J)/N_UNIT</f>
        <v>0</v>
      </c>
      <c r="Z12" s="95">
        <f>SUMIF(DB_LIST2!$A:$A,$B12&amp;Z$2&amp;Z$3,DB_LIST2!$J:$J)/N_UNIT</f>
        <v>0</v>
      </c>
      <c r="AA12" s="95">
        <f>SUMIF(DB_LIST2!$A:$A,$B12&amp;AA$2&amp;AA$3,DB_LIST2!$J:$J)/N_UNIT</f>
        <v>0</v>
      </c>
      <c r="AB12" s="95">
        <f>SUMIF(DB_LIST2!$A:$A,$B12&amp;AB$2&amp;AB$3,DB_LIST2!$J:$J)/N_UNIT</f>
        <v>0</v>
      </c>
      <c r="AC12" s="95">
        <f>SUMIF(DB_LIST2!$A:$A,$B12&amp;AC$2&amp;AC$3,DB_LIST2!$J:$J)/N_UNIT</f>
        <v>0</v>
      </c>
      <c r="AD12" s="95">
        <f>SUMIF(DB_LIST2!$A:$A,$B12&amp;AD$2&amp;AD$3,DB_LIST2!$J:$J)/N_UNIT</f>
        <v>0</v>
      </c>
      <c r="AE12" s="95">
        <f>SUMIF(DB_LIST2!$A:$A,$B12&amp;AE$2&amp;AE$3,DB_LIST2!$J:$J)/N_UNIT</f>
        <v>0</v>
      </c>
      <c r="AF12" s="95">
        <f>SUMIF(DB_LIST2!$A:$A,$B12&amp;AF$2&amp;AF$3,DB_LIST2!$J:$J)/N_UNIT</f>
        <v>0</v>
      </c>
      <c r="AG12" s="88">
        <f>AF12-SUMIF(DB_LIST1!$A:$A,$A12&amp;AG$2&amp;AG$3,DB_LIST1!$J:$J)/N_UNIT</f>
        <v>0</v>
      </c>
      <c r="AH12" s="88"/>
    </row>
    <row r="13" spans="1:34" s="57" customFormat="1" ht="15" customHeight="1">
      <c r="A13" t="str">
        <f t="shared" si="13"/>
        <v>ALL</v>
      </c>
      <c r="B13" t="str">
        <f t="shared" si="14"/>
        <v>ALL</v>
      </c>
      <c r="C13"/>
      <c r="D13" s="30" t="s">
        <v>207</v>
      </c>
      <c r="E13" s="30" t="s">
        <v>207</v>
      </c>
      <c r="F13" s="30"/>
      <c r="G13" s="30">
        <v>0</v>
      </c>
      <c r="H13" s="53"/>
      <c r="I13" s="96"/>
      <c r="J13" s="97"/>
      <c r="K13" s="98">
        <f>SUMIF(DB_LIST1!$A:$A,$A13&amp;K$2&amp;K$3,DB_LIST1!$J:$J)/N_UNIT</f>
        <v>0</v>
      </c>
      <c r="L13" s="98">
        <f>SUMIF(DB_LIST1!$A:$A,$A13&amp;L$2&amp;L$3,DB_LIST1!$J:$J)/N_UNIT</f>
        <v>0</v>
      </c>
      <c r="M13" s="98">
        <f>SUMIF(DB_LIST1!$A:$A,$A13&amp;M$2&amp;M$3,DB_LIST1!$J:$J)/N_UNIT</f>
        <v>0</v>
      </c>
      <c r="N13" s="98">
        <f>SUMIF(DB_LIST1!$A:$A,$A13&amp;N$2&amp;N$3,DB_LIST1!$J:$J)/N_UNIT</f>
        <v>0</v>
      </c>
      <c r="O13" s="98">
        <f>SUMIF(DB_LIST1!$A:$A,$A13&amp;O$2&amp;O$3,DB_LIST1!$J:$J)/N_UNIT</f>
        <v>0</v>
      </c>
      <c r="P13" s="98">
        <f>SUMIF(DB_LIST1!$A:$A,$A13&amp;P$2&amp;P$3,DB_LIST1!$J:$J)/N_UNIT</f>
        <v>0</v>
      </c>
      <c r="Q13" s="98">
        <f>SUMIF(DB_LIST1!$A:$A,$A13&amp;Q$2&amp;Q$3,DB_LIST1!$J:$J)/N_UNIT</f>
        <v>0</v>
      </c>
      <c r="R13" s="98">
        <f>SUMIF(DB_LIST1!$A:$A,$A13&amp;R$2&amp;R$3,DB_LIST1!$J:$J)/N_UNIT</f>
        <v>0</v>
      </c>
      <c r="S13" s="98">
        <f>SUMIF(DB_LIST1!$A:$A,$A13&amp;S$2&amp;S$3,DB_LIST1!$J:$J)/N_UNIT</f>
        <v>0</v>
      </c>
      <c r="T13" s="88">
        <f>S13-SUMIF(DB_LIST1!$A:$A,$A13&amp;T$2&amp;T$3,DB_LIST1!$J:$J)/N_UNIT</f>
        <v>0</v>
      </c>
      <c r="U13" s="88"/>
      <c r="V13" s="96"/>
      <c r="W13" s="97"/>
      <c r="X13" s="98">
        <f>SUMIF(DB_LIST2!$A:$A,$B13&amp;X$2&amp;X$3,DB_LIST2!$J:$J)/N_UNIT</f>
        <v>0</v>
      </c>
      <c r="Y13" s="98">
        <f>SUMIF(DB_LIST2!$A:$A,$B13&amp;Y$2&amp;Y$3,DB_LIST2!$J:$J)/N_UNIT</f>
        <v>0</v>
      </c>
      <c r="Z13" s="98">
        <f>SUMIF(DB_LIST2!$A:$A,$B13&amp;Z$2&amp;Z$3,DB_LIST2!$J:$J)/N_UNIT</f>
        <v>0</v>
      </c>
      <c r="AA13" s="98">
        <f>SUMIF(DB_LIST2!$A:$A,$B13&amp;AA$2&amp;AA$3,DB_LIST2!$J:$J)/N_UNIT</f>
        <v>0</v>
      </c>
      <c r="AB13" s="98">
        <f>SUMIF(DB_LIST2!$A:$A,$B13&amp;AB$2&amp;AB$3,DB_LIST2!$J:$J)/N_UNIT</f>
        <v>0</v>
      </c>
      <c r="AC13" s="98">
        <f>SUMIF(DB_LIST2!$A:$A,$B13&amp;AC$2&amp;AC$3,DB_LIST2!$J:$J)/N_UNIT</f>
        <v>0</v>
      </c>
      <c r="AD13" s="98">
        <f>SUMIF(DB_LIST2!$A:$A,$B13&amp;AD$2&amp;AD$3,DB_LIST2!$J:$J)/N_UNIT</f>
        <v>0</v>
      </c>
      <c r="AE13" s="98">
        <f>SUMIF(DB_LIST2!$A:$A,$B13&amp;AE$2&amp;AE$3,DB_LIST2!$J:$J)/N_UNIT</f>
        <v>0</v>
      </c>
      <c r="AF13" s="98">
        <f>SUMIF(DB_LIST2!$A:$A,$B13&amp;AF$2&amp;AF$3,DB_LIST2!$J:$J)/N_UNIT</f>
        <v>0</v>
      </c>
      <c r="AG13" s="88">
        <f>AF13-SUMIF(DB_LIST1!$A:$A,$A13&amp;AG$2&amp;AG$3,DB_LIST1!$J:$J)/N_UNIT</f>
        <v>0</v>
      </c>
      <c r="AH13" s="88"/>
    </row>
    <row r="14" spans="1:34" s="58" customFormat="1" ht="15" customHeight="1">
      <c r="A14" t="str">
        <f>TRIM(C14)&amp;TRIM(D14)&amp;TRIM(F14)</f>
        <v>호주수주잔고</v>
      </c>
      <c r="B14" t="str">
        <f t="shared" si="14"/>
        <v>호주수주잔고</v>
      </c>
      <c r="C14"/>
      <c r="D14" s="30" t="s">
        <v>725</v>
      </c>
      <c r="E14" s="30" t="s">
        <v>725</v>
      </c>
      <c r="F14" s="30" t="s">
        <v>163</v>
      </c>
      <c r="G14" s="30">
        <v>0</v>
      </c>
      <c r="H14" s="53"/>
      <c r="I14" s="90"/>
      <c r="J14" s="86" t="str">
        <f>IF($D14="","","수주잔고")</f>
        <v>수주잔고</v>
      </c>
      <c r="K14" s="87">
        <f>SUMIF(DB_LIST1!$A:$A,$A14&amp;K$2&amp;K$3,DB_LIST1!$J:$J)/N_UNIT</f>
        <v>4.8497545576038474</v>
      </c>
      <c r="L14" s="87">
        <f>SUMIF(DB_LIST1!$A:$A,$A14&amp;L$2&amp;L$3,DB_LIST1!$J:$J)/N_UNIT</f>
        <v>8.8794540659473391</v>
      </c>
      <c r="M14" s="87">
        <f>SUMIF(DB_LIST1!$A:$A,$A14&amp;M$2&amp;M$3,DB_LIST1!$J:$J)/N_UNIT</f>
        <v>8.4318693575604495</v>
      </c>
      <c r="N14" s="87">
        <f>SUMIF(DB_LIST1!$A:$A,$A14&amp;N$2&amp;N$3,DB_LIST1!$J:$J)/N_UNIT</f>
        <v>8.9060641804556795</v>
      </c>
      <c r="O14" s="87">
        <f>SUMIF(DB_LIST1!$A:$A,$A14&amp;O$2&amp;O$3,DB_LIST1!$J:$J)/N_UNIT</f>
        <v>8.5527599644024512</v>
      </c>
      <c r="P14" s="87">
        <f>SUMIF(DB_LIST1!$A:$A,$A14&amp;P$2&amp;P$3,DB_LIST1!$J:$J)/N_UNIT</f>
        <v>8.4383205033889386</v>
      </c>
      <c r="Q14" s="87">
        <f>SUMIF(DB_LIST1!$A:$A,$A14&amp;Q$2&amp;Q$3,DB_LIST1!$J:$J)/N_UNIT</f>
        <v>9.2439031695024561</v>
      </c>
      <c r="R14" s="87">
        <f>SUMIF(DB_LIST1!$A:$A,$A14&amp;R$2&amp;R$3,DB_LIST1!$J:$J)/N_UNIT</f>
        <v>10.817827386545456</v>
      </c>
      <c r="S14" s="87">
        <f>SUMIF(DB_LIST1!$A:$A,$A14&amp;S$2&amp;S$3,DB_LIST1!$J:$J)/N_UNIT</f>
        <v>11.040179365459167</v>
      </c>
      <c r="T14" s="100">
        <f>S14-SUMIF(DB_LIST1!$A:$A,$A14&amp;T$2&amp;T$3,DB_LIST1!$J:$J)/N_UNIT</f>
        <v>6.1904248078553197</v>
      </c>
      <c r="U14" s="89">
        <f>S14-K14</f>
        <v>6.1904248078553197</v>
      </c>
      <c r="V14" s="90"/>
      <c r="W14" s="86" t="str">
        <f>IF($D14="","","수주잔고")</f>
        <v>수주잔고</v>
      </c>
      <c r="X14" s="87">
        <f>SUMIF(DB_LIST2!$A:$A,$B14&amp;X$2&amp;X$3,DB_LIST2!$J:$J)/N_UNIT</f>
        <v>2.3043943313919044</v>
      </c>
      <c r="Y14" s="87">
        <f>SUMIF(DB_LIST2!$A:$A,$B14&amp;Y$2&amp;Y$3,DB_LIST2!$J:$J)/N_UNIT</f>
        <v>0.37766065472149862</v>
      </c>
      <c r="Z14" s="87">
        <f>SUMIF(DB_LIST2!$A:$A,$B14&amp;Z$2&amp;Z$3,DB_LIST2!$J:$J)/N_UNIT</f>
        <v>0.71702925430365083</v>
      </c>
      <c r="AA14" s="87">
        <f>SUMIF(DB_LIST2!$A:$A,$B14&amp;AA$2&amp;AA$3,DB_LIST2!$J:$J)/N_UNIT</f>
        <v>2.4102864450747661</v>
      </c>
      <c r="AB14" s="87">
        <f>SUMIF(DB_LIST2!$A:$A,$B14&amp;AB$2&amp;AB$3,DB_LIST2!$J:$J)/N_UNIT</f>
        <v>2.5837768262066763</v>
      </c>
      <c r="AC14" s="87">
        <f>SUMIF(DB_LIST2!$A:$A,$B14&amp;AC$2&amp;AC$3,DB_LIST2!$J:$J)/N_UNIT</f>
        <v>2.4656052851261814</v>
      </c>
      <c r="AD14" s="87">
        <f>SUMIF(DB_LIST2!$A:$A,$B14&amp;AD$2&amp;AD$3,DB_LIST2!$J:$J)/N_UNIT</f>
        <v>3.2988683992829664</v>
      </c>
      <c r="AE14" s="87">
        <f>SUMIF(DB_LIST2!$A:$A,$B14&amp;AE$2&amp;AE$3,DB_LIST2!$J:$J)/N_UNIT</f>
        <v>2.8633403905720614</v>
      </c>
      <c r="AF14" s="87">
        <f>SUMIF(DB_LIST2!$A:$A,$B14&amp;AF$2&amp;AF$3,DB_LIST2!$J:$J)/N_UNIT</f>
        <v>2.1061079102071196</v>
      </c>
      <c r="AG14" s="100">
        <f>AF14-SUMIF(DB_LIST1!$A:$A,$A14&amp;AG$2&amp;AG$3,DB_LIST1!$J:$J)/N_UNIT</f>
        <v>2.1061079102071196</v>
      </c>
      <c r="AH14" s="89">
        <f>AF14-X14</f>
        <v>-0.19828642118478479</v>
      </c>
    </row>
    <row r="15" spans="1:34" s="57" customFormat="1" ht="15" customHeight="1">
      <c r="A15" t="str">
        <f t="shared" si="13"/>
        <v>호주매출(프로젝트)</v>
      </c>
      <c r="B15" t="str">
        <f t="shared" si="14"/>
        <v>호주매출(프로젝트)</v>
      </c>
      <c r="C15"/>
      <c r="D15" s="30" t="s">
        <v>725</v>
      </c>
      <c r="E15" s="30" t="s">
        <v>725</v>
      </c>
      <c r="F15" s="30" t="s">
        <v>165</v>
      </c>
      <c r="G15" s="30">
        <v>0</v>
      </c>
      <c r="H15" s="53"/>
      <c r="I15" s="90" t="s">
        <v>725</v>
      </c>
      <c r="J15" s="91" t="str">
        <f>IF($D15="","","매출(프로젝트)")</f>
        <v>매출(프로젝트)</v>
      </c>
      <c r="K15" s="92">
        <f>SUMIF(DB_LIST1!$A:$A,$A15&amp;K$2&amp;K$3,DB_LIST1!$J:$J)/N_UNIT</f>
        <v>0.32150113000000002</v>
      </c>
      <c r="L15" s="92">
        <f>SUMIF(DB_LIST1!$A:$A,$A15&amp;L$2&amp;L$3,DB_LIST1!$J:$J)/N_UNIT</f>
        <v>0.56042873999999998</v>
      </c>
      <c r="M15" s="92">
        <f>SUMIF(DB_LIST1!$A:$A,$A15&amp;M$2&amp;M$3,DB_LIST1!$J:$J)/N_UNIT</f>
        <v>0.86047834000000001</v>
      </c>
      <c r="N15" s="92">
        <f>SUMIF(DB_LIST1!$A:$A,$A15&amp;N$2&amp;N$3,DB_LIST1!$J:$J)/N_UNIT</f>
        <v>0.69698070000000001</v>
      </c>
      <c r="O15" s="92">
        <f>SUMIF(DB_LIST1!$A:$A,$A15&amp;O$2&amp;O$3,DB_LIST1!$J:$J)/N_UNIT</f>
        <v>1.0625911100000001</v>
      </c>
      <c r="P15" s="92">
        <f>SUMIF(DB_LIST1!$A:$A,$A15&amp;P$2&amp;P$3,DB_LIST1!$J:$J)/N_UNIT</f>
        <v>0.70094164000000003</v>
      </c>
      <c r="Q15" s="92">
        <f>SUMIF(DB_LIST1!$A:$A,$A15&amp;Q$2&amp;Q$3,DB_LIST1!$J:$J)/N_UNIT</f>
        <v>0.79059347999999996</v>
      </c>
      <c r="R15" s="92">
        <f>SUMIF(DB_LIST1!$A:$A,$A15&amp;R$2&amp;R$3,DB_LIST1!$J:$J)/N_UNIT</f>
        <v>0.93290742999999998</v>
      </c>
      <c r="S15" s="92">
        <f>SUMIF(DB_LIST1!$A:$A,$A15&amp;S$2&amp;S$3,DB_LIST1!$J:$J)/N_UNIT</f>
        <v>0.34099699999999999</v>
      </c>
      <c r="T15" s="101">
        <f>S15-SUMIF(DB_LIST1!$A:$A,$A15&amp;T$2&amp;T$3,DB_LIST1!$J:$J)/N_UNIT</f>
        <v>1.9495869999999971E-2</v>
      </c>
      <c r="U15" s="101"/>
      <c r="V15" s="90" t="s">
        <v>725</v>
      </c>
      <c r="W15" s="91" t="str">
        <f>IF($D15="","","매출(프로젝트)")</f>
        <v>매출(프로젝트)</v>
      </c>
      <c r="X15" s="92">
        <f>SUMIF(DB_LIST2!$A:$A,$B15&amp;X$2&amp;X$3,DB_LIST2!$J:$J)/N_UNIT</f>
        <v>0.14643644</v>
      </c>
      <c r="Y15" s="92">
        <f>SUMIF(DB_LIST2!$A:$A,$B15&amp;Y$2&amp;Y$3,DB_LIST2!$J:$J)/N_UNIT</f>
        <v>0.33900651000000009</v>
      </c>
      <c r="Z15" s="92">
        <f>SUMIF(DB_LIST2!$A:$A,$B15&amp;Z$2&amp;Z$3,DB_LIST2!$J:$J)/N_UNIT</f>
        <v>0.46239524000000004</v>
      </c>
      <c r="AA15" s="92">
        <f>SUMIF(DB_LIST2!$A:$A,$B15&amp;AA$2&amp;AA$3,DB_LIST2!$J:$J)/N_UNIT</f>
        <v>0.33507548000000004</v>
      </c>
      <c r="AB15" s="92">
        <f>SUMIF(DB_LIST2!$A:$A,$B15&amp;AB$2&amp;AB$3,DB_LIST2!$J:$J)/N_UNIT</f>
        <v>0.53963815999999998</v>
      </c>
      <c r="AC15" s="92">
        <f>SUMIF(DB_LIST2!$A:$A,$B15&amp;AC$2&amp;AC$3,DB_LIST2!$J:$J)/N_UNIT</f>
        <v>1.1714839700000002</v>
      </c>
      <c r="AD15" s="92">
        <f>SUMIF(DB_LIST2!$A:$A,$B15&amp;AD$2&amp;AD$3,DB_LIST2!$J:$J)/N_UNIT</f>
        <v>1.1260278100000001</v>
      </c>
      <c r="AE15" s="92">
        <f>SUMIF(DB_LIST2!$A:$A,$B15&amp;AE$2&amp;AE$3,DB_LIST2!$J:$J)/N_UNIT</f>
        <v>0.68503075000000013</v>
      </c>
      <c r="AF15" s="92">
        <f>SUMIF(DB_LIST2!$A:$A,$B15&amp;AF$2&amp;AF$3,DB_LIST2!$J:$J)/N_UNIT</f>
        <v>0.43262997000000003</v>
      </c>
      <c r="AG15" s="101">
        <f>AF15-SUMIF(DB_LIST1!$A:$A,$A15&amp;AG$2&amp;AG$3,DB_LIST1!$J:$J)/N_UNIT</f>
        <v>0.43262997000000003</v>
      </c>
      <c r="AH15" s="101"/>
    </row>
    <row r="16" spans="1:34" s="58" customFormat="1" ht="15" customHeight="1">
      <c r="A16" t="str">
        <f>TRIM(C16)&amp;TRIM(D16)&amp;TRIM(F16)</f>
        <v>호주매출(전체)</v>
      </c>
      <c r="B16" t="str">
        <f t="shared" si="14"/>
        <v>호주매출(전체)</v>
      </c>
      <c r="C16"/>
      <c r="D16" s="30" t="s">
        <v>725</v>
      </c>
      <c r="E16" s="30" t="s">
        <v>725</v>
      </c>
      <c r="F16" s="30" t="s">
        <v>164</v>
      </c>
      <c r="G16" s="30">
        <v>0</v>
      </c>
      <c r="H16" s="53"/>
      <c r="I16" s="90"/>
      <c r="J16" s="94" t="str">
        <f>IF($D16="","","매출(전체)")</f>
        <v>매출(전체)</v>
      </c>
      <c r="K16" s="95">
        <f>SUMIF(DB_LIST1!$A:$A,$A16&amp;K$2&amp;K$3,DB_LIST1!$J:$J)/N_UNIT</f>
        <v>0.37772106575566133</v>
      </c>
      <c r="L16" s="95">
        <f>SUMIF(DB_LIST1!$A:$A,$A16&amp;L$2&amp;L$3,DB_LIST1!$J:$J)/N_UNIT</f>
        <v>0.9391482842770501</v>
      </c>
      <c r="M16" s="95">
        <f>SUMIF(DB_LIST1!$A:$A,$A16&amp;M$2&amp;M$3,DB_LIST1!$J:$J)/N_UNIT</f>
        <v>1.0535336926716385</v>
      </c>
      <c r="N16" s="95">
        <f>SUMIF(DB_LIST1!$A:$A,$A16&amp;N$2&amp;N$3,DB_LIST1!$J:$J)/N_UNIT</f>
        <v>0.86750005858730095</v>
      </c>
      <c r="O16" s="95">
        <f>SUMIF(DB_LIST1!$A:$A,$A16&amp;O$2&amp;O$3,DB_LIST1!$J:$J)/N_UNIT</f>
        <v>1.2885960659010673</v>
      </c>
      <c r="P16" s="95">
        <f>SUMIF(DB_LIST1!$A:$A,$A16&amp;P$2&amp;P$3,DB_LIST1!$J:$J)/N_UNIT</f>
        <v>0.8405414557637827</v>
      </c>
      <c r="Q16" s="95">
        <f>SUMIF(DB_LIST1!$A:$A,$A16&amp;Q$2&amp;Q$3,DB_LIST1!$J:$J)/N_UNIT</f>
        <v>0.95737360893181533</v>
      </c>
      <c r="R16" s="95">
        <f>SUMIF(DB_LIST1!$A:$A,$A16&amp;R$2&amp;R$3,DB_LIST1!$J:$J)/N_UNIT</f>
        <v>0.985860807593535</v>
      </c>
      <c r="S16" s="95">
        <f>SUMIF(DB_LIST1!$A:$A,$A16&amp;S$2&amp;S$3,DB_LIST1!$J:$J)/N_UNIT</f>
        <v>0.38621100763504979</v>
      </c>
      <c r="T16" s="100">
        <f>S16-SUMIF(DB_LIST1!$A:$A,$A16&amp;T$2&amp;T$3,DB_LIST1!$J:$J)/N_UNIT</f>
        <v>8.4899418793884518E-3</v>
      </c>
      <c r="U16" s="100"/>
      <c r="V16" s="90"/>
      <c r="W16" s="94" t="str">
        <f>IF($D16="","","매출(전체)")</f>
        <v>매출(전체)</v>
      </c>
      <c r="X16" s="95">
        <f>SUMIF(DB_LIST2!$A:$A,$B16&amp;X$2&amp;X$3,DB_LIST2!$J:$J)/N_UNIT</f>
        <v>0</v>
      </c>
      <c r="Y16" s="95">
        <f>SUMIF(DB_LIST2!$A:$A,$B16&amp;Y$2&amp;Y$3,DB_LIST2!$J:$J)/N_UNIT</f>
        <v>0</v>
      </c>
      <c r="Z16" s="95">
        <f>SUMIF(DB_LIST2!$A:$A,$B16&amp;Z$2&amp;Z$3,DB_LIST2!$J:$J)/N_UNIT</f>
        <v>0</v>
      </c>
      <c r="AA16" s="95">
        <f>SUMIF(DB_LIST2!$A:$A,$B16&amp;AA$2&amp;AA$3,DB_LIST2!$J:$J)/N_UNIT</f>
        <v>0</v>
      </c>
      <c r="AB16" s="95">
        <f>SUMIF(DB_LIST2!$A:$A,$B16&amp;AB$2&amp;AB$3,DB_LIST2!$J:$J)/N_UNIT</f>
        <v>0</v>
      </c>
      <c r="AC16" s="95">
        <f>SUMIF(DB_LIST2!$A:$A,$B16&amp;AC$2&amp;AC$3,DB_LIST2!$J:$J)/N_UNIT</f>
        <v>0</v>
      </c>
      <c r="AD16" s="95">
        <f>SUMIF(DB_LIST2!$A:$A,$B16&amp;AD$2&amp;AD$3,DB_LIST2!$J:$J)/N_UNIT</f>
        <v>0</v>
      </c>
      <c r="AE16" s="95">
        <f>SUMIF(DB_LIST2!$A:$A,$B16&amp;AE$2&amp;AE$3,DB_LIST2!$J:$J)/N_UNIT</f>
        <v>0</v>
      </c>
      <c r="AF16" s="95">
        <f>SUMIF(DB_LIST2!$A:$A,$B16&amp;AF$2&amp;AF$3,DB_LIST2!$J:$J)/N_UNIT</f>
        <v>0</v>
      </c>
      <c r="AG16" s="100">
        <f>AF16-SUMIF(DB_LIST1!$A:$A,$A16&amp;AG$2&amp;AG$3,DB_LIST1!$J:$J)/N_UNIT</f>
        <v>0</v>
      </c>
      <c r="AH16" s="100"/>
    </row>
    <row r="17" spans="1:34" s="57" customFormat="1" ht="15" customHeight="1">
      <c r="A17" t="str">
        <f t="shared" si="13"/>
        <v>호주</v>
      </c>
      <c r="B17" t="str">
        <f t="shared" si="14"/>
        <v>호주</v>
      </c>
      <c r="C17"/>
      <c r="D17" s="30" t="s">
        <v>725</v>
      </c>
      <c r="E17" s="30" t="s">
        <v>725</v>
      </c>
      <c r="F17" s="30"/>
      <c r="G17" s="30">
        <v>0</v>
      </c>
      <c r="H17" s="53"/>
      <c r="I17" s="102"/>
      <c r="J17" s="103"/>
      <c r="K17" s="104">
        <f>SUMIF(DB_LIST1!$A:$A,$A17&amp;K$2&amp;K$3,DB_LIST1!$J:$J)/N_UNIT</f>
        <v>0</v>
      </c>
      <c r="L17" s="104">
        <f>SUMIF(DB_LIST1!$A:$A,$A17&amp;L$2&amp;L$3,DB_LIST1!$J:$J)/N_UNIT</f>
        <v>0</v>
      </c>
      <c r="M17" s="104">
        <f>SUMIF(DB_LIST1!$A:$A,$A17&amp;M$2&amp;M$3,DB_LIST1!$J:$J)/N_UNIT</f>
        <v>0</v>
      </c>
      <c r="N17" s="104">
        <f>SUMIF(DB_LIST1!$A:$A,$A17&amp;N$2&amp;N$3,DB_LIST1!$J:$J)/N_UNIT</f>
        <v>0</v>
      </c>
      <c r="O17" s="104">
        <f>SUMIF(DB_LIST1!$A:$A,$A17&amp;O$2&amp;O$3,DB_LIST1!$J:$J)/N_UNIT</f>
        <v>0</v>
      </c>
      <c r="P17" s="104">
        <f>SUMIF(DB_LIST1!$A:$A,$A17&amp;P$2&amp;P$3,DB_LIST1!$J:$J)/N_UNIT</f>
        <v>0</v>
      </c>
      <c r="Q17" s="104">
        <f>SUMIF(DB_LIST1!$A:$A,$A17&amp;Q$2&amp;Q$3,DB_LIST1!$J:$J)/N_UNIT</f>
        <v>0</v>
      </c>
      <c r="R17" s="104">
        <f>SUMIF(DB_LIST1!$A:$A,$A17&amp;R$2&amp;R$3,DB_LIST1!$J:$J)/N_UNIT</f>
        <v>0</v>
      </c>
      <c r="S17" s="104">
        <f>SUMIF(DB_LIST1!$A:$A,$A17&amp;S$2&amp;S$3,DB_LIST1!$J:$J)/N_UNIT</f>
        <v>0</v>
      </c>
      <c r="T17" s="88">
        <f>S17-SUMIF(DB_LIST1!$A:$A,$A17&amp;T$2&amp;T$3,DB_LIST1!$J:$J)/N_UNIT</f>
        <v>0</v>
      </c>
      <c r="U17" s="88"/>
      <c r="V17" s="102"/>
      <c r="W17" s="103"/>
      <c r="X17" s="104">
        <f>SUMIF(DB_LIST2!$A:$A,$B17&amp;X$2&amp;X$3,DB_LIST2!$J:$J)/N_UNIT</f>
        <v>0</v>
      </c>
      <c r="Y17" s="104">
        <f>SUMIF(DB_LIST2!$A:$A,$B17&amp;Y$2&amp;Y$3,DB_LIST2!$J:$J)/N_UNIT</f>
        <v>0</v>
      </c>
      <c r="Z17" s="104">
        <f>SUMIF(DB_LIST2!$A:$A,$B17&amp;Z$2&amp;Z$3,DB_LIST2!$J:$J)/N_UNIT</f>
        <v>0</v>
      </c>
      <c r="AA17" s="104">
        <f>SUMIF(DB_LIST2!$A:$A,$B17&amp;AA$2&amp;AA$3,DB_LIST2!$J:$J)/N_UNIT</f>
        <v>0</v>
      </c>
      <c r="AB17" s="104">
        <f>SUMIF(DB_LIST2!$A:$A,$B17&amp;AB$2&amp;AB$3,DB_LIST2!$J:$J)/N_UNIT</f>
        <v>0</v>
      </c>
      <c r="AC17" s="104">
        <f>SUMIF(DB_LIST2!$A:$A,$B17&amp;AC$2&amp;AC$3,DB_LIST2!$J:$J)/N_UNIT</f>
        <v>0</v>
      </c>
      <c r="AD17" s="104">
        <f>SUMIF(DB_LIST2!$A:$A,$B17&amp;AD$2&amp;AD$3,DB_LIST2!$J:$J)/N_UNIT</f>
        <v>0</v>
      </c>
      <c r="AE17" s="104">
        <f>SUMIF(DB_LIST2!$A:$A,$B17&amp;AE$2&amp;AE$3,DB_LIST2!$J:$J)/N_UNIT</f>
        <v>0</v>
      </c>
      <c r="AF17" s="104">
        <f>SUMIF(DB_LIST2!$A:$A,$B17&amp;AF$2&amp;AF$3,DB_LIST2!$J:$J)/N_UNIT</f>
        <v>0</v>
      </c>
      <c r="AG17" s="88">
        <f>AF17-SUMIF(DB_LIST1!$A:$A,$A17&amp;AG$2&amp;AG$3,DB_LIST1!$J:$J)/N_UNIT</f>
        <v>0</v>
      </c>
      <c r="AH17" s="88"/>
    </row>
    <row r="18" spans="1:34" ht="15" customHeight="1">
      <c r="A18" t="str">
        <f t="shared" si="13"/>
        <v>수주잔고</v>
      </c>
      <c r="B18" t="str">
        <f t="shared" si="14"/>
        <v>수주잔고</v>
      </c>
      <c r="C18"/>
      <c r="D18" s="30"/>
      <c r="E18" s="30"/>
      <c r="F18" s="30" t="s">
        <v>163</v>
      </c>
      <c r="G18" s="30">
        <v>0</v>
      </c>
      <c r="I18" s="90"/>
      <c r="J18" s="86" t="str">
        <f>IF($D18="","","수주잔고")</f>
        <v/>
      </c>
      <c r="K18" s="87">
        <f>SUMIF(DB_LIST1!$A:$A,$A18&amp;K$2&amp;K$3,DB_LIST1!$J:$J)/N_UNIT</f>
        <v>0</v>
      </c>
      <c r="L18" s="87">
        <f>SUMIF(DB_LIST1!$A:$A,$A18&amp;L$2&amp;L$3,DB_LIST1!$J:$J)/N_UNIT</f>
        <v>0</v>
      </c>
      <c r="M18" s="87">
        <f>SUMIF(DB_LIST1!$A:$A,$A18&amp;M$2&amp;M$3,DB_LIST1!$J:$J)/N_UNIT</f>
        <v>0</v>
      </c>
      <c r="N18" s="87">
        <f>SUMIF(DB_LIST1!$A:$A,$A18&amp;N$2&amp;N$3,DB_LIST1!$J:$J)/N_UNIT</f>
        <v>0</v>
      </c>
      <c r="O18" s="87">
        <f>SUMIF(DB_LIST1!$A:$A,$A18&amp;O$2&amp;O$3,DB_LIST1!$J:$J)/N_UNIT</f>
        <v>0</v>
      </c>
      <c r="P18" s="87">
        <f>SUMIF(DB_LIST1!$A:$A,$A18&amp;P$2&amp;P$3,DB_LIST1!$J:$J)/N_UNIT</f>
        <v>0</v>
      </c>
      <c r="Q18" s="87">
        <f>SUMIF(DB_LIST1!$A:$A,$A18&amp;Q$2&amp;Q$3,DB_LIST1!$J:$J)/N_UNIT</f>
        <v>0</v>
      </c>
      <c r="R18" s="87">
        <f>SUMIF(DB_LIST1!$A:$A,$A18&amp;R$2&amp;R$3,DB_LIST1!$J:$J)/N_UNIT</f>
        <v>0</v>
      </c>
      <c r="S18" s="87">
        <f>SUMIF(DB_LIST1!$A:$A,$A18&amp;S$2&amp;S$3,DB_LIST1!$J:$J)/N_UNIT</f>
        <v>0</v>
      </c>
      <c r="T18" s="100">
        <f>S18-SUMIF(DB_LIST1!$A:$A,$A18&amp;T$2&amp;T$3,DB_LIST1!$J:$J)/N_UNIT</f>
        <v>0</v>
      </c>
      <c r="U18" s="89">
        <f>S18-K18</f>
        <v>0</v>
      </c>
      <c r="V18" s="90"/>
      <c r="W18" s="86" t="str">
        <f t="shared" ref="W18" si="15">IF($D18="","","수주잔고")</f>
        <v/>
      </c>
      <c r="X18" s="87">
        <f>SUMIF(DB_LIST2!$A:$A,$B18&amp;X$2&amp;X$3,DB_LIST2!$J:$J)/N_UNIT</f>
        <v>0</v>
      </c>
      <c r="Y18" s="87">
        <f>SUMIF(DB_LIST2!$A:$A,$B18&amp;Y$2&amp;Y$3,DB_LIST2!$J:$J)/N_UNIT</f>
        <v>0</v>
      </c>
      <c r="Z18" s="87">
        <f>SUMIF(DB_LIST2!$A:$A,$B18&amp;Z$2&amp;Z$3,DB_LIST2!$J:$J)/N_UNIT</f>
        <v>0</v>
      </c>
      <c r="AA18" s="87">
        <f>SUMIF(DB_LIST2!$A:$A,$B18&amp;AA$2&amp;AA$3,DB_LIST2!$J:$J)/N_UNIT</f>
        <v>0</v>
      </c>
      <c r="AB18" s="87">
        <f>SUMIF(DB_LIST2!$A:$A,$B18&amp;AB$2&amp;AB$3,DB_LIST2!$J:$J)/N_UNIT</f>
        <v>0</v>
      </c>
      <c r="AC18" s="87">
        <f>SUMIF(DB_LIST2!$A:$A,$B18&amp;AC$2&amp;AC$3,DB_LIST2!$J:$J)/N_UNIT</f>
        <v>0</v>
      </c>
      <c r="AD18" s="87">
        <f>SUMIF(DB_LIST2!$A:$A,$B18&amp;AD$2&amp;AD$3,DB_LIST2!$J:$J)/N_UNIT</f>
        <v>0</v>
      </c>
      <c r="AE18" s="87">
        <f>SUMIF(DB_LIST2!$A:$A,$B18&amp;AE$2&amp;AE$3,DB_LIST2!$J:$J)/N_UNIT</f>
        <v>0</v>
      </c>
      <c r="AF18" s="87">
        <f>SUMIF(DB_LIST2!$A:$A,$B18&amp;AF$2&amp;AF$3,DB_LIST2!$J:$J)/N_UNIT</f>
        <v>0</v>
      </c>
      <c r="AG18" s="100">
        <f>AF18-SUMIF(DB_LIST1!$A:$A,$A18&amp;AG$2&amp;AG$3,DB_LIST1!$J:$J)/N_UNIT</f>
        <v>0</v>
      </c>
      <c r="AH18" s="89">
        <f>AF18-X18</f>
        <v>0</v>
      </c>
    </row>
    <row r="19" spans="1:34" ht="15" customHeight="1">
      <c r="A19" t="str">
        <f t="shared" si="13"/>
        <v>매출(프로젝트)</v>
      </c>
      <c r="B19" t="str">
        <f t="shared" si="14"/>
        <v>매출(프로젝트)</v>
      </c>
      <c r="C19"/>
      <c r="D19" s="30"/>
      <c r="E19" s="30"/>
      <c r="F19" s="30" t="s">
        <v>165</v>
      </c>
      <c r="G19" s="30">
        <v>0</v>
      </c>
      <c r="I19" s="90"/>
      <c r="J19" s="91" t="str">
        <f>IF($D19="","","매출(프로젝트)")</f>
        <v/>
      </c>
      <c r="K19" s="92">
        <f>SUMIF(DB_LIST1!$A:$A,$A19&amp;K$2&amp;K$3,DB_LIST1!$J:$J)/N_UNIT</f>
        <v>0</v>
      </c>
      <c r="L19" s="92">
        <f>SUMIF(DB_LIST1!$A:$A,$A19&amp;L$2&amp;L$3,DB_LIST1!$J:$J)/N_UNIT</f>
        <v>0</v>
      </c>
      <c r="M19" s="92">
        <f>SUMIF(DB_LIST1!$A:$A,$A19&amp;M$2&amp;M$3,DB_LIST1!$J:$J)/N_UNIT</f>
        <v>0</v>
      </c>
      <c r="N19" s="92">
        <f>SUMIF(DB_LIST1!$A:$A,$A19&amp;N$2&amp;N$3,DB_LIST1!$J:$J)/N_UNIT</f>
        <v>0</v>
      </c>
      <c r="O19" s="92">
        <f>SUMIF(DB_LIST1!$A:$A,$A19&amp;O$2&amp;O$3,DB_LIST1!$J:$J)/N_UNIT</f>
        <v>0</v>
      </c>
      <c r="P19" s="92">
        <f>SUMIF(DB_LIST1!$A:$A,$A19&amp;P$2&amp;P$3,DB_LIST1!$J:$J)/N_UNIT</f>
        <v>0</v>
      </c>
      <c r="Q19" s="92">
        <f>SUMIF(DB_LIST1!$A:$A,$A19&amp;Q$2&amp;Q$3,DB_LIST1!$J:$J)/N_UNIT</f>
        <v>0</v>
      </c>
      <c r="R19" s="92">
        <f>SUMIF(DB_LIST1!$A:$A,$A19&amp;R$2&amp;R$3,DB_LIST1!$J:$J)/N_UNIT</f>
        <v>0</v>
      </c>
      <c r="S19" s="92">
        <f>SUMIF(DB_LIST1!$A:$A,$A19&amp;S$2&amp;S$3,DB_LIST1!$J:$J)/N_UNIT</f>
        <v>0</v>
      </c>
      <c r="T19" s="101">
        <f>S19-SUMIF(DB_LIST1!$A:$A,$A19&amp;T$2&amp;T$3,DB_LIST1!$J:$J)/N_UNIT</f>
        <v>0</v>
      </c>
      <c r="U19" s="101"/>
      <c r="V19" s="90"/>
      <c r="W19" s="91" t="str">
        <f t="shared" ref="W19" si="16">IF($D19="","","매출(프로젝트)")</f>
        <v/>
      </c>
      <c r="X19" s="92">
        <f>SUMIF(DB_LIST2!$A:$A,$B19&amp;X$2&amp;X$3,DB_LIST2!$J:$J)/N_UNIT</f>
        <v>0</v>
      </c>
      <c r="Y19" s="92">
        <f>SUMIF(DB_LIST2!$A:$A,$B19&amp;Y$2&amp;Y$3,DB_LIST2!$J:$J)/N_UNIT</f>
        <v>0</v>
      </c>
      <c r="Z19" s="92">
        <f>SUMIF(DB_LIST2!$A:$A,$B19&amp;Z$2&amp;Z$3,DB_LIST2!$J:$J)/N_UNIT</f>
        <v>0</v>
      </c>
      <c r="AA19" s="92">
        <f>SUMIF(DB_LIST2!$A:$A,$B19&amp;AA$2&amp;AA$3,DB_LIST2!$J:$J)/N_UNIT</f>
        <v>0</v>
      </c>
      <c r="AB19" s="92">
        <f>SUMIF(DB_LIST2!$A:$A,$B19&amp;AB$2&amp;AB$3,DB_LIST2!$J:$J)/N_UNIT</f>
        <v>0</v>
      </c>
      <c r="AC19" s="92">
        <f>SUMIF(DB_LIST2!$A:$A,$B19&amp;AC$2&amp;AC$3,DB_LIST2!$J:$J)/N_UNIT</f>
        <v>0</v>
      </c>
      <c r="AD19" s="92">
        <f>SUMIF(DB_LIST2!$A:$A,$B19&amp;AD$2&amp;AD$3,DB_LIST2!$J:$J)/N_UNIT</f>
        <v>0</v>
      </c>
      <c r="AE19" s="92">
        <f>SUMIF(DB_LIST2!$A:$A,$B19&amp;AE$2&amp;AE$3,DB_LIST2!$J:$J)/N_UNIT</f>
        <v>0</v>
      </c>
      <c r="AF19" s="92">
        <f>SUMIF(DB_LIST2!$A:$A,$B19&amp;AF$2&amp;AF$3,DB_LIST2!$J:$J)/N_UNIT</f>
        <v>0</v>
      </c>
      <c r="AG19" s="101">
        <f>AF19-SUMIF(DB_LIST1!$A:$A,$A19&amp;AG$2&amp;AG$3,DB_LIST1!$J:$J)/N_UNIT</f>
        <v>0</v>
      </c>
      <c r="AH19" s="101"/>
    </row>
    <row r="20" spans="1:34" ht="15" customHeight="1">
      <c r="A20" t="str">
        <f t="shared" si="13"/>
        <v>매출(전체)</v>
      </c>
      <c r="B20" t="str">
        <f t="shared" si="14"/>
        <v>매출(전체)</v>
      </c>
      <c r="C20"/>
      <c r="D20" s="30"/>
      <c r="E20" s="30"/>
      <c r="F20" s="30" t="s">
        <v>164</v>
      </c>
      <c r="G20" s="30">
        <v>0</v>
      </c>
      <c r="I20" s="90"/>
      <c r="J20" s="94" t="str">
        <f>IF($D20="","","매출(전체)")</f>
        <v/>
      </c>
      <c r="K20" s="95">
        <f>SUMIF(DB_LIST1!$A:$A,$A20&amp;K$2&amp;K$3,DB_LIST1!$J:$J)/N_UNIT</f>
        <v>0</v>
      </c>
      <c r="L20" s="95">
        <f>SUMIF(DB_LIST1!$A:$A,$A20&amp;L$2&amp;L$3,DB_LIST1!$J:$J)/N_UNIT</f>
        <v>0</v>
      </c>
      <c r="M20" s="95">
        <f>SUMIF(DB_LIST1!$A:$A,$A20&amp;M$2&amp;M$3,DB_LIST1!$J:$J)/N_UNIT</f>
        <v>0</v>
      </c>
      <c r="N20" s="95">
        <f>SUMIF(DB_LIST1!$A:$A,$A20&amp;N$2&amp;N$3,DB_LIST1!$J:$J)/N_UNIT</f>
        <v>0</v>
      </c>
      <c r="O20" s="95">
        <f>SUMIF(DB_LIST1!$A:$A,$A20&amp;O$2&amp;O$3,DB_LIST1!$J:$J)/N_UNIT</f>
        <v>0</v>
      </c>
      <c r="P20" s="95">
        <f>SUMIF(DB_LIST1!$A:$A,$A20&amp;P$2&amp;P$3,DB_LIST1!$J:$J)/N_UNIT</f>
        <v>0</v>
      </c>
      <c r="Q20" s="95">
        <f>SUMIF(DB_LIST1!$A:$A,$A20&amp;Q$2&amp;Q$3,DB_LIST1!$J:$J)/N_UNIT</f>
        <v>0</v>
      </c>
      <c r="R20" s="95">
        <f>SUMIF(DB_LIST1!$A:$A,$A20&amp;R$2&amp;R$3,DB_LIST1!$J:$J)/N_UNIT</f>
        <v>0</v>
      </c>
      <c r="S20" s="95">
        <f>SUMIF(DB_LIST1!$A:$A,$A20&amp;S$2&amp;S$3,DB_LIST1!$J:$J)/N_UNIT</f>
        <v>0</v>
      </c>
      <c r="T20" s="100">
        <f>S20-SUMIF(DB_LIST1!$A:$A,$A20&amp;T$2&amp;T$3,DB_LIST1!$J:$J)/N_UNIT</f>
        <v>0</v>
      </c>
      <c r="U20" s="100"/>
      <c r="V20" s="90"/>
      <c r="W20" s="94" t="str">
        <f t="shared" ref="W20" si="17">IF($D20="","","매출(전체)")</f>
        <v/>
      </c>
      <c r="X20" s="95">
        <f>SUMIF(DB_LIST2!$A:$A,$B20&amp;X$2&amp;X$3,DB_LIST2!$J:$J)/N_UNIT</f>
        <v>0</v>
      </c>
      <c r="Y20" s="95">
        <f>SUMIF(DB_LIST2!$A:$A,$B20&amp;Y$2&amp;Y$3,DB_LIST2!$J:$J)/N_UNIT</f>
        <v>0</v>
      </c>
      <c r="Z20" s="95">
        <f>SUMIF(DB_LIST2!$A:$A,$B20&amp;Z$2&amp;Z$3,DB_LIST2!$J:$J)/N_UNIT</f>
        <v>0</v>
      </c>
      <c r="AA20" s="95">
        <f>SUMIF(DB_LIST2!$A:$A,$B20&amp;AA$2&amp;AA$3,DB_LIST2!$J:$J)/N_UNIT</f>
        <v>0</v>
      </c>
      <c r="AB20" s="95">
        <f>SUMIF(DB_LIST2!$A:$A,$B20&amp;AB$2&amp;AB$3,DB_LIST2!$J:$J)/N_UNIT</f>
        <v>0</v>
      </c>
      <c r="AC20" s="95">
        <f>SUMIF(DB_LIST2!$A:$A,$B20&amp;AC$2&amp;AC$3,DB_LIST2!$J:$J)/N_UNIT</f>
        <v>0</v>
      </c>
      <c r="AD20" s="95">
        <f>SUMIF(DB_LIST2!$A:$A,$B20&amp;AD$2&amp;AD$3,DB_LIST2!$J:$J)/N_UNIT</f>
        <v>0</v>
      </c>
      <c r="AE20" s="95">
        <f>SUMIF(DB_LIST2!$A:$A,$B20&amp;AE$2&amp;AE$3,DB_LIST2!$J:$J)/N_UNIT</f>
        <v>0</v>
      </c>
      <c r="AF20" s="95">
        <f>SUMIF(DB_LIST2!$A:$A,$B20&amp;AF$2&amp;AF$3,DB_LIST2!$J:$J)/N_UNIT</f>
        <v>0</v>
      </c>
      <c r="AG20" s="100">
        <f>AF20-SUMIF(DB_LIST1!$A:$A,$A20&amp;AG$2&amp;AG$3,DB_LIST1!$J:$J)/N_UNIT</f>
        <v>0</v>
      </c>
      <c r="AH20" s="100"/>
    </row>
    <row r="21" spans="1:34" ht="15" customHeight="1">
      <c r="A21" t="str">
        <f t="shared" si="13"/>
        <v/>
      </c>
      <c r="B21" t="str">
        <f t="shared" si="14"/>
        <v/>
      </c>
      <c r="C21"/>
      <c r="D21" s="30"/>
      <c r="E21" s="30"/>
      <c r="F21" s="30"/>
      <c r="G21" s="30">
        <v>0</v>
      </c>
      <c r="I21" s="102"/>
      <c r="J21" s="103"/>
      <c r="K21" s="104">
        <f>SUMIF(DB_LIST1!$A:$A,$A21&amp;K$2&amp;K$3,DB_LIST1!$J:$J)/N_UNIT</f>
        <v>0</v>
      </c>
      <c r="L21" s="104">
        <f>SUMIF(DB_LIST1!$A:$A,$A21&amp;L$2&amp;L$3,DB_LIST1!$J:$J)/N_UNIT</f>
        <v>0</v>
      </c>
      <c r="M21" s="104">
        <f>SUMIF(DB_LIST1!$A:$A,$A21&amp;M$2&amp;M$3,DB_LIST1!$J:$J)/N_UNIT</f>
        <v>0</v>
      </c>
      <c r="N21" s="104">
        <f>SUMIF(DB_LIST1!$A:$A,$A21&amp;N$2&amp;N$3,DB_LIST1!$J:$J)/N_UNIT</f>
        <v>0</v>
      </c>
      <c r="O21" s="104">
        <f>SUMIF(DB_LIST1!$A:$A,$A21&amp;O$2&amp;O$3,DB_LIST1!$J:$J)/N_UNIT</f>
        <v>0</v>
      </c>
      <c r="P21" s="104">
        <f>SUMIF(DB_LIST1!$A:$A,$A21&amp;P$2&amp;P$3,DB_LIST1!$J:$J)/N_UNIT</f>
        <v>0</v>
      </c>
      <c r="Q21" s="104">
        <f>SUMIF(DB_LIST1!$A:$A,$A21&amp;Q$2&amp;Q$3,DB_LIST1!$J:$J)/N_UNIT</f>
        <v>0</v>
      </c>
      <c r="R21" s="104">
        <f>SUMIF(DB_LIST1!$A:$A,$A21&amp;R$2&amp;R$3,DB_LIST1!$J:$J)/N_UNIT</f>
        <v>0</v>
      </c>
      <c r="S21" s="104">
        <f>SUMIF(DB_LIST1!$A:$A,$A21&amp;S$2&amp;S$3,DB_LIST1!$J:$J)/N_UNIT</f>
        <v>0</v>
      </c>
      <c r="T21" s="88">
        <f>S21-SUMIF(DB_LIST1!$A:$A,$A21&amp;T$2&amp;T$3,DB_LIST1!$J:$J)/N_UNIT</f>
        <v>0</v>
      </c>
      <c r="U21" s="88"/>
      <c r="V21" s="102"/>
      <c r="W21" s="103"/>
      <c r="X21" s="104">
        <f>SUMIF(DB_LIST2!$A:$A,$B21&amp;X$2&amp;X$3,DB_LIST2!$J:$J)/N_UNIT</f>
        <v>0</v>
      </c>
      <c r="Y21" s="104">
        <f>SUMIF(DB_LIST2!$A:$A,$B21&amp;Y$2&amp;Y$3,DB_LIST2!$J:$J)/N_UNIT</f>
        <v>0</v>
      </c>
      <c r="Z21" s="104">
        <f>SUMIF(DB_LIST2!$A:$A,$B21&amp;Z$2&amp;Z$3,DB_LIST2!$J:$J)/N_UNIT</f>
        <v>0</v>
      </c>
      <c r="AA21" s="104">
        <f>SUMIF(DB_LIST2!$A:$A,$B21&amp;AA$2&amp;AA$3,DB_LIST2!$J:$J)/N_UNIT</f>
        <v>0</v>
      </c>
      <c r="AB21" s="104">
        <f>SUMIF(DB_LIST2!$A:$A,$B21&amp;AB$2&amp;AB$3,DB_LIST2!$J:$J)/N_UNIT</f>
        <v>0</v>
      </c>
      <c r="AC21" s="104">
        <f>SUMIF(DB_LIST2!$A:$A,$B21&amp;AC$2&amp;AC$3,DB_LIST2!$J:$J)/N_UNIT</f>
        <v>0</v>
      </c>
      <c r="AD21" s="104">
        <f>SUMIF(DB_LIST2!$A:$A,$B21&amp;AD$2&amp;AD$3,DB_LIST2!$J:$J)/N_UNIT</f>
        <v>0</v>
      </c>
      <c r="AE21" s="104">
        <f>SUMIF(DB_LIST2!$A:$A,$B21&amp;AE$2&amp;AE$3,DB_LIST2!$J:$J)/N_UNIT</f>
        <v>0</v>
      </c>
      <c r="AF21" s="104">
        <f>SUMIF(DB_LIST2!$A:$A,$B21&amp;AF$2&amp;AF$3,DB_LIST2!$J:$J)/N_UNIT</f>
        <v>0</v>
      </c>
      <c r="AG21" s="88">
        <f>AF21-SUMIF(DB_LIST1!$A:$A,$A21&amp;AG$2&amp;AG$3,DB_LIST1!$J:$J)/N_UNIT</f>
        <v>0</v>
      </c>
      <c r="AH21" s="88"/>
    </row>
    <row r="22" spans="1:34" s="59" customFormat="1" ht="15" customHeight="1">
      <c r="A22" t="str">
        <f t="shared" si="13"/>
        <v>수주잔고</v>
      </c>
      <c r="B22" t="str">
        <f t="shared" si="14"/>
        <v>수주잔고</v>
      </c>
      <c r="C22"/>
      <c r="D22" s="30"/>
      <c r="E22" s="30"/>
      <c r="F22" s="30" t="s">
        <v>163</v>
      </c>
      <c r="G22" s="30">
        <v>0</v>
      </c>
      <c r="H22" s="53"/>
      <c r="I22" s="105"/>
      <c r="J22" s="86" t="str">
        <f t="shared" ref="J22" si="18">IF($D22="","","수주잔고")</f>
        <v/>
      </c>
      <c r="K22" s="87">
        <f>SUMIF(DB_LIST1!$A:$A,$A22&amp;K$2&amp;K$3,DB_LIST1!$J:$J)/N_UNIT</f>
        <v>0</v>
      </c>
      <c r="L22" s="87">
        <f>SUMIF(DB_LIST1!$A:$A,$A22&amp;L$2&amp;L$3,DB_LIST1!$J:$J)/N_UNIT</f>
        <v>0</v>
      </c>
      <c r="M22" s="87">
        <f>SUMIF(DB_LIST1!$A:$A,$A22&amp;M$2&amp;M$3,DB_LIST1!$J:$J)/N_UNIT</f>
        <v>0</v>
      </c>
      <c r="N22" s="87">
        <f>SUMIF(DB_LIST1!$A:$A,$A22&amp;N$2&amp;N$3,DB_LIST1!$J:$J)/N_UNIT</f>
        <v>0</v>
      </c>
      <c r="O22" s="87">
        <f>SUMIF(DB_LIST1!$A:$A,$A22&amp;O$2&amp;O$3,DB_LIST1!$J:$J)/N_UNIT</f>
        <v>0</v>
      </c>
      <c r="P22" s="87">
        <f>SUMIF(DB_LIST1!$A:$A,$A22&amp;P$2&amp;P$3,DB_LIST1!$J:$J)/N_UNIT</f>
        <v>0</v>
      </c>
      <c r="Q22" s="87">
        <f>SUMIF(DB_LIST1!$A:$A,$A22&amp;Q$2&amp;Q$3,DB_LIST1!$J:$J)/N_UNIT</f>
        <v>0</v>
      </c>
      <c r="R22" s="87">
        <f>SUMIF(DB_LIST1!$A:$A,$A22&amp;R$2&amp;R$3,DB_LIST1!$J:$J)/N_UNIT</f>
        <v>0</v>
      </c>
      <c r="S22" s="87">
        <f>SUMIF(DB_LIST1!$A:$A,$A22&amp;S$2&amp;S$3,DB_LIST1!$J:$J)/N_UNIT</f>
        <v>0</v>
      </c>
      <c r="T22" s="100">
        <f>S22-SUMIF(DB_LIST1!$A:$A,$A22&amp;T$2&amp;T$3,DB_LIST1!$J:$J)/N_UNIT</f>
        <v>0</v>
      </c>
      <c r="U22" s="89">
        <f>S22-K22</f>
        <v>0</v>
      </c>
      <c r="V22" s="105"/>
      <c r="W22" s="86" t="str">
        <f t="shared" ref="W22" si="19">IF($D22="","","수주잔고")</f>
        <v/>
      </c>
      <c r="X22" s="87">
        <f>SUMIF(DB_LIST2!$A:$A,$B22&amp;X$2&amp;X$3,DB_LIST2!$J:$J)/N_UNIT</f>
        <v>0</v>
      </c>
      <c r="Y22" s="87">
        <f>SUMIF(DB_LIST2!$A:$A,$B22&amp;Y$2&amp;Y$3,DB_LIST2!$J:$J)/N_UNIT</f>
        <v>0</v>
      </c>
      <c r="Z22" s="87">
        <f>SUMIF(DB_LIST2!$A:$A,$B22&amp;Z$2&amp;Z$3,DB_LIST2!$J:$J)/N_UNIT</f>
        <v>0</v>
      </c>
      <c r="AA22" s="87">
        <f>SUMIF(DB_LIST2!$A:$A,$B22&amp;AA$2&amp;AA$3,DB_LIST2!$J:$J)/N_UNIT</f>
        <v>0</v>
      </c>
      <c r="AB22" s="87">
        <f>SUMIF(DB_LIST2!$A:$A,$B22&amp;AB$2&amp;AB$3,DB_LIST2!$J:$J)/N_UNIT</f>
        <v>0</v>
      </c>
      <c r="AC22" s="87">
        <f>SUMIF(DB_LIST2!$A:$A,$B22&amp;AC$2&amp;AC$3,DB_LIST2!$J:$J)/N_UNIT</f>
        <v>0</v>
      </c>
      <c r="AD22" s="87">
        <f>SUMIF(DB_LIST2!$A:$A,$B22&amp;AD$2&amp;AD$3,DB_LIST2!$J:$J)/N_UNIT</f>
        <v>0</v>
      </c>
      <c r="AE22" s="87">
        <f>SUMIF(DB_LIST2!$A:$A,$B22&amp;AE$2&amp;AE$3,DB_LIST2!$J:$J)/N_UNIT</f>
        <v>0</v>
      </c>
      <c r="AF22" s="87">
        <f>SUMIF(DB_LIST2!$A:$A,$B22&amp;AF$2&amp;AF$3,DB_LIST2!$J:$J)/N_UNIT</f>
        <v>0</v>
      </c>
      <c r="AG22" s="100">
        <f>AF22-SUMIF(DB_LIST1!$A:$A,$A22&amp;AG$2&amp;AG$3,DB_LIST1!$J:$J)/N_UNIT</f>
        <v>0</v>
      </c>
      <c r="AH22" s="89">
        <f>AF22-X22</f>
        <v>0</v>
      </c>
    </row>
    <row r="23" spans="1:34" s="60" customFormat="1" ht="15" customHeight="1">
      <c r="A23" t="str">
        <f t="shared" si="13"/>
        <v>매출(프로젝트)</v>
      </c>
      <c r="B23" t="str">
        <f t="shared" si="14"/>
        <v>매출(프로젝트)</v>
      </c>
      <c r="C23"/>
      <c r="D23" s="30"/>
      <c r="E23" s="30"/>
      <c r="F23" s="30" t="s">
        <v>165</v>
      </c>
      <c r="G23" s="30">
        <v>0</v>
      </c>
      <c r="H23" s="53"/>
      <c r="I23" s="90"/>
      <c r="J23" s="91" t="str">
        <f t="shared" ref="J23" si="20">IF($D23="","","매출(프로젝트)")</f>
        <v/>
      </c>
      <c r="K23" s="92">
        <f>SUMIF(DB_LIST1!$A:$A,$A23&amp;K$2&amp;K$3,DB_LIST1!$J:$J)/N_UNIT</f>
        <v>0</v>
      </c>
      <c r="L23" s="92">
        <f>SUMIF(DB_LIST1!$A:$A,$A23&amp;L$2&amp;L$3,DB_LIST1!$J:$J)/N_UNIT</f>
        <v>0</v>
      </c>
      <c r="M23" s="92">
        <f>SUMIF(DB_LIST1!$A:$A,$A23&amp;M$2&amp;M$3,DB_LIST1!$J:$J)/N_UNIT</f>
        <v>0</v>
      </c>
      <c r="N23" s="92">
        <f>SUMIF(DB_LIST1!$A:$A,$A23&amp;N$2&amp;N$3,DB_LIST1!$J:$J)/N_UNIT</f>
        <v>0</v>
      </c>
      <c r="O23" s="92">
        <f>SUMIF(DB_LIST1!$A:$A,$A23&amp;O$2&amp;O$3,DB_LIST1!$J:$J)/N_UNIT</f>
        <v>0</v>
      </c>
      <c r="P23" s="92">
        <f>SUMIF(DB_LIST1!$A:$A,$A23&amp;P$2&amp;P$3,DB_LIST1!$J:$J)/N_UNIT</f>
        <v>0</v>
      </c>
      <c r="Q23" s="92">
        <f>SUMIF(DB_LIST1!$A:$A,$A23&amp;Q$2&amp;Q$3,DB_LIST1!$J:$J)/N_UNIT</f>
        <v>0</v>
      </c>
      <c r="R23" s="92">
        <f>SUMIF(DB_LIST1!$A:$A,$A23&amp;R$2&amp;R$3,DB_LIST1!$J:$J)/N_UNIT</f>
        <v>0</v>
      </c>
      <c r="S23" s="92">
        <f>SUMIF(DB_LIST1!$A:$A,$A23&amp;S$2&amp;S$3,DB_LIST1!$J:$J)/N_UNIT</f>
        <v>0</v>
      </c>
      <c r="T23" s="101">
        <f>S23-SUMIF(DB_LIST1!$A:$A,$A23&amp;T$2&amp;T$3,DB_LIST1!$J:$J)/N_UNIT</f>
        <v>0</v>
      </c>
      <c r="U23" s="101"/>
      <c r="V23" s="90"/>
      <c r="W23" s="91" t="str">
        <f t="shared" ref="W23" si="21">IF($D23="","","매출(프로젝트)")</f>
        <v/>
      </c>
      <c r="X23" s="92">
        <f>SUMIF(DB_LIST2!$A:$A,$B23&amp;X$2&amp;X$3,DB_LIST2!$J:$J)/N_UNIT</f>
        <v>0</v>
      </c>
      <c r="Y23" s="92">
        <f>SUMIF(DB_LIST2!$A:$A,$B23&amp;Y$2&amp;Y$3,DB_LIST2!$J:$J)/N_UNIT</f>
        <v>0</v>
      </c>
      <c r="Z23" s="92">
        <f>SUMIF(DB_LIST2!$A:$A,$B23&amp;Z$2&amp;Z$3,DB_LIST2!$J:$J)/N_UNIT</f>
        <v>0</v>
      </c>
      <c r="AA23" s="92">
        <f>SUMIF(DB_LIST2!$A:$A,$B23&amp;AA$2&amp;AA$3,DB_LIST2!$J:$J)/N_UNIT</f>
        <v>0</v>
      </c>
      <c r="AB23" s="92">
        <f>SUMIF(DB_LIST2!$A:$A,$B23&amp;AB$2&amp;AB$3,DB_LIST2!$J:$J)/N_UNIT</f>
        <v>0</v>
      </c>
      <c r="AC23" s="92">
        <f>SUMIF(DB_LIST2!$A:$A,$B23&amp;AC$2&amp;AC$3,DB_LIST2!$J:$J)/N_UNIT</f>
        <v>0</v>
      </c>
      <c r="AD23" s="92">
        <f>SUMIF(DB_LIST2!$A:$A,$B23&amp;AD$2&amp;AD$3,DB_LIST2!$J:$J)/N_UNIT</f>
        <v>0</v>
      </c>
      <c r="AE23" s="92">
        <f>SUMIF(DB_LIST2!$A:$A,$B23&amp;AE$2&amp;AE$3,DB_LIST2!$J:$J)/N_UNIT</f>
        <v>0</v>
      </c>
      <c r="AF23" s="92">
        <f>SUMIF(DB_LIST2!$A:$A,$B23&amp;AF$2&amp;AF$3,DB_LIST2!$J:$J)/N_UNIT</f>
        <v>0</v>
      </c>
      <c r="AG23" s="101">
        <f>AF23-SUMIF(DB_LIST1!$A:$A,$A23&amp;AG$2&amp;AG$3,DB_LIST1!$J:$J)/N_UNIT</f>
        <v>0</v>
      </c>
      <c r="AH23" s="101"/>
    </row>
    <row r="24" spans="1:34" s="57" customFormat="1" ht="15" customHeight="1">
      <c r="A24" t="str">
        <f t="shared" si="13"/>
        <v>매출(전체)</v>
      </c>
      <c r="B24" t="str">
        <f t="shared" si="14"/>
        <v>매출(전체)</v>
      </c>
      <c r="C24"/>
      <c r="D24" s="30"/>
      <c r="E24" s="30"/>
      <c r="F24" s="30" t="s">
        <v>164</v>
      </c>
      <c r="G24" s="30">
        <v>0</v>
      </c>
      <c r="H24" s="53"/>
      <c r="I24" s="90"/>
      <c r="J24" s="94" t="str">
        <f t="shared" ref="J24" si="22">IF($D24="","","매출(전체)")</f>
        <v/>
      </c>
      <c r="K24" s="95">
        <f>SUMIF(DB_LIST1!$A:$A,$A24&amp;K$2&amp;K$3,DB_LIST1!$J:$J)/N_UNIT</f>
        <v>0</v>
      </c>
      <c r="L24" s="95">
        <f>SUMIF(DB_LIST1!$A:$A,$A24&amp;L$2&amp;L$3,DB_LIST1!$J:$J)/N_UNIT</f>
        <v>0</v>
      </c>
      <c r="M24" s="95">
        <f>SUMIF(DB_LIST1!$A:$A,$A24&amp;M$2&amp;M$3,DB_LIST1!$J:$J)/N_UNIT</f>
        <v>0</v>
      </c>
      <c r="N24" s="95">
        <f>SUMIF(DB_LIST1!$A:$A,$A24&amp;N$2&amp;N$3,DB_LIST1!$J:$J)/N_UNIT</f>
        <v>0</v>
      </c>
      <c r="O24" s="95">
        <f>SUMIF(DB_LIST1!$A:$A,$A24&amp;O$2&amp;O$3,DB_LIST1!$J:$J)/N_UNIT</f>
        <v>0</v>
      </c>
      <c r="P24" s="95">
        <f>SUMIF(DB_LIST1!$A:$A,$A24&amp;P$2&amp;P$3,DB_LIST1!$J:$J)/N_UNIT</f>
        <v>0</v>
      </c>
      <c r="Q24" s="95">
        <f>SUMIF(DB_LIST1!$A:$A,$A24&amp;Q$2&amp;Q$3,DB_LIST1!$J:$J)/N_UNIT</f>
        <v>0</v>
      </c>
      <c r="R24" s="95">
        <f>SUMIF(DB_LIST1!$A:$A,$A24&amp;R$2&amp;R$3,DB_LIST1!$J:$J)/N_UNIT</f>
        <v>0</v>
      </c>
      <c r="S24" s="95">
        <f>SUMIF(DB_LIST1!$A:$A,$A24&amp;S$2&amp;S$3,DB_LIST1!$J:$J)/N_UNIT</f>
        <v>0</v>
      </c>
      <c r="T24" s="100">
        <f>S24-SUMIF(DB_LIST1!$A:$A,$A24&amp;T$2&amp;T$3,DB_LIST1!$J:$J)/N_UNIT</f>
        <v>0</v>
      </c>
      <c r="U24" s="100"/>
      <c r="V24" s="90"/>
      <c r="W24" s="94" t="str">
        <f t="shared" ref="W24" si="23">IF($D24="","","매출(전체)")</f>
        <v/>
      </c>
      <c r="X24" s="95">
        <f>SUMIF(DB_LIST2!$A:$A,$B24&amp;X$2&amp;X$3,DB_LIST2!$J:$J)/N_UNIT</f>
        <v>0</v>
      </c>
      <c r="Y24" s="95">
        <f>SUMIF(DB_LIST2!$A:$A,$B24&amp;Y$2&amp;Y$3,DB_LIST2!$J:$J)/N_UNIT</f>
        <v>0</v>
      </c>
      <c r="Z24" s="95">
        <f>SUMIF(DB_LIST2!$A:$A,$B24&amp;Z$2&amp;Z$3,DB_LIST2!$J:$J)/N_UNIT</f>
        <v>0</v>
      </c>
      <c r="AA24" s="95">
        <f>SUMIF(DB_LIST2!$A:$A,$B24&amp;AA$2&amp;AA$3,DB_LIST2!$J:$J)/N_UNIT</f>
        <v>0</v>
      </c>
      <c r="AB24" s="95">
        <f>SUMIF(DB_LIST2!$A:$A,$B24&amp;AB$2&amp;AB$3,DB_LIST2!$J:$J)/N_UNIT</f>
        <v>0</v>
      </c>
      <c r="AC24" s="95">
        <f>SUMIF(DB_LIST2!$A:$A,$B24&amp;AC$2&amp;AC$3,DB_LIST2!$J:$J)/N_UNIT</f>
        <v>0</v>
      </c>
      <c r="AD24" s="95">
        <f>SUMIF(DB_LIST2!$A:$A,$B24&amp;AD$2&amp;AD$3,DB_LIST2!$J:$J)/N_UNIT</f>
        <v>0</v>
      </c>
      <c r="AE24" s="95">
        <f>SUMIF(DB_LIST2!$A:$A,$B24&amp;AE$2&amp;AE$3,DB_LIST2!$J:$J)/N_UNIT</f>
        <v>0</v>
      </c>
      <c r="AF24" s="95">
        <f>SUMIF(DB_LIST2!$A:$A,$B24&amp;AF$2&amp;AF$3,DB_LIST2!$J:$J)/N_UNIT</f>
        <v>0</v>
      </c>
      <c r="AG24" s="100">
        <f>AF24-SUMIF(DB_LIST1!$A:$A,$A24&amp;AG$2&amp;AG$3,DB_LIST1!$J:$J)/N_UNIT</f>
        <v>0</v>
      </c>
      <c r="AH24" s="100"/>
    </row>
    <row r="25" spans="1:34" s="58" customFormat="1" ht="15" customHeight="1">
      <c r="A25" t="str">
        <f t="shared" si="13"/>
        <v/>
      </c>
      <c r="B25" t="str">
        <f t="shared" si="14"/>
        <v/>
      </c>
      <c r="C25"/>
      <c r="D25" s="30"/>
      <c r="E25" s="30"/>
      <c r="F25" s="30"/>
      <c r="G25" s="30">
        <v>0</v>
      </c>
      <c r="H25" s="53"/>
      <c r="I25" s="102"/>
      <c r="J25" s="103"/>
      <c r="K25" s="104">
        <f>SUMIF(DB_LIST1!$A:$A,$A25&amp;K$2&amp;K$3,DB_LIST1!$J:$J)/N_UNIT</f>
        <v>0</v>
      </c>
      <c r="L25" s="104">
        <f>SUMIF(DB_LIST1!$A:$A,$A25&amp;L$2&amp;L$3,DB_LIST1!$J:$J)/N_UNIT</f>
        <v>0</v>
      </c>
      <c r="M25" s="104">
        <f>SUMIF(DB_LIST1!$A:$A,$A25&amp;M$2&amp;M$3,DB_LIST1!$J:$J)/N_UNIT</f>
        <v>0</v>
      </c>
      <c r="N25" s="104">
        <f>SUMIF(DB_LIST1!$A:$A,$A25&amp;N$2&amp;N$3,DB_LIST1!$J:$J)/N_UNIT</f>
        <v>0</v>
      </c>
      <c r="O25" s="104">
        <f>SUMIF(DB_LIST1!$A:$A,$A25&amp;O$2&amp;O$3,DB_LIST1!$J:$J)/N_UNIT</f>
        <v>0</v>
      </c>
      <c r="P25" s="104">
        <f>SUMIF(DB_LIST1!$A:$A,$A25&amp;P$2&amp;P$3,DB_LIST1!$J:$J)/N_UNIT</f>
        <v>0</v>
      </c>
      <c r="Q25" s="104">
        <f>SUMIF(DB_LIST1!$A:$A,$A25&amp;Q$2&amp;Q$3,DB_LIST1!$J:$J)/N_UNIT</f>
        <v>0</v>
      </c>
      <c r="R25" s="104">
        <f>SUMIF(DB_LIST1!$A:$A,$A25&amp;R$2&amp;R$3,DB_LIST1!$J:$J)/N_UNIT</f>
        <v>0</v>
      </c>
      <c r="S25" s="104">
        <f>SUMIF(DB_LIST1!$A:$A,$A25&amp;S$2&amp;S$3,DB_LIST1!$J:$J)/N_UNIT</f>
        <v>0</v>
      </c>
      <c r="T25" s="88">
        <f>S25-SUMIF(DB_LIST1!$A:$A,$A25&amp;T$2&amp;T$3,DB_LIST1!$J:$J)/N_UNIT</f>
        <v>0</v>
      </c>
      <c r="U25" s="88"/>
      <c r="V25" s="102"/>
      <c r="W25" s="103"/>
      <c r="X25" s="104">
        <f>SUMIF(DB_LIST2!$A:$A,$B25&amp;X$2&amp;X$3,DB_LIST2!$J:$J)/N_UNIT</f>
        <v>0</v>
      </c>
      <c r="Y25" s="104">
        <f>SUMIF(DB_LIST2!$A:$A,$B25&amp;Y$2&amp;Y$3,DB_LIST2!$J:$J)/N_UNIT</f>
        <v>0</v>
      </c>
      <c r="Z25" s="104">
        <f>SUMIF(DB_LIST2!$A:$A,$B25&amp;Z$2&amp;Z$3,DB_LIST2!$J:$J)/N_UNIT</f>
        <v>0</v>
      </c>
      <c r="AA25" s="104">
        <f>SUMIF(DB_LIST2!$A:$A,$B25&amp;AA$2&amp;AA$3,DB_LIST2!$J:$J)/N_UNIT</f>
        <v>0</v>
      </c>
      <c r="AB25" s="104">
        <f>SUMIF(DB_LIST2!$A:$A,$B25&amp;AB$2&amp;AB$3,DB_LIST2!$J:$J)/N_UNIT</f>
        <v>0</v>
      </c>
      <c r="AC25" s="104">
        <f>SUMIF(DB_LIST2!$A:$A,$B25&amp;AC$2&amp;AC$3,DB_LIST2!$J:$J)/N_UNIT</f>
        <v>0</v>
      </c>
      <c r="AD25" s="104">
        <f>SUMIF(DB_LIST2!$A:$A,$B25&amp;AD$2&amp;AD$3,DB_LIST2!$J:$J)/N_UNIT</f>
        <v>0</v>
      </c>
      <c r="AE25" s="104">
        <f>SUMIF(DB_LIST2!$A:$A,$B25&amp;AE$2&amp;AE$3,DB_LIST2!$J:$J)/N_UNIT</f>
        <v>0</v>
      </c>
      <c r="AF25" s="104">
        <f>SUMIF(DB_LIST2!$A:$A,$B25&amp;AF$2&amp;AF$3,DB_LIST2!$J:$J)/N_UNIT</f>
        <v>0</v>
      </c>
      <c r="AG25" s="88">
        <f>AF25-SUMIF(DB_LIST1!$A:$A,$A25&amp;AG$2&amp;AG$3,DB_LIST1!$J:$J)/N_UNIT</f>
        <v>0</v>
      </c>
      <c r="AH25" s="88"/>
    </row>
    <row r="26" spans="1:34" s="61" customFormat="1" ht="15" customHeight="1">
      <c r="A26" t="str">
        <f t="shared" si="13"/>
        <v>수주잔고</v>
      </c>
      <c r="B26" t="str">
        <f t="shared" si="14"/>
        <v>수주잔고</v>
      </c>
      <c r="C26"/>
      <c r="D26" s="30"/>
      <c r="E26" s="30"/>
      <c r="F26" s="30" t="s">
        <v>163</v>
      </c>
      <c r="G26" s="30">
        <v>0</v>
      </c>
      <c r="H26" s="53"/>
      <c r="I26" s="90"/>
      <c r="J26" s="86" t="str">
        <f t="shared" ref="J26" si="24">IF($D26="","","수주잔고")</f>
        <v/>
      </c>
      <c r="K26" s="87">
        <f>SUMIF(DB_LIST1!$A:$A,$A26&amp;K$2&amp;K$3,DB_LIST1!$J:$J)/N_UNIT</f>
        <v>0</v>
      </c>
      <c r="L26" s="87">
        <f>SUMIF(DB_LIST1!$A:$A,$A26&amp;L$2&amp;L$3,DB_LIST1!$J:$J)/N_UNIT</f>
        <v>0</v>
      </c>
      <c r="M26" s="87">
        <f>SUMIF(DB_LIST1!$A:$A,$A26&amp;M$2&amp;M$3,DB_LIST1!$J:$J)/N_UNIT</f>
        <v>0</v>
      </c>
      <c r="N26" s="87">
        <f>SUMIF(DB_LIST1!$A:$A,$A26&amp;N$2&amp;N$3,DB_LIST1!$J:$J)/N_UNIT</f>
        <v>0</v>
      </c>
      <c r="O26" s="87">
        <f>SUMIF(DB_LIST1!$A:$A,$A26&amp;O$2&amp;O$3,DB_LIST1!$J:$J)/N_UNIT</f>
        <v>0</v>
      </c>
      <c r="P26" s="87">
        <f>SUMIF(DB_LIST1!$A:$A,$A26&amp;P$2&amp;P$3,DB_LIST1!$J:$J)/N_UNIT</f>
        <v>0</v>
      </c>
      <c r="Q26" s="87">
        <f>SUMIF(DB_LIST1!$A:$A,$A26&amp;Q$2&amp;Q$3,DB_LIST1!$J:$J)/N_UNIT</f>
        <v>0</v>
      </c>
      <c r="R26" s="87">
        <f>SUMIF(DB_LIST1!$A:$A,$A26&amp;R$2&amp;R$3,DB_LIST1!$J:$J)/N_UNIT</f>
        <v>0</v>
      </c>
      <c r="S26" s="87">
        <f>SUMIF(DB_LIST1!$A:$A,$A26&amp;S$2&amp;S$3,DB_LIST1!$J:$J)/N_UNIT</f>
        <v>0</v>
      </c>
      <c r="T26" s="100">
        <f>S26-SUMIF(DB_LIST1!$A:$A,$A26&amp;T$2&amp;T$3,DB_LIST1!$J:$J)/N_UNIT</f>
        <v>0</v>
      </c>
      <c r="U26" s="89">
        <f>S26-K26</f>
        <v>0</v>
      </c>
      <c r="V26" s="90"/>
      <c r="W26" s="86" t="str">
        <f t="shared" ref="W26" si="25">IF($D26="","","수주잔고")</f>
        <v/>
      </c>
      <c r="X26" s="87">
        <f>SUMIF(DB_LIST2!$A:$A,$B26&amp;X$2&amp;X$3,DB_LIST2!$J:$J)/N_UNIT</f>
        <v>0</v>
      </c>
      <c r="Y26" s="87">
        <f>SUMIF(DB_LIST2!$A:$A,$B26&amp;Y$2&amp;Y$3,DB_LIST2!$J:$J)/N_UNIT</f>
        <v>0</v>
      </c>
      <c r="Z26" s="87">
        <f>SUMIF(DB_LIST2!$A:$A,$B26&amp;Z$2&amp;Z$3,DB_LIST2!$J:$J)/N_UNIT</f>
        <v>0</v>
      </c>
      <c r="AA26" s="87">
        <f>SUMIF(DB_LIST2!$A:$A,$B26&amp;AA$2&amp;AA$3,DB_LIST2!$J:$J)/N_UNIT</f>
        <v>0</v>
      </c>
      <c r="AB26" s="87">
        <f>SUMIF(DB_LIST2!$A:$A,$B26&amp;AB$2&amp;AB$3,DB_LIST2!$J:$J)/N_UNIT</f>
        <v>0</v>
      </c>
      <c r="AC26" s="87">
        <f>SUMIF(DB_LIST2!$A:$A,$B26&amp;AC$2&amp;AC$3,DB_LIST2!$J:$J)/N_UNIT</f>
        <v>0</v>
      </c>
      <c r="AD26" s="87">
        <f>SUMIF(DB_LIST2!$A:$A,$B26&amp;AD$2&amp;AD$3,DB_LIST2!$J:$J)/N_UNIT</f>
        <v>0</v>
      </c>
      <c r="AE26" s="87">
        <f>SUMIF(DB_LIST2!$A:$A,$B26&amp;AE$2&amp;AE$3,DB_LIST2!$J:$J)/N_UNIT</f>
        <v>0</v>
      </c>
      <c r="AF26" s="87">
        <f>SUMIF(DB_LIST2!$A:$A,$B26&amp;AF$2&amp;AF$3,DB_LIST2!$J:$J)/N_UNIT</f>
        <v>0</v>
      </c>
      <c r="AG26" s="100">
        <f>AF26-SUMIF(DB_LIST1!$A:$A,$A26&amp;AG$2&amp;AG$3,DB_LIST1!$J:$J)/N_UNIT</f>
        <v>0</v>
      </c>
      <c r="AH26" s="89">
        <f>AF26-X26</f>
        <v>0</v>
      </c>
    </row>
    <row r="27" spans="1:34" s="62" customFormat="1" ht="15" customHeight="1">
      <c r="A27" t="str">
        <f t="shared" si="13"/>
        <v>매출(프로젝트)</v>
      </c>
      <c r="B27" t="str">
        <f t="shared" si="14"/>
        <v>매출(프로젝트)</v>
      </c>
      <c r="C27"/>
      <c r="D27" s="30"/>
      <c r="E27" s="30"/>
      <c r="F27" s="30" t="s">
        <v>165</v>
      </c>
      <c r="G27" s="30">
        <v>0</v>
      </c>
      <c r="H27" s="53"/>
      <c r="I27" s="90"/>
      <c r="J27" s="91" t="str">
        <f t="shared" ref="J27" si="26">IF($D27="","","매출(프로젝트)")</f>
        <v/>
      </c>
      <c r="K27" s="92">
        <f>SUMIF(DB_LIST1!$A:$A,$A27&amp;K$2&amp;K$3,DB_LIST1!$J:$J)/N_UNIT</f>
        <v>0</v>
      </c>
      <c r="L27" s="92">
        <f>SUMIF(DB_LIST1!$A:$A,$A27&amp;L$2&amp;L$3,DB_LIST1!$J:$J)/N_UNIT</f>
        <v>0</v>
      </c>
      <c r="M27" s="92">
        <f>SUMIF(DB_LIST1!$A:$A,$A27&amp;M$2&amp;M$3,DB_LIST1!$J:$J)/N_UNIT</f>
        <v>0</v>
      </c>
      <c r="N27" s="92">
        <f>SUMIF(DB_LIST1!$A:$A,$A27&amp;N$2&amp;N$3,DB_LIST1!$J:$J)/N_UNIT</f>
        <v>0</v>
      </c>
      <c r="O27" s="92">
        <f>SUMIF(DB_LIST1!$A:$A,$A27&amp;O$2&amp;O$3,DB_LIST1!$J:$J)/N_UNIT</f>
        <v>0</v>
      </c>
      <c r="P27" s="92">
        <f>SUMIF(DB_LIST1!$A:$A,$A27&amp;P$2&amp;P$3,DB_LIST1!$J:$J)/N_UNIT</f>
        <v>0</v>
      </c>
      <c r="Q27" s="92">
        <f>SUMIF(DB_LIST1!$A:$A,$A27&amp;Q$2&amp;Q$3,DB_LIST1!$J:$J)/N_UNIT</f>
        <v>0</v>
      </c>
      <c r="R27" s="92">
        <f>SUMIF(DB_LIST1!$A:$A,$A27&amp;R$2&amp;R$3,DB_LIST1!$J:$J)/N_UNIT</f>
        <v>0</v>
      </c>
      <c r="S27" s="92">
        <f>SUMIF(DB_LIST1!$A:$A,$A27&amp;S$2&amp;S$3,DB_LIST1!$J:$J)/N_UNIT</f>
        <v>0</v>
      </c>
      <c r="T27" s="101">
        <f>S27-SUMIF(DB_LIST1!$A:$A,$A27&amp;T$2&amp;T$3,DB_LIST1!$J:$J)/N_UNIT</f>
        <v>0</v>
      </c>
      <c r="U27" s="101"/>
      <c r="V27" s="90"/>
      <c r="W27" s="91" t="str">
        <f t="shared" ref="W27" si="27">IF($D27="","","매출(프로젝트)")</f>
        <v/>
      </c>
      <c r="X27" s="92">
        <f>SUMIF(DB_LIST2!$A:$A,$B27&amp;X$2&amp;X$3,DB_LIST2!$J:$J)/N_UNIT</f>
        <v>0</v>
      </c>
      <c r="Y27" s="92">
        <f>SUMIF(DB_LIST2!$A:$A,$B27&amp;Y$2&amp;Y$3,DB_LIST2!$J:$J)/N_UNIT</f>
        <v>0</v>
      </c>
      <c r="Z27" s="92">
        <f>SUMIF(DB_LIST2!$A:$A,$B27&amp;Z$2&amp;Z$3,DB_LIST2!$J:$J)/N_UNIT</f>
        <v>0</v>
      </c>
      <c r="AA27" s="92">
        <f>SUMIF(DB_LIST2!$A:$A,$B27&amp;AA$2&amp;AA$3,DB_LIST2!$J:$J)/N_UNIT</f>
        <v>0</v>
      </c>
      <c r="AB27" s="92">
        <f>SUMIF(DB_LIST2!$A:$A,$B27&amp;AB$2&amp;AB$3,DB_LIST2!$J:$J)/N_UNIT</f>
        <v>0</v>
      </c>
      <c r="AC27" s="92">
        <f>SUMIF(DB_LIST2!$A:$A,$B27&amp;AC$2&amp;AC$3,DB_LIST2!$J:$J)/N_UNIT</f>
        <v>0</v>
      </c>
      <c r="AD27" s="92">
        <f>SUMIF(DB_LIST2!$A:$A,$B27&amp;AD$2&amp;AD$3,DB_LIST2!$J:$J)/N_UNIT</f>
        <v>0</v>
      </c>
      <c r="AE27" s="92">
        <f>SUMIF(DB_LIST2!$A:$A,$B27&amp;AE$2&amp;AE$3,DB_LIST2!$J:$J)/N_UNIT</f>
        <v>0</v>
      </c>
      <c r="AF27" s="92">
        <f>SUMIF(DB_LIST2!$A:$A,$B27&amp;AF$2&amp;AF$3,DB_LIST2!$J:$J)/N_UNIT</f>
        <v>0</v>
      </c>
      <c r="AG27" s="101">
        <f>AF27-SUMIF(DB_LIST1!$A:$A,$A27&amp;AG$2&amp;AG$3,DB_LIST1!$J:$J)/N_UNIT</f>
        <v>0</v>
      </c>
      <c r="AH27" s="101"/>
    </row>
    <row r="28" spans="1:34" s="63" customFormat="1" ht="15" customHeight="1">
      <c r="A28" t="str">
        <f t="shared" si="13"/>
        <v>매출(전체)</v>
      </c>
      <c r="B28" t="str">
        <f t="shared" si="14"/>
        <v>매출(전체)</v>
      </c>
      <c r="C28"/>
      <c r="D28" s="30"/>
      <c r="E28" s="30"/>
      <c r="F28" s="30" t="s">
        <v>164</v>
      </c>
      <c r="G28" s="30">
        <v>0</v>
      </c>
      <c r="H28" s="53"/>
      <c r="I28" s="90"/>
      <c r="J28" s="94" t="str">
        <f t="shared" ref="J28" si="28">IF($D28="","","매출(전체)")</f>
        <v/>
      </c>
      <c r="K28" s="95">
        <f>SUMIF(DB_LIST1!$A:$A,$A28&amp;K$2&amp;K$3,DB_LIST1!$J:$J)/N_UNIT</f>
        <v>0</v>
      </c>
      <c r="L28" s="95">
        <f>SUMIF(DB_LIST1!$A:$A,$A28&amp;L$2&amp;L$3,DB_LIST1!$J:$J)/N_UNIT</f>
        <v>0</v>
      </c>
      <c r="M28" s="95">
        <f>SUMIF(DB_LIST1!$A:$A,$A28&amp;M$2&amp;M$3,DB_LIST1!$J:$J)/N_UNIT</f>
        <v>0</v>
      </c>
      <c r="N28" s="95">
        <f>SUMIF(DB_LIST1!$A:$A,$A28&amp;N$2&amp;N$3,DB_LIST1!$J:$J)/N_UNIT</f>
        <v>0</v>
      </c>
      <c r="O28" s="95">
        <f>SUMIF(DB_LIST1!$A:$A,$A28&amp;O$2&amp;O$3,DB_LIST1!$J:$J)/N_UNIT</f>
        <v>0</v>
      </c>
      <c r="P28" s="95">
        <f>SUMIF(DB_LIST1!$A:$A,$A28&amp;P$2&amp;P$3,DB_LIST1!$J:$J)/N_UNIT</f>
        <v>0</v>
      </c>
      <c r="Q28" s="95">
        <f>SUMIF(DB_LIST1!$A:$A,$A28&amp;Q$2&amp;Q$3,DB_LIST1!$J:$J)/N_UNIT</f>
        <v>0</v>
      </c>
      <c r="R28" s="95">
        <f>SUMIF(DB_LIST1!$A:$A,$A28&amp;R$2&amp;R$3,DB_LIST1!$J:$J)/N_UNIT</f>
        <v>0</v>
      </c>
      <c r="S28" s="95">
        <f>SUMIF(DB_LIST1!$A:$A,$A28&amp;S$2&amp;S$3,DB_LIST1!$J:$J)/N_UNIT</f>
        <v>0</v>
      </c>
      <c r="T28" s="100">
        <f>S28-SUMIF(DB_LIST1!$A:$A,$A28&amp;T$2&amp;T$3,DB_LIST1!$J:$J)/N_UNIT</f>
        <v>0</v>
      </c>
      <c r="U28" s="100"/>
      <c r="V28" s="90"/>
      <c r="W28" s="94" t="str">
        <f t="shared" ref="W28" si="29">IF($D28="","","매출(전체)")</f>
        <v/>
      </c>
      <c r="X28" s="95">
        <f>SUMIF(DB_LIST2!$A:$A,$B28&amp;X$2&amp;X$3,DB_LIST2!$J:$J)/N_UNIT</f>
        <v>0</v>
      </c>
      <c r="Y28" s="95">
        <f>SUMIF(DB_LIST2!$A:$A,$B28&amp;Y$2&amp;Y$3,DB_LIST2!$J:$J)/N_UNIT</f>
        <v>0</v>
      </c>
      <c r="Z28" s="95">
        <f>SUMIF(DB_LIST2!$A:$A,$B28&amp;Z$2&amp;Z$3,DB_LIST2!$J:$J)/N_UNIT</f>
        <v>0</v>
      </c>
      <c r="AA28" s="95">
        <f>SUMIF(DB_LIST2!$A:$A,$B28&amp;AA$2&amp;AA$3,DB_LIST2!$J:$J)/N_UNIT</f>
        <v>0</v>
      </c>
      <c r="AB28" s="95">
        <f>SUMIF(DB_LIST2!$A:$A,$B28&amp;AB$2&amp;AB$3,DB_LIST2!$J:$J)/N_UNIT</f>
        <v>0</v>
      </c>
      <c r="AC28" s="95">
        <f>SUMIF(DB_LIST2!$A:$A,$B28&amp;AC$2&amp;AC$3,DB_LIST2!$J:$J)/N_UNIT</f>
        <v>0</v>
      </c>
      <c r="AD28" s="95">
        <f>SUMIF(DB_LIST2!$A:$A,$B28&amp;AD$2&amp;AD$3,DB_LIST2!$J:$J)/N_UNIT</f>
        <v>0</v>
      </c>
      <c r="AE28" s="95">
        <f>SUMIF(DB_LIST2!$A:$A,$B28&amp;AE$2&amp;AE$3,DB_LIST2!$J:$J)/N_UNIT</f>
        <v>0</v>
      </c>
      <c r="AF28" s="95">
        <f>SUMIF(DB_LIST2!$A:$A,$B28&amp;AF$2&amp;AF$3,DB_LIST2!$J:$J)/N_UNIT</f>
        <v>0</v>
      </c>
      <c r="AG28" s="100">
        <f>AF28-SUMIF(DB_LIST1!$A:$A,$A28&amp;AG$2&amp;AG$3,DB_LIST1!$J:$J)/N_UNIT</f>
        <v>0</v>
      </c>
      <c r="AH28" s="100"/>
    </row>
    <row r="29" spans="1:34" ht="15" customHeight="1">
      <c r="A29" t="str">
        <f t="shared" si="13"/>
        <v/>
      </c>
      <c r="B29" t="str">
        <f t="shared" si="14"/>
        <v/>
      </c>
      <c r="C29"/>
      <c r="D29" s="30"/>
      <c r="E29" s="30"/>
      <c r="F29" s="30"/>
      <c r="G29" s="30">
        <v>0</v>
      </c>
      <c r="I29" s="102"/>
      <c r="J29" s="103"/>
      <c r="K29" s="104">
        <f>SUMIF(DB_LIST1!$A:$A,$A29&amp;K$2&amp;K$3,DB_LIST1!$J:$J)/N_UNIT</f>
        <v>0</v>
      </c>
      <c r="L29" s="104">
        <f>SUMIF(DB_LIST1!$A:$A,$A29&amp;L$2&amp;L$3,DB_LIST1!$J:$J)/N_UNIT</f>
        <v>0</v>
      </c>
      <c r="M29" s="104">
        <f>SUMIF(DB_LIST1!$A:$A,$A29&amp;M$2&amp;M$3,DB_LIST1!$J:$J)/N_UNIT</f>
        <v>0</v>
      </c>
      <c r="N29" s="104">
        <f>SUMIF(DB_LIST1!$A:$A,$A29&amp;N$2&amp;N$3,DB_LIST1!$J:$J)/N_UNIT</f>
        <v>0</v>
      </c>
      <c r="O29" s="104">
        <f>SUMIF(DB_LIST1!$A:$A,$A29&amp;O$2&amp;O$3,DB_LIST1!$J:$J)/N_UNIT</f>
        <v>0</v>
      </c>
      <c r="P29" s="104">
        <f>SUMIF(DB_LIST1!$A:$A,$A29&amp;P$2&amp;P$3,DB_LIST1!$J:$J)/N_UNIT</f>
        <v>0</v>
      </c>
      <c r="Q29" s="104">
        <f>SUMIF(DB_LIST1!$A:$A,$A29&amp;Q$2&amp;Q$3,DB_LIST1!$J:$J)/N_UNIT</f>
        <v>0</v>
      </c>
      <c r="R29" s="104">
        <f>SUMIF(DB_LIST1!$A:$A,$A29&amp;R$2&amp;R$3,DB_LIST1!$J:$J)/N_UNIT</f>
        <v>0</v>
      </c>
      <c r="S29" s="104">
        <f>SUMIF(DB_LIST1!$A:$A,$A29&amp;S$2&amp;S$3,DB_LIST1!$J:$J)/N_UNIT</f>
        <v>0</v>
      </c>
      <c r="T29" s="88">
        <f>S29-SUMIF(DB_LIST1!$A:$A,$A29&amp;T$2&amp;T$3,DB_LIST1!$J:$J)/N_UNIT</f>
        <v>0</v>
      </c>
      <c r="U29" s="88"/>
      <c r="V29" s="102"/>
      <c r="W29" s="103"/>
      <c r="X29" s="104">
        <f>SUMIF(DB_LIST2!$A:$A,$B29&amp;X$2&amp;X$3,DB_LIST2!$J:$J)/N_UNIT</f>
        <v>0</v>
      </c>
      <c r="Y29" s="104">
        <f>SUMIF(DB_LIST2!$A:$A,$B29&amp;Y$2&amp;Y$3,DB_LIST2!$J:$J)/N_UNIT</f>
        <v>0</v>
      </c>
      <c r="Z29" s="104">
        <f>SUMIF(DB_LIST2!$A:$A,$B29&amp;Z$2&amp;Z$3,DB_LIST2!$J:$J)/N_UNIT</f>
        <v>0</v>
      </c>
      <c r="AA29" s="104">
        <f>SUMIF(DB_LIST2!$A:$A,$B29&amp;AA$2&amp;AA$3,DB_LIST2!$J:$J)/N_UNIT</f>
        <v>0</v>
      </c>
      <c r="AB29" s="104">
        <f>SUMIF(DB_LIST2!$A:$A,$B29&amp;AB$2&amp;AB$3,DB_LIST2!$J:$J)/N_UNIT</f>
        <v>0</v>
      </c>
      <c r="AC29" s="104">
        <f>SUMIF(DB_LIST2!$A:$A,$B29&amp;AC$2&amp;AC$3,DB_LIST2!$J:$J)/N_UNIT</f>
        <v>0</v>
      </c>
      <c r="AD29" s="104">
        <f>SUMIF(DB_LIST2!$A:$A,$B29&amp;AD$2&amp;AD$3,DB_LIST2!$J:$J)/N_UNIT</f>
        <v>0</v>
      </c>
      <c r="AE29" s="104">
        <f>SUMIF(DB_LIST2!$A:$A,$B29&amp;AE$2&amp;AE$3,DB_LIST2!$J:$J)/N_UNIT</f>
        <v>0</v>
      </c>
      <c r="AF29" s="104">
        <f>SUMIF(DB_LIST2!$A:$A,$B29&amp;AF$2&amp;AF$3,DB_LIST2!$J:$J)/N_UNIT</f>
        <v>0</v>
      </c>
      <c r="AG29" s="88">
        <f>AF29-SUMIF(DB_LIST1!$A:$A,$A29&amp;AG$2&amp;AG$3,DB_LIST1!$J:$J)/N_UNIT</f>
        <v>0</v>
      </c>
      <c r="AH29" s="88"/>
    </row>
    <row r="30" spans="1:34" ht="15" customHeight="1">
      <c r="A30" t="str">
        <f t="shared" si="13"/>
        <v>수주잔고</v>
      </c>
      <c r="B30" t="str">
        <f t="shared" si="14"/>
        <v>수주잔고</v>
      </c>
      <c r="C30"/>
      <c r="D30" s="30"/>
      <c r="E30" s="30"/>
      <c r="F30" s="30" t="s">
        <v>163</v>
      </c>
      <c r="G30" s="30">
        <v>0</v>
      </c>
      <c r="I30" s="90"/>
      <c r="J30" s="86" t="str">
        <f t="shared" ref="J30" si="30">IF($D30="","","수주잔고")</f>
        <v/>
      </c>
      <c r="K30" s="87">
        <f>SUMIF(DB_LIST1!$A:$A,$A30&amp;K$2&amp;K$3,DB_LIST1!$J:$J)/N_UNIT</f>
        <v>0</v>
      </c>
      <c r="L30" s="87">
        <f>SUMIF(DB_LIST1!$A:$A,$A30&amp;L$2&amp;L$3,DB_LIST1!$J:$J)/N_UNIT</f>
        <v>0</v>
      </c>
      <c r="M30" s="87">
        <f>SUMIF(DB_LIST1!$A:$A,$A30&amp;M$2&amp;M$3,DB_LIST1!$J:$J)/N_UNIT</f>
        <v>0</v>
      </c>
      <c r="N30" s="87">
        <f>SUMIF(DB_LIST1!$A:$A,$A30&amp;N$2&amp;N$3,DB_LIST1!$J:$J)/N_UNIT</f>
        <v>0</v>
      </c>
      <c r="O30" s="87">
        <f>SUMIF(DB_LIST1!$A:$A,$A30&amp;O$2&amp;O$3,DB_LIST1!$J:$J)/N_UNIT</f>
        <v>0</v>
      </c>
      <c r="P30" s="87">
        <f>SUMIF(DB_LIST1!$A:$A,$A30&amp;P$2&amp;P$3,DB_LIST1!$J:$J)/N_UNIT</f>
        <v>0</v>
      </c>
      <c r="Q30" s="87">
        <f>SUMIF(DB_LIST1!$A:$A,$A30&amp;Q$2&amp;Q$3,DB_LIST1!$J:$J)/N_UNIT</f>
        <v>0</v>
      </c>
      <c r="R30" s="87">
        <f>SUMIF(DB_LIST1!$A:$A,$A30&amp;R$2&amp;R$3,DB_LIST1!$J:$J)/N_UNIT</f>
        <v>0</v>
      </c>
      <c r="S30" s="87">
        <f>SUMIF(DB_LIST1!$A:$A,$A30&amp;S$2&amp;S$3,DB_LIST1!$J:$J)/N_UNIT</f>
        <v>0</v>
      </c>
      <c r="T30" s="100">
        <f>S30-SUMIF(DB_LIST1!$A:$A,$A30&amp;T$2&amp;T$3,DB_LIST1!$J:$J)/N_UNIT</f>
        <v>0</v>
      </c>
      <c r="U30" s="89">
        <f>S30-K30</f>
        <v>0</v>
      </c>
      <c r="V30" s="90"/>
      <c r="W30" s="86" t="str">
        <f t="shared" ref="W30" si="31">IF($D30="","","수주잔고")</f>
        <v/>
      </c>
      <c r="X30" s="87">
        <f>SUMIF(DB_LIST2!$A:$A,$B30&amp;X$2&amp;X$3,DB_LIST2!$J:$J)/N_UNIT</f>
        <v>0</v>
      </c>
      <c r="Y30" s="87">
        <f>SUMIF(DB_LIST2!$A:$A,$B30&amp;Y$2&amp;Y$3,DB_LIST2!$J:$J)/N_UNIT</f>
        <v>0</v>
      </c>
      <c r="Z30" s="87">
        <f>SUMIF(DB_LIST2!$A:$A,$B30&amp;Z$2&amp;Z$3,DB_LIST2!$J:$J)/N_UNIT</f>
        <v>0</v>
      </c>
      <c r="AA30" s="87">
        <f>SUMIF(DB_LIST2!$A:$A,$B30&amp;AA$2&amp;AA$3,DB_LIST2!$J:$J)/N_UNIT</f>
        <v>0</v>
      </c>
      <c r="AB30" s="87">
        <f>SUMIF(DB_LIST2!$A:$A,$B30&amp;AB$2&amp;AB$3,DB_LIST2!$J:$J)/N_UNIT</f>
        <v>0</v>
      </c>
      <c r="AC30" s="87">
        <f>SUMIF(DB_LIST2!$A:$A,$B30&amp;AC$2&amp;AC$3,DB_LIST2!$J:$J)/N_UNIT</f>
        <v>0</v>
      </c>
      <c r="AD30" s="87">
        <f>SUMIF(DB_LIST2!$A:$A,$B30&amp;AD$2&amp;AD$3,DB_LIST2!$J:$J)/N_UNIT</f>
        <v>0</v>
      </c>
      <c r="AE30" s="87">
        <f>SUMIF(DB_LIST2!$A:$A,$B30&amp;AE$2&amp;AE$3,DB_LIST2!$J:$J)/N_UNIT</f>
        <v>0</v>
      </c>
      <c r="AF30" s="87">
        <f>SUMIF(DB_LIST2!$A:$A,$B30&amp;AF$2&amp;AF$3,DB_LIST2!$J:$J)/N_UNIT</f>
        <v>0</v>
      </c>
      <c r="AG30" s="100">
        <f>AF30-SUMIF(DB_LIST1!$A:$A,$A30&amp;AG$2&amp;AG$3,DB_LIST1!$J:$J)/N_UNIT</f>
        <v>0</v>
      </c>
      <c r="AH30" s="89">
        <f>AF30-X30</f>
        <v>0</v>
      </c>
    </row>
    <row r="31" spans="1:34" ht="15" customHeight="1">
      <c r="A31" t="str">
        <f t="shared" si="13"/>
        <v>매출(프로젝트)</v>
      </c>
      <c r="B31" t="str">
        <f t="shared" si="14"/>
        <v>매출(프로젝트)</v>
      </c>
      <c r="C31"/>
      <c r="D31" s="30"/>
      <c r="E31" s="30"/>
      <c r="F31" s="30" t="s">
        <v>165</v>
      </c>
      <c r="G31" s="30">
        <v>0</v>
      </c>
      <c r="I31" s="90"/>
      <c r="J31" s="91" t="str">
        <f t="shared" ref="J31" si="32">IF($D31="","","매출(프로젝트)")</f>
        <v/>
      </c>
      <c r="K31" s="92">
        <f>SUMIF(DB_LIST1!$A:$A,$A31&amp;K$2&amp;K$3,DB_LIST1!$J:$J)/N_UNIT</f>
        <v>0</v>
      </c>
      <c r="L31" s="92">
        <f>SUMIF(DB_LIST1!$A:$A,$A31&amp;L$2&amp;L$3,DB_LIST1!$J:$J)/N_UNIT</f>
        <v>0</v>
      </c>
      <c r="M31" s="92">
        <f>SUMIF(DB_LIST1!$A:$A,$A31&amp;M$2&amp;M$3,DB_LIST1!$J:$J)/N_UNIT</f>
        <v>0</v>
      </c>
      <c r="N31" s="92">
        <f>SUMIF(DB_LIST1!$A:$A,$A31&amp;N$2&amp;N$3,DB_LIST1!$J:$J)/N_UNIT</f>
        <v>0</v>
      </c>
      <c r="O31" s="92">
        <f>SUMIF(DB_LIST1!$A:$A,$A31&amp;O$2&amp;O$3,DB_LIST1!$J:$J)/N_UNIT</f>
        <v>0</v>
      </c>
      <c r="P31" s="92">
        <f>SUMIF(DB_LIST1!$A:$A,$A31&amp;P$2&amp;P$3,DB_LIST1!$J:$J)/N_UNIT</f>
        <v>0</v>
      </c>
      <c r="Q31" s="92">
        <f>SUMIF(DB_LIST1!$A:$A,$A31&amp;Q$2&amp;Q$3,DB_LIST1!$J:$J)/N_UNIT</f>
        <v>0</v>
      </c>
      <c r="R31" s="92">
        <f>SUMIF(DB_LIST1!$A:$A,$A31&amp;R$2&amp;R$3,DB_LIST1!$J:$J)/N_UNIT</f>
        <v>0</v>
      </c>
      <c r="S31" s="92">
        <f>SUMIF(DB_LIST1!$A:$A,$A31&amp;S$2&amp;S$3,DB_LIST1!$J:$J)/N_UNIT</f>
        <v>0</v>
      </c>
      <c r="T31" s="101">
        <f>S31-SUMIF(DB_LIST1!$A:$A,$A31&amp;T$2&amp;T$3,DB_LIST1!$J:$J)/N_UNIT</f>
        <v>0</v>
      </c>
      <c r="U31" s="101"/>
      <c r="V31" s="90"/>
      <c r="W31" s="91" t="str">
        <f t="shared" ref="W31" si="33">IF($D31="","","매출(프로젝트)")</f>
        <v/>
      </c>
      <c r="X31" s="92">
        <f>SUMIF(DB_LIST2!$A:$A,$B31&amp;X$2&amp;X$3,DB_LIST2!$J:$J)/N_UNIT</f>
        <v>0</v>
      </c>
      <c r="Y31" s="92">
        <f>SUMIF(DB_LIST2!$A:$A,$B31&amp;Y$2&amp;Y$3,DB_LIST2!$J:$J)/N_UNIT</f>
        <v>0</v>
      </c>
      <c r="Z31" s="92">
        <f>SUMIF(DB_LIST2!$A:$A,$B31&amp;Z$2&amp;Z$3,DB_LIST2!$J:$J)/N_UNIT</f>
        <v>0</v>
      </c>
      <c r="AA31" s="92">
        <f>SUMIF(DB_LIST2!$A:$A,$B31&amp;AA$2&amp;AA$3,DB_LIST2!$J:$J)/N_UNIT</f>
        <v>0</v>
      </c>
      <c r="AB31" s="92">
        <f>SUMIF(DB_LIST2!$A:$A,$B31&amp;AB$2&amp;AB$3,DB_LIST2!$J:$J)/N_UNIT</f>
        <v>0</v>
      </c>
      <c r="AC31" s="92">
        <f>SUMIF(DB_LIST2!$A:$A,$B31&amp;AC$2&amp;AC$3,DB_LIST2!$J:$J)/N_UNIT</f>
        <v>0</v>
      </c>
      <c r="AD31" s="92">
        <f>SUMIF(DB_LIST2!$A:$A,$B31&amp;AD$2&amp;AD$3,DB_LIST2!$J:$J)/N_UNIT</f>
        <v>0</v>
      </c>
      <c r="AE31" s="92">
        <f>SUMIF(DB_LIST2!$A:$A,$B31&amp;AE$2&amp;AE$3,DB_LIST2!$J:$J)/N_UNIT</f>
        <v>0</v>
      </c>
      <c r="AF31" s="92">
        <f>SUMIF(DB_LIST2!$A:$A,$B31&amp;AF$2&amp;AF$3,DB_LIST2!$J:$J)/N_UNIT</f>
        <v>0</v>
      </c>
      <c r="AG31" s="101">
        <f>AF31-SUMIF(DB_LIST1!$A:$A,$A31&amp;AG$2&amp;AG$3,DB_LIST1!$J:$J)/N_UNIT</f>
        <v>0</v>
      </c>
      <c r="AH31" s="101"/>
    </row>
    <row r="32" spans="1:34" ht="17.25" customHeight="1">
      <c r="A32" t="str">
        <f t="shared" si="13"/>
        <v>매출(전체)</v>
      </c>
      <c r="B32" t="str">
        <f t="shared" si="14"/>
        <v>매출(전체)</v>
      </c>
      <c r="C32"/>
      <c r="D32" s="30"/>
      <c r="E32" s="30"/>
      <c r="F32" s="30" t="s">
        <v>164</v>
      </c>
      <c r="G32" s="30">
        <v>0</v>
      </c>
      <c r="I32" s="90"/>
      <c r="J32" s="94" t="str">
        <f t="shared" ref="J32" si="34">IF($D32="","","매출(전체)")</f>
        <v/>
      </c>
      <c r="K32" s="95">
        <f>SUMIF(DB_LIST1!$A:$A,$A32&amp;K$2&amp;K$3,DB_LIST1!$J:$J)/N_UNIT</f>
        <v>0</v>
      </c>
      <c r="L32" s="95">
        <f>SUMIF(DB_LIST1!$A:$A,$A32&amp;L$2&amp;L$3,DB_LIST1!$J:$J)/N_UNIT</f>
        <v>0</v>
      </c>
      <c r="M32" s="95">
        <f>SUMIF(DB_LIST1!$A:$A,$A32&amp;M$2&amp;M$3,DB_LIST1!$J:$J)/N_UNIT</f>
        <v>0</v>
      </c>
      <c r="N32" s="95">
        <f>SUMIF(DB_LIST1!$A:$A,$A32&amp;N$2&amp;N$3,DB_LIST1!$J:$J)/N_UNIT</f>
        <v>0</v>
      </c>
      <c r="O32" s="95">
        <f>SUMIF(DB_LIST1!$A:$A,$A32&amp;O$2&amp;O$3,DB_LIST1!$J:$J)/N_UNIT</f>
        <v>0</v>
      </c>
      <c r="P32" s="95">
        <f>SUMIF(DB_LIST1!$A:$A,$A32&amp;P$2&amp;P$3,DB_LIST1!$J:$J)/N_UNIT</f>
        <v>0</v>
      </c>
      <c r="Q32" s="95">
        <f>SUMIF(DB_LIST1!$A:$A,$A32&amp;Q$2&amp;Q$3,DB_LIST1!$J:$J)/N_UNIT</f>
        <v>0</v>
      </c>
      <c r="R32" s="95">
        <f>SUMIF(DB_LIST1!$A:$A,$A32&amp;R$2&amp;R$3,DB_LIST1!$J:$J)/N_UNIT</f>
        <v>0</v>
      </c>
      <c r="S32" s="95">
        <f>SUMIF(DB_LIST1!$A:$A,$A32&amp;S$2&amp;S$3,DB_LIST1!$J:$J)/N_UNIT</f>
        <v>0</v>
      </c>
      <c r="T32" s="100">
        <f>S32-SUMIF(DB_LIST1!$A:$A,$A32&amp;T$2&amp;T$3,DB_LIST1!$J:$J)/N_UNIT</f>
        <v>0</v>
      </c>
      <c r="U32" s="100"/>
      <c r="V32" s="90"/>
      <c r="W32" s="94" t="str">
        <f t="shared" ref="W32" si="35">IF($D32="","","매출(전체)")</f>
        <v/>
      </c>
      <c r="X32" s="95">
        <f>SUMIF(DB_LIST2!$A:$A,$B32&amp;X$2&amp;X$3,DB_LIST2!$J:$J)/N_UNIT</f>
        <v>0</v>
      </c>
      <c r="Y32" s="95">
        <f>SUMIF(DB_LIST2!$A:$A,$B32&amp;Y$2&amp;Y$3,DB_LIST2!$J:$J)/N_UNIT</f>
        <v>0</v>
      </c>
      <c r="Z32" s="95">
        <f>SUMIF(DB_LIST2!$A:$A,$B32&amp;Z$2&amp;Z$3,DB_LIST2!$J:$J)/N_UNIT</f>
        <v>0</v>
      </c>
      <c r="AA32" s="95">
        <f>SUMIF(DB_LIST2!$A:$A,$B32&amp;AA$2&amp;AA$3,DB_LIST2!$J:$J)/N_UNIT</f>
        <v>0</v>
      </c>
      <c r="AB32" s="95">
        <f>SUMIF(DB_LIST2!$A:$A,$B32&amp;AB$2&amp;AB$3,DB_LIST2!$J:$J)/N_UNIT</f>
        <v>0</v>
      </c>
      <c r="AC32" s="95">
        <f>SUMIF(DB_LIST2!$A:$A,$B32&amp;AC$2&amp;AC$3,DB_LIST2!$J:$J)/N_UNIT</f>
        <v>0</v>
      </c>
      <c r="AD32" s="95">
        <f>SUMIF(DB_LIST2!$A:$A,$B32&amp;AD$2&amp;AD$3,DB_LIST2!$J:$J)/N_UNIT</f>
        <v>0</v>
      </c>
      <c r="AE32" s="95">
        <f>SUMIF(DB_LIST2!$A:$A,$B32&amp;AE$2&amp;AE$3,DB_LIST2!$J:$J)/N_UNIT</f>
        <v>0</v>
      </c>
      <c r="AF32" s="95">
        <f>SUMIF(DB_LIST2!$A:$A,$B32&amp;AF$2&amp;AF$3,DB_LIST2!$J:$J)/N_UNIT</f>
        <v>0</v>
      </c>
      <c r="AG32" s="100">
        <f>AF32-SUMIF(DB_LIST1!$A:$A,$A32&amp;AG$2&amp;AG$3,DB_LIST1!$J:$J)/N_UNIT</f>
        <v>0</v>
      </c>
      <c r="AH32" s="100"/>
    </row>
    <row r="33" spans="1:34" ht="17.25" customHeight="1">
      <c r="A33" t="str">
        <f t="shared" si="13"/>
        <v/>
      </c>
      <c r="B33" t="str">
        <f t="shared" si="14"/>
        <v/>
      </c>
      <c r="C33"/>
      <c r="D33" s="30"/>
      <c r="E33" s="30"/>
      <c r="F33" s="30"/>
      <c r="G33" s="30">
        <v>0</v>
      </c>
      <c r="I33" s="102"/>
      <c r="J33" s="103"/>
      <c r="K33" s="104">
        <f>SUMIF(DB_LIST1!$A:$A,$A33&amp;K$2&amp;K$3,DB_LIST1!$J:$J)/N_UNIT</f>
        <v>0</v>
      </c>
      <c r="L33" s="104">
        <f>SUMIF(DB_LIST1!$A:$A,$A33&amp;L$2&amp;L$3,DB_LIST1!$J:$J)/N_UNIT</f>
        <v>0</v>
      </c>
      <c r="M33" s="104">
        <f>SUMIF(DB_LIST1!$A:$A,$A33&amp;M$2&amp;M$3,DB_LIST1!$J:$J)/N_UNIT</f>
        <v>0</v>
      </c>
      <c r="N33" s="104">
        <f>SUMIF(DB_LIST1!$A:$A,$A33&amp;N$2&amp;N$3,DB_LIST1!$J:$J)/N_UNIT</f>
        <v>0</v>
      </c>
      <c r="O33" s="104">
        <f>SUMIF(DB_LIST1!$A:$A,$A33&amp;O$2&amp;O$3,DB_LIST1!$J:$J)/N_UNIT</f>
        <v>0</v>
      </c>
      <c r="P33" s="104">
        <f>SUMIF(DB_LIST1!$A:$A,$A33&amp;P$2&amp;P$3,DB_LIST1!$J:$J)/N_UNIT</f>
        <v>0</v>
      </c>
      <c r="Q33" s="104">
        <f>SUMIF(DB_LIST1!$A:$A,$A33&amp;Q$2&amp;Q$3,DB_LIST1!$J:$J)/N_UNIT</f>
        <v>0</v>
      </c>
      <c r="R33" s="104">
        <f>SUMIF(DB_LIST1!$A:$A,$A33&amp;R$2&amp;R$3,DB_LIST1!$J:$J)/N_UNIT</f>
        <v>0</v>
      </c>
      <c r="S33" s="104">
        <f>SUMIF(DB_LIST1!$A:$A,$A33&amp;S$2&amp;S$3,DB_LIST1!$J:$J)/N_UNIT</f>
        <v>0</v>
      </c>
      <c r="T33" s="88">
        <f>S33-SUMIF(DB_LIST1!$A:$A,$A33&amp;T$2&amp;T$3,DB_LIST1!$J:$J)/N_UNIT</f>
        <v>0</v>
      </c>
      <c r="U33" s="88"/>
      <c r="V33" s="102"/>
      <c r="W33" s="103"/>
      <c r="X33" s="104">
        <f>SUMIF(DB_LIST2!$A:$A,$B33&amp;X$2&amp;X$3,DB_LIST2!$J:$J)/N_UNIT</f>
        <v>0</v>
      </c>
      <c r="Y33" s="104">
        <f>SUMIF(DB_LIST2!$A:$A,$B33&amp;Y$2&amp;Y$3,DB_LIST2!$J:$J)/N_UNIT</f>
        <v>0</v>
      </c>
      <c r="Z33" s="104">
        <f>SUMIF(DB_LIST2!$A:$A,$B33&amp;Z$2&amp;Z$3,DB_LIST2!$J:$J)/N_UNIT</f>
        <v>0</v>
      </c>
      <c r="AA33" s="104">
        <f>SUMIF(DB_LIST2!$A:$A,$B33&amp;AA$2&amp;AA$3,DB_LIST2!$J:$J)/N_UNIT</f>
        <v>0</v>
      </c>
      <c r="AB33" s="104">
        <f>SUMIF(DB_LIST2!$A:$A,$B33&amp;AB$2&amp;AB$3,DB_LIST2!$J:$J)/N_UNIT</f>
        <v>0</v>
      </c>
      <c r="AC33" s="104">
        <f>SUMIF(DB_LIST2!$A:$A,$B33&amp;AC$2&amp;AC$3,DB_LIST2!$J:$J)/N_UNIT</f>
        <v>0</v>
      </c>
      <c r="AD33" s="104">
        <f>SUMIF(DB_LIST2!$A:$A,$B33&amp;AD$2&amp;AD$3,DB_LIST2!$J:$J)/N_UNIT</f>
        <v>0</v>
      </c>
      <c r="AE33" s="104">
        <f>SUMIF(DB_LIST2!$A:$A,$B33&amp;AE$2&amp;AE$3,DB_LIST2!$J:$J)/N_UNIT</f>
        <v>0</v>
      </c>
      <c r="AF33" s="104">
        <f>SUMIF(DB_LIST2!$A:$A,$B33&amp;AF$2&amp;AF$3,DB_LIST2!$J:$J)/N_UNIT</f>
        <v>0</v>
      </c>
      <c r="AG33" s="88">
        <f>AF33-SUMIF(DB_LIST1!$A:$A,$A33&amp;AG$2&amp;AG$3,DB_LIST1!$J:$J)/N_UNIT</f>
        <v>0</v>
      </c>
      <c r="AH33" s="88"/>
    </row>
    <row r="34" spans="1:34" ht="17.25" customHeight="1">
      <c r="A34" t="str">
        <f t="shared" si="13"/>
        <v>수주잔고</v>
      </c>
      <c r="B34" t="str">
        <f t="shared" si="14"/>
        <v>수주잔고</v>
      </c>
      <c r="C34"/>
      <c r="D34" s="30"/>
      <c r="E34" s="30"/>
      <c r="F34" s="30" t="s">
        <v>163</v>
      </c>
      <c r="G34" s="30">
        <v>0</v>
      </c>
      <c r="I34" s="90"/>
      <c r="J34" s="86" t="str">
        <f t="shared" ref="J34" si="36">IF($D34="","","수주잔고")</f>
        <v/>
      </c>
      <c r="K34" s="87">
        <f>SUMIF(DB_LIST1!$A:$A,$A34&amp;K$2&amp;K$3,DB_LIST1!$J:$J)/N_UNIT</f>
        <v>0</v>
      </c>
      <c r="L34" s="87">
        <f>SUMIF(DB_LIST1!$A:$A,$A34&amp;L$2&amp;L$3,DB_LIST1!$J:$J)/N_UNIT</f>
        <v>0</v>
      </c>
      <c r="M34" s="87">
        <f>SUMIF(DB_LIST1!$A:$A,$A34&amp;M$2&amp;M$3,DB_LIST1!$J:$J)/N_UNIT</f>
        <v>0</v>
      </c>
      <c r="N34" s="87">
        <f>SUMIF(DB_LIST1!$A:$A,$A34&amp;N$2&amp;N$3,DB_LIST1!$J:$J)/N_UNIT</f>
        <v>0</v>
      </c>
      <c r="O34" s="87">
        <f>SUMIF(DB_LIST1!$A:$A,$A34&amp;O$2&amp;O$3,DB_LIST1!$J:$J)/N_UNIT</f>
        <v>0</v>
      </c>
      <c r="P34" s="87">
        <f>SUMIF(DB_LIST1!$A:$A,$A34&amp;P$2&amp;P$3,DB_LIST1!$J:$J)/N_UNIT</f>
        <v>0</v>
      </c>
      <c r="Q34" s="87">
        <f>SUMIF(DB_LIST1!$A:$A,$A34&amp;Q$2&amp;Q$3,DB_LIST1!$J:$J)/N_UNIT</f>
        <v>0</v>
      </c>
      <c r="R34" s="87">
        <f>SUMIF(DB_LIST1!$A:$A,$A34&amp;R$2&amp;R$3,DB_LIST1!$J:$J)/N_UNIT</f>
        <v>0</v>
      </c>
      <c r="S34" s="87">
        <f>SUMIF(DB_LIST1!$A:$A,$A34&amp;S$2&amp;S$3,DB_LIST1!$J:$J)/N_UNIT</f>
        <v>0</v>
      </c>
      <c r="T34" s="100">
        <f>S34-SUMIF(DB_LIST1!$A:$A,$A34&amp;T$2&amp;T$3,DB_LIST1!$J:$J)/N_UNIT</f>
        <v>0</v>
      </c>
      <c r="U34" s="89">
        <f>S34-K34</f>
        <v>0</v>
      </c>
      <c r="V34" s="90"/>
      <c r="W34" s="86" t="str">
        <f t="shared" ref="W34" si="37">IF($D34="","","수주잔고")</f>
        <v/>
      </c>
      <c r="X34" s="87">
        <f>SUMIF(DB_LIST2!$A:$A,$B34&amp;X$2&amp;X$3,DB_LIST2!$J:$J)/N_UNIT</f>
        <v>0</v>
      </c>
      <c r="Y34" s="87">
        <f>SUMIF(DB_LIST2!$A:$A,$B34&amp;Y$2&amp;Y$3,DB_LIST2!$J:$J)/N_UNIT</f>
        <v>0</v>
      </c>
      <c r="Z34" s="87">
        <f>SUMIF(DB_LIST2!$A:$A,$B34&amp;Z$2&amp;Z$3,DB_LIST2!$J:$J)/N_UNIT</f>
        <v>0</v>
      </c>
      <c r="AA34" s="87">
        <f>SUMIF(DB_LIST2!$A:$A,$B34&amp;AA$2&amp;AA$3,DB_LIST2!$J:$J)/N_UNIT</f>
        <v>0</v>
      </c>
      <c r="AB34" s="87">
        <f>SUMIF(DB_LIST2!$A:$A,$B34&amp;AB$2&amp;AB$3,DB_LIST2!$J:$J)/N_UNIT</f>
        <v>0</v>
      </c>
      <c r="AC34" s="87">
        <f>SUMIF(DB_LIST2!$A:$A,$B34&amp;AC$2&amp;AC$3,DB_LIST2!$J:$J)/N_UNIT</f>
        <v>0</v>
      </c>
      <c r="AD34" s="87">
        <f>SUMIF(DB_LIST2!$A:$A,$B34&amp;AD$2&amp;AD$3,DB_LIST2!$J:$J)/N_UNIT</f>
        <v>0</v>
      </c>
      <c r="AE34" s="87">
        <f>SUMIF(DB_LIST2!$A:$A,$B34&amp;AE$2&amp;AE$3,DB_LIST2!$J:$J)/N_UNIT</f>
        <v>0</v>
      </c>
      <c r="AF34" s="87">
        <f>SUMIF(DB_LIST2!$A:$A,$B34&amp;AF$2&amp;AF$3,DB_LIST2!$J:$J)/N_UNIT</f>
        <v>0</v>
      </c>
      <c r="AG34" s="100">
        <f>AF34-SUMIF(DB_LIST1!$A:$A,$A34&amp;AG$2&amp;AG$3,DB_LIST1!$J:$J)/N_UNIT</f>
        <v>0</v>
      </c>
      <c r="AH34" s="89">
        <f>AF34-X34</f>
        <v>0</v>
      </c>
    </row>
    <row r="35" spans="1:34" ht="17.25" customHeight="1">
      <c r="A35" t="str">
        <f t="shared" si="13"/>
        <v>매출(프로젝트)</v>
      </c>
      <c r="B35" t="str">
        <f t="shared" si="14"/>
        <v>매출(프로젝트)</v>
      </c>
      <c r="C35"/>
      <c r="D35" s="30"/>
      <c r="E35" s="30"/>
      <c r="F35" s="30" t="s">
        <v>165</v>
      </c>
      <c r="G35" s="30">
        <v>0</v>
      </c>
      <c r="I35" s="90"/>
      <c r="J35" s="91" t="str">
        <f t="shared" ref="J35" si="38">IF($D35="","","매출(프로젝트)")</f>
        <v/>
      </c>
      <c r="K35" s="92">
        <f>SUMIF(DB_LIST1!$A:$A,$A35&amp;K$2&amp;K$3,DB_LIST1!$J:$J)/N_UNIT</f>
        <v>0</v>
      </c>
      <c r="L35" s="92">
        <f>SUMIF(DB_LIST1!$A:$A,$A35&amp;L$2&amp;L$3,DB_LIST1!$J:$J)/N_UNIT</f>
        <v>0</v>
      </c>
      <c r="M35" s="92">
        <f>SUMIF(DB_LIST1!$A:$A,$A35&amp;M$2&amp;M$3,DB_LIST1!$J:$J)/N_UNIT</f>
        <v>0</v>
      </c>
      <c r="N35" s="92">
        <f>SUMIF(DB_LIST1!$A:$A,$A35&amp;N$2&amp;N$3,DB_LIST1!$J:$J)/N_UNIT</f>
        <v>0</v>
      </c>
      <c r="O35" s="92">
        <f>SUMIF(DB_LIST1!$A:$A,$A35&amp;O$2&amp;O$3,DB_LIST1!$J:$J)/N_UNIT</f>
        <v>0</v>
      </c>
      <c r="P35" s="92">
        <f>SUMIF(DB_LIST1!$A:$A,$A35&amp;P$2&amp;P$3,DB_LIST1!$J:$J)/N_UNIT</f>
        <v>0</v>
      </c>
      <c r="Q35" s="92">
        <f>SUMIF(DB_LIST1!$A:$A,$A35&amp;Q$2&amp;Q$3,DB_LIST1!$J:$J)/N_UNIT</f>
        <v>0</v>
      </c>
      <c r="R35" s="92">
        <f>SUMIF(DB_LIST1!$A:$A,$A35&amp;R$2&amp;R$3,DB_LIST1!$J:$J)/N_UNIT</f>
        <v>0</v>
      </c>
      <c r="S35" s="92">
        <f>SUMIF(DB_LIST1!$A:$A,$A35&amp;S$2&amp;S$3,DB_LIST1!$J:$J)/N_UNIT</f>
        <v>0</v>
      </c>
      <c r="T35" s="101">
        <f>S35-SUMIF(DB_LIST1!$A:$A,$A35&amp;T$2&amp;T$3,DB_LIST1!$J:$J)/N_UNIT</f>
        <v>0</v>
      </c>
      <c r="U35" s="101"/>
      <c r="V35" s="90"/>
      <c r="W35" s="91" t="str">
        <f t="shared" ref="W35" si="39">IF($D35="","","매출(프로젝트)")</f>
        <v/>
      </c>
      <c r="X35" s="92">
        <f>SUMIF(DB_LIST2!$A:$A,$B35&amp;X$2&amp;X$3,DB_LIST2!$J:$J)/N_UNIT</f>
        <v>0</v>
      </c>
      <c r="Y35" s="92">
        <f>SUMIF(DB_LIST2!$A:$A,$B35&amp;Y$2&amp;Y$3,DB_LIST2!$J:$J)/N_UNIT</f>
        <v>0</v>
      </c>
      <c r="Z35" s="92">
        <f>SUMIF(DB_LIST2!$A:$A,$B35&amp;Z$2&amp;Z$3,DB_LIST2!$J:$J)/N_UNIT</f>
        <v>0</v>
      </c>
      <c r="AA35" s="92">
        <f>SUMIF(DB_LIST2!$A:$A,$B35&amp;AA$2&amp;AA$3,DB_LIST2!$J:$J)/N_UNIT</f>
        <v>0</v>
      </c>
      <c r="AB35" s="92">
        <f>SUMIF(DB_LIST2!$A:$A,$B35&amp;AB$2&amp;AB$3,DB_LIST2!$J:$J)/N_UNIT</f>
        <v>0</v>
      </c>
      <c r="AC35" s="92">
        <f>SUMIF(DB_LIST2!$A:$A,$B35&amp;AC$2&amp;AC$3,DB_LIST2!$J:$J)/N_UNIT</f>
        <v>0</v>
      </c>
      <c r="AD35" s="92">
        <f>SUMIF(DB_LIST2!$A:$A,$B35&amp;AD$2&amp;AD$3,DB_LIST2!$J:$J)/N_UNIT</f>
        <v>0</v>
      </c>
      <c r="AE35" s="92">
        <f>SUMIF(DB_LIST2!$A:$A,$B35&amp;AE$2&amp;AE$3,DB_LIST2!$J:$J)/N_UNIT</f>
        <v>0</v>
      </c>
      <c r="AF35" s="92">
        <f>SUMIF(DB_LIST2!$A:$A,$B35&amp;AF$2&amp;AF$3,DB_LIST2!$J:$J)/N_UNIT</f>
        <v>0</v>
      </c>
      <c r="AG35" s="101">
        <f>AF35-SUMIF(DB_LIST1!$A:$A,$A35&amp;AG$2&amp;AG$3,DB_LIST1!$J:$J)/N_UNIT</f>
        <v>0</v>
      </c>
      <c r="AH35" s="101"/>
    </row>
    <row r="36" spans="1:34" ht="17.25" customHeight="1">
      <c r="A36" t="str">
        <f t="shared" si="13"/>
        <v>매출(전체)</v>
      </c>
      <c r="B36" t="str">
        <f t="shared" si="14"/>
        <v>매출(전체)</v>
      </c>
      <c r="C36"/>
      <c r="D36" s="30"/>
      <c r="E36" s="30"/>
      <c r="F36" s="30" t="s">
        <v>164</v>
      </c>
      <c r="G36" s="30">
        <v>0</v>
      </c>
      <c r="I36" s="90"/>
      <c r="J36" s="94" t="str">
        <f t="shared" ref="J36" si="40">IF($D36="","","매출(전체)")</f>
        <v/>
      </c>
      <c r="K36" s="95">
        <f>SUMIF(DB_LIST1!$A:$A,$A36&amp;K$2&amp;K$3,DB_LIST1!$J:$J)/N_UNIT</f>
        <v>0</v>
      </c>
      <c r="L36" s="95">
        <f>SUMIF(DB_LIST1!$A:$A,$A36&amp;L$2&amp;L$3,DB_LIST1!$J:$J)/N_UNIT</f>
        <v>0</v>
      </c>
      <c r="M36" s="95">
        <f>SUMIF(DB_LIST1!$A:$A,$A36&amp;M$2&amp;M$3,DB_LIST1!$J:$J)/N_UNIT</f>
        <v>0</v>
      </c>
      <c r="N36" s="95">
        <f>SUMIF(DB_LIST1!$A:$A,$A36&amp;N$2&amp;N$3,DB_LIST1!$J:$J)/N_UNIT</f>
        <v>0</v>
      </c>
      <c r="O36" s="95">
        <f>SUMIF(DB_LIST1!$A:$A,$A36&amp;O$2&amp;O$3,DB_LIST1!$J:$J)/N_UNIT</f>
        <v>0</v>
      </c>
      <c r="P36" s="95">
        <f>SUMIF(DB_LIST1!$A:$A,$A36&amp;P$2&amp;P$3,DB_LIST1!$J:$J)/N_UNIT</f>
        <v>0</v>
      </c>
      <c r="Q36" s="95">
        <f>SUMIF(DB_LIST1!$A:$A,$A36&amp;Q$2&amp;Q$3,DB_LIST1!$J:$J)/N_UNIT</f>
        <v>0</v>
      </c>
      <c r="R36" s="95">
        <f>SUMIF(DB_LIST1!$A:$A,$A36&amp;R$2&amp;R$3,DB_LIST1!$J:$J)/N_UNIT</f>
        <v>0</v>
      </c>
      <c r="S36" s="95">
        <f>SUMIF(DB_LIST1!$A:$A,$A36&amp;S$2&amp;S$3,DB_LIST1!$J:$J)/N_UNIT</f>
        <v>0</v>
      </c>
      <c r="T36" s="100">
        <f>S36-SUMIF(DB_LIST1!$A:$A,$A36&amp;T$2&amp;T$3,DB_LIST1!$J:$J)/N_UNIT</f>
        <v>0</v>
      </c>
      <c r="U36" s="100"/>
      <c r="V36" s="90"/>
      <c r="W36" s="94" t="str">
        <f t="shared" ref="W36" si="41">IF($D36="","","매출(전체)")</f>
        <v/>
      </c>
      <c r="X36" s="95">
        <f>SUMIF(DB_LIST2!$A:$A,$B36&amp;X$2&amp;X$3,DB_LIST2!$J:$J)/N_UNIT</f>
        <v>0</v>
      </c>
      <c r="Y36" s="95">
        <f>SUMIF(DB_LIST2!$A:$A,$B36&amp;Y$2&amp;Y$3,DB_LIST2!$J:$J)/N_UNIT</f>
        <v>0</v>
      </c>
      <c r="Z36" s="95">
        <f>SUMIF(DB_LIST2!$A:$A,$B36&amp;Z$2&amp;Z$3,DB_LIST2!$J:$J)/N_UNIT</f>
        <v>0</v>
      </c>
      <c r="AA36" s="95">
        <f>SUMIF(DB_LIST2!$A:$A,$B36&amp;AA$2&amp;AA$3,DB_LIST2!$J:$J)/N_UNIT</f>
        <v>0</v>
      </c>
      <c r="AB36" s="95">
        <f>SUMIF(DB_LIST2!$A:$A,$B36&amp;AB$2&amp;AB$3,DB_LIST2!$J:$J)/N_UNIT</f>
        <v>0</v>
      </c>
      <c r="AC36" s="95">
        <f>SUMIF(DB_LIST2!$A:$A,$B36&amp;AC$2&amp;AC$3,DB_LIST2!$J:$J)/N_UNIT</f>
        <v>0</v>
      </c>
      <c r="AD36" s="95">
        <f>SUMIF(DB_LIST2!$A:$A,$B36&amp;AD$2&amp;AD$3,DB_LIST2!$J:$J)/N_UNIT</f>
        <v>0</v>
      </c>
      <c r="AE36" s="95">
        <f>SUMIF(DB_LIST2!$A:$A,$B36&amp;AE$2&amp;AE$3,DB_LIST2!$J:$J)/N_UNIT</f>
        <v>0</v>
      </c>
      <c r="AF36" s="95">
        <f>SUMIF(DB_LIST2!$A:$A,$B36&amp;AF$2&amp;AF$3,DB_LIST2!$J:$J)/N_UNIT</f>
        <v>0</v>
      </c>
      <c r="AG36" s="100">
        <f>AF36-SUMIF(DB_LIST1!$A:$A,$A36&amp;AG$2&amp;AG$3,DB_LIST1!$J:$J)/N_UNIT</f>
        <v>0</v>
      </c>
      <c r="AH36" s="100"/>
    </row>
    <row r="37" spans="1:34" ht="17.25" customHeight="1">
      <c r="A37" t="str">
        <f t="shared" si="13"/>
        <v/>
      </c>
      <c r="B37" t="str">
        <f t="shared" si="14"/>
        <v/>
      </c>
      <c r="C37"/>
      <c r="D37" s="30"/>
      <c r="E37" s="30"/>
      <c r="F37" s="30"/>
      <c r="G37" s="30">
        <v>0</v>
      </c>
      <c r="I37" s="102"/>
      <c r="J37" s="103"/>
      <c r="K37" s="104">
        <f>SUMIF(DB_LIST1!$A:$A,$A37&amp;K$2&amp;K$3,DB_LIST1!$J:$J)/N_UNIT</f>
        <v>0</v>
      </c>
      <c r="L37" s="104">
        <f>SUMIF(DB_LIST1!$A:$A,$A37&amp;L$2&amp;L$3,DB_LIST1!$J:$J)/N_UNIT</f>
        <v>0</v>
      </c>
      <c r="M37" s="104">
        <f>SUMIF(DB_LIST1!$A:$A,$A37&amp;M$2&amp;M$3,DB_LIST1!$J:$J)/N_UNIT</f>
        <v>0</v>
      </c>
      <c r="N37" s="104">
        <f>SUMIF(DB_LIST1!$A:$A,$A37&amp;N$2&amp;N$3,DB_LIST1!$J:$J)/N_UNIT</f>
        <v>0</v>
      </c>
      <c r="O37" s="104">
        <f>SUMIF(DB_LIST1!$A:$A,$A37&amp;O$2&amp;O$3,DB_LIST1!$J:$J)/N_UNIT</f>
        <v>0</v>
      </c>
      <c r="P37" s="104">
        <f>SUMIF(DB_LIST1!$A:$A,$A37&amp;P$2&amp;P$3,DB_LIST1!$J:$J)/N_UNIT</f>
        <v>0</v>
      </c>
      <c r="Q37" s="104">
        <f>SUMIF(DB_LIST1!$A:$A,$A37&amp;Q$2&amp;Q$3,DB_LIST1!$J:$J)/N_UNIT</f>
        <v>0</v>
      </c>
      <c r="R37" s="104">
        <f>SUMIF(DB_LIST1!$A:$A,$A37&amp;R$2&amp;R$3,DB_LIST1!$J:$J)/N_UNIT</f>
        <v>0</v>
      </c>
      <c r="S37" s="104">
        <f>SUMIF(DB_LIST1!$A:$A,$A37&amp;S$2&amp;S$3,DB_LIST1!$J:$J)/N_UNIT</f>
        <v>0</v>
      </c>
      <c r="T37" s="88">
        <f>S37-SUMIF(DB_LIST1!$A:$A,$A37&amp;T$2&amp;T$3,DB_LIST1!$J:$J)/N_UNIT</f>
        <v>0</v>
      </c>
      <c r="U37" s="88"/>
      <c r="V37" s="102"/>
      <c r="W37" s="103"/>
      <c r="X37" s="104">
        <f>SUMIF(DB_LIST2!$A:$A,$B37&amp;X$2&amp;X$3,DB_LIST2!$J:$J)/N_UNIT</f>
        <v>0</v>
      </c>
      <c r="Y37" s="104">
        <f>SUMIF(DB_LIST2!$A:$A,$B37&amp;Y$2&amp;Y$3,DB_LIST2!$J:$J)/N_UNIT</f>
        <v>0</v>
      </c>
      <c r="Z37" s="104">
        <f>SUMIF(DB_LIST2!$A:$A,$B37&amp;Z$2&amp;Z$3,DB_LIST2!$J:$J)/N_UNIT</f>
        <v>0</v>
      </c>
      <c r="AA37" s="104">
        <f>SUMIF(DB_LIST2!$A:$A,$B37&amp;AA$2&amp;AA$3,DB_LIST2!$J:$J)/N_UNIT</f>
        <v>0</v>
      </c>
      <c r="AB37" s="104">
        <f>SUMIF(DB_LIST2!$A:$A,$B37&amp;AB$2&amp;AB$3,DB_LIST2!$J:$J)/N_UNIT</f>
        <v>0</v>
      </c>
      <c r="AC37" s="104">
        <f>SUMIF(DB_LIST2!$A:$A,$B37&amp;AC$2&amp;AC$3,DB_LIST2!$J:$J)/N_UNIT</f>
        <v>0</v>
      </c>
      <c r="AD37" s="104">
        <f>SUMIF(DB_LIST2!$A:$A,$B37&amp;AD$2&amp;AD$3,DB_LIST2!$J:$J)/N_UNIT</f>
        <v>0</v>
      </c>
      <c r="AE37" s="104">
        <f>SUMIF(DB_LIST2!$A:$A,$B37&amp;AE$2&amp;AE$3,DB_LIST2!$J:$J)/N_UNIT</f>
        <v>0</v>
      </c>
      <c r="AF37" s="104">
        <f>SUMIF(DB_LIST2!$A:$A,$B37&amp;AF$2&amp;AF$3,DB_LIST2!$J:$J)/N_UNIT</f>
        <v>0</v>
      </c>
      <c r="AG37" s="88">
        <f>AF37-SUMIF(DB_LIST1!$A:$A,$A37&amp;AG$2&amp;AG$3,DB_LIST1!$J:$J)/N_UNIT</f>
        <v>0</v>
      </c>
      <c r="AH37" s="88"/>
    </row>
    <row r="38" spans="1:34" ht="17.25" customHeight="1">
      <c r="A38" t="str">
        <f t="shared" si="13"/>
        <v>수주잔고</v>
      </c>
      <c r="B38" t="str">
        <f t="shared" si="14"/>
        <v>수주잔고</v>
      </c>
      <c r="C38"/>
      <c r="D38" s="30"/>
      <c r="E38" s="30"/>
      <c r="F38" s="30" t="s">
        <v>163</v>
      </c>
      <c r="G38" s="30">
        <v>0</v>
      </c>
      <c r="I38" s="90"/>
      <c r="J38" s="86" t="str">
        <f t="shared" ref="J38" si="42">IF($D38="","","수주잔고")</f>
        <v/>
      </c>
      <c r="K38" s="87">
        <f>SUMIF(DB_LIST1!$A:$A,$A38&amp;K$2&amp;K$3,DB_LIST1!$J:$J)/N_UNIT</f>
        <v>0</v>
      </c>
      <c r="L38" s="87">
        <f>SUMIF(DB_LIST1!$A:$A,$A38&amp;L$2&amp;L$3,DB_LIST1!$J:$J)/N_UNIT</f>
        <v>0</v>
      </c>
      <c r="M38" s="87">
        <f>SUMIF(DB_LIST1!$A:$A,$A38&amp;M$2&amp;M$3,DB_LIST1!$J:$J)/N_UNIT</f>
        <v>0</v>
      </c>
      <c r="N38" s="87">
        <f>SUMIF(DB_LIST1!$A:$A,$A38&amp;N$2&amp;N$3,DB_LIST1!$J:$J)/N_UNIT</f>
        <v>0</v>
      </c>
      <c r="O38" s="87">
        <f>SUMIF(DB_LIST1!$A:$A,$A38&amp;O$2&amp;O$3,DB_LIST1!$J:$J)/N_UNIT</f>
        <v>0</v>
      </c>
      <c r="P38" s="87">
        <f>SUMIF(DB_LIST1!$A:$A,$A38&amp;P$2&amp;P$3,DB_LIST1!$J:$J)/N_UNIT</f>
        <v>0</v>
      </c>
      <c r="Q38" s="87">
        <f>SUMIF(DB_LIST1!$A:$A,$A38&amp;Q$2&amp;Q$3,DB_LIST1!$J:$J)/N_UNIT</f>
        <v>0</v>
      </c>
      <c r="R38" s="87">
        <f>SUMIF(DB_LIST1!$A:$A,$A38&amp;R$2&amp;R$3,DB_LIST1!$J:$J)/N_UNIT</f>
        <v>0</v>
      </c>
      <c r="S38" s="87">
        <f>SUMIF(DB_LIST1!$A:$A,$A38&amp;S$2&amp;S$3,DB_LIST1!$J:$J)/N_UNIT</f>
        <v>0</v>
      </c>
      <c r="T38" s="100">
        <f>S38-SUMIF(DB_LIST1!$A:$A,$A38&amp;T$2&amp;T$3,DB_LIST1!$J:$J)/N_UNIT</f>
        <v>0</v>
      </c>
      <c r="U38" s="89">
        <f>S38-K38</f>
        <v>0</v>
      </c>
      <c r="V38" s="90"/>
      <c r="W38" s="86" t="str">
        <f t="shared" ref="W38" si="43">IF($D38="","","수주잔고")</f>
        <v/>
      </c>
      <c r="X38" s="87">
        <f>SUMIF(DB_LIST2!$A:$A,$B38&amp;X$2&amp;X$3,DB_LIST2!$J:$J)/N_UNIT</f>
        <v>0</v>
      </c>
      <c r="Y38" s="87">
        <f>SUMIF(DB_LIST2!$A:$A,$B38&amp;Y$2&amp;Y$3,DB_LIST2!$J:$J)/N_UNIT</f>
        <v>0</v>
      </c>
      <c r="Z38" s="87">
        <f>SUMIF(DB_LIST2!$A:$A,$B38&amp;Z$2&amp;Z$3,DB_LIST2!$J:$J)/N_UNIT</f>
        <v>0</v>
      </c>
      <c r="AA38" s="87">
        <f>SUMIF(DB_LIST2!$A:$A,$B38&amp;AA$2&amp;AA$3,DB_LIST2!$J:$J)/N_UNIT</f>
        <v>0</v>
      </c>
      <c r="AB38" s="87">
        <f>SUMIF(DB_LIST2!$A:$A,$B38&amp;AB$2&amp;AB$3,DB_LIST2!$J:$J)/N_UNIT</f>
        <v>0</v>
      </c>
      <c r="AC38" s="87">
        <f>SUMIF(DB_LIST2!$A:$A,$B38&amp;AC$2&amp;AC$3,DB_LIST2!$J:$J)/N_UNIT</f>
        <v>0</v>
      </c>
      <c r="AD38" s="87">
        <f>SUMIF(DB_LIST2!$A:$A,$B38&amp;AD$2&amp;AD$3,DB_LIST2!$J:$J)/N_UNIT</f>
        <v>0</v>
      </c>
      <c r="AE38" s="87">
        <f>SUMIF(DB_LIST2!$A:$A,$B38&amp;AE$2&amp;AE$3,DB_LIST2!$J:$J)/N_UNIT</f>
        <v>0</v>
      </c>
      <c r="AF38" s="87">
        <f>SUMIF(DB_LIST2!$A:$A,$B38&amp;AF$2&amp;AF$3,DB_LIST2!$J:$J)/N_UNIT</f>
        <v>0</v>
      </c>
      <c r="AG38" s="100">
        <f>AF38-SUMIF(DB_LIST1!$A:$A,$A38&amp;AG$2&amp;AG$3,DB_LIST1!$J:$J)/N_UNIT</f>
        <v>0</v>
      </c>
      <c r="AH38" s="89">
        <f>AF38-X38</f>
        <v>0</v>
      </c>
    </row>
    <row r="39" spans="1:34" ht="17.25" customHeight="1">
      <c r="A39" t="str">
        <f t="shared" si="13"/>
        <v>매출(프로젝트)</v>
      </c>
      <c r="B39" t="str">
        <f t="shared" si="14"/>
        <v>매출(프로젝트)</v>
      </c>
      <c r="C39"/>
      <c r="D39" s="30"/>
      <c r="E39" s="30"/>
      <c r="F39" s="30" t="s">
        <v>165</v>
      </c>
      <c r="G39" s="30">
        <v>0</v>
      </c>
      <c r="I39" s="90"/>
      <c r="J39" s="91" t="str">
        <f t="shared" ref="J39" si="44">IF($D39="","","매출(프로젝트)")</f>
        <v/>
      </c>
      <c r="K39" s="92">
        <f>SUMIF(DB_LIST1!$A:$A,$A39&amp;K$2&amp;K$3,DB_LIST1!$J:$J)/N_UNIT</f>
        <v>0</v>
      </c>
      <c r="L39" s="92">
        <f>SUMIF(DB_LIST1!$A:$A,$A39&amp;L$2&amp;L$3,DB_LIST1!$J:$J)/N_UNIT</f>
        <v>0</v>
      </c>
      <c r="M39" s="92">
        <f>SUMIF(DB_LIST1!$A:$A,$A39&amp;M$2&amp;M$3,DB_LIST1!$J:$J)/N_UNIT</f>
        <v>0</v>
      </c>
      <c r="N39" s="92">
        <f>SUMIF(DB_LIST1!$A:$A,$A39&amp;N$2&amp;N$3,DB_LIST1!$J:$J)/N_UNIT</f>
        <v>0</v>
      </c>
      <c r="O39" s="92">
        <f>SUMIF(DB_LIST1!$A:$A,$A39&amp;O$2&amp;O$3,DB_LIST1!$J:$J)/N_UNIT</f>
        <v>0</v>
      </c>
      <c r="P39" s="92">
        <f>SUMIF(DB_LIST1!$A:$A,$A39&amp;P$2&amp;P$3,DB_LIST1!$J:$J)/N_UNIT</f>
        <v>0</v>
      </c>
      <c r="Q39" s="92">
        <f>SUMIF(DB_LIST1!$A:$A,$A39&amp;Q$2&amp;Q$3,DB_LIST1!$J:$J)/N_UNIT</f>
        <v>0</v>
      </c>
      <c r="R39" s="92">
        <f>SUMIF(DB_LIST1!$A:$A,$A39&amp;R$2&amp;R$3,DB_LIST1!$J:$J)/N_UNIT</f>
        <v>0</v>
      </c>
      <c r="S39" s="92">
        <f>SUMIF(DB_LIST1!$A:$A,$A39&amp;S$2&amp;S$3,DB_LIST1!$J:$J)/N_UNIT</f>
        <v>0</v>
      </c>
      <c r="T39" s="101">
        <f>S39-SUMIF(DB_LIST1!$A:$A,$A39&amp;T$2&amp;T$3,DB_LIST1!$J:$J)/N_UNIT</f>
        <v>0</v>
      </c>
      <c r="U39" s="101"/>
      <c r="V39" s="90"/>
      <c r="W39" s="91" t="str">
        <f t="shared" ref="W39" si="45">IF($D39="","","매출(프로젝트)")</f>
        <v/>
      </c>
      <c r="X39" s="92">
        <f>SUMIF(DB_LIST2!$A:$A,$B39&amp;X$2&amp;X$3,DB_LIST2!$J:$J)/N_UNIT</f>
        <v>0</v>
      </c>
      <c r="Y39" s="92">
        <f>SUMIF(DB_LIST2!$A:$A,$B39&amp;Y$2&amp;Y$3,DB_LIST2!$J:$J)/N_UNIT</f>
        <v>0</v>
      </c>
      <c r="Z39" s="92">
        <f>SUMIF(DB_LIST2!$A:$A,$B39&amp;Z$2&amp;Z$3,DB_LIST2!$J:$J)/N_UNIT</f>
        <v>0</v>
      </c>
      <c r="AA39" s="92">
        <f>SUMIF(DB_LIST2!$A:$A,$B39&amp;AA$2&amp;AA$3,DB_LIST2!$J:$J)/N_UNIT</f>
        <v>0</v>
      </c>
      <c r="AB39" s="92">
        <f>SUMIF(DB_LIST2!$A:$A,$B39&amp;AB$2&amp;AB$3,DB_LIST2!$J:$J)/N_UNIT</f>
        <v>0</v>
      </c>
      <c r="AC39" s="92">
        <f>SUMIF(DB_LIST2!$A:$A,$B39&amp;AC$2&amp;AC$3,DB_LIST2!$J:$J)/N_UNIT</f>
        <v>0</v>
      </c>
      <c r="AD39" s="92">
        <f>SUMIF(DB_LIST2!$A:$A,$B39&amp;AD$2&amp;AD$3,DB_LIST2!$J:$J)/N_UNIT</f>
        <v>0</v>
      </c>
      <c r="AE39" s="92">
        <f>SUMIF(DB_LIST2!$A:$A,$B39&amp;AE$2&amp;AE$3,DB_LIST2!$J:$J)/N_UNIT</f>
        <v>0</v>
      </c>
      <c r="AF39" s="92">
        <f>SUMIF(DB_LIST2!$A:$A,$B39&amp;AF$2&amp;AF$3,DB_LIST2!$J:$J)/N_UNIT</f>
        <v>0</v>
      </c>
      <c r="AG39" s="101">
        <f>AF39-SUMIF(DB_LIST1!$A:$A,$A39&amp;AG$2&amp;AG$3,DB_LIST1!$J:$J)/N_UNIT</f>
        <v>0</v>
      </c>
      <c r="AH39" s="101"/>
    </row>
    <row r="40" spans="1:34" ht="17.25" customHeight="1">
      <c r="A40" t="str">
        <f t="shared" si="13"/>
        <v>매출(전체)</v>
      </c>
      <c r="B40" t="str">
        <f t="shared" si="14"/>
        <v>매출(전체)</v>
      </c>
      <c r="C40"/>
      <c r="D40" s="30"/>
      <c r="E40" s="30"/>
      <c r="F40" s="30" t="s">
        <v>164</v>
      </c>
      <c r="G40" s="30">
        <v>0</v>
      </c>
      <c r="I40" s="90"/>
      <c r="J40" s="94" t="str">
        <f t="shared" ref="J40" si="46">IF($D40="","","매출(전체)")</f>
        <v/>
      </c>
      <c r="K40" s="95">
        <f>SUMIF(DB_LIST1!$A:$A,$A40&amp;K$2&amp;K$3,DB_LIST1!$J:$J)/N_UNIT</f>
        <v>0</v>
      </c>
      <c r="L40" s="95">
        <f>SUMIF(DB_LIST1!$A:$A,$A40&amp;L$2&amp;L$3,DB_LIST1!$J:$J)/N_UNIT</f>
        <v>0</v>
      </c>
      <c r="M40" s="95">
        <f>SUMIF(DB_LIST1!$A:$A,$A40&amp;M$2&amp;M$3,DB_LIST1!$J:$J)/N_UNIT</f>
        <v>0</v>
      </c>
      <c r="N40" s="95">
        <f>SUMIF(DB_LIST1!$A:$A,$A40&amp;N$2&amp;N$3,DB_LIST1!$J:$J)/N_UNIT</f>
        <v>0</v>
      </c>
      <c r="O40" s="95">
        <f>SUMIF(DB_LIST1!$A:$A,$A40&amp;O$2&amp;O$3,DB_LIST1!$J:$J)/N_UNIT</f>
        <v>0</v>
      </c>
      <c r="P40" s="95">
        <f>SUMIF(DB_LIST1!$A:$A,$A40&amp;P$2&amp;P$3,DB_LIST1!$J:$J)/N_UNIT</f>
        <v>0</v>
      </c>
      <c r="Q40" s="95">
        <f>SUMIF(DB_LIST1!$A:$A,$A40&amp;Q$2&amp;Q$3,DB_LIST1!$J:$J)/N_UNIT</f>
        <v>0</v>
      </c>
      <c r="R40" s="95">
        <f>SUMIF(DB_LIST1!$A:$A,$A40&amp;R$2&amp;R$3,DB_LIST1!$J:$J)/N_UNIT</f>
        <v>0</v>
      </c>
      <c r="S40" s="95">
        <f>SUMIF(DB_LIST1!$A:$A,$A40&amp;S$2&amp;S$3,DB_LIST1!$J:$J)/N_UNIT</f>
        <v>0</v>
      </c>
      <c r="T40" s="100">
        <f>S40-SUMIF(DB_LIST1!$A:$A,$A40&amp;T$2&amp;T$3,DB_LIST1!$J:$J)/N_UNIT</f>
        <v>0</v>
      </c>
      <c r="U40" s="100"/>
      <c r="V40" s="90"/>
      <c r="W40" s="94" t="str">
        <f t="shared" ref="W40" si="47">IF($D40="","","매출(전체)")</f>
        <v/>
      </c>
      <c r="X40" s="95">
        <f>SUMIF(DB_LIST2!$A:$A,$B40&amp;X$2&amp;X$3,DB_LIST2!$J:$J)/N_UNIT</f>
        <v>0</v>
      </c>
      <c r="Y40" s="95">
        <f>SUMIF(DB_LIST2!$A:$A,$B40&amp;Y$2&amp;Y$3,DB_LIST2!$J:$J)/N_UNIT</f>
        <v>0</v>
      </c>
      <c r="Z40" s="95">
        <f>SUMIF(DB_LIST2!$A:$A,$B40&amp;Z$2&amp;Z$3,DB_LIST2!$J:$J)/N_UNIT</f>
        <v>0</v>
      </c>
      <c r="AA40" s="95">
        <f>SUMIF(DB_LIST2!$A:$A,$B40&amp;AA$2&amp;AA$3,DB_LIST2!$J:$J)/N_UNIT</f>
        <v>0</v>
      </c>
      <c r="AB40" s="95">
        <f>SUMIF(DB_LIST2!$A:$A,$B40&amp;AB$2&amp;AB$3,DB_LIST2!$J:$J)/N_UNIT</f>
        <v>0</v>
      </c>
      <c r="AC40" s="95">
        <f>SUMIF(DB_LIST2!$A:$A,$B40&amp;AC$2&amp;AC$3,DB_LIST2!$J:$J)/N_UNIT</f>
        <v>0</v>
      </c>
      <c r="AD40" s="95">
        <f>SUMIF(DB_LIST2!$A:$A,$B40&amp;AD$2&amp;AD$3,DB_LIST2!$J:$J)/N_UNIT</f>
        <v>0</v>
      </c>
      <c r="AE40" s="95">
        <f>SUMIF(DB_LIST2!$A:$A,$B40&amp;AE$2&amp;AE$3,DB_LIST2!$J:$J)/N_UNIT</f>
        <v>0</v>
      </c>
      <c r="AF40" s="95">
        <f>SUMIF(DB_LIST2!$A:$A,$B40&amp;AF$2&amp;AF$3,DB_LIST2!$J:$J)/N_UNIT</f>
        <v>0</v>
      </c>
      <c r="AG40" s="100">
        <f>AF40-SUMIF(DB_LIST1!$A:$A,$A40&amp;AG$2&amp;AG$3,DB_LIST1!$J:$J)/N_UNIT</f>
        <v>0</v>
      </c>
      <c r="AH40" s="100"/>
    </row>
    <row r="41" spans="1:34" ht="17.25" customHeight="1">
      <c r="A41" t="str">
        <f>TRIM(C41)&amp;TRIM(D41)&amp;TRIM(F41)</f>
        <v/>
      </c>
      <c r="B41" t="str">
        <f t="shared" si="14"/>
        <v/>
      </c>
      <c r="C41"/>
      <c r="D41" s="30"/>
      <c r="E41" s="30"/>
      <c r="F41" s="30"/>
      <c r="G41" s="30">
        <v>0</v>
      </c>
      <c r="I41" s="96"/>
      <c r="J41" s="103"/>
      <c r="K41" s="98">
        <f>SUMIF(DB_LIST1!$A:$A,$A41&amp;K$2&amp;K$3,DB_LIST1!$J:$J)/N_UNIT</f>
        <v>0</v>
      </c>
      <c r="L41" s="98">
        <f>SUMIF(DB_LIST1!$A:$A,$A41&amp;L$2&amp;L$3,DB_LIST1!$J:$J)/N_UNIT</f>
        <v>0</v>
      </c>
      <c r="M41" s="98">
        <f>SUMIF(DB_LIST1!$A:$A,$A41&amp;M$2&amp;M$3,DB_LIST1!$J:$J)/N_UNIT</f>
        <v>0</v>
      </c>
      <c r="N41" s="98">
        <f>SUMIF(DB_LIST1!$A:$A,$A41&amp;N$2&amp;N$3,DB_LIST1!$J:$J)/N_UNIT</f>
        <v>0</v>
      </c>
      <c r="O41" s="98">
        <f>SUMIF(DB_LIST1!$A:$A,$A41&amp;O$2&amp;O$3,DB_LIST1!$J:$J)/N_UNIT</f>
        <v>0</v>
      </c>
      <c r="P41" s="98">
        <f>SUMIF(DB_LIST1!$A:$A,$A41&amp;P$2&amp;P$3,DB_LIST1!$J:$J)/N_UNIT</f>
        <v>0</v>
      </c>
      <c r="Q41" s="98">
        <f>SUMIF(DB_LIST1!$A:$A,$A41&amp;Q$2&amp;Q$3,DB_LIST1!$J:$J)/N_UNIT</f>
        <v>0</v>
      </c>
      <c r="R41" s="98">
        <f>SUMIF(DB_LIST1!$A:$A,$A41&amp;R$2&amp;R$3,DB_LIST1!$J:$J)/N_UNIT</f>
        <v>0</v>
      </c>
      <c r="S41" s="98">
        <f>SUMIF(DB_LIST1!$A:$A,$A41&amp;S$2&amp;S$3,DB_LIST1!$J:$J)/N_UNIT</f>
        <v>0</v>
      </c>
      <c r="T41" s="88">
        <f>S41-SUMIF(DB_LIST1!$A:$A,$A41&amp;T$2&amp;T$3,DB_LIST1!$J:$J)/N_UNIT</f>
        <v>0</v>
      </c>
      <c r="U41" s="88"/>
      <c r="V41" s="96"/>
      <c r="W41" s="103"/>
      <c r="X41" s="98">
        <f>SUMIF(DB_LIST2!$A:$A,$B41&amp;X$2&amp;X$3,DB_LIST2!$J:$J)/N_UNIT</f>
        <v>0</v>
      </c>
      <c r="Y41" s="98">
        <f>SUMIF(DB_LIST2!$A:$A,$B41&amp;Y$2&amp;Y$3,DB_LIST2!$J:$J)/N_UNIT</f>
        <v>0</v>
      </c>
      <c r="Z41" s="98">
        <f>SUMIF(DB_LIST2!$A:$A,$B41&amp;Z$2&amp;Z$3,DB_LIST2!$J:$J)/N_UNIT</f>
        <v>0</v>
      </c>
      <c r="AA41" s="98">
        <f>SUMIF(DB_LIST2!$A:$A,$B41&amp;AA$2&amp;AA$3,DB_LIST2!$J:$J)/N_UNIT</f>
        <v>0</v>
      </c>
      <c r="AB41" s="98">
        <f>SUMIF(DB_LIST2!$A:$A,$B41&amp;AB$2&amp;AB$3,DB_LIST2!$J:$J)/N_UNIT</f>
        <v>0</v>
      </c>
      <c r="AC41" s="98">
        <f>SUMIF(DB_LIST2!$A:$A,$B41&amp;AC$2&amp;AC$3,DB_LIST2!$J:$J)/N_UNIT</f>
        <v>0</v>
      </c>
      <c r="AD41" s="98">
        <f>SUMIF(DB_LIST2!$A:$A,$B41&amp;AD$2&amp;AD$3,DB_LIST2!$J:$J)/N_UNIT</f>
        <v>0</v>
      </c>
      <c r="AE41" s="98">
        <f>SUMIF(DB_LIST2!$A:$A,$B41&amp;AE$2&amp;AE$3,DB_LIST2!$J:$J)/N_UNIT</f>
        <v>0</v>
      </c>
      <c r="AF41" s="98">
        <f>SUMIF(DB_LIST2!$A:$A,$B41&amp;AF$2&amp;AF$3,DB_LIST2!$J:$J)/N_UNIT</f>
        <v>0</v>
      </c>
      <c r="AG41" s="88">
        <f>AF41-SUMIF(DB_LIST1!$A:$A,$A41&amp;AG$2&amp;AG$3,DB_LIST1!$J:$J)/N_UNIT</f>
        <v>0</v>
      </c>
      <c r="AH41" s="88"/>
    </row>
    <row r="42" spans="1:34" ht="17.25" customHeight="1">
      <c r="J42" s="53"/>
    </row>
    <row r="43" spans="1:34" ht="17.25" customHeight="1">
      <c r="J43" s="53"/>
    </row>
  </sheetData>
  <mergeCells count="6">
    <mergeCell ref="V7:W8"/>
    <mergeCell ref="U7:U8"/>
    <mergeCell ref="AH7:AH8"/>
    <mergeCell ref="AG7:AG8"/>
    <mergeCell ref="I7:J8"/>
    <mergeCell ref="T7:T8"/>
  </mergeCells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BL472"/>
  <sheetViews>
    <sheetView showGridLines="0" zoomScale="85" zoomScaleNormal="85" workbookViewId="0">
      <pane xSplit="11" ySplit="9" topLeftCell="L10" activePane="bottomRight" state="frozen"/>
      <selection pane="topRight" activeCell="J1" sqref="J1"/>
      <selection pane="bottomLeft" activeCell="A10" sqref="A10"/>
      <selection pane="bottomRight" activeCell="N20" sqref="N20"/>
    </sheetView>
  </sheetViews>
  <sheetFormatPr defaultRowHeight="16.5"/>
  <cols>
    <col min="1" max="1" width="28.125" style="1" customWidth="1"/>
    <col min="2" max="6" width="2.625" hidden="1" customWidth="1"/>
    <col min="7" max="7" width="4.75" customWidth="1"/>
    <col min="8" max="8" width="16.75" customWidth="1"/>
    <col min="9" max="9" width="21.125" customWidth="1"/>
    <col min="10" max="10" width="7.625" customWidth="1"/>
    <col min="11" max="11" width="1.125" customWidth="1"/>
    <col min="36" max="40" width="9.5" bestFit="1" customWidth="1"/>
    <col min="41" max="41" width="10.625" bestFit="1" customWidth="1"/>
    <col min="42" max="47" width="9.125" bestFit="1" customWidth="1"/>
    <col min="48" max="52" width="9.5" bestFit="1" customWidth="1"/>
    <col min="53" max="53" width="10.625" bestFit="1" customWidth="1"/>
    <col min="54" max="59" width="9.125" bestFit="1" customWidth="1"/>
    <col min="60" max="60" width="1.75" customWidth="1"/>
    <col min="61" max="64" width="11" customWidth="1"/>
  </cols>
  <sheetData>
    <row r="1" spans="1:64">
      <c r="C1" s="1"/>
      <c r="E1" s="1"/>
      <c r="G1" s="1"/>
      <c r="I1" s="1"/>
      <c r="K1" s="1"/>
      <c r="M1" s="1"/>
      <c r="O1" s="1"/>
      <c r="Q1" s="1"/>
      <c r="S1" s="1"/>
      <c r="U1" s="1"/>
      <c r="W1" s="1"/>
      <c r="Y1" s="1"/>
      <c r="AA1" s="1"/>
      <c r="AC1" s="1"/>
      <c r="AE1" s="1"/>
      <c r="AG1" s="1"/>
      <c r="AI1" s="1"/>
      <c r="AK1" s="1"/>
      <c r="AM1" s="1"/>
      <c r="AO1" s="1"/>
      <c r="AQ1" s="1"/>
      <c r="AS1" s="1"/>
      <c r="AU1" s="1"/>
      <c r="AW1" s="1"/>
      <c r="AY1" s="1"/>
      <c r="BA1" s="1"/>
      <c r="BC1" s="1"/>
      <c r="BE1" s="1"/>
      <c r="BG1" s="1"/>
      <c r="BI1" s="1"/>
      <c r="BK1" s="1"/>
    </row>
    <row r="5" spans="1:64" ht="17.25" thickBot="1"/>
    <row r="6" spans="1:64">
      <c r="L6" s="12">
        <v>1</v>
      </c>
      <c r="M6" s="13">
        <v>2</v>
      </c>
      <c r="N6" s="13">
        <v>3</v>
      </c>
      <c r="O6" s="13">
        <v>4</v>
      </c>
      <c r="P6" s="13">
        <v>5</v>
      </c>
      <c r="Q6" s="13">
        <v>6</v>
      </c>
      <c r="R6" s="13">
        <v>7</v>
      </c>
      <c r="S6" s="13">
        <v>8</v>
      </c>
      <c r="T6" s="13">
        <v>9</v>
      </c>
      <c r="U6" s="13">
        <v>10</v>
      </c>
      <c r="V6" s="13">
        <v>11</v>
      </c>
      <c r="W6" s="14">
        <v>12</v>
      </c>
      <c r="X6" s="12">
        <v>13</v>
      </c>
      <c r="Y6" s="13">
        <v>14</v>
      </c>
      <c r="Z6" s="13">
        <v>15</v>
      </c>
      <c r="AA6" s="13">
        <v>16</v>
      </c>
      <c r="AB6" s="13">
        <v>17</v>
      </c>
      <c r="AC6" s="13">
        <v>18</v>
      </c>
      <c r="AD6" s="13">
        <v>19</v>
      </c>
      <c r="AE6" s="13">
        <v>20</v>
      </c>
      <c r="AF6" s="13">
        <v>21</v>
      </c>
      <c r="AG6" s="13">
        <v>22</v>
      </c>
      <c r="AH6" s="13">
        <v>23</v>
      </c>
      <c r="AI6" s="14">
        <v>24</v>
      </c>
      <c r="AJ6" s="12">
        <v>25</v>
      </c>
      <c r="AK6" s="13">
        <v>26</v>
      </c>
      <c r="AL6" s="13">
        <v>27</v>
      </c>
      <c r="AM6" s="13">
        <v>28</v>
      </c>
      <c r="AN6" s="13">
        <v>29</v>
      </c>
      <c r="AO6" s="13">
        <v>30</v>
      </c>
      <c r="AP6" s="13">
        <v>31</v>
      </c>
      <c r="AQ6" s="13">
        <v>32</v>
      </c>
      <c r="AR6" s="13">
        <v>33</v>
      </c>
      <c r="AS6" s="13">
        <v>34</v>
      </c>
      <c r="AT6" s="13">
        <v>35</v>
      </c>
      <c r="AU6" s="14">
        <v>36</v>
      </c>
      <c r="AV6" s="12">
        <v>37</v>
      </c>
      <c r="AW6" s="13">
        <v>38</v>
      </c>
      <c r="AX6" s="13">
        <v>39</v>
      </c>
      <c r="AY6" s="13">
        <v>40</v>
      </c>
      <c r="AZ6" s="13">
        <v>41</v>
      </c>
      <c r="BA6" s="13">
        <v>42</v>
      </c>
      <c r="BB6" s="13">
        <v>43</v>
      </c>
      <c r="BC6" s="13">
        <v>44</v>
      </c>
      <c r="BD6" s="13">
        <v>45</v>
      </c>
      <c r="BE6" s="13">
        <v>46</v>
      </c>
      <c r="BF6" s="13">
        <v>47</v>
      </c>
      <c r="BG6" s="14">
        <v>48</v>
      </c>
      <c r="BI6" s="20"/>
      <c r="BJ6" s="20"/>
      <c r="BK6" s="20"/>
      <c r="BL6" s="20">
        <f>--RIGHT(N_YYYYMM,2)</f>
        <v>12</v>
      </c>
    </row>
    <row r="7" spans="1:64">
      <c r="I7" s="9"/>
      <c r="K7" s="9" t="s">
        <v>50</v>
      </c>
      <c r="L7" s="15" t="str">
        <f t="shared" ref="L7:BG7" si="0">TEXT(DATE(LEFT(N_YYYYMM,4)-3,L$6,1),"YYYYMM")</f>
        <v>201201</v>
      </c>
      <c r="M7" s="11" t="str">
        <f t="shared" si="0"/>
        <v>201202</v>
      </c>
      <c r="N7" s="11" t="str">
        <f t="shared" si="0"/>
        <v>201203</v>
      </c>
      <c r="O7" s="11" t="str">
        <f t="shared" si="0"/>
        <v>201204</v>
      </c>
      <c r="P7" s="11" t="str">
        <f t="shared" si="0"/>
        <v>201205</v>
      </c>
      <c r="Q7" s="11" t="str">
        <f t="shared" si="0"/>
        <v>201206</v>
      </c>
      <c r="R7" s="11" t="str">
        <f t="shared" si="0"/>
        <v>201207</v>
      </c>
      <c r="S7" s="11" t="str">
        <f t="shared" si="0"/>
        <v>201208</v>
      </c>
      <c r="T7" s="11" t="str">
        <f t="shared" si="0"/>
        <v>201209</v>
      </c>
      <c r="U7" s="11" t="str">
        <f t="shared" si="0"/>
        <v>201210</v>
      </c>
      <c r="V7" s="11" t="str">
        <f t="shared" si="0"/>
        <v>201211</v>
      </c>
      <c r="W7" s="16" t="str">
        <f t="shared" si="0"/>
        <v>201212</v>
      </c>
      <c r="X7" s="15" t="str">
        <f t="shared" si="0"/>
        <v>201301</v>
      </c>
      <c r="Y7" s="11" t="str">
        <f t="shared" si="0"/>
        <v>201302</v>
      </c>
      <c r="Z7" s="11" t="str">
        <f t="shared" si="0"/>
        <v>201303</v>
      </c>
      <c r="AA7" s="11" t="str">
        <f t="shared" si="0"/>
        <v>201304</v>
      </c>
      <c r="AB7" s="11" t="str">
        <f t="shared" si="0"/>
        <v>201305</v>
      </c>
      <c r="AC7" s="11" t="str">
        <f t="shared" si="0"/>
        <v>201306</v>
      </c>
      <c r="AD7" s="11" t="str">
        <f t="shared" si="0"/>
        <v>201307</v>
      </c>
      <c r="AE7" s="11" t="str">
        <f t="shared" si="0"/>
        <v>201308</v>
      </c>
      <c r="AF7" s="11" t="str">
        <f t="shared" si="0"/>
        <v>201309</v>
      </c>
      <c r="AG7" s="11" t="str">
        <f t="shared" si="0"/>
        <v>201310</v>
      </c>
      <c r="AH7" s="11" t="str">
        <f t="shared" si="0"/>
        <v>201311</v>
      </c>
      <c r="AI7" s="16" t="str">
        <f t="shared" si="0"/>
        <v>201312</v>
      </c>
      <c r="AJ7" s="15" t="str">
        <f t="shared" si="0"/>
        <v>201401</v>
      </c>
      <c r="AK7" s="11" t="str">
        <f t="shared" si="0"/>
        <v>201402</v>
      </c>
      <c r="AL7" s="11" t="str">
        <f t="shared" si="0"/>
        <v>201403</v>
      </c>
      <c r="AM7" s="11" t="str">
        <f t="shared" si="0"/>
        <v>201404</v>
      </c>
      <c r="AN7" s="11" t="str">
        <f t="shared" si="0"/>
        <v>201405</v>
      </c>
      <c r="AO7" s="11" t="str">
        <f t="shared" si="0"/>
        <v>201406</v>
      </c>
      <c r="AP7" s="11" t="str">
        <f t="shared" si="0"/>
        <v>201407</v>
      </c>
      <c r="AQ7" s="11" t="str">
        <f t="shared" si="0"/>
        <v>201408</v>
      </c>
      <c r="AR7" s="11" t="str">
        <f t="shared" si="0"/>
        <v>201409</v>
      </c>
      <c r="AS7" s="11" t="str">
        <f t="shared" si="0"/>
        <v>201410</v>
      </c>
      <c r="AT7" s="11" t="str">
        <f t="shared" si="0"/>
        <v>201411</v>
      </c>
      <c r="AU7" s="16" t="str">
        <f t="shared" si="0"/>
        <v>201412</v>
      </c>
      <c r="AV7" s="15" t="str">
        <f t="shared" si="0"/>
        <v>201501</v>
      </c>
      <c r="AW7" s="11" t="str">
        <f t="shared" si="0"/>
        <v>201502</v>
      </c>
      <c r="AX7" s="11" t="str">
        <f t="shared" si="0"/>
        <v>201503</v>
      </c>
      <c r="AY7" s="11" t="str">
        <f t="shared" si="0"/>
        <v>201504</v>
      </c>
      <c r="AZ7" s="11" t="str">
        <f t="shared" si="0"/>
        <v>201505</v>
      </c>
      <c r="BA7" s="11" t="str">
        <f t="shared" si="0"/>
        <v>201506</v>
      </c>
      <c r="BB7" s="11" t="str">
        <f t="shared" si="0"/>
        <v>201507</v>
      </c>
      <c r="BC7" s="11" t="str">
        <f t="shared" si="0"/>
        <v>201508</v>
      </c>
      <c r="BD7" s="11" t="str">
        <f t="shared" si="0"/>
        <v>201509</v>
      </c>
      <c r="BE7" s="11" t="str">
        <f t="shared" si="0"/>
        <v>201510</v>
      </c>
      <c r="BF7" s="11" t="str">
        <f t="shared" si="0"/>
        <v>201511</v>
      </c>
      <c r="BG7" s="16" t="str">
        <f t="shared" si="0"/>
        <v>201512</v>
      </c>
      <c r="BI7" s="21" t="str">
        <f>LEFT(L7,4)&amp;"연간"</f>
        <v>2012연간</v>
      </c>
      <c r="BJ7" s="21" t="str">
        <f>LEFT(X7,4)&amp;"연간"</f>
        <v>2013연간</v>
      </c>
      <c r="BK7" s="21" t="str">
        <f>LEFT(AJ7,4)&amp;"연간"</f>
        <v>2014연간</v>
      </c>
      <c r="BL7" s="21" t="str">
        <f>N_YYYYMM&amp;"누계"</f>
        <v>201512누계</v>
      </c>
    </row>
    <row r="8" spans="1:64" ht="17.25" thickBot="1">
      <c r="A8" s="1" t="s">
        <v>56</v>
      </c>
      <c r="I8" s="9"/>
      <c r="K8" s="9" t="s">
        <v>34</v>
      </c>
      <c r="L8" s="17" t="str">
        <f t="shared" ref="L8:BG8" si="1">TEXT(DATE(LEFT(N_YYYYMM,4)-4,L$6,1),"YYYYMM")</f>
        <v>201101</v>
      </c>
      <c r="M8" s="18" t="str">
        <f t="shared" si="1"/>
        <v>201102</v>
      </c>
      <c r="N8" s="18" t="str">
        <f t="shared" si="1"/>
        <v>201103</v>
      </c>
      <c r="O8" s="18" t="str">
        <f t="shared" si="1"/>
        <v>201104</v>
      </c>
      <c r="P8" s="18" t="str">
        <f t="shared" si="1"/>
        <v>201105</v>
      </c>
      <c r="Q8" s="18" t="str">
        <f t="shared" si="1"/>
        <v>201106</v>
      </c>
      <c r="R8" s="18" t="str">
        <f t="shared" si="1"/>
        <v>201107</v>
      </c>
      <c r="S8" s="18" t="str">
        <f t="shared" si="1"/>
        <v>201108</v>
      </c>
      <c r="T8" s="18" t="str">
        <f t="shared" si="1"/>
        <v>201109</v>
      </c>
      <c r="U8" s="18" t="str">
        <f t="shared" si="1"/>
        <v>201110</v>
      </c>
      <c r="V8" s="18" t="str">
        <f t="shared" si="1"/>
        <v>201111</v>
      </c>
      <c r="W8" s="19" t="str">
        <f t="shared" si="1"/>
        <v>201112</v>
      </c>
      <c r="X8" s="17" t="str">
        <f t="shared" si="1"/>
        <v>201201</v>
      </c>
      <c r="Y8" s="18" t="str">
        <f t="shared" si="1"/>
        <v>201202</v>
      </c>
      <c r="Z8" s="18" t="str">
        <f t="shared" si="1"/>
        <v>201203</v>
      </c>
      <c r="AA8" s="18" t="str">
        <f t="shared" si="1"/>
        <v>201204</v>
      </c>
      <c r="AB8" s="18" t="str">
        <f t="shared" si="1"/>
        <v>201205</v>
      </c>
      <c r="AC8" s="18" t="str">
        <f t="shared" si="1"/>
        <v>201206</v>
      </c>
      <c r="AD8" s="18" t="str">
        <f t="shared" si="1"/>
        <v>201207</v>
      </c>
      <c r="AE8" s="18" t="str">
        <f t="shared" si="1"/>
        <v>201208</v>
      </c>
      <c r="AF8" s="18" t="str">
        <f t="shared" si="1"/>
        <v>201209</v>
      </c>
      <c r="AG8" s="18" t="str">
        <f t="shared" si="1"/>
        <v>201210</v>
      </c>
      <c r="AH8" s="18" t="str">
        <f t="shared" si="1"/>
        <v>201211</v>
      </c>
      <c r="AI8" s="19" t="str">
        <f t="shared" si="1"/>
        <v>201212</v>
      </c>
      <c r="AJ8" s="17" t="str">
        <f t="shared" si="1"/>
        <v>201301</v>
      </c>
      <c r="AK8" s="18" t="str">
        <f t="shared" si="1"/>
        <v>201302</v>
      </c>
      <c r="AL8" s="18" t="str">
        <f t="shared" si="1"/>
        <v>201303</v>
      </c>
      <c r="AM8" s="18" t="str">
        <f t="shared" si="1"/>
        <v>201304</v>
      </c>
      <c r="AN8" s="18" t="str">
        <f t="shared" si="1"/>
        <v>201305</v>
      </c>
      <c r="AO8" s="18" t="str">
        <f t="shared" si="1"/>
        <v>201306</v>
      </c>
      <c r="AP8" s="18" t="str">
        <f t="shared" si="1"/>
        <v>201307</v>
      </c>
      <c r="AQ8" s="18" t="str">
        <f t="shared" si="1"/>
        <v>201308</v>
      </c>
      <c r="AR8" s="18" t="str">
        <f t="shared" si="1"/>
        <v>201309</v>
      </c>
      <c r="AS8" s="18" t="str">
        <f t="shared" si="1"/>
        <v>201310</v>
      </c>
      <c r="AT8" s="18" t="str">
        <f t="shared" si="1"/>
        <v>201311</v>
      </c>
      <c r="AU8" s="19" t="str">
        <f t="shared" si="1"/>
        <v>201312</v>
      </c>
      <c r="AV8" s="17" t="str">
        <f t="shared" si="1"/>
        <v>201401</v>
      </c>
      <c r="AW8" s="18" t="str">
        <f t="shared" si="1"/>
        <v>201402</v>
      </c>
      <c r="AX8" s="18" t="str">
        <f t="shared" si="1"/>
        <v>201403</v>
      </c>
      <c r="AY8" s="18" t="str">
        <f t="shared" si="1"/>
        <v>201404</v>
      </c>
      <c r="AZ8" s="18" t="str">
        <f t="shared" si="1"/>
        <v>201405</v>
      </c>
      <c r="BA8" s="18" t="str">
        <f t="shared" si="1"/>
        <v>201406</v>
      </c>
      <c r="BB8" s="18" t="str">
        <f t="shared" si="1"/>
        <v>201407</v>
      </c>
      <c r="BC8" s="18" t="str">
        <f t="shared" si="1"/>
        <v>201408</v>
      </c>
      <c r="BD8" s="18" t="str">
        <f t="shared" si="1"/>
        <v>201409</v>
      </c>
      <c r="BE8" s="18" t="str">
        <f t="shared" si="1"/>
        <v>201410</v>
      </c>
      <c r="BF8" s="18" t="str">
        <f t="shared" si="1"/>
        <v>201411</v>
      </c>
      <c r="BG8" s="19" t="str">
        <f t="shared" si="1"/>
        <v>201412</v>
      </c>
      <c r="BI8" s="22"/>
      <c r="BJ8" s="22"/>
      <c r="BK8" s="22"/>
      <c r="BL8" s="22"/>
    </row>
    <row r="9" spans="1:64" ht="6.75" customHeight="1">
      <c r="K9" s="9"/>
    </row>
    <row r="10" spans="1:64">
      <c r="A10" s="10" t="str">
        <f>TRIM(B10)&amp;TRIM(C10)&amp;TRIM(D10)&amp;TRIM(E10)&amp;TRIM(F10)&amp;TRIM(G10)&amp;TRIM(H10)&amp;TRIM(I10)&amp;TRIM(J10)</f>
        <v>GBUSALE1.당월실적_법인전체_SALE금년</v>
      </c>
      <c r="B10" s="7"/>
      <c r="C10" s="7"/>
      <c r="D10" s="7"/>
      <c r="E10" s="7"/>
      <c r="F10" s="7"/>
      <c r="G10" s="7" t="s">
        <v>21</v>
      </c>
      <c r="H10" s="7" t="s">
        <v>22</v>
      </c>
      <c r="I10" s="7" t="s">
        <v>92</v>
      </c>
      <c r="J10" s="10" t="s">
        <v>50</v>
      </c>
      <c r="K10" s="9"/>
      <c r="L10" s="24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6"/>
      <c r="X10" s="24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6"/>
      <c r="AJ10" s="24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6"/>
      <c r="AV10" s="24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6"/>
      <c r="BH10" s="27"/>
      <c r="BI10" s="25"/>
      <c r="BJ10" s="25"/>
      <c r="BK10" s="25"/>
      <c r="BL10" s="25"/>
    </row>
    <row r="11" spans="1:64">
      <c r="A11" s="10" t="str">
        <f>TRIM(B11)&amp;TRIM(C11)&amp;TRIM(D11)&amp;TRIM(E11)&amp;TRIM(F11)&amp;TRIM(G11)&amp;TRIM(H11)&amp;TRIM(I11)&amp;TRIM(J11)</f>
        <v>GBUSALE1.당월실적_법인전체_SALE전년</v>
      </c>
      <c r="B11" s="7"/>
      <c r="C11" s="7"/>
      <c r="D11" s="7"/>
      <c r="E11" s="7"/>
      <c r="F11" s="7"/>
      <c r="G11" s="7" t="str">
        <f>G10</f>
        <v>GBU</v>
      </c>
      <c r="H11" s="7" t="str">
        <f>H10</f>
        <v>SALE</v>
      </c>
      <c r="I11" s="7" t="s">
        <v>93</v>
      </c>
      <c r="J11" s="23" t="s">
        <v>34</v>
      </c>
      <c r="K11" s="9"/>
      <c r="L11" s="24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6"/>
      <c r="X11" s="24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6"/>
      <c r="AJ11" s="24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6"/>
      <c r="AV11" s="24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6"/>
      <c r="BH11" s="27"/>
      <c r="BI11" s="25"/>
      <c r="BJ11" s="25"/>
      <c r="BK11" s="25"/>
      <c r="BL11" s="25"/>
    </row>
    <row r="12" spans="1:64">
      <c r="A12" s="6"/>
      <c r="K12" s="9"/>
    </row>
    <row r="13" spans="1:64">
      <c r="A13" s="10" t="str">
        <f t="shared" ref="A13:A32" si="2">TRIM(B13)&amp;TRIM(C13)&amp;TRIM(D13)&amp;TRIM(E13)&amp;TRIM(F13)&amp;TRIM(G13)&amp;TRIM(H13)&amp;TRIM(I13)&amp;TRIM(J13)</f>
        <v>GLTSALE2.당월실적_B2C금년</v>
      </c>
      <c r="B13" s="7"/>
      <c r="C13" s="7"/>
      <c r="D13" s="7"/>
      <c r="E13" s="7"/>
      <c r="F13" s="7"/>
      <c r="G13" s="7" t="s">
        <v>12</v>
      </c>
      <c r="H13" s="7" t="s">
        <v>54</v>
      </c>
      <c r="I13" s="7" t="s">
        <v>55</v>
      </c>
      <c r="J13" s="10" t="s">
        <v>50</v>
      </c>
      <c r="K13" s="9"/>
      <c r="L13" s="24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6"/>
      <c r="X13" s="24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6"/>
      <c r="AJ13" s="24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6"/>
      <c r="AV13" s="24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6"/>
      <c r="BH13" s="27"/>
      <c r="BI13" s="25"/>
      <c r="BJ13" s="25"/>
      <c r="BK13" s="25"/>
      <c r="BL13" s="25"/>
    </row>
    <row r="14" spans="1:64">
      <c r="A14" s="10" t="str">
        <f t="shared" si="2"/>
        <v>GLTSALE2.당월실적_B2C전년</v>
      </c>
      <c r="B14" s="7"/>
      <c r="C14" s="7"/>
      <c r="D14" s="7"/>
      <c r="E14" s="7"/>
      <c r="F14" s="7"/>
      <c r="G14" s="7" t="s">
        <v>12</v>
      </c>
      <c r="H14" s="7" t="s">
        <v>54</v>
      </c>
      <c r="I14" s="7" t="s">
        <v>55</v>
      </c>
      <c r="J14" s="23" t="s">
        <v>34</v>
      </c>
      <c r="K14" s="9"/>
      <c r="L14" s="24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6"/>
      <c r="X14" s="24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6"/>
      <c r="AJ14" s="24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6"/>
      <c r="AV14" s="24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6"/>
      <c r="BH14" s="27"/>
      <c r="BI14" s="25"/>
      <c r="BJ14" s="25"/>
      <c r="BK14" s="25"/>
      <c r="BL14" s="25"/>
    </row>
    <row r="15" spans="1:64">
      <c r="A15" s="10" t="str">
        <f t="shared" si="2"/>
        <v>GTTSALE2.당월실적_B2C금년</v>
      </c>
      <c r="B15" s="7"/>
      <c r="C15" s="7"/>
      <c r="D15" s="7"/>
      <c r="E15" s="7"/>
      <c r="F15" s="7"/>
      <c r="G15" s="7" t="s">
        <v>14</v>
      </c>
      <c r="H15" s="7" t="s">
        <v>54</v>
      </c>
      <c r="I15" s="7" t="s">
        <v>55</v>
      </c>
      <c r="J15" s="10" t="s">
        <v>50</v>
      </c>
      <c r="K15" s="9"/>
      <c r="L15" s="24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6"/>
      <c r="X15" s="24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6"/>
      <c r="AJ15" s="24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6"/>
      <c r="AV15" s="24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6"/>
      <c r="BH15" s="27"/>
      <c r="BI15" s="25"/>
      <c r="BJ15" s="25"/>
      <c r="BK15" s="25"/>
      <c r="BL15" s="25"/>
    </row>
    <row r="16" spans="1:64">
      <c r="A16" s="10" t="str">
        <f t="shared" si="2"/>
        <v>GTTSALE2.당월실적_B2C전년</v>
      </c>
      <c r="B16" s="7"/>
      <c r="C16" s="7"/>
      <c r="D16" s="7"/>
      <c r="E16" s="7"/>
      <c r="F16" s="7"/>
      <c r="G16" s="7" t="s">
        <v>14</v>
      </c>
      <c r="H16" s="7" t="s">
        <v>54</v>
      </c>
      <c r="I16" s="7" t="s">
        <v>55</v>
      </c>
      <c r="J16" s="23" t="s">
        <v>34</v>
      </c>
      <c r="K16" s="9"/>
      <c r="L16" s="24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6"/>
      <c r="X16" s="24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6"/>
      <c r="AJ16" s="24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6"/>
      <c r="AV16" s="24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6"/>
      <c r="BH16" s="27"/>
      <c r="BI16" s="25"/>
      <c r="BJ16" s="25"/>
      <c r="BK16" s="25"/>
      <c r="BL16" s="25"/>
    </row>
    <row r="17" spans="1:64">
      <c r="A17" s="10" t="str">
        <f t="shared" si="2"/>
        <v>PNTSALE2.당월실적_B2C금년</v>
      </c>
      <c r="B17" s="7"/>
      <c r="C17" s="7"/>
      <c r="D17" s="7"/>
      <c r="E17" s="7"/>
      <c r="F17" s="7"/>
      <c r="G17" s="7" t="s">
        <v>16</v>
      </c>
      <c r="H17" s="7" t="s">
        <v>54</v>
      </c>
      <c r="I17" s="7" t="s">
        <v>55</v>
      </c>
      <c r="J17" s="10" t="s">
        <v>50</v>
      </c>
      <c r="K17" s="9"/>
      <c r="L17" s="24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6"/>
      <c r="X17" s="24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6"/>
      <c r="AJ17" s="24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6"/>
      <c r="AV17" s="24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6"/>
      <c r="BH17" s="27"/>
      <c r="BI17" s="25"/>
      <c r="BJ17" s="25"/>
      <c r="BK17" s="25"/>
      <c r="BL17" s="25"/>
    </row>
    <row r="18" spans="1:64">
      <c r="A18" s="10" t="str">
        <f t="shared" si="2"/>
        <v>PNTSALE2.당월실적_B2C전년</v>
      </c>
      <c r="B18" s="7"/>
      <c r="C18" s="7"/>
      <c r="D18" s="7"/>
      <c r="E18" s="7"/>
      <c r="F18" s="7"/>
      <c r="G18" s="7" t="s">
        <v>16</v>
      </c>
      <c r="H18" s="7" t="s">
        <v>54</v>
      </c>
      <c r="I18" s="7" t="s">
        <v>55</v>
      </c>
      <c r="J18" s="23" t="s">
        <v>34</v>
      </c>
      <c r="K18" s="9"/>
      <c r="L18" s="24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6"/>
      <c r="X18" s="24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6"/>
      <c r="AJ18" s="24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6"/>
      <c r="AV18" s="24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6"/>
      <c r="BH18" s="27"/>
      <c r="BI18" s="25"/>
      <c r="BJ18" s="25"/>
      <c r="BK18" s="25"/>
      <c r="BL18" s="25"/>
    </row>
    <row r="19" spans="1:64">
      <c r="A19" s="10" t="str">
        <f t="shared" si="2"/>
        <v>MSTSALE2.당월실적_B2C금년</v>
      </c>
      <c r="B19" s="7"/>
      <c r="C19" s="7"/>
      <c r="D19" s="7"/>
      <c r="E19" s="7"/>
      <c r="F19" s="7"/>
      <c r="G19" s="7" t="s">
        <v>15</v>
      </c>
      <c r="H19" s="7" t="s">
        <v>54</v>
      </c>
      <c r="I19" s="7" t="s">
        <v>55</v>
      </c>
      <c r="J19" s="10" t="s">
        <v>50</v>
      </c>
      <c r="K19" s="9"/>
      <c r="L19" s="24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6"/>
      <c r="X19" s="24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6"/>
      <c r="AJ19" s="24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6"/>
      <c r="AV19" s="24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6"/>
      <c r="BH19" s="27"/>
      <c r="BI19" s="25"/>
      <c r="BJ19" s="25"/>
      <c r="BK19" s="25"/>
      <c r="BL19" s="25"/>
    </row>
    <row r="20" spans="1:64">
      <c r="A20" s="10" t="str">
        <f t="shared" si="2"/>
        <v>MSTSALE2.당월실적_B2C전년</v>
      </c>
      <c r="B20" s="7"/>
      <c r="C20" s="7"/>
      <c r="D20" s="7"/>
      <c r="E20" s="7"/>
      <c r="F20" s="7"/>
      <c r="G20" s="7" t="s">
        <v>15</v>
      </c>
      <c r="H20" s="7" t="s">
        <v>54</v>
      </c>
      <c r="I20" s="7" t="s">
        <v>55</v>
      </c>
      <c r="J20" s="23" t="s">
        <v>34</v>
      </c>
      <c r="K20" s="9"/>
      <c r="L20" s="24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6"/>
      <c r="X20" s="24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6"/>
      <c r="AJ20" s="24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6"/>
      <c r="AV20" s="24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6"/>
      <c r="BH20" s="27"/>
      <c r="BI20" s="25"/>
      <c r="BJ20" s="25"/>
      <c r="BK20" s="25"/>
      <c r="BL20" s="25"/>
    </row>
    <row r="21" spans="1:64">
      <c r="A21" s="10" t="str">
        <f t="shared" si="2"/>
        <v>CNTSALE2.당월실적_B2C금년</v>
      </c>
      <c r="B21" s="7"/>
      <c r="C21" s="7"/>
      <c r="D21" s="7"/>
      <c r="E21" s="7"/>
      <c r="F21" s="7"/>
      <c r="G21" s="7" t="s">
        <v>6</v>
      </c>
      <c r="H21" s="7" t="s">
        <v>54</v>
      </c>
      <c r="I21" s="7" t="s">
        <v>55</v>
      </c>
      <c r="J21" s="10" t="s">
        <v>50</v>
      </c>
      <c r="K21" s="9"/>
      <c r="L21" s="24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6"/>
      <c r="X21" s="24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6"/>
      <c r="AJ21" s="24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6"/>
      <c r="AV21" s="24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6"/>
      <c r="BH21" s="27"/>
      <c r="BI21" s="25"/>
      <c r="BJ21" s="25"/>
      <c r="BK21" s="25"/>
      <c r="BL21" s="25"/>
    </row>
    <row r="22" spans="1:64">
      <c r="A22" s="10" t="str">
        <f t="shared" si="2"/>
        <v>CNTSALE2.당월실적_B2C전년</v>
      </c>
      <c r="B22" s="7"/>
      <c r="C22" s="7"/>
      <c r="D22" s="7"/>
      <c r="E22" s="7"/>
      <c r="F22" s="7"/>
      <c r="G22" s="7" t="s">
        <v>6</v>
      </c>
      <c r="H22" s="7" t="s">
        <v>54</v>
      </c>
      <c r="I22" s="7" t="s">
        <v>55</v>
      </c>
      <c r="J22" s="23" t="s">
        <v>34</v>
      </c>
      <c r="K22" s="9"/>
      <c r="L22" s="24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6"/>
      <c r="X22" s="24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6"/>
      <c r="AJ22" s="24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6"/>
      <c r="AV22" s="24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6"/>
      <c r="BH22" s="27"/>
      <c r="BI22" s="25"/>
      <c r="BJ22" s="25"/>
      <c r="BK22" s="25"/>
      <c r="BL22" s="25"/>
    </row>
    <row r="23" spans="1:64">
      <c r="A23" s="10" t="str">
        <f t="shared" si="2"/>
        <v>DFTSALE2.당월실적_B2C금년</v>
      </c>
      <c r="B23" s="7"/>
      <c r="C23" s="7"/>
      <c r="D23" s="7"/>
      <c r="E23" s="7"/>
      <c r="F23" s="7"/>
      <c r="G23" s="7" t="s">
        <v>7</v>
      </c>
      <c r="H23" s="7" t="str">
        <f t="shared" ref="H23:I32" si="3">H13</f>
        <v>SALE</v>
      </c>
      <c r="I23" s="7" t="str">
        <f t="shared" si="3"/>
        <v>2.당월실적_B2C</v>
      </c>
      <c r="J23" s="10" t="s">
        <v>50</v>
      </c>
      <c r="K23" s="9"/>
      <c r="L23" s="24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6"/>
      <c r="X23" s="24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6"/>
      <c r="AJ23" s="24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6"/>
      <c r="AV23" s="24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6"/>
      <c r="BH23" s="27"/>
      <c r="BI23" s="25"/>
      <c r="BJ23" s="25"/>
      <c r="BK23" s="25"/>
      <c r="BL23" s="25"/>
    </row>
    <row r="24" spans="1:64">
      <c r="A24" s="10" t="str">
        <f t="shared" si="2"/>
        <v>DFTSALE2.당월실적_B2C전년</v>
      </c>
      <c r="B24" s="7"/>
      <c r="C24" s="7"/>
      <c r="D24" s="7"/>
      <c r="E24" s="7"/>
      <c r="F24" s="7"/>
      <c r="G24" s="7" t="s">
        <v>7</v>
      </c>
      <c r="H24" s="7" t="str">
        <f t="shared" si="3"/>
        <v>SALE</v>
      </c>
      <c r="I24" s="7" t="str">
        <f t="shared" si="3"/>
        <v>2.당월실적_B2C</v>
      </c>
      <c r="J24" s="23" t="s">
        <v>34</v>
      </c>
      <c r="K24" s="9"/>
      <c r="L24" s="24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6"/>
      <c r="X24" s="24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6"/>
      <c r="AJ24" s="24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6"/>
      <c r="AV24" s="24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6"/>
      <c r="BH24" s="27"/>
      <c r="BI24" s="25"/>
      <c r="BJ24" s="25"/>
      <c r="BK24" s="25"/>
      <c r="BL24" s="25"/>
    </row>
    <row r="25" spans="1:64">
      <c r="A25" s="10" t="str">
        <f t="shared" si="2"/>
        <v>DGTSALE2.당월실적_B2C금년</v>
      </c>
      <c r="B25" s="7"/>
      <c r="C25" s="7"/>
      <c r="D25" s="7"/>
      <c r="E25" s="7"/>
      <c r="F25" s="7"/>
      <c r="G25" s="7" t="s">
        <v>8</v>
      </c>
      <c r="H25" s="7" t="str">
        <f t="shared" si="3"/>
        <v>SALE</v>
      </c>
      <c r="I25" s="7" t="str">
        <f t="shared" si="3"/>
        <v>2.당월실적_B2C</v>
      </c>
      <c r="J25" s="10" t="s">
        <v>50</v>
      </c>
      <c r="K25" s="9"/>
      <c r="L25" s="24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6"/>
      <c r="X25" s="24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6"/>
      <c r="AJ25" s="24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6"/>
      <c r="AV25" s="24"/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6"/>
      <c r="BH25" s="27"/>
      <c r="BI25" s="25"/>
      <c r="BJ25" s="25"/>
      <c r="BK25" s="25"/>
      <c r="BL25" s="25"/>
    </row>
    <row r="26" spans="1:64">
      <c r="A26" s="10" t="str">
        <f t="shared" si="2"/>
        <v>DGTSALE2.당월실적_B2C전년</v>
      </c>
      <c r="B26" s="7"/>
      <c r="C26" s="7"/>
      <c r="D26" s="7"/>
      <c r="E26" s="7"/>
      <c r="F26" s="7"/>
      <c r="G26" s="7" t="s">
        <v>8</v>
      </c>
      <c r="H26" s="7" t="str">
        <f t="shared" si="3"/>
        <v>SALE</v>
      </c>
      <c r="I26" s="7" t="str">
        <f t="shared" si="3"/>
        <v>2.당월실적_B2C</v>
      </c>
      <c r="J26" s="23" t="s">
        <v>34</v>
      </c>
      <c r="K26" s="9"/>
      <c r="L26" s="24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6"/>
      <c r="X26" s="24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6"/>
      <c r="AJ26" s="24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6"/>
      <c r="AV26" s="24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6"/>
      <c r="BH26" s="27"/>
      <c r="BI26" s="25"/>
      <c r="BJ26" s="25"/>
      <c r="BK26" s="25"/>
      <c r="BL26" s="25"/>
    </row>
    <row r="27" spans="1:64">
      <c r="A27" s="10" t="str">
        <f t="shared" si="2"/>
        <v>PCTSALE2.당월실적_B2C금년</v>
      </c>
      <c r="B27" s="7"/>
      <c r="C27" s="7"/>
      <c r="D27" s="7"/>
      <c r="E27" s="7"/>
      <c r="F27" s="7"/>
      <c r="G27" s="7" t="s">
        <v>19</v>
      </c>
      <c r="H27" s="7" t="str">
        <f t="shared" si="3"/>
        <v>SALE</v>
      </c>
      <c r="I27" s="7" t="str">
        <f t="shared" si="3"/>
        <v>2.당월실적_B2C</v>
      </c>
      <c r="J27" s="10" t="s">
        <v>50</v>
      </c>
      <c r="K27" s="9"/>
      <c r="L27" s="24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6"/>
      <c r="X27" s="24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6"/>
      <c r="AJ27" s="24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6"/>
      <c r="AV27" s="24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6"/>
      <c r="BH27" s="27"/>
      <c r="BI27" s="25"/>
      <c r="BJ27" s="25"/>
      <c r="BK27" s="25"/>
      <c r="BL27" s="25"/>
    </row>
    <row r="28" spans="1:64">
      <c r="A28" s="10" t="str">
        <f t="shared" si="2"/>
        <v>PCTSALE2.당월실적_B2C전년</v>
      </c>
      <c r="B28" s="7"/>
      <c r="C28" s="7"/>
      <c r="D28" s="7"/>
      <c r="E28" s="7"/>
      <c r="F28" s="7"/>
      <c r="G28" s="7" t="s">
        <v>19</v>
      </c>
      <c r="H28" s="7" t="str">
        <f t="shared" si="3"/>
        <v>SALE</v>
      </c>
      <c r="I28" s="7" t="str">
        <f t="shared" si="3"/>
        <v>2.당월실적_B2C</v>
      </c>
      <c r="J28" s="23" t="s">
        <v>34</v>
      </c>
      <c r="K28" s="9"/>
      <c r="L28" s="24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6"/>
      <c r="X28" s="24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6"/>
      <c r="AJ28" s="24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6"/>
      <c r="AV28" s="24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6"/>
      <c r="BH28" s="27"/>
      <c r="BI28" s="25"/>
      <c r="BJ28" s="25"/>
      <c r="BK28" s="25"/>
      <c r="BL28" s="25"/>
    </row>
    <row r="29" spans="1:64">
      <c r="A29" s="10" t="str">
        <f t="shared" si="2"/>
        <v>PSTSALE2.당월실적_B2C금년</v>
      </c>
      <c r="B29" s="7"/>
      <c r="C29" s="7"/>
      <c r="D29" s="7"/>
      <c r="E29" s="7"/>
      <c r="F29" s="7"/>
      <c r="G29" s="7" t="s">
        <v>17</v>
      </c>
      <c r="H29" s="7" t="str">
        <f t="shared" si="3"/>
        <v>SALE</v>
      </c>
      <c r="I29" s="7" t="str">
        <f t="shared" si="3"/>
        <v>2.당월실적_B2C</v>
      </c>
      <c r="J29" s="10" t="s">
        <v>50</v>
      </c>
      <c r="K29" s="9"/>
      <c r="L29" s="24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6"/>
      <c r="X29" s="24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6"/>
      <c r="AJ29" s="24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6"/>
      <c r="AV29" s="24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6"/>
      <c r="BH29" s="27"/>
      <c r="BI29" s="25"/>
      <c r="BJ29" s="25"/>
      <c r="BK29" s="25"/>
      <c r="BL29" s="25"/>
    </row>
    <row r="30" spans="1:64">
      <c r="A30" s="10" t="str">
        <f t="shared" si="2"/>
        <v>PSTSALE2.당월실적_B2C전년</v>
      </c>
      <c r="B30" s="7"/>
      <c r="C30" s="7"/>
      <c r="D30" s="7"/>
      <c r="E30" s="7"/>
      <c r="F30" s="7"/>
      <c r="G30" s="7" t="s">
        <v>17</v>
      </c>
      <c r="H30" s="7" t="str">
        <f t="shared" si="3"/>
        <v>SALE</v>
      </c>
      <c r="I30" s="7" t="str">
        <f t="shared" si="3"/>
        <v>2.당월실적_B2C</v>
      </c>
      <c r="J30" s="23" t="s">
        <v>34</v>
      </c>
      <c r="K30" s="9"/>
      <c r="L30" s="24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6"/>
      <c r="X30" s="24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6"/>
      <c r="AJ30" s="24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6"/>
      <c r="AV30" s="24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6"/>
      <c r="BH30" s="27"/>
      <c r="BI30" s="25"/>
      <c r="BJ30" s="25"/>
      <c r="BK30" s="25"/>
      <c r="BL30" s="25"/>
    </row>
    <row r="31" spans="1:64">
      <c r="A31" s="10" t="str">
        <f t="shared" si="2"/>
        <v>DVTSALE2.당월실적_B2C금년</v>
      </c>
      <c r="B31" s="7"/>
      <c r="C31" s="7"/>
      <c r="D31" s="7"/>
      <c r="E31" s="7"/>
      <c r="F31" s="7"/>
      <c r="G31" s="7" t="s">
        <v>10</v>
      </c>
      <c r="H31" s="7" t="str">
        <f t="shared" si="3"/>
        <v>SALE</v>
      </c>
      <c r="I31" s="7" t="str">
        <f t="shared" si="3"/>
        <v>2.당월실적_B2C</v>
      </c>
      <c r="J31" s="10" t="s">
        <v>50</v>
      </c>
      <c r="K31" s="9"/>
      <c r="L31" s="24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6"/>
      <c r="X31" s="24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6"/>
      <c r="AJ31" s="24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6"/>
      <c r="AV31" s="24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6"/>
      <c r="BH31" s="27"/>
      <c r="BI31" s="25"/>
      <c r="BJ31" s="25"/>
      <c r="BK31" s="25"/>
      <c r="BL31" s="25"/>
    </row>
    <row r="32" spans="1:64">
      <c r="A32" s="10" t="str">
        <f t="shared" si="2"/>
        <v>DVTSALE2.당월실적_B2C전년</v>
      </c>
      <c r="B32" s="7"/>
      <c r="C32" s="7"/>
      <c r="D32" s="7"/>
      <c r="E32" s="7"/>
      <c r="F32" s="7"/>
      <c r="G32" s="7" t="s">
        <v>10</v>
      </c>
      <c r="H32" s="7" t="str">
        <f t="shared" si="3"/>
        <v>SALE</v>
      </c>
      <c r="I32" s="7" t="str">
        <f t="shared" si="3"/>
        <v>2.당월실적_B2C</v>
      </c>
      <c r="J32" s="23" t="s">
        <v>34</v>
      </c>
      <c r="K32" s="9"/>
      <c r="L32" s="24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6"/>
      <c r="X32" s="24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6"/>
      <c r="AJ32" s="24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6"/>
      <c r="AV32" s="24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6"/>
      <c r="BH32" s="27"/>
      <c r="BI32" s="25"/>
      <c r="BJ32" s="25"/>
      <c r="BK32" s="25"/>
      <c r="BL32" s="25"/>
    </row>
    <row r="33" spans="1:64">
      <c r="A33" s="6"/>
      <c r="K33" s="9"/>
    </row>
    <row r="34" spans="1:64">
      <c r="A34" s="10" t="str">
        <f t="shared" ref="A34:A47" si="4">TRIM(B34)&amp;TRIM(C34)&amp;TRIM(D34)&amp;TRIM(E34)&amp;TRIM(F34)&amp;TRIM(G34)&amp;TRIM(H34)&amp;TRIM(I34)&amp;TRIM(J34)</f>
        <v>GJTSALE2.당월실적_B2B금년</v>
      </c>
      <c r="B34" s="7"/>
      <c r="C34" s="7"/>
      <c r="D34" s="7"/>
      <c r="E34" s="7"/>
      <c r="F34" s="7"/>
      <c r="G34" s="7" t="s">
        <v>11</v>
      </c>
      <c r="H34" s="7" t="s">
        <v>54</v>
      </c>
      <c r="I34" s="7" t="s">
        <v>96</v>
      </c>
      <c r="J34" s="10" t="s">
        <v>50</v>
      </c>
      <c r="K34" s="9"/>
      <c r="L34" s="24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6"/>
      <c r="X34" s="24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6"/>
      <c r="AJ34" s="24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6"/>
      <c r="AV34" s="24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6"/>
      <c r="BH34" s="27"/>
      <c r="BI34" s="25"/>
      <c r="BJ34" s="25"/>
      <c r="BK34" s="25"/>
      <c r="BL34" s="25"/>
    </row>
    <row r="35" spans="1:64" ht="18" customHeight="1">
      <c r="A35" s="10" t="str">
        <f t="shared" si="4"/>
        <v>GJTSALE2.당월실적_B2B전년</v>
      </c>
      <c r="B35" s="7"/>
      <c r="C35" s="7"/>
      <c r="D35" s="7"/>
      <c r="E35" s="7"/>
      <c r="F35" s="7"/>
      <c r="G35" s="7" t="s">
        <v>11</v>
      </c>
      <c r="H35" s="7" t="s">
        <v>54</v>
      </c>
      <c r="I35" s="7" t="s">
        <v>96</v>
      </c>
      <c r="J35" s="23" t="s">
        <v>34</v>
      </c>
      <c r="K35" s="9"/>
      <c r="L35" s="24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6"/>
      <c r="X35" s="24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6"/>
      <c r="AJ35" s="24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6"/>
      <c r="AV35" s="24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6"/>
      <c r="BH35" s="27"/>
      <c r="BI35" s="25"/>
      <c r="BJ35" s="25"/>
      <c r="BK35" s="25"/>
      <c r="BL35" s="25"/>
    </row>
    <row r="36" spans="1:64">
      <c r="A36" s="10" t="str">
        <f t="shared" si="4"/>
        <v>GNTSALE2.당월실적_B2B금년</v>
      </c>
      <c r="B36" s="7"/>
      <c r="C36" s="7"/>
      <c r="D36" s="7"/>
      <c r="E36" s="7"/>
      <c r="F36" s="7"/>
      <c r="G36" s="7" t="s">
        <v>13</v>
      </c>
      <c r="H36" s="7" t="s">
        <v>54</v>
      </c>
      <c r="I36" s="7" t="s">
        <v>96</v>
      </c>
      <c r="J36" s="10" t="s">
        <v>50</v>
      </c>
      <c r="K36" s="9"/>
      <c r="L36" s="24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6"/>
      <c r="X36" s="24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6"/>
      <c r="AJ36" s="24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6"/>
      <c r="AV36" s="24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6"/>
      <c r="BH36" s="27"/>
      <c r="BI36" s="25"/>
      <c r="BJ36" s="25"/>
      <c r="BK36" s="25"/>
      <c r="BL36" s="25"/>
    </row>
    <row r="37" spans="1:64">
      <c r="A37" s="10" t="str">
        <f t="shared" si="4"/>
        <v>GNTSALE2.당월실적_B2B전년</v>
      </c>
      <c r="B37" s="7"/>
      <c r="C37" s="7"/>
      <c r="D37" s="7"/>
      <c r="E37" s="7"/>
      <c r="F37" s="7"/>
      <c r="G37" s="7" t="s">
        <v>13</v>
      </c>
      <c r="H37" s="7" t="s">
        <v>54</v>
      </c>
      <c r="I37" s="7" t="s">
        <v>96</v>
      </c>
      <c r="J37" s="23" t="s">
        <v>34</v>
      </c>
      <c r="K37" s="9"/>
      <c r="L37" s="24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6"/>
      <c r="X37" s="24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6"/>
      <c r="AJ37" s="24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6"/>
      <c r="AV37" s="24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6"/>
      <c r="BH37" s="27"/>
      <c r="BI37" s="25"/>
      <c r="BJ37" s="25"/>
      <c r="BK37" s="25"/>
      <c r="BL37" s="25"/>
    </row>
    <row r="38" spans="1:64">
      <c r="A38" s="10" t="str">
        <f t="shared" si="4"/>
        <v>GOTSALE2.당월실적_B2B금년</v>
      </c>
      <c r="B38" s="7"/>
      <c r="C38" s="7"/>
      <c r="D38" s="7"/>
      <c r="E38" s="7"/>
      <c r="F38" s="7"/>
      <c r="G38" s="7" t="s">
        <v>94</v>
      </c>
      <c r="H38" s="7" t="s">
        <v>54</v>
      </c>
      <c r="I38" s="7" t="s">
        <v>96</v>
      </c>
      <c r="J38" s="10" t="s">
        <v>50</v>
      </c>
      <c r="K38" s="9"/>
      <c r="L38" s="24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6"/>
      <c r="X38" s="24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6"/>
      <c r="AJ38" s="24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6"/>
      <c r="AV38" s="24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6"/>
      <c r="BH38" s="27"/>
      <c r="BI38" s="25"/>
      <c r="BJ38" s="25"/>
      <c r="BK38" s="25"/>
      <c r="BL38" s="25"/>
    </row>
    <row r="39" spans="1:64">
      <c r="A39" s="10" t="str">
        <f t="shared" si="4"/>
        <v>GOTSALE2.당월실적_B2B전년</v>
      </c>
      <c r="B39" s="7"/>
      <c r="C39" s="7"/>
      <c r="D39" s="7"/>
      <c r="E39" s="7"/>
      <c r="F39" s="7"/>
      <c r="G39" s="7" t="s">
        <v>94</v>
      </c>
      <c r="H39" s="7" t="s">
        <v>54</v>
      </c>
      <c r="I39" s="7" t="s">
        <v>96</v>
      </c>
      <c r="J39" s="23" t="s">
        <v>34</v>
      </c>
      <c r="K39" s="9"/>
      <c r="L39" s="24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6"/>
      <c r="X39" s="24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6"/>
      <c r="AJ39" s="24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6"/>
      <c r="AV39" s="24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6"/>
      <c r="BH39" s="27"/>
      <c r="BI39" s="25"/>
      <c r="BJ39" s="25"/>
      <c r="BK39" s="25"/>
      <c r="BL39" s="25"/>
    </row>
    <row r="40" spans="1:64">
      <c r="A40" s="10" t="str">
        <f t="shared" si="4"/>
        <v>PKTSALE2.당월실적_B2B금년</v>
      </c>
      <c r="B40" s="7"/>
      <c r="C40" s="7"/>
      <c r="D40" s="7"/>
      <c r="E40" s="7"/>
      <c r="F40" s="7"/>
      <c r="G40" s="7" t="s">
        <v>82</v>
      </c>
      <c r="H40" s="7" t="s">
        <v>54</v>
      </c>
      <c r="I40" s="7" t="s">
        <v>96</v>
      </c>
      <c r="J40" s="10" t="s">
        <v>50</v>
      </c>
      <c r="K40" s="9"/>
      <c r="L40" s="24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6"/>
      <c r="X40" s="24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6"/>
      <c r="AJ40" s="24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6"/>
      <c r="AV40" s="24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6"/>
      <c r="BH40" s="27"/>
      <c r="BI40" s="25"/>
      <c r="BJ40" s="25"/>
      <c r="BK40" s="25"/>
      <c r="BL40" s="25"/>
    </row>
    <row r="41" spans="1:64">
      <c r="A41" s="10" t="str">
        <f t="shared" si="4"/>
        <v>PKTSALE2.당월실적_B2B전년</v>
      </c>
      <c r="B41" s="7"/>
      <c r="C41" s="7"/>
      <c r="D41" s="7"/>
      <c r="E41" s="7"/>
      <c r="F41" s="7"/>
      <c r="G41" s="7" t="s">
        <v>82</v>
      </c>
      <c r="H41" s="7" t="str">
        <f t="shared" ref="H41:H47" si="5">H34</f>
        <v>SALE</v>
      </c>
      <c r="I41" s="7" t="s">
        <v>96</v>
      </c>
      <c r="J41" s="23" t="s">
        <v>34</v>
      </c>
      <c r="K41" s="9"/>
      <c r="L41" s="24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6"/>
      <c r="X41" s="24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6"/>
      <c r="AJ41" s="24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6"/>
      <c r="AV41" s="24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6"/>
      <c r="BH41" s="27"/>
      <c r="BI41" s="25"/>
      <c r="BJ41" s="25"/>
      <c r="BK41" s="25"/>
      <c r="BL41" s="25"/>
    </row>
    <row r="42" spans="1:64">
      <c r="A42" s="10" t="str">
        <f t="shared" si="4"/>
        <v>DMTSALE2.당월실적_B2B금년</v>
      </c>
      <c r="B42" s="7"/>
      <c r="C42" s="7"/>
      <c r="D42" s="7"/>
      <c r="E42" s="7"/>
      <c r="F42" s="7"/>
      <c r="G42" s="7" t="s">
        <v>9</v>
      </c>
      <c r="H42" s="7" t="str">
        <f t="shared" si="5"/>
        <v>SALE</v>
      </c>
      <c r="I42" s="7" t="s">
        <v>96</v>
      </c>
      <c r="J42" s="10" t="s">
        <v>50</v>
      </c>
      <c r="K42" s="9"/>
      <c r="L42" s="24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6"/>
      <c r="X42" s="24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6"/>
      <c r="AJ42" s="24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6"/>
      <c r="AV42" s="24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6"/>
      <c r="BH42" s="27"/>
      <c r="BI42" s="25"/>
      <c r="BJ42" s="25"/>
      <c r="BK42" s="25"/>
      <c r="BL42" s="25"/>
    </row>
    <row r="43" spans="1:64">
      <c r="A43" s="10" t="str">
        <f t="shared" si="4"/>
        <v>DMTSALE2.당월실적_B2B전년</v>
      </c>
      <c r="B43" s="7"/>
      <c r="C43" s="7"/>
      <c r="D43" s="7"/>
      <c r="E43" s="7"/>
      <c r="F43" s="7"/>
      <c r="G43" s="7" t="s">
        <v>9</v>
      </c>
      <c r="H43" s="7" t="str">
        <f t="shared" si="5"/>
        <v>SALE</v>
      </c>
      <c r="I43" s="7" t="s">
        <v>96</v>
      </c>
      <c r="J43" s="23" t="s">
        <v>34</v>
      </c>
      <c r="K43" s="9"/>
      <c r="L43" s="24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6"/>
      <c r="X43" s="24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6"/>
      <c r="AJ43" s="24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6"/>
      <c r="AV43" s="24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6"/>
      <c r="BH43" s="27"/>
      <c r="BI43" s="25"/>
      <c r="BJ43" s="25"/>
      <c r="BK43" s="25"/>
      <c r="BL43" s="25"/>
    </row>
    <row r="44" spans="1:64">
      <c r="A44" s="10" t="str">
        <f t="shared" si="4"/>
        <v>DTTSALE2.당월실적_B2B금년</v>
      </c>
      <c r="B44" s="7"/>
      <c r="C44" s="7"/>
      <c r="D44" s="7"/>
      <c r="E44" s="7"/>
      <c r="F44" s="7"/>
      <c r="G44" s="7" t="s">
        <v>95</v>
      </c>
      <c r="H44" s="7" t="str">
        <f t="shared" si="5"/>
        <v>SALE</v>
      </c>
      <c r="I44" s="7" t="s">
        <v>96</v>
      </c>
      <c r="J44" s="10" t="s">
        <v>50</v>
      </c>
      <c r="K44" s="9"/>
      <c r="L44" s="24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6"/>
      <c r="X44" s="24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6"/>
      <c r="AJ44" s="24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6"/>
      <c r="AV44" s="24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6"/>
      <c r="BH44" s="27"/>
      <c r="BI44" s="25"/>
      <c r="BJ44" s="25"/>
      <c r="BK44" s="25"/>
      <c r="BL44" s="25"/>
    </row>
    <row r="45" spans="1:64">
      <c r="A45" s="10" t="str">
        <f t="shared" si="4"/>
        <v>DTTSALE2.당월실적_B2B전년</v>
      </c>
      <c r="B45" s="7"/>
      <c r="C45" s="7"/>
      <c r="D45" s="7"/>
      <c r="E45" s="7"/>
      <c r="F45" s="7"/>
      <c r="G45" s="7" t="s">
        <v>95</v>
      </c>
      <c r="H45" s="7" t="str">
        <f t="shared" si="5"/>
        <v>SALE</v>
      </c>
      <c r="I45" s="7" t="s">
        <v>96</v>
      </c>
      <c r="J45" s="23" t="s">
        <v>34</v>
      </c>
      <c r="K45" s="9"/>
      <c r="L45" s="24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6"/>
      <c r="X45" s="24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6"/>
      <c r="AJ45" s="24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6"/>
      <c r="AV45" s="24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6"/>
      <c r="BH45" s="27"/>
      <c r="BI45" s="25"/>
      <c r="BJ45" s="25"/>
      <c r="BK45" s="25"/>
      <c r="BL45" s="25"/>
    </row>
    <row r="46" spans="1:64">
      <c r="A46" s="10" t="str">
        <f t="shared" si="4"/>
        <v>PGTSALE2.당월실적_B2B금년</v>
      </c>
      <c r="B46" s="7"/>
      <c r="C46" s="7"/>
      <c r="D46" s="7"/>
      <c r="E46" s="7"/>
      <c r="F46" s="7"/>
      <c r="G46" s="7" t="s">
        <v>18</v>
      </c>
      <c r="H46" s="7" t="str">
        <f t="shared" si="5"/>
        <v>SALE</v>
      </c>
      <c r="I46" s="7" t="s">
        <v>96</v>
      </c>
      <c r="J46" s="10" t="s">
        <v>50</v>
      </c>
      <c r="K46" s="9"/>
      <c r="L46" s="24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6"/>
      <c r="X46" s="24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6"/>
      <c r="AJ46" s="24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6"/>
      <c r="AV46" s="24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6"/>
      <c r="BH46" s="27"/>
      <c r="BI46" s="25"/>
      <c r="BJ46" s="25"/>
      <c r="BK46" s="25"/>
      <c r="BL46" s="25"/>
    </row>
    <row r="47" spans="1:64">
      <c r="A47" s="10" t="str">
        <f t="shared" si="4"/>
        <v>PGTSALE2.당월실적_B2B전년</v>
      </c>
      <c r="B47" s="7"/>
      <c r="C47" s="7"/>
      <c r="D47" s="7"/>
      <c r="E47" s="7"/>
      <c r="F47" s="7"/>
      <c r="G47" s="7" t="s">
        <v>18</v>
      </c>
      <c r="H47" s="7" t="str">
        <f t="shared" si="5"/>
        <v>SALE</v>
      </c>
      <c r="I47" s="7" t="s">
        <v>96</v>
      </c>
      <c r="J47" s="23" t="s">
        <v>34</v>
      </c>
      <c r="K47" s="9"/>
      <c r="L47" s="24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6"/>
      <c r="X47" s="24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6"/>
      <c r="AJ47" s="24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6"/>
      <c r="AV47" s="24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6"/>
      <c r="BH47" s="27"/>
      <c r="BI47" s="25"/>
      <c r="BJ47" s="25"/>
      <c r="BK47" s="25"/>
      <c r="BL47" s="25"/>
    </row>
    <row r="48" spans="1:64">
      <c r="A48" s="6"/>
      <c r="K48" s="9"/>
    </row>
    <row r="49" spans="1:64">
      <c r="A49" s="10" t="str">
        <f t="shared" ref="A49:A68" si="6">TRIM(B49)&amp;TRIM(C49)&amp;TRIM(D49)&amp;TRIM(E49)&amp;TRIM(F49)&amp;TRIM(G49)&amp;TRIM(H49)&amp;TRIM(I49)&amp;TRIM(J49)</f>
        <v>GLTOH_COST2.당월실적_법인전체_OH금년</v>
      </c>
      <c r="B49" s="7"/>
      <c r="C49" s="7"/>
      <c r="D49" s="7"/>
      <c r="E49" s="7"/>
      <c r="F49" s="7"/>
      <c r="G49" s="7" t="s">
        <v>12</v>
      </c>
      <c r="H49" s="7" t="s">
        <v>98</v>
      </c>
      <c r="I49" s="7" t="s">
        <v>99</v>
      </c>
      <c r="J49" s="10" t="s">
        <v>50</v>
      </c>
      <c r="K49" s="9"/>
      <c r="L49" s="24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6"/>
      <c r="X49" s="24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6"/>
      <c r="AJ49" s="24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6"/>
      <c r="AV49" s="24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6"/>
      <c r="BH49" s="27"/>
      <c r="BI49" s="25"/>
      <c r="BJ49" s="25"/>
      <c r="BK49" s="25"/>
      <c r="BL49" s="25"/>
    </row>
    <row r="50" spans="1:64">
      <c r="A50" s="10" t="str">
        <f t="shared" si="6"/>
        <v>GLTOH_COST2.당월실적_법인전체_OH전년</v>
      </c>
      <c r="B50" s="7"/>
      <c r="C50" s="7"/>
      <c r="D50" s="7"/>
      <c r="E50" s="7"/>
      <c r="F50" s="7"/>
      <c r="G50" s="7" t="s">
        <v>12</v>
      </c>
      <c r="H50" s="7" t="s">
        <v>98</v>
      </c>
      <c r="I50" s="7" t="s">
        <v>99</v>
      </c>
      <c r="J50" s="23" t="s">
        <v>34</v>
      </c>
      <c r="K50" s="9"/>
      <c r="L50" s="24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6"/>
      <c r="X50" s="24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6"/>
      <c r="AJ50" s="24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6"/>
      <c r="AV50" s="24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  <c r="BH50" s="27"/>
      <c r="BI50" s="25"/>
      <c r="BJ50" s="25"/>
      <c r="BK50" s="25"/>
      <c r="BL50" s="25"/>
    </row>
    <row r="51" spans="1:64">
      <c r="A51" s="10" t="str">
        <f t="shared" si="6"/>
        <v>GTTOH_COST2.당월실적_법인전체_OH금년</v>
      </c>
      <c r="B51" s="7"/>
      <c r="C51" s="7"/>
      <c r="D51" s="7"/>
      <c r="E51" s="7"/>
      <c r="F51" s="7"/>
      <c r="G51" s="7" t="s">
        <v>14</v>
      </c>
      <c r="H51" s="7" t="s">
        <v>98</v>
      </c>
      <c r="I51" s="7" t="s">
        <v>99</v>
      </c>
      <c r="J51" s="10" t="s">
        <v>50</v>
      </c>
      <c r="K51" s="9"/>
      <c r="L51" s="24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6"/>
      <c r="X51" s="24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6"/>
      <c r="AJ51" s="24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6"/>
      <c r="AV51" s="24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6"/>
      <c r="BH51" s="27"/>
      <c r="BI51" s="25"/>
      <c r="BJ51" s="25"/>
      <c r="BK51" s="25"/>
      <c r="BL51" s="25"/>
    </row>
    <row r="52" spans="1:64">
      <c r="A52" s="10" t="str">
        <f t="shared" si="6"/>
        <v>GTTOH_COST2.당월실적_법인전체_OH전년</v>
      </c>
      <c r="B52" s="7"/>
      <c r="C52" s="7"/>
      <c r="D52" s="7"/>
      <c r="E52" s="7"/>
      <c r="F52" s="7"/>
      <c r="G52" s="7" t="s">
        <v>14</v>
      </c>
      <c r="H52" s="7" t="s">
        <v>98</v>
      </c>
      <c r="I52" s="7" t="s">
        <v>99</v>
      </c>
      <c r="J52" s="23" t="s">
        <v>34</v>
      </c>
      <c r="K52" s="9"/>
      <c r="L52" s="24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6"/>
      <c r="X52" s="24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6"/>
      <c r="AJ52" s="24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6"/>
      <c r="AV52" s="24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6"/>
      <c r="BH52" s="27"/>
      <c r="BI52" s="25"/>
      <c r="BJ52" s="25"/>
      <c r="BK52" s="25"/>
      <c r="BL52" s="25"/>
    </row>
    <row r="53" spans="1:64">
      <c r="A53" s="10" t="str">
        <f t="shared" si="6"/>
        <v>PNTOH_COST2.당월실적_법인전체_OH금년</v>
      </c>
      <c r="B53" s="7"/>
      <c r="C53" s="7"/>
      <c r="D53" s="7"/>
      <c r="E53" s="7"/>
      <c r="F53" s="7"/>
      <c r="G53" s="7" t="s">
        <v>16</v>
      </c>
      <c r="H53" s="7" t="s">
        <v>98</v>
      </c>
      <c r="I53" s="7" t="s">
        <v>99</v>
      </c>
      <c r="J53" s="10" t="s">
        <v>50</v>
      </c>
      <c r="K53" s="9"/>
      <c r="L53" s="24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6"/>
      <c r="X53" s="24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6"/>
      <c r="AJ53" s="24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6"/>
      <c r="AV53" s="24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6"/>
      <c r="BH53" s="27"/>
      <c r="BI53" s="25"/>
      <c r="BJ53" s="25"/>
      <c r="BK53" s="25"/>
      <c r="BL53" s="25"/>
    </row>
    <row r="54" spans="1:64">
      <c r="A54" s="10" t="str">
        <f t="shared" si="6"/>
        <v>PNTOH_COST2.당월실적_법인전체_OH전년</v>
      </c>
      <c r="B54" s="7"/>
      <c r="C54" s="7"/>
      <c r="D54" s="7"/>
      <c r="E54" s="7"/>
      <c r="F54" s="7"/>
      <c r="G54" s="7" t="s">
        <v>16</v>
      </c>
      <c r="H54" s="7" t="s">
        <v>98</v>
      </c>
      <c r="I54" s="7" t="s">
        <v>99</v>
      </c>
      <c r="J54" s="23" t="s">
        <v>34</v>
      </c>
      <c r="K54" s="9"/>
      <c r="L54" s="24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6"/>
      <c r="X54" s="24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6"/>
      <c r="AJ54" s="24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6"/>
      <c r="AV54" s="24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6"/>
      <c r="BH54" s="27"/>
      <c r="BI54" s="25"/>
      <c r="BJ54" s="25"/>
      <c r="BK54" s="25"/>
      <c r="BL54" s="25"/>
    </row>
    <row r="55" spans="1:64">
      <c r="A55" s="10" t="str">
        <f t="shared" si="6"/>
        <v>MSTOH_COST2.당월실적_법인전체_OH금년</v>
      </c>
      <c r="B55" s="7"/>
      <c r="C55" s="7"/>
      <c r="D55" s="7"/>
      <c r="E55" s="7"/>
      <c r="F55" s="7"/>
      <c r="G55" s="7" t="s">
        <v>15</v>
      </c>
      <c r="H55" s="7" t="s">
        <v>98</v>
      </c>
      <c r="I55" s="7" t="s">
        <v>99</v>
      </c>
      <c r="J55" s="10" t="s">
        <v>50</v>
      </c>
      <c r="K55" s="9"/>
      <c r="L55" s="24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6"/>
      <c r="X55" s="24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6"/>
      <c r="AJ55" s="24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6"/>
      <c r="AV55" s="24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6"/>
      <c r="BH55" s="27"/>
      <c r="BI55" s="25"/>
      <c r="BJ55" s="25"/>
      <c r="BK55" s="25"/>
      <c r="BL55" s="25"/>
    </row>
    <row r="56" spans="1:64">
      <c r="A56" s="10" t="str">
        <f t="shared" si="6"/>
        <v>MSTOH_COST2.당월실적_법인전체_OH전년</v>
      </c>
      <c r="B56" s="7"/>
      <c r="C56" s="7"/>
      <c r="D56" s="7"/>
      <c r="E56" s="7"/>
      <c r="F56" s="7"/>
      <c r="G56" s="7" t="s">
        <v>15</v>
      </c>
      <c r="H56" s="7" t="s">
        <v>98</v>
      </c>
      <c r="I56" s="7" t="s">
        <v>99</v>
      </c>
      <c r="J56" s="23" t="s">
        <v>34</v>
      </c>
      <c r="K56" s="9"/>
      <c r="L56" s="24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6"/>
      <c r="X56" s="24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6"/>
      <c r="AJ56" s="24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6"/>
      <c r="AV56" s="24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  <c r="BH56" s="27"/>
      <c r="BI56" s="25"/>
      <c r="BJ56" s="25"/>
      <c r="BK56" s="25"/>
      <c r="BL56" s="25"/>
    </row>
    <row r="57" spans="1:64">
      <c r="A57" s="10" t="str">
        <f t="shared" si="6"/>
        <v>CNTOH_COST2.당월실적_법인전체_OH금년</v>
      </c>
      <c r="B57" s="7"/>
      <c r="C57" s="7"/>
      <c r="D57" s="7"/>
      <c r="E57" s="7"/>
      <c r="F57" s="7"/>
      <c r="G57" s="7" t="s">
        <v>6</v>
      </c>
      <c r="H57" s="7" t="s">
        <v>98</v>
      </c>
      <c r="I57" s="7" t="s">
        <v>99</v>
      </c>
      <c r="J57" s="10" t="s">
        <v>50</v>
      </c>
      <c r="K57" s="9"/>
      <c r="L57" s="24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6"/>
      <c r="X57" s="24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6"/>
      <c r="AJ57" s="24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6"/>
      <c r="AV57" s="24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  <c r="BH57" s="27"/>
      <c r="BI57" s="25"/>
      <c r="BJ57" s="25"/>
      <c r="BK57" s="25"/>
      <c r="BL57" s="25"/>
    </row>
    <row r="58" spans="1:64">
      <c r="A58" s="10" t="str">
        <f t="shared" si="6"/>
        <v>CNTOH_COST2.당월실적_법인전체_OH전년</v>
      </c>
      <c r="B58" s="7"/>
      <c r="C58" s="7"/>
      <c r="D58" s="7"/>
      <c r="E58" s="7"/>
      <c r="F58" s="7"/>
      <c r="G58" s="7" t="s">
        <v>6</v>
      </c>
      <c r="H58" s="7" t="s">
        <v>98</v>
      </c>
      <c r="I58" s="7" t="s">
        <v>99</v>
      </c>
      <c r="J58" s="23" t="s">
        <v>34</v>
      </c>
      <c r="K58" s="9"/>
      <c r="L58" s="24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6"/>
      <c r="X58" s="24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6"/>
      <c r="AJ58" s="24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6"/>
      <c r="AV58" s="24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6"/>
      <c r="BH58" s="27"/>
      <c r="BI58" s="25"/>
      <c r="BJ58" s="25"/>
      <c r="BK58" s="25"/>
      <c r="BL58" s="25"/>
    </row>
    <row r="59" spans="1:64">
      <c r="A59" s="10" t="str">
        <f t="shared" si="6"/>
        <v>DFTOH_COST2.당월실적_법인전체_OH금년</v>
      </c>
      <c r="B59" s="7"/>
      <c r="C59" s="7"/>
      <c r="D59" s="7"/>
      <c r="E59" s="7"/>
      <c r="F59" s="7"/>
      <c r="G59" s="7" t="s">
        <v>7</v>
      </c>
      <c r="H59" s="7" t="s">
        <v>98</v>
      </c>
      <c r="I59" s="7" t="s">
        <v>99</v>
      </c>
      <c r="J59" s="10" t="s">
        <v>50</v>
      </c>
      <c r="K59" s="9"/>
      <c r="L59" s="24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6"/>
      <c r="X59" s="24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6"/>
      <c r="AJ59" s="24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6"/>
      <c r="AV59" s="24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6"/>
      <c r="BH59" s="27"/>
      <c r="BI59" s="25"/>
      <c r="BJ59" s="25"/>
      <c r="BK59" s="25"/>
      <c r="BL59" s="25"/>
    </row>
    <row r="60" spans="1:64">
      <c r="A60" s="10" t="str">
        <f t="shared" si="6"/>
        <v>DFTOH_COST2.당월실적_법인전체_OH전년</v>
      </c>
      <c r="B60" s="7"/>
      <c r="C60" s="7"/>
      <c r="D60" s="7"/>
      <c r="E60" s="7"/>
      <c r="F60" s="7"/>
      <c r="G60" s="7" t="s">
        <v>7</v>
      </c>
      <c r="H60" s="7" t="s">
        <v>98</v>
      </c>
      <c r="I60" s="7" t="s">
        <v>99</v>
      </c>
      <c r="J60" s="23" t="s">
        <v>34</v>
      </c>
      <c r="K60" s="9"/>
      <c r="L60" s="24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6"/>
      <c r="X60" s="24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6"/>
      <c r="AJ60" s="24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6"/>
      <c r="AV60" s="24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6"/>
      <c r="BH60" s="27"/>
      <c r="BI60" s="25"/>
      <c r="BJ60" s="25"/>
      <c r="BK60" s="25"/>
      <c r="BL60" s="25"/>
    </row>
    <row r="61" spans="1:64">
      <c r="A61" s="10" t="str">
        <f t="shared" si="6"/>
        <v>DGTOH_COST2.당월실적_법인전체_OH금년</v>
      </c>
      <c r="B61" s="7"/>
      <c r="C61" s="7"/>
      <c r="D61" s="7"/>
      <c r="E61" s="7"/>
      <c r="F61" s="7"/>
      <c r="G61" s="7" t="s">
        <v>8</v>
      </c>
      <c r="H61" s="7" t="s">
        <v>98</v>
      </c>
      <c r="I61" s="7" t="s">
        <v>99</v>
      </c>
      <c r="J61" s="10" t="s">
        <v>50</v>
      </c>
      <c r="K61" s="9"/>
      <c r="L61" s="24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6"/>
      <c r="X61" s="24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6"/>
      <c r="AJ61" s="24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6"/>
      <c r="AV61" s="24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6"/>
      <c r="BH61" s="27"/>
      <c r="BI61" s="25"/>
      <c r="BJ61" s="25"/>
      <c r="BK61" s="25"/>
      <c r="BL61" s="25"/>
    </row>
    <row r="62" spans="1:64">
      <c r="A62" s="10" t="str">
        <f t="shared" si="6"/>
        <v>DGTOH_COST2.당월실적_법인전체_OH전년</v>
      </c>
      <c r="B62" s="7"/>
      <c r="C62" s="7"/>
      <c r="D62" s="7"/>
      <c r="E62" s="7"/>
      <c r="F62" s="7"/>
      <c r="G62" s="7" t="s">
        <v>8</v>
      </c>
      <c r="H62" s="7" t="s">
        <v>98</v>
      </c>
      <c r="I62" s="7" t="s">
        <v>101</v>
      </c>
      <c r="J62" s="23" t="s">
        <v>34</v>
      </c>
      <c r="K62" s="9"/>
      <c r="L62" s="24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6"/>
      <c r="X62" s="24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6"/>
      <c r="AJ62" s="24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6"/>
      <c r="AV62" s="24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6"/>
      <c r="BH62" s="27"/>
      <c r="BI62" s="25"/>
      <c r="BJ62" s="25"/>
      <c r="BK62" s="25"/>
      <c r="BL62" s="25"/>
    </row>
    <row r="63" spans="1:64">
      <c r="A63" s="10" t="str">
        <f t="shared" si="6"/>
        <v>PCTOH_COST2.당월실적_법인전체_OH금년</v>
      </c>
      <c r="B63" s="7"/>
      <c r="C63" s="7"/>
      <c r="D63" s="7"/>
      <c r="E63" s="7"/>
      <c r="F63" s="7"/>
      <c r="G63" s="7" t="s">
        <v>19</v>
      </c>
      <c r="H63" s="7" t="s">
        <v>98</v>
      </c>
      <c r="I63" s="7" t="s">
        <v>101</v>
      </c>
      <c r="J63" s="10" t="s">
        <v>50</v>
      </c>
      <c r="K63" s="9"/>
      <c r="L63" s="24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6"/>
      <c r="X63" s="24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6"/>
      <c r="AJ63" s="24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6"/>
      <c r="AV63" s="24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6"/>
      <c r="BH63" s="27"/>
      <c r="BI63" s="25"/>
      <c r="BJ63" s="25"/>
      <c r="BK63" s="25"/>
      <c r="BL63" s="25"/>
    </row>
    <row r="64" spans="1:64">
      <c r="A64" s="10" t="str">
        <f t="shared" si="6"/>
        <v>PCTOH_COST2.당월실적_법인전체_OH전년</v>
      </c>
      <c r="B64" s="7"/>
      <c r="C64" s="7"/>
      <c r="D64" s="7"/>
      <c r="E64" s="7"/>
      <c r="F64" s="7"/>
      <c r="G64" s="7" t="s">
        <v>19</v>
      </c>
      <c r="H64" s="7" t="s">
        <v>98</v>
      </c>
      <c r="I64" s="7" t="s">
        <v>101</v>
      </c>
      <c r="J64" s="23" t="s">
        <v>34</v>
      </c>
      <c r="K64" s="9"/>
      <c r="L64" s="24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6"/>
      <c r="X64" s="24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6"/>
      <c r="AJ64" s="24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6"/>
      <c r="AV64" s="24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6"/>
      <c r="BH64" s="27"/>
      <c r="BI64" s="25"/>
      <c r="BJ64" s="25"/>
      <c r="BK64" s="25"/>
      <c r="BL64" s="25"/>
    </row>
    <row r="65" spans="1:64">
      <c r="A65" s="10" t="str">
        <f t="shared" si="6"/>
        <v>PSTOH_COST2.당월실적_법인전체_OH금년</v>
      </c>
      <c r="B65" s="7"/>
      <c r="C65" s="7"/>
      <c r="D65" s="7"/>
      <c r="E65" s="7"/>
      <c r="F65" s="7"/>
      <c r="G65" s="7" t="s">
        <v>17</v>
      </c>
      <c r="H65" s="7" t="s">
        <v>98</v>
      </c>
      <c r="I65" s="7" t="s">
        <v>101</v>
      </c>
      <c r="J65" s="10" t="s">
        <v>50</v>
      </c>
      <c r="K65" s="9"/>
      <c r="L65" s="24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6"/>
      <c r="X65" s="24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6"/>
      <c r="AJ65" s="24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6"/>
      <c r="AV65" s="24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6"/>
      <c r="BH65" s="27"/>
      <c r="BI65" s="25"/>
      <c r="BJ65" s="25"/>
      <c r="BK65" s="25"/>
      <c r="BL65" s="25"/>
    </row>
    <row r="66" spans="1:64">
      <c r="A66" s="10" t="str">
        <f t="shared" si="6"/>
        <v>PSTOH_COST2.당월실적_법인전체_OH전년</v>
      </c>
      <c r="B66" s="7"/>
      <c r="C66" s="7"/>
      <c r="D66" s="7"/>
      <c r="E66" s="7"/>
      <c r="F66" s="7"/>
      <c r="G66" s="7" t="s">
        <v>17</v>
      </c>
      <c r="H66" s="7" t="s">
        <v>98</v>
      </c>
      <c r="I66" s="7" t="s">
        <v>101</v>
      </c>
      <c r="J66" s="23" t="s">
        <v>34</v>
      </c>
      <c r="K66" s="9"/>
      <c r="L66" s="24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6"/>
      <c r="X66" s="24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6"/>
      <c r="AJ66" s="24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6"/>
      <c r="AV66" s="24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6"/>
      <c r="BH66" s="27"/>
      <c r="BI66" s="25"/>
      <c r="BJ66" s="25"/>
      <c r="BK66" s="25"/>
      <c r="BL66" s="25"/>
    </row>
    <row r="67" spans="1:64">
      <c r="A67" s="10" t="str">
        <f t="shared" si="6"/>
        <v>DVTOH_COST2.당월실적_법인전체_OH금년</v>
      </c>
      <c r="B67" s="7"/>
      <c r="C67" s="7"/>
      <c r="D67" s="7"/>
      <c r="E67" s="7"/>
      <c r="F67" s="7"/>
      <c r="G67" s="7" t="s">
        <v>10</v>
      </c>
      <c r="H67" s="7" t="s">
        <v>98</v>
      </c>
      <c r="I67" s="7" t="s">
        <v>101</v>
      </c>
      <c r="J67" s="10" t="s">
        <v>50</v>
      </c>
      <c r="K67" s="9"/>
      <c r="L67" s="24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6"/>
      <c r="X67" s="24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6"/>
      <c r="AJ67" s="24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6"/>
      <c r="AV67" s="24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6"/>
      <c r="BH67" s="27"/>
      <c r="BI67" s="25"/>
      <c r="BJ67" s="25"/>
      <c r="BK67" s="25"/>
      <c r="BL67" s="25"/>
    </row>
    <row r="68" spans="1:64">
      <c r="A68" s="10" t="str">
        <f t="shared" si="6"/>
        <v>DVTOH_COST2.당월실적_법인전체_OH전년</v>
      </c>
      <c r="B68" s="7"/>
      <c r="C68" s="7"/>
      <c r="D68" s="7"/>
      <c r="E68" s="7"/>
      <c r="F68" s="7"/>
      <c r="G68" s="7" t="s">
        <v>10</v>
      </c>
      <c r="H68" s="7" t="s">
        <v>98</v>
      </c>
      <c r="I68" s="7" t="s">
        <v>101</v>
      </c>
      <c r="J68" s="23" t="s">
        <v>34</v>
      </c>
      <c r="K68" s="9"/>
      <c r="L68" s="24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6"/>
      <c r="X68" s="24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6"/>
      <c r="AJ68" s="24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6"/>
      <c r="AV68" s="24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6"/>
      <c r="BH68" s="27"/>
      <c r="BI68" s="25"/>
      <c r="BJ68" s="25"/>
      <c r="BK68" s="25"/>
      <c r="BL68" s="25"/>
    </row>
    <row r="69" spans="1:64">
      <c r="A69" s="6"/>
      <c r="K69" s="9"/>
    </row>
    <row r="70" spans="1:64">
      <c r="A70" s="10" t="str">
        <f t="shared" ref="A70:A83" si="7">TRIM(B70)&amp;TRIM(C70)&amp;TRIM(D70)&amp;TRIM(E70)&amp;TRIM(F70)&amp;TRIM(G70)&amp;TRIM(H70)&amp;TRIM(I70)&amp;TRIM(J70)</f>
        <v>GJTOH_COST2.당월실적_법인전체_OH금년</v>
      </c>
      <c r="B70" s="7"/>
      <c r="C70" s="7"/>
      <c r="D70" s="7"/>
      <c r="E70" s="7"/>
      <c r="F70" s="7"/>
      <c r="G70" s="7" t="s">
        <v>11</v>
      </c>
      <c r="H70" s="7" t="s">
        <v>98</v>
      </c>
      <c r="I70" s="7" t="s">
        <v>101</v>
      </c>
      <c r="J70" s="10" t="s">
        <v>50</v>
      </c>
      <c r="K70" s="9"/>
      <c r="L70" s="24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6"/>
      <c r="X70" s="24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6"/>
      <c r="AJ70" s="24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6"/>
      <c r="AV70" s="24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6"/>
      <c r="BH70" s="27"/>
      <c r="BI70" s="25"/>
      <c r="BJ70" s="25"/>
      <c r="BK70" s="25"/>
      <c r="BL70" s="25"/>
    </row>
    <row r="71" spans="1:64" ht="18" customHeight="1">
      <c r="A71" s="10" t="str">
        <f t="shared" si="7"/>
        <v>GJTOH_COST2.당월실적_법인전체_OH전년</v>
      </c>
      <c r="B71" s="7"/>
      <c r="C71" s="7"/>
      <c r="D71" s="7"/>
      <c r="E71" s="7"/>
      <c r="F71" s="7"/>
      <c r="G71" s="7" t="s">
        <v>11</v>
      </c>
      <c r="H71" s="7" t="s">
        <v>98</v>
      </c>
      <c r="I71" s="7" t="s">
        <v>101</v>
      </c>
      <c r="J71" s="23" t="s">
        <v>34</v>
      </c>
      <c r="K71" s="9"/>
      <c r="L71" s="24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6"/>
      <c r="X71" s="24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6"/>
      <c r="AJ71" s="24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6"/>
      <c r="AV71" s="24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6"/>
      <c r="BH71" s="27"/>
      <c r="BI71" s="25"/>
      <c r="BJ71" s="25"/>
      <c r="BK71" s="25"/>
      <c r="BL71" s="25"/>
    </row>
    <row r="72" spans="1:64">
      <c r="A72" s="10" t="str">
        <f t="shared" si="7"/>
        <v>GNTOH_COST2.당월실적_법인전체_OH금년</v>
      </c>
      <c r="B72" s="7"/>
      <c r="C72" s="7"/>
      <c r="D72" s="7"/>
      <c r="E72" s="7"/>
      <c r="F72" s="7"/>
      <c r="G72" s="7" t="s">
        <v>13</v>
      </c>
      <c r="H72" s="7" t="s">
        <v>98</v>
      </c>
      <c r="I72" s="7" t="s">
        <v>101</v>
      </c>
      <c r="J72" s="10" t="s">
        <v>50</v>
      </c>
      <c r="K72" s="9"/>
      <c r="L72" s="24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6"/>
      <c r="X72" s="24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6"/>
      <c r="AJ72" s="24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6"/>
      <c r="AV72" s="24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6"/>
      <c r="BH72" s="27"/>
      <c r="BI72" s="25"/>
      <c r="BJ72" s="25"/>
      <c r="BK72" s="25"/>
      <c r="BL72" s="25"/>
    </row>
    <row r="73" spans="1:64">
      <c r="A73" s="10" t="str">
        <f t="shared" si="7"/>
        <v>GNTOH_COST2.당월실적_법인전체_OH전년</v>
      </c>
      <c r="B73" s="7"/>
      <c r="C73" s="7"/>
      <c r="D73" s="7"/>
      <c r="E73" s="7"/>
      <c r="F73" s="7"/>
      <c r="G73" s="7" t="s">
        <v>13</v>
      </c>
      <c r="H73" s="7" t="s">
        <v>98</v>
      </c>
      <c r="I73" s="7" t="s">
        <v>101</v>
      </c>
      <c r="J73" s="23" t="s">
        <v>34</v>
      </c>
      <c r="K73" s="9"/>
      <c r="L73" s="24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6"/>
      <c r="X73" s="24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6"/>
      <c r="AJ73" s="24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6"/>
      <c r="AV73" s="24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6"/>
      <c r="BH73" s="27"/>
      <c r="BI73" s="25"/>
      <c r="BJ73" s="25"/>
      <c r="BK73" s="25"/>
      <c r="BL73" s="25"/>
    </row>
    <row r="74" spans="1:64">
      <c r="A74" s="10" t="str">
        <f t="shared" si="7"/>
        <v>GOTOH_COST2.당월실적_법인전체_OH금년</v>
      </c>
      <c r="B74" s="7"/>
      <c r="C74" s="7"/>
      <c r="D74" s="7"/>
      <c r="E74" s="7"/>
      <c r="F74" s="7"/>
      <c r="G74" s="7" t="s">
        <v>94</v>
      </c>
      <c r="H74" s="7" t="s">
        <v>98</v>
      </c>
      <c r="I74" s="7" t="s">
        <v>101</v>
      </c>
      <c r="J74" s="10" t="s">
        <v>50</v>
      </c>
      <c r="K74" s="9"/>
      <c r="L74" s="24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6"/>
      <c r="X74" s="24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6"/>
      <c r="AJ74" s="24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6"/>
      <c r="AV74" s="24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6"/>
      <c r="BH74" s="27"/>
      <c r="BI74" s="25"/>
      <c r="BJ74" s="25"/>
      <c r="BK74" s="25"/>
      <c r="BL74" s="25"/>
    </row>
    <row r="75" spans="1:64">
      <c r="A75" s="10" t="str">
        <f t="shared" si="7"/>
        <v>GOTOH_COST2.당월실적_법인전체_OH전년</v>
      </c>
      <c r="B75" s="7"/>
      <c r="C75" s="7"/>
      <c r="D75" s="7"/>
      <c r="E75" s="7"/>
      <c r="F75" s="7"/>
      <c r="G75" s="7" t="s">
        <v>94</v>
      </c>
      <c r="H75" s="7" t="s">
        <v>98</v>
      </c>
      <c r="I75" s="7" t="s">
        <v>101</v>
      </c>
      <c r="J75" s="23" t="s">
        <v>34</v>
      </c>
      <c r="K75" s="9"/>
      <c r="L75" s="24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6"/>
      <c r="X75" s="24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6"/>
      <c r="AJ75" s="24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6"/>
      <c r="AV75" s="24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6"/>
      <c r="BH75" s="27"/>
      <c r="BI75" s="25"/>
      <c r="BJ75" s="25"/>
      <c r="BK75" s="25"/>
      <c r="BL75" s="25"/>
    </row>
    <row r="76" spans="1:64">
      <c r="A76" s="10" t="str">
        <f t="shared" si="7"/>
        <v>PKTOH_COST2.당월실적_법인전체_OH금년</v>
      </c>
      <c r="B76" s="7"/>
      <c r="C76" s="7"/>
      <c r="D76" s="7"/>
      <c r="E76" s="7"/>
      <c r="F76" s="7"/>
      <c r="G76" s="7" t="s">
        <v>82</v>
      </c>
      <c r="H76" s="7" t="s">
        <v>98</v>
      </c>
      <c r="I76" s="7" t="s">
        <v>101</v>
      </c>
      <c r="J76" s="10" t="s">
        <v>50</v>
      </c>
      <c r="K76" s="9"/>
      <c r="L76" s="24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6"/>
      <c r="X76" s="24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6"/>
      <c r="AJ76" s="24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6"/>
      <c r="AV76" s="24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6"/>
      <c r="BH76" s="27"/>
      <c r="BI76" s="25"/>
      <c r="BJ76" s="25"/>
      <c r="BK76" s="25"/>
      <c r="BL76" s="25"/>
    </row>
    <row r="77" spans="1:64">
      <c r="A77" s="10" t="str">
        <f t="shared" si="7"/>
        <v>PKTOH_COST2.당월실적_법인전체_OH전년</v>
      </c>
      <c r="B77" s="7"/>
      <c r="C77" s="7"/>
      <c r="D77" s="7"/>
      <c r="E77" s="7"/>
      <c r="F77" s="7"/>
      <c r="G77" s="7" t="s">
        <v>82</v>
      </c>
      <c r="H77" s="7" t="s">
        <v>98</v>
      </c>
      <c r="I77" s="7" t="s">
        <v>101</v>
      </c>
      <c r="J77" s="23" t="s">
        <v>34</v>
      </c>
      <c r="K77" s="9"/>
      <c r="L77" s="24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6"/>
      <c r="X77" s="24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6"/>
      <c r="AJ77" s="24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6"/>
      <c r="AV77" s="24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6"/>
      <c r="BH77" s="27"/>
      <c r="BI77" s="25"/>
      <c r="BJ77" s="25"/>
      <c r="BK77" s="25"/>
      <c r="BL77" s="25"/>
    </row>
    <row r="78" spans="1:64">
      <c r="A78" s="10" t="str">
        <f t="shared" si="7"/>
        <v>DMTOH_COST2.당월실적_법인전체_OH금년</v>
      </c>
      <c r="B78" s="7"/>
      <c r="C78" s="7"/>
      <c r="D78" s="7"/>
      <c r="E78" s="7"/>
      <c r="F78" s="7"/>
      <c r="G78" s="7" t="s">
        <v>9</v>
      </c>
      <c r="H78" s="7" t="s">
        <v>98</v>
      </c>
      <c r="I78" s="7" t="s">
        <v>101</v>
      </c>
      <c r="J78" s="10" t="s">
        <v>50</v>
      </c>
      <c r="K78" s="9"/>
      <c r="L78" s="24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6"/>
      <c r="X78" s="24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6"/>
      <c r="AJ78" s="24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6"/>
      <c r="AV78" s="24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6"/>
      <c r="BH78" s="27"/>
      <c r="BI78" s="25"/>
      <c r="BJ78" s="25"/>
      <c r="BK78" s="25"/>
      <c r="BL78" s="25"/>
    </row>
    <row r="79" spans="1:64">
      <c r="A79" s="10" t="str">
        <f t="shared" si="7"/>
        <v>DMTOH_COST2.당월실적_법인전체_OH전년</v>
      </c>
      <c r="B79" s="7"/>
      <c r="C79" s="7"/>
      <c r="D79" s="7"/>
      <c r="E79" s="7"/>
      <c r="F79" s="7"/>
      <c r="G79" s="7" t="s">
        <v>9</v>
      </c>
      <c r="H79" s="7" t="s">
        <v>98</v>
      </c>
      <c r="I79" s="7" t="s">
        <v>101</v>
      </c>
      <c r="J79" s="23" t="s">
        <v>34</v>
      </c>
      <c r="K79" s="9"/>
      <c r="L79" s="24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6"/>
      <c r="X79" s="24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6"/>
      <c r="AJ79" s="24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6"/>
      <c r="AV79" s="24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6"/>
      <c r="BH79" s="27"/>
      <c r="BI79" s="25"/>
      <c r="BJ79" s="25"/>
      <c r="BK79" s="25"/>
      <c r="BL79" s="25"/>
    </row>
    <row r="80" spans="1:64">
      <c r="A80" s="10" t="str">
        <f t="shared" si="7"/>
        <v>DTTOH_COST2.당월실적_법인전체_OH금년</v>
      </c>
      <c r="B80" s="7"/>
      <c r="C80" s="7"/>
      <c r="D80" s="7"/>
      <c r="E80" s="7"/>
      <c r="F80" s="7"/>
      <c r="G80" s="7" t="s">
        <v>95</v>
      </c>
      <c r="H80" s="7" t="s">
        <v>98</v>
      </c>
      <c r="I80" s="7" t="s">
        <v>101</v>
      </c>
      <c r="J80" s="10" t="s">
        <v>50</v>
      </c>
      <c r="K80" s="9"/>
      <c r="L80" s="24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6"/>
      <c r="X80" s="24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6"/>
      <c r="AJ80" s="24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6"/>
      <c r="AV80" s="24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6"/>
      <c r="BH80" s="27"/>
      <c r="BI80" s="25"/>
      <c r="BJ80" s="25"/>
      <c r="BK80" s="25"/>
      <c r="BL80" s="25"/>
    </row>
    <row r="81" spans="1:64">
      <c r="A81" s="10" t="str">
        <f t="shared" si="7"/>
        <v>DTTOH_COST2.당월실적_법인전체_OH전년</v>
      </c>
      <c r="B81" s="7"/>
      <c r="C81" s="7"/>
      <c r="D81" s="7"/>
      <c r="E81" s="7"/>
      <c r="F81" s="7"/>
      <c r="G81" s="7" t="s">
        <v>95</v>
      </c>
      <c r="H81" s="7" t="s">
        <v>98</v>
      </c>
      <c r="I81" s="7" t="s">
        <v>101</v>
      </c>
      <c r="J81" s="23" t="s">
        <v>34</v>
      </c>
      <c r="K81" s="9"/>
      <c r="L81" s="24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6"/>
      <c r="X81" s="24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6"/>
      <c r="AJ81" s="24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6"/>
      <c r="AV81" s="24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6"/>
      <c r="BH81" s="27"/>
      <c r="BI81" s="25"/>
      <c r="BJ81" s="25"/>
      <c r="BK81" s="25"/>
      <c r="BL81" s="25"/>
    </row>
    <row r="82" spans="1:64">
      <c r="A82" s="10" t="str">
        <f t="shared" si="7"/>
        <v>PGTOH_COST2.당월실적_법인전체_OH금년</v>
      </c>
      <c r="B82" s="7"/>
      <c r="C82" s="7"/>
      <c r="D82" s="7"/>
      <c r="E82" s="7"/>
      <c r="F82" s="7"/>
      <c r="G82" s="7" t="s">
        <v>18</v>
      </c>
      <c r="H82" s="7" t="s">
        <v>98</v>
      </c>
      <c r="I82" s="7" t="s">
        <v>101</v>
      </c>
      <c r="J82" s="10" t="s">
        <v>50</v>
      </c>
      <c r="K82" s="9"/>
      <c r="L82" s="24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6"/>
      <c r="X82" s="24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6"/>
      <c r="AJ82" s="24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6"/>
      <c r="AV82" s="24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6"/>
      <c r="BH82" s="27"/>
      <c r="BI82" s="25"/>
      <c r="BJ82" s="25"/>
      <c r="BK82" s="25"/>
      <c r="BL82" s="25"/>
    </row>
    <row r="83" spans="1:64">
      <c r="A83" s="10" t="str">
        <f t="shared" si="7"/>
        <v>PGTOH_COST2.당월실적_법인전체_OH전년</v>
      </c>
      <c r="B83" s="7"/>
      <c r="C83" s="7"/>
      <c r="D83" s="7"/>
      <c r="E83" s="7"/>
      <c r="F83" s="7"/>
      <c r="G83" s="7" t="s">
        <v>18</v>
      </c>
      <c r="H83" s="7" t="s">
        <v>98</v>
      </c>
      <c r="I83" s="7" t="s">
        <v>101</v>
      </c>
      <c r="J83" s="23" t="s">
        <v>34</v>
      </c>
      <c r="K83" s="9"/>
      <c r="L83" s="24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6"/>
      <c r="X83" s="24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6"/>
      <c r="AJ83" s="24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6"/>
      <c r="AV83" s="24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6"/>
      <c r="BH83" s="27"/>
      <c r="BI83" s="25"/>
      <c r="BJ83" s="25"/>
      <c r="BK83" s="25"/>
      <c r="BL83" s="25"/>
    </row>
    <row r="84" spans="1:64">
      <c r="A84" s="6"/>
      <c r="K84" s="9"/>
    </row>
    <row r="85" spans="1:64">
      <c r="A85" s="6"/>
      <c r="K85" s="9"/>
    </row>
    <row r="86" spans="1:64">
      <c r="A86" s="10" t="str">
        <f t="shared" ref="A86:A105" si="8">TRIM(B86)&amp;TRIM(C86)&amp;TRIM(D86)&amp;TRIM(E86)&amp;TRIM(F86)&amp;TRIM(G86)&amp;TRIM(H86)&amp;TRIM(I86)&amp;TRIM(J86)</f>
        <v>GLTSALES_DEDUCTION2.당월실적_B2C금년</v>
      </c>
      <c r="B86" s="7"/>
      <c r="C86" s="7"/>
      <c r="D86" s="7"/>
      <c r="E86" s="7"/>
      <c r="F86" s="7"/>
      <c r="G86" s="7" t="s">
        <v>12</v>
      </c>
      <c r="H86" s="7" t="s">
        <v>102</v>
      </c>
      <c r="I86" s="7" t="s">
        <v>55</v>
      </c>
      <c r="J86" s="10" t="s">
        <v>50</v>
      </c>
      <c r="K86" s="9"/>
      <c r="L86" s="24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6"/>
      <c r="X86" s="24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6"/>
      <c r="AJ86" s="24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6"/>
      <c r="AV86" s="24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6"/>
      <c r="BH86" s="27"/>
      <c r="BI86" s="25"/>
      <c r="BJ86" s="25"/>
      <c r="BK86" s="25"/>
      <c r="BL86" s="25"/>
    </row>
    <row r="87" spans="1:64">
      <c r="A87" s="10" t="str">
        <f t="shared" si="8"/>
        <v>GLTSALES_DEDUCTION2.당월실적_B2C전년</v>
      </c>
      <c r="B87" s="7"/>
      <c r="C87" s="7"/>
      <c r="D87" s="7"/>
      <c r="E87" s="7"/>
      <c r="F87" s="7"/>
      <c r="G87" s="7" t="s">
        <v>12</v>
      </c>
      <c r="H87" s="7" t="s">
        <v>53</v>
      </c>
      <c r="I87" s="7" t="s">
        <v>55</v>
      </c>
      <c r="J87" s="23" t="s">
        <v>34</v>
      </c>
      <c r="K87" s="9"/>
      <c r="L87" s="24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6"/>
      <c r="X87" s="24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6"/>
      <c r="AJ87" s="24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6"/>
      <c r="AV87" s="24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6"/>
      <c r="BH87" s="27"/>
      <c r="BI87" s="25"/>
      <c r="BJ87" s="25"/>
      <c r="BK87" s="25"/>
      <c r="BL87" s="25"/>
    </row>
    <row r="88" spans="1:64">
      <c r="A88" s="10" t="str">
        <f t="shared" si="8"/>
        <v>GTTSALES_DEDUCTION2.당월실적_B2C금년</v>
      </c>
      <c r="B88" s="7"/>
      <c r="C88" s="7"/>
      <c r="D88" s="7"/>
      <c r="E88" s="7"/>
      <c r="F88" s="7"/>
      <c r="G88" s="7" t="s">
        <v>14</v>
      </c>
      <c r="H88" s="7" t="s">
        <v>53</v>
      </c>
      <c r="I88" s="7" t="s">
        <v>55</v>
      </c>
      <c r="J88" s="10" t="s">
        <v>50</v>
      </c>
      <c r="K88" s="9"/>
      <c r="L88" s="24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6"/>
      <c r="X88" s="24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6"/>
      <c r="AJ88" s="24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6"/>
      <c r="AV88" s="24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6"/>
      <c r="BH88" s="27"/>
      <c r="BI88" s="25"/>
      <c r="BJ88" s="25"/>
      <c r="BK88" s="25"/>
      <c r="BL88" s="25"/>
    </row>
    <row r="89" spans="1:64">
      <c r="A89" s="10" t="str">
        <f t="shared" si="8"/>
        <v>GTTSALES_DEDUCTION2.당월실적_B2C전년</v>
      </c>
      <c r="B89" s="7"/>
      <c r="C89" s="7"/>
      <c r="D89" s="7"/>
      <c r="E89" s="7"/>
      <c r="F89" s="7"/>
      <c r="G89" s="7" t="s">
        <v>14</v>
      </c>
      <c r="H89" s="7" t="s">
        <v>53</v>
      </c>
      <c r="I89" s="7" t="s">
        <v>55</v>
      </c>
      <c r="J89" s="23" t="s">
        <v>34</v>
      </c>
      <c r="K89" s="9"/>
      <c r="L89" s="24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6"/>
      <c r="X89" s="24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6"/>
      <c r="AJ89" s="24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6"/>
      <c r="AV89" s="24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6"/>
      <c r="BH89" s="27"/>
      <c r="BI89" s="25"/>
      <c r="BJ89" s="25"/>
      <c r="BK89" s="25"/>
      <c r="BL89" s="25"/>
    </row>
    <row r="90" spans="1:64">
      <c r="A90" s="10" t="str">
        <f t="shared" si="8"/>
        <v>PNTSALES_DEDUCTION2.당월실적_B2C금년</v>
      </c>
      <c r="B90" s="7"/>
      <c r="C90" s="7"/>
      <c r="D90" s="7"/>
      <c r="E90" s="7"/>
      <c r="F90" s="7"/>
      <c r="G90" s="7" t="s">
        <v>16</v>
      </c>
      <c r="H90" s="7" t="s">
        <v>53</v>
      </c>
      <c r="I90" s="7" t="s">
        <v>55</v>
      </c>
      <c r="J90" s="10" t="s">
        <v>50</v>
      </c>
      <c r="K90" s="9"/>
      <c r="L90" s="24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6"/>
      <c r="X90" s="24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6"/>
      <c r="AJ90" s="24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6"/>
      <c r="AV90" s="24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6"/>
      <c r="BH90" s="27"/>
      <c r="BI90" s="25"/>
      <c r="BJ90" s="25"/>
      <c r="BK90" s="25"/>
      <c r="BL90" s="25"/>
    </row>
    <row r="91" spans="1:64">
      <c r="A91" s="10" t="str">
        <f t="shared" si="8"/>
        <v>PNTSALES_DEDUCTION2.당월실적_B2C전년</v>
      </c>
      <c r="B91" s="7"/>
      <c r="C91" s="7"/>
      <c r="D91" s="7"/>
      <c r="E91" s="7"/>
      <c r="F91" s="7"/>
      <c r="G91" s="7" t="s">
        <v>16</v>
      </c>
      <c r="H91" s="7" t="s">
        <v>53</v>
      </c>
      <c r="I91" s="7" t="s">
        <v>55</v>
      </c>
      <c r="J91" s="23" t="s">
        <v>34</v>
      </c>
      <c r="K91" s="9"/>
      <c r="L91" s="24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6"/>
      <c r="X91" s="24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6"/>
      <c r="AJ91" s="24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6"/>
      <c r="AV91" s="24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6"/>
      <c r="BH91" s="27"/>
      <c r="BI91" s="25"/>
      <c r="BJ91" s="25"/>
      <c r="BK91" s="25"/>
      <c r="BL91" s="25"/>
    </row>
    <row r="92" spans="1:64">
      <c r="A92" s="10" t="str">
        <f t="shared" si="8"/>
        <v>MSTSALES_DEDUCTION2.당월실적_B2C금년</v>
      </c>
      <c r="B92" s="7"/>
      <c r="C92" s="7"/>
      <c r="D92" s="7"/>
      <c r="E92" s="7"/>
      <c r="F92" s="7"/>
      <c r="G92" s="7" t="s">
        <v>15</v>
      </c>
      <c r="H92" s="7" t="s">
        <v>53</v>
      </c>
      <c r="I92" s="7" t="s">
        <v>55</v>
      </c>
      <c r="J92" s="10" t="s">
        <v>50</v>
      </c>
      <c r="K92" s="9"/>
      <c r="L92" s="24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6"/>
      <c r="X92" s="24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6"/>
      <c r="AJ92" s="24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6"/>
      <c r="AV92" s="24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6"/>
      <c r="BH92" s="27"/>
      <c r="BI92" s="25"/>
      <c r="BJ92" s="25"/>
      <c r="BK92" s="25"/>
      <c r="BL92" s="25"/>
    </row>
    <row r="93" spans="1:64">
      <c r="A93" s="10" t="str">
        <f t="shared" si="8"/>
        <v>MSTSALES_DEDUCTION2.당월실적_B2C전년</v>
      </c>
      <c r="B93" s="7"/>
      <c r="C93" s="7"/>
      <c r="D93" s="7"/>
      <c r="E93" s="7"/>
      <c r="F93" s="7"/>
      <c r="G93" s="7" t="s">
        <v>15</v>
      </c>
      <c r="H93" s="7" t="s">
        <v>53</v>
      </c>
      <c r="I93" s="7" t="s">
        <v>55</v>
      </c>
      <c r="J93" s="23" t="s">
        <v>34</v>
      </c>
      <c r="K93" s="9"/>
      <c r="L93" s="24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6"/>
      <c r="X93" s="24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6"/>
      <c r="AJ93" s="24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6"/>
      <c r="AV93" s="24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6"/>
      <c r="BH93" s="27"/>
      <c r="BI93" s="25"/>
      <c r="BJ93" s="25"/>
      <c r="BK93" s="25"/>
      <c r="BL93" s="25"/>
    </row>
    <row r="94" spans="1:64">
      <c r="A94" s="10" t="str">
        <f t="shared" si="8"/>
        <v>CNTSALES_DEDUCTION2.당월실적_B2C금년</v>
      </c>
      <c r="B94" s="7"/>
      <c r="C94" s="7"/>
      <c r="D94" s="7"/>
      <c r="E94" s="7"/>
      <c r="F94" s="7"/>
      <c r="G94" s="7" t="s">
        <v>6</v>
      </c>
      <c r="H94" s="7" t="s">
        <v>53</v>
      </c>
      <c r="I94" s="7" t="s">
        <v>55</v>
      </c>
      <c r="J94" s="10" t="s">
        <v>50</v>
      </c>
      <c r="K94" s="9"/>
      <c r="L94" s="24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6"/>
      <c r="X94" s="24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6"/>
      <c r="AJ94" s="24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6"/>
      <c r="AV94" s="24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6"/>
      <c r="BH94" s="27"/>
      <c r="BI94" s="25"/>
      <c r="BJ94" s="25"/>
      <c r="BK94" s="25"/>
      <c r="BL94" s="25"/>
    </row>
    <row r="95" spans="1:64">
      <c r="A95" s="10" t="str">
        <f t="shared" si="8"/>
        <v>CNTSALES_DEDUCTION2.당월실적_B2C전년</v>
      </c>
      <c r="B95" s="7"/>
      <c r="C95" s="7"/>
      <c r="D95" s="7"/>
      <c r="E95" s="7"/>
      <c r="F95" s="7"/>
      <c r="G95" s="7" t="s">
        <v>6</v>
      </c>
      <c r="H95" s="7" t="s">
        <v>53</v>
      </c>
      <c r="I95" s="7" t="s">
        <v>55</v>
      </c>
      <c r="J95" s="23" t="s">
        <v>34</v>
      </c>
      <c r="K95" s="9"/>
      <c r="L95" s="24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6"/>
      <c r="X95" s="24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6"/>
      <c r="AJ95" s="24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6"/>
      <c r="AV95" s="24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6"/>
      <c r="BH95" s="27"/>
      <c r="BI95" s="25"/>
      <c r="BJ95" s="25"/>
      <c r="BK95" s="25"/>
      <c r="BL95" s="25"/>
    </row>
    <row r="96" spans="1:64">
      <c r="A96" s="10" t="str">
        <f t="shared" si="8"/>
        <v>DFTSALES_DEDUCTION2.당월실적_B2C금년</v>
      </c>
      <c r="B96" s="7"/>
      <c r="C96" s="7"/>
      <c r="D96" s="7"/>
      <c r="E96" s="7"/>
      <c r="F96" s="7"/>
      <c r="G96" s="7" t="s">
        <v>7</v>
      </c>
      <c r="H96" s="7" t="s">
        <v>53</v>
      </c>
      <c r="I96" s="7" t="str">
        <f t="shared" ref="I96:I105" si="9">I86</f>
        <v>2.당월실적_B2C</v>
      </c>
      <c r="J96" s="10" t="s">
        <v>50</v>
      </c>
      <c r="K96" s="9"/>
      <c r="L96" s="24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6"/>
      <c r="X96" s="24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6"/>
      <c r="AJ96" s="24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6"/>
      <c r="AV96" s="24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6"/>
      <c r="BH96" s="27"/>
      <c r="BI96" s="25"/>
      <c r="BJ96" s="25"/>
      <c r="BK96" s="25"/>
      <c r="BL96" s="25"/>
    </row>
    <row r="97" spans="1:64">
      <c r="A97" s="10" t="str">
        <f t="shared" si="8"/>
        <v>DFTSALES_DEDUCTION2.당월실적_B2C전년</v>
      </c>
      <c r="B97" s="7"/>
      <c r="C97" s="7"/>
      <c r="D97" s="7"/>
      <c r="E97" s="7"/>
      <c r="F97" s="7"/>
      <c r="G97" s="7" t="s">
        <v>7</v>
      </c>
      <c r="H97" s="7" t="s">
        <v>53</v>
      </c>
      <c r="I97" s="7" t="str">
        <f t="shared" si="9"/>
        <v>2.당월실적_B2C</v>
      </c>
      <c r="J97" s="23" t="s">
        <v>34</v>
      </c>
      <c r="K97" s="9"/>
      <c r="L97" s="24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6"/>
      <c r="X97" s="24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6"/>
      <c r="AJ97" s="24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6"/>
      <c r="AV97" s="24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6"/>
      <c r="BH97" s="27"/>
      <c r="BI97" s="25"/>
      <c r="BJ97" s="25"/>
      <c r="BK97" s="25"/>
      <c r="BL97" s="25"/>
    </row>
    <row r="98" spans="1:64">
      <c r="A98" s="10" t="str">
        <f t="shared" si="8"/>
        <v>DGTSALES_DEDUCTION2.당월실적_B2C금년</v>
      </c>
      <c r="B98" s="7"/>
      <c r="C98" s="7"/>
      <c r="D98" s="7"/>
      <c r="E98" s="7"/>
      <c r="F98" s="7"/>
      <c r="G98" s="7" t="s">
        <v>8</v>
      </c>
      <c r="H98" s="7" t="s">
        <v>53</v>
      </c>
      <c r="I98" s="7" t="str">
        <f t="shared" si="9"/>
        <v>2.당월실적_B2C</v>
      </c>
      <c r="J98" s="10" t="s">
        <v>50</v>
      </c>
      <c r="K98" s="9"/>
      <c r="L98" s="24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6"/>
      <c r="X98" s="24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6"/>
      <c r="AJ98" s="24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6"/>
      <c r="AV98" s="24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6"/>
      <c r="BH98" s="27"/>
      <c r="BI98" s="25"/>
      <c r="BJ98" s="25"/>
      <c r="BK98" s="25"/>
      <c r="BL98" s="25"/>
    </row>
    <row r="99" spans="1:64">
      <c r="A99" s="10" t="str">
        <f t="shared" si="8"/>
        <v>DGTSALES_DEDUCTION2.당월실적_B2C전년</v>
      </c>
      <c r="B99" s="7"/>
      <c r="C99" s="7"/>
      <c r="D99" s="7"/>
      <c r="E99" s="7"/>
      <c r="F99" s="7"/>
      <c r="G99" s="7" t="s">
        <v>8</v>
      </c>
      <c r="H99" s="7" t="s">
        <v>53</v>
      </c>
      <c r="I99" s="7" t="str">
        <f t="shared" si="9"/>
        <v>2.당월실적_B2C</v>
      </c>
      <c r="J99" s="23" t="s">
        <v>34</v>
      </c>
      <c r="K99" s="9"/>
      <c r="L99" s="24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6"/>
      <c r="X99" s="24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6"/>
      <c r="AJ99" s="24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6"/>
      <c r="AV99" s="24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6"/>
      <c r="BH99" s="27"/>
      <c r="BI99" s="25"/>
      <c r="BJ99" s="25"/>
      <c r="BK99" s="25"/>
      <c r="BL99" s="25"/>
    </row>
    <row r="100" spans="1:64">
      <c r="A100" s="10" t="str">
        <f t="shared" si="8"/>
        <v>PCTSALES_DEDUCTION2.당월실적_B2C금년</v>
      </c>
      <c r="B100" s="7"/>
      <c r="C100" s="7"/>
      <c r="D100" s="7"/>
      <c r="E100" s="7"/>
      <c r="F100" s="7"/>
      <c r="G100" s="7" t="s">
        <v>19</v>
      </c>
      <c r="H100" s="7" t="s">
        <v>53</v>
      </c>
      <c r="I100" s="7" t="str">
        <f t="shared" si="9"/>
        <v>2.당월실적_B2C</v>
      </c>
      <c r="J100" s="10" t="s">
        <v>50</v>
      </c>
      <c r="K100" s="9"/>
      <c r="L100" s="24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6"/>
      <c r="X100" s="24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6"/>
      <c r="AJ100" s="24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6"/>
      <c r="AV100" s="24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6"/>
      <c r="BH100" s="27"/>
      <c r="BI100" s="25"/>
      <c r="BJ100" s="25"/>
      <c r="BK100" s="25"/>
      <c r="BL100" s="25"/>
    </row>
    <row r="101" spans="1:64">
      <c r="A101" s="10" t="str">
        <f t="shared" si="8"/>
        <v>PCTSALES_DEDUCTION2.당월실적_B2C전년</v>
      </c>
      <c r="B101" s="7"/>
      <c r="C101" s="7"/>
      <c r="D101" s="7"/>
      <c r="E101" s="7"/>
      <c r="F101" s="7"/>
      <c r="G101" s="7" t="s">
        <v>19</v>
      </c>
      <c r="H101" s="7" t="s">
        <v>53</v>
      </c>
      <c r="I101" s="7" t="str">
        <f t="shared" si="9"/>
        <v>2.당월실적_B2C</v>
      </c>
      <c r="J101" s="23" t="s">
        <v>34</v>
      </c>
      <c r="K101" s="9"/>
      <c r="L101" s="24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6"/>
      <c r="X101" s="24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6"/>
      <c r="AJ101" s="24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6"/>
      <c r="AV101" s="24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6"/>
      <c r="BH101" s="27"/>
      <c r="BI101" s="25"/>
      <c r="BJ101" s="25"/>
      <c r="BK101" s="25"/>
      <c r="BL101" s="25"/>
    </row>
    <row r="102" spans="1:64">
      <c r="A102" s="10" t="str">
        <f t="shared" si="8"/>
        <v>PSTSALES_DEDUCTION2.당월실적_B2C금년</v>
      </c>
      <c r="B102" s="7"/>
      <c r="C102" s="7"/>
      <c r="D102" s="7"/>
      <c r="E102" s="7"/>
      <c r="F102" s="7"/>
      <c r="G102" s="7" t="s">
        <v>17</v>
      </c>
      <c r="H102" s="7" t="s">
        <v>53</v>
      </c>
      <c r="I102" s="7" t="str">
        <f t="shared" si="9"/>
        <v>2.당월실적_B2C</v>
      </c>
      <c r="J102" s="10" t="s">
        <v>50</v>
      </c>
      <c r="K102" s="9"/>
      <c r="L102" s="24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6"/>
      <c r="X102" s="24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6"/>
      <c r="AJ102" s="24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6"/>
      <c r="AV102" s="24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6"/>
      <c r="BH102" s="27"/>
      <c r="BI102" s="25"/>
      <c r="BJ102" s="25"/>
      <c r="BK102" s="25"/>
      <c r="BL102" s="25"/>
    </row>
    <row r="103" spans="1:64">
      <c r="A103" s="10" t="str">
        <f t="shared" si="8"/>
        <v>PSTSALES_DEDUCTION2.당월실적_B2C전년</v>
      </c>
      <c r="B103" s="7"/>
      <c r="C103" s="7"/>
      <c r="D103" s="7"/>
      <c r="E103" s="7"/>
      <c r="F103" s="7"/>
      <c r="G103" s="7" t="s">
        <v>17</v>
      </c>
      <c r="H103" s="7" t="s">
        <v>53</v>
      </c>
      <c r="I103" s="7" t="str">
        <f t="shared" si="9"/>
        <v>2.당월실적_B2C</v>
      </c>
      <c r="J103" s="23" t="s">
        <v>34</v>
      </c>
      <c r="K103" s="9"/>
      <c r="L103" s="24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6"/>
      <c r="X103" s="24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6"/>
      <c r="AJ103" s="24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6"/>
      <c r="AV103" s="24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6"/>
      <c r="BH103" s="27"/>
      <c r="BI103" s="25"/>
      <c r="BJ103" s="25"/>
      <c r="BK103" s="25"/>
      <c r="BL103" s="25"/>
    </row>
    <row r="104" spans="1:64">
      <c r="A104" s="10" t="str">
        <f t="shared" si="8"/>
        <v>DVTSALES_DEDUCTION2.당월실적_B2C금년</v>
      </c>
      <c r="B104" s="7"/>
      <c r="C104" s="7"/>
      <c r="D104" s="7"/>
      <c r="E104" s="7"/>
      <c r="F104" s="7"/>
      <c r="G104" s="7" t="s">
        <v>10</v>
      </c>
      <c r="H104" s="7" t="s">
        <v>53</v>
      </c>
      <c r="I104" s="7" t="str">
        <f t="shared" si="9"/>
        <v>2.당월실적_B2C</v>
      </c>
      <c r="J104" s="10" t="s">
        <v>50</v>
      </c>
      <c r="K104" s="9"/>
      <c r="L104" s="24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6"/>
      <c r="X104" s="24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6"/>
      <c r="AJ104" s="24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6"/>
      <c r="AV104" s="24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6"/>
      <c r="BH104" s="27"/>
      <c r="BI104" s="25"/>
      <c r="BJ104" s="25"/>
      <c r="BK104" s="25"/>
      <c r="BL104" s="25"/>
    </row>
    <row r="105" spans="1:64">
      <c r="A105" s="10" t="str">
        <f t="shared" si="8"/>
        <v>DVTSALES_DEDUCTION2.당월실적_B2C전년</v>
      </c>
      <c r="B105" s="7"/>
      <c r="C105" s="7"/>
      <c r="D105" s="7"/>
      <c r="E105" s="7"/>
      <c r="F105" s="7"/>
      <c r="G105" s="7" t="s">
        <v>10</v>
      </c>
      <c r="H105" s="7" t="s">
        <v>53</v>
      </c>
      <c r="I105" s="7" t="str">
        <f t="shared" si="9"/>
        <v>2.당월실적_B2C</v>
      </c>
      <c r="J105" s="23" t="s">
        <v>34</v>
      </c>
      <c r="K105" s="9"/>
      <c r="L105" s="24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6"/>
      <c r="X105" s="24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6"/>
      <c r="AJ105" s="24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6"/>
      <c r="AV105" s="24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6"/>
      <c r="BH105" s="27"/>
      <c r="BI105" s="25"/>
      <c r="BJ105" s="25"/>
      <c r="BK105" s="25"/>
      <c r="BL105" s="25"/>
    </row>
    <row r="106" spans="1:64">
      <c r="A106" s="6"/>
      <c r="K106" s="9"/>
    </row>
    <row r="107" spans="1:64">
      <c r="A107" s="10" t="str">
        <f t="shared" ref="A107:A120" si="10">TRIM(B107)&amp;TRIM(C107)&amp;TRIM(D107)&amp;TRIM(E107)&amp;TRIM(F107)&amp;TRIM(G107)&amp;TRIM(H107)&amp;TRIM(I107)&amp;TRIM(J107)</f>
        <v>GJTSALES_DEDUCTION2.당월실적_B2B금년</v>
      </c>
      <c r="B107" s="7"/>
      <c r="C107" s="7"/>
      <c r="D107" s="7"/>
      <c r="E107" s="7"/>
      <c r="F107" s="7"/>
      <c r="G107" s="7" t="s">
        <v>11</v>
      </c>
      <c r="H107" s="7" t="s">
        <v>53</v>
      </c>
      <c r="I107" s="7" t="s">
        <v>96</v>
      </c>
      <c r="J107" s="10" t="s">
        <v>50</v>
      </c>
      <c r="K107" s="9"/>
      <c r="L107" s="24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6"/>
      <c r="X107" s="24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6"/>
      <c r="AJ107" s="24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6"/>
      <c r="AV107" s="24"/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6"/>
      <c r="BH107" s="27"/>
      <c r="BI107" s="25"/>
      <c r="BJ107" s="25"/>
      <c r="BK107" s="25"/>
      <c r="BL107" s="25"/>
    </row>
    <row r="108" spans="1:64" ht="18" customHeight="1">
      <c r="A108" s="10" t="str">
        <f t="shared" si="10"/>
        <v>GJTSALES_DEDUCTION2.당월실적_B2B전년</v>
      </c>
      <c r="B108" s="7"/>
      <c r="C108" s="7"/>
      <c r="D108" s="7"/>
      <c r="E108" s="7"/>
      <c r="F108" s="7"/>
      <c r="G108" s="7" t="s">
        <v>11</v>
      </c>
      <c r="H108" s="7" t="s">
        <v>53</v>
      </c>
      <c r="I108" s="7" t="s">
        <v>96</v>
      </c>
      <c r="J108" s="23" t="s">
        <v>34</v>
      </c>
      <c r="K108" s="9"/>
      <c r="L108" s="24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6"/>
      <c r="X108" s="24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6"/>
      <c r="AJ108" s="24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6"/>
      <c r="AV108" s="24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6"/>
      <c r="BH108" s="27"/>
      <c r="BI108" s="25"/>
      <c r="BJ108" s="25"/>
      <c r="BK108" s="25"/>
      <c r="BL108" s="25"/>
    </row>
    <row r="109" spans="1:64">
      <c r="A109" s="10" t="str">
        <f t="shared" si="10"/>
        <v>GNTSALES_DEDUCTION2.당월실적_B2B금년</v>
      </c>
      <c r="B109" s="7"/>
      <c r="C109" s="7"/>
      <c r="D109" s="7"/>
      <c r="E109" s="7"/>
      <c r="F109" s="7"/>
      <c r="G109" s="7" t="s">
        <v>13</v>
      </c>
      <c r="H109" s="7" t="s">
        <v>53</v>
      </c>
      <c r="I109" s="7" t="s">
        <v>96</v>
      </c>
      <c r="J109" s="10" t="s">
        <v>50</v>
      </c>
      <c r="K109" s="9"/>
      <c r="L109" s="24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6"/>
      <c r="X109" s="24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6"/>
      <c r="AJ109" s="24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6"/>
      <c r="AV109" s="24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6"/>
      <c r="BH109" s="27"/>
      <c r="BI109" s="25"/>
      <c r="BJ109" s="25"/>
      <c r="BK109" s="25"/>
      <c r="BL109" s="25"/>
    </row>
    <row r="110" spans="1:64">
      <c r="A110" s="10" t="str">
        <f t="shared" si="10"/>
        <v>GNTSALES_DEDUCTION2.당월실적_B2B전년</v>
      </c>
      <c r="B110" s="7"/>
      <c r="C110" s="7"/>
      <c r="D110" s="7"/>
      <c r="E110" s="7"/>
      <c r="F110" s="7"/>
      <c r="G110" s="7" t="s">
        <v>13</v>
      </c>
      <c r="H110" s="7" t="s">
        <v>53</v>
      </c>
      <c r="I110" s="7" t="s">
        <v>96</v>
      </c>
      <c r="J110" s="23" t="s">
        <v>34</v>
      </c>
      <c r="K110" s="9"/>
      <c r="L110" s="24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6"/>
      <c r="X110" s="24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6"/>
      <c r="AJ110" s="24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6"/>
      <c r="AV110" s="24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6"/>
      <c r="BH110" s="27"/>
      <c r="BI110" s="25"/>
      <c r="BJ110" s="25"/>
      <c r="BK110" s="25"/>
      <c r="BL110" s="25"/>
    </row>
    <row r="111" spans="1:64">
      <c r="A111" s="10" t="str">
        <f t="shared" si="10"/>
        <v>GOTSALES_DEDUCTION2.당월실적_B2B금년</v>
      </c>
      <c r="B111" s="7"/>
      <c r="C111" s="7"/>
      <c r="D111" s="7"/>
      <c r="E111" s="7"/>
      <c r="F111" s="7"/>
      <c r="G111" s="7" t="s">
        <v>94</v>
      </c>
      <c r="H111" s="7" t="s">
        <v>53</v>
      </c>
      <c r="I111" s="7" t="s">
        <v>96</v>
      </c>
      <c r="J111" s="10" t="s">
        <v>50</v>
      </c>
      <c r="K111" s="9"/>
      <c r="L111" s="24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6"/>
      <c r="X111" s="24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6"/>
      <c r="AJ111" s="24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6"/>
      <c r="AV111" s="24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6"/>
      <c r="BH111" s="27"/>
      <c r="BI111" s="25"/>
      <c r="BJ111" s="25"/>
      <c r="BK111" s="25"/>
      <c r="BL111" s="25"/>
    </row>
    <row r="112" spans="1:64">
      <c r="A112" s="10" t="str">
        <f t="shared" si="10"/>
        <v>GOTSALES_DEDUCTION2.당월실적_B2B전년</v>
      </c>
      <c r="B112" s="7"/>
      <c r="C112" s="7"/>
      <c r="D112" s="7"/>
      <c r="E112" s="7"/>
      <c r="F112" s="7"/>
      <c r="G112" s="7" t="s">
        <v>94</v>
      </c>
      <c r="H112" s="7" t="s">
        <v>53</v>
      </c>
      <c r="I112" s="7" t="s">
        <v>96</v>
      </c>
      <c r="J112" s="23" t="s">
        <v>34</v>
      </c>
      <c r="K112" s="9"/>
      <c r="L112" s="24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6"/>
      <c r="X112" s="24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6"/>
      <c r="AJ112" s="24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6"/>
      <c r="AV112" s="24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6"/>
      <c r="BH112" s="27"/>
      <c r="BI112" s="25"/>
      <c r="BJ112" s="25"/>
      <c r="BK112" s="25"/>
      <c r="BL112" s="25"/>
    </row>
    <row r="113" spans="1:64">
      <c r="A113" s="10" t="str">
        <f t="shared" si="10"/>
        <v>PKTSALES_DEDUCTION2.당월실적_B2B금년</v>
      </c>
      <c r="B113" s="7"/>
      <c r="C113" s="7"/>
      <c r="D113" s="7"/>
      <c r="E113" s="7"/>
      <c r="F113" s="7"/>
      <c r="G113" s="7" t="s">
        <v>82</v>
      </c>
      <c r="H113" s="7" t="s">
        <v>53</v>
      </c>
      <c r="I113" s="7" t="s">
        <v>96</v>
      </c>
      <c r="J113" s="10" t="s">
        <v>50</v>
      </c>
      <c r="K113" s="9"/>
      <c r="L113" s="24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6"/>
      <c r="X113" s="24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6"/>
      <c r="AJ113" s="24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6"/>
      <c r="AV113" s="24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6"/>
      <c r="BH113" s="27"/>
      <c r="BI113" s="25"/>
      <c r="BJ113" s="25"/>
      <c r="BK113" s="25"/>
      <c r="BL113" s="25"/>
    </row>
    <row r="114" spans="1:64">
      <c r="A114" s="10" t="str">
        <f t="shared" si="10"/>
        <v>PKTSALES_DEDUCTION2.당월실적_B2B전년</v>
      </c>
      <c r="B114" s="7"/>
      <c r="C114" s="7"/>
      <c r="D114" s="7"/>
      <c r="E114" s="7"/>
      <c r="F114" s="7"/>
      <c r="G114" s="7" t="s">
        <v>82</v>
      </c>
      <c r="H114" s="7" t="s">
        <v>53</v>
      </c>
      <c r="I114" s="7" t="s">
        <v>96</v>
      </c>
      <c r="J114" s="23" t="s">
        <v>34</v>
      </c>
      <c r="K114" s="9"/>
      <c r="L114" s="24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6"/>
      <c r="X114" s="24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6"/>
      <c r="AJ114" s="24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6"/>
      <c r="AV114" s="24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6"/>
      <c r="BH114" s="27"/>
      <c r="BI114" s="25"/>
      <c r="BJ114" s="25"/>
      <c r="BK114" s="25"/>
      <c r="BL114" s="25"/>
    </row>
    <row r="115" spans="1:64">
      <c r="A115" s="10" t="str">
        <f t="shared" si="10"/>
        <v>DMTSALES_DEDUCTION2.당월실적_B2B금년</v>
      </c>
      <c r="B115" s="7"/>
      <c r="C115" s="7"/>
      <c r="D115" s="7"/>
      <c r="E115" s="7"/>
      <c r="F115" s="7"/>
      <c r="G115" s="7" t="s">
        <v>9</v>
      </c>
      <c r="H115" s="7" t="s">
        <v>53</v>
      </c>
      <c r="I115" s="7" t="s">
        <v>96</v>
      </c>
      <c r="J115" s="10" t="s">
        <v>50</v>
      </c>
      <c r="K115" s="9"/>
      <c r="L115" s="24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6"/>
      <c r="X115" s="24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6"/>
      <c r="AJ115" s="24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6"/>
      <c r="AV115" s="24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6"/>
      <c r="BH115" s="27"/>
      <c r="BI115" s="25"/>
      <c r="BJ115" s="25"/>
      <c r="BK115" s="25"/>
      <c r="BL115" s="25"/>
    </row>
    <row r="116" spans="1:64">
      <c r="A116" s="10" t="str">
        <f t="shared" si="10"/>
        <v>DMTSALES_DEDUCTION2.당월실적_B2B전년</v>
      </c>
      <c r="B116" s="7"/>
      <c r="C116" s="7"/>
      <c r="D116" s="7"/>
      <c r="E116" s="7"/>
      <c r="F116" s="7"/>
      <c r="G116" s="7" t="s">
        <v>9</v>
      </c>
      <c r="H116" s="7" t="s">
        <v>53</v>
      </c>
      <c r="I116" s="7" t="s">
        <v>96</v>
      </c>
      <c r="J116" s="23" t="s">
        <v>34</v>
      </c>
      <c r="K116" s="9"/>
      <c r="L116" s="24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6"/>
      <c r="X116" s="24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6"/>
      <c r="AJ116" s="24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6"/>
      <c r="AV116" s="24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6"/>
      <c r="BH116" s="27"/>
      <c r="BI116" s="25"/>
      <c r="BJ116" s="25"/>
      <c r="BK116" s="25"/>
      <c r="BL116" s="25"/>
    </row>
    <row r="117" spans="1:64">
      <c r="A117" s="10" t="str">
        <f t="shared" si="10"/>
        <v>DTTSALES_DEDUCTION2.당월실적_B2B금년</v>
      </c>
      <c r="B117" s="7"/>
      <c r="C117" s="7"/>
      <c r="D117" s="7"/>
      <c r="E117" s="7"/>
      <c r="F117" s="7"/>
      <c r="G117" s="7" t="s">
        <v>95</v>
      </c>
      <c r="H117" s="7" t="s">
        <v>53</v>
      </c>
      <c r="I117" s="7" t="s">
        <v>96</v>
      </c>
      <c r="J117" s="10" t="s">
        <v>50</v>
      </c>
      <c r="K117" s="9"/>
      <c r="L117" s="24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6"/>
      <c r="X117" s="24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6"/>
      <c r="AJ117" s="24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6"/>
      <c r="AV117" s="24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6"/>
      <c r="BH117" s="27"/>
      <c r="BI117" s="25"/>
      <c r="BJ117" s="25"/>
      <c r="BK117" s="25"/>
      <c r="BL117" s="25"/>
    </row>
    <row r="118" spans="1:64">
      <c r="A118" s="10" t="str">
        <f t="shared" si="10"/>
        <v>DTTSALES_DEDUCTION2.당월실적_B2B전년</v>
      </c>
      <c r="B118" s="7"/>
      <c r="C118" s="7"/>
      <c r="D118" s="7"/>
      <c r="E118" s="7"/>
      <c r="F118" s="7"/>
      <c r="G118" s="7" t="s">
        <v>95</v>
      </c>
      <c r="H118" s="7" t="s">
        <v>53</v>
      </c>
      <c r="I118" s="7" t="s">
        <v>96</v>
      </c>
      <c r="J118" s="23" t="s">
        <v>34</v>
      </c>
      <c r="K118" s="9"/>
      <c r="L118" s="24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6"/>
      <c r="X118" s="24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6"/>
      <c r="AJ118" s="24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6"/>
      <c r="AV118" s="24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6"/>
      <c r="BH118" s="27"/>
      <c r="BI118" s="25"/>
      <c r="BJ118" s="25"/>
      <c r="BK118" s="25"/>
      <c r="BL118" s="25"/>
    </row>
    <row r="119" spans="1:64">
      <c r="A119" s="10" t="str">
        <f t="shared" si="10"/>
        <v>PGTSALES_DEDUCTION2.당월실적_B2B금년</v>
      </c>
      <c r="B119" s="7"/>
      <c r="C119" s="7"/>
      <c r="D119" s="7"/>
      <c r="E119" s="7"/>
      <c r="F119" s="7"/>
      <c r="G119" s="7" t="s">
        <v>18</v>
      </c>
      <c r="H119" s="7" t="s">
        <v>53</v>
      </c>
      <c r="I119" s="7" t="s">
        <v>96</v>
      </c>
      <c r="J119" s="10" t="s">
        <v>50</v>
      </c>
      <c r="K119" s="9"/>
      <c r="L119" s="24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6"/>
      <c r="X119" s="24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6"/>
      <c r="AJ119" s="24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6"/>
      <c r="AV119" s="24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6"/>
      <c r="BH119" s="27"/>
      <c r="BI119" s="25"/>
      <c r="BJ119" s="25"/>
      <c r="BK119" s="25"/>
      <c r="BL119" s="25"/>
    </row>
    <row r="120" spans="1:64">
      <c r="A120" s="10" t="str">
        <f t="shared" si="10"/>
        <v>PGTSALES_DEDUCTION2.당월실적_B2B전년</v>
      </c>
      <c r="B120" s="7"/>
      <c r="C120" s="7"/>
      <c r="D120" s="7"/>
      <c r="E120" s="7"/>
      <c r="F120" s="7"/>
      <c r="G120" s="7" t="s">
        <v>18</v>
      </c>
      <c r="H120" s="7" t="s">
        <v>53</v>
      </c>
      <c r="I120" s="7" t="s">
        <v>96</v>
      </c>
      <c r="J120" s="23" t="s">
        <v>34</v>
      </c>
      <c r="K120" s="9"/>
      <c r="L120" s="24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6"/>
      <c r="X120" s="24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6"/>
      <c r="AJ120" s="24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6"/>
      <c r="AV120" s="24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6"/>
      <c r="BH120" s="27"/>
      <c r="BI120" s="25"/>
      <c r="BJ120" s="25"/>
      <c r="BK120" s="25"/>
      <c r="BL120" s="25"/>
    </row>
    <row r="121" spans="1:64">
      <c r="A121" s="6"/>
      <c r="K121" s="9"/>
    </row>
    <row r="122" spans="1:64">
      <c r="A122" s="10" t="str">
        <f t="shared" ref="A122:A141" si="11">TRIM(B122)&amp;TRIM(C122)&amp;TRIM(D122)&amp;TRIM(E122)&amp;TRIM(F122)&amp;TRIM(G122)&amp;TRIM(H122)&amp;TRIM(I122)&amp;TRIM(J122)</f>
        <v>GLTOH_V_COST2.당월실적_B2C금년</v>
      </c>
      <c r="B122" s="7"/>
      <c r="C122" s="7"/>
      <c r="D122" s="7"/>
      <c r="E122" s="7"/>
      <c r="F122" s="7"/>
      <c r="G122" s="7" t="s">
        <v>12</v>
      </c>
      <c r="H122" s="7" t="s">
        <v>103</v>
      </c>
      <c r="I122" s="7" t="s">
        <v>55</v>
      </c>
      <c r="J122" s="10" t="s">
        <v>50</v>
      </c>
      <c r="K122" s="9"/>
      <c r="L122" s="24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6"/>
      <c r="X122" s="24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6"/>
      <c r="AJ122" s="24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6"/>
      <c r="AV122" s="24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6"/>
      <c r="BH122" s="27"/>
      <c r="BI122" s="25"/>
      <c r="BJ122" s="25"/>
      <c r="BK122" s="25"/>
      <c r="BL122" s="25"/>
    </row>
    <row r="123" spans="1:64">
      <c r="A123" s="10" t="str">
        <f t="shared" si="11"/>
        <v>GLTOH_V_COST2.당월실적_B2C전년</v>
      </c>
      <c r="B123" s="7"/>
      <c r="C123" s="7"/>
      <c r="D123" s="7"/>
      <c r="E123" s="7"/>
      <c r="F123" s="7"/>
      <c r="G123" s="7" t="s">
        <v>12</v>
      </c>
      <c r="H123" s="7" t="s">
        <v>103</v>
      </c>
      <c r="I123" s="7" t="s">
        <v>55</v>
      </c>
      <c r="J123" s="23" t="s">
        <v>34</v>
      </c>
      <c r="K123" s="9"/>
      <c r="L123" s="24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6"/>
      <c r="X123" s="24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6"/>
      <c r="AJ123" s="24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6"/>
      <c r="AV123" s="24"/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6"/>
      <c r="BH123" s="27"/>
      <c r="BI123" s="25"/>
      <c r="BJ123" s="25"/>
      <c r="BK123" s="25"/>
      <c r="BL123" s="25"/>
    </row>
    <row r="124" spans="1:64">
      <c r="A124" s="10" t="str">
        <f t="shared" si="11"/>
        <v>GTTOH_V_COST2.당월실적_B2C금년</v>
      </c>
      <c r="B124" s="7"/>
      <c r="C124" s="7"/>
      <c r="D124" s="7"/>
      <c r="E124" s="7"/>
      <c r="F124" s="7"/>
      <c r="G124" s="7" t="s">
        <v>14</v>
      </c>
      <c r="H124" s="7" t="s">
        <v>103</v>
      </c>
      <c r="I124" s="7" t="s">
        <v>55</v>
      </c>
      <c r="J124" s="10" t="s">
        <v>50</v>
      </c>
      <c r="K124" s="9"/>
      <c r="L124" s="24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6"/>
      <c r="X124" s="24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6"/>
      <c r="AJ124" s="24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6"/>
      <c r="AV124" s="24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6"/>
      <c r="BH124" s="27"/>
      <c r="BI124" s="25"/>
      <c r="BJ124" s="25"/>
      <c r="BK124" s="25"/>
      <c r="BL124" s="25"/>
    </row>
    <row r="125" spans="1:64">
      <c r="A125" s="10" t="str">
        <f t="shared" si="11"/>
        <v>GTTOH_V_COST2.당월실적_B2C전년</v>
      </c>
      <c r="B125" s="7"/>
      <c r="C125" s="7"/>
      <c r="D125" s="7"/>
      <c r="E125" s="7"/>
      <c r="F125" s="7"/>
      <c r="G125" s="7" t="s">
        <v>14</v>
      </c>
      <c r="H125" s="7" t="s">
        <v>103</v>
      </c>
      <c r="I125" s="7" t="s">
        <v>55</v>
      </c>
      <c r="J125" s="23" t="s">
        <v>34</v>
      </c>
      <c r="K125" s="9"/>
      <c r="L125" s="24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6"/>
      <c r="X125" s="24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6"/>
      <c r="AJ125" s="24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6"/>
      <c r="AV125" s="24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6"/>
      <c r="BH125" s="27"/>
      <c r="BI125" s="25"/>
      <c r="BJ125" s="25"/>
      <c r="BK125" s="25"/>
      <c r="BL125" s="25"/>
    </row>
    <row r="126" spans="1:64">
      <c r="A126" s="10" t="str">
        <f t="shared" si="11"/>
        <v>PNTOH_V_COST2.당월실적_B2C금년</v>
      </c>
      <c r="B126" s="7"/>
      <c r="C126" s="7"/>
      <c r="D126" s="7"/>
      <c r="E126" s="7"/>
      <c r="F126" s="7"/>
      <c r="G126" s="7" t="s">
        <v>16</v>
      </c>
      <c r="H126" s="7" t="s">
        <v>103</v>
      </c>
      <c r="I126" s="7" t="s">
        <v>55</v>
      </c>
      <c r="J126" s="10" t="s">
        <v>50</v>
      </c>
      <c r="K126" s="9"/>
      <c r="L126" s="24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6"/>
      <c r="X126" s="24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6"/>
      <c r="AJ126" s="24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6"/>
      <c r="AV126" s="24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6"/>
      <c r="BH126" s="27"/>
      <c r="BI126" s="25"/>
      <c r="BJ126" s="25"/>
      <c r="BK126" s="25"/>
      <c r="BL126" s="25"/>
    </row>
    <row r="127" spans="1:64">
      <c r="A127" s="10" t="str">
        <f t="shared" si="11"/>
        <v>PNTOH_V_COST2.당월실적_B2C전년</v>
      </c>
      <c r="B127" s="7"/>
      <c r="C127" s="7"/>
      <c r="D127" s="7"/>
      <c r="E127" s="7"/>
      <c r="F127" s="7"/>
      <c r="G127" s="7" t="s">
        <v>16</v>
      </c>
      <c r="H127" s="7" t="s">
        <v>103</v>
      </c>
      <c r="I127" s="7" t="s">
        <v>55</v>
      </c>
      <c r="J127" s="23" t="s">
        <v>34</v>
      </c>
      <c r="K127" s="9"/>
      <c r="L127" s="24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6"/>
      <c r="X127" s="24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6"/>
      <c r="AJ127" s="24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6"/>
      <c r="AV127" s="24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6"/>
      <c r="BH127" s="27"/>
      <c r="BI127" s="25"/>
      <c r="BJ127" s="25"/>
      <c r="BK127" s="25"/>
      <c r="BL127" s="25"/>
    </row>
    <row r="128" spans="1:64">
      <c r="A128" s="10" t="str">
        <f t="shared" si="11"/>
        <v>MSTOH_V_COST2.당월실적_B2C금년</v>
      </c>
      <c r="B128" s="7"/>
      <c r="C128" s="7"/>
      <c r="D128" s="7"/>
      <c r="E128" s="7"/>
      <c r="F128" s="7"/>
      <c r="G128" s="7" t="s">
        <v>15</v>
      </c>
      <c r="H128" s="7" t="s">
        <v>103</v>
      </c>
      <c r="I128" s="7" t="s">
        <v>55</v>
      </c>
      <c r="J128" s="10" t="s">
        <v>50</v>
      </c>
      <c r="K128" s="9"/>
      <c r="L128" s="24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6"/>
      <c r="X128" s="24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6"/>
      <c r="AJ128" s="24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6"/>
      <c r="AV128" s="24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6"/>
      <c r="BH128" s="27"/>
      <c r="BI128" s="25"/>
      <c r="BJ128" s="25"/>
      <c r="BK128" s="25"/>
      <c r="BL128" s="25"/>
    </row>
    <row r="129" spans="1:64">
      <c r="A129" s="10" t="str">
        <f t="shared" si="11"/>
        <v>MSTOH_V_COST2.당월실적_B2C전년</v>
      </c>
      <c r="B129" s="7"/>
      <c r="C129" s="7"/>
      <c r="D129" s="7"/>
      <c r="E129" s="7"/>
      <c r="F129" s="7"/>
      <c r="G129" s="7" t="s">
        <v>15</v>
      </c>
      <c r="H129" s="7" t="s">
        <v>103</v>
      </c>
      <c r="I129" s="7" t="s">
        <v>55</v>
      </c>
      <c r="J129" s="23" t="s">
        <v>34</v>
      </c>
      <c r="K129" s="9"/>
      <c r="L129" s="24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6"/>
      <c r="X129" s="24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6"/>
      <c r="AJ129" s="24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6"/>
      <c r="AV129" s="24"/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6"/>
      <c r="BH129" s="27"/>
      <c r="BI129" s="25"/>
      <c r="BJ129" s="25"/>
      <c r="BK129" s="25"/>
      <c r="BL129" s="25"/>
    </row>
    <row r="130" spans="1:64">
      <c r="A130" s="10" t="str">
        <f t="shared" si="11"/>
        <v>CNTOH_V_COST2.당월실적_B2C금년</v>
      </c>
      <c r="B130" s="7"/>
      <c r="C130" s="7"/>
      <c r="D130" s="7"/>
      <c r="E130" s="7"/>
      <c r="F130" s="7"/>
      <c r="G130" s="7" t="s">
        <v>6</v>
      </c>
      <c r="H130" s="7" t="s">
        <v>103</v>
      </c>
      <c r="I130" s="7" t="s">
        <v>55</v>
      </c>
      <c r="J130" s="10" t="s">
        <v>50</v>
      </c>
      <c r="K130" s="9"/>
      <c r="L130" s="24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6"/>
      <c r="X130" s="24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6"/>
      <c r="AJ130" s="24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6"/>
      <c r="AV130" s="24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6"/>
      <c r="BH130" s="27"/>
      <c r="BI130" s="25"/>
      <c r="BJ130" s="25"/>
      <c r="BK130" s="25"/>
      <c r="BL130" s="25"/>
    </row>
    <row r="131" spans="1:64">
      <c r="A131" s="10" t="str">
        <f t="shared" si="11"/>
        <v>CNTOH_V_COST2.당월실적_B2C전년</v>
      </c>
      <c r="B131" s="7"/>
      <c r="C131" s="7"/>
      <c r="D131" s="7"/>
      <c r="E131" s="7"/>
      <c r="F131" s="7"/>
      <c r="G131" s="7" t="s">
        <v>6</v>
      </c>
      <c r="H131" s="7" t="s">
        <v>103</v>
      </c>
      <c r="I131" s="7" t="s">
        <v>55</v>
      </c>
      <c r="J131" s="23" t="s">
        <v>34</v>
      </c>
      <c r="K131" s="9"/>
      <c r="L131" s="24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6"/>
      <c r="X131" s="24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6"/>
      <c r="AJ131" s="24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6"/>
      <c r="AV131" s="24"/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6"/>
      <c r="BH131" s="27"/>
      <c r="BI131" s="25"/>
      <c r="BJ131" s="25"/>
      <c r="BK131" s="25"/>
      <c r="BL131" s="25"/>
    </row>
    <row r="132" spans="1:64">
      <c r="A132" s="10" t="str">
        <f t="shared" si="11"/>
        <v>DFTOH_V_COST2.당월실적_B2C금년</v>
      </c>
      <c r="B132" s="7"/>
      <c r="C132" s="7"/>
      <c r="D132" s="7"/>
      <c r="E132" s="7"/>
      <c r="F132" s="7"/>
      <c r="G132" s="7" t="s">
        <v>7</v>
      </c>
      <c r="H132" s="7" t="s">
        <v>103</v>
      </c>
      <c r="I132" s="7" t="str">
        <f t="shared" ref="I132:I141" si="12">I122</f>
        <v>2.당월실적_B2C</v>
      </c>
      <c r="J132" s="10" t="s">
        <v>50</v>
      </c>
      <c r="K132" s="9"/>
      <c r="L132" s="24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6"/>
      <c r="X132" s="24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6"/>
      <c r="AJ132" s="24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6"/>
      <c r="AV132" s="24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6"/>
      <c r="BH132" s="27"/>
      <c r="BI132" s="25"/>
      <c r="BJ132" s="25"/>
      <c r="BK132" s="25"/>
      <c r="BL132" s="25"/>
    </row>
    <row r="133" spans="1:64">
      <c r="A133" s="10" t="str">
        <f t="shared" si="11"/>
        <v>DFTOH_V_COST2.당월실적_B2C전년</v>
      </c>
      <c r="B133" s="7"/>
      <c r="C133" s="7"/>
      <c r="D133" s="7"/>
      <c r="E133" s="7"/>
      <c r="F133" s="7"/>
      <c r="G133" s="7" t="s">
        <v>7</v>
      </c>
      <c r="H133" s="7" t="s">
        <v>103</v>
      </c>
      <c r="I133" s="7" t="str">
        <f t="shared" si="12"/>
        <v>2.당월실적_B2C</v>
      </c>
      <c r="J133" s="23" t="s">
        <v>34</v>
      </c>
      <c r="K133" s="9"/>
      <c r="L133" s="24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6"/>
      <c r="X133" s="24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6"/>
      <c r="AJ133" s="24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6"/>
      <c r="AV133" s="24"/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6"/>
      <c r="BH133" s="27"/>
      <c r="BI133" s="25"/>
      <c r="BJ133" s="25"/>
      <c r="BK133" s="25"/>
      <c r="BL133" s="25"/>
    </row>
    <row r="134" spans="1:64">
      <c r="A134" s="10" t="str">
        <f t="shared" si="11"/>
        <v>DGTOH_V_COST2.당월실적_B2C금년</v>
      </c>
      <c r="B134" s="7"/>
      <c r="C134" s="7"/>
      <c r="D134" s="7"/>
      <c r="E134" s="7"/>
      <c r="F134" s="7"/>
      <c r="G134" s="7" t="s">
        <v>8</v>
      </c>
      <c r="H134" s="7" t="s">
        <v>103</v>
      </c>
      <c r="I134" s="7" t="str">
        <f t="shared" si="12"/>
        <v>2.당월실적_B2C</v>
      </c>
      <c r="J134" s="10" t="s">
        <v>50</v>
      </c>
      <c r="K134" s="9"/>
      <c r="L134" s="24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6"/>
      <c r="X134" s="24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6"/>
      <c r="AJ134" s="24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6"/>
      <c r="AV134" s="24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6"/>
      <c r="BH134" s="27"/>
      <c r="BI134" s="25"/>
      <c r="BJ134" s="25"/>
      <c r="BK134" s="25"/>
      <c r="BL134" s="25"/>
    </row>
    <row r="135" spans="1:64">
      <c r="A135" s="10" t="str">
        <f t="shared" si="11"/>
        <v>DGTOH_V_COST2.당월실적_B2C전년</v>
      </c>
      <c r="B135" s="7"/>
      <c r="C135" s="7"/>
      <c r="D135" s="7"/>
      <c r="E135" s="7"/>
      <c r="F135" s="7"/>
      <c r="G135" s="7" t="s">
        <v>8</v>
      </c>
      <c r="H135" s="7" t="s">
        <v>103</v>
      </c>
      <c r="I135" s="7" t="str">
        <f t="shared" si="12"/>
        <v>2.당월실적_B2C</v>
      </c>
      <c r="J135" s="23" t="s">
        <v>34</v>
      </c>
      <c r="K135" s="9"/>
      <c r="L135" s="24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6"/>
      <c r="X135" s="24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6"/>
      <c r="AJ135" s="24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6"/>
      <c r="AV135" s="24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6"/>
      <c r="BH135" s="27"/>
      <c r="BI135" s="25"/>
      <c r="BJ135" s="25"/>
      <c r="BK135" s="25"/>
      <c r="BL135" s="25"/>
    </row>
    <row r="136" spans="1:64">
      <c r="A136" s="10" t="str">
        <f t="shared" si="11"/>
        <v>PCTOH_V_COST2.당월실적_B2C금년</v>
      </c>
      <c r="B136" s="7"/>
      <c r="C136" s="7"/>
      <c r="D136" s="7"/>
      <c r="E136" s="7"/>
      <c r="F136" s="7"/>
      <c r="G136" s="7" t="s">
        <v>19</v>
      </c>
      <c r="H136" s="7" t="s">
        <v>103</v>
      </c>
      <c r="I136" s="7" t="str">
        <f t="shared" si="12"/>
        <v>2.당월실적_B2C</v>
      </c>
      <c r="J136" s="10" t="s">
        <v>50</v>
      </c>
      <c r="K136" s="9"/>
      <c r="L136" s="24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6"/>
      <c r="X136" s="24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6"/>
      <c r="AJ136" s="24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6"/>
      <c r="AV136" s="24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6"/>
      <c r="BH136" s="27"/>
      <c r="BI136" s="25"/>
      <c r="BJ136" s="25"/>
      <c r="BK136" s="25"/>
      <c r="BL136" s="25"/>
    </row>
    <row r="137" spans="1:64">
      <c r="A137" s="10" t="str">
        <f t="shared" si="11"/>
        <v>PCTOH_V_COST2.당월실적_B2C전년</v>
      </c>
      <c r="B137" s="7"/>
      <c r="C137" s="7"/>
      <c r="D137" s="7"/>
      <c r="E137" s="7"/>
      <c r="F137" s="7"/>
      <c r="G137" s="7" t="s">
        <v>19</v>
      </c>
      <c r="H137" s="7" t="s">
        <v>103</v>
      </c>
      <c r="I137" s="7" t="str">
        <f t="shared" si="12"/>
        <v>2.당월실적_B2C</v>
      </c>
      <c r="J137" s="23" t="s">
        <v>34</v>
      </c>
      <c r="K137" s="9"/>
      <c r="L137" s="24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6"/>
      <c r="X137" s="24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6"/>
      <c r="AJ137" s="24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6"/>
      <c r="AV137" s="24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6"/>
      <c r="BH137" s="27"/>
      <c r="BI137" s="25"/>
      <c r="BJ137" s="25"/>
      <c r="BK137" s="25"/>
      <c r="BL137" s="25"/>
    </row>
    <row r="138" spans="1:64">
      <c r="A138" s="10" t="str">
        <f t="shared" si="11"/>
        <v>PSTOH_V_COST2.당월실적_B2C금년</v>
      </c>
      <c r="B138" s="7"/>
      <c r="C138" s="7"/>
      <c r="D138" s="7"/>
      <c r="E138" s="7"/>
      <c r="F138" s="7"/>
      <c r="G138" s="7" t="s">
        <v>17</v>
      </c>
      <c r="H138" s="7" t="s">
        <v>103</v>
      </c>
      <c r="I138" s="7" t="str">
        <f t="shared" si="12"/>
        <v>2.당월실적_B2C</v>
      </c>
      <c r="J138" s="10" t="s">
        <v>50</v>
      </c>
      <c r="K138" s="9"/>
      <c r="L138" s="24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6"/>
      <c r="X138" s="24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6"/>
      <c r="AJ138" s="24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6"/>
      <c r="AV138" s="24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6"/>
      <c r="BH138" s="27"/>
      <c r="BI138" s="25"/>
      <c r="BJ138" s="25"/>
      <c r="BK138" s="25"/>
      <c r="BL138" s="25"/>
    </row>
    <row r="139" spans="1:64">
      <c r="A139" s="10" t="str">
        <f t="shared" si="11"/>
        <v>PSTOH_V_COST2.당월실적_B2C전년</v>
      </c>
      <c r="B139" s="7"/>
      <c r="C139" s="7"/>
      <c r="D139" s="7"/>
      <c r="E139" s="7"/>
      <c r="F139" s="7"/>
      <c r="G139" s="7" t="s">
        <v>17</v>
      </c>
      <c r="H139" s="7" t="s">
        <v>103</v>
      </c>
      <c r="I139" s="7" t="str">
        <f t="shared" si="12"/>
        <v>2.당월실적_B2C</v>
      </c>
      <c r="J139" s="23" t="s">
        <v>34</v>
      </c>
      <c r="K139" s="9"/>
      <c r="L139" s="24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6"/>
      <c r="X139" s="24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6"/>
      <c r="AJ139" s="24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6"/>
      <c r="AV139" s="24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6"/>
      <c r="BH139" s="27"/>
      <c r="BI139" s="25"/>
      <c r="BJ139" s="25"/>
      <c r="BK139" s="25"/>
      <c r="BL139" s="25"/>
    </row>
    <row r="140" spans="1:64">
      <c r="A140" s="10" t="str">
        <f t="shared" si="11"/>
        <v>DVTOH_V_COST2.당월실적_B2C금년</v>
      </c>
      <c r="B140" s="7"/>
      <c r="C140" s="7"/>
      <c r="D140" s="7"/>
      <c r="E140" s="7"/>
      <c r="F140" s="7"/>
      <c r="G140" s="7" t="s">
        <v>10</v>
      </c>
      <c r="H140" s="7" t="s">
        <v>103</v>
      </c>
      <c r="I140" s="7" t="str">
        <f t="shared" si="12"/>
        <v>2.당월실적_B2C</v>
      </c>
      <c r="J140" s="10" t="s">
        <v>50</v>
      </c>
      <c r="K140" s="9"/>
      <c r="L140" s="24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6"/>
      <c r="X140" s="24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6"/>
      <c r="AJ140" s="24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6"/>
      <c r="AV140" s="24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6"/>
      <c r="BH140" s="27"/>
      <c r="BI140" s="25"/>
      <c r="BJ140" s="25"/>
      <c r="BK140" s="25"/>
      <c r="BL140" s="25"/>
    </row>
    <row r="141" spans="1:64">
      <c r="A141" s="10" t="str">
        <f t="shared" si="11"/>
        <v>DVTOH_V_COST2.당월실적_B2C전년</v>
      </c>
      <c r="B141" s="7"/>
      <c r="C141" s="7"/>
      <c r="D141" s="7"/>
      <c r="E141" s="7"/>
      <c r="F141" s="7"/>
      <c r="G141" s="7" t="s">
        <v>10</v>
      </c>
      <c r="H141" s="7" t="s">
        <v>103</v>
      </c>
      <c r="I141" s="7" t="str">
        <f t="shared" si="12"/>
        <v>2.당월실적_B2C</v>
      </c>
      <c r="J141" s="23" t="s">
        <v>34</v>
      </c>
      <c r="K141" s="9"/>
      <c r="L141" s="24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6"/>
      <c r="X141" s="24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6"/>
      <c r="AJ141" s="24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6"/>
      <c r="AV141" s="24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6"/>
      <c r="BH141" s="27"/>
      <c r="BI141" s="25"/>
      <c r="BJ141" s="25"/>
      <c r="BK141" s="25"/>
      <c r="BL141" s="25"/>
    </row>
    <row r="142" spans="1:64">
      <c r="A142" s="6"/>
      <c r="H142" t="s">
        <v>103</v>
      </c>
      <c r="K142" s="9"/>
    </row>
    <row r="143" spans="1:64">
      <c r="A143" s="10" t="str">
        <f t="shared" ref="A143:A156" si="13">TRIM(B143)&amp;TRIM(C143)&amp;TRIM(D143)&amp;TRIM(E143)&amp;TRIM(F143)&amp;TRIM(G143)&amp;TRIM(H143)&amp;TRIM(I143)&amp;TRIM(J143)</f>
        <v>GJTOH_V_COST2.당월실적_B2B금년</v>
      </c>
      <c r="B143" s="7"/>
      <c r="C143" s="7"/>
      <c r="D143" s="7"/>
      <c r="E143" s="7"/>
      <c r="F143" s="7"/>
      <c r="G143" s="7" t="s">
        <v>11</v>
      </c>
      <c r="H143" s="7" t="s">
        <v>103</v>
      </c>
      <c r="I143" s="7" t="s">
        <v>96</v>
      </c>
      <c r="J143" s="10" t="s">
        <v>50</v>
      </c>
      <c r="K143" s="9"/>
      <c r="L143" s="24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6"/>
      <c r="X143" s="24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6"/>
      <c r="AJ143" s="24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6"/>
      <c r="AV143" s="24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6"/>
      <c r="BH143" s="27"/>
      <c r="BI143" s="25"/>
      <c r="BJ143" s="25"/>
      <c r="BK143" s="25"/>
      <c r="BL143" s="25"/>
    </row>
    <row r="144" spans="1:64" ht="18" customHeight="1">
      <c r="A144" s="10" t="str">
        <f t="shared" si="13"/>
        <v>GJTOH_V_COST2.당월실적_B2B전년</v>
      </c>
      <c r="B144" s="7"/>
      <c r="C144" s="7"/>
      <c r="D144" s="7"/>
      <c r="E144" s="7"/>
      <c r="F144" s="7"/>
      <c r="G144" s="7" t="s">
        <v>11</v>
      </c>
      <c r="H144" s="7" t="s">
        <v>103</v>
      </c>
      <c r="I144" s="7" t="s">
        <v>96</v>
      </c>
      <c r="J144" s="23" t="s">
        <v>34</v>
      </c>
      <c r="K144" s="9"/>
      <c r="L144" s="24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6"/>
      <c r="X144" s="24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6"/>
      <c r="AJ144" s="24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6"/>
      <c r="AV144" s="24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6"/>
      <c r="BH144" s="27"/>
      <c r="BI144" s="25"/>
      <c r="BJ144" s="25"/>
      <c r="BK144" s="25"/>
      <c r="BL144" s="25"/>
    </row>
    <row r="145" spans="1:64">
      <c r="A145" s="10" t="str">
        <f t="shared" si="13"/>
        <v>GNTOH_V_COST2.당월실적_B2B금년</v>
      </c>
      <c r="B145" s="7"/>
      <c r="C145" s="7"/>
      <c r="D145" s="7"/>
      <c r="E145" s="7"/>
      <c r="F145" s="7"/>
      <c r="G145" s="7" t="s">
        <v>13</v>
      </c>
      <c r="H145" s="7" t="s">
        <v>103</v>
      </c>
      <c r="I145" s="7" t="s">
        <v>96</v>
      </c>
      <c r="J145" s="10" t="s">
        <v>50</v>
      </c>
      <c r="K145" s="9"/>
      <c r="L145" s="24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6"/>
      <c r="X145" s="24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6"/>
      <c r="AJ145" s="24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6"/>
      <c r="AV145" s="24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6"/>
      <c r="BH145" s="27"/>
      <c r="BI145" s="25"/>
      <c r="BJ145" s="25"/>
      <c r="BK145" s="25"/>
      <c r="BL145" s="25"/>
    </row>
    <row r="146" spans="1:64">
      <c r="A146" s="10" t="str">
        <f t="shared" si="13"/>
        <v>GNTOH_V_COST2.당월실적_B2B전년</v>
      </c>
      <c r="B146" s="7"/>
      <c r="C146" s="7"/>
      <c r="D146" s="7"/>
      <c r="E146" s="7"/>
      <c r="F146" s="7"/>
      <c r="G146" s="7" t="s">
        <v>13</v>
      </c>
      <c r="H146" s="7" t="s">
        <v>103</v>
      </c>
      <c r="I146" s="7" t="s">
        <v>96</v>
      </c>
      <c r="J146" s="23" t="s">
        <v>34</v>
      </c>
      <c r="K146" s="9"/>
      <c r="L146" s="24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6"/>
      <c r="X146" s="24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6"/>
      <c r="AJ146" s="24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6"/>
      <c r="AV146" s="24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6"/>
      <c r="BH146" s="27"/>
      <c r="BI146" s="25"/>
      <c r="BJ146" s="25"/>
      <c r="BK146" s="25"/>
      <c r="BL146" s="25"/>
    </row>
    <row r="147" spans="1:64">
      <c r="A147" s="10" t="str">
        <f t="shared" si="13"/>
        <v>GOTOH_V_COST2.당월실적_B2B금년</v>
      </c>
      <c r="B147" s="7"/>
      <c r="C147" s="7"/>
      <c r="D147" s="7"/>
      <c r="E147" s="7"/>
      <c r="F147" s="7"/>
      <c r="G147" s="7" t="s">
        <v>94</v>
      </c>
      <c r="H147" s="7" t="s">
        <v>103</v>
      </c>
      <c r="I147" s="7" t="s">
        <v>96</v>
      </c>
      <c r="J147" s="10" t="s">
        <v>50</v>
      </c>
      <c r="K147" s="9"/>
      <c r="L147" s="24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6"/>
      <c r="X147" s="24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6"/>
      <c r="AJ147" s="24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6"/>
      <c r="AV147" s="24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6"/>
      <c r="BH147" s="27"/>
      <c r="BI147" s="25"/>
      <c r="BJ147" s="25"/>
      <c r="BK147" s="25"/>
      <c r="BL147" s="25"/>
    </row>
    <row r="148" spans="1:64">
      <c r="A148" s="10" t="str">
        <f t="shared" si="13"/>
        <v>GOTOH_V_COST2.당월실적_B2B전년</v>
      </c>
      <c r="B148" s="7"/>
      <c r="C148" s="7"/>
      <c r="D148" s="7"/>
      <c r="E148" s="7"/>
      <c r="F148" s="7"/>
      <c r="G148" s="7" t="s">
        <v>94</v>
      </c>
      <c r="H148" s="7" t="s">
        <v>103</v>
      </c>
      <c r="I148" s="7" t="s">
        <v>96</v>
      </c>
      <c r="J148" s="23" t="s">
        <v>34</v>
      </c>
      <c r="K148" s="9"/>
      <c r="L148" s="24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6"/>
      <c r="X148" s="24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6"/>
      <c r="AJ148" s="24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6"/>
      <c r="AV148" s="24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6"/>
      <c r="BH148" s="27"/>
      <c r="BI148" s="25"/>
      <c r="BJ148" s="25"/>
      <c r="BK148" s="25"/>
      <c r="BL148" s="25"/>
    </row>
    <row r="149" spans="1:64">
      <c r="A149" s="10" t="str">
        <f t="shared" si="13"/>
        <v>PKTOH_V_COST2.당월실적_B2B금년</v>
      </c>
      <c r="B149" s="7"/>
      <c r="C149" s="7"/>
      <c r="D149" s="7"/>
      <c r="E149" s="7"/>
      <c r="F149" s="7"/>
      <c r="G149" s="7" t="s">
        <v>82</v>
      </c>
      <c r="H149" s="7" t="s">
        <v>103</v>
      </c>
      <c r="I149" s="7" t="s">
        <v>96</v>
      </c>
      <c r="J149" s="10" t="s">
        <v>50</v>
      </c>
      <c r="K149" s="9"/>
      <c r="L149" s="24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6"/>
      <c r="X149" s="24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6"/>
      <c r="AJ149" s="24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6"/>
      <c r="AV149" s="24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6"/>
      <c r="BH149" s="27"/>
      <c r="BI149" s="25"/>
      <c r="BJ149" s="25"/>
      <c r="BK149" s="25"/>
      <c r="BL149" s="25"/>
    </row>
    <row r="150" spans="1:64">
      <c r="A150" s="10" t="str">
        <f t="shared" si="13"/>
        <v>PKTOH_V_COST2.당월실적_B2B전년</v>
      </c>
      <c r="B150" s="7"/>
      <c r="C150" s="7"/>
      <c r="D150" s="7"/>
      <c r="E150" s="7"/>
      <c r="F150" s="7"/>
      <c r="G150" s="7" t="s">
        <v>82</v>
      </c>
      <c r="H150" s="7" t="s">
        <v>103</v>
      </c>
      <c r="I150" s="7" t="s">
        <v>96</v>
      </c>
      <c r="J150" s="23" t="s">
        <v>34</v>
      </c>
      <c r="K150" s="9"/>
      <c r="L150" s="24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6"/>
      <c r="X150" s="24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6"/>
      <c r="AJ150" s="24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6"/>
      <c r="AV150" s="24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6"/>
      <c r="BH150" s="27"/>
      <c r="BI150" s="25"/>
      <c r="BJ150" s="25"/>
      <c r="BK150" s="25"/>
      <c r="BL150" s="25"/>
    </row>
    <row r="151" spans="1:64">
      <c r="A151" s="10" t="str">
        <f t="shared" si="13"/>
        <v>DMTOH_V_COST2.당월실적_B2B금년</v>
      </c>
      <c r="B151" s="7"/>
      <c r="C151" s="7"/>
      <c r="D151" s="7"/>
      <c r="E151" s="7"/>
      <c r="F151" s="7"/>
      <c r="G151" s="7" t="s">
        <v>9</v>
      </c>
      <c r="H151" s="7" t="s">
        <v>103</v>
      </c>
      <c r="I151" s="7" t="s">
        <v>96</v>
      </c>
      <c r="J151" s="10" t="s">
        <v>50</v>
      </c>
      <c r="K151" s="9"/>
      <c r="L151" s="24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6"/>
      <c r="X151" s="24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6"/>
      <c r="AJ151" s="24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6"/>
      <c r="AV151" s="24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6"/>
      <c r="BH151" s="27"/>
      <c r="BI151" s="25"/>
      <c r="BJ151" s="25"/>
      <c r="BK151" s="25"/>
      <c r="BL151" s="25"/>
    </row>
    <row r="152" spans="1:64">
      <c r="A152" s="10" t="str">
        <f t="shared" si="13"/>
        <v>DMTOH_V_COST2.당월실적_B2B전년</v>
      </c>
      <c r="B152" s="7"/>
      <c r="C152" s="7"/>
      <c r="D152" s="7"/>
      <c r="E152" s="7"/>
      <c r="F152" s="7"/>
      <c r="G152" s="7" t="s">
        <v>9</v>
      </c>
      <c r="H152" s="7" t="s">
        <v>103</v>
      </c>
      <c r="I152" s="7" t="s">
        <v>96</v>
      </c>
      <c r="J152" s="23" t="s">
        <v>34</v>
      </c>
      <c r="K152" s="9"/>
      <c r="L152" s="24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6"/>
      <c r="X152" s="24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6"/>
      <c r="AJ152" s="24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6"/>
      <c r="AV152" s="24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6"/>
      <c r="BH152" s="27"/>
      <c r="BI152" s="25"/>
      <c r="BJ152" s="25"/>
      <c r="BK152" s="25"/>
      <c r="BL152" s="25"/>
    </row>
    <row r="153" spans="1:64">
      <c r="A153" s="10" t="str">
        <f t="shared" si="13"/>
        <v>DTTOH_V_COST2.당월실적_B2B금년</v>
      </c>
      <c r="B153" s="7"/>
      <c r="C153" s="7"/>
      <c r="D153" s="7"/>
      <c r="E153" s="7"/>
      <c r="F153" s="7"/>
      <c r="G153" s="7" t="s">
        <v>95</v>
      </c>
      <c r="H153" s="7" t="s">
        <v>103</v>
      </c>
      <c r="I153" s="7" t="s">
        <v>96</v>
      </c>
      <c r="J153" s="10" t="s">
        <v>50</v>
      </c>
      <c r="K153" s="9"/>
      <c r="L153" s="24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6"/>
      <c r="X153" s="24"/>
      <c r="Y153" s="25"/>
      <c r="Z153" s="25"/>
      <c r="AA153" s="25"/>
      <c r="AB153" s="25"/>
      <c r="AC153" s="25"/>
      <c r="AD153" s="25"/>
      <c r="AE153" s="25"/>
      <c r="AF153" s="25"/>
      <c r="AG153" s="25"/>
      <c r="AH153" s="25"/>
      <c r="AI153" s="26"/>
      <c r="AJ153" s="24"/>
      <c r="AK153" s="25"/>
      <c r="AL153" s="25"/>
      <c r="AM153" s="25"/>
      <c r="AN153" s="25"/>
      <c r="AO153" s="25"/>
      <c r="AP153" s="25"/>
      <c r="AQ153" s="25"/>
      <c r="AR153" s="25"/>
      <c r="AS153" s="25"/>
      <c r="AT153" s="25"/>
      <c r="AU153" s="26"/>
      <c r="AV153" s="24"/>
      <c r="AW153" s="25"/>
      <c r="AX153" s="25"/>
      <c r="AY153" s="25"/>
      <c r="AZ153" s="25"/>
      <c r="BA153" s="25"/>
      <c r="BB153" s="25"/>
      <c r="BC153" s="25"/>
      <c r="BD153" s="25"/>
      <c r="BE153" s="25"/>
      <c r="BF153" s="25"/>
      <c r="BG153" s="26"/>
      <c r="BH153" s="27"/>
      <c r="BI153" s="25"/>
      <c r="BJ153" s="25"/>
      <c r="BK153" s="25"/>
      <c r="BL153" s="25"/>
    </row>
    <row r="154" spans="1:64">
      <c r="A154" s="10" t="str">
        <f t="shared" si="13"/>
        <v>DTTOH_V_COST2.당월실적_B2B전년</v>
      </c>
      <c r="B154" s="7"/>
      <c r="C154" s="7"/>
      <c r="D154" s="7"/>
      <c r="E154" s="7"/>
      <c r="F154" s="7"/>
      <c r="G154" s="7" t="s">
        <v>95</v>
      </c>
      <c r="H154" s="7" t="s">
        <v>103</v>
      </c>
      <c r="I154" s="7" t="s">
        <v>96</v>
      </c>
      <c r="J154" s="23" t="s">
        <v>34</v>
      </c>
      <c r="K154" s="9"/>
      <c r="L154" s="24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6"/>
      <c r="X154" s="24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6"/>
      <c r="AJ154" s="24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6"/>
      <c r="AV154" s="24"/>
      <c r="AW154" s="25"/>
      <c r="AX154" s="25"/>
      <c r="AY154" s="25"/>
      <c r="AZ154" s="25"/>
      <c r="BA154" s="25"/>
      <c r="BB154" s="25"/>
      <c r="BC154" s="25"/>
      <c r="BD154" s="25"/>
      <c r="BE154" s="25"/>
      <c r="BF154" s="25"/>
      <c r="BG154" s="26"/>
      <c r="BH154" s="27"/>
      <c r="BI154" s="25"/>
      <c r="BJ154" s="25"/>
      <c r="BK154" s="25"/>
      <c r="BL154" s="25"/>
    </row>
    <row r="155" spans="1:64">
      <c r="A155" s="10" t="str">
        <f t="shared" si="13"/>
        <v>PGTOH_V_COST2.당월실적_B2B금년</v>
      </c>
      <c r="B155" s="7"/>
      <c r="C155" s="7"/>
      <c r="D155" s="7"/>
      <c r="E155" s="7"/>
      <c r="F155" s="7"/>
      <c r="G155" s="7" t="s">
        <v>18</v>
      </c>
      <c r="H155" s="7" t="s">
        <v>103</v>
      </c>
      <c r="I155" s="7" t="s">
        <v>96</v>
      </c>
      <c r="J155" s="10" t="s">
        <v>50</v>
      </c>
      <c r="K155" s="9"/>
      <c r="L155" s="24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6"/>
      <c r="X155" s="24"/>
      <c r="Y155" s="25"/>
      <c r="Z155" s="25"/>
      <c r="AA155" s="25"/>
      <c r="AB155" s="25"/>
      <c r="AC155" s="25"/>
      <c r="AD155" s="25"/>
      <c r="AE155" s="25"/>
      <c r="AF155" s="25"/>
      <c r="AG155" s="25"/>
      <c r="AH155" s="25"/>
      <c r="AI155" s="26"/>
      <c r="AJ155" s="24"/>
      <c r="AK155" s="25"/>
      <c r="AL155" s="25"/>
      <c r="AM155" s="25"/>
      <c r="AN155" s="25"/>
      <c r="AO155" s="25"/>
      <c r="AP155" s="25"/>
      <c r="AQ155" s="25"/>
      <c r="AR155" s="25"/>
      <c r="AS155" s="25"/>
      <c r="AT155" s="25"/>
      <c r="AU155" s="26"/>
      <c r="AV155" s="24"/>
      <c r="AW155" s="25"/>
      <c r="AX155" s="25"/>
      <c r="AY155" s="25"/>
      <c r="AZ155" s="25"/>
      <c r="BA155" s="25"/>
      <c r="BB155" s="25"/>
      <c r="BC155" s="25"/>
      <c r="BD155" s="25"/>
      <c r="BE155" s="25"/>
      <c r="BF155" s="25"/>
      <c r="BG155" s="26"/>
      <c r="BH155" s="27"/>
      <c r="BI155" s="25"/>
      <c r="BJ155" s="25"/>
      <c r="BK155" s="25"/>
      <c r="BL155" s="25"/>
    </row>
    <row r="156" spans="1:64">
      <c r="A156" s="10" t="str">
        <f t="shared" si="13"/>
        <v>PGTOH_V_COST2.당월실적_B2B전년</v>
      </c>
      <c r="B156" s="7"/>
      <c r="C156" s="7"/>
      <c r="D156" s="7"/>
      <c r="E156" s="7"/>
      <c r="F156" s="7"/>
      <c r="G156" s="7" t="s">
        <v>18</v>
      </c>
      <c r="H156" s="7" t="s">
        <v>103</v>
      </c>
      <c r="I156" s="7" t="s">
        <v>96</v>
      </c>
      <c r="J156" s="23" t="s">
        <v>34</v>
      </c>
      <c r="K156" s="9"/>
      <c r="L156" s="24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6"/>
      <c r="X156" s="24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6"/>
      <c r="AJ156" s="24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6"/>
      <c r="AV156" s="24"/>
      <c r="AW156" s="25"/>
      <c r="AX156" s="25"/>
      <c r="AY156" s="25"/>
      <c r="AZ156" s="25"/>
      <c r="BA156" s="25"/>
      <c r="BB156" s="25"/>
      <c r="BC156" s="25"/>
      <c r="BD156" s="25"/>
      <c r="BE156" s="25"/>
      <c r="BF156" s="25"/>
      <c r="BG156" s="26"/>
      <c r="BH156" s="27"/>
      <c r="BI156" s="25"/>
      <c r="BJ156" s="25"/>
      <c r="BK156" s="25"/>
      <c r="BL156" s="25"/>
    </row>
    <row r="157" spans="1:64">
      <c r="A157" s="6"/>
      <c r="K157" s="9"/>
    </row>
    <row r="158" spans="1:64">
      <c r="A158" s="10" t="str">
        <f t="shared" ref="A158:A177" si="14">TRIM(B158)&amp;TRIM(C158)&amp;TRIM(D158)&amp;TRIM(E158)&amp;TRIM(F158)&amp;TRIM(G158)&amp;TRIM(H158)&amp;TRIM(I158)&amp;TRIM(J158)</f>
        <v>GLTOH_V_AD_PROMOTION2.당월실적_B2C금년</v>
      </c>
      <c r="B158" s="7"/>
      <c r="C158" s="7"/>
      <c r="D158" s="7"/>
      <c r="E158" s="7"/>
      <c r="F158" s="7"/>
      <c r="G158" s="7" t="s">
        <v>12</v>
      </c>
      <c r="H158" s="7" t="s">
        <v>104</v>
      </c>
      <c r="I158" s="7" t="s">
        <v>55</v>
      </c>
      <c r="J158" s="10" t="s">
        <v>50</v>
      </c>
      <c r="K158" s="9"/>
      <c r="L158" s="24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6"/>
      <c r="X158" s="24"/>
      <c r="Y158" s="25"/>
      <c r="Z158" s="25"/>
      <c r="AA158" s="25"/>
      <c r="AB158" s="25"/>
      <c r="AC158" s="25"/>
      <c r="AD158" s="25"/>
      <c r="AE158" s="25"/>
      <c r="AF158" s="25"/>
      <c r="AG158" s="25"/>
      <c r="AH158" s="25"/>
      <c r="AI158" s="26"/>
      <c r="AJ158" s="24"/>
      <c r="AK158" s="25"/>
      <c r="AL158" s="25"/>
      <c r="AM158" s="25"/>
      <c r="AN158" s="25"/>
      <c r="AO158" s="25"/>
      <c r="AP158" s="25"/>
      <c r="AQ158" s="25"/>
      <c r="AR158" s="25"/>
      <c r="AS158" s="25"/>
      <c r="AT158" s="25"/>
      <c r="AU158" s="26"/>
      <c r="AV158" s="24"/>
      <c r="AW158" s="25"/>
      <c r="AX158" s="25"/>
      <c r="AY158" s="25"/>
      <c r="AZ158" s="25"/>
      <c r="BA158" s="25"/>
      <c r="BB158" s="25"/>
      <c r="BC158" s="25"/>
      <c r="BD158" s="25"/>
      <c r="BE158" s="25"/>
      <c r="BF158" s="25"/>
      <c r="BG158" s="26"/>
      <c r="BH158" s="27"/>
      <c r="BI158" s="25"/>
      <c r="BJ158" s="25"/>
      <c r="BK158" s="25"/>
      <c r="BL158" s="25"/>
    </row>
    <row r="159" spans="1:64">
      <c r="A159" s="10" t="str">
        <f t="shared" si="14"/>
        <v>GLTOH_V_AD_PROMOTION2.당월실적_B2C전년</v>
      </c>
      <c r="B159" s="7"/>
      <c r="C159" s="7"/>
      <c r="D159" s="7"/>
      <c r="E159" s="7"/>
      <c r="F159" s="7"/>
      <c r="G159" s="7" t="s">
        <v>12</v>
      </c>
      <c r="H159" s="7" t="s">
        <v>104</v>
      </c>
      <c r="I159" s="7" t="s">
        <v>55</v>
      </c>
      <c r="J159" s="23" t="s">
        <v>34</v>
      </c>
      <c r="K159" s="9"/>
      <c r="L159" s="24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6"/>
      <c r="X159" s="24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6"/>
      <c r="AJ159" s="24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  <c r="AU159" s="26"/>
      <c r="AV159" s="24"/>
      <c r="AW159" s="25"/>
      <c r="AX159" s="25"/>
      <c r="AY159" s="25"/>
      <c r="AZ159" s="25"/>
      <c r="BA159" s="25"/>
      <c r="BB159" s="25"/>
      <c r="BC159" s="25"/>
      <c r="BD159" s="25"/>
      <c r="BE159" s="25"/>
      <c r="BF159" s="25"/>
      <c r="BG159" s="26"/>
      <c r="BH159" s="27"/>
      <c r="BI159" s="25"/>
      <c r="BJ159" s="25"/>
      <c r="BK159" s="25"/>
      <c r="BL159" s="25"/>
    </row>
    <row r="160" spans="1:64">
      <c r="A160" s="10" t="str">
        <f t="shared" si="14"/>
        <v>GTTOH_V_AD_PROMOTION2.당월실적_B2C금년</v>
      </c>
      <c r="B160" s="7"/>
      <c r="C160" s="7"/>
      <c r="D160" s="7"/>
      <c r="E160" s="7"/>
      <c r="F160" s="7"/>
      <c r="G160" s="7" t="s">
        <v>14</v>
      </c>
      <c r="H160" s="7" t="s">
        <v>104</v>
      </c>
      <c r="I160" s="7" t="s">
        <v>55</v>
      </c>
      <c r="J160" s="10" t="s">
        <v>50</v>
      </c>
      <c r="K160" s="9"/>
      <c r="L160" s="24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6"/>
      <c r="X160" s="24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6"/>
      <c r="AJ160" s="24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  <c r="AU160" s="26"/>
      <c r="AV160" s="24"/>
      <c r="AW160" s="25"/>
      <c r="AX160" s="25"/>
      <c r="AY160" s="25"/>
      <c r="AZ160" s="25"/>
      <c r="BA160" s="25"/>
      <c r="BB160" s="25"/>
      <c r="BC160" s="25"/>
      <c r="BD160" s="25"/>
      <c r="BE160" s="25"/>
      <c r="BF160" s="25"/>
      <c r="BG160" s="26"/>
      <c r="BH160" s="27"/>
      <c r="BI160" s="25"/>
      <c r="BJ160" s="25"/>
      <c r="BK160" s="25"/>
      <c r="BL160" s="25"/>
    </row>
    <row r="161" spans="1:64">
      <c r="A161" s="10" t="str">
        <f t="shared" si="14"/>
        <v>GTTOH_V_AD_PROMOTION2.당월실적_B2C전년</v>
      </c>
      <c r="B161" s="7"/>
      <c r="C161" s="7"/>
      <c r="D161" s="7"/>
      <c r="E161" s="7"/>
      <c r="F161" s="7"/>
      <c r="G161" s="7" t="s">
        <v>14</v>
      </c>
      <c r="H161" s="7" t="s">
        <v>104</v>
      </c>
      <c r="I161" s="7" t="s">
        <v>55</v>
      </c>
      <c r="J161" s="23" t="s">
        <v>34</v>
      </c>
      <c r="K161" s="9"/>
      <c r="L161" s="24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6"/>
      <c r="X161" s="24"/>
      <c r="Y161" s="25"/>
      <c r="Z161" s="25"/>
      <c r="AA161" s="25"/>
      <c r="AB161" s="25"/>
      <c r="AC161" s="25"/>
      <c r="AD161" s="25"/>
      <c r="AE161" s="25"/>
      <c r="AF161" s="25"/>
      <c r="AG161" s="25"/>
      <c r="AH161" s="25"/>
      <c r="AI161" s="26"/>
      <c r="AJ161" s="24"/>
      <c r="AK161" s="25"/>
      <c r="AL161" s="25"/>
      <c r="AM161" s="25"/>
      <c r="AN161" s="25"/>
      <c r="AO161" s="25"/>
      <c r="AP161" s="25"/>
      <c r="AQ161" s="25"/>
      <c r="AR161" s="25"/>
      <c r="AS161" s="25"/>
      <c r="AT161" s="25"/>
      <c r="AU161" s="26"/>
      <c r="AV161" s="24"/>
      <c r="AW161" s="25"/>
      <c r="AX161" s="25"/>
      <c r="AY161" s="25"/>
      <c r="AZ161" s="25"/>
      <c r="BA161" s="25"/>
      <c r="BB161" s="25"/>
      <c r="BC161" s="25"/>
      <c r="BD161" s="25"/>
      <c r="BE161" s="25"/>
      <c r="BF161" s="25"/>
      <c r="BG161" s="26"/>
      <c r="BH161" s="27"/>
      <c r="BI161" s="25"/>
      <c r="BJ161" s="25"/>
      <c r="BK161" s="25"/>
      <c r="BL161" s="25"/>
    </row>
    <row r="162" spans="1:64">
      <c r="A162" s="10" t="str">
        <f t="shared" si="14"/>
        <v>PNTOH_V_AD_PROMOTION2.당월실적_B2C금년</v>
      </c>
      <c r="B162" s="7"/>
      <c r="C162" s="7"/>
      <c r="D162" s="7"/>
      <c r="E162" s="7"/>
      <c r="F162" s="7"/>
      <c r="G162" s="7" t="s">
        <v>16</v>
      </c>
      <c r="H162" s="7" t="s">
        <v>104</v>
      </c>
      <c r="I162" s="7" t="s">
        <v>55</v>
      </c>
      <c r="J162" s="10" t="s">
        <v>50</v>
      </c>
      <c r="K162" s="9"/>
      <c r="L162" s="24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6"/>
      <c r="X162" s="24"/>
      <c r="Y162" s="25"/>
      <c r="Z162" s="25"/>
      <c r="AA162" s="25"/>
      <c r="AB162" s="25"/>
      <c r="AC162" s="25"/>
      <c r="AD162" s="25"/>
      <c r="AE162" s="25"/>
      <c r="AF162" s="25"/>
      <c r="AG162" s="25"/>
      <c r="AH162" s="25"/>
      <c r="AI162" s="26"/>
      <c r="AJ162" s="24"/>
      <c r="AK162" s="25"/>
      <c r="AL162" s="25"/>
      <c r="AM162" s="25"/>
      <c r="AN162" s="25"/>
      <c r="AO162" s="25"/>
      <c r="AP162" s="25"/>
      <c r="AQ162" s="25"/>
      <c r="AR162" s="25"/>
      <c r="AS162" s="25"/>
      <c r="AT162" s="25"/>
      <c r="AU162" s="26"/>
      <c r="AV162" s="24"/>
      <c r="AW162" s="25"/>
      <c r="AX162" s="25"/>
      <c r="AY162" s="25"/>
      <c r="AZ162" s="25"/>
      <c r="BA162" s="25"/>
      <c r="BB162" s="25"/>
      <c r="BC162" s="25"/>
      <c r="BD162" s="25"/>
      <c r="BE162" s="25"/>
      <c r="BF162" s="25"/>
      <c r="BG162" s="26"/>
      <c r="BH162" s="27"/>
      <c r="BI162" s="25"/>
      <c r="BJ162" s="25"/>
      <c r="BK162" s="25"/>
      <c r="BL162" s="25"/>
    </row>
    <row r="163" spans="1:64">
      <c r="A163" s="10" t="str">
        <f t="shared" si="14"/>
        <v>PNTOH_V_AD_PROMOTION2.당월실적_B2C전년</v>
      </c>
      <c r="B163" s="7"/>
      <c r="C163" s="7"/>
      <c r="D163" s="7"/>
      <c r="E163" s="7"/>
      <c r="F163" s="7"/>
      <c r="G163" s="7" t="s">
        <v>16</v>
      </c>
      <c r="H163" s="7" t="s">
        <v>104</v>
      </c>
      <c r="I163" s="7" t="s">
        <v>55</v>
      </c>
      <c r="J163" s="23" t="s">
        <v>34</v>
      </c>
      <c r="K163" s="9"/>
      <c r="L163" s="24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6"/>
      <c r="X163" s="24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6"/>
      <c r="AJ163" s="24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  <c r="AU163" s="26"/>
      <c r="AV163" s="24"/>
      <c r="AW163" s="25"/>
      <c r="AX163" s="25"/>
      <c r="AY163" s="25"/>
      <c r="AZ163" s="25"/>
      <c r="BA163" s="25"/>
      <c r="BB163" s="25"/>
      <c r="BC163" s="25"/>
      <c r="BD163" s="25"/>
      <c r="BE163" s="25"/>
      <c r="BF163" s="25"/>
      <c r="BG163" s="26"/>
      <c r="BH163" s="27"/>
      <c r="BI163" s="25"/>
      <c r="BJ163" s="25"/>
      <c r="BK163" s="25"/>
      <c r="BL163" s="25"/>
    </row>
    <row r="164" spans="1:64">
      <c r="A164" s="10" t="str">
        <f t="shared" si="14"/>
        <v>MSTOH_V_AD_PROMOTION2.당월실적_B2C금년</v>
      </c>
      <c r="B164" s="7"/>
      <c r="C164" s="7"/>
      <c r="D164" s="7"/>
      <c r="E164" s="7"/>
      <c r="F164" s="7"/>
      <c r="G164" s="7" t="s">
        <v>15</v>
      </c>
      <c r="H164" s="7" t="s">
        <v>104</v>
      </c>
      <c r="I164" s="7" t="s">
        <v>55</v>
      </c>
      <c r="J164" s="10" t="s">
        <v>50</v>
      </c>
      <c r="K164" s="9"/>
      <c r="L164" s="24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6"/>
      <c r="X164" s="24"/>
      <c r="Y164" s="25"/>
      <c r="Z164" s="25"/>
      <c r="AA164" s="25"/>
      <c r="AB164" s="25"/>
      <c r="AC164" s="25"/>
      <c r="AD164" s="25"/>
      <c r="AE164" s="25"/>
      <c r="AF164" s="25"/>
      <c r="AG164" s="25"/>
      <c r="AH164" s="25"/>
      <c r="AI164" s="26"/>
      <c r="AJ164" s="24"/>
      <c r="AK164" s="25"/>
      <c r="AL164" s="25"/>
      <c r="AM164" s="25"/>
      <c r="AN164" s="25"/>
      <c r="AO164" s="25"/>
      <c r="AP164" s="25"/>
      <c r="AQ164" s="25"/>
      <c r="AR164" s="25"/>
      <c r="AS164" s="25"/>
      <c r="AT164" s="25"/>
      <c r="AU164" s="26"/>
      <c r="AV164" s="24"/>
      <c r="AW164" s="25"/>
      <c r="AX164" s="25"/>
      <c r="AY164" s="25"/>
      <c r="AZ164" s="25"/>
      <c r="BA164" s="25"/>
      <c r="BB164" s="25"/>
      <c r="BC164" s="25"/>
      <c r="BD164" s="25"/>
      <c r="BE164" s="25"/>
      <c r="BF164" s="25"/>
      <c r="BG164" s="26"/>
      <c r="BH164" s="27"/>
      <c r="BI164" s="25"/>
      <c r="BJ164" s="25"/>
      <c r="BK164" s="25"/>
      <c r="BL164" s="25"/>
    </row>
    <row r="165" spans="1:64">
      <c r="A165" s="10" t="str">
        <f t="shared" si="14"/>
        <v>MSTOH_V_AD_PROMOTION2.당월실적_B2C전년</v>
      </c>
      <c r="B165" s="7"/>
      <c r="C165" s="7"/>
      <c r="D165" s="7"/>
      <c r="E165" s="7"/>
      <c r="F165" s="7"/>
      <c r="G165" s="7" t="s">
        <v>15</v>
      </c>
      <c r="H165" s="7" t="s">
        <v>104</v>
      </c>
      <c r="I165" s="7" t="s">
        <v>55</v>
      </c>
      <c r="J165" s="23" t="s">
        <v>34</v>
      </c>
      <c r="K165" s="9"/>
      <c r="L165" s="24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6"/>
      <c r="X165" s="24"/>
      <c r="Y165" s="25"/>
      <c r="Z165" s="25"/>
      <c r="AA165" s="25"/>
      <c r="AB165" s="25"/>
      <c r="AC165" s="25"/>
      <c r="AD165" s="25"/>
      <c r="AE165" s="25"/>
      <c r="AF165" s="25"/>
      <c r="AG165" s="25"/>
      <c r="AH165" s="25"/>
      <c r="AI165" s="26"/>
      <c r="AJ165" s="24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  <c r="AU165" s="26"/>
      <c r="AV165" s="24"/>
      <c r="AW165" s="25"/>
      <c r="AX165" s="25"/>
      <c r="AY165" s="25"/>
      <c r="AZ165" s="25"/>
      <c r="BA165" s="25"/>
      <c r="BB165" s="25"/>
      <c r="BC165" s="25"/>
      <c r="BD165" s="25"/>
      <c r="BE165" s="25"/>
      <c r="BF165" s="25"/>
      <c r="BG165" s="26"/>
      <c r="BH165" s="27"/>
      <c r="BI165" s="25"/>
      <c r="BJ165" s="25"/>
      <c r="BK165" s="25"/>
      <c r="BL165" s="25"/>
    </row>
    <row r="166" spans="1:64">
      <c r="A166" s="10" t="str">
        <f t="shared" si="14"/>
        <v>CNTOH_V_AD_PROMOTION2.당월실적_B2C금년</v>
      </c>
      <c r="B166" s="7"/>
      <c r="C166" s="7"/>
      <c r="D166" s="7"/>
      <c r="E166" s="7"/>
      <c r="F166" s="7"/>
      <c r="G166" s="7" t="s">
        <v>6</v>
      </c>
      <c r="H166" s="7" t="s">
        <v>104</v>
      </c>
      <c r="I166" s="7" t="s">
        <v>55</v>
      </c>
      <c r="J166" s="10" t="s">
        <v>50</v>
      </c>
      <c r="K166" s="9"/>
      <c r="L166" s="24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6"/>
      <c r="X166" s="24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6"/>
      <c r="AJ166" s="24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  <c r="AU166" s="26"/>
      <c r="AV166" s="24"/>
      <c r="AW166" s="25"/>
      <c r="AX166" s="25"/>
      <c r="AY166" s="25"/>
      <c r="AZ166" s="25"/>
      <c r="BA166" s="25"/>
      <c r="BB166" s="25"/>
      <c r="BC166" s="25"/>
      <c r="BD166" s="25"/>
      <c r="BE166" s="25"/>
      <c r="BF166" s="25"/>
      <c r="BG166" s="26"/>
      <c r="BH166" s="27"/>
      <c r="BI166" s="25"/>
      <c r="BJ166" s="25"/>
      <c r="BK166" s="25"/>
      <c r="BL166" s="25"/>
    </row>
    <row r="167" spans="1:64">
      <c r="A167" s="10" t="str">
        <f t="shared" si="14"/>
        <v>CNTOH_V_AD_PROMOTION2.당월실적_B2C전년</v>
      </c>
      <c r="B167" s="7"/>
      <c r="C167" s="7"/>
      <c r="D167" s="7"/>
      <c r="E167" s="7"/>
      <c r="F167" s="7"/>
      <c r="G167" s="7" t="s">
        <v>6</v>
      </c>
      <c r="H167" s="7" t="s">
        <v>104</v>
      </c>
      <c r="I167" s="7" t="s">
        <v>55</v>
      </c>
      <c r="J167" s="23" t="s">
        <v>34</v>
      </c>
      <c r="K167" s="9"/>
      <c r="L167" s="24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6"/>
      <c r="X167" s="24"/>
      <c r="Y167" s="25"/>
      <c r="Z167" s="25"/>
      <c r="AA167" s="25"/>
      <c r="AB167" s="25"/>
      <c r="AC167" s="25"/>
      <c r="AD167" s="25"/>
      <c r="AE167" s="25"/>
      <c r="AF167" s="25"/>
      <c r="AG167" s="25"/>
      <c r="AH167" s="25"/>
      <c r="AI167" s="26"/>
      <c r="AJ167" s="24"/>
      <c r="AK167" s="25"/>
      <c r="AL167" s="25"/>
      <c r="AM167" s="25"/>
      <c r="AN167" s="25"/>
      <c r="AO167" s="25"/>
      <c r="AP167" s="25"/>
      <c r="AQ167" s="25"/>
      <c r="AR167" s="25"/>
      <c r="AS167" s="25"/>
      <c r="AT167" s="25"/>
      <c r="AU167" s="26"/>
      <c r="AV167" s="24"/>
      <c r="AW167" s="25"/>
      <c r="AX167" s="25"/>
      <c r="AY167" s="25"/>
      <c r="AZ167" s="25"/>
      <c r="BA167" s="25"/>
      <c r="BB167" s="25"/>
      <c r="BC167" s="25"/>
      <c r="BD167" s="25"/>
      <c r="BE167" s="25"/>
      <c r="BF167" s="25"/>
      <c r="BG167" s="26"/>
      <c r="BH167" s="27"/>
      <c r="BI167" s="25"/>
      <c r="BJ167" s="25"/>
      <c r="BK167" s="25"/>
      <c r="BL167" s="25"/>
    </row>
    <row r="168" spans="1:64">
      <c r="A168" s="10" t="str">
        <f t="shared" si="14"/>
        <v>DFTOH_V_AD_PROMOTION2.당월실적_B2C금년</v>
      </c>
      <c r="B168" s="7"/>
      <c r="C168" s="7"/>
      <c r="D168" s="7"/>
      <c r="E168" s="7"/>
      <c r="F168" s="7"/>
      <c r="G168" s="7" t="s">
        <v>7</v>
      </c>
      <c r="H168" s="7" t="s">
        <v>104</v>
      </c>
      <c r="I168" s="7" t="str">
        <f t="shared" ref="I168:I177" si="15">I158</f>
        <v>2.당월실적_B2C</v>
      </c>
      <c r="J168" s="10" t="s">
        <v>50</v>
      </c>
      <c r="K168" s="9"/>
      <c r="L168" s="24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6"/>
      <c r="X168" s="24"/>
      <c r="Y168" s="25"/>
      <c r="Z168" s="25"/>
      <c r="AA168" s="25"/>
      <c r="AB168" s="25"/>
      <c r="AC168" s="25"/>
      <c r="AD168" s="25"/>
      <c r="AE168" s="25"/>
      <c r="AF168" s="25"/>
      <c r="AG168" s="25"/>
      <c r="AH168" s="25"/>
      <c r="AI168" s="26"/>
      <c r="AJ168" s="24"/>
      <c r="AK168" s="25"/>
      <c r="AL168" s="25"/>
      <c r="AM168" s="25"/>
      <c r="AN168" s="25"/>
      <c r="AO168" s="25"/>
      <c r="AP168" s="25"/>
      <c r="AQ168" s="25"/>
      <c r="AR168" s="25"/>
      <c r="AS168" s="25"/>
      <c r="AT168" s="25"/>
      <c r="AU168" s="26"/>
      <c r="AV168" s="24"/>
      <c r="AW168" s="25"/>
      <c r="AX168" s="25"/>
      <c r="AY168" s="25"/>
      <c r="AZ168" s="25"/>
      <c r="BA168" s="25"/>
      <c r="BB168" s="25"/>
      <c r="BC168" s="25"/>
      <c r="BD168" s="25"/>
      <c r="BE168" s="25"/>
      <c r="BF168" s="25"/>
      <c r="BG168" s="26"/>
      <c r="BH168" s="27"/>
      <c r="BI168" s="25"/>
      <c r="BJ168" s="25"/>
      <c r="BK168" s="25"/>
      <c r="BL168" s="25"/>
    </row>
    <row r="169" spans="1:64">
      <c r="A169" s="10" t="str">
        <f t="shared" si="14"/>
        <v>DFTOH_V_AD_PROMOTION2.당월실적_B2C전년</v>
      </c>
      <c r="B169" s="7"/>
      <c r="C169" s="7"/>
      <c r="D169" s="7"/>
      <c r="E169" s="7"/>
      <c r="F169" s="7"/>
      <c r="G169" s="7" t="s">
        <v>7</v>
      </c>
      <c r="H169" s="7" t="s">
        <v>104</v>
      </c>
      <c r="I169" s="7" t="str">
        <f t="shared" si="15"/>
        <v>2.당월실적_B2C</v>
      </c>
      <c r="J169" s="23" t="s">
        <v>34</v>
      </c>
      <c r="K169" s="9"/>
      <c r="L169" s="24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6"/>
      <c r="X169" s="24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6"/>
      <c r="AJ169" s="24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6"/>
      <c r="AV169" s="24"/>
      <c r="AW169" s="25"/>
      <c r="AX169" s="25"/>
      <c r="AY169" s="25"/>
      <c r="AZ169" s="25"/>
      <c r="BA169" s="25"/>
      <c r="BB169" s="25"/>
      <c r="BC169" s="25"/>
      <c r="BD169" s="25"/>
      <c r="BE169" s="25"/>
      <c r="BF169" s="25"/>
      <c r="BG169" s="26"/>
      <c r="BH169" s="27"/>
      <c r="BI169" s="25"/>
      <c r="BJ169" s="25"/>
      <c r="BK169" s="25"/>
      <c r="BL169" s="25"/>
    </row>
    <row r="170" spans="1:64">
      <c r="A170" s="10" t="str">
        <f t="shared" si="14"/>
        <v>DGTOH_V_AD_PROMOTION2.당월실적_B2C금년</v>
      </c>
      <c r="B170" s="7"/>
      <c r="C170" s="7"/>
      <c r="D170" s="7"/>
      <c r="E170" s="7"/>
      <c r="F170" s="7"/>
      <c r="G170" s="7" t="s">
        <v>8</v>
      </c>
      <c r="H170" s="7" t="s">
        <v>104</v>
      </c>
      <c r="I170" s="7" t="str">
        <f t="shared" si="15"/>
        <v>2.당월실적_B2C</v>
      </c>
      <c r="J170" s="10" t="s">
        <v>50</v>
      </c>
      <c r="K170" s="9"/>
      <c r="L170" s="24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6"/>
      <c r="X170" s="24"/>
      <c r="Y170" s="25"/>
      <c r="Z170" s="25"/>
      <c r="AA170" s="25"/>
      <c r="AB170" s="25"/>
      <c r="AC170" s="25"/>
      <c r="AD170" s="25"/>
      <c r="AE170" s="25"/>
      <c r="AF170" s="25"/>
      <c r="AG170" s="25"/>
      <c r="AH170" s="25"/>
      <c r="AI170" s="26"/>
      <c r="AJ170" s="24"/>
      <c r="AK170" s="25"/>
      <c r="AL170" s="25"/>
      <c r="AM170" s="25"/>
      <c r="AN170" s="25"/>
      <c r="AO170" s="25"/>
      <c r="AP170" s="25"/>
      <c r="AQ170" s="25"/>
      <c r="AR170" s="25"/>
      <c r="AS170" s="25"/>
      <c r="AT170" s="25"/>
      <c r="AU170" s="26"/>
      <c r="AV170" s="24"/>
      <c r="AW170" s="25"/>
      <c r="AX170" s="25"/>
      <c r="AY170" s="25"/>
      <c r="AZ170" s="25"/>
      <c r="BA170" s="25"/>
      <c r="BB170" s="25"/>
      <c r="BC170" s="25"/>
      <c r="BD170" s="25"/>
      <c r="BE170" s="25"/>
      <c r="BF170" s="25"/>
      <c r="BG170" s="26"/>
      <c r="BH170" s="27"/>
      <c r="BI170" s="25"/>
      <c r="BJ170" s="25"/>
      <c r="BK170" s="25"/>
      <c r="BL170" s="25"/>
    </row>
    <row r="171" spans="1:64">
      <c r="A171" s="10" t="str">
        <f t="shared" si="14"/>
        <v>DGTOH_V_AD_PROMOTION2.당월실적_B2C전년</v>
      </c>
      <c r="B171" s="7"/>
      <c r="C171" s="7"/>
      <c r="D171" s="7"/>
      <c r="E171" s="7"/>
      <c r="F171" s="7"/>
      <c r="G171" s="7" t="s">
        <v>8</v>
      </c>
      <c r="H171" s="7" t="s">
        <v>104</v>
      </c>
      <c r="I171" s="7" t="str">
        <f t="shared" si="15"/>
        <v>2.당월실적_B2C</v>
      </c>
      <c r="J171" s="23" t="s">
        <v>34</v>
      </c>
      <c r="K171" s="9"/>
      <c r="L171" s="24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6"/>
      <c r="X171" s="24"/>
      <c r="Y171" s="25"/>
      <c r="Z171" s="25"/>
      <c r="AA171" s="25"/>
      <c r="AB171" s="25"/>
      <c r="AC171" s="25"/>
      <c r="AD171" s="25"/>
      <c r="AE171" s="25"/>
      <c r="AF171" s="25"/>
      <c r="AG171" s="25"/>
      <c r="AH171" s="25"/>
      <c r="AI171" s="26"/>
      <c r="AJ171" s="24"/>
      <c r="AK171" s="25"/>
      <c r="AL171" s="25"/>
      <c r="AM171" s="25"/>
      <c r="AN171" s="25"/>
      <c r="AO171" s="25"/>
      <c r="AP171" s="25"/>
      <c r="AQ171" s="25"/>
      <c r="AR171" s="25"/>
      <c r="AS171" s="25"/>
      <c r="AT171" s="25"/>
      <c r="AU171" s="26"/>
      <c r="AV171" s="24"/>
      <c r="AW171" s="25"/>
      <c r="AX171" s="25"/>
      <c r="AY171" s="25"/>
      <c r="AZ171" s="25"/>
      <c r="BA171" s="25"/>
      <c r="BB171" s="25"/>
      <c r="BC171" s="25"/>
      <c r="BD171" s="25"/>
      <c r="BE171" s="25"/>
      <c r="BF171" s="25"/>
      <c r="BG171" s="26"/>
      <c r="BH171" s="27"/>
      <c r="BI171" s="25"/>
      <c r="BJ171" s="25"/>
      <c r="BK171" s="25"/>
      <c r="BL171" s="25"/>
    </row>
    <row r="172" spans="1:64">
      <c r="A172" s="10" t="str">
        <f t="shared" si="14"/>
        <v>PCTOH_V_AD_PROMOTION2.당월실적_B2C금년</v>
      </c>
      <c r="B172" s="7"/>
      <c r="C172" s="7"/>
      <c r="D172" s="7"/>
      <c r="E172" s="7"/>
      <c r="F172" s="7"/>
      <c r="G172" s="7" t="s">
        <v>19</v>
      </c>
      <c r="H172" s="7" t="s">
        <v>104</v>
      </c>
      <c r="I172" s="7" t="str">
        <f t="shared" si="15"/>
        <v>2.당월실적_B2C</v>
      </c>
      <c r="J172" s="10" t="s">
        <v>50</v>
      </c>
      <c r="K172" s="9"/>
      <c r="L172" s="24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6"/>
      <c r="X172" s="24"/>
      <c r="Y172" s="25"/>
      <c r="Z172" s="25"/>
      <c r="AA172" s="25"/>
      <c r="AB172" s="25"/>
      <c r="AC172" s="25"/>
      <c r="AD172" s="25"/>
      <c r="AE172" s="25"/>
      <c r="AF172" s="25"/>
      <c r="AG172" s="25"/>
      <c r="AH172" s="25"/>
      <c r="AI172" s="26"/>
      <c r="AJ172" s="24"/>
      <c r="AK172" s="25"/>
      <c r="AL172" s="25"/>
      <c r="AM172" s="25"/>
      <c r="AN172" s="25"/>
      <c r="AO172" s="25"/>
      <c r="AP172" s="25"/>
      <c r="AQ172" s="25"/>
      <c r="AR172" s="25"/>
      <c r="AS172" s="25"/>
      <c r="AT172" s="25"/>
      <c r="AU172" s="26"/>
      <c r="AV172" s="24"/>
      <c r="AW172" s="25"/>
      <c r="AX172" s="25"/>
      <c r="AY172" s="25"/>
      <c r="AZ172" s="25"/>
      <c r="BA172" s="25"/>
      <c r="BB172" s="25"/>
      <c r="BC172" s="25"/>
      <c r="BD172" s="25"/>
      <c r="BE172" s="25"/>
      <c r="BF172" s="25"/>
      <c r="BG172" s="26"/>
      <c r="BH172" s="27"/>
      <c r="BI172" s="25"/>
      <c r="BJ172" s="25"/>
      <c r="BK172" s="25"/>
      <c r="BL172" s="25"/>
    </row>
    <row r="173" spans="1:64">
      <c r="A173" s="10" t="str">
        <f t="shared" si="14"/>
        <v>PCTOH_V_AD_PROMOTION2.당월실적_B2C전년</v>
      </c>
      <c r="B173" s="7"/>
      <c r="C173" s="7"/>
      <c r="D173" s="7"/>
      <c r="E173" s="7"/>
      <c r="F173" s="7"/>
      <c r="G173" s="7" t="s">
        <v>19</v>
      </c>
      <c r="H173" s="7" t="s">
        <v>104</v>
      </c>
      <c r="I173" s="7" t="str">
        <f t="shared" si="15"/>
        <v>2.당월실적_B2C</v>
      </c>
      <c r="J173" s="23" t="s">
        <v>34</v>
      </c>
      <c r="K173" s="9"/>
      <c r="L173" s="24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6"/>
      <c r="X173" s="24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6"/>
      <c r="AJ173" s="24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6"/>
      <c r="AV173" s="24"/>
      <c r="AW173" s="25"/>
      <c r="AX173" s="25"/>
      <c r="AY173" s="25"/>
      <c r="AZ173" s="25"/>
      <c r="BA173" s="25"/>
      <c r="BB173" s="25"/>
      <c r="BC173" s="25"/>
      <c r="BD173" s="25"/>
      <c r="BE173" s="25"/>
      <c r="BF173" s="25"/>
      <c r="BG173" s="26"/>
      <c r="BH173" s="27"/>
      <c r="BI173" s="25"/>
      <c r="BJ173" s="25"/>
      <c r="BK173" s="25"/>
      <c r="BL173" s="25"/>
    </row>
    <row r="174" spans="1:64">
      <c r="A174" s="10" t="str">
        <f t="shared" si="14"/>
        <v>PSTOH_V_AD_PROMOTION2.당월실적_B2C금년</v>
      </c>
      <c r="B174" s="7"/>
      <c r="C174" s="7"/>
      <c r="D174" s="7"/>
      <c r="E174" s="7"/>
      <c r="F174" s="7"/>
      <c r="G174" s="7" t="s">
        <v>17</v>
      </c>
      <c r="H174" s="7" t="s">
        <v>104</v>
      </c>
      <c r="I174" s="7" t="str">
        <f t="shared" si="15"/>
        <v>2.당월실적_B2C</v>
      </c>
      <c r="J174" s="10" t="s">
        <v>50</v>
      </c>
      <c r="K174" s="9"/>
      <c r="L174" s="24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6"/>
      <c r="X174" s="24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6"/>
      <c r="AJ174" s="24"/>
      <c r="AK174" s="25"/>
      <c r="AL174" s="25"/>
      <c r="AM174" s="25"/>
      <c r="AN174" s="25"/>
      <c r="AO174" s="25"/>
      <c r="AP174" s="25"/>
      <c r="AQ174" s="25"/>
      <c r="AR174" s="25"/>
      <c r="AS174" s="25"/>
      <c r="AT174" s="25"/>
      <c r="AU174" s="26"/>
      <c r="AV174" s="24"/>
      <c r="AW174" s="25"/>
      <c r="AX174" s="25"/>
      <c r="AY174" s="25"/>
      <c r="AZ174" s="25"/>
      <c r="BA174" s="25"/>
      <c r="BB174" s="25"/>
      <c r="BC174" s="25"/>
      <c r="BD174" s="25"/>
      <c r="BE174" s="25"/>
      <c r="BF174" s="25"/>
      <c r="BG174" s="26"/>
      <c r="BH174" s="27"/>
      <c r="BI174" s="25"/>
      <c r="BJ174" s="25"/>
      <c r="BK174" s="25"/>
      <c r="BL174" s="25"/>
    </row>
    <row r="175" spans="1:64">
      <c r="A175" s="10" t="str">
        <f t="shared" si="14"/>
        <v>PSTOH_V_AD_PROMOTION2.당월실적_B2C전년</v>
      </c>
      <c r="B175" s="7"/>
      <c r="C175" s="7"/>
      <c r="D175" s="7"/>
      <c r="E175" s="7"/>
      <c r="F175" s="7"/>
      <c r="G175" s="7" t="s">
        <v>17</v>
      </c>
      <c r="H175" s="7" t="s">
        <v>104</v>
      </c>
      <c r="I175" s="7" t="str">
        <f t="shared" si="15"/>
        <v>2.당월실적_B2C</v>
      </c>
      <c r="J175" s="23" t="s">
        <v>34</v>
      </c>
      <c r="K175" s="9"/>
      <c r="L175" s="24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6"/>
      <c r="X175" s="24"/>
      <c r="Y175" s="25"/>
      <c r="Z175" s="25"/>
      <c r="AA175" s="25"/>
      <c r="AB175" s="25"/>
      <c r="AC175" s="25"/>
      <c r="AD175" s="25"/>
      <c r="AE175" s="25"/>
      <c r="AF175" s="25"/>
      <c r="AG175" s="25"/>
      <c r="AH175" s="25"/>
      <c r="AI175" s="26"/>
      <c r="AJ175" s="24"/>
      <c r="AK175" s="25"/>
      <c r="AL175" s="25"/>
      <c r="AM175" s="25"/>
      <c r="AN175" s="25"/>
      <c r="AO175" s="25"/>
      <c r="AP175" s="25"/>
      <c r="AQ175" s="25"/>
      <c r="AR175" s="25"/>
      <c r="AS175" s="25"/>
      <c r="AT175" s="25"/>
      <c r="AU175" s="26"/>
      <c r="AV175" s="24"/>
      <c r="AW175" s="25"/>
      <c r="AX175" s="25"/>
      <c r="AY175" s="25"/>
      <c r="AZ175" s="25"/>
      <c r="BA175" s="25"/>
      <c r="BB175" s="25"/>
      <c r="BC175" s="25"/>
      <c r="BD175" s="25"/>
      <c r="BE175" s="25"/>
      <c r="BF175" s="25"/>
      <c r="BG175" s="26"/>
      <c r="BH175" s="27"/>
      <c r="BI175" s="25"/>
      <c r="BJ175" s="25"/>
      <c r="BK175" s="25"/>
      <c r="BL175" s="25"/>
    </row>
    <row r="176" spans="1:64">
      <c r="A176" s="10" t="str">
        <f t="shared" si="14"/>
        <v>DVTOH_V_AD_PROMOTION2.당월실적_B2C금년</v>
      </c>
      <c r="B176" s="7"/>
      <c r="C176" s="7"/>
      <c r="D176" s="7"/>
      <c r="E176" s="7"/>
      <c r="F176" s="7"/>
      <c r="G176" s="7" t="s">
        <v>10</v>
      </c>
      <c r="H176" s="7" t="s">
        <v>104</v>
      </c>
      <c r="I176" s="7" t="str">
        <f t="shared" si="15"/>
        <v>2.당월실적_B2C</v>
      </c>
      <c r="J176" s="10" t="s">
        <v>50</v>
      </c>
      <c r="K176" s="9"/>
      <c r="L176" s="24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6"/>
      <c r="X176" s="24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6"/>
      <c r="AJ176" s="24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6"/>
      <c r="AV176" s="24"/>
      <c r="AW176" s="25"/>
      <c r="AX176" s="25"/>
      <c r="AY176" s="25"/>
      <c r="AZ176" s="25"/>
      <c r="BA176" s="25"/>
      <c r="BB176" s="25"/>
      <c r="BC176" s="25"/>
      <c r="BD176" s="25"/>
      <c r="BE176" s="25"/>
      <c r="BF176" s="25"/>
      <c r="BG176" s="26"/>
      <c r="BH176" s="27"/>
      <c r="BI176" s="25"/>
      <c r="BJ176" s="25"/>
      <c r="BK176" s="25"/>
      <c r="BL176" s="25"/>
    </row>
    <row r="177" spans="1:64">
      <c r="A177" s="10" t="str">
        <f t="shared" si="14"/>
        <v>DVTOH_V_AD_PROMOTION2.당월실적_B2C전년</v>
      </c>
      <c r="B177" s="7"/>
      <c r="C177" s="7"/>
      <c r="D177" s="7"/>
      <c r="E177" s="7"/>
      <c r="F177" s="7"/>
      <c r="G177" s="7" t="s">
        <v>10</v>
      </c>
      <c r="H177" s="7" t="s">
        <v>104</v>
      </c>
      <c r="I177" s="7" t="str">
        <f t="shared" si="15"/>
        <v>2.당월실적_B2C</v>
      </c>
      <c r="J177" s="23" t="s">
        <v>34</v>
      </c>
      <c r="K177" s="9"/>
      <c r="L177" s="24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6"/>
      <c r="X177" s="24"/>
      <c r="Y177" s="25"/>
      <c r="Z177" s="25"/>
      <c r="AA177" s="25"/>
      <c r="AB177" s="25"/>
      <c r="AC177" s="25"/>
      <c r="AD177" s="25"/>
      <c r="AE177" s="25"/>
      <c r="AF177" s="25"/>
      <c r="AG177" s="25"/>
      <c r="AH177" s="25"/>
      <c r="AI177" s="26"/>
      <c r="AJ177" s="24"/>
      <c r="AK177" s="25"/>
      <c r="AL177" s="25"/>
      <c r="AM177" s="25"/>
      <c r="AN177" s="25"/>
      <c r="AO177" s="25"/>
      <c r="AP177" s="25"/>
      <c r="AQ177" s="25"/>
      <c r="AR177" s="25"/>
      <c r="AS177" s="25"/>
      <c r="AT177" s="25"/>
      <c r="AU177" s="26"/>
      <c r="AV177" s="24"/>
      <c r="AW177" s="25"/>
      <c r="AX177" s="25"/>
      <c r="AY177" s="25"/>
      <c r="AZ177" s="25"/>
      <c r="BA177" s="25"/>
      <c r="BB177" s="25"/>
      <c r="BC177" s="25"/>
      <c r="BD177" s="25"/>
      <c r="BE177" s="25"/>
      <c r="BF177" s="25"/>
      <c r="BG177" s="26"/>
      <c r="BH177" s="27"/>
      <c r="BI177" s="25"/>
      <c r="BJ177" s="25"/>
      <c r="BK177" s="25"/>
      <c r="BL177" s="25"/>
    </row>
    <row r="178" spans="1:64">
      <c r="A178" s="6"/>
      <c r="H178" t="s">
        <v>104</v>
      </c>
      <c r="K178" s="9"/>
    </row>
    <row r="179" spans="1:64">
      <c r="A179" s="10" t="str">
        <f t="shared" ref="A179:A192" si="16">TRIM(B179)&amp;TRIM(C179)&amp;TRIM(D179)&amp;TRIM(E179)&amp;TRIM(F179)&amp;TRIM(G179)&amp;TRIM(H179)&amp;TRIM(I179)&amp;TRIM(J179)</f>
        <v>GJTOH_V_AD_PROMOTION2.당월실적_B2B금년</v>
      </c>
      <c r="B179" s="7"/>
      <c r="C179" s="7"/>
      <c r="D179" s="7"/>
      <c r="E179" s="7"/>
      <c r="F179" s="7"/>
      <c r="G179" s="7" t="s">
        <v>11</v>
      </c>
      <c r="H179" s="7" t="s">
        <v>104</v>
      </c>
      <c r="I179" s="7" t="s">
        <v>96</v>
      </c>
      <c r="J179" s="10" t="s">
        <v>50</v>
      </c>
      <c r="K179" s="9"/>
      <c r="L179" s="24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6"/>
      <c r="X179" s="24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6"/>
      <c r="AJ179" s="24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6"/>
      <c r="AV179" s="24"/>
      <c r="AW179" s="25"/>
      <c r="AX179" s="25"/>
      <c r="AY179" s="25"/>
      <c r="AZ179" s="25"/>
      <c r="BA179" s="25"/>
      <c r="BB179" s="25"/>
      <c r="BC179" s="25"/>
      <c r="BD179" s="25"/>
      <c r="BE179" s="25"/>
      <c r="BF179" s="25"/>
      <c r="BG179" s="26"/>
      <c r="BH179" s="27"/>
      <c r="BI179" s="25"/>
      <c r="BJ179" s="25"/>
      <c r="BK179" s="25"/>
      <c r="BL179" s="25"/>
    </row>
    <row r="180" spans="1:64" ht="18" customHeight="1">
      <c r="A180" s="10" t="str">
        <f t="shared" si="16"/>
        <v>GJTOH_V_AD_PROMOTION2.당월실적_B2B전년</v>
      </c>
      <c r="B180" s="7"/>
      <c r="C180" s="7"/>
      <c r="D180" s="7"/>
      <c r="E180" s="7"/>
      <c r="F180" s="7"/>
      <c r="G180" s="7" t="s">
        <v>11</v>
      </c>
      <c r="H180" s="7" t="s">
        <v>104</v>
      </c>
      <c r="I180" s="7" t="s">
        <v>96</v>
      </c>
      <c r="J180" s="23" t="s">
        <v>34</v>
      </c>
      <c r="K180" s="9"/>
      <c r="L180" s="24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6"/>
      <c r="X180" s="24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6"/>
      <c r="AJ180" s="24"/>
      <c r="AK180" s="25"/>
      <c r="AL180" s="25"/>
      <c r="AM180" s="25"/>
      <c r="AN180" s="25"/>
      <c r="AO180" s="25"/>
      <c r="AP180" s="25"/>
      <c r="AQ180" s="25"/>
      <c r="AR180" s="25"/>
      <c r="AS180" s="25"/>
      <c r="AT180" s="25"/>
      <c r="AU180" s="26"/>
      <c r="AV180" s="24"/>
      <c r="AW180" s="25"/>
      <c r="AX180" s="25"/>
      <c r="AY180" s="25"/>
      <c r="AZ180" s="25"/>
      <c r="BA180" s="25"/>
      <c r="BB180" s="25"/>
      <c r="BC180" s="25"/>
      <c r="BD180" s="25"/>
      <c r="BE180" s="25"/>
      <c r="BF180" s="25"/>
      <c r="BG180" s="26"/>
      <c r="BH180" s="27"/>
      <c r="BI180" s="25"/>
      <c r="BJ180" s="25"/>
      <c r="BK180" s="25"/>
      <c r="BL180" s="25"/>
    </row>
    <row r="181" spans="1:64">
      <c r="A181" s="10" t="str">
        <f t="shared" si="16"/>
        <v>GNTOH_V_AD_PROMOTION2.당월실적_B2B금년</v>
      </c>
      <c r="B181" s="7"/>
      <c r="C181" s="7"/>
      <c r="D181" s="7"/>
      <c r="E181" s="7"/>
      <c r="F181" s="7"/>
      <c r="G181" s="7" t="s">
        <v>13</v>
      </c>
      <c r="H181" s="7" t="s">
        <v>104</v>
      </c>
      <c r="I181" s="7" t="s">
        <v>96</v>
      </c>
      <c r="J181" s="10" t="s">
        <v>50</v>
      </c>
      <c r="K181" s="9"/>
      <c r="L181" s="24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6"/>
      <c r="X181" s="24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6"/>
      <c r="AJ181" s="24"/>
      <c r="AK181" s="25"/>
      <c r="AL181" s="25"/>
      <c r="AM181" s="25"/>
      <c r="AN181" s="25"/>
      <c r="AO181" s="25"/>
      <c r="AP181" s="25"/>
      <c r="AQ181" s="25"/>
      <c r="AR181" s="25"/>
      <c r="AS181" s="25"/>
      <c r="AT181" s="25"/>
      <c r="AU181" s="26"/>
      <c r="AV181" s="24"/>
      <c r="AW181" s="25"/>
      <c r="AX181" s="25"/>
      <c r="AY181" s="25"/>
      <c r="AZ181" s="25"/>
      <c r="BA181" s="25"/>
      <c r="BB181" s="25"/>
      <c r="BC181" s="25"/>
      <c r="BD181" s="25"/>
      <c r="BE181" s="25"/>
      <c r="BF181" s="25"/>
      <c r="BG181" s="26"/>
      <c r="BH181" s="27"/>
      <c r="BI181" s="25"/>
      <c r="BJ181" s="25"/>
      <c r="BK181" s="25"/>
      <c r="BL181" s="25"/>
    </row>
    <row r="182" spans="1:64">
      <c r="A182" s="10" t="str">
        <f t="shared" si="16"/>
        <v>GNTOH_V_AD_PROMOTION2.당월실적_B2B전년</v>
      </c>
      <c r="B182" s="7"/>
      <c r="C182" s="7"/>
      <c r="D182" s="7"/>
      <c r="E182" s="7"/>
      <c r="F182" s="7"/>
      <c r="G182" s="7" t="s">
        <v>13</v>
      </c>
      <c r="H182" s="7" t="s">
        <v>104</v>
      </c>
      <c r="I182" s="7" t="s">
        <v>96</v>
      </c>
      <c r="J182" s="23" t="s">
        <v>34</v>
      </c>
      <c r="K182" s="9"/>
      <c r="L182" s="24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6"/>
      <c r="X182" s="24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6"/>
      <c r="AJ182" s="24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6"/>
      <c r="AV182" s="24"/>
      <c r="AW182" s="25"/>
      <c r="AX182" s="25"/>
      <c r="AY182" s="25"/>
      <c r="AZ182" s="25"/>
      <c r="BA182" s="25"/>
      <c r="BB182" s="25"/>
      <c r="BC182" s="25"/>
      <c r="BD182" s="25"/>
      <c r="BE182" s="25"/>
      <c r="BF182" s="25"/>
      <c r="BG182" s="26"/>
      <c r="BH182" s="27"/>
      <c r="BI182" s="25"/>
      <c r="BJ182" s="25"/>
      <c r="BK182" s="25"/>
      <c r="BL182" s="25"/>
    </row>
    <row r="183" spans="1:64">
      <c r="A183" s="10" t="str">
        <f t="shared" si="16"/>
        <v>GOTOH_V_AD_PROMOTION2.당월실적_B2B금년</v>
      </c>
      <c r="B183" s="7"/>
      <c r="C183" s="7"/>
      <c r="D183" s="7"/>
      <c r="E183" s="7"/>
      <c r="F183" s="7"/>
      <c r="G183" s="7" t="s">
        <v>94</v>
      </c>
      <c r="H183" s="7" t="s">
        <v>104</v>
      </c>
      <c r="I183" s="7" t="s">
        <v>96</v>
      </c>
      <c r="J183" s="10" t="s">
        <v>50</v>
      </c>
      <c r="K183" s="9"/>
      <c r="L183" s="24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6"/>
      <c r="X183" s="24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6"/>
      <c r="AJ183" s="24"/>
      <c r="AK183" s="25"/>
      <c r="AL183" s="25"/>
      <c r="AM183" s="25"/>
      <c r="AN183" s="25"/>
      <c r="AO183" s="25"/>
      <c r="AP183" s="25"/>
      <c r="AQ183" s="25"/>
      <c r="AR183" s="25"/>
      <c r="AS183" s="25"/>
      <c r="AT183" s="25"/>
      <c r="AU183" s="26"/>
      <c r="AV183" s="24"/>
      <c r="AW183" s="25"/>
      <c r="AX183" s="25"/>
      <c r="AY183" s="25"/>
      <c r="AZ183" s="25"/>
      <c r="BA183" s="25"/>
      <c r="BB183" s="25"/>
      <c r="BC183" s="25"/>
      <c r="BD183" s="25"/>
      <c r="BE183" s="25"/>
      <c r="BF183" s="25"/>
      <c r="BG183" s="26"/>
      <c r="BH183" s="27"/>
      <c r="BI183" s="25"/>
      <c r="BJ183" s="25"/>
      <c r="BK183" s="25"/>
      <c r="BL183" s="25"/>
    </row>
    <row r="184" spans="1:64">
      <c r="A184" s="10" t="str">
        <f t="shared" si="16"/>
        <v>GOTOH_V_AD_PROMOTION2.당월실적_B2B전년</v>
      </c>
      <c r="B184" s="7"/>
      <c r="C184" s="7"/>
      <c r="D184" s="7"/>
      <c r="E184" s="7"/>
      <c r="F184" s="7"/>
      <c r="G184" s="7" t="s">
        <v>94</v>
      </c>
      <c r="H184" s="7" t="s">
        <v>104</v>
      </c>
      <c r="I184" s="7" t="s">
        <v>96</v>
      </c>
      <c r="J184" s="23" t="s">
        <v>34</v>
      </c>
      <c r="K184" s="9"/>
      <c r="L184" s="24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6"/>
      <c r="X184" s="24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6"/>
      <c r="AJ184" s="24"/>
      <c r="AK184" s="25"/>
      <c r="AL184" s="25"/>
      <c r="AM184" s="25"/>
      <c r="AN184" s="25"/>
      <c r="AO184" s="25"/>
      <c r="AP184" s="25"/>
      <c r="AQ184" s="25"/>
      <c r="AR184" s="25"/>
      <c r="AS184" s="25"/>
      <c r="AT184" s="25"/>
      <c r="AU184" s="26"/>
      <c r="AV184" s="24"/>
      <c r="AW184" s="25"/>
      <c r="AX184" s="25"/>
      <c r="AY184" s="25"/>
      <c r="AZ184" s="25"/>
      <c r="BA184" s="25"/>
      <c r="BB184" s="25"/>
      <c r="BC184" s="25"/>
      <c r="BD184" s="25"/>
      <c r="BE184" s="25"/>
      <c r="BF184" s="25"/>
      <c r="BG184" s="26"/>
      <c r="BH184" s="27"/>
      <c r="BI184" s="25"/>
      <c r="BJ184" s="25"/>
      <c r="BK184" s="25"/>
      <c r="BL184" s="25"/>
    </row>
    <row r="185" spans="1:64">
      <c r="A185" s="10" t="str">
        <f t="shared" si="16"/>
        <v>PKTOH_V_AD_PROMOTION2.당월실적_B2B금년</v>
      </c>
      <c r="B185" s="7"/>
      <c r="C185" s="7"/>
      <c r="D185" s="7"/>
      <c r="E185" s="7"/>
      <c r="F185" s="7"/>
      <c r="G185" s="7" t="s">
        <v>82</v>
      </c>
      <c r="H185" s="7" t="s">
        <v>104</v>
      </c>
      <c r="I185" s="7" t="s">
        <v>96</v>
      </c>
      <c r="J185" s="10" t="s">
        <v>50</v>
      </c>
      <c r="K185" s="9"/>
      <c r="L185" s="24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6"/>
      <c r="X185" s="24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6"/>
      <c r="AJ185" s="24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6"/>
      <c r="AV185" s="24"/>
      <c r="AW185" s="25"/>
      <c r="AX185" s="25"/>
      <c r="AY185" s="25"/>
      <c r="AZ185" s="25"/>
      <c r="BA185" s="25"/>
      <c r="BB185" s="25"/>
      <c r="BC185" s="25"/>
      <c r="BD185" s="25"/>
      <c r="BE185" s="25"/>
      <c r="BF185" s="25"/>
      <c r="BG185" s="26"/>
      <c r="BH185" s="27"/>
      <c r="BI185" s="25"/>
      <c r="BJ185" s="25"/>
      <c r="BK185" s="25"/>
      <c r="BL185" s="25"/>
    </row>
    <row r="186" spans="1:64">
      <c r="A186" s="10" t="str">
        <f t="shared" si="16"/>
        <v>PKTOH_V_AD_PROMOTION2.당월실적_B2B전년</v>
      </c>
      <c r="B186" s="7"/>
      <c r="C186" s="7"/>
      <c r="D186" s="7"/>
      <c r="E186" s="7"/>
      <c r="F186" s="7"/>
      <c r="G186" s="7" t="s">
        <v>82</v>
      </c>
      <c r="H186" s="7" t="s">
        <v>104</v>
      </c>
      <c r="I186" s="7" t="s">
        <v>96</v>
      </c>
      <c r="J186" s="23" t="s">
        <v>34</v>
      </c>
      <c r="K186" s="9"/>
      <c r="L186" s="24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6"/>
      <c r="X186" s="24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6"/>
      <c r="AJ186" s="24"/>
      <c r="AK186" s="25"/>
      <c r="AL186" s="25"/>
      <c r="AM186" s="25"/>
      <c r="AN186" s="25"/>
      <c r="AO186" s="25"/>
      <c r="AP186" s="25"/>
      <c r="AQ186" s="25"/>
      <c r="AR186" s="25"/>
      <c r="AS186" s="25"/>
      <c r="AT186" s="25"/>
      <c r="AU186" s="26"/>
      <c r="AV186" s="24"/>
      <c r="AW186" s="25"/>
      <c r="AX186" s="25"/>
      <c r="AY186" s="25"/>
      <c r="AZ186" s="25"/>
      <c r="BA186" s="25"/>
      <c r="BB186" s="25"/>
      <c r="BC186" s="25"/>
      <c r="BD186" s="25"/>
      <c r="BE186" s="25"/>
      <c r="BF186" s="25"/>
      <c r="BG186" s="26"/>
      <c r="BH186" s="27"/>
      <c r="BI186" s="25"/>
      <c r="BJ186" s="25"/>
      <c r="BK186" s="25"/>
      <c r="BL186" s="25"/>
    </row>
    <row r="187" spans="1:64">
      <c r="A187" s="10" t="str">
        <f t="shared" si="16"/>
        <v>DMTOH_V_AD_PROMOTION2.당월실적_B2B금년</v>
      </c>
      <c r="B187" s="7"/>
      <c r="C187" s="7"/>
      <c r="D187" s="7"/>
      <c r="E187" s="7"/>
      <c r="F187" s="7"/>
      <c r="G187" s="7" t="s">
        <v>9</v>
      </c>
      <c r="H187" s="7" t="s">
        <v>104</v>
      </c>
      <c r="I187" s="7" t="s">
        <v>96</v>
      </c>
      <c r="J187" s="10" t="s">
        <v>50</v>
      </c>
      <c r="K187" s="9"/>
      <c r="L187" s="24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6"/>
      <c r="X187" s="24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6"/>
      <c r="AJ187" s="24"/>
      <c r="AK187" s="25"/>
      <c r="AL187" s="25"/>
      <c r="AM187" s="25"/>
      <c r="AN187" s="25"/>
      <c r="AO187" s="25"/>
      <c r="AP187" s="25"/>
      <c r="AQ187" s="25"/>
      <c r="AR187" s="25"/>
      <c r="AS187" s="25"/>
      <c r="AT187" s="25"/>
      <c r="AU187" s="26"/>
      <c r="AV187" s="24"/>
      <c r="AW187" s="25"/>
      <c r="AX187" s="25"/>
      <c r="AY187" s="25"/>
      <c r="AZ187" s="25"/>
      <c r="BA187" s="25"/>
      <c r="BB187" s="25"/>
      <c r="BC187" s="25"/>
      <c r="BD187" s="25"/>
      <c r="BE187" s="25"/>
      <c r="BF187" s="25"/>
      <c r="BG187" s="26"/>
      <c r="BH187" s="27"/>
      <c r="BI187" s="25"/>
      <c r="BJ187" s="25"/>
      <c r="BK187" s="25"/>
      <c r="BL187" s="25"/>
    </row>
    <row r="188" spans="1:64">
      <c r="A188" s="10" t="str">
        <f t="shared" si="16"/>
        <v>DMTOH_V_AD_PROMOTION2.당월실적_B2B전년</v>
      </c>
      <c r="B188" s="7"/>
      <c r="C188" s="7"/>
      <c r="D188" s="7"/>
      <c r="E188" s="7"/>
      <c r="F188" s="7"/>
      <c r="G188" s="7" t="s">
        <v>9</v>
      </c>
      <c r="H188" s="7" t="s">
        <v>104</v>
      </c>
      <c r="I188" s="7" t="s">
        <v>96</v>
      </c>
      <c r="J188" s="23" t="s">
        <v>34</v>
      </c>
      <c r="K188" s="9"/>
      <c r="L188" s="24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6"/>
      <c r="X188" s="24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6"/>
      <c r="AJ188" s="24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6"/>
      <c r="AV188" s="24"/>
      <c r="AW188" s="25"/>
      <c r="AX188" s="25"/>
      <c r="AY188" s="25"/>
      <c r="AZ188" s="25"/>
      <c r="BA188" s="25"/>
      <c r="BB188" s="25"/>
      <c r="BC188" s="25"/>
      <c r="BD188" s="25"/>
      <c r="BE188" s="25"/>
      <c r="BF188" s="25"/>
      <c r="BG188" s="26"/>
      <c r="BH188" s="27"/>
      <c r="BI188" s="25"/>
      <c r="BJ188" s="25"/>
      <c r="BK188" s="25"/>
      <c r="BL188" s="25"/>
    </row>
    <row r="189" spans="1:64">
      <c r="A189" s="10" t="str">
        <f t="shared" si="16"/>
        <v>DTTOH_V_AD_PROMOTION2.당월실적_B2B금년</v>
      </c>
      <c r="B189" s="7"/>
      <c r="C189" s="7"/>
      <c r="D189" s="7"/>
      <c r="E189" s="7"/>
      <c r="F189" s="7"/>
      <c r="G189" s="7" t="s">
        <v>95</v>
      </c>
      <c r="H189" s="7" t="s">
        <v>104</v>
      </c>
      <c r="I189" s="7" t="s">
        <v>96</v>
      </c>
      <c r="J189" s="10" t="s">
        <v>50</v>
      </c>
      <c r="K189" s="9"/>
      <c r="L189" s="24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6"/>
      <c r="X189" s="24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6"/>
      <c r="AJ189" s="24"/>
      <c r="AK189" s="25"/>
      <c r="AL189" s="25"/>
      <c r="AM189" s="25"/>
      <c r="AN189" s="25"/>
      <c r="AO189" s="25"/>
      <c r="AP189" s="25"/>
      <c r="AQ189" s="25"/>
      <c r="AR189" s="25"/>
      <c r="AS189" s="25"/>
      <c r="AT189" s="25"/>
      <c r="AU189" s="26"/>
      <c r="AV189" s="24"/>
      <c r="AW189" s="25"/>
      <c r="AX189" s="25"/>
      <c r="AY189" s="25"/>
      <c r="AZ189" s="25"/>
      <c r="BA189" s="25"/>
      <c r="BB189" s="25"/>
      <c r="BC189" s="25"/>
      <c r="BD189" s="25"/>
      <c r="BE189" s="25"/>
      <c r="BF189" s="25"/>
      <c r="BG189" s="26"/>
      <c r="BH189" s="27"/>
      <c r="BI189" s="25"/>
      <c r="BJ189" s="25"/>
      <c r="BK189" s="25"/>
      <c r="BL189" s="25"/>
    </row>
    <row r="190" spans="1:64">
      <c r="A190" s="10" t="str">
        <f t="shared" si="16"/>
        <v>DTTOH_V_AD_PROMOTION2.당월실적_B2B전년</v>
      </c>
      <c r="B190" s="7"/>
      <c r="C190" s="7"/>
      <c r="D190" s="7"/>
      <c r="E190" s="7"/>
      <c r="F190" s="7"/>
      <c r="G190" s="7" t="s">
        <v>95</v>
      </c>
      <c r="H190" s="7" t="s">
        <v>104</v>
      </c>
      <c r="I190" s="7" t="s">
        <v>96</v>
      </c>
      <c r="J190" s="23" t="s">
        <v>34</v>
      </c>
      <c r="K190" s="9"/>
      <c r="L190" s="24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6"/>
      <c r="X190" s="24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6"/>
      <c r="AJ190" s="24"/>
      <c r="AK190" s="25"/>
      <c r="AL190" s="25"/>
      <c r="AM190" s="25"/>
      <c r="AN190" s="25"/>
      <c r="AO190" s="25"/>
      <c r="AP190" s="25"/>
      <c r="AQ190" s="25"/>
      <c r="AR190" s="25"/>
      <c r="AS190" s="25"/>
      <c r="AT190" s="25"/>
      <c r="AU190" s="26"/>
      <c r="AV190" s="24"/>
      <c r="AW190" s="25"/>
      <c r="AX190" s="25"/>
      <c r="AY190" s="25"/>
      <c r="AZ190" s="25"/>
      <c r="BA190" s="25"/>
      <c r="BB190" s="25"/>
      <c r="BC190" s="25"/>
      <c r="BD190" s="25"/>
      <c r="BE190" s="25"/>
      <c r="BF190" s="25"/>
      <c r="BG190" s="26"/>
      <c r="BH190" s="27"/>
      <c r="BI190" s="25"/>
      <c r="BJ190" s="25"/>
      <c r="BK190" s="25"/>
      <c r="BL190" s="25"/>
    </row>
    <row r="191" spans="1:64">
      <c r="A191" s="10" t="str">
        <f t="shared" si="16"/>
        <v>PGTOH_V_AD_PROMOTION2.당월실적_B2B금년</v>
      </c>
      <c r="B191" s="7"/>
      <c r="C191" s="7"/>
      <c r="D191" s="7"/>
      <c r="E191" s="7"/>
      <c r="F191" s="7"/>
      <c r="G191" s="7" t="s">
        <v>18</v>
      </c>
      <c r="H191" s="7" t="s">
        <v>104</v>
      </c>
      <c r="I191" s="7" t="s">
        <v>96</v>
      </c>
      <c r="J191" s="10" t="s">
        <v>50</v>
      </c>
      <c r="K191" s="9"/>
      <c r="L191" s="24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6"/>
      <c r="X191" s="24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6"/>
      <c r="AJ191" s="24"/>
      <c r="AK191" s="25"/>
      <c r="AL191" s="25"/>
      <c r="AM191" s="25"/>
      <c r="AN191" s="25"/>
      <c r="AO191" s="25"/>
      <c r="AP191" s="25"/>
      <c r="AQ191" s="25"/>
      <c r="AR191" s="25"/>
      <c r="AS191" s="25"/>
      <c r="AT191" s="25"/>
      <c r="AU191" s="26"/>
      <c r="AV191" s="24"/>
      <c r="AW191" s="25"/>
      <c r="AX191" s="25"/>
      <c r="AY191" s="25"/>
      <c r="AZ191" s="25"/>
      <c r="BA191" s="25"/>
      <c r="BB191" s="25"/>
      <c r="BC191" s="25"/>
      <c r="BD191" s="25"/>
      <c r="BE191" s="25"/>
      <c r="BF191" s="25"/>
      <c r="BG191" s="26"/>
      <c r="BH191" s="27"/>
      <c r="BI191" s="25"/>
      <c r="BJ191" s="25"/>
      <c r="BK191" s="25"/>
      <c r="BL191" s="25"/>
    </row>
    <row r="192" spans="1:64">
      <c r="A192" s="10" t="str">
        <f t="shared" si="16"/>
        <v>PGTOH_V_AD_PROMOTION2.당월실적_B2B전년</v>
      </c>
      <c r="B192" s="7"/>
      <c r="C192" s="7"/>
      <c r="D192" s="7"/>
      <c r="E192" s="7"/>
      <c r="F192" s="7"/>
      <c r="G192" s="7" t="s">
        <v>18</v>
      </c>
      <c r="H192" s="7" t="s">
        <v>104</v>
      </c>
      <c r="I192" s="7" t="s">
        <v>96</v>
      </c>
      <c r="J192" s="23" t="s">
        <v>34</v>
      </c>
      <c r="K192" s="9"/>
      <c r="L192" s="24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6"/>
      <c r="X192" s="24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6"/>
      <c r="AJ192" s="24"/>
      <c r="AK192" s="25"/>
      <c r="AL192" s="25"/>
      <c r="AM192" s="25"/>
      <c r="AN192" s="25"/>
      <c r="AO192" s="25"/>
      <c r="AP192" s="25"/>
      <c r="AQ192" s="25"/>
      <c r="AR192" s="25"/>
      <c r="AS192" s="25"/>
      <c r="AT192" s="25"/>
      <c r="AU192" s="26"/>
      <c r="AV192" s="24"/>
      <c r="AW192" s="25"/>
      <c r="AX192" s="25"/>
      <c r="AY192" s="25"/>
      <c r="AZ192" s="25"/>
      <c r="BA192" s="25"/>
      <c r="BB192" s="25"/>
      <c r="BC192" s="25"/>
      <c r="BD192" s="25"/>
      <c r="BE192" s="25"/>
      <c r="BF192" s="25"/>
      <c r="BG192" s="26"/>
      <c r="BH192" s="27"/>
      <c r="BI192" s="25"/>
      <c r="BJ192" s="25"/>
      <c r="BK192" s="25"/>
      <c r="BL192" s="25"/>
    </row>
    <row r="193" spans="1:64">
      <c r="A193" s="6"/>
      <c r="K193" s="9"/>
    </row>
    <row r="194" spans="1:64">
      <c r="A194" s="10" t="str">
        <f t="shared" ref="A194:A213" si="17">TRIM(B194)&amp;TRIM(C194)&amp;TRIM(D194)&amp;TRIM(E194)&amp;TRIM(F194)&amp;TRIM(G194)&amp;TRIM(H194)&amp;TRIM(I194)&amp;TRIM(J194)</f>
        <v>GLTOH_V_TRANS2.당월실적_B2C금년</v>
      </c>
      <c r="B194" s="7"/>
      <c r="C194" s="7"/>
      <c r="D194" s="7"/>
      <c r="E194" s="7"/>
      <c r="F194" s="7"/>
      <c r="G194" s="7" t="s">
        <v>12</v>
      </c>
      <c r="H194" s="7" t="s">
        <v>105</v>
      </c>
      <c r="I194" s="7" t="s">
        <v>55</v>
      </c>
      <c r="J194" s="10" t="s">
        <v>50</v>
      </c>
      <c r="K194" s="9"/>
      <c r="L194" s="24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6"/>
      <c r="X194" s="24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6"/>
      <c r="AJ194" s="24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6"/>
      <c r="AV194" s="24"/>
      <c r="AW194" s="25"/>
      <c r="AX194" s="25"/>
      <c r="AY194" s="25"/>
      <c r="AZ194" s="25"/>
      <c r="BA194" s="25"/>
      <c r="BB194" s="25"/>
      <c r="BC194" s="25"/>
      <c r="BD194" s="25"/>
      <c r="BE194" s="25"/>
      <c r="BF194" s="25"/>
      <c r="BG194" s="26"/>
      <c r="BH194" s="27"/>
      <c r="BI194" s="25"/>
      <c r="BJ194" s="25"/>
      <c r="BK194" s="25"/>
      <c r="BL194" s="25"/>
    </row>
    <row r="195" spans="1:64">
      <c r="A195" s="10" t="str">
        <f t="shared" si="17"/>
        <v>GLTOH_V_TRANS2.당월실적_B2C전년</v>
      </c>
      <c r="B195" s="7"/>
      <c r="C195" s="7"/>
      <c r="D195" s="7"/>
      <c r="E195" s="7"/>
      <c r="F195" s="7"/>
      <c r="G195" s="7" t="s">
        <v>12</v>
      </c>
      <c r="H195" s="7" t="s">
        <v>105</v>
      </c>
      <c r="I195" s="7" t="s">
        <v>55</v>
      </c>
      <c r="J195" s="23" t="s">
        <v>34</v>
      </c>
      <c r="K195" s="9"/>
      <c r="L195" s="24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6"/>
      <c r="X195" s="24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6"/>
      <c r="AJ195" s="24"/>
      <c r="AK195" s="25"/>
      <c r="AL195" s="25"/>
      <c r="AM195" s="25"/>
      <c r="AN195" s="25"/>
      <c r="AO195" s="25"/>
      <c r="AP195" s="25"/>
      <c r="AQ195" s="25"/>
      <c r="AR195" s="25"/>
      <c r="AS195" s="25"/>
      <c r="AT195" s="25"/>
      <c r="AU195" s="26"/>
      <c r="AV195" s="24"/>
      <c r="AW195" s="25"/>
      <c r="AX195" s="25"/>
      <c r="AY195" s="25"/>
      <c r="AZ195" s="25"/>
      <c r="BA195" s="25"/>
      <c r="BB195" s="25"/>
      <c r="BC195" s="25"/>
      <c r="BD195" s="25"/>
      <c r="BE195" s="25"/>
      <c r="BF195" s="25"/>
      <c r="BG195" s="26"/>
      <c r="BH195" s="27"/>
      <c r="BI195" s="25"/>
      <c r="BJ195" s="25"/>
      <c r="BK195" s="25"/>
      <c r="BL195" s="25"/>
    </row>
    <row r="196" spans="1:64">
      <c r="A196" s="10" t="str">
        <f t="shared" si="17"/>
        <v>GTTOH_V_TRANS2.당월실적_B2C금년</v>
      </c>
      <c r="B196" s="7"/>
      <c r="C196" s="7"/>
      <c r="D196" s="7"/>
      <c r="E196" s="7"/>
      <c r="F196" s="7"/>
      <c r="G196" s="7" t="s">
        <v>14</v>
      </c>
      <c r="H196" s="7" t="s">
        <v>105</v>
      </c>
      <c r="I196" s="7" t="s">
        <v>55</v>
      </c>
      <c r="J196" s="10" t="s">
        <v>50</v>
      </c>
      <c r="K196" s="9"/>
      <c r="L196" s="24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6"/>
      <c r="X196" s="24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6"/>
      <c r="AJ196" s="24"/>
      <c r="AK196" s="25"/>
      <c r="AL196" s="25"/>
      <c r="AM196" s="25"/>
      <c r="AN196" s="25"/>
      <c r="AO196" s="25"/>
      <c r="AP196" s="25"/>
      <c r="AQ196" s="25"/>
      <c r="AR196" s="25"/>
      <c r="AS196" s="25"/>
      <c r="AT196" s="25"/>
      <c r="AU196" s="26"/>
      <c r="AV196" s="24"/>
      <c r="AW196" s="25"/>
      <c r="AX196" s="25"/>
      <c r="AY196" s="25"/>
      <c r="AZ196" s="25"/>
      <c r="BA196" s="25"/>
      <c r="BB196" s="25"/>
      <c r="BC196" s="25"/>
      <c r="BD196" s="25"/>
      <c r="BE196" s="25"/>
      <c r="BF196" s="25"/>
      <c r="BG196" s="26"/>
      <c r="BH196" s="27"/>
      <c r="BI196" s="25"/>
      <c r="BJ196" s="25"/>
      <c r="BK196" s="25"/>
      <c r="BL196" s="25"/>
    </row>
    <row r="197" spans="1:64">
      <c r="A197" s="10" t="str">
        <f t="shared" si="17"/>
        <v>GTTOH_V_TRANS2.당월실적_B2C전년</v>
      </c>
      <c r="B197" s="7"/>
      <c r="C197" s="7"/>
      <c r="D197" s="7"/>
      <c r="E197" s="7"/>
      <c r="F197" s="7"/>
      <c r="G197" s="7" t="s">
        <v>14</v>
      </c>
      <c r="H197" s="7" t="s">
        <v>105</v>
      </c>
      <c r="I197" s="7" t="s">
        <v>55</v>
      </c>
      <c r="J197" s="23" t="s">
        <v>34</v>
      </c>
      <c r="K197" s="9"/>
      <c r="L197" s="24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6"/>
      <c r="X197" s="24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6"/>
      <c r="AJ197" s="24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6"/>
      <c r="AV197" s="24"/>
      <c r="AW197" s="25"/>
      <c r="AX197" s="25"/>
      <c r="AY197" s="25"/>
      <c r="AZ197" s="25"/>
      <c r="BA197" s="25"/>
      <c r="BB197" s="25"/>
      <c r="BC197" s="25"/>
      <c r="BD197" s="25"/>
      <c r="BE197" s="25"/>
      <c r="BF197" s="25"/>
      <c r="BG197" s="26"/>
      <c r="BH197" s="27"/>
      <c r="BI197" s="25"/>
      <c r="BJ197" s="25"/>
      <c r="BK197" s="25"/>
      <c r="BL197" s="25"/>
    </row>
    <row r="198" spans="1:64">
      <c r="A198" s="10" t="str">
        <f t="shared" si="17"/>
        <v>PNTOH_V_TRANS2.당월실적_B2C금년</v>
      </c>
      <c r="B198" s="7"/>
      <c r="C198" s="7"/>
      <c r="D198" s="7"/>
      <c r="E198" s="7"/>
      <c r="F198" s="7"/>
      <c r="G198" s="7" t="s">
        <v>16</v>
      </c>
      <c r="H198" s="7" t="s">
        <v>105</v>
      </c>
      <c r="I198" s="7" t="s">
        <v>55</v>
      </c>
      <c r="J198" s="10" t="s">
        <v>50</v>
      </c>
      <c r="K198" s="9"/>
      <c r="L198" s="24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6"/>
      <c r="X198" s="24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6"/>
      <c r="AJ198" s="24"/>
      <c r="AK198" s="25"/>
      <c r="AL198" s="25"/>
      <c r="AM198" s="25"/>
      <c r="AN198" s="25"/>
      <c r="AO198" s="25"/>
      <c r="AP198" s="25"/>
      <c r="AQ198" s="25"/>
      <c r="AR198" s="25"/>
      <c r="AS198" s="25"/>
      <c r="AT198" s="25"/>
      <c r="AU198" s="26"/>
      <c r="AV198" s="24"/>
      <c r="AW198" s="25"/>
      <c r="AX198" s="25"/>
      <c r="AY198" s="25"/>
      <c r="AZ198" s="25"/>
      <c r="BA198" s="25"/>
      <c r="BB198" s="25"/>
      <c r="BC198" s="25"/>
      <c r="BD198" s="25"/>
      <c r="BE198" s="25"/>
      <c r="BF198" s="25"/>
      <c r="BG198" s="26"/>
      <c r="BH198" s="27"/>
      <c r="BI198" s="25"/>
      <c r="BJ198" s="25"/>
      <c r="BK198" s="25"/>
      <c r="BL198" s="25"/>
    </row>
    <row r="199" spans="1:64">
      <c r="A199" s="10" t="str">
        <f t="shared" si="17"/>
        <v>PNTOH_V_TRANS2.당월실적_B2C전년</v>
      </c>
      <c r="B199" s="7"/>
      <c r="C199" s="7"/>
      <c r="D199" s="7"/>
      <c r="E199" s="7"/>
      <c r="F199" s="7"/>
      <c r="G199" s="7" t="s">
        <v>16</v>
      </c>
      <c r="H199" s="7" t="s">
        <v>105</v>
      </c>
      <c r="I199" s="7" t="s">
        <v>55</v>
      </c>
      <c r="J199" s="23" t="s">
        <v>34</v>
      </c>
      <c r="K199" s="9"/>
      <c r="L199" s="24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6"/>
      <c r="X199" s="24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6"/>
      <c r="AJ199" s="24"/>
      <c r="AK199" s="25"/>
      <c r="AL199" s="25"/>
      <c r="AM199" s="25"/>
      <c r="AN199" s="25"/>
      <c r="AO199" s="25"/>
      <c r="AP199" s="25"/>
      <c r="AQ199" s="25"/>
      <c r="AR199" s="25"/>
      <c r="AS199" s="25"/>
      <c r="AT199" s="25"/>
      <c r="AU199" s="26"/>
      <c r="AV199" s="24"/>
      <c r="AW199" s="25"/>
      <c r="AX199" s="25"/>
      <c r="AY199" s="25"/>
      <c r="AZ199" s="25"/>
      <c r="BA199" s="25"/>
      <c r="BB199" s="25"/>
      <c r="BC199" s="25"/>
      <c r="BD199" s="25"/>
      <c r="BE199" s="25"/>
      <c r="BF199" s="25"/>
      <c r="BG199" s="26"/>
      <c r="BH199" s="27"/>
      <c r="BI199" s="25"/>
      <c r="BJ199" s="25"/>
      <c r="BK199" s="25"/>
      <c r="BL199" s="25"/>
    </row>
    <row r="200" spans="1:64">
      <c r="A200" s="10" t="str">
        <f t="shared" si="17"/>
        <v>MSTOH_V_TRANS2.당월실적_B2C금년</v>
      </c>
      <c r="B200" s="7"/>
      <c r="C200" s="7"/>
      <c r="D200" s="7"/>
      <c r="E200" s="7"/>
      <c r="F200" s="7"/>
      <c r="G200" s="7" t="s">
        <v>15</v>
      </c>
      <c r="H200" s="7" t="s">
        <v>105</v>
      </c>
      <c r="I200" s="7" t="s">
        <v>55</v>
      </c>
      <c r="J200" s="10" t="s">
        <v>50</v>
      </c>
      <c r="K200" s="9"/>
      <c r="L200" s="24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6"/>
      <c r="X200" s="24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6"/>
      <c r="AJ200" s="24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6"/>
      <c r="AV200" s="24"/>
      <c r="AW200" s="25"/>
      <c r="AX200" s="25"/>
      <c r="AY200" s="25"/>
      <c r="AZ200" s="25"/>
      <c r="BA200" s="25"/>
      <c r="BB200" s="25"/>
      <c r="BC200" s="25"/>
      <c r="BD200" s="25"/>
      <c r="BE200" s="25"/>
      <c r="BF200" s="25"/>
      <c r="BG200" s="26"/>
      <c r="BH200" s="27"/>
      <c r="BI200" s="25"/>
      <c r="BJ200" s="25"/>
      <c r="BK200" s="25"/>
      <c r="BL200" s="25"/>
    </row>
    <row r="201" spans="1:64">
      <c r="A201" s="10" t="str">
        <f t="shared" si="17"/>
        <v>MSTOH_V_TRANS2.당월실적_B2C전년</v>
      </c>
      <c r="B201" s="7"/>
      <c r="C201" s="7"/>
      <c r="D201" s="7"/>
      <c r="E201" s="7"/>
      <c r="F201" s="7"/>
      <c r="G201" s="7" t="s">
        <v>15</v>
      </c>
      <c r="H201" s="7" t="s">
        <v>105</v>
      </c>
      <c r="I201" s="7" t="s">
        <v>55</v>
      </c>
      <c r="J201" s="23" t="s">
        <v>34</v>
      </c>
      <c r="K201" s="9"/>
      <c r="L201" s="24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6"/>
      <c r="X201" s="24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6"/>
      <c r="AJ201" s="24"/>
      <c r="AK201" s="25"/>
      <c r="AL201" s="25"/>
      <c r="AM201" s="25"/>
      <c r="AN201" s="25"/>
      <c r="AO201" s="25"/>
      <c r="AP201" s="25"/>
      <c r="AQ201" s="25"/>
      <c r="AR201" s="25"/>
      <c r="AS201" s="25"/>
      <c r="AT201" s="25"/>
      <c r="AU201" s="26"/>
      <c r="AV201" s="24"/>
      <c r="AW201" s="25"/>
      <c r="AX201" s="25"/>
      <c r="AY201" s="25"/>
      <c r="AZ201" s="25"/>
      <c r="BA201" s="25"/>
      <c r="BB201" s="25"/>
      <c r="BC201" s="25"/>
      <c r="BD201" s="25"/>
      <c r="BE201" s="25"/>
      <c r="BF201" s="25"/>
      <c r="BG201" s="26"/>
      <c r="BH201" s="27"/>
      <c r="BI201" s="25"/>
      <c r="BJ201" s="25"/>
      <c r="BK201" s="25"/>
      <c r="BL201" s="25"/>
    </row>
    <row r="202" spans="1:64">
      <c r="A202" s="10" t="str">
        <f t="shared" si="17"/>
        <v>CNTOH_V_TRANS2.당월실적_B2C금년</v>
      </c>
      <c r="B202" s="7"/>
      <c r="C202" s="7"/>
      <c r="D202" s="7"/>
      <c r="E202" s="7"/>
      <c r="F202" s="7"/>
      <c r="G202" s="7" t="s">
        <v>6</v>
      </c>
      <c r="H202" s="7" t="s">
        <v>105</v>
      </c>
      <c r="I202" s="7" t="s">
        <v>55</v>
      </c>
      <c r="J202" s="10" t="s">
        <v>50</v>
      </c>
      <c r="K202" s="9"/>
      <c r="L202" s="24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6"/>
      <c r="X202" s="24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6"/>
      <c r="AJ202" s="24"/>
      <c r="AK202" s="25"/>
      <c r="AL202" s="25"/>
      <c r="AM202" s="25"/>
      <c r="AN202" s="25"/>
      <c r="AO202" s="25"/>
      <c r="AP202" s="25"/>
      <c r="AQ202" s="25"/>
      <c r="AR202" s="25"/>
      <c r="AS202" s="25"/>
      <c r="AT202" s="25"/>
      <c r="AU202" s="26"/>
      <c r="AV202" s="24"/>
      <c r="AW202" s="25"/>
      <c r="AX202" s="25"/>
      <c r="AY202" s="25"/>
      <c r="AZ202" s="25"/>
      <c r="BA202" s="25"/>
      <c r="BB202" s="25"/>
      <c r="BC202" s="25"/>
      <c r="BD202" s="25"/>
      <c r="BE202" s="25"/>
      <c r="BF202" s="25"/>
      <c r="BG202" s="26"/>
      <c r="BH202" s="27"/>
      <c r="BI202" s="25"/>
      <c r="BJ202" s="25"/>
      <c r="BK202" s="25"/>
      <c r="BL202" s="25"/>
    </row>
    <row r="203" spans="1:64">
      <c r="A203" s="10" t="str">
        <f t="shared" si="17"/>
        <v>CNTOH_V_TRANS2.당월실적_B2C전년</v>
      </c>
      <c r="B203" s="7"/>
      <c r="C203" s="7"/>
      <c r="D203" s="7"/>
      <c r="E203" s="7"/>
      <c r="F203" s="7"/>
      <c r="G203" s="7" t="s">
        <v>6</v>
      </c>
      <c r="H203" s="7" t="s">
        <v>105</v>
      </c>
      <c r="I203" s="7" t="s">
        <v>55</v>
      </c>
      <c r="J203" s="23" t="s">
        <v>34</v>
      </c>
      <c r="K203" s="9"/>
      <c r="L203" s="24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6"/>
      <c r="X203" s="24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6"/>
      <c r="AJ203" s="24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6"/>
      <c r="AV203" s="24"/>
      <c r="AW203" s="25"/>
      <c r="AX203" s="25"/>
      <c r="AY203" s="25"/>
      <c r="AZ203" s="25"/>
      <c r="BA203" s="25"/>
      <c r="BB203" s="25"/>
      <c r="BC203" s="25"/>
      <c r="BD203" s="25"/>
      <c r="BE203" s="25"/>
      <c r="BF203" s="25"/>
      <c r="BG203" s="26"/>
      <c r="BH203" s="27"/>
      <c r="BI203" s="25"/>
      <c r="BJ203" s="25"/>
      <c r="BK203" s="25"/>
      <c r="BL203" s="25"/>
    </row>
    <row r="204" spans="1:64">
      <c r="A204" s="10" t="str">
        <f t="shared" si="17"/>
        <v>DFTOH_V_TRANS2.당월실적_B2C금년</v>
      </c>
      <c r="B204" s="7"/>
      <c r="C204" s="7"/>
      <c r="D204" s="7"/>
      <c r="E204" s="7"/>
      <c r="F204" s="7"/>
      <c r="G204" s="7" t="s">
        <v>7</v>
      </c>
      <c r="H204" s="7" t="s">
        <v>105</v>
      </c>
      <c r="I204" s="7" t="str">
        <f t="shared" ref="I204:I213" si="18">I194</f>
        <v>2.당월실적_B2C</v>
      </c>
      <c r="J204" s="10" t="s">
        <v>50</v>
      </c>
      <c r="K204" s="9"/>
      <c r="L204" s="24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6"/>
      <c r="X204" s="24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6"/>
      <c r="AJ204" s="24"/>
      <c r="AK204" s="25"/>
      <c r="AL204" s="25"/>
      <c r="AM204" s="25"/>
      <c r="AN204" s="25"/>
      <c r="AO204" s="25"/>
      <c r="AP204" s="25"/>
      <c r="AQ204" s="25"/>
      <c r="AR204" s="25"/>
      <c r="AS204" s="25"/>
      <c r="AT204" s="25"/>
      <c r="AU204" s="26"/>
      <c r="AV204" s="24"/>
      <c r="AW204" s="25"/>
      <c r="AX204" s="25"/>
      <c r="AY204" s="25"/>
      <c r="AZ204" s="25"/>
      <c r="BA204" s="25"/>
      <c r="BB204" s="25"/>
      <c r="BC204" s="25"/>
      <c r="BD204" s="25"/>
      <c r="BE204" s="25"/>
      <c r="BF204" s="25"/>
      <c r="BG204" s="26"/>
      <c r="BH204" s="27"/>
      <c r="BI204" s="25"/>
      <c r="BJ204" s="25"/>
      <c r="BK204" s="25"/>
      <c r="BL204" s="25"/>
    </row>
    <row r="205" spans="1:64">
      <c r="A205" s="10" t="str">
        <f t="shared" si="17"/>
        <v>DFTOH_V_TRANS2.당월실적_B2C전년</v>
      </c>
      <c r="B205" s="7"/>
      <c r="C205" s="7"/>
      <c r="D205" s="7"/>
      <c r="E205" s="7"/>
      <c r="F205" s="7"/>
      <c r="G205" s="7" t="s">
        <v>7</v>
      </c>
      <c r="H205" s="7" t="s">
        <v>105</v>
      </c>
      <c r="I205" s="7" t="str">
        <f t="shared" si="18"/>
        <v>2.당월실적_B2C</v>
      </c>
      <c r="J205" s="23" t="s">
        <v>34</v>
      </c>
      <c r="K205" s="9"/>
      <c r="L205" s="24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6"/>
      <c r="X205" s="24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6"/>
      <c r="AJ205" s="24"/>
      <c r="AK205" s="25"/>
      <c r="AL205" s="25"/>
      <c r="AM205" s="25"/>
      <c r="AN205" s="25"/>
      <c r="AO205" s="25"/>
      <c r="AP205" s="25"/>
      <c r="AQ205" s="25"/>
      <c r="AR205" s="25"/>
      <c r="AS205" s="25"/>
      <c r="AT205" s="25"/>
      <c r="AU205" s="26"/>
      <c r="AV205" s="24"/>
      <c r="AW205" s="25"/>
      <c r="AX205" s="25"/>
      <c r="AY205" s="25"/>
      <c r="AZ205" s="25"/>
      <c r="BA205" s="25"/>
      <c r="BB205" s="25"/>
      <c r="BC205" s="25"/>
      <c r="BD205" s="25"/>
      <c r="BE205" s="25"/>
      <c r="BF205" s="25"/>
      <c r="BG205" s="26"/>
      <c r="BH205" s="27"/>
      <c r="BI205" s="25"/>
      <c r="BJ205" s="25"/>
      <c r="BK205" s="25"/>
      <c r="BL205" s="25"/>
    </row>
    <row r="206" spans="1:64">
      <c r="A206" s="10" t="str">
        <f t="shared" si="17"/>
        <v>DGTOH_V_TRANS2.당월실적_B2C금년</v>
      </c>
      <c r="B206" s="7"/>
      <c r="C206" s="7"/>
      <c r="D206" s="7"/>
      <c r="E206" s="7"/>
      <c r="F206" s="7"/>
      <c r="G206" s="7" t="s">
        <v>8</v>
      </c>
      <c r="H206" s="7" t="s">
        <v>105</v>
      </c>
      <c r="I206" s="7" t="str">
        <f t="shared" si="18"/>
        <v>2.당월실적_B2C</v>
      </c>
      <c r="J206" s="10" t="s">
        <v>50</v>
      </c>
      <c r="K206" s="9"/>
      <c r="L206" s="24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6"/>
      <c r="X206" s="24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6"/>
      <c r="AJ206" s="24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6"/>
      <c r="AV206" s="24"/>
      <c r="AW206" s="25"/>
      <c r="AX206" s="25"/>
      <c r="AY206" s="25"/>
      <c r="AZ206" s="25"/>
      <c r="BA206" s="25"/>
      <c r="BB206" s="25"/>
      <c r="BC206" s="25"/>
      <c r="BD206" s="25"/>
      <c r="BE206" s="25"/>
      <c r="BF206" s="25"/>
      <c r="BG206" s="26"/>
      <c r="BH206" s="27"/>
      <c r="BI206" s="25"/>
      <c r="BJ206" s="25"/>
      <c r="BK206" s="25"/>
      <c r="BL206" s="25"/>
    </row>
    <row r="207" spans="1:64">
      <c r="A207" s="10" t="str">
        <f t="shared" si="17"/>
        <v>DGTOH_V_TRANS2.당월실적_B2C전년</v>
      </c>
      <c r="B207" s="7"/>
      <c r="C207" s="7"/>
      <c r="D207" s="7"/>
      <c r="E207" s="7"/>
      <c r="F207" s="7"/>
      <c r="G207" s="7" t="s">
        <v>8</v>
      </c>
      <c r="H207" s="7" t="s">
        <v>105</v>
      </c>
      <c r="I207" s="7" t="str">
        <f t="shared" si="18"/>
        <v>2.당월실적_B2C</v>
      </c>
      <c r="J207" s="23" t="s">
        <v>34</v>
      </c>
      <c r="K207" s="9"/>
      <c r="L207" s="24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6"/>
      <c r="X207" s="24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6"/>
      <c r="AJ207" s="24"/>
      <c r="AK207" s="25"/>
      <c r="AL207" s="25"/>
      <c r="AM207" s="25"/>
      <c r="AN207" s="25"/>
      <c r="AO207" s="25"/>
      <c r="AP207" s="25"/>
      <c r="AQ207" s="25"/>
      <c r="AR207" s="25"/>
      <c r="AS207" s="25"/>
      <c r="AT207" s="25"/>
      <c r="AU207" s="26"/>
      <c r="AV207" s="24"/>
      <c r="AW207" s="25"/>
      <c r="AX207" s="25"/>
      <c r="AY207" s="25"/>
      <c r="AZ207" s="25"/>
      <c r="BA207" s="25"/>
      <c r="BB207" s="25"/>
      <c r="BC207" s="25"/>
      <c r="BD207" s="25"/>
      <c r="BE207" s="25"/>
      <c r="BF207" s="25"/>
      <c r="BG207" s="26"/>
      <c r="BH207" s="27"/>
      <c r="BI207" s="25"/>
      <c r="BJ207" s="25"/>
      <c r="BK207" s="25"/>
      <c r="BL207" s="25"/>
    </row>
    <row r="208" spans="1:64">
      <c r="A208" s="10" t="str">
        <f t="shared" si="17"/>
        <v>PCTOH_V_TRANS2.당월실적_B2C금년</v>
      </c>
      <c r="B208" s="7"/>
      <c r="C208" s="7"/>
      <c r="D208" s="7"/>
      <c r="E208" s="7"/>
      <c r="F208" s="7"/>
      <c r="G208" s="7" t="s">
        <v>19</v>
      </c>
      <c r="H208" s="7" t="s">
        <v>105</v>
      </c>
      <c r="I208" s="7" t="str">
        <f t="shared" si="18"/>
        <v>2.당월실적_B2C</v>
      </c>
      <c r="J208" s="10" t="s">
        <v>50</v>
      </c>
      <c r="K208" s="9"/>
      <c r="L208" s="24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6"/>
      <c r="X208" s="24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6"/>
      <c r="AJ208" s="24"/>
      <c r="AK208" s="25"/>
      <c r="AL208" s="25"/>
      <c r="AM208" s="25"/>
      <c r="AN208" s="25"/>
      <c r="AO208" s="25"/>
      <c r="AP208" s="25"/>
      <c r="AQ208" s="25"/>
      <c r="AR208" s="25"/>
      <c r="AS208" s="25"/>
      <c r="AT208" s="25"/>
      <c r="AU208" s="26"/>
      <c r="AV208" s="24"/>
      <c r="AW208" s="25"/>
      <c r="AX208" s="25"/>
      <c r="AY208" s="25"/>
      <c r="AZ208" s="25"/>
      <c r="BA208" s="25"/>
      <c r="BB208" s="25"/>
      <c r="BC208" s="25"/>
      <c r="BD208" s="25"/>
      <c r="BE208" s="25"/>
      <c r="BF208" s="25"/>
      <c r="BG208" s="26"/>
      <c r="BH208" s="27"/>
      <c r="BI208" s="25"/>
      <c r="BJ208" s="25"/>
      <c r="BK208" s="25"/>
      <c r="BL208" s="25"/>
    </row>
    <row r="209" spans="1:64">
      <c r="A209" s="10" t="str">
        <f t="shared" si="17"/>
        <v>PCTOH_V_TRANS2.당월실적_B2C전년</v>
      </c>
      <c r="B209" s="7"/>
      <c r="C209" s="7"/>
      <c r="D209" s="7"/>
      <c r="E209" s="7"/>
      <c r="F209" s="7"/>
      <c r="G209" s="7" t="s">
        <v>19</v>
      </c>
      <c r="H209" s="7" t="s">
        <v>105</v>
      </c>
      <c r="I209" s="7" t="str">
        <f t="shared" si="18"/>
        <v>2.당월실적_B2C</v>
      </c>
      <c r="J209" s="23" t="s">
        <v>34</v>
      </c>
      <c r="K209" s="9"/>
      <c r="L209" s="24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6"/>
      <c r="X209" s="24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6"/>
      <c r="AJ209" s="24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6"/>
      <c r="AV209" s="24"/>
      <c r="AW209" s="25"/>
      <c r="AX209" s="25"/>
      <c r="AY209" s="25"/>
      <c r="AZ209" s="25"/>
      <c r="BA209" s="25"/>
      <c r="BB209" s="25"/>
      <c r="BC209" s="25"/>
      <c r="BD209" s="25"/>
      <c r="BE209" s="25"/>
      <c r="BF209" s="25"/>
      <c r="BG209" s="26"/>
      <c r="BH209" s="27"/>
      <c r="BI209" s="25"/>
      <c r="BJ209" s="25"/>
      <c r="BK209" s="25"/>
      <c r="BL209" s="25"/>
    </row>
    <row r="210" spans="1:64">
      <c r="A210" s="10" t="str">
        <f t="shared" si="17"/>
        <v>PSTOH_V_TRANS2.당월실적_B2C금년</v>
      </c>
      <c r="B210" s="7"/>
      <c r="C210" s="7"/>
      <c r="D210" s="7"/>
      <c r="E210" s="7"/>
      <c r="F210" s="7"/>
      <c r="G210" s="7" t="s">
        <v>17</v>
      </c>
      <c r="H210" s="7" t="s">
        <v>105</v>
      </c>
      <c r="I210" s="7" t="str">
        <f t="shared" si="18"/>
        <v>2.당월실적_B2C</v>
      </c>
      <c r="J210" s="10" t="s">
        <v>50</v>
      </c>
      <c r="K210" s="9"/>
      <c r="L210" s="24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6"/>
      <c r="X210" s="24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6"/>
      <c r="AJ210" s="24"/>
      <c r="AK210" s="25"/>
      <c r="AL210" s="25"/>
      <c r="AM210" s="25"/>
      <c r="AN210" s="25"/>
      <c r="AO210" s="25"/>
      <c r="AP210" s="25"/>
      <c r="AQ210" s="25"/>
      <c r="AR210" s="25"/>
      <c r="AS210" s="25"/>
      <c r="AT210" s="25"/>
      <c r="AU210" s="26"/>
      <c r="AV210" s="24"/>
      <c r="AW210" s="25"/>
      <c r="AX210" s="25"/>
      <c r="AY210" s="25"/>
      <c r="AZ210" s="25"/>
      <c r="BA210" s="25"/>
      <c r="BB210" s="25"/>
      <c r="BC210" s="25"/>
      <c r="BD210" s="25"/>
      <c r="BE210" s="25"/>
      <c r="BF210" s="25"/>
      <c r="BG210" s="26"/>
      <c r="BH210" s="27"/>
      <c r="BI210" s="25"/>
      <c r="BJ210" s="25"/>
      <c r="BK210" s="25"/>
      <c r="BL210" s="25"/>
    </row>
    <row r="211" spans="1:64">
      <c r="A211" s="10" t="str">
        <f t="shared" si="17"/>
        <v>PSTOH_V_TRANS2.당월실적_B2C전년</v>
      </c>
      <c r="B211" s="7"/>
      <c r="C211" s="7"/>
      <c r="D211" s="7"/>
      <c r="E211" s="7"/>
      <c r="F211" s="7"/>
      <c r="G211" s="7" t="s">
        <v>17</v>
      </c>
      <c r="H211" s="7" t="s">
        <v>105</v>
      </c>
      <c r="I211" s="7" t="str">
        <f t="shared" si="18"/>
        <v>2.당월실적_B2C</v>
      </c>
      <c r="J211" s="23" t="s">
        <v>34</v>
      </c>
      <c r="K211" s="9"/>
      <c r="L211" s="24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6"/>
      <c r="X211" s="24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6"/>
      <c r="AJ211" s="24"/>
      <c r="AK211" s="25"/>
      <c r="AL211" s="25"/>
      <c r="AM211" s="25"/>
      <c r="AN211" s="25"/>
      <c r="AO211" s="25"/>
      <c r="AP211" s="25"/>
      <c r="AQ211" s="25"/>
      <c r="AR211" s="25"/>
      <c r="AS211" s="25"/>
      <c r="AT211" s="25"/>
      <c r="AU211" s="26"/>
      <c r="AV211" s="24"/>
      <c r="AW211" s="25"/>
      <c r="AX211" s="25"/>
      <c r="AY211" s="25"/>
      <c r="AZ211" s="25"/>
      <c r="BA211" s="25"/>
      <c r="BB211" s="25"/>
      <c r="BC211" s="25"/>
      <c r="BD211" s="25"/>
      <c r="BE211" s="25"/>
      <c r="BF211" s="25"/>
      <c r="BG211" s="26"/>
      <c r="BH211" s="27"/>
      <c r="BI211" s="25"/>
      <c r="BJ211" s="25"/>
      <c r="BK211" s="25"/>
      <c r="BL211" s="25"/>
    </row>
    <row r="212" spans="1:64">
      <c r="A212" s="10" t="str">
        <f t="shared" si="17"/>
        <v>DVTOH_V_TRANS2.당월실적_B2C금년</v>
      </c>
      <c r="B212" s="7"/>
      <c r="C212" s="7"/>
      <c r="D212" s="7"/>
      <c r="E212" s="7"/>
      <c r="F212" s="7"/>
      <c r="G212" s="7" t="s">
        <v>10</v>
      </c>
      <c r="H212" s="7" t="s">
        <v>105</v>
      </c>
      <c r="I212" s="7" t="str">
        <f t="shared" si="18"/>
        <v>2.당월실적_B2C</v>
      </c>
      <c r="J212" s="10" t="s">
        <v>50</v>
      </c>
      <c r="K212" s="9"/>
      <c r="L212" s="24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6"/>
      <c r="X212" s="24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6"/>
      <c r="AJ212" s="24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6"/>
      <c r="AV212" s="24"/>
      <c r="AW212" s="25"/>
      <c r="AX212" s="25"/>
      <c r="AY212" s="25"/>
      <c r="AZ212" s="25"/>
      <c r="BA212" s="25"/>
      <c r="BB212" s="25"/>
      <c r="BC212" s="25"/>
      <c r="BD212" s="25"/>
      <c r="BE212" s="25"/>
      <c r="BF212" s="25"/>
      <c r="BG212" s="26"/>
      <c r="BH212" s="27"/>
      <c r="BI212" s="25"/>
      <c r="BJ212" s="25"/>
      <c r="BK212" s="25"/>
      <c r="BL212" s="25"/>
    </row>
    <row r="213" spans="1:64">
      <c r="A213" s="10" t="str">
        <f t="shared" si="17"/>
        <v>DVTOH_V_TRANS2.당월실적_B2C전년</v>
      </c>
      <c r="B213" s="7"/>
      <c r="C213" s="7"/>
      <c r="D213" s="7"/>
      <c r="E213" s="7"/>
      <c r="F213" s="7"/>
      <c r="G213" s="7" t="s">
        <v>10</v>
      </c>
      <c r="H213" s="7" t="s">
        <v>105</v>
      </c>
      <c r="I213" s="7" t="str">
        <f t="shared" si="18"/>
        <v>2.당월실적_B2C</v>
      </c>
      <c r="J213" s="23" t="s">
        <v>34</v>
      </c>
      <c r="K213" s="9"/>
      <c r="L213" s="24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6"/>
      <c r="X213" s="24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6"/>
      <c r="AJ213" s="24"/>
      <c r="AK213" s="25"/>
      <c r="AL213" s="25"/>
      <c r="AM213" s="25"/>
      <c r="AN213" s="25"/>
      <c r="AO213" s="25"/>
      <c r="AP213" s="25"/>
      <c r="AQ213" s="25"/>
      <c r="AR213" s="25"/>
      <c r="AS213" s="25"/>
      <c r="AT213" s="25"/>
      <c r="AU213" s="26"/>
      <c r="AV213" s="24"/>
      <c r="AW213" s="25"/>
      <c r="AX213" s="25"/>
      <c r="AY213" s="25"/>
      <c r="AZ213" s="25"/>
      <c r="BA213" s="25"/>
      <c r="BB213" s="25"/>
      <c r="BC213" s="25"/>
      <c r="BD213" s="25"/>
      <c r="BE213" s="25"/>
      <c r="BF213" s="25"/>
      <c r="BG213" s="26"/>
      <c r="BH213" s="27"/>
      <c r="BI213" s="25"/>
      <c r="BJ213" s="25"/>
      <c r="BK213" s="25"/>
      <c r="BL213" s="25"/>
    </row>
    <row r="214" spans="1:64">
      <c r="A214" s="6"/>
      <c r="H214" t="s">
        <v>105</v>
      </c>
      <c r="K214" s="9"/>
    </row>
    <row r="215" spans="1:64">
      <c r="A215" s="10" t="str">
        <f t="shared" ref="A215:A228" si="19">TRIM(B215)&amp;TRIM(C215)&amp;TRIM(D215)&amp;TRIM(E215)&amp;TRIM(F215)&amp;TRIM(G215)&amp;TRIM(H215)&amp;TRIM(I215)&amp;TRIM(J215)</f>
        <v>GJTOH_V_TRANS2.당월실적_B2B금년</v>
      </c>
      <c r="B215" s="7"/>
      <c r="C215" s="7"/>
      <c r="D215" s="7"/>
      <c r="E215" s="7"/>
      <c r="F215" s="7"/>
      <c r="G215" s="7" t="s">
        <v>11</v>
      </c>
      <c r="H215" s="7" t="s">
        <v>105</v>
      </c>
      <c r="I215" s="7" t="s">
        <v>96</v>
      </c>
      <c r="J215" s="10" t="s">
        <v>50</v>
      </c>
      <c r="K215" s="9"/>
      <c r="L215" s="24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6"/>
      <c r="X215" s="24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6"/>
      <c r="AJ215" s="24"/>
      <c r="AK215" s="25"/>
      <c r="AL215" s="25"/>
      <c r="AM215" s="25"/>
      <c r="AN215" s="25"/>
      <c r="AO215" s="25"/>
      <c r="AP215" s="25"/>
      <c r="AQ215" s="25"/>
      <c r="AR215" s="25"/>
      <c r="AS215" s="25"/>
      <c r="AT215" s="25"/>
      <c r="AU215" s="26"/>
      <c r="AV215" s="24"/>
      <c r="AW215" s="25"/>
      <c r="AX215" s="25"/>
      <c r="AY215" s="25"/>
      <c r="AZ215" s="25"/>
      <c r="BA215" s="25"/>
      <c r="BB215" s="25"/>
      <c r="BC215" s="25"/>
      <c r="BD215" s="25"/>
      <c r="BE215" s="25"/>
      <c r="BF215" s="25"/>
      <c r="BG215" s="26"/>
      <c r="BH215" s="27"/>
      <c r="BI215" s="25"/>
      <c r="BJ215" s="25"/>
      <c r="BK215" s="25"/>
      <c r="BL215" s="25"/>
    </row>
    <row r="216" spans="1:64" ht="18" customHeight="1">
      <c r="A216" s="10" t="str">
        <f t="shared" si="19"/>
        <v>GJTOH_V_TRANS2.당월실적_B2B전년</v>
      </c>
      <c r="B216" s="7"/>
      <c r="C216" s="7"/>
      <c r="D216" s="7"/>
      <c r="E216" s="7"/>
      <c r="F216" s="7"/>
      <c r="G216" s="7" t="s">
        <v>11</v>
      </c>
      <c r="H216" s="7" t="s">
        <v>105</v>
      </c>
      <c r="I216" s="7" t="s">
        <v>96</v>
      </c>
      <c r="J216" s="23" t="s">
        <v>34</v>
      </c>
      <c r="K216" s="9"/>
      <c r="L216" s="24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6"/>
      <c r="X216" s="24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6"/>
      <c r="AJ216" s="24"/>
      <c r="AK216" s="25"/>
      <c r="AL216" s="25"/>
      <c r="AM216" s="25"/>
      <c r="AN216" s="25"/>
      <c r="AO216" s="25"/>
      <c r="AP216" s="25"/>
      <c r="AQ216" s="25"/>
      <c r="AR216" s="25"/>
      <c r="AS216" s="25"/>
      <c r="AT216" s="25"/>
      <c r="AU216" s="26"/>
      <c r="AV216" s="24"/>
      <c r="AW216" s="25"/>
      <c r="AX216" s="25"/>
      <c r="AY216" s="25"/>
      <c r="AZ216" s="25"/>
      <c r="BA216" s="25"/>
      <c r="BB216" s="25"/>
      <c r="BC216" s="25"/>
      <c r="BD216" s="25"/>
      <c r="BE216" s="25"/>
      <c r="BF216" s="25"/>
      <c r="BG216" s="26"/>
      <c r="BH216" s="27"/>
      <c r="BI216" s="25"/>
      <c r="BJ216" s="25"/>
      <c r="BK216" s="25"/>
      <c r="BL216" s="25"/>
    </row>
    <row r="217" spans="1:64">
      <c r="A217" s="10" t="str">
        <f t="shared" si="19"/>
        <v>GNTOH_V_TRANS2.당월실적_B2B금년</v>
      </c>
      <c r="B217" s="7"/>
      <c r="C217" s="7"/>
      <c r="D217" s="7"/>
      <c r="E217" s="7"/>
      <c r="F217" s="7"/>
      <c r="G217" s="7" t="s">
        <v>13</v>
      </c>
      <c r="H217" s="7" t="s">
        <v>105</v>
      </c>
      <c r="I217" s="7" t="s">
        <v>96</v>
      </c>
      <c r="J217" s="10" t="s">
        <v>50</v>
      </c>
      <c r="K217" s="9"/>
      <c r="L217" s="24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6"/>
      <c r="X217" s="24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6"/>
      <c r="AJ217" s="24"/>
      <c r="AK217" s="25"/>
      <c r="AL217" s="25"/>
      <c r="AM217" s="25"/>
      <c r="AN217" s="25"/>
      <c r="AO217" s="25"/>
      <c r="AP217" s="25"/>
      <c r="AQ217" s="25"/>
      <c r="AR217" s="25"/>
      <c r="AS217" s="25"/>
      <c r="AT217" s="25"/>
      <c r="AU217" s="26"/>
      <c r="AV217" s="24"/>
      <c r="AW217" s="25"/>
      <c r="AX217" s="25"/>
      <c r="AY217" s="25"/>
      <c r="AZ217" s="25"/>
      <c r="BA217" s="25"/>
      <c r="BB217" s="25"/>
      <c r="BC217" s="25"/>
      <c r="BD217" s="25"/>
      <c r="BE217" s="25"/>
      <c r="BF217" s="25"/>
      <c r="BG217" s="26"/>
      <c r="BH217" s="27"/>
      <c r="BI217" s="25"/>
      <c r="BJ217" s="25"/>
      <c r="BK217" s="25"/>
      <c r="BL217" s="25"/>
    </row>
    <row r="218" spans="1:64">
      <c r="A218" s="10" t="str">
        <f t="shared" si="19"/>
        <v>GNTOH_V_TRANS2.당월실적_B2B전년</v>
      </c>
      <c r="B218" s="7"/>
      <c r="C218" s="7"/>
      <c r="D218" s="7"/>
      <c r="E218" s="7"/>
      <c r="F218" s="7"/>
      <c r="G218" s="7" t="s">
        <v>13</v>
      </c>
      <c r="H218" s="7" t="s">
        <v>105</v>
      </c>
      <c r="I218" s="7" t="s">
        <v>96</v>
      </c>
      <c r="J218" s="23" t="s">
        <v>34</v>
      </c>
      <c r="K218" s="9"/>
      <c r="L218" s="24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6"/>
      <c r="X218" s="24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6"/>
      <c r="AJ218" s="24"/>
      <c r="AK218" s="25"/>
      <c r="AL218" s="25"/>
      <c r="AM218" s="25"/>
      <c r="AN218" s="25"/>
      <c r="AO218" s="25"/>
      <c r="AP218" s="25"/>
      <c r="AQ218" s="25"/>
      <c r="AR218" s="25"/>
      <c r="AS218" s="25"/>
      <c r="AT218" s="25"/>
      <c r="AU218" s="26"/>
      <c r="AV218" s="24"/>
      <c r="AW218" s="25"/>
      <c r="AX218" s="25"/>
      <c r="AY218" s="25"/>
      <c r="AZ218" s="25"/>
      <c r="BA218" s="25"/>
      <c r="BB218" s="25"/>
      <c r="BC218" s="25"/>
      <c r="BD218" s="25"/>
      <c r="BE218" s="25"/>
      <c r="BF218" s="25"/>
      <c r="BG218" s="26"/>
      <c r="BH218" s="27"/>
      <c r="BI218" s="25"/>
      <c r="BJ218" s="25"/>
      <c r="BK218" s="25"/>
      <c r="BL218" s="25"/>
    </row>
    <row r="219" spans="1:64">
      <c r="A219" s="10" t="str">
        <f t="shared" si="19"/>
        <v>GOTOH_V_TRANS2.당월실적_B2B금년</v>
      </c>
      <c r="B219" s="7"/>
      <c r="C219" s="7"/>
      <c r="D219" s="7"/>
      <c r="E219" s="7"/>
      <c r="F219" s="7"/>
      <c r="G219" s="7" t="s">
        <v>94</v>
      </c>
      <c r="H219" s="7" t="s">
        <v>105</v>
      </c>
      <c r="I219" s="7" t="s">
        <v>96</v>
      </c>
      <c r="J219" s="10" t="s">
        <v>50</v>
      </c>
      <c r="K219" s="9"/>
      <c r="L219" s="24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6"/>
      <c r="X219" s="24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6"/>
      <c r="AJ219" s="24"/>
      <c r="AK219" s="25"/>
      <c r="AL219" s="25"/>
      <c r="AM219" s="25"/>
      <c r="AN219" s="25"/>
      <c r="AO219" s="25"/>
      <c r="AP219" s="25"/>
      <c r="AQ219" s="25"/>
      <c r="AR219" s="25"/>
      <c r="AS219" s="25"/>
      <c r="AT219" s="25"/>
      <c r="AU219" s="26"/>
      <c r="AV219" s="24"/>
      <c r="AW219" s="25"/>
      <c r="AX219" s="25"/>
      <c r="AY219" s="25"/>
      <c r="AZ219" s="25"/>
      <c r="BA219" s="25"/>
      <c r="BB219" s="25"/>
      <c r="BC219" s="25"/>
      <c r="BD219" s="25"/>
      <c r="BE219" s="25"/>
      <c r="BF219" s="25"/>
      <c r="BG219" s="26"/>
      <c r="BH219" s="27"/>
      <c r="BI219" s="25"/>
      <c r="BJ219" s="25"/>
      <c r="BK219" s="25"/>
      <c r="BL219" s="25"/>
    </row>
    <row r="220" spans="1:64">
      <c r="A220" s="10" t="str">
        <f t="shared" si="19"/>
        <v>GOTOH_V_TRANS2.당월실적_B2B전년</v>
      </c>
      <c r="B220" s="7"/>
      <c r="C220" s="7"/>
      <c r="D220" s="7"/>
      <c r="E220" s="7"/>
      <c r="F220" s="7"/>
      <c r="G220" s="7" t="s">
        <v>94</v>
      </c>
      <c r="H220" s="7" t="s">
        <v>105</v>
      </c>
      <c r="I220" s="7" t="s">
        <v>96</v>
      </c>
      <c r="J220" s="23" t="s">
        <v>34</v>
      </c>
      <c r="K220" s="9"/>
      <c r="L220" s="24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6"/>
      <c r="X220" s="24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6"/>
      <c r="AJ220" s="24"/>
      <c r="AK220" s="25"/>
      <c r="AL220" s="25"/>
      <c r="AM220" s="25"/>
      <c r="AN220" s="25"/>
      <c r="AO220" s="25"/>
      <c r="AP220" s="25"/>
      <c r="AQ220" s="25"/>
      <c r="AR220" s="25"/>
      <c r="AS220" s="25"/>
      <c r="AT220" s="25"/>
      <c r="AU220" s="26"/>
      <c r="AV220" s="24"/>
      <c r="AW220" s="25"/>
      <c r="AX220" s="25"/>
      <c r="AY220" s="25"/>
      <c r="AZ220" s="25"/>
      <c r="BA220" s="25"/>
      <c r="BB220" s="25"/>
      <c r="BC220" s="25"/>
      <c r="BD220" s="25"/>
      <c r="BE220" s="25"/>
      <c r="BF220" s="25"/>
      <c r="BG220" s="26"/>
      <c r="BH220" s="27"/>
      <c r="BI220" s="25"/>
      <c r="BJ220" s="25"/>
      <c r="BK220" s="25"/>
      <c r="BL220" s="25"/>
    </row>
    <row r="221" spans="1:64">
      <c r="A221" s="10" t="str">
        <f t="shared" si="19"/>
        <v>PKTOH_V_TRANS2.당월실적_B2B금년</v>
      </c>
      <c r="B221" s="7"/>
      <c r="C221" s="7"/>
      <c r="D221" s="7"/>
      <c r="E221" s="7"/>
      <c r="F221" s="7"/>
      <c r="G221" s="7" t="s">
        <v>82</v>
      </c>
      <c r="H221" s="7" t="s">
        <v>105</v>
      </c>
      <c r="I221" s="7" t="s">
        <v>96</v>
      </c>
      <c r="J221" s="10" t="s">
        <v>50</v>
      </c>
      <c r="K221" s="9"/>
      <c r="L221" s="24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6"/>
      <c r="X221" s="24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6"/>
      <c r="AJ221" s="24"/>
      <c r="AK221" s="25"/>
      <c r="AL221" s="25"/>
      <c r="AM221" s="25"/>
      <c r="AN221" s="25"/>
      <c r="AO221" s="25"/>
      <c r="AP221" s="25"/>
      <c r="AQ221" s="25"/>
      <c r="AR221" s="25"/>
      <c r="AS221" s="25"/>
      <c r="AT221" s="25"/>
      <c r="AU221" s="26"/>
      <c r="AV221" s="24"/>
      <c r="AW221" s="25"/>
      <c r="AX221" s="25"/>
      <c r="AY221" s="25"/>
      <c r="AZ221" s="25"/>
      <c r="BA221" s="25"/>
      <c r="BB221" s="25"/>
      <c r="BC221" s="25"/>
      <c r="BD221" s="25"/>
      <c r="BE221" s="25"/>
      <c r="BF221" s="25"/>
      <c r="BG221" s="26"/>
      <c r="BH221" s="27"/>
      <c r="BI221" s="25"/>
      <c r="BJ221" s="25"/>
      <c r="BK221" s="25"/>
      <c r="BL221" s="25"/>
    </row>
    <row r="222" spans="1:64">
      <c r="A222" s="10" t="str">
        <f t="shared" si="19"/>
        <v>PKTOH_V_TRANS2.당월실적_B2B전년</v>
      </c>
      <c r="B222" s="7"/>
      <c r="C222" s="7"/>
      <c r="D222" s="7"/>
      <c r="E222" s="7"/>
      <c r="F222" s="7"/>
      <c r="G222" s="7" t="s">
        <v>82</v>
      </c>
      <c r="H222" s="7" t="s">
        <v>105</v>
      </c>
      <c r="I222" s="7" t="s">
        <v>96</v>
      </c>
      <c r="J222" s="23" t="s">
        <v>34</v>
      </c>
      <c r="K222" s="9"/>
      <c r="L222" s="24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6"/>
      <c r="X222" s="24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6"/>
      <c r="AJ222" s="24"/>
      <c r="AK222" s="25"/>
      <c r="AL222" s="25"/>
      <c r="AM222" s="25"/>
      <c r="AN222" s="25"/>
      <c r="AO222" s="25"/>
      <c r="AP222" s="25"/>
      <c r="AQ222" s="25"/>
      <c r="AR222" s="25"/>
      <c r="AS222" s="25"/>
      <c r="AT222" s="25"/>
      <c r="AU222" s="26"/>
      <c r="AV222" s="24"/>
      <c r="AW222" s="25"/>
      <c r="AX222" s="25"/>
      <c r="AY222" s="25"/>
      <c r="AZ222" s="25"/>
      <c r="BA222" s="25"/>
      <c r="BB222" s="25"/>
      <c r="BC222" s="25"/>
      <c r="BD222" s="25"/>
      <c r="BE222" s="25"/>
      <c r="BF222" s="25"/>
      <c r="BG222" s="26"/>
      <c r="BH222" s="27"/>
      <c r="BI222" s="25"/>
      <c r="BJ222" s="25"/>
      <c r="BK222" s="25"/>
      <c r="BL222" s="25"/>
    </row>
    <row r="223" spans="1:64">
      <c r="A223" s="10" t="str">
        <f t="shared" si="19"/>
        <v>DMTOH_V_TRANS2.당월실적_B2B금년</v>
      </c>
      <c r="B223" s="7"/>
      <c r="C223" s="7"/>
      <c r="D223" s="7"/>
      <c r="E223" s="7"/>
      <c r="F223" s="7"/>
      <c r="G223" s="7" t="s">
        <v>9</v>
      </c>
      <c r="H223" s="7" t="s">
        <v>105</v>
      </c>
      <c r="I223" s="7" t="s">
        <v>96</v>
      </c>
      <c r="J223" s="10" t="s">
        <v>50</v>
      </c>
      <c r="K223" s="9"/>
      <c r="L223" s="24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6"/>
      <c r="X223" s="24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6"/>
      <c r="AJ223" s="24"/>
      <c r="AK223" s="25"/>
      <c r="AL223" s="25"/>
      <c r="AM223" s="25"/>
      <c r="AN223" s="25"/>
      <c r="AO223" s="25"/>
      <c r="AP223" s="25"/>
      <c r="AQ223" s="25"/>
      <c r="AR223" s="25"/>
      <c r="AS223" s="25"/>
      <c r="AT223" s="25"/>
      <c r="AU223" s="26"/>
      <c r="AV223" s="24"/>
      <c r="AW223" s="25"/>
      <c r="AX223" s="25"/>
      <c r="AY223" s="25"/>
      <c r="AZ223" s="25"/>
      <c r="BA223" s="25"/>
      <c r="BB223" s="25"/>
      <c r="BC223" s="25"/>
      <c r="BD223" s="25"/>
      <c r="BE223" s="25"/>
      <c r="BF223" s="25"/>
      <c r="BG223" s="26"/>
      <c r="BH223" s="27"/>
      <c r="BI223" s="25"/>
      <c r="BJ223" s="25"/>
      <c r="BK223" s="25"/>
      <c r="BL223" s="25"/>
    </row>
    <row r="224" spans="1:64">
      <c r="A224" s="10" t="str">
        <f t="shared" si="19"/>
        <v>DMTOH_V_TRANS2.당월실적_B2B전년</v>
      </c>
      <c r="B224" s="7"/>
      <c r="C224" s="7"/>
      <c r="D224" s="7"/>
      <c r="E224" s="7"/>
      <c r="F224" s="7"/>
      <c r="G224" s="7" t="s">
        <v>9</v>
      </c>
      <c r="H224" s="7" t="s">
        <v>105</v>
      </c>
      <c r="I224" s="7" t="s">
        <v>96</v>
      </c>
      <c r="J224" s="23" t="s">
        <v>34</v>
      </c>
      <c r="K224" s="9"/>
      <c r="L224" s="24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6"/>
      <c r="X224" s="24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6"/>
      <c r="AJ224" s="24"/>
      <c r="AK224" s="25"/>
      <c r="AL224" s="25"/>
      <c r="AM224" s="25"/>
      <c r="AN224" s="25"/>
      <c r="AO224" s="25"/>
      <c r="AP224" s="25"/>
      <c r="AQ224" s="25"/>
      <c r="AR224" s="25"/>
      <c r="AS224" s="25"/>
      <c r="AT224" s="25"/>
      <c r="AU224" s="26"/>
      <c r="AV224" s="24"/>
      <c r="AW224" s="25"/>
      <c r="AX224" s="25"/>
      <c r="AY224" s="25"/>
      <c r="AZ224" s="25"/>
      <c r="BA224" s="25"/>
      <c r="BB224" s="25"/>
      <c r="BC224" s="25"/>
      <c r="BD224" s="25"/>
      <c r="BE224" s="25"/>
      <c r="BF224" s="25"/>
      <c r="BG224" s="26"/>
      <c r="BH224" s="27"/>
      <c r="BI224" s="25"/>
      <c r="BJ224" s="25"/>
      <c r="BK224" s="25"/>
      <c r="BL224" s="25"/>
    </row>
    <row r="225" spans="1:64">
      <c r="A225" s="10" t="str">
        <f t="shared" si="19"/>
        <v>DTTOH_V_TRANS2.당월실적_B2B금년</v>
      </c>
      <c r="B225" s="7"/>
      <c r="C225" s="7"/>
      <c r="D225" s="7"/>
      <c r="E225" s="7"/>
      <c r="F225" s="7"/>
      <c r="G225" s="7" t="s">
        <v>95</v>
      </c>
      <c r="H225" s="7" t="s">
        <v>105</v>
      </c>
      <c r="I225" s="7" t="s">
        <v>96</v>
      </c>
      <c r="J225" s="10" t="s">
        <v>50</v>
      </c>
      <c r="K225" s="9"/>
      <c r="L225" s="24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6"/>
      <c r="X225" s="24"/>
      <c r="Y225" s="25"/>
      <c r="Z225" s="25"/>
      <c r="AA225" s="25"/>
      <c r="AB225" s="25"/>
      <c r="AC225" s="25"/>
      <c r="AD225" s="25"/>
      <c r="AE225" s="25"/>
      <c r="AF225" s="25"/>
      <c r="AG225" s="25"/>
      <c r="AH225" s="25"/>
      <c r="AI225" s="26"/>
      <c r="AJ225" s="24"/>
      <c r="AK225" s="25"/>
      <c r="AL225" s="25"/>
      <c r="AM225" s="25"/>
      <c r="AN225" s="25"/>
      <c r="AO225" s="25"/>
      <c r="AP225" s="25"/>
      <c r="AQ225" s="25"/>
      <c r="AR225" s="25"/>
      <c r="AS225" s="25"/>
      <c r="AT225" s="25"/>
      <c r="AU225" s="26"/>
      <c r="AV225" s="24"/>
      <c r="AW225" s="25"/>
      <c r="AX225" s="25"/>
      <c r="AY225" s="25"/>
      <c r="AZ225" s="25"/>
      <c r="BA225" s="25"/>
      <c r="BB225" s="25"/>
      <c r="BC225" s="25"/>
      <c r="BD225" s="25"/>
      <c r="BE225" s="25"/>
      <c r="BF225" s="25"/>
      <c r="BG225" s="26"/>
      <c r="BH225" s="27"/>
      <c r="BI225" s="25"/>
      <c r="BJ225" s="25"/>
      <c r="BK225" s="25"/>
      <c r="BL225" s="25"/>
    </row>
    <row r="226" spans="1:64">
      <c r="A226" s="10" t="str">
        <f t="shared" si="19"/>
        <v>DTTOH_V_TRANS2.당월실적_B2B전년</v>
      </c>
      <c r="B226" s="7"/>
      <c r="C226" s="7"/>
      <c r="D226" s="7"/>
      <c r="E226" s="7"/>
      <c r="F226" s="7"/>
      <c r="G226" s="7" t="s">
        <v>95</v>
      </c>
      <c r="H226" s="7" t="s">
        <v>105</v>
      </c>
      <c r="I226" s="7" t="s">
        <v>96</v>
      </c>
      <c r="J226" s="23" t="s">
        <v>34</v>
      </c>
      <c r="K226" s="9"/>
      <c r="L226" s="24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6"/>
      <c r="X226" s="24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6"/>
      <c r="AJ226" s="24"/>
      <c r="AK226" s="25"/>
      <c r="AL226" s="25"/>
      <c r="AM226" s="25"/>
      <c r="AN226" s="25"/>
      <c r="AO226" s="25"/>
      <c r="AP226" s="25"/>
      <c r="AQ226" s="25"/>
      <c r="AR226" s="25"/>
      <c r="AS226" s="25"/>
      <c r="AT226" s="25"/>
      <c r="AU226" s="26"/>
      <c r="AV226" s="24"/>
      <c r="AW226" s="25"/>
      <c r="AX226" s="25"/>
      <c r="AY226" s="25"/>
      <c r="AZ226" s="25"/>
      <c r="BA226" s="25"/>
      <c r="BB226" s="25"/>
      <c r="BC226" s="25"/>
      <c r="BD226" s="25"/>
      <c r="BE226" s="25"/>
      <c r="BF226" s="25"/>
      <c r="BG226" s="26"/>
      <c r="BH226" s="27"/>
      <c r="BI226" s="25"/>
      <c r="BJ226" s="25"/>
      <c r="BK226" s="25"/>
      <c r="BL226" s="25"/>
    </row>
    <row r="227" spans="1:64">
      <c r="A227" s="10" t="str">
        <f t="shared" si="19"/>
        <v>PGTOH_V_TRANS2.당월실적_B2B금년</v>
      </c>
      <c r="B227" s="7"/>
      <c r="C227" s="7"/>
      <c r="D227" s="7"/>
      <c r="E227" s="7"/>
      <c r="F227" s="7"/>
      <c r="G227" s="7" t="s">
        <v>18</v>
      </c>
      <c r="H227" s="7" t="s">
        <v>105</v>
      </c>
      <c r="I227" s="7" t="s">
        <v>96</v>
      </c>
      <c r="J227" s="10" t="s">
        <v>50</v>
      </c>
      <c r="K227" s="9"/>
      <c r="L227" s="24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6"/>
      <c r="X227" s="24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6"/>
      <c r="AJ227" s="24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6"/>
      <c r="AV227" s="24"/>
      <c r="AW227" s="25"/>
      <c r="AX227" s="25"/>
      <c r="AY227" s="25"/>
      <c r="AZ227" s="25"/>
      <c r="BA227" s="25"/>
      <c r="BB227" s="25"/>
      <c r="BC227" s="25"/>
      <c r="BD227" s="25"/>
      <c r="BE227" s="25"/>
      <c r="BF227" s="25"/>
      <c r="BG227" s="26"/>
      <c r="BH227" s="27"/>
      <c r="BI227" s="25"/>
      <c r="BJ227" s="25"/>
      <c r="BK227" s="25"/>
      <c r="BL227" s="25"/>
    </row>
    <row r="228" spans="1:64">
      <c r="A228" s="10" t="str">
        <f t="shared" si="19"/>
        <v>PGTOH_V_TRANS2.당월실적_B2B전년</v>
      </c>
      <c r="B228" s="7"/>
      <c r="C228" s="7"/>
      <c r="D228" s="7"/>
      <c r="E228" s="7"/>
      <c r="F228" s="7"/>
      <c r="G228" s="7" t="s">
        <v>18</v>
      </c>
      <c r="H228" s="7" t="s">
        <v>105</v>
      </c>
      <c r="I228" s="7" t="s">
        <v>96</v>
      </c>
      <c r="J228" s="23" t="s">
        <v>34</v>
      </c>
      <c r="K228" s="9"/>
      <c r="L228" s="24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6"/>
      <c r="X228" s="24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6"/>
      <c r="AJ228" s="24"/>
      <c r="AK228" s="25"/>
      <c r="AL228" s="25"/>
      <c r="AM228" s="25"/>
      <c r="AN228" s="25"/>
      <c r="AO228" s="25"/>
      <c r="AP228" s="25"/>
      <c r="AQ228" s="25"/>
      <c r="AR228" s="25"/>
      <c r="AS228" s="25"/>
      <c r="AT228" s="25"/>
      <c r="AU228" s="26"/>
      <c r="AV228" s="24"/>
      <c r="AW228" s="25"/>
      <c r="AX228" s="25"/>
      <c r="AY228" s="25"/>
      <c r="AZ228" s="25"/>
      <c r="BA228" s="25"/>
      <c r="BB228" s="25"/>
      <c r="BC228" s="25"/>
      <c r="BD228" s="25"/>
      <c r="BE228" s="25"/>
      <c r="BF228" s="25"/>
      <c r="BG228" s="26"/>
      <c r="BH228" s="27"/>
      <c r="BI228" s="25"/>
      <c r="BJ228" s="25"/>
      <c r="BK228" s="25"/>
      <c r="BL228" s="25"/>
    </row>
    <row r="229" spans="1:64">
      <c r="A229" s="6"/>
      <c r="K229" s="9"/>
    </row>
    <row r="230" spans="1:64">
      <c r="A230" s="10" t="str">
        <f t="shared" ref="A230:A249" si="20">TRIM(B230)&amp;TRIM(C230)&amp;TRIM(D230)&amp;TRIM(E230)&amp;TRIM(F230)&amp;TRIM(G230)&amp;TRIM(H230)&amp;TRIM(I230)&amp;TRIM(J230)</f>
        <v>GLTOH_V_SVC2.당월실적_B2C금년</v>
      </c>
      <c r="B230" s="7"/>
      <c r="C230" s="7"/>
      <c r="D230" s="7"/>
      <c r="E230" s="7"/>
      <c r="F230" s="7"/>
      <c r="G230" s="7" t="s">
        <v>12</v>
      </c>
      <c r="H230" s="7" t="s">
        <v>106</v>
      </c>
      <c r="I230" s="7" t="s">
        <v>55</v>
      </c>
      <c r="J230" s="10" t="s">
        <v>50</v>
      </c>
      <c r="K230" s="9"/>
      <c r="L230" s="24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6"/>
      <c r="X230" s="24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6"/>
      <c r="AJ230" s="24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6"/>
      <c r="AV230" s="24"/>
      <c r="AW230" s="25"/>
      <c r="AX230" s="25"/>
      <c r="AY230" s="25"/>
      <c r="AZ230" s="25"/>
      <c r="BA230" s="25"/>
      <c r="BB230" s="25"/>
      <c r="BC230" s="25"/>
      <c r="BD230" s="25"/>
      <c r="BE230" s="25"/>
      <c r="BF230" s="25"/>
      <c r="BG230" s="26"/>
      <c r="BH230" s="27"/>
      <c r="BI230" s="25"/>
      <c r="BJ230" s="25"/>
      <c r="BK230" s="25"/>
      <c r="BL230" s="25"/>
    </row>
    <row r="231" spans="1:64">
      <c r="A231" s="10" t="str">
        <f t="shared" si="20"/>
        <v>GLTOH_V_SVC2.당월실적_B2C전년</v>
      </c>
      <c r="B231" s="7"/>
      <c r="C231" s="7"/>
      <c r="D231" s="7"/>
      <c r="E231" s="7"/>
      <c r="F231" s="7"/>
      <c r="G231" s="7" t="s">
        <v>12</v>
      </c>
      <c r="H231" s="7" t="s">
        <v>106</v>
      </c>
      <c r="I231" s="7" t="s">
        <v>55</v>
      </c>
      <c r="J231" s="23" t="s">
        <v>34</v>
      </c>
      <c r="K231" s="9"/>
      <c r="L231" s="24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6"/>
      <c r="X231" s="24"/>
      <c r="Y231" s="25"/>
      <c r="Z231" s="25"/>
      <c r="AA231" s="25"/>
      <c r="AB231" s="25"/>
      <c r="AC231" s="25"/>
      <c r="AD231" s="25"/>
      <c r="AE231" s="25"/>
      <c r="AF231" s="25"/>
      <c r="AG231" s="25"/>
      <c r="AH231" s="25"/>
      <c r="AI231" s="26"/>
      <c r="AJ231" s="24"/>
      <c r="AK231" s="25"/>
      <c r="AL231" s="25"/>
      <c r="AM231" s="25"/>
      <c r="AN231" s="25"/>
      <c r="AO231" s="25"/>
      <c r="AP231" s="25"/>
      <c r="AQ231" s="25"/>
      <c r="AR231" s="25"/>
      <c r="AS231" s="25"/>
      <c r="AT231" s="25"/>
      <c r="AU231" s="26"/>
      <c r="AV231" s="24"/>
      <c r="AW231" s="25"/>
      <c r="AX231" s="25"/>
      <c r="AY231" s="25"/>
      <c r="AZ231" s="25"/>
      <c r="BA231" s="25"/>
      <c r="BB231" s="25"/>
      <c r="BC231" s="25"/>
      <c r="BD231" s="25"/>
      <c r="BE231" s="25"/>
      <c r="BF231" s="25"/>
      <c r="BG231" s="26"/>
      <c r="BH231" s="27"/>
      <c r="BI231" s="25"/>
      <c r="BJ231" s="25"/>
      <c r="BK231" s="25"/>
      <c r="BL231" s="25"/>
    </row>
    <row r="232" spans="1:64">
      <c r="A232" s="10" t="str">
        <f t="shared" si="20"/>
        <v>GTTOH_V_SVC2.당월실적_B2C금년</v>
      </c>
      <c r="B232" s="7"/>
      <c r="C232" s="7"/>
      <c r="D232" s="7"/>
      <c r="E232" s="7"/>
      <c r="F232" s="7"/>
      <c r="G232" s="7" t="s">
        <v>14</v>
      </c>
      <c r="H232" s="7" t="s">
        <v>106</v>
      </c>
      <c r="I232" s="7" t="s">
        <v>55</v>
      </c>
      <c r="J232" s="10" t="s">
        <v>50</v>
      </c>
      <c r="K232" s="9"/>
      <c r="L232" s="24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6"/>
      <c r="X232" s="24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6"/>
      <c r="AJ232" s="24"/>
      <c r="AK232" s="25"/>
      <c r="AL232" s="25"/>
      <c r="AM232" s="25"/>
      <c r="AN232" s="25"/>
      <c r="AO232" s="25"/>
      <c r="AP232" s="25"/>
      <c r="AQ232" s="25"/>
      <c r="AR232" s="25"/>
      <c r="AS232" s="25"/>
      <c r="AT232" s="25"/>
      <c r="AU232" s="26"/>
      <c r="AV232" s="24"/>
      <c r="AW232" s="25"/>
      <c r="AX232" s="25"/>
      <c r="AY232" s="25"/>
      <c r="AZ232" s="25"/>
      <c r="BA232" s="25"/>
      <c r="BB232" s="25"/>
      <c r="BC232" s="25"/>
      <c r="BD232" s="25"/>
      <c r="BE232" s="25"/>
      <c r="BF232" s="25"/>
      <c r="BG232" s="26"/>
      <c r="BH232" s="27"/>
      <c r="BI232" s="25"/>
      <c r="BJ232" s="25"/>
      <c r="BK232" s="25"/>
      <c r="BL232" s="25"/>
    </row>
    <row r="233" spans="1:64">
      <c r="A233" s="10" t="str">
        <f t="shared" si="20"/>
        <v>GTTOH_V_SVC2.당월실적_B2C전년</v>
      </c>
      <c r="B233" s="7"/>
      <c r="C233" s="7"/>
      <c r="D233" s="7"/>
      <c r="E233" s="7"/>
      <c r="F233" s="7"/>
      <c r="G233" s="7" t="s">
        <v>14</v>
      </c>
      <c r="H233" s="7" t="s">
        <v>106</v>
      </c>
      <c r="I233" s="7" t="s">
        <v>55</v>
      </c>
      <c r="J233" s="23" t="s">
        <v>34</v>
      </c>
      <c r="K233" s="9"/>
      <c r="L233" s="24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6"/>
      <c r="X233" s="24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6"/>
      <c r="AJ233" s="24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6"/>
      <c r="AV233" s="24"/>
      <c r="AW233" s="25"/>
      <c r="AX233" s="25"/>
      <c r="AY233" s="25"/>
      <c r="AZ233" s="25"/>
      <c r="BA233" s="25"/>
      <c r="BB233" s="25"/>
      <c r="BC233" s="25"/>
      <c r="BD233" s="25"/>
      <c r="BE233" s="25"/>
      <c r="BF233" s="25"/>
      <c r="BG233" s="26"/>
      <c r="BH233" s="27"/>
      <c r="BI233" s="25"/>
      <c r="BJ233" s="25"/>
      <c r="BK233" s="25"/>
      <c r="BL233" s="25"/>
    </row>
    <row r="234" spans="1:64">
      <c r="A234" s="10" t="str">
        <f t="shared" si="20"/>
        <v>PNTOH_V_SVC2.당월실적_B2C금년</v>
      </c>
      <c r="B234" s="7"/>
      <c r="C234" s="7"/>
      <c r="D234" s="7"/>
      <c r="E234" s="7"/>
      <c r="F234" s="7"/>
      <c r="G234" s="7" t="s">
        <v>16</v>
      </c>
      <c r="H234" s="7" t="s">
        <v>106</v>
      </c>
      <c r="I234" s="7" t="s">
        <v>55</v>
      </c>
      <c r="J234" s="10" t="s">
        <v>50</v>
      </c>
      <c r="K234" s="9"/>
      <c r="L234" s="24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6"/>
      <c r="X234" s="24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6"/>
      <c r="AJ234" s="24"/>
      <c r="AK234" s="25"/>
      <c r="AL234" s="25"/>
      <c r="AM234" s="25"/>
      <c r="AN234" s="25"/>
      <c r="AO234" s="25"/>
      <c r="AP234" s="25"/>
      <c r="AQ234" s="25"/>
      <c r="AR234" s="25"/>
      <c r="AS234" s="25"/>
      <c r="AT234" s="25"/>
      <c r="AU234" s="26"/>
      <c r="AV234" s="24"/>
      <c r="AW234" s="25"/>
      <c r="AX234" s="25"/>
      <c r="AY234" s="25"/>
      <c r="AZ234" s="25"/>
      <c r="BA234" s="25"/>
      <c r="BB234" s="25"/>
      <c r="BC234" s="25"/>
      <c r="BD234" s="25"/>
      <c r="BE234" s="25"/>
      <c r="BF234" s="25"/>
      <c r="BG234" s="26"/>
      <c r="BH234" s="27"/>
      <c r="BI234" s="25"/>
      <c r="BJ234" s="25"/>
      <c r="BK234" s="25"/>
      <c r="BL234" s="25"/>
    </row>
    <row r="235" spans="1:64">
      <c r="A235" s="10" t="str">
        <f t="shared" si="20"/>
        <v>PNTOH_V_SVC2.당월실적_B2C전년</v>
      </c>
      <c r="B235" s="7"/>
      <c r="C235" s="7"/>
      <c r="D235" s="7"/>
      <c r="E235" s="7"/>
      <c r="F235" s="7"/>
      <c r="G235" s="7" t="s">
        <v>16</v>
      </c>
      <c r="H235" s="7" t="s">
        <v>106</v>
      </c>
      <c r="I235" s="7" t="s">
        <v>55</v>
      </c>
      <c r="J235" s="23" t="s">
        <v>34</v>
      </c>
      <c r="K235" s="9"/>
      <c r="L235" s="24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6"/>
      <c r="X235" s="24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6"/>
      <c r="AJ235" s="24"/>
      <c r="AK235" s="25"/>
      <c r="AL235" s="25"/>
      <c r="AM235" s="25"/>
      <c r="AN235" s="25"/>
      <c r="AO235" s="25"/>
      <c r="AP235" s="25"/>
      <c r="AQ235" s="25"/>
      <c r="AR235" s="25"/>
      <c r="AS235" s="25"/>
      <c r="AT235" s="25"/>
      <c r="AU235" s="26"/>
      <c r="AV235" s="24"/>
      <c r="AW235" s="25"/>
      <c r="AX235" s="25"/>
      <c r="AY235" s="25"/>
      <c r="AZ235" s="25"/>
      <c r="BA235" s="25"/>
      <c r="BB235" s="25"/>
      <c r="BC235" s="25"/>
      <c r="BD235" s="25"/>
      <c r="BE235" s="25"/>
      <c r="BF235" s="25"/>
      <c r="BG235" s="26"/>
      <c r="BH235" s="27"/>
      <c r="BI235" s="25"/>
      <c r="BJ235" s="25"/>
      <c r="BK235" s="25"/>
      <c r="BL235" s="25"/>
    </row>
    <row r="236" spans="1:64">
      <c r="A236" s="10" t="str">
        <f t="shared" si="20"/>
        <v>MSTOH_V_SVC2.당월실적_B2C금년</v>
      </c>
      <c r="B236" s="7"/>
      <c r="C236" s="7"/>
      <c r="D236" s="7"/>
      <c r="E236" s="7"/>
      <c r="F236" s="7"/>
      <c r="G236" s="7" t="s">
        <v>15</v>
      </c>
      <c r="H236" s="7" t="s">
        <v>106</v>
      </c>
      <c r="I236" s="7" t="s">
        <v>55</v>
      </c>
      <c r="J236" s="10" t="s">
        <v>50</v>
      </c>
      <c r="K236" s="9"/>
      <c r="L236" s="24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6"/>
      <c r="X236" s="24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6"/>
      <c r="AJ236" s="24"/>
      <c r="AK236" s="25"/>
      <c r="AL236" s="25"/>
      <c r="AM236" s="25"/>
      <c r="AN236" s="25"/>
      <c r="AO236" s="25"/>
      <c r="AP236" s="25"/>
      <c r="AQ236" s="25"/>
      <c r="AR236" s="25"/>
      <c r="AS236" s="25"/>
      <c r="AT236" s="25"/>
      <c r="AU236" s="26"/>
      <c r="AV236" s="24"/>
      <c r="AW236" s="25"/>
      <c r="AX236" s="25"/>
      <c r="AY236" s="25"/>
      <c r="AZ236" s="25"/>
      <c r="BA236" s="25"/>
      <c r="BB236" s="25"/>
      <c r="BC236" s="25"/>
      <c r="BD236" s="25"/>
      <c r="BE236" s="25"/>
      <c r="BF236" s="25"/>
      <c r="BG236" s="26"/>
      <c r="BH236" s="27"/>
      <c r="BI236" s="25"/>
      <c r="BJ236" s="25"/>
      <c r="BK236" s="25"/>
      <c r="BL236" s="25"/>
    </row>
    <row r="237" spans="1:64">
      <c r="A237" s="10" t="str">
        <f t="shared" si="20"/>
        <v>MSTOH_V_SVC2.당월실적_B2C전년</v>
      </c>
      <c r="B237" s="7"/>
      <c r="C237" s="7"/>
      <c r="D237" s="7"/>
      <c r="E237" s="7"/>
      <c r="F237" s="7"/>
      <c r="G237" s="7" t="s">
        <v>15</v>
      </c>
      <c r="H237" s="7" t="s">
        <v>106</v>
      </c>
      <c r="I237" s="7" t="s">
        <v>55</v>
      </c>
      <c r="J237" s="23" t="s">
        <v>34</v>
      </c>
      <c r="K237" s="9"/>
      <c r="L237" s="24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6"/>
      <c r="X237" s="24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6"/>
      <c r="AJ237" s="24"/>
      <c r="AK237" s="25"/>
      <c r="AL237" s="25"/>
      <c r="AM237" s="25"/>
      <c r="AN237" s="25"/>
      <c r="AO237" s="25"/>
      <c r="AP237" s="25"/>
      <c r="AQ237" s="25"/>
      <c r="AR237" s="25"/>
      <c r="AS237" s="25"/>
      <c r="AT237" s="25"/>
      <c r="AU237" s="26"/>
      <c r="AV237" s="24"/>
      <c r="AW237" s="25"/>
      <c r="AX237" s="25"/>
      <c r="AY237" s="25"/>
      <c r="AZ237" s="25"/>
      <c r="BA237" s="25"/>
      <c r="BB237" s="25"/>
      <c r="BC237" s="25"/>
      <c r="BD237" s="25"/>
      <c r="BE237" s="25"/>
      <c r="BF237" s="25"/>
      <c r="BG237" s="26"/>
      <c r="BH237" s="27"/>
      <c r="BI237" s="25"/>
      <c r="BJ237" s="25"/>
      <c r="BK237" s="25"/>
      <c r="BL237" s="25"/>
    </row>
    <row r="238" spans="1:64">
      <c r="A238" s="10" t="str">
        <f t="shared" si="20"/>
        <v>CNTOH_V_SVC2.당월실적_B2C금년</v>
      </c>
      <c r="B238" s="7"/>
      <c r="C238" s="7"/>
      <c r="D238" s="7"/>
      <c r="E238" s="7"/>
      <c r="F238" s="7"/>
      <c r="G238" s="7" t="s">
        <v>6</v>
      </c>
      <c r="H238" s="7" t="s">
        <v>106</v>
      </c>
      <c r="I238" s="7" t="s">
        <v>55</v>
      </c>
      <c r="J238" s="10" t="s">
        <v>50</v>
      </c>
      <c r="K238" s="9"/>
      <c r="L238" s="24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6"/>
      <c r="X238" s="24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6"/>
      <c r="AJ238" s="24"/>
      <c r="AK238" s="25"/>
      <c r="AL238" s="25"/>
      <c r="AM238" s="25"/>
      <c r="AN238" s="25"/>
      <c r="AO238" s="25"/>
      <c r="AP238" s="25"/>
      <c r="AQ238" s="25"/>
      <c r="AR238" s="25"/>
      <c r="AS238" s="25"/>
      <c r="AT238" s="25"/>
      <c r="AU238" s="26"/>
      <c r="AV238" s="24"/>
      <c r="AW238" s="25"/>
      <c r="AX238" s="25"/>
      <c r="AY238" s="25"/>
      <c r="AZ238" s="25"/>
      <c r="BA238" s="25"/>
      <c r="BB238" s="25"/>
      <c r="BC238" s="25"/>
      <c r="BD238" s="25"/>
      <c r="BE238" s="25"/>
      <c r="BF238" s="25"/>
      <c r="BG238" s="26"/>
      <c r="BH238" s="27"/>
      <c r="BI238" s="25"/>
      <c r="BJ238" s="25"/>
      <c r="BK238" s="25"/>
      <c r="BL238" s="25"/>
    </row>
    <row r="239" spans="1:64">
      <c r="A239" s="10" t="str">
        <f t="shared" si="20"/>
        <v>CNTOH_V_SVC2.당월실적_B2C전년</v>
      </c>
      <c r="B239" s="7"/>
      <c r="C239" s="7"/>
      <c r="D239" s="7"/>
      <c r="E239" s="7"/>
      <c r="F239" s="7"/>
      <c r="G239" s="7" t="s">
        <v>6</v>
      </c>
      <c r="H239" s="7" t="s">
        <v>106</v>
      </c>
      <c r="I239" s="7" t="s">
        <v>55</v>
      </c>
      <c r="J239" s="23" t="s">
        <v>34</v>
      </c>
      <c r="K239" s="9"/>
      <c r="L239" s="24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6"/>
      <c r="X239" s="24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6"/>
      <c r="AJ239" s="24"/>
      <c r="AK239" s="25"/>
      <c r="AL239" s="25"/>
      <c r="AM239" s="25"/>
      <c r="AN239" s="25"/>
      <c r="AO239" s="25"/>
      <c r="AP239" s="25"/>
      <c r="AQ239" s="25"/>
      <c r="AR239" s="25"/>
      <c r="AS239" s="25"/>
      <c r="AT239" s="25"/>
      <c r="AU239" s="26"/>
      <c r="AV239" s="24"/>
      <c r="AW239" s="25"/>
      <c r="AX239" s="25"/>
      <c r="AY239" s="25"/>
      <c r="AZ239" s="25"/>
      <c r="BA239" s="25"/>
      <c r="BB239" s="25"/>
      <c r="BC239" s="25"/>
      <c r="BD239" s="25"/>
      <c r="BE239" s="25"/>
      <c r="BF239" s="25"/>
      <c r="BG239" s="26"/>
      <c r="BH239" s="27"/>
      <c r="BI239" s="25"/>
      <c r="BJ239" s="25"/>
      <c r="BK239" s="25"/>
      <c r="BL239" s="25"/>
    </row>
    <row r="240" spans="1:64">
      <c r="A240" s="10" t="str">
        <f t="shared" si="20"/>
        <v>DFTOH_V_SVC2.당월실적_B2C금년</v>
      </c>
      <c r="B240" s="7"/>
      <c r="C240" s="7"/>
      <c r="D240" s="7"/>
      <c r="E240" s="7"/>
      <c r="F240" s="7"/>
      <c r="G240" s="7" t="s">
        <v>7</v>
      </c>
      <c r="H240" s="7" t="s">
        <v>106</v>
      </c>
      <c r="I240" s="7" t="str">
        <f t="shared" ref="I240:I249" si="21">I230</f>
        <v>2.당월실적_B2C</v>
      </c>
      <c r="J240" s="10" t="s">
        <v>50</v>
      </c>
      <c r="K240" s="9"/>
      <c r="L240" s="24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6"/>
      <c r="X240" s="24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6"/>
      <c r="AJ240" s="24"/>
      <c r="AK240" s="25"/>
      <c r="AL240" s="25"/>
      <c r="AM240" s="25"/>
      <c r="AN240" s="25"/>
      <c r="AO240" s="25"/>
      <c r="AP240" s="25"/>
      <c r="AQ240" s="25"/>
      <c r="AR240" s="25"/>
      <c r="AS240" s="25"/>
      <c r="AT240" s="25"/>
      <c r="AU240" s="26"/>
      <c r="AV240" s="24"/>
      <c r="AW240" s="25"/>
      <c r="AX240" s="25"/>
      <c r="AY240" s="25"/>
      <c r="AZ240" s="25"/>
      <c r="BA240" s="25"/>
      <c r="BB240" s="25"/>
      <c r="BC240" s="25"/>
      <c r="BD240" s="25"/>
      <c r="BE240" s="25"/>
      <c r="BF240" s="25"/>
      <c r="BG240" s="26"/>
      <c r="BH240" s="27"/>
      <c r="BI240" s="25"/>
      <c r="BJ240" s="25"/>
      <c r="BK240" s="25"/>
      <c r="BL240" s="25"/>
    </row>
    <row r="241" spans="1:64">
      <c r="A241" s="10" t="str">
        <f t="shared" si="20"/>
        <v>DFTOH_V_SVC2.당월실적_B2C전년</v>
      </c>
      <c r="B241" s="7"/>
      <c r="C241" s="7"/>
      <c r="D241" s="7"/>
      <c r="E241" s="7"/>
      <c r="F241" s="7"/>
      <c r="G241" s="7" t="s">
        <v>7</v>
      </c>
      <c r="H241" s="7" t="s">
        <v>106</v>
      </c>
      <c r="I241" s="7" t="str">
        <f t="shared" si="21"/>
        <v>2.당월실적_B2C</v>
      </c>
      <c r="J241" s="23" t="s">
        <v>34</v>
      </c>
      <c r="K241" s="9"/>
      <c r="L241" s="24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6"/>
      <c r="X241" s="24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6"/>
      <c r="AJ241" s="24"/>
      <c r="AK241" s="25"/>
      <c r="AL241" s="25"/>
      <c r="AM241" s="25"/>
      <c r="AN241" s="25"/>
      <c r="AO241" s="25"/>
      <c r="AP241" s="25"/>
      <c r="AQ241" s="25"/>
      <c r="AR241" s="25"/>
      <c r="AS241" s="25"/>
      <c r="AT241" s="25"/>
      <c r="AU241" s="26"/>
      <c r="AV241" s="24"/>
      <c r="AW241" s="25"/>
      <c r="AX241" s="25"/>
      <c r="AY241" s="25"/>
      <c r="AZ241" s="25"/>
      <c r="BA241" s="25"/>
      <c r="BB241" s="25"/>
      <c r="BC241" s="25"/>
      <c r="BD241" s="25"/>
      <c r="BE241" s="25"/>
      <c r="BF241" s="25"/>
      <c r="BG241" s="26"/>
      <c r="BH241" s="27"/>
      <c r="BI241" s="25"/>
      <c r="BJ241" s="25"/>
      <c r="BK241" s="25"/>
      <c r="BL241" s="25"/>
    </row>
    <row r="242" spans="1:64">
      <c r="A242" s="10" t="str">
        <f t="shared" si="20"/>
        <v>DGTOH_V_SVC2.당월실적_B2C금년</v>
      </c>
      <c r="B242" s="7"/>
      <c r="C242" s="7"/>
      <c r="D242" s="7"/>
      <c r="E242" s="7"/>
      <c r="F242" s="7"/>
      <c r="G242" s="7" t="s">
        <v>8</v>
      </c>
      <c r="H242" s="7" t="s">
        <v>106</v>
      </c>
      <c r="I242" s="7" t="str">
        <f t="shared" si="21"/>
        <v>2.당월실적_B2C</v>
      </c>
      <c r="J242" s="10" t="s">
        <v>50</v>
      </c>
      <c r="K242" s="9"/>
      <c r="L242" s="24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6"/>
      <c r="X242" s="24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6"/>
      <c r="AJ242" s="24"/>
      <c r="AK242" s="25"/>
      <c r="AL242" s="25"/>
      <c r="AM242" s="25"/>
      <c r="AN242" s="25"/>
      <c r="AO242" s="25"/>
      <c r="AP242" s="25"/>
      <c r="AQ242" s="25"/>
      <c r="AR242" s="25"/>
      <c r="AS242" s="25"/>
      <c r="AT242" s="25"/>
      <c r="AU242" s="26"/>
      <c r="AV242" s="24"/>
      <c r="AW242" s="25"/>
      <c r="AX242" s="25"/>
      <c r="AY242" s="25"/>
      <c r="AZ242" s="25"/>
      <c r="BA242" s="25"/>
      <c r="BB242" s="25"/>
      <c r="BC242" s="25"/>
      <c r="BD242" s="25"/>
      <c r="BE242" s="25"/>
      <c r="BF242" s="25"/>
      <c r="BG242" s="26"/>
      <c r="BH242" s="27"/>
      <c r="BI242" s="25"/>
      <c r="BJ242" s="25"/>
      <c r="BK242" s="25"/>
      <c r="BL242" s="25"/>
    </row>
    <row r="243" spans="1:64">
      <c r="A243" s="10" t="str">
        <f t="shared" si="20"/>
        <v>DGTOH_V_SVC2.당월실적_B2C전년</v>
      </c>
      <c r="B243" s="7"/>
      <c r="C243" s="7"/>
      <c r="D243" s="7"/>
      <c r="E243" s="7"/>
      <c r="F243" s="7"/>
      <c r="G243" s="7" t="s">
        <v>8</v>
      </c>
      <c r="H243" s="7" t="s">
        <v>106</v>
      </c>
      <c r="I243" s="7" t="str">
        <f t="shared" si="21"/>
        <v>2.당월실적_B2C</v>
      </c>
      <c r="J243" s="23" t="s">
        <v>34</v>
      </c>
      <c r="K243" s="9"/>
      <c r="L243" s="24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6"/>
      <c r="X243" s="24"/>
      <c r="Y243" s="25"/>
      <c r="Z243" s="25"/>
      <c r="AA243" s="25"/>
      <c r="AB243" s="25"/>
      <c r="AC243" s="25"/>
      <c r="AD243" s="25"/>
      <c r="AE243" s="25"/>
      <c r="AF243" s="25"/>
      <c r="AG243" s="25"/>
      <c r="AH243" s="25"/>
      <c r="AI243" s="26"/>
      <c r="AJ243" s="24"/>
      <c r="AK243" s="25"/>
      <c r="AL243" s="25"/>
      <c r="AM243" s="25"/>
      <c r="AN243" s="25"/>
      <c r="AO243" s="25"/>
      <c r="AP243" s="25"/>
      <c r="AQ243" s="25"/>
      <c r="AR243" s="25"/>
      <c r="AS243" s="25"/>
      <c r="AT243" s="25"/>
      <c r="AU243" s="26"/>
      <c r="AV243" s="24"/>
      <c r="AW243" s="25"/>
      <c r="AX243" s="25"/>
      <c r="AY243" s="25"/>
      <c r="AZ243" s="25"/>
      <c r="BA243" s="25"/>
      <c r="BB243" s="25"/>
      <c r="BC243" s="25"/>
      <c r="BD243" s="25"/>
      <c r="BE243" s="25"/>
      <c r="BF243" s="25"/>
      <c r="BG243" s="26"/>
      <c r="BH243" s="27"/>
      <c r="BI243" s="25"/>
      <c r="BJ243" s="25"/>
      <c r="BK243" s="25"/>
      <c r="BL243" s="25"/>
    </row>
    <row r="244" spans="1:64">
      <c r="A244" s="10" t="str">
        <f t="shared" si="20"/>
        <v>PCTOH_V_SVC2.당월실적_B2C금년</v>
      </c>
      <c r="B244" s="7"/>
      <c r="C244" s="7"/>
      <c r="D244" s="7"/>
      <c r="E244" s="7"/>
      <c r="F244" s="7"/>
      <c r="G244" s="7" t="s">
        <v>19</v>
      </c>
      <c r="H244" s="7" t="s">
        <v>106</v>
      </c>
      <c r="I244" s="7" t="str">
        <f t="shared" si="21"/>
        <v>2.당월실적_B2C</v>
      </c>
      <c r="J244" s="10" t="s">
        <v>50</v>
      </c>
      <c r="K244" s="9"/>
      <c r="L244" s="24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6"/>
      <c r="X244" s="24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6"/>
      <c r="AJ244" s="24"/>
      <c r="AK244" s="25"/>
      <c r="AL244" s="25"/>
      <c r="AM244" s="25"/>
      <c r="AN244" s="25"/>
      <c r="AO244" s="25"/>
      <c r="AP244" s="25"/>
      <c r="AQ244" s="25"/>
      <c r="AR244" s="25"/>
      <c r="AS244" s="25"/>
      <c r="AT244" s="25"/>
      <c r="AU244" s="26"/>
      <c r="AV244" s="24"/>
      <c r="AW244" s="25"/>
      <c r="AX244" s="25"/>
      <c r="AY244" s="25"/>
      <c r="AZ244" s="25"/>
      <c r="BA244" s="25"/>
      <c r="BB244" s="25"/>
      <c r="BC244" s="25"/>
      <c r="BD244" s="25"/>
      <c r="BE244" s="25"/>
      <c r="BF244" s="25"/>
      <c r="BG244" s="26"/>
      <c r="BH244" s="27"/>
      <c r="BI244" s="25"/>
      <c r="BJ244" s="25"/>
      <c r="BK244" s="25"/>
      <c r="BL244" s="25"/>
    </row>
    <row r="245" spans="1:64">
      <c r="A245" s="10" t="str">
        <f t="shared" si="20"/>
        <v>PCTOH_V_SVC2.당월실적_B2C전년</v>
      </c>
      <c r="B245" s="7"/>
      <c r="C245" s="7"/>
      <c r="D245" s="7"/>
      <c r="E245" s="7"/>
      <c r="F245" s="7"/>
      <c r="G245" s="7" t="s">
        <v>19</v>
      </c>
      <c r="H245" s="7" t="s">
        <v>106</v>
      </c>
      <c r="I245" s="7" t="str">
        <f t="shared" si="21"/>
        <v>2.당월실적_B2C</v>
      </c>
      <c r="J245" s="23" t="s">
        <v>34</v>
      </c>
      <c r="K245" s="9"/>
      <c r="L245" s="24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6"/>
      <c r="X245" s="24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6"/>
      <c r="AJ245" s="24"/>
      <c r="AK245" s="25"/>
      <c r="AL245" s="25"/>
      <c r="AM245" s="25"/>
      <c r="AN245" s="25"/>
      <c r="AO245" s="25"/>
      <c r="AP245" s="25"/>
      <c r="AQ245" s="25"/>
      <c r="AR245" s="25"/>
      <c r="AS245" s="25"/>
      <c r="AT245" s="25"/>
      <c r="AU245" s="26"/>
      <c r="AV245" s="24"/>
      <c r="AW245" s="25"/>
      <c r="AX245" s="25"/>
      <c r="AY245" s="25"/>
      <c r="AZ245" s="25"/>
      <c r="BA245" s="25"/>
      <c r="BB245" s="25"/>
      <c r="BC245" s="25"/>
      <c r="BD245" s="25"/>
      <c r="BE245" s="25"/>
      <c r="BF245" s="25"/>
      <c r="BG245" s="26"/>
      <c r="BH245" s="27"/>
      <c r="BI245" s="25"/>
      <c r="BJ245" s="25"/>
      <c r="BK245" s="25"/>
      <c r="BL245" s="25"/>
    </row>
    <row r="246" spans="1:64">
      <c r="A246" s="10" t="str">
        <f t="shared" si="20"/>
        <v>PSTOH_V_SVC2.당월실적_B2C금년</v>
      </c>
      <c r="B246" s="7"/>
      <c r="C246" s="7"/>
      <c r="D246" s="7"/>
      <c r="E246" s="7"/>
      <c r="F246" s="7"/>
      <c r="G246" s="7" t="s">
        <v>17</v>
      </c>
      <c r="H246" s="7" t="s">
        <v>106</v>
      </c>
      <c r="I246" s="7" t="str">
        <f t="shared" si="21"/>
        <v>2.당월실적_B2C</v>
      </c>
      <c r="J246" s="10" t="s">
        <v>50</v>
      </c>
      <c r="K246" s="9"/>
      <c r="L246" s="24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6"/>
      <c r="X246" s="24"/>
      <c r="Y246" s="25"/>
      <c r="Z246" s="25"/>
      <c r="AA246" s="25"/>
      <c r="AB246" s="25"/>
      <c r="AC246" s="25"/>
      <c r="AD246" s="25"/>
      <c r="AE246" s="25"/>
      <c r="AF246" s="25"/>
      <c r="AG246" s="25"/>
      <c r="AH246" s="25"/>
      <c r="AI246" s="26"/>
      <c r="AJ246" s="24"/>
      <c r="AK246" s="25"/>
      <c r="AL246" s="25"/>
      <c r="AM246" s="25"/>
      <c r="AN246" s="25"/>
      <c r="AO246" s="25"/>
      <c r="AP246" s="25"/>
      <c r="AQ246" s="25"/>
      <c r="AR246" s="25"/>
      <c r="AS246" s="25"/>
      <c r="AT246" s="25"/>
      <c r="AU246" s="26"/>
      <c r="AV246" s="24"/>
      <c r="AW246" s="25"/>
      <c r="AX246" s="25"/>
      <c r="AY246" s="25"/>
      <c r="AZ246" s="25"/>
      <c r="BA246" s="25"/>
      <c r="BB246" s="25"/>
      <c r="BC246" s="25"/>
      <c r="BD246" s="25"/>
      <c r="BE246" s="25"/>
      <c r="BF246" s="25"/>
      <c r="BG246" s="26"/>
      <c r="BH246" s="27"/>
      <c r="BI246" s="25"/>
      <c r="BJ246" s="25"/>
      <c r="BK246" s="25"/>
      <c r="BL246" s="25"/>
    </row>
    <row r="247" spans="1:64">
      <c r="A247" s="10" t="str">
        <f t="shared" si="20"/>
        <v>PSTOH_V_SVC2.당월실적_B2C전년</v>
      </c>
      <c r="B247" s="7"/>
      <c r="C247" s="7"/>
      <c r="D247" s="7"/>
      <c r="E247" s="7"/>
      <c r="F247" s="7"/>
      <c r="G247" s="7" t="s">
        <v>17</v>
      </c>
      <c r="H247" s="7" t="s">
        <v>106</v>
      </c>
      <c r="I247" s="7" t="str">
        <f t="shared" si="21"/>
        <v>2.당월실적_B2C</v>
      </c>
      <c r="J247" s="23" t="s">
        <v>34</v>
      </c>
      <c r="K247" s="9"/>
      <c r="L247" s="24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6"/>
      <c r="X247" s="24"/>
      <c r="Y247" s="25"/>
      <c r="Z247" s="25"/>
      <c r="AA247" s="25"/>
      <c r="AB247" s="25"/>
      <c r="AC247" s="25"/>
      <c r="AD247" s="25"/>
      <c r="AE247" s="25"/>
      <c r="AF247" s="25"/>
      <c r="AG247" s="25"/>
      <c r="AH247" s="25"/>
      <c r="AI247" s="26"/>
      <c r="AJ247" s="24"/>
      <c r="AK247" s="25"/>
      <c r="AL247" s="25"/>
      <c r="AM247" s="25"/>
      <c r="AN247" s="25"/>
      <c r="AO247" s="25"/>
      <c r="AP247" s="25"/>
      <c r="AQ247" s="25"/>
      <c r="AR247" s="25"/>
      <c r="AS247" s="25"/>
      <c r="AT247" s="25"/>
      <c r="AU247" s="26"/>
      <c r="AV247" s="24"/>
      <c r="AW247" s="25"/>
      <c r="AX247" s="25"/>
      <c r="AY247" s="25"/>
      <c r="AZ247" s="25"/>
      <c r="BA247" s="25"/>
      <c r="BB247" s="25"/>
      <c r="BC247" s="25"/>
      <c r="BD247" s="25"/>
      <c r="BE247" s="25"/>
      <c r="BF247" s="25"/>
      <c r="BG247" s="26"/>
      <c r="BH247" s="27"/>
      <c r="BI247" s="25"/>
      <c r="BJ247" s="25"/>
      <c r="BK247" s="25"/>
      <c r="BL247" s="25"/>
    </row>
    <row r="248" spans="1:64">
      <c r="A248" s="10" t="str">
        <f t="shared" si="20"/>
        <v>DVTOH_V_SVC2.당월실적_B2C금년</v>
      </c>
      <c r="B248" s="7"/>
      <c r="C248" s="7"/>
      <c r="D248" s="7"/>
      <c r="E248" s="7"/>
      <c r="F248" s="7"/>
      <c r="G248" s="7" t="s">
        <v>10</v>
      </c>
      <c r="H248" s="7" t="s">
        <v>106</v>
      </c>
      <c r="I248" s="7" t="str">
        <f t="shared" si="21"/>
        <v>2.당월실적_B2C</v>
      </c>
      <c r="J248" s="10" t="s">
        <v>50</v>
      </c>
      <c r="K248" s="9"/>
      <c r="L248" s="24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6"/>
      <c r="X248" s="24"/>
      <c r="Y248" s="25"/>
      <c r="Z248" s="25"/>
      <c r="AA248" s="25"/>
      <c r="AB248" s="25"/>
      <c r="AC248" s="25"/>
      <c r="AD248" s="25"/>
      <c r="AE248" s="25"/>
      <c r="AF248" s="25"/>
      <c r="AG248" s="25"/>
      <c r="AH248" s="25"/>
      <c r="AI248" s="26"/>
      <c r="AJ248" s="24"/>
      <c r="AK248" s="25"/>
      <c r="AL248" s="25"/>
      <c r="AM248" s="25"/>
      <c r="AN248" s="25"/>
      <c r="AO248" s="25"/>
      <c r="AP248" s="25"/>
      <c r="AQ248" s="25"/>
      <c r="AR248" s="25"/>
      <c r="AS248" s="25"/>
      <c r="AT248" s="25"/>
      <c r="AU248" s="26"/>
      <c r="AV248" s="24"/>
      <c r="AW248" s="25"/>
      <c r="AX248" s="25"/>
      <c r="AY248" s="25"/>
      <c r="AZ248" s="25"/>
      <c r="BA248" s="25"/>
      <c r="BB248" s="25"/>
      <c r="BC248" s="25"/>
      <c r="BD248" s="25"/>
      <c r="BE248" s="25"/>
      <c r="BF248" s="25"/>
      <c r="BG248" s="26"/>
      <c r="BH248" s="27"/>
      <c r="BI248" s="25"/>
      <c r="BJ248" s="25"/>
      <c r="BK248" s="25"/>
      <c r="BL248" s="25"/>
    </row>
    <row r="249" spans="1:64">
      <c r="A249" s="10" t="str">
        <f t="shared" si="20"/>
        <v>DVTOH_V_SVC2.당월실적_B2C전년</v>
      </c>
      <c r="B249" s="7"/>
      <c r="C249" s="7"/>
      <c r="D249" s="7"/>
      <c r="E249" s="7"/>
      <c r="F249" s="7"/>
      <c r="G249" s="7" t="s">
        <v>10</v>
      </c>
      <c r="H249" s="7" t="s">
        <v>106</v>
      </c>
      <c r="I249" s="7" t="str">
        <f t="shared" si="21"/>
        <v>2.당월실적_B2C</v>
      </c>
      <c r="J249" s="23" t="s">
        <v>34</v>
      </c>
      <c r="K249" s="9"/>
      <c r="L249" s="24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6"/>
      <c r="X249" s="24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6"/>
      <c r="AJ249" s="24"/>
      <c r="AK249" s="25"/>
      <c r="AL249" s="25"/>
      <c r="AM249" s="25"/>
      <c r="AN249" s="25"/>
      <c r="AO249" s="25"/>
      <c r="AP249" s="25"/>
      <c r="AQ249" s="25"/>
      <c r="AR249" s="25"/>
      <c r="AS249" s="25"/>
      <c r="AT249" s="25"/>
      <c r="AU249" s="26"/>
      <c r="AV249" s="24"/>
      <c r="AW249" s="25"/>
      <c r="AX249" s="25"/>
      <c r="AY249" s="25"/>
      <c r="AZ249" s="25"/>
      <c r="BA249" s="25"/>
      <c r="BB249" s="25"/>
      <c r="BC249" s="25"/>
      <c r="BD249" s="25"/>
      <c r="BE249" s="25"/>
      <c r="BF249" s="25"/>
      <c r="BG249" s="26"/>
      <c r="BH249" s="27"/>
      <c r="BI249" s="25"/>
      <c r="BJ249" s="25"/>
      <c r="BK249" s="25"/>
      <c r="BL249" s="25"/>
    </row>
    <row r="250" spans="1:64">
      <c r="A250" s="6"/>
      <c r="H250" t="s">
        <v>106</v>
      </c>
      <c r="K250" s="9"/>
    </row>
    <row r="251" spans="1:64">
      <c r="A251" s="10" t="str">
        <f t="shared" ref="A251:A264" si="22">TRIM(B251)&amp;TRIM(C251)&amp;TRIM(D251)&amp;TRIM(E251)&amp;TRIM(F251)&amp;TRIM(G251)&amp;TRIM(H251)&amp;TRIM(I251)&amp;TRIM(J251)</f>
        <v>GJTOH_V_SVC2.당월실적_B2B금년</v>
      </c>
      <c r="B251" s="7"/>
      <c r="C251" s="7"/>
      <c r="D251" s="7"/>
      <c r="E251" s="7"/>
      <c r="F251" s="7"/>
      <c r="G251" s="7" t="s">
        <v>11</v>
      </c>
      <c r="H251" s="7" t="s">
        <v>106</v>
      </c>
      <c r="I251" s="7" t="s">
        <v>96</v>
      </c>
      <c r="J251" s="10" t="s">
        <v>50</v>
      </c>
      <c r="K251" s="9"/>
      <c r="L251" s="24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6"/>
      <c r="X251" s="24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6"/>
      <c r="AJ251" s="24"/>
      <c r="AK251" s="25"/>
      <c r="AL251" s="25"/>
      <c r="AM251" s="25"/>
      <c r="AN251" s="25"/>
      <c r="AO251" s="25"/>
      <c r="AP251" s="25"/>
      <c r="AQ251" s="25"/>
      <c r="AR251" s="25"/>
      <c r="AS251" s="25"/>
      <c r="AT251" s="25"/>
      <c r="AU251" s="26"/>
      <c r="AV251" s="24"/>
      <c r="AW251" s="25"/>
      <c r="AX251" s="25"/>
      <c r="AY251" s="25"/>
      <c r="AZ251" s="25"/>
      <c r="BA251" s="25"/>
      <c r="BB251" s="25"/>
      <c r="BC251" s="25"/>
      <c r="BD251" s="25"/>
      <c r="BE251" s="25"/>
      <c r="BF251" s="25"/>
      <c r="BG251" s="26"/>
      <c r="BH251" s="27"/>
      <c r="BI251" s="25"/>
      <c r="BJ251" s="25"/>
      <c r="BK251" s="25"/>
      <c r="BL251" s="25"/>
    </row>
    <row r="252" spans="1:64" ht="18" customHeight="1">
      <c r="A252" s="10" t="str">
        <f t="shared" si="22"/>
        <v>GJTOH_V_SVC2.당월실적_B2B전년</v>
      </c>
      <c r="B252" s="7"/>
      <c r="C252" s="7"/>
      <c r="D252" s="7"/>
      <c r="E252" s="7"/>
      <c r="F252" s="7"/>
      <c r="G252" s="7" t="s">
        <v>11</v>
      </c>
      <c r="H252" s="7" t="s">
        <v>106</v>
      </c>
      <c r="I252" s="7" t="s">
        <v>96</v>
      </c>
      <c r="J252" s="23" t="s">
        <v>34</v>
      </c>
      <c r="K252" s="9"/>
      <c r="L252" s="24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6"/>
      <c r="X252" s="24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6"/>
      <c r="AJ252" s="24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6"/>
      <c r="AV252" s="24"/>
      <c r="AW252" s="25"/>
      <c r="AX252" s="25"/>
      <c r="AY252" s="25"/>
      <c r="AZ252" s="25"/>
      <c r="BA252" s="25"/>
      <c r="BB252" s="25"/>
      <c r="BC252" s="25"/>
      <c r="BD252" s="25"/>
      <c r="BE252" s="25"/>
      <c r="BF252" s="25"/>
      <c r="BG252" s="26"/>
      <c r="BH252" s="27"/>
      <c r="BI252" s="25"/>
      <c r="BJ252" s="25"/>
      <c r="BK252" s="25"/>
      <c r="BL252" s="25"/>
    </row>
    <row r="253" spans="1:64">
      <c r="A253" s="10" t="str">
        <f t="shared" si="22"/>
        <v>GNTOH_V_SVC2.당월실적_B2B금년</v>
      </c>
      <c r="B253" s="7"/>
      <c r="C253" s="7"/>
      <c r="D253" s="7"/>
      <c r="E253" s="7"/>
      <c r="F253" s="7"/>
      <c r="G253" s="7" t="s">
        <v>13</v>
      </c>
      <c r="H253" s="7" t="s">
        <v>106</v>
      </c>
      <c r="I253" s="7" t="s">
        <v>96</v>
      </c>
      <c r="J253" s="10" t="s">
        <v>50</v>
      </c>
      <c r="K253" s="9"/>
      <c r="L253" s="24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6"/>
      <c r="X253" s="24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6"/>
      <c r="AJ253" s="24"/>
      <c r="AK253" s="25"/>
      <c r="AL253" s="25"/>
      <c r="AM253" s="25"/>
      <c r="AN253" s="25"/>
      <c r="AO253" s="25"/>
      <c r="AP253" s="25"/>
      <c r="AQ253" s="25"/>
      <c r="AR253" s="25"/>
      <c r="AS253" s="25"/>
      <c r="AT253" s="25"/>
      <c r="AU253" s="26"/>
      <c r="AV253" s="24"/>
      <c r="AW253" s="25"/>
      <c r="AX253" s="25"/>
      <c r="AY253" s="25"/>
      <c r="AZ253" s="25"/>
      <c r="BA253" s="25"/>
      <c r="BB253" s="25"/>
      <c r="BC253" s="25"/>
      <c r="BD253" s="25"/>
      <c r="BE253" s="25"/>
      <c r="BF253" s="25"/>
      <c r="BG253" s="26"/>
      <c r="BH253" s="27"/>
      <c r="BI253" s="25"/>
      <c r="BJ253" s="25"/>
      <c r="BK253" s="25"/>
      <c r="BL253" s="25"/>
    </row>
    <row r="254" spans="1:64">
      <c r="A254" s="10" t="str">
        <f t="shared" si="22"/>
        <v>GNTOH_V_SVC2.당월실적_B2B전년</v>
      </c>
      <c r="B254" s="7"/>
      <c r="C254" s="7"/>
      <c r="D254" s="7"/>
      <c r="E254" s="7"/>
      <c r="F254" s="7"/>
      <c r="G254" s="7" t="s">
        <v>13</v>
      </c>
      <c r="H254" s="7" t="s">
        <v>106</v>
      </c>
      <c r="I254" s="7" t="s">
        <v>96</v>
      </c>
      <c r="J254" s="23" t="s">
        <v>34</v>
      </c>
      <c r="K254" s="9"/>
      <c r="L254" s="24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6"/>
      <c r="X254" s="24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6"/>
      <c r="AJ254" s="24"/>
      <c r="AK254" s="25"/>
      <c r="AL254" s="25"/>
      <c r="AM254" s="25"/>
      <c r="AN254" s="25"/>
      <c r="AO254" s="25"/>
      <c r="AP254" s="25"/>
      <c r="AQ254" s="25"/>
      <c r="AR254" s="25"/>
      <c r="AS254" s="25"/>
      <c r="AT254" s="25"/>
      <c r="AU254" s="26"/>
      <c r="AV254" s="24"/>
      <c r="AW254" s="25"/>
      <c r="AX254" s="25"/>
      <c r="AY254" s="25"/>
      <c r="AZ254" s="25"/>
      <c r="BA254" s="25"/>
      <c r="BB254" s="25"/>
      <c r="BC254" s="25"/>
      <c r="BD254" s="25"/>
      <c r="BE254" s="25"/>
      <c r="BF254" s="25"/>
      <c r="BG254" s="26"/>
      <c r="BH254" s="27"/>
      <c r="BI254" s="25"/>
      <c r="BJ254" s="25"/>
      <c r="BK254" s="25"/>
      <c r="BL254" s="25"/>
    </row>
    <row r="255" spans="1:64">
      <c r="A255" s="10" t="str">
        <f t="shared" si="22"/>
        <v>GOTOH_V_SVC2.당월실적_B2B금년</v>
      </c>
      <c r="B255" s="7"/>
      <c r="C255" s="7"/>
      <c r="D255" s="7"/>
      <c r="E255" s="7"/>
      <c r="F255" s="7"/>
      <c r="G255" s="7" t="s">
        <v>94</v>
      </c>
      <c r="H255" s="7" t="s">
        <v>106</v>
      </c>
      <c r="I255" s="7" t="s">
        <v>96</v>
      </c>
      <c r="J255" s="10" t="s">
        <v>50</v>
      </c>
      <c r="K255" s="9"/>
      <c r="L255" s="24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6"/>
      <c r="X255" s="24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6"/>
      <c r="AJ255" s="24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6"/>
      <c r="AV255" s="24"/>
      <c r="AW255" s="25"/>
      <c r="AX255" s="25"/>
      <c r="AY255" s="25"/>
      <c r="AZ255" s="25"/>
      <c r="BA255" s="25"/>
      <c r="BB255" s="25"/>
      <c r="BC255" s="25"/>
      <c r="BD255" s="25"/>
      <c r="BE255" s="25"/>
      <c r="BF255" s="25"/>
      <c r="BG255" s="26"/>
      <c r="BH255" s="27"/>
      <c r="BI255" s="25"/>
      <c r="BJ255" s="25"/>
      <c r="BK255" s="25"/>
      <c r="BL255" s="25"/>
    </row>
    <row r="256" spans="1:64">
      <c r="A256" s="10" t="str">
        <f t="shared" si="22"/>
        <v>GOTOH_V_SVC2.당월실적_B2B전년</v>
      </c>
      <c r="B256" s="7"/>
      <c r="C256" s="7"/>
      <c r="D256" s="7"/>
      <c r="E256" s="7"/>
      <c r="F256" s="7"/>
      <c r="G256" s="7" t="s">
        <v>94</v>
      </c>
      <c r="H256" s="7" t="s">
        <v>106</v>
      </c>
      <c r="I256" s="7" t="s">
        <v>96</v>
      </c>
      <c r="J256" s="23" t="s">
        <v>34</v>
      </c>
      <c r="K256" s="9"/>
      <c r="L256" s="24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6"/>
      <c r="X256" s="24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6"/>
      <c r="AJ256" s="24"/>
      <c r="AK256" s="25"/>
      <c r="AL256" s="25"/>
      <c r="AM256" s="25"/>
      <c r="AN256" s="25"/>
      <c r="AO256" s="25"/>
      <c r="AP256" s="25"/>
      <c r="AQ256" s="25"/>
      <c r="AR256" s="25"/>
      <c r="AS256" s="25"/>
      <c r="AT256" s="25"/>
      <c r="AU256" s="26"/>
      <c r="AV256" s="24"/>
      <c r="AW256" s="25"/>
      <c r="AX256" s="25"/>
      <c r="AY256" s="25"/>
      <c r="AZ256" s="25"/>
      <c r="BA256" s="25"/>
      <c r="BB256" s="25"/>
      <c r="BC256" s="25"/>
      <c r="BD256" s="25"/>
      <c r="BE256" s="25"/>
      <c r="BF256" s="25"/>
      <c r="BG256" s="26"/>
      <c r="BH256" s="27"/>
      <c r="BI256" s="25"/>
      <c r="BJ256" s="25"/>
      <c r="BK256" s="25"/>
      <c r="BL256" s="25"/>
    </row>
    <row r="257" spans="1:64">
      <c r="A257" s="10" t="str">
        <f t="shared" si="22"/>
        <v>PKTOH_V_SVC2.당월실적_B2B금년</v>
      </c>
      <c r="B257" s="7"/>
      <c r="C257" s="7"/>
      <c r="D257" s="7"/>
      <c r="E257" s="7"/>
      <c r="F257" s="7"/>
      <c r="G257" s="7" t="s">
        <v>82</v>
      </c>
      <c r="H257" s="7" t="s">
        <v>106</v>
      </c>
      <c r="I257" s="7" t="s">
        <v>96</v>
      </c>
      <c r="J257" s="10" t="s">
        <v>50</v>
      </c>
      <c r="K257" s="9"/>
      <c r="L257" s="24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6"/>
      <c r="X257" s="24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6"/>
      <c r="AJ257" s="24"/>
      <c r="AK257" s="25"/>
      <c r="AL257" s="25"/>
      <c r="AM257" s="25"/>
      <c r="AN257" s="25"/>
      <c r="AO257" s="25"/>
      <c r="AP257" s="25"/>
      <c r="AQ257" s="25"/>
      <c r="AR257" s="25"/>
      <c r="AS257" s="25"/>
      <c r="AT257" s="25"/>
      <c r="AU257" s="26"/>
      <c r="AV257" s="24"/>
      <c r="AW257" s="25"/>
      <c r="AX257" s="25"/>
      <c r="AY257" s="25"/>
      <c r="AZ257" s="25"/>
      <c r="BA257" s="25"/>
      <c r="BB257" s="25"/>
      <c r="BC257" s="25"/>
      <c r="BD257" s="25"/>
      <c r="BE257" s="25"/>
      <c r="BF257" s="25"/>
      <c r="BG257" s="26"/>
      <c r="BH257" s="27"/>
      <c r="BI257" s="25"/>
      <c r="BJ257" s="25"/>
      <c r="BK257" s="25"/>
      <c r="BL257" s="25"/>
    </row>
    <row r="258" spans="1:64">
      <c r="A258" s="10" t="str">
        <f t="shared" si="22"/>
        <v>PKTOH_V_SVC2.당월실적_B2B전년</v>
      </c>
      <c r="B258" s="7"/>
      <c r="C258" s="7"/>
      <c r="D258" s="7"/>
      <c r="E258" s="7"/>
      <c r="F258" s="7"/>
      <c r="G258" s="7" t="s">
        <v>82</v>
      </c>
      <c r="H258" s="7" t="s">
        <v>106</v>
      </c>
      <c r="I258" s="7" t="s">
        <v>96</v>
      </c>
      <c r="J258" s="23" t="s">
        <v>34</v>
      </c>
      <c r="K258" s="9"/>
      <c r="L258" s="24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6"/>
      <c r="X258" s="24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6"/>
      <c r="AJ258" s="24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6"/>
      <c r="AV258" s="24"/>
      <c r="AW258" s="25"/>
      <c r="AX258" s="25"/>
      <c r="AY258" s="25"/>
      <c r="AZ258" s="25"/>
      <c r="BA258" s="25"/>
      <c r="BB258" s="25"/>
      <c r="BC258" s="25"/>
      <c r="BD258" s="25"/>
      <c r="BE258" s="25"/>
      <c r="BF258" s="25"/>
      <c r="BG258" s="26"/>
      <c r="BH258" s="27"/>
      <c r="BI258" s="25"/>
      <c r="BJ258" s="25"/>
      <c r="BK258" s="25"/>
      <c r="BL258" s="25"/>
    </row>
    <row r="259" spans="1:64">
      <c r="A259" s="10" t="str">
        <f t="shared" si="22"/>
        <v>DMTOH_V_SVC2.당월실적_B2B금년</v>
      </c>
      <c r="B259" s="7"/>
      <c r="C259" s="7"/>
      <c r="D259" s="7"/>
      <c r="E259" s="7"/>
      <c r="F259" s="7"/>
      <c r="G259" s="7" t="s">
        <v>9</v>
      </c>
      <c r="H259" s="7" t="s">
        <v>106</v>
      </c>
      <c r="I259" s="7" t="s">
        <v>96</v>
      </c>
      <c r="J259" s="10" t="s">
        <v>50</v>
      </c>
      <c r="K259" s="9"/>
      <c r="L259" s="24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6"/>
      <c r="X259" s="24"/>
      <c r="Y259" s="25"/>
      <c r="Z259" s="25"/>
      <c r="AA259" s="25"/>
      <c r="AB259" s="25"/>
      <c r="AC259" s="25"/>
      <c r="AD259" s="25"/>
      <c r="AE259" s="25"/>
      <c r="AF259" s="25"/>
      <c r="AG259" s="25"/>
      <c r="AH259" s="25"/>
      <c r="AI259" s="26"/>
      <c r="AJ259" s="24"/>
      <c r="AK259" s="25"/>
      <c r="AL259" s="25"/>
      <c r="AM259" s="25"/>
      <c r="AN259" s="25"/>
      <c r="AO259" s="25"/>
      <c r="AP259" s="25"/>
      <c r="AQ259" s="25"/>
      <c r="AR259" s="25"/>
      <c r="AS259" s="25"/>
      <c r="AT259" s="25"/>
      <c r="AU259" s="26"/>
      <c r="AV259" s="24"/>
      <c r="AW259" s="25"/>
      <c r="AX259" s="25"/>
      <c r="AY259" s="25"/>
      <c r="AZ259" s="25"/>
      <c r="BA259" s="25"/>
      <c r="BB259" s="25"/>
      <c r="BC259" s="25"/>
      <c r="BD259" s="25"/>
      <c r="BE259" s="25"/>
      <c r="BF259" s="25"/>
      <c r="BG259" s="26"/>
      <c r="BH259" s="27"/>
      <c r="BI259" s="25"/>
      <c r="BJ259" s="25"/>
      <c r="BK259" s="25"/>
      <c r="BL259" s="25"/>
    </row>
    <row r="260" spans="1:64">
      <c r="A260" s="10" t="str">
        <f t="shared" si="22"/>
        <v>DMTOH_V_SVC2.당월실적_B2B전년</v>
      </c>
      <c r="B260" s="7"/>
      <c r="C260" s="7"/>
      <c r="D260" s="7"/>
      <c r="E260" s="7"/>
      <c r="F260" s="7"/>
      <c r="G260" s="7" t="s">
        <v>9</v>
      </c>
      <c r="H260" s="7" t="s">
        <v>106</v>
      </c>
      <c r="I260" s="7" t="s">
        <v>96</v>
      </c>
      <c r="J260" s="23" t="s">
        <v>34</v>
      </c>
      <c r="K260" s="9"/>
      <c r="L260" s="24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6"/>
      <c r="X260" s="24"/>
      <c r="Y260" s="25"/>
      <c r="Z260" s="25"/>
      <c r="AA260" s="25"/>
      <c r="AB260" s="25"/>
      <c r="AC260" s="25"/>
      <c r="AD260" s="25"/>
      <c r="AE260" s="25"/>
      <c r="AF260" s="25"/>
      <c r="AG260" s="25"/>
      <c r="AH260" s="25"/>
      <c r="AI260" s="26"/>
      <c r="AJ260" s="24"/>
      <c r="AK260" s="25"/>
      <c r="AL260" s="25"/>
      <c r="AM260" s="25"/>
      <c r="AN260" s="25"/>
      <c r="AO260" s="25"/>
      <c r="AP260" s="25"/>
      <c r="AQ260" s="25"/>
      <c r="AR260" s="25"/>
      <c r="AS260" s="25"/>
      <c r="AT260" s="25"/>
      <c r="AU260" s="26"/>
      <c r="AV260" s="24"/>
      <c r="AW260" s="25"/>
      <c r="AX260" s="25"/>
      <c r="AY260" s="25"/>
      <c r="AZ260" s="25"/>
      <c r="BA260" s="25"/>
      <c r="BB260" s="25"/>
      <c r="BC260" s="25"/>
      <c r="BD260" s="25"/>
      <c r="BE260" s="25"/>
      <c r="BF260" s="25"/>
      <c r="BG260" s="26"/>
      <c r="BH260" s="27"/>
      <c r="BI260" s="25"/>
      <c r="BJ260" s="25"/>
      <c r="BK260" s="25"/>
      <c r="BL260" s="25"/>
    </row>
    <row r="261" spans="1:64">
      <c r="A261" s="10" t="str">
        <f t="shared" si="22"/>
        <v>DTTOH_V_SVC2.당월실적_B2B금년</v>
      </c>
      <c r="B261" s="7"/>
      <c r="C261" s="7"/>
      <c r="D261" s="7"/>
      <c r="E261" s="7"/>
      <c r="F261" s="7"/>
      <c r="G261" s="7" t="s">
        <v>95</v>
      </c>
      <c r="H261" s="7" t="s">
        <v>106</v>
      </c>
      <c r="I261" s="7" t="s">
        <v>96</v>
      </c>
      <c r="J261" s="10" t="s">
        <v>50</v>
      </c>
      <c r="K261" s="9"/>
      <c r="L261" s="24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6"/>
      <c r="X261" s="24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6"/>
      <c r="AJ261" s="24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6"/>
      <c r="AV261" s="24"/>
      <c r="AW261" s="25"/>
      <c r="AX261" s="25"/>
      <c r="AY261" s="25"/>
      <c r="AZ261" s="25"/>
      <c r="BA261" s="25"/>
      <c r="BB261" s="25"/>
      <c r="BC261" s="25"/>
      <c r="BD261" s="25"/>
      <c r="BE261" s="25"/>
      <c r="BF261" s="25"/>
      <c r="BG261" s="26"/>
      <c r="BH261" s="27"/>
      <c r="BI261" s="25"/>
      <c r="BJ261" s="25"/>
      <c r="BK261" s="25"/>
      <c r="BL261" s="25"/>
    </row>
    <row r="262" spans="1:64">
      <c r="A262" s="10" t="str">
        <f t="shared" si="22"/>
        <v>DTTOH_V_SVC2.당월실적_B2B전년</v>
      </c>
      <c r="B262" s="7"/>
      <c r="C262" s="7"/>
      <c r="D262" s="7"/>
      <c r="E262" s="7"/>
      <c r="F262" s="7"/>
      <c r="G262" s="7" t="s">
        <v>95</v>
      </c>
      <c r="H262" s="7" t="s">
        <v>106</v>
      </c>
      <c r="I262" s="7" t="s">
        <v>96</v>
      </c>
      <c r="J262" s="23" t="s">
        <v>34</v>
      </c>
      <c r="K262" s="9"/>
      <c r="L262" s="24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6"/>
      <c r="X262" s="24"/>
      <c r="Y262" s="25"/>
      <c r="Z262" s="25"/>
      <c r="AA262" s="25"/>
      <c r="AB262" s="25"/>
      <c r="AC262" s="25"/>
      <c r="AD262" s="25"/>
      <c r="AE262" s="25"/>
      <c r="AF262" s="25"/>
      <c r="AG262" s="25"/>
      <c r="AH262" s="25"/>
      <c r="AI262" s="26"/>
      <c r="AJ262" s="24"/>
      <c r="AK262" s="25"/>
      <c r="AL262" s="25"/>
      <c r="AM262" s="25"/>
      <c r="AN262" s="25"/>
      <c r="AO262" s="25"/>
      <c r="AP262" s="25"/>
      <c r="AQ262" s="25"/>
      <c r="AR262" s="25"/>
      <c r="AS262" s="25"/>
      <c r="AT262" s="25"/>
      <c r="AU262" s="26"/>
      <c r="AV262" s="24"/>
      <c r="AW262" s="25"/>
      <c r="AX262" s="25"/>
      <c r="AY262" s="25"/>
      <c r="AZ262" s="25"/>
      <c r="BA262" s="25"/>
      <c r="BB262" s="25"/>
      <c r="BC262" s="25"/>
      <c r="BD262" s="25"/>
      <c r="BE262" s="25"/>
      <c r="BF262" s="25"/>
      <c r="BG262" s="26"/>
      <c r="BH262" s="27"/>
      <c r="BI262" s="25"/>
      <c r="BJ262" s="25"/>
      <c r="BK262" s="25"/>
      <c r="BL262" s="25"/>
    </row>
    <row r="263" spans="1:64">
      <c r="A263" s="10" t="str">
        <f t="shared" si="22"/>
        <v>PGTOH_V_SVC2.당월실적_B2B금년</v>
      </c>
      <c r="B263" s="7"/>
      <c r="C263" s="7"/>
      <c r="D263" s="7"/>
      <c r="E263" s="7"/>
      <c r="F263" s="7"/>
      <c r="G263" s="7" t="s">
        <v>18</v>
      </c>
      <c r="H263" s="7" t="s">
        <v>106</v>
      </c>
      <c r="I263" s="7" t="s">
        <v>96</v>
      </c>
      <c r="J263" s="10" t="s">
        <v>50</v>
      </c>
      <c r="K263" s="9"/>
      <c r="L263" s="24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6"/>
      <c r="X263" s="24"/>
      <c r="Y263" s="25"/>
      <c r="Z263" s="25"/>
      <c r="AA263" s="25"/>
      <c r="AB263" s="25"/>
      <c r="AC263" s="25"/>
      <c r="AD263" s="25"/>
      <c r="AE263" s="25"/>
      <c r="AF263" s="25"/>
      <c r="AG263" s="25"/>
      <c r="AH263" s="25"/>
      <c r="AI263" s="26"/>
      <c r="AJ263" s="24"/>
      <c r="AK263" s="25"/>
      <c r="AL263" s="25"/>
      <c r="AM263" s="25"/>
      <c r="AN263" s="25"/>
      <c r="AO263" s="25"/>
      <c r="AP263" s="25"/>
      <c r="AQ263" s="25"/>
      <c r="AR263" s="25"/>
      <c r="AS263" s="25"/>
      <c r="AT263" s="25"/>
      <c r="AU263" s="26"/>
      <c r="AV263" s="24"/>
      <c r="AW263" s="25"/>
      <c r="AX263" s="25"/>
      <c r="AY263" s="25"/>
      <c r="AZ263" s="25"/>
      <c r="BA263" s="25"/>
      <c r="BB263" s="25"/>
      <c r="BC263" s="25"/>
      <c r="BD263" s="25"/>
      <c r="BE263" s="25"/>
      <c r="BF263" s="25"/>
      <c r="BG263" s="26"/>
      <c r="BH263" s="27"/>
      <c r="BI263" s="25"/>
      <c r="BJ263" s="25"/>
      <c r="BK263" s="25"/>
      <c r="BL263" s="25"/>
    </row>
    <row r="264" spans="1:64">
      <c r="A264" s="10" t="str">
        <f t="shared" si="22"/>
        <v>PGTOH_V_SVC2.당월실적_B2B전년</v>
      </c>
      <c r="B264" s="7"/>
      <c r="C264" s="7"/>
      <c r="D264" s="7"/>
      <c r="E264" s="7"/>
      <c r="F264" s="7"/>
      <c r="G264" s="7" t="s">
        <v>18</v>
      </c>
      <c r="H264" s="7" t="s">
        <v>106</v>
      </c>
      <c r="I264" s="7" t="s">
        <v>96</v>
      </c>
      <c r="J264" s="23" t="s">
        <v>34</v>
      </c>
      <c r="K264" s="9"/>
      <c r="L264" s="24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6"/>
      <c r="X264" s="24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6"/>
      <c r="AJ264" s="24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6"/>
      <c r="AV264" s="24"/>
      <c r="AW264" s="25"/>
      <c r="AX264" s="25"/>
      <c r="AY264" s="25"/>
      <c r="AZ264" s="25"/>
      <c r="BA264" s="25"/>
      <c r="BB264" s="25"/>
      <c r="BC264" s="25"/>
      <c r="BD264" s="25"/>
      <c r="BE264" s="25"/>
      <c r="BF264" s="25"/>
      <c r="BG264" s="26"/>
      <c r="BH264" s="27"/>
      <c r="BI264" s="25"/>
      <c r="BJ264" s="25"/>
      <c r="BK264" s="25"/>
      <c r="BL264" s="25"/>
    </row>
    <row r="265" spans="1:64">
      <c r="A265" s="6"/>
      <c r="K265" s="9"/>
    </row>
    <row r="266" spans="1:64">
      <c r="A266" s="10" t="str">
        <f t="shared" ref="A266:A285" si="23">TRIM(B266)&amp;TRIM(C266)&amp;TRIM(D266)&amp;TRIM(E266)&amp;TRIM(F266)&amp;TRIM(G266)&amp;TRIM(H266)&amp;TRIM(I266)&amp;TRIM(J266)</f>
        <v>GLTOH_F_COST2.당월실적_B2C금년</v>
      </c>
      <c r="B266" s="7"/>
      <c r="C266" s="7"/>
      <c r="D266" s="7"/>
      <c r="E266" s="7"/>
      <c r="F266" s="7"/>
      <c r="G266" s="7" t="s">
        <v>12</v>
      </c>
      <c r="H266" s="7" t="s">
        <v>107</v>
      </c>
      <c r="I266" s="7" t="s">
        <v>55</v>
      </c>
      <c r="J266" s="10" t="s">
        <v>50</v>
      </c>
      <c r="K266" s="9"/>
      <c r="L266" s="24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6"/>
      <c r="X266" s="24"/>
      <c r="Y266" s="25"/>
      <c r="Z266" s="25"/>
      <c r="AA266" s="25"/>
      <c r="AB266" s="25"/>
      <c r="AC266" s="25"/>
      <c r="AD266" s="25"/>
      <c r="AE266" s="25"/>
      <c r="AF266" s="25"/>
      <c r="AG266" s="25"/>
      <c r="AH266" s="25"/>
      <c r="AI266" s="26"/>
      <c r="AJ266" s="24"/>
      <c r="AK266" s="25"/>
      <c r="AL266" s="25"/>
      <c r="AM266" s="25"/>
      <c r="AN266" s="25"/>
      <c r="AO266" s="25"/>
      <c r="AP266" s="25"/>
      <c r="AQ266" s="25"/>
      <c r="AR266" s="25"/>
      <c r="AS266" s="25"/>
      <c r="AT266" s="25"/>
      <c r="AU266" s="26"/>
      <c r="AV266" s="24"/>
      <c r="AW266" s="25"/>
      <c r="AX266" s="25"/>
      <c r="AY266" s="25"/>
      <c r="AZ266" s="25"/>
      <c r="BA266" s="25"/>
      <c r="BB266" s="25"/>
      <c r="BC266" s="25"/>
      <c r="BD266" s="25"/>
      <c r="BE266" s="25"/>
      <c r="BF266" s="25"/>
      <c r="BG266" s="26"/>
      <c r="BH266" s="27"/>
      <c r="BI266" s="25"/>
      <c r="BJ266" s="25"/>
      <c r="BK266" s="25"/>
      <c r="BL266" s="25"/>
    </row>
    <row r="267" spans="1:64">
      <c r="A267" s="10" t="str">
        <f t="shared" si="23"/>
        <v>GLTOH_F_COST2.당월실적_B2C전년</v>
      </c>
      <c r="B267" s="7"/>
      <c r="C267" s="7"/>
      <c r="D267" s="7"/>
      <c r="E267" s="7"/>
      <c r="F267" s="7"/>
      <c r="G267" s="7" t="s">
        <v>12</v>
      </c>
      <c r="H267" s="7" t="s">
        <v>107</v>
      </c>
      <c r="I267" s="7" t="s">
        <v>55</v>
      </c>
      <c r="J267" s="23" t="s">
        <v>34</v>
      </c>
      <c r="K267" s="9"/>
      <c r="L267" s="24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6"/>
      <c r="X267" s="24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6"/>
      <c r="AJ267" s="24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6"/>
      <c r="AV267" s="24"/>
      <c r="AW267" s="25"/>
      <c r="AX267" s="25"/>
      <c r="AY267" s="25"/>
      <c r="AZ267" s="25"/>
      <c r="BA267" s="25"/>
      <c r="BB267" s="25"/>
      <c r="BC267" s="25"/>
      <c r="BD267" s="25"/>
      <c r="BE267" s="25"/>
      <c r="BF267" s="25"/>
      <c r="BG267" s="26"/>
      <c r="BH267" s="27"/>
      <c r="BI267" s="25"/>
      <c r="BJ267" s="25"/>
      <c r="BK267" s="25"/>
      <c r="BL267" s="25"/>
    </row>
    <row r="268" spans="1:64">
      <c r="A268" s="10" t="str">
        <f t="shared" si="23"/>
        <v>GTTOH_F_COST2.당월실적_B2C금년</v>
      </c>
      <c r="B268" s="7"/>
      <c r="C268" s="7"/>
      <c r="D268" s="7"/>
      <c r="E268" s="7"/>
      <c r="F268" s="7"/>
      <c r="G268" s="7" t="s">
        <v>14</v>
      </c>
      <c r="H268" s="7" t="s">
        <v>107</v>
      </c>
      <c r="I268" s="7" t="s">
        <v>55</v>
      </c>
      <c r="J268" s="10" t="s">
        <v>50</v>
      </c>
      <c r="K268" s="9"/>
      <c r="L268" s="24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6"/>
      <c r="X268" s="24"/>
      <c r="Y268" s="25"/>
      <c r="Z268" s="25"/>
      <c r="AA268" s="25"/>
      <c r="AB268" s="25"/>
      <c r="AC268" s="25"/>
      <c r="AD268" s="25"/>
      <c r="AE268" s="25"/>
      <c r="AF268" s="25"/>
      <c r="AG268" s="25"/>
      <c r="AH268" s="25"/>
      <c r="AI268" s="26"/>
      <c r="AJ268" s="24"/>
      <c r="AK268" s="25"/>
      <c r="AL268" s="25"/>
      <c r="AM268" s="25"/>
      <c r="AN268" s="25"/>
      <c r="AO268" s="25"/>
      <c r="AP268" s="25"/>
      <c r="AQ268" s="25"/>
      <c r="AR268" s="25"/>
      <c r="AS268" s="25"/>
      <c r="AT268" s="25"/>
      <c r="AU268" s="26"/>
      <c r="AV268" s="24"/>
      <c r="AW268" s="25"/>
      <c r="AX268" s="25"/>
      <c r="AY268" s="25"/>
      <c r="AZ268" s="25"/>
      <c r="BA268" s="25"/>
      <c r="BB268" s="25"/>
      <c r="BC268" s="25"/>
      <c r="BD268" s="25"/>
      <c r="BE268" s="25"/>
      <c r="BF268" s="25"/>
      <c r="BG268" s="26"/>
      <c r="BH268" s="27"/>
      <c r="BI268" s="25"/>
      <c r="BJ268" s="25"/>
      <c r="BK268" s="25"/>
      <c r="BL268" s="25"/>
    </row>
    <row r="269" spans="1:64">
      <c r="A269" s="10" t="str">
        <f t="shared" si="23"/>
        <v>GTTOH_F_COST2.당월실적_B2C전년</v>
      </c>
      <c r="B269" s="7"/>
      <c r="C269" s="7"/>
      <c r="D269" s="7"/>
      <c r="E269" s="7"/>
      <c r="F269" s="7"/>
      <c r="G269" s="7" t="s">
        <v>14</v>
      </c>
      <c r="H269" s="7" t="s">
        <v>107</v>
      </c>
      <c r="I269" s="7" t="s">
        <v>55</v>
      </c>
      <c r="J269" s="23" t="s">
        <v>34</v>
      </c>
      <c r="K269" s="9"/>
      <c r="L269" s="24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6"/>
      <c r="X269" s="24"/>
      <c r="Y269" s="25"/>
      <c r="Z269" s="25"/>
      <c r="AA269" s="25"/>
      <c r="AB269" s="25"/>
      <c r="AC269" s="25"/>
      <c r="AD269" s="25"/>
      <c r="AE269" s="25"/>
      <c r="AF269" s="25"/>
      <c r="AG269" s="25"/>
      <c r="AH269" s="25"/>
      <c r="AI269" s="26"/>
      <c r="AJ269" s="24"/>
      <c r="AK269" s="25"/>
      <c r="AL269" s="25"/>
      <c r="AM269" s="25"/>
      <c r="AN269" s="25"/>
      <c r="AO269" s="25"/>
      <c r="AP269" s="25"/>
      <c r="AQ269" s="25"/>
      <c r="AR269" s="25"/>
      <c r="AS269" s="25"/>
      <c r="AT269" s="25"/>
      <c r="AU269" s="26"/>
      <c r="AV269" s="24"/>
      <c r="AW269" s="25"/>
      <c r="AX269" s="25"/>
      <c r="AY269" s="25"/>
      <c r="AZ269" s="25"/>
      <c r="BA269" s="25"/>
      <c r="BB269" s="25"/>
      <c r="BC269" s="25"/>
      <c r="BD269" s="25"/>
      <c r="BE269" s="25"/>
      <c r="BF269" s="25"/>
      <c r="BG269" s="26"/>
      <c r="BH269" s="27"/>
      <c r="BI269" s="25"/>
      <c r="BJ269" s="25"/>
      <c r="BK269" s="25"/>
      <c r="BL269" s="25"/>
    </row>
    <row r="270" spans="1:64">
      <c r="A270" s="10" t="str">
        <f t="shared" si="23"/>
        <v>PNTOH_F_COST2.당월실적_B2C금년</v>
      </c>
      <c r="B270" s="7"/>
      <c r="C270" s="7"/>
      <c r="D270" s="7"/>
      <c r="E270" s="7"/>
      <c r="F270" s="7"/>
      <c r="G270" s="7" t="s">
        <v>16</v>
      </c>
      <c r="H270" s="7" t="s">
        <v>107</v>
      </c>
      <c r="I270" s="7" t="s">
        <v>55</v>
      </c>
      <c r="J270" s="10" t="s">
        <v>50</v>
      </c>
      <c r="K270" s="9"/>
      <c r="L270" s="24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6"/>
      <c r="X270" s="24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6"/>
      <c r="AJ270" s="24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6"/>
      <c r="AV270" s="24"/>
      <c r="AW270" s="25"/>
      <c r="AX270" s="25"/>
      <c r="AY270" s="25"/>
      <c r="AZ270" s="25"/>
      <c r="BA270" s="25"/>
      <c r="BB270" s="25"/>
      <c r="BC270" s="25"/>
      <c r="BD270" s="25"/>
      <c r="BE270" s="25"/>
      <c r="BF270" s="25"/>
      <c r="BG270" s="26"/>
      <c r="BH270" s="27"/>
      <c r="BI270" s="25"/>
      <c r="BJ270" s="25"/>
      <c r="BK270" s="25"/>
      <c r="BL270" s="25"/>
    </row>
    <row r="271" spans="1:64">
      <c r="A271" s="10" t="str">
        <f t="shared" si="23"/>
        <v>PNTOH_F_COST2.당월실적_B2C전년</v>
      </c>
      <c r="B271" s="7"/>
      <c r="C271" s="7"/>
      <c r="D271" s="7"/>
      <c r="E271" s="7"/>
      <c r="F271" s="7"/>
      <c r="G271" s="7" t="s">
        <v>16</v>
      </c>
      <c r="H271" s="7" t="s">
        <v>107</v>
      </c>
      <c r="I271" s="7" t="s">
        <v>55</v>
      </c>
      <c r="J271" s="23" t="s">
        <v>34</v>
      </c>
      <c r="K271" s="9"/>
      <c r="L271" s="24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6"/>
      <c r="X271" s="24"/>
      <c r="Y271" s="25"/>
      <c r="Z271" s="25"/>
      <c r="AA271" s="25"/>
      <c r="AB271" s="25"/>
      <c r="AC271" s="25"/>
      <c r="AD271" s="25"/>
      <c r="AE271" s="25"/>
      <c r="AF271" s="25"/>
      <c r="AG271" s="25"/>
      <c r="AH271" s="25"/>
      <c r="AI271" s="26"/>
      <c r="AJ271" s="24"/>
      <c r="AK271" s="25"/>
      <c r="AL271" s="25"/>
      <c r="AM271" s="25"/>
      <c r="AN271" s="25"/>
      <c r="AO271" s="25"/>
      <c r="AP271" s="25"/>
      <c r="AQ271" s="25"/>
      <c r="AR271" s="25"/>
      <c r="AS271" s="25"/>
      <c r="AT271" s="25"/>
      <c r="AU271" s="26"/>
      <c r="AV271" s="24"/>
      <c r="AW271" s="25"/>
      <c r="AX271" s="25"/>
      <c r="AY271" s="25"/>
      <c r="AZ271" s="25"/>
      <c r="BA271" s="25"/>
      <c r="BB271" s="25"/>
      <c r="BC271" s="25"/>
      <c r="BD271" s="25"/>
      <c r="BE271" s="25"/>
      <c r="BF271" s="25"/>
      <c r="BG271" s="26"/>
      <c r="BH271" s="27"/>
      <c r="BI271" s="25"/>
      <c r="BJ271" s="25"/>
      <c r="BK271" s="25"/>
      <c r="BL271" s="25"/>
    </row>
    <row r="272" spans="1:64">
      <c r="A272" s="10" t="str">
        <f t="shared" si="23"/>
        <v>MSTOH_F_COST2.당월실적_B2C금년</v>
      </c>
      <c r="B272" s="7"/>
      <c r="C272" s="7"/>
      <c r="D272" s="7"/>
      <c r="E272" s="7"/>
      <c r="F272" s="7"/>
      <c r="G272" s="7" t="s">
        <v>15</v>
      </c>
      <c r="H272" s="7" t="s">
        <v>107</v>
      </c>
      <c r="I272" s="7" t="s">
        <v>55</v>
      </c>
      <c r="J272" s="10" t="s">
        <v>50</v>
      </c>
      <c r="K272" s="9"/>
      <c r="L272" s="24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6"/>
      <c r="X272" s="24"/>
      <c r="Y272" s="25"/>
      <c r="Z272" s="25"/>
      <c r="AA272" s="25"/>
      <c r="AB272" s="25"/>
      <c r="AC272" s="25"/>
      <c r="AD272" s="25"/>
      <c r="AE272" s="25"/>
      <c r="AF272" s="25"/>
      <c r="AG272" s="25"/>
      <c r="AH272" s="25"/>
      <c r="AI272" s="26"/>
      <c r="AJ272" s="24"/>
      <c r="AK272" s="25"/>
      <c r="AL272" s="25"/>
      <c r="AM272" s="25"/>
      <c r="AN272" s="25"/>
      <c r="AO272" s="25"/>
      <c r="AP272" s="25"/>
      <c r="AQ272" s="25"/>
      <c r="AR272" s="25"/>
      <c r="AS272" s="25"/>
      <c r="AT272" s="25"/>
      <c r="AU272" s="26"/>
      <c r="AV272" s="24"/>
      <c r="AW272" s="25"/>
      <c r="AX272" s="25"/>
      <c r="AY272" s="25"/>
      <c r="AZ272" s="25"/>
      <c r="BA272" s="25"/>
      <c r="BB272" s="25"/>
      <c r="BC272" s="25"/>
      <c r="BD272" s="25"/>
      <c r="BE272" s="25"/>
      <c r="BF272" s="25"/>
      <c r="BG272" s="26"/>
      <c r="BH272" s="27"/>
      <c r="BI272" s="25"/>
      <c r="BJ272" s="25"/>
      <c r="BK272" s="25"/>
      <c r="BL272" s="25"/>
    </row>
    <row r="273" spans="1:64">
      <c r="A273" s="10" t="str">
        <f t="shared" si="23"/>
        <v>MSTOH_F_COST2.당월실적_B2C전년</v>
      </c>
      <c r="B273" s="7"/>
      <c r="C273" s="7"/>
      <c r="D273" s="7"/>
      <c r="E273" s="7"/>
      <c r="F273" s="7"/>
      <c r="G273" s="7" t="s">
        <v>15</v>
      </c>
      <c r="H273" s="7" t="s">
        <v>107</v>
      </c>
      <c r="I273" s="7" t="s">
        <v>55</v>
      </c>
      <c r="J273" s="23" t="s">
        <v>34</v>
      </c>
      <c r="K273" s="9"/>
      <c r="L273" s="24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6"/>
      <c r="X273" s="24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6"/>
      <c r="AJ273" s="24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6"/>
      <c r="AV273" s="24"/>
      <c r="AW273" s="25"/>
      <c r="AX273" s="25"/>
      <c r="AY273" s="25"/>
      <c r="AZ273" s="25"/>
      <c r="BA273" s="25"/>
      <c r="BB273" s="25"/>
      <c r="BC273" s="25"/>
      <c r="BD273" s="25"/>
      <c r="BE273" s="25"/>
      <c r="BF273" s="25"/>
      <c r="BG273" s="26"/>
      <c r="BH273" s="27"/>
      <c r="BI273" s="25"/>
      <c r="BJ273" s="25"/>
      <c r="BK273" s="25"/>
      <c r="BL273" s="25"/>
    </row>
    <row r="274" spans="1:64">
      <c r="A274" s="10" t="str">
        <f t="shared" si="23"/>
        <v>CNTOH_F_COST2.당월실적_B2C금년</v>
      </c>
      <c r="B274" s="7"/>
      <c r="C274" s="7"/>
      <c r="D274" s="7"/>
      <c r="E274" s="7"/>
      <c r="F274" s="7"/>
      <c r="G274" s="7" t="s">
        <v>6</v>
      </c>
      <c r="H274" s="7" t="s">
        <v>107</v>
      </c>
      <c r="I274" s="7" t="s">
        <v>55</v>
      </c>
      <c r="J274" s="10" t="s">
        <v>50</v>
      </c>
      <c r="K274" s="9"/>
      <c r="L274" s="24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6"/>
      <c r="X274" s="24"/>
      <c r="Y274" s="25"/>
      <c r="Z274" s="25"/>
      <c r="AA274" s="25"/>
      <c r="AB274" s="25"/>
      <c r="AC274" s="25"/>
      <c r="AD274" s="25"/>
      <c r="AE274" s="25"/>
      <c r="AF274" s="25"/>
      <c r="AG274" s="25"/>
      <c r="AH274" s="25"/>
      <c r="AI274" s="26"/>
      <c r="AJ274" s="24"/>
      <c r="AK274" s="25"/>
      <c r="AL274" s="25"/>
      <c r="AM274" s="25"/>
      <c r="AN274" s="25"/>
      <c r="AO274" s="25"/>
      <c r="AP274" s="25"/>
      <c r="AQ274" s="25"/>
      <c r="AR274" s="25"/>
      <c r="AS274" s="25"/>
      <c r="AT274" s="25"/>
      <c r="AU274" s="26"/>
      <c r="AV274" s="24"/>
      <c r="AW274" s="25"/>
      <c r="AX274" s="25"/>
      <c r="AY274" s="25"/>
      <c r="AZ274" s="25"/>
      <c r="BA274" s="25"/>
      <c r="BB274" s="25"/>
      <c r="BC274" s="25"/>
      <c r="BD274" s="25"/>
      <c r="BE274" s="25"/>
      <c r="BF274" s="25"/>
      <c r="BG274" s="26"/>
      <c r="BH274" s="27"/>
      <c r="BI274" s="25"/>
      <c r="BJ274" s="25"/>
      <c r="BK274" s="25"/>
      <c r="BL274" s="25"/>
    </row>
    <row r="275" spans="1:64">
      <c r="A275" s="10" t="str">
        <f t="shared" si="23"/>
        <v>CNTOH_F_COST2.당월실적_B2C전년</v>
      </c>
      <c r="B275" s="7"/>
      <c r="C275" s="7"/>
      <c r="D275" s="7"/>
      <c r="E275" s="7"/>
      <c r="F275" s="7"/>
      <c r="G275" s="7" t="s">
        <v>6</v>
      </c>
      <c r="H275" s="7" t="s">
        <v>107</v>
      </c>
      <c r="I275" s="7" t="s">
        <v>55</v>
      </c>
      <c r="J275" s="23" t="s">
        <v>34</v>
      </c>
      <c r="K275" s="9"/>
      <c r="L275" s="24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6"/>
      <c r="X275" s="24"/>
      <c r="Y275" s="25"/>
      <c r="Z275" s="25"/>
      <c r="AA275" s="25"/>
      <c r="AB275" s="25"/>
      <c r="AC275" s="25"/>
      <c r="AD275" s="25"/>
      <c r="AE275" s="25"/>
      <c r="AF275" s="25"/>
      <c r="AG275" s="25"/>
      <c r="AH275" s="25"/>
      <c r="AI275" s="26"/>
      <c r="AJ275" s="24"/>
      <c r="AK275" s="25"/>
      <c r="AL275" s="25"/>
      <c r="AM275" s="25"/>
      <c r="AN275" s="25"/>
      <c r="AO275" s="25"/>
      <c r="AP275" s="25"/>
      <c r="AQ275" s="25"/>
      <c r="AR275" s="25"/>
      <c r="AS275" s="25"/>
      <c r="AT275" s="25"/>
      <c r="AU275" s="26"/>
      <c r="AV275" s="24"/>
      <c r="AW275" s="25"/>
      <c r="AX275" s="25"/>
      <c r="AY275" s="25"/>
      <c r="AZ275" s="25"/>
      <c r="BA275" s="25"/>
      <c r="BB275" s="25"/>
      <c r="BC275" s="25"/>
      <c r="BD275" s="25"/>
      <c r="BE275" s="25"/>
      <c r="BF275" s="25"/>
      <c r="BG275" s="26"/>
      <c r="BH275" s="27"/>
      <c r="BI275" s="25"/>
      <c r="BJ275" s="25"/>
      <c r="BK275" s="25"/>
      <c r="BL275" s="25"/>
    </row>
    <row r="276" spans="1:64">
      <c r="A276" s="10" t="str">
        <f t="shared" si="23"/>
        <v>DFTOH_F_COST2.당월실적_B2C금년</v>
      </c>
      <c r="B276" s="7"/>
      <c r="C276" s="7"/>
      <c r="D276" s="7"/>
      <c r="E276" s="7"/>
      <c r="F276" s="7"/>
      <c r="G276" s="7" t="s">
        <v>7</v>
      </c>
      <c r="H276" s="7" t="s">
        <v>107</v>
      </c>
      <c r="I276" s="7" t="str">
        <f t="shared" ref="I276:I285" si="24">I266</f>
        <v>2.당월실적_B2C</v>
      </c>
      <c r="J276" s="10" t="s">
        <v>50</v>
      </c>
      <c r="K276" s="9"/>
      <c r="L276" s="24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6"/>
      <c r="X276" s="24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6"/>
      <c r="AJ276" s="24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6"/>
      <c r="AV276" s="24"/>
      <c r="AW276" s="25"/>
      <c r="AX276" s="25"/>
      <c r="AY276" s="25"/>
      <c r="AZ276" s="25"/>
      <c r="BA276" s="25"/>
      <c r="BB276" s="25"/>
      <c r="BC276" s="25"/>
      <c r="BD276" s="25"/>
      <c r="BE276" s="25"/>
      <c r="BF276" s="25"/>
      <c r="BG276" s="26"/>
      <c r="BH276" s="27"/>
      <c r="BI276" s="25"/>
      <c r="BJ276" s="25"/>
      <c r="BK276" s="25"/>
      <c r="BL276" s="25"/>
    </row>
    <row r="277" spans="1:64">
      <c r="A277" s="10" t="str">
        <f t="shared" si="23"/>
        <v>DFTOH_F_COST2.당월실적_B2C전년</v>
      </c>
      <c r="B277" s="7"/>
      <c r="C277" s="7"/>
      <c r="D277" s="7"/>
      <c r="E277" s="7"/>
      <c r="F277" s="7"/>
      <c r="G277" s="7" t="s">
        <v>7</v>
      </c>
      <c r="H277" s="7" t="s">
        <v>107</v>
      </c>
      <c r="I277" s="7" t="str">
        <f t="shared" si="24"/>
        <v>2.당월실적_B2C</v>
      </c>
      <c r="J277" s="23" t="s">
        <v>34</v>
      </c>
      <c r="K277" s="9"/>
      <c r="L277" s="24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6"/>
      <c r="X277" s="24"/>
      <c r="Y277" s="25"/>
      <c r="Z277" s="25"/>
      <c r="AA277" s="25"/>
      <c r="AB277" s="25"/>
      <c r="AC277" s="25"/>
      <c r="AD277" s="25"/>
      <c r="AE277" s="25"/>
      <c r="AF277" s="25"/>
      <c r="AG277" s="25"/>
      <c r="AH277" s="25"/>
      <c r="AI277" s="26"/>
      <c r="AJ277" s="24"/>
      <c r="AK277" s="25"/>
      <c r="AL277" s="25"/>
      <c r="AM277" s="25"/>
      <c r="AN277" s="25"/>
      <c r="AO277" s="25"/>
      <c r="AP277" s="25"/>
      <c r="AQ277" s="25"/>
      <c r="AR277" s="25"/>
      <c r="AS277" s="25"/>
      <c r="AT277" s="25"/>
      <c r="AU277" s="26"/>
      <c r="AV277" s="24"/>
      <c r="AW277" s="25"/>
      <c r="AX277" s="25"/>
      <c r="AY277" s="25"/>
      <c r="AZ277" s="25"/>
      <c r="BA277" s="25"/>
      <c r="BB277" s="25"/>
      <c r="BC277" s="25"/>
      <c r="BD277" s="25"/>
      <c r="BE277" s="25"/>
      <c r="BF277" s="25"/>
      <c r="BG277" s="26"/>
      <c r="BH277" s="27"/>
      <c r="BI277" s="25"/>
      <c r="BJ277" s="25"/>
      <c r="BK277" s="25"/>
      <c r="BL277" s="25"/>
    </row>
    <row r="278" spans="1:64">
      <c r="A278" s="10" t="str">
        <f t="shared" si="23"/>
        <v>DGTOH_F_COST2.당월실적_B2C금년</v>
      </c>
      <c r="B278" s="7"/>
      <c r="C278" s="7"/>
      <c r="D278" s="7"/>
      <c r="E278" s="7"/>
      <c r="F278" s="7"/>
      <c r="G278" s="7" t="s">
        <v>8</v>
      </c>
      <c r="H278" s="7" t="s">
        <v>107</v>
      </c>
      <c r="I278" s="7" t="str">
        <f t="shared" si="24"/>
        <v>2.당월실적_B2C</v>
      </c>
      <c r="J278" s="10" t="s">
        <v>50</v>
      </c>
      <c r="K278" s="9"/>
      <c r="L278" s="24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6"/>
      <c r="X278" s="24"/>
      <c r="Y278" s="25"/>
      <c r="Z278" s="25"/>
      <c r="AA278" s="25"/>
      <c r="AB278" s="25"/>
      <c r="AC278" s="25"/>
      <c r="AD278" s="25"/>
      <c r="AE278" s="25"/>
      <c r="AF278" s="25"/>
      <c r="AG278" s="25"/>
      <c r="AH278" s="25"/>
      <c r="AI278" s="26"/>
      <c r="AJ278" s="24"/>
      <c r="AK278" s="25"/>
      <c r="AL278" s="25"/>
      <c r="AM278" s="25"/>
      <c r="AN278" s="25"/>
      <c r="AO278" s="25"/>
      <c r="AP278" s="25"/>
      <c r="AQ278" s="25"/>
      <c r="AR278" s="25"/>
      <c r="AS278" s="25"/>
      <c r="AT278" s="25"/>
      <c r="AU278" s="26"/>
      <c r="AV278" s="24"/>
      <c r="AW278" s="25"/>
      <c r="AX278" s="25"/>
      <c r="AY278" s="25"/>
      <c r="AZ278" s="25"/>
      <c r="BA278" s="25"/>
      <c r="BB278" s="25"/>
      <c r="BC278" s="25"/>
      <c r="BD278" s="25"/>
      <c r="BE278" s="25"/>
      <c r="BF278" s="25"/>
      <c r="BG278" s="26"/>
      <c r="BH278" s="27"/>
      <c r="BI278" s="25"/>
      <c r="BJ278" s="25"/>
      <c r="BK278" s="25"/>
      <c r="BL278" s="25"/>
    </row>
    <row r="279" spans="1:64">
      <c r="A279" s="10" t="str">
        <f t="shared" si="23"/>
        <v>DGTOH_F_COST2.당월실적_B2C전년</v>
      </c>
      <c r="B279" s="7"/>
      <c r="C279" s="7"/>
      <c r="D279" s="7"/>
      <c r="E279" s="7"/>
      <c r="F279" s="7"/>
      <c r="G279" s="7" t="s">
        <v>8</v>
      </c>
      <c r="H279" s="7" t="s">
        <v>107</v>
      </c>
      <c r="I279" s="7" t="str">
        <f t="shared" si="24"/>
        <v>2.당월실적_B2C</v>
      </c>
      <c r="J279" s="23" t="s">
        <v>34</v>
      </c>
      <c r="K279" s="9"/>
      <c r="L279" s="24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6"/>
      <c r="X279" s="24"/>
      <c r="Y279" s="25"/>
      <c r="Z279" s="25"/>
      <c r="AA279" s="25"/>
      <c r="AB279" s="25"/>
      <c r="AC279" s="25"/>
      <c r="AD279" s="25"/>
      <c r="AE279" s="25"/>
      <c r="AF279" s="25"/>
      <c r="AG279" s="25"/>
      <c r="AH279" s="25"/>
      <c r="AI279" s="26"/>
      <c r="AJ279" s="24"/>
      <c r="AK279" s="25"/>
      <c r="AL279" s="25"/>
      <c r="AM279" s="25"/>
      <c r="AN279" s="25"/>
      <c r="AO279" s="25"/>
      <c r="AP279" s="25"/>
      <c r="AQ279" s="25"/>
      <c r="AR279" s="25"/>
      <c r="AS279" s="25"/>
      <c r="AT279" s="25"/>
      <c r="AU279" s="26"/>
      <c r="AV279" s="24"/>
      <c r="AW279" s="25"/>
      <c r="AX279" s="25"/>
      <c r="AY279" s="25"/>
      <c r="AZ279" s="25"/>
      <c r="BA279" s="25"/>
      <c r="BB279" s="25"/>
      <c r="BC279" s="25"/>
      <c r="BD279" s="25"/>
      <c r="BE279" s="25"/>
      <c r="BF279" s="25"/>
      <c r="BG279" s="26"/>
      <c r="BH279" s="27"/>
      <c r="BI279" s="25"/>
      <c r="BJ279" s="25"/>
      <c r="BK279" s="25"/>
      <c r="BL279" s="25"/>
    </row>
    <row r="280" spans="1:64">
      <c r="A280" s="10" t="str">
        <f t="shared" si="23"/>
        <v>PCTOH_F_COST2.당월실적_B2C금년</v>
      </c>
      <c r="B280" s="7"/>
      <c r="C280" s="7"/>
      <c r="D280" s="7"/>
      <c r="E280" s="7"/>
      <c r="F280" s="7"/>
      <c r="G280" s="7" t="s">
        <v>19</v>
      </c>
      <c r="H280" s="7" t="s">
        <v>107</v>
      </c>
      <c r="I280" s="7" t="str">
        <f t="shared" si="24"/>
        <v>2.당월실적_B2C</v>
      </c>
      <c r="J280" s="10" t="s">
        <v>50</v>
      </c>
      <c r="K280" s="9"/>
      <c r="L280" s="24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6"/>
      <c r="X280" s="24"/>
      <c r="Y280" s="25"/>
      <c r="Z280" s="25"/>
      <c r="AA280" s="25"/>
      <c r="AB280" s="25"/>
      <c r="AC280" s="25"/>
      <c r="AD280" s="25"/>
      <c r="AE280" s="25"/>
      <c r="AF280" s="25"/>
      <c r="AG280" s="25"/>
      <c r="AH280" s="25"/>
      <c r="AI280" s="26"/>
      <c r="AJ280" s="24"/>
      <c r="AK280" s="25"/>
      <c r="AL280" s="25"/>
      <c r="AM280" s="25"/>
      <c r="AN280" s="25"/>
      <c r="AO280" s="25"/>
      <c r="AP280" s="25"/>
      <c r="AQ280" s="25"/>
      <c r="AR280" s="25"/>
      <c r="AS280" s="25"/>
      <c r="AT280" s="25"/>
      <c r="AU280" s="26"/>
      <c r="AV280" s="24"/>
      <c r="AW280" s="25"/>
      <c r="AX280" s="25"/>
      <c r="AY280" s="25"/>
      <c r="AZ280" s="25"/>
      <c r="BA280" s="25"/>
      <c r="BB280" s="25"/>
      <c r="BC280" s="25"/>
      <c r="BD280" s="25"/>
      <c r="BE280" s="25"/>
      <c r="BF280" s="25"/>
      <c r="BG280" s="26"/>
      <c r="BH280" s="27"/>
      <c r="BI280" s="25"/>
      <c r="BJ280" s="25"/>
      <c r="BK280" s="25"/>
      <c r="BL280" s="25"/>
    </row>
    <row r="281" spans="1:64">
      <c r="A281" s="10" t="str">
        <f t="shared" si="23"/>
        <v>PCTOH_F_COST2.당월실적_B2C전년</v>
      </c>
      <c r="B281" s="7"/>
      <c r="C281" s="7"/>
      <c r="D281" s="7"/>
      <c r="E281" s="7"/>
      <c r="F281" s="7"/>
      <c r="G281" s="7" t="s">
        <v>19</v>
      </c>
      <c r="H281" s="7" t="s">
        <v>107</v>
      </c>
      <c r="I281" s="7" t="str">
        <f t="shared" si="24"/>
        <v>2.당월실적_B2C</v>
      </c>
      <c r="J281" s="23" t="s">
        <v>34</v>
      </c>
      <c r="K281" s="9"/>
      <c r="L281" s="24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6"/>
      <c r="X281" s="24"/>
      <c r="Y281" s="25"/>
      <c r="Z281" s="25"/>
      <c r="AA281" s="25"/>
      <c r="AB281" s="25"/>
      <c r="AC281" s="25"/>
      <c r="AD281" s="25"/>
      <c r="AE281" s="25"/>
      <c r="AF281" s="25"/>
      <c r="AG281" s="25"/>
      <c r="AH281" s="25"/>
      <c r="AI281" s="26"/>
      <c r="AJ281" s="24"/>
      <c r="AK281" s="25"/>
      <c r="AL281" s="25"/>
      <c r="AM281" s="25"/>
      <c r="AN281" s="25"/>
      <c r="AO281" s="25"/>
      <c r="AP281" s="25"/>
      <c r="AQ281" s="25"/>
      <c r="AR281" s="25"/>
      <c r="AS281" s="25"/>
      <c r="AT281" s="25"/>
      <c r="AU281" s="26"/>
      <c r="AV281" s="24"/>
      <c r="AW281" s="25"/>
      <c r="AX281" s="25"/>
      <c r="AY281" s="25"/>
      <c r="AZ281" s="25"/>
      <c r="BA281" s="25"/>
      <c r="BB281" s="25"/>
      <c r="BC281" s="25"/>
      <c r="BD281" s="25"/>
      <c r="BE281" s="25"/>
      <c r="BF281" s="25"/>
      <c r="BG281" s="26"/>
      <c r="BH281" s="27"/>
      <c r="BI281" s="25"/>
      <c r="BJ281" s="25"/>
      <c r="BK281" s="25"/>
      <c r="BL281" s="25"/>
    </row>
    <row r="282" spans="1:64">
      <c r="A282" s="10" t="str">
        <f t="shared" si="23"/>
        <v>PSTOH_F_COST2.당월실적_B2C금년</v>
      </c>
      <c r="B282" s="7"/>
      <c r="C282" s="7"/>
      <c r="D282" s="7"/>
      <c r="E282" s="7"/>
      <c r="F282" s="7"/>
      <c r="G282" s="7" t="s">
        <v>17</v>
      </c>
      <c r="H282" s="7" t="s">
        <v>107</v>
      </c>
      <c r="I282" s="7" t="str">
        <f t="shared" si="24"/>
        <v>2.당월실적_B2C</v>
      </c>
      <c r="J282" s="10" t="s">
        <v>50</v>
      </c>
      <c r="K282" s="9"/>
      <c r="L282" s="24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6"/>
      <c r="X282" s="24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6"/>
      <c r="AJ282" s="24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6"/>
      <c r="AV282" s="24"/>
      <c r="AW282" s="25"/>
      <c r="AX282" s="25"/>
      <c r="AY282" s="25"/>
      <c r="AZ282" s="25"/>
      <c r="BA282" s="25"/>
      <c r="BB282" s="25"/>
      <c r="BC282" s="25"/>
      <c r="BD282" s="25"/>
      <c r="BE282" s="25"/>
      <c r="BF282" s="25"/>
      <c r="BG282" s="26"/>
      <c r="BH282" s="27"/>
      <c r="BI282" s="25"/>
      <c r="BJ282" s="25"/>
      <c r="BK282" s="25"/>
      <c r="BL282" s="25"/>
    </row>
    <row r="283" spans="1:64">
      <c r="A283" s="10" t="str">
        <f t="shared" si="23"/>
        <v>PSTOH_F_COST2.당월실적_B2C전년</v>
      </c>
      <c r="B283" s="7"/>
      <c r="C283" s="7"/>
      <c r="D283" s="7"/>
      <c r="E283" s="7"/>
      <c r="F283" s="7"/>
      <c r="G283" s="7" t="s">
        <v>17</v>
      </c>
      <c r="H283" s="7" t="s">
        <v>107</v>
      </c>
      <c r="I283" s="7" t="str">
        <f t="shared" si="24"/>
        <v>2.당월실적_B2C</v>
      </c>
      <c r="J283" s="23" t="s">
        <v>34</v>
      </c>
      <c r="K283" s="9"/>
      <c r="L283" s="24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6"/>
      <c r="X283" s="24"/>
      <c r="Y283" s="25"/>
      <c r="Z283" s="25"/>
      <c r="AA283" s="25"/>
      <c r="AB283" s="25"/>
      <c r="AC283" s="25"/>
      <c r="AD283" s="25"/>
      <c r="AE283" s="25"/>
      <c r="AF283" s="25"/>
      <c r="AG283" s="25"/>
      <c r="AH283" s="25"/>
      <c r="AI283" s="26"/>
      <c r="AJ283" s="24"/>
      <c r="AK283" s="25"/>
      <c r="AL283" s="25"/>
      <c r="AM283" s="25"/>
      <c r="AN283" s="25"/>
      <c r="AO283" s="25"/>
      <c r="AP283" s="25"/>
      <c r="AQ283" s="25"/>
      <c r="AR283" s="25"/>
      <c r="AS283" s="25"/>
      <c r="AT283" s="25"/>
      <c r="AU283" s="26"/>
      <c r="AV283" s="24"/>
      <c r="AW283" s="25"/>
      <c r="AX283" s="25"/>
      <c r="AY283" s="25"/>
      <c r="AZ283" s="25"/>
      <c r="BA283" s="25"/>
      <c r="BB283" s="25"/>
      <c r="BC283" s="25"/>
      <c r="BD283" s="25"/>
      <c r="BE283" s="25"/>
      <c r="BF283" s="25"/>
      <c r="BG283" s="26"/>
      <c r="BH283" s="27"/>
      <c r="BI283" s="25"/>
      <c r="BJ283" s="25"/>
      <c r="BK283" s="25"/>
      <c r="BL283" s="25"/>
    </row>
    <row r="284" spans="1:64">
      <c r="A284" s="10" t="str">
        <f t="shared" si="23"/>
        <v>DVTOH_F_COST2.당월실적_B2C금년</v>
      </c>
      <c r="B284" s="7"/>
      <c r="C284" s="7"/>
      <c r="D284" s="7"/>
      <c r="E284" s="7"/>
      <c r="F284" s="7"/>
      <c r="G284" s="7" t="s">
        <v>10</v>
      </c>
      <c r="H284" s="7" t="s">
        <v>107</v>
      </c>
      <c r="I284" s="7" t="str">
        <f t="shared" si="24"/>
        <v>2.당월실적_B2C</v>
      </c>
      <c r="J284" s="10" t="s">
        <v>50</v>
      </c>
      <c r="K284" s="9"/>
      <c r="L284" s="24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6"/>
      <c r="X284" s="24"/>
      <c r="Y284" s="25"/>
      <c r="Z284" s="25"/>
      <c r="AA284" s="25"/>
      <c r="AB284" s="25"/>
      <c r="AC284" s="25"/>
      <c r="AD284" s="25"/>
      <c r="AE284" s="25"/>
      <c r="AF284" s="25"/>
      <c r="AG284" s="25"/>
      <c r="AH284" s="25"/>
      <c r="AI284" s="26"/>
      <c r="AJ284" s="24"/>
      <c r="AK284" s="25"/>
      <c r="AL284" s="25"/>
      <c r="AM284" s="25"/>
      <c r="AN284" s="25"/>
      <c r="AO284" s="25"/>
      <c r="AP284" s="25"/>
      <c r="AQ284" s="25"/>
      <c r="AR284" s="25"/>
      <c r="AS284" s="25"/>
      <c r="AT284" s="25"/>
      <c r="AU284" s="26"/>
      <c r="AV284" s="24"/>
      <c r="AW284" s="25"/>
      <c r="AX284" s="25"/>
      <c r="AY284" s="25"/>
      <c r="AZ284" s="25"/>
      <c r="BA284" s="25"/>
      <c r="BB284" s="25"/>
      <c r="BC284" s="25"/>
      <c r="BD284" s="25"/>
      <c r="BE284" s="25"/>
      <c r="BF284" s="25"/>
      <c r="BG284" s="26"/>
      <c r="BH284" s="27"/>
      <c r="BI284" s="25"/>
      <c r="BJ284" s="25"/>
      <c r="BK284" s="25"/>
      <c r="BL284" s="25"/>
    </row>
    <row r="285" spans="1:64">
      <c r="A285" s="10" t="str">
        <f t="shared" si="23"/>
        <v>DVTOH_F_COST2.당월실적_B2C전년</v>
      </c>
      <c r="B285" s="7"/>
      <c r="C285" s="7"/>
      <c r="D285" s="7"/>
      <c r="E285" s="7"/>
      <c r="F285" s="7"/>
      <c r="G285" s="7" t="s">
        <v>10</v>
      </c>
      <c r="H285" s="7" t="s">
        <v>107</v>
      </c>
      <c r="I285" s="7" t="str">
        <f t="shared" si="24"/>
        <v>2.당월실적_B2C</v>
      </c>
      <c r="J285" s="23" t="s">
        <v>34</v>
      </c>
      <c r="K285" s="9"/>
      <c r="L285" s="24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6"/>
      <c r="X285" s="24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6"/>
      <c r="AJ285" s="24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6"/>
      <c r="AV285" s="24"/>
      <c r="AW285" s="25"/>
      <c r="AX285" s="25"/>
      <c r="AY285" s="25"/>
      <c r="AZ285" s="25"/>
      <c r="BA285" s="25"/>
      <c r="BB285" s="25"/>
      <c r="BC285" s="25"/>
      <c r="BD285" s="25"/>
      <c r="BE285" s="25"/>
      <c r="BF285" s="25"/>
      <c r="BG285" s="26"/>
      <c r="BH285" s="27"/>
      <c r="BI285" s="25"/>
      <c r="BJ285" s="25"/>
      <c r="BK285" s="25"/>
      <c r="BL285" s="25"/>
    </row>
    <row r="286" spans="1:64">
      <c r="A286" s="6"/>
      <c r="H286" t="s">
        <v>107</v>
      </c>
      <c r="K286" s="9"/>
    </row>
    <row r="287" spans="1:64">
      <c r="A287" s="10" t="str">
        <f t="shared" ref="A287:A300" si="25">TRIM(B287)&amp;TRIM(C287)&amp;TRIM(D287)&amp;TRIM(E287)&amp;TRIM(F287)&amp;TRIM(G287)&amp;TRIM(H287)&amp;TRIM(I287)&amp;TRIM(J287)</f>
        <v>GJTOH_F_COST2.당월실적_B2B금년</v>
      </c>
      <c r="B287" s="7"/>
      <c r="C287" s="7"/>
      <c r="D287" s="7"/>
      <c r="E287" s="7"/>
      <c r="F287" s="7"/>
      <c r="G287" s="7" t="s">
        <v>11</v>
      </c>
      <c r="H287" s="7" t="s">
        <v>107</v>
      </c>
      <c r="I287" s="7" t="s">
        <v>96</v>
      </c>
      <c r="J287" s="10" t="s">
        <v>50</v>
      </c>
      <c r="K287" s="9"/>
      <c r="L287" s="24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6"/>
      <c r="X287" s="24"/>
      <c r="Y287" s="25"/>
      <c r="Z287" s="25"/>
      <c r="AA287" s="25"/>
      <c r="AB287" s="25"/>
      <c r="AC287" s="25"/>
      <c r="AD287" s="25"/>
      <c r="AE287" s="25"/>
      <c r="AF287" s="25"/>
      <c r="AG287" s="25"/>
      <c r="AH287" s="25"/>
      <c r="AI287" s="26"/>
      <c r="AJ287" s="24"/>
      <c r="AK287" s="25"/>
      <c r="AL287" s="25"/>
      <c r="AM287" s="25"/>
      <c r="AN287" s="25"/>
      <c r="AO287" s="25"/>
      <c r="AP287" s="25"/>
      <c r="AQ287" s="25"/>
      <c r="AR287" s="25"/>
      <c r="AS287" s="25"/>
      <c r="AT287" s="25"/>
      <c r="AU287" s="26"/>
      <c r="AV287" s="24"/>
      <c r="AW287" s="25"/>
      <c r="AX287" s="25"/>
      <c r="AY287" s="25"/>
      <c r="AZ287" s="25"/>
      <c r="BA287" s="25"/>
      <c r="BB287" s="25"/>
      <c r="BC287" s="25"/>
      <c r="BD287" s="25"/>
      <c r="BE287" s="25"/>
      <c r="BF287" s="25"/>
      <c r="BG287" s="26"/>
      <c r="BH287" s="27"/>
      <c r="BI287" s="25"/>
      <c r="BJ287" s="25"/>
      <c r="BK287" s="25"/>
      <c r="BL287" s="25"/>
    </row>
    <row r="288" spans="1:64" ht="18" customHeight="1">
      <c r="A288" s="10" t="str">
        <f t="shared" si="25"/>
        <v>GJTOH_F_COST2.당월실적_B2B전년</v>
      </c>
      <c r="B288" s="7"/>
      <c r="C288" s="7"/>
      <c r="D288" s="7"/>
      <c r="E288" s="7"/>
      <c r="F288" s="7"/>
      <c r="G288" s="7" t="s">
        <v>11</v>
      </c>
      <c r="H288" s="7" t="s">
        <v>107</v>
      </c>
      <c r="I288" s="7" t="s">
        <v>96</v>
      </c>
      <c r="J288" s="23" t="s">
        <v>34</v>
      </c>
      <c r="K288" s="9"/>
      <c r="L288" s="24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6"/>
      <c r="X288" s="24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6"/>
      <c r="AJ288" s="24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6"/>
      <c r="AV288" s="24"/>
      <c r="AW288" s="25"/>
      <c r="AX288" s="25"/>
      <c r="AY288" s="25"/>
      <c r="AZ288" s="25"/>
      <c r="BA288" s="25"/>
      <c r="BB288" s="25"/>
      <c r="BC288" s="25"/>
      <c r="BD288" s="25"/>
      <c r="BE288" s="25"/>
      <c r="BF288" s="25"/>
      <c r="BG288" s="26"/>
      <c r="BH288" s="27"/>
      <c r="BI288" s="25"/>
      <c r="BJ288" s="25"/>
      <c r="BK288" s="25"/>
      <c r="BL288" s="25"/>
    </row>
    <row r="289" spans="1:64">
      <c r="A289" s="10" t="str">
        <f t="shared" si="25"/>
        <v>GNTOH_F_COST2.당월실적_B2B금년</v>
      </c>
      <c r="B289" s="7"/>
      <c r="C289" s="7"/>
      <c r="D289" s="7"/>
      <c r="E289" s="7"/>
      <c r="F289" s="7"/>
      <c r="G289" s="7" t="s">
        <v>13</v>
      </c>
      <c r="H289" s="7" t="s">
        <v>107</v>
      </c>
      <c r="I289" s="7" t="s">
        <v>96</v>
      </c>
      <c r="J289" s="10" t="s">
        <v>50</v>
      </c>
      <c r="K289" s="9"/>
      <c r="L289" s="24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6"/>
      <c r="X289" s="24"/>
      <c r="Y289" s="25"/>
      <c r="Z289" s="25"/>
      <c r="AA289" s="25"/>
      <c r="AB289" s="25"/>
      <c r="AC289" s="25"/>
      <c r="AD289" s="25"/>
      <c r="AE289" s="25"/>
      <c r="AF289" s="25"/>
      <c r="AG289" s="25"/>
      <c r="AH289" s="25"/>
      <c r="AI289" s="26"/>
      <c r="AJ289" s="24"/>
      <c r="AK289" s="25"/>
      <c r="AL289" s="25"/>
      <c r="AM289" s="25"/>
      <c r="AN289" s="25"/>
      <c r="AO289" s="25"/>
      <c r="AP289" s="25"/>
      <c r="AQ289" s="25"/>
      <c r="AR289" s="25"/>
      <c r="AS289" s="25"/>
      <c r="AT289" s="25"/>
      <c r="AU289" s="26"/>
      <c r="AV289" s="24"/>
      <c r="AW289" s="25"/>
      <c r="AX289" s="25"/>
      <c r="AY289" s="25"/>
      <c r="AZ289" s="25"/>
      <c r="BA289" s="25"/>
      <c r="BB289" s="25"/>
      <c r="BC289" s="25"/>
      <c r="BD289" s="25"/>
      <c r="BE289" s="25"/>
      <c r="BF289" s="25"/>
      <c r="BG289" s="26"/>
      <c r="BH289" s="27"/>
      <c r="BI289" s="25"/>
      <c r="BJ289" s="25"/>
      <c r="BK289" s="25"/>
      <c r="BL289" s="25"/>
    </row>
    <row r="290" spans="1:64">
      <c r="A290" s="10" t="str">
        <f t="shared" si="25"/>
        <v>GNTOH_F_COST2.당월실적_B2B전년</v>
      </c>
      <c r="B290" s="7"/>
      <c r="C290" s="7"/>
      <c r="D290" s="7"/>
      <c r="E290" s="7"/>
      <c r="F290" s="7"/>
      <c r="G290" s="7" t="s">
        <v>13</v>
      </c>
      <c r="H290" s="7" t="s">
        <v>107</v>
      </c>
      <c r="I290" s="7" t="s">
        <v>96</v>
      </c>
      <c r="J290" s="23" t="s">
        <v>34</v>
      </c>
      <c r="K290" s="9"/>
      <c r="L290" s="24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6"/>
      <c r="X290" s="24"/>
      <c r="Y290" s="25"/>
      <c r="Z290" s="25"/>
      <c r="AA290" s="25"/>
      <c r="AB290" s="25"/>
      <c r="AC290" s="25"/>
      <c r="AD290" s="25"/>
      <c r="AE290" s="25"/>
      <c r="AF290" s="25"/>
      <c r="AG290" s="25"/>
      <c r="AH290" s="25"/>
      <c r="AI290" s="26"/>
      <c r="AJ290" s="24"/>
      <c r="AK290" s="25"/>
      <c r="AL290" s="25"/>
      <c r="AM290" s="25"/>
      <c r="AN290" s="25"/>
      <c r="AO290" s="25"/>
      <c r="AP290" s="25"/>
      <c r="AQ290" s="25"/>
      <c r="AR290" s="25"/>
      <c r="AS290" s="25"/>
      <c r="AT290" s="25"/>
      <c r="AU290" s="26"/>
      <c r="AV290" s="24"/>
      <c r="AW290" s="25"/>
      <c r="AX290" s="25"/>
      <c r="AY290" s="25"/>
      <c r="AZ290" s="25"/>
      <c r="BA290" s="25"/>
      <c r="BB290" s="25"/>
      <c r="BC290" s="25"/>
      <c r="BD290" s="25"/>
      <c r="BE290" s="25"/>
      <c r="BF290" s="25"/>
      <c r="BG290" s="26"/>
      <c r="BH290" s="27"/>
      <c r="BI290" s="25"/>
      <c r="BJ290" s="25"/>
      <c r="BK290" s="25"/>
      <c r="BL290" s="25"/>
    </row>
    <row r="291" spans="1:64">
      <c r="A291" s="10" t="str">
        <f t="shared" si="25"/>
        <v>GOTOH_F_COST2.당월실적_B2B금년</v>
      </c>
      <c r="B291" s="7"/>
      <c r="C291" s="7"/>
      <c r="D291" s="7"/>
      <c r="E291" s="7"/>
      <c r="F291" s="7"/>
      <c r="G291" s="7" t="s">
        <v>94</v>
      </c>
      <c r="H291" s="7" t="s">
        <v>107</v>
      </c>
      <c r="I291" s="7" t="s">
        <v>96</v>
      </c>
      <c r="J291" s="10" t="s">
        <v>50</v>
      </c>
      <c r="K291" s="9"/>
      <c r="L291" s="24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6"/>
      <c r="X291" s="24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6"/>
      <c r="AJ291" s="24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6"/>
      <c r="AV291" s="24"/>
      <c r="AW291" s="25"/>
      <c r="AX291" s="25"/>
      <c r="AY291" s="25"/>
      <c r="AZ291" s="25"/>
      <c r="BA291" s="25"/>
      <c r="BB291" s="25"/>
      <c r="BC291" s="25"/>
      <c r="BD291" s="25"/>
      <c r="BE291" s="25"/>
      <c r="BF291" s="25"/>
      <c r="BG291" s="26"/>
      <c r="BH291" s="27"/>
      <c r="BI291" s="25"/>
      <c r="BJ291" s="25"/>
      <c r="BK291" s="25"/>
      <c r="BL291" s="25"/>
    </row>
    <row r="292" spans="1:64">
      <c r="A292" s="10" t="str">
        <f t="shared" si="25"/>
        <v>GOTOH_F_COST2.당월실적_B2B전년</v>
      </c>
      <c r="B292" s="7"/>
      <c r="C292" s="7"/>
      <c r="D292" s="7"/>
      <c r="E292" s="7"/>
      <c r="F292" s="7"/>
      <c r="G292" s="7" t="s">
        <v>94</v>
      </c>
      <c r="H292" s="7" t="s">
        <v>107</v>
      </c>
      <c r="I292" s="7" t="s">
        <v>96</v>
      </c>
      <c r="J292" s="23" t="s">
        <v>34</v>
      </c>
      <c r="K292" s="9"/>
      <c r="L292" s="24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6"/>
      <c r="X292" s="24"/>
      <c r="Y292" s="25"/>
      <c r="Z292" s="25"/>
      <c r="AA292" s="25"/>
      <c r="AB292" s="25"/>
      <c r="AC292" s="25"/>
      <c r="AD292" s="25"/>
      <c r="AE292" s="25"/>
      <c r="AF292" s="25"/>
      <c r="AG292" s="25"/>
      <c r="AH292" s="25"/>
      <c r="AI292" s="26"/>
      <c r="AJ292" s="24"/>
      <c r="AK292" s="25"/>
      <c r="AL292" s="25"/>
      <c r="AM292" s="25"/>
      <c r="AN292" s="25"/>
      <c r="AO292" s="25"/>
      <c r="AP292" s="25"/>
      <c r="AQ292" s="25"/>
      <c r="AR292" s="25"/>
      <c r="AS292" s="25"/>
      <c r="AT292" s="25"/>
      <c r="AU292" s="26"/>
      <c r="AV292" s="24"/>
      <c r="AW292" s="25"/>
      <c r="AX292" s="25"/>
      <c r="AY292" s="25"/>
      <c r="AZ292" s="25"/>
      <c r="BA292" s="25"/>
      <c r="BB292" s="25"/>
      <c r="BC292" s="25"/>
      <c r="BD292" s="25"/>
      <c r="BE292" s="25"/>
      <c r="BF292" s="25"/>
      <c r="BG292" s="26"/>
      <c r="BH292" s="27"/>
      <c r="BI292" s="25"/>
      <c r="BJ292" s="25"/>
      <c r="BK292" s="25"/>
      <c r="BL292" s="25"/>
    </row>
    <row r="293" spans="1:64">
      <c r="A293" s="10" t="str">
        <f t="shared" si="25"/>
        <v>PKTOH_F_COST2.당월실적_B2B금년</v>
      </c>
      <c r="B293" s="7"/>
      <c r="C293" s="7"/>
      <c r="D293" s="7"/>
      <c r="E293" s="7"/>
      <c r="F293" s="7"/>
      <c r="G293" s="7" t="s">
        <v>82</v>
      </c>
      <c r="H293" s="7" t="s">
        <v>107</v>
      </c>
      <c r="I293" s="7" t="s">
        <v>96</v>
      </c>
      <c r="J293" s="10" t="s">
        <v>50</v>
      </c>
      <c r="K293" s="9"/>
      <c r="L293" s="24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6"/>
      <c r="X293" s="24"/>
      <c r="Y293" s="25"/>
      <c r="Z293" s="25"/>
      <c r="AA293" s="25"/>
      <c r="AB293" s="25"/>
      <c r="AC293" s="25"/>
      <c r="AD293" s="25"/>
      <c r="AE293" s="25"/>
      <c r="AF293" s="25"/>
      <c r="AG293" s="25"/>
      <c r="AH293" s="25"/>
      <c r="AI293" s="26"/>
      <c r="AJ293" s="24"/>
      <c r="AK293" s="25"/>
      <c r="AL293" s="25"/>
      <c r="AM293" s="25"/>
      <c r="AN293" s="25"/>
      <c r="AO293" s="25"/>
      <c r="AP293" s="25"/>
      <c r="AQ293" s="25"/>
      <c r="AR293" s="25"/>
      <c r="AS293" s="25"/>
      <c r="AT293" s="25"/>
      <c r="AU293" s="26"/>
      <c r="AV293" s="24"/>
      <c r="AW293" s="25"/>
      <c r="AX293" s="25"/>
      <c r="AY293" s="25"/>
      <c r="AZ293" s="25"/>
      <c r="BA293" s="25"/>
      <c r="BB293" s="25"/>
      <c r="BC293" s="25"/>
      <c r="BD293" s="25"/>
      <c r="BE293" s="25"/>
      <c r="BF293" s="25"/>
      <c r="BG293" s="26"/>
      <c r="BH293" s="27"/>
      <c r="BI293" s="25"/>
      <c r="BJ293" s="25"/>
      <c r="BK293" s="25"/>
      <c r="BL293" s="25"/>
    </row>
    <row r="294" spans="1:64">
      <c r="A294" s="10" t="str">
        <f t="shared" si="25"/>
        <v>PKTOH_F_COST2.당월실적_B2B전년</v>
      </c>
      <c r="B294" s="7"/>
      <c r="C294" s="7"/>
      <c r="D294" s="7"/>
      <c r="E294" s="7"/>
      <c r="F294" s="7"/>
      <c r="G294" s="7" t="s">
        <v>82</v>
      </c>
      <c r="H294" s="7" t="s">
        <v>107</v>
      </c>
      <c r="I294" s="7" t="s">
        <v>96</v>
      </c>
      <c r="J294" s="23" t="s">
        <v>34</v>
      </c>
      <c r="K294" s="9"/>
      <c r="L294" s="24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6"/>
      <c r="X294" s="24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6"/>
      <c r="AJ294" s="24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6"/>
      <c r="AV294" s="24"/>
      <c r="AW294" s="25"/>
      <c r="AX294" s="25"/>
      <c r="AY294" s="25"/>
      <c r="AZ294" s="25"/>
      <c r="BA294" s="25"/>
      <c r="BB294" s="25"/>
      <c r="BC294" s="25"/>
      <c r="BD294" s="25"/>
      <c r="BE294" s="25"/>
      <c r="BF294" s="25"/>
      <c r="BG294" s="26"/>
      <c r="BH294" s="27"/>
      <c r="BI294" s="25"/>
      <c r="BJ294" s="25"/>
      <c r="BK294" s="25"/>
      <c r="BL294" s="25"/>
    </row>
    <row r="295" spans="1:64">
      <c r="A295" s="10" t="str">
        <f t="shared" si="25"/>
        <v>DMTOH_F_COST2.당월실적_B2B금년</v>
      </c>
      <c r="B295" s="7"/>
      <c r="C295" s="7"/>
      <c r="D295" s="7"/>
      <c r="E295" s="7"/>
      <c r="F295" s="7"/>
      <c r="G295" s="7" t="s">
        <v>9</v>
      </c>
      <c r="H295" s="7" t="s">
        <v>107</v>
      </c>
      <c r="I295" s="7" t="s">
        <v>96</v>
      </c>
      <c r="J295" s="10" t="s">
        <v>50</v>
      </c>
      <c r="K295" s="9"/>
      <c r="L295" s="24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6"/>
      <c r="X295" s="24"/>
      <c r="Y295" s="25"/>
      <c r="Z295" s="25"/>
      <c r="AA295" s="25"/>
      <c r="AB295" s="25"/>
      <c r="AC295" s="25"/>
      <c r="AD295" s="25"/>
      <c r="AE295" s="25"/>
      <c r="AF295" s="25"/>
      <c r="AG295" s="25"/>
      <c r="AH295" s="25"/>
      <c r="AI295" s="26"/>
      <c r="AJ295" s="24"/>
      <c r="AK295" s="25"/>
      <c r="AL295" s="25"/>
      <c r="AM295" s="25"/>
      <c r="AN295" s="25"/>
      <c r="AO295" s="25"/>
      <c r="AP295" s="25"/>
      <c r="AQ295" s="25"/>
      <c r="AR295" s="25"/>
      <c r="AS295" s="25"/>
      <c r="AT295" s="25"/>
      <c r="AU295" s="26"/>
      <c r="AV295" s="24"/>
      <c r="AW295" s="25"/>
      <c r="AX295" s="25"/>
      <c r="AY295" s="25"/>
      <c r="AZ295" s="25"/>
      <c r="BA295" s="25"/>
      <c r="BB295" s="25"/>
      <c r="BC295" s="25"/>
      <c r="BD295" s="25"/>
      <c r="BE295" s="25"/>
      <c r="BF295" s="25"/>
      <c r="BG295" s="26"/>
      <c r="BH295" s="27"/>
      <c r="BI295" s="25"/>
      <c r="BJ295" s="25"/>
      <c r="BK295" s="25"/>
      <c r="BL295" s="25"/>
    </row>
    <row r="296" spans="1:64">
      <c r="A296" s="10" t="str">
        <f t="shared" si="25"/>
        <v>DMTOH_F_COST2.당월실적_B2B전년</v>
      </c>
      <c r="B296" s="7"/>
      <c r="C296" s="7"/>
      <c r="D296" s="7"/>
      <c r="E296" s="7"/>
      <c r="F296" s="7"/>
      <c r="G296" s="7" t="s">
        <v>9</v>
      </c>
      <c r="H296" s="7" t="s">
        <v>107</v>
      </c>
      <c r="I296" s="7" t="s">
        <v>96</v>
      </c>
      <c r="J296" s="23" t="s">
        <v>34</v>
      </c>
      <c r="K296" s="9"/>
      <c r="L296" s="24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6"/>
      <c r="X296" s="24"/>
      <c r="Y296" s="25"/>
      <c r="Z296" s="25"/>
      <c r="AA296" s="25"/>
      <c r="AB296" s="25"/>
      <c r="AC296" s="25"/>
      <c r="AD296" s="25"/>
      <c r="AE296" s="25"/>
      <c r="AF296" s="25"/>
      <c r="AG296" s="25"/>
      <c r="AH296" s="25"/>
      <c r="AI296" s="26"/>
      <c r="AJ296" s="24"/>
      <c r="AK296" s="25"/>
      <c r="AL296" s="25"/>
      <c r="AM296" s="25"/>
      <c r="AN296" s="25"/>
      <c r="AO296" s="25"/>
      <c r="AP296" s="25"/>
      <c r="AQ296" s="25"/>
      <c r="AR296" s="25"/>
      <c r="AS296" s="25"/>
      <c r="AT296" s="25"/>
      <c r="AU296" s="26"/>
      <c r="AV296" s="24"/>
      <c r="AW296" s="25"/>
      <c r="AX296" s="25"/>
      <c r="AY296" s="25"/>
      <c r="AZ296" s="25"/>
      <c r="BA296" s="25"/>
      <c r="BB296" s="25"/>
      <c r="BC296" s="25"/>
      <c r="BD296" s="25"/>
      <c r="BE296" s="25"/>
      <c r="BF296" s="25"/>
      <c r="BG296" s="26"/>
      <c r="BH296" s="27"/>
      <c r="BI296" s="25"/>
      <c r="BJ296" s="25"/>
      <c r="BK296" s="25"/>
      <c r="BL296" s="25"/>
    </row>
    <row r="297" spans="1:64">
      <c r="A297" s="10" t="str">
        <f t="shared" si="25"/>
        <v>DTTOH_F_COST2.당월실적_B2B금년</v>
      </c>
      <c r="B297" s="7"/>
      <c r="C297" s="7"/>
      <c r="D297" s="7"/>
      <c r="E297" s="7"/>
      <c r="F297" s="7"/>
      <c r="G297" s="7" t="s">
        <v>95</v>
      </c>
      <c r="H297" s="7" t="s">
        <v>107</v>
      </c>
      <c r="I297" s="7" t="s">
        <v>96</v>
      </c>
      <c r="J297" s="10" t="s">
        <v>50</v>
      </c>
      <c r="K297" s="9"/>
      <c r="L297" s="24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6"/>
      <c r="X297" s="24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6"/>
      <c r="AJ297" s="24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6"/>
      <c r="AV297" s="24"/>
      <c r="AW297" s="25"/>
      <c r="AX297" s="25"/>
      <c r="AY297" s="25"/>
      <c r="AZ297" s="25"/>
      <c r="BA297" s="25"/>
      <c r="BB297" s="25"/>
      <c r="BC297" s="25"/>
      <c r="BD297" s="25"/>
      <c r="BE297" s="25"/>
      <c r="BF297" s="25"/>
      <c r="BG297" s="26"/>
      <c r="BH297" s="27"/>
      <c r="BI297" s="25"/>
      <c r="BJ297" s="25"/>
      <c r="BK297" s="25"/>
      <c r="BL297" s="25"/>
    </row>
    <row r="298" spans="1:64">
      <c r="A298" s="10" t="str">
        <f t="shared" si="25"/>
        <v>DTTOH_F_COST2.당월실적_B2B전년</v>
      </c>
      <c r="B298" s="7"/>
      <c r="C298" s="7"/>
      <c r="D298" s="7"/>
      <c r="E298" s="7"/>
      <c r="F298" s="7"/>
      <c r="G298" s="7" t="s">
        <v>95</v>
      </c>
      <c r="H298" s="7" t="s">
        <v>107</v>
      </c>
      <c r="I298" s="7" t="s">
        <v>96</v>
      </c>
      <c r="J298" s="23" t="s">
        <v>34</v>
      </c>
      <c r="K298" s="9"/>
      <c r="L298" s="24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6"/>
      <c r="X298" s="24"/>
      <c r="Y298" s="25"/>
      <c r="Z298" s="25"/>
      <c r="AA298" s="25"/>
      <c r="AB298" s="25"/>
      <c r="AC298" s="25"/>
      <c r="AD298" s="25"/>
      <c r="AE298" s="25"/>
      <c r="AF298" s="25"/>
      <c r="AG298" s="25"/>
      <c r="AH298" s="25"/>
      <c r="AI298" s="26"/>
      <c r="AJ298" s="24"/>
      <c r="AK298" s="25"/>
      <c r="AL298" s="25"/>
      <c r="AM298" s="25"/>
      <c r="AN298" s="25"/>
      <c r="AO298" s="25"/>
      <c r="AP298" s="25"/>
      <c r="AQ298" s="25"/>
      <c r="AR298" s="25"/>
      <c r="AS298" s="25"/>
      <c r="AT298" s="25"/>
      <c r="AU298" s="26"/>
      <c r="AV298" s="24"/>
      <c r="AW298" s="25"/>
      <c r="AX298" s="25"/>
      <c r="AY298" s="25"/>
      <c r="AZ298" s="25"/>
      <c r="BA298" s="25"/>
      <c r="BB298" s="25"/>
      <c r="BC298" s="25"/>
      <c r="BD298" s="25"/>
      <c r="BE298" s="25"/>
      <c r="BF298" s="25"/>
      <c r="BG298" s="26"/>
      <c r="BH298" s="27"/>
      <c r="BI298" s="25"/>
      <c r="BJ298" s="25"/>
      <c r="BK298" s="25"/>
      <c r="BL298" s="25"/>
    </row>
    <row r="299" spans="1:64">
      <c r="A299" s="10" t="str">
        <f t="shared" si="25"/>
        <v>PGTOH_F_COST2.당월실적_B2B금년</v>
      </c>
      <c r="B299" s="7"/>
      <c r="C299" s="7"/>
      <c r="D299" s="7"/>
      <c r="E299" s="7"/>
      <c r="F299" s="7"/>
      <c r="G299" s="7" t="s">
        <v>18</v>
      </c>
      <c r="H299" s="7" t="s">
        <v>107</v>
      </c>
      <c r="I299" s="7" t="s">
        <v>96</v>
      </c>
      <c r="J299" s="10" t="s">
        <v>50</v>
      </c>
      <c r="K299" s="9"/>
      <c r="L299" s="24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6"/>
      <c r="X299" s="24"/>
      <c r="Y299" s="25"/>
      <c r="Z299" s="25"/>
      <c r="AA299" s="25"/>
      <c r="AB299" s="25"/>
      <c r="AC299" s="25"/>
      <c r="AD299" s="25"/>
      <c r="AE299" s="25"/>
      <c r="AF299" s="25"/>
      <c r="AG299" s="25"/>
      <c r="AH299" s="25"/>
      <c r="AI299" s="26"/>
      <c r="AJ299" s="24"/>
      <c r="AK299" s="25"/>
      <c r="AL299" s="25"/>
      <c r="AM299" s="25"/>
      <c r="AN299" s="25"/>
      <c r="AO299" s="25"/>
      <c r="AP299" s="25"/>
      <c r="AQ299" s="25"/>
      <c r="AR299" s="25"/>
      <c r="AS299" s="25"/>
      <c r="AT299" s="25"/>
      <c r="AU299" s="26"/>
      <c r="AV299" s="24"/>
      <c r="AW299" s="25"/>
      <c r="AX299" s="25"/>
      <c r="AY299" s="25"/>
      <c r="AZ299" s="25"/>
      <c r="BA299" s="25"/>
      <c r="BB299" s="25"/>
      <c r="BC299" s="25"/>
      <c r="BD299" s="25"/>
      <c r="BE299" s="25"/>
      <c r="BF299" s="25"/>
      <c r="BG299" s="26"/>
      <c r="BH299" s="27"/>
      <c r="BI299" s="25"/>
      <c r="BJ299" s="25"/>
      <c r="BK299" s="25"/>
      <c r="BL299" s="25"/>
    </row>
    <row r="300" spans="1:64">
      <c r="A300" s="10" t="str">
        <f t="shared" si="25"/>
        <v>PGTOH_F_COST2.당월실적_B2B전년</v>
      </c>
      <c r="B300" s="7"/>
      <c r="C300" s="7"/>
      <c r="D300" s="7"/>
      <c r="E300" s="7"/>
      <c r="F300" s="7"/>
      <c r="G300" s="7" t="s">
        <v>18</v>
      </c>
      <c r="H300" s="7" t="s">
        <v>107</v>
      </c>
      <c r="I300" s="7" t="s">
        <v>96</v>
      </c>
      <c r="J300" s="23" t="s">
        <v>34</v>
      </c>
      <c r="K300" s="9"/>
      <c r="L300" s="24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6"/>
      <c r="X300" s="24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6"/>
      <c r="AJ300" s="24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6"/>
      <c r="AV300" s="24"/>
      <c r="AW300" s="25"/>
      <c r="AX300" s="25"/>
      <c r="AY300" s="25"/>
      <c r="AZ300" s="25"/>
      <c r="BA300" s="25"/>
      <c r="BB300" s="25"/>
      <c r="BC300" s="25"/>
      <c r="BD300" s="25"/>
      <c r="BE300" s="25"/>
      <c r="BF300" s="25"/>
      <c r="BG300" s="26"/>
      <c r="BH300" s="27"/>
      <c r="BI300" s="25"/>
      <c r="BJ300" s="25"/>
      <c r="BK300" s="25"/>
      <c r="BL300" s="25"/>
    </row>
    <row r="301" spans="1:64">
      <c r="A301" s="6"/>
      <c r="K301" s="9"/>
    </row>
    <row r="302" spans="1:64">
      <c r="A302" s="10" t="str">
        <f t="shared" ref="A302:A321" si="26">TRIM(B302)&amp;TRIM(C302)&amp;TRIM(D302)&amp;TRIM(E302)&amp;TRIM(F302)&amp;TRIM(G302)&amp;TRIM(H302)&amp;TRIM(I302)&amp;TRIM(J302)</f>
        <v>GLTOH_F_LABOR2.당월실적_B2C금년</v>
      </c>
      <c r="B302" s="7"/>
      <c r="C302" s="7"/>
      <c r="D302" s="7"/>
      <c r="E302" s="7"/>
      <c r="F302" s="7"/>
      <c r="G302" s="7" t="s">
        <v>12</v>
      </c>
      <c r="H302" s="7" t="s">
        <v>108</v>
      </c>
      <c r="I302" s="7" t="s">
        <v>55</v>
      </c>
      <c r="J302" s="10" t="s">
        <v>50</v>
      </c>
      <c r="K302" s="9"/>
      <c r="L302" s="24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6"/>
      <c r="X302" s="24"/>
      <c r="Y302" s="25"/>
      <c r="Z302" s="25"/>
      <c r="AA302" s="25"/>
      <c r="AB302" s="25"/>
      <c r="AC302" s="25"/>
      <c r="AD302" s="25"/>
      <c r="AE302" s="25"/>
      <c r="AF302" s="25"/>
      <c r="AG302" s="25"/>
      <c r="AH302" s="25"/>
      <c r="AI302" s="26"/>
      <c r="AJ302" s="24"/>
      <c r="AK302" s="25"/>
      <c r="AL302" s="25"/>
      <c r="AM302" s="25"/>
      <c r="AN302" s="25"/>
      <c r="AO302" s="25"/>
      <c r="AP302" s="25"/>
      <c r="AQ302" s="25"/>
      <c r="AR302" s="25"/>
      <c r="AS302" s="25"/>
      <c r="AT302" s="25"/>
      <c r="AU302" s="26"/>
      <c r="AV302" s="24"/>
      <c r="AW302" s="25"/>
      <c r="AX302" s="25"/>
      <c r="AY302" s="25"/>
      <c r="AZ302" s="25"/>
      <c r="BA302" s="25"/>
      <c r="BB302" s="25"/>
      <c r="BC302" s="25"/>
      <c r="BD302" s="25"/>
      <c r="BE302" s="25"/>
      <c r="BF302" s="25"/>
      <c r="BG302" s="26"/>
      <c r="BH302" s="27"/>
      <c r="BI302" s="25"/>
      <c r="BJ302" s="25"/>
      <c r="BK302" s="25"/>
      <c r="BL302" s="25"/>
    </row>
    <row r="303" spans="1:64">
      <c r="A303" s="10" t="str">
        <f t="shared" si="26"/>
        <v>GLTOH_F_LABOR2.당월실적_B2C전년</v>
      </c>
      <c r="B303" s="7"/>
      <c r="C303" s="7"/>
      <c r="D303" s="7"/>
      <c r="E303" s="7"/>
      <c r="F303" s="7"/>
      <c r="G303" s="7" t="s">
        <v>12</v>
      </c>
      <c r="H303" s="7" t="s">
        <v>108</v>
      </c>
      <c r="I303" s="7" t="s">
        <v>55</v>
      </c>
      <c r="J303" s="23" t="s">
        <v>34</v>
      </c>
      <c r="K303" s="9"/>
      <c r="L303" s="24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6"/>
      <c r="X303" s="24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6"/>
      <c r="AJ303" s="24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6"/>
      <c r="AV303" s="24"/>
      <c r="AW303" s="25"/>
      <c r="AX303" s="25"/>
      <c r="AY303" s="25"/>
      <c r="AZ303" s="25"/>
      <c r="BA303" s="25"/>
      <c r="BB303" s="25"/>
      <c r="BC303" s="25"/>
      <c r="BD303" s="25"/>
      <c r="BE303" s="25"/>
      <c r="BF303" s="25"/>
      <c r="BG303" s="26"/>
      <c r="BH303" s="27"/>
      <c r="BI303" s="25"/>
      <c r="BJ303" s="25"/>
      <c r="BK303" s="25"/>
      <c r="BL303" s="25"/>
    </row>
    <row r="304" spans="1:64">
      <c r="A304" s="10" t="str">
        <f t="shared" si="26"/>
        <v>GTTOH_F_LABOR2.당월실적_B2C금년</v>
      </c>
      <c r="B304" s="7"/>
      <c r="C304" s="7"/>
      <c r="D304" s="7"/>
      <c r="E304" s="7"/>
      <c r="F304" s="7"/>
      <c r="G304" s="7" t="s">
        <v>14</v>
      </c>
      <c r="H304" s="7" t="s">
        <v>108</v>
      </c>
      <c r="I304" s="7" t="s">
        <v>55</v>
      </c>
      <c r="J304" s="10" t="s">
        <v>50</v>
      </c>
      <c r="K304" s="9"/>
      <c r="L304" s="24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6"/>
      <c r="X304" s="24"/>
      <c r="Y304" s="25"/>
      <c r="Z304" s="25"/>
      <c r="AA304" s="25"/>
      <c r="AB304" s="25"/>
      <c r="AC304" s="25"/>
      <c r="AD304" s="25"/>
      <c r="AE304" s="25"/>
      <c r="AF304" s="25"/>
      <c r="AG304" s="25"/>
      <c r="AH304" s="25"/>
      <c r="AI304" s="26"/>
      <c r="AJ304" s="24"/>
      <c r="AK304" s="25"/>
      <c r="AL304" s="25"/>
      <c r="AM304" s="25"/>
      <c r="AN304" s="25"/>
      <c r="AO304" s="25"/>
      <c r="AP304" s="25"/>
      <c r="AQ304" s="25"/>
      <c r="AR304" s="25"/>
      <c r="AS304" s="25"/>
      <c r="AT304" s="25"/>
      <c r="AU304" s="26"/>
      <c r="AV304" s="24"/>
      <c r="AW304" s="25"/>
      <c r="AX304" s="25"/>
      <c r="AY304" s="25"/>
      <c r="AZ304" s="25"/>
      <c r="BA304" s="25"/>
      <c r="BB304" s="25"/>
      <c r="BC304" s="25"/>
      <c r="BD304" s="25"/>
      <c r="BE304" s="25"/>
      <c r="BF304" s="25"/>
      <c r="BG304" s="26"/>
      <c r="BH304" s="27"/>
      <c r="BI304" s="25"/>
      <c r="BJ304" s="25"/>
      <c r="BK304" s="25"/>
      <c r="BL304" s="25"/>
    </row>
    <row r="305" spans="1:64">
      <c r="A305" s="10" t="str">
        <f t="shared" si="26"/>
        <v>GTTOH_F_LABOR2.당월실적_B2C전년</v>
      </c>
      <c r="B305" s="7"/>
      <c r="C305" s="7"/>
      <c r="D305" s="7"/>
      <c r="E305" s="7"/>
      <c r="F305" s="7"/>
      <c r="G305" s="7" t="s">
        <v>14</v>
      </c>
      <c r="H305" s="7" t="s">
        <v>108</v>
      </c>
      <c r="I305" s="7" t="s">
        <v>55</v>
      </c>
      <c r="J305" s="23" t="s">
        <v>34</v>
      </c>
      <c r="K305" s="9"/>
      <c r="L305" s="24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6"/>
      <c r="X305" s="24"/>
      <c r="Y305" s="25"/>
      <c r="Z305" s="25"/>
      <c r="AA305" s="25"/>
      <c r="AB305" s="25"/>
      <c r="AC305" s="25"/>
      <c r="AD305" s="25"/>
      <c r="AE305" s="25"/>
      <c r="AF305" s="25"/>
      <c r="AG305" s="25"/>
      <c r="AH305" s="25"/>
      <c r="AI305" s="26"/>
      <c r="AJ305" s="24"/>
      <c r="AK305" s="25"/>
      <c r="AL305" s="25"/>
      <c r="AM305" s="25"/>
      <c r="AN305" s="25"/>
      <c r="AO305" s="25"/>
      <c r="AP305" s="25"/>
      <c r="AQ305" s="25"/>
      <c r="AR305" s="25"/>
      <c r="AS305" s="25"/>
      <c r="AT305" s="25"/>
      <c r="AU305" s="26"/>
      <c r="AV305" s="24"/>
      <c r="AW305" s="25"/>
      <c r="AX305" s="25"/>
      <c r="AY305" s="25"/>
      <c r="AZ305" s="25"/>
      <c r="BA305" s="25"/>
      <c r="BB305" s="25"/>
      <c r="BC305" s="25"/>
      <c r="BD305" s="25"/>
      <c r="BE305" s="25"/>
      <c r="BF305" s="25"/>
      <c r="BG305" s="26"/>
      <c r="BH305" s="27"/>
      <c r="BI305" s="25"/>
      <c r="BJ305" s="25"/>
      <c r="BK305" s="25"/>
      <c r="BL305" s="25"/>
    </row>
    <row r="306" spans="1:64">
      <c r="A306" s="10" t="str">
        <f t="shared" si="26"/>
        <v>PNTOH_F_LABOR2.당월실적_B2C금년</v>
      </c>
      <c r="B306" s="7"/>
      <c r="C306" s="7"/>
      <c r="D306" s="7"/>
      <c r="E306" s="7"/>
      <c r="F306" s="7"/>
      <c r="G306" s="7" t="s">
        <v>16</v>
      </c>
      <c r="H306" s="7" t="s">
        <v>108</v>
      </c>
      <c r="I306" s="7" t="s">
        <v>55</v>
      </c>
      <c r="J306" s="10" t="s">
        <v>50</v>
      </c>
      <c r="K306" s="9"/>
      <c r="L306" s="24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6"/>
      <c r="X306" s="24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6"/>
      <c r="AJ306" s="24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6"/>
      <c r="AV306" s="24"/>
      <c r="AW306" s="25"/>
      <c r="AX306" s="25"/>
      <c r="AY306" s="25"/>
      <c r="AZ306" s="25"/>
      <c r="BA306" s="25"/>
      <c r="BB306" s="25"/>
      <c r="BC306" s="25"/>
      <c r="BD306" s="25"/>
      <c r="BE306" s="25"/>
      <c r="BF306" s="25"/>
      <c r="BG306" s="26"/>
      <c r="BH306" s="27"/>
      <c r="BI306" s="25"/>
      <c r="BJ306" s="25"/>
      <c r="BK306" s="25"/>
      <c r="BL306" s="25"/>
    </row>
    <row r="307" spans="1:64">
      <c r="A307" s="10" t="str">
        <f t="shared" si="26"/>
        <v>PNTOH_F_LABOR2.당월실적_B2C전년</v>
      </c>
      <c r="B307" s="7"/>
      <c r="C307" s="7"/>
      <c r="D307" s="7"/>
      <c r="E307" s="7"/>
      <c r="F307" s="7"/>
      <c r="G307" s="7" t="s">
        <v>16</v>
      </c>
      <c r="H307" s="7" t="s">
        <v>108</v>
      </c>
      <c r="I307" s="7" t="s">
        <v>55</v>
      </c>
      <c r="J307" s="23" t="s">
        <v>34</v>
      </c>
      <c r="K307" s="9"/>
      <c r="L307" s="24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6"/>
      <c r="X307" s="24"/>
      <c r="Y307" s="25"/>
      <c r="Z307" s="25"/>
      <c r="AA307" s="25"/>
      <c r="AB307" s="25"/>
      <c r="AC307" s="25"/>
      <c r="AD307" s="25"/>
      <c r="AE307" s="25"/>
      <c r="AF307" s="25"/>
      <c r="AG307" s="25"/>
      <c r="AH307" s="25"/>
      <c r="AI307" s="26"/>
      <c r="AJ307" s="24"/>
      <c r="AK307" s="25"/>
      <c r="AL307" s="25"/>
      <c r="AM307" s="25"/>
      <c r="AN307" s="25"/>
      <c r="AO307" s="25"/>
      <c r="AP307" s="25"/>
      <c r="AQ307" s="25"/>
      <c r="AR307" s="25"/>
      <c r="AS307" s="25"/>
      <c r="AT307" s="25"/>
      <c r="AU307" s="26"/>
      <c r="AV307" s="24"/>
      <c r="AW307" s="25"/>
      <c r="AX307" s="25"/>
      <c r="AY307" s="25"/>
      <c r="AZ307" s="25"/>
      <c r="BA307" s="25"/>
      <c r="BB307" s="25"/>
      <c r="BC307" s="25"/>
      <c r="BD307" s="25"/>
      <c r="BE307" s="25"/>
      <c r="BF307" s="25"/>
      <c r="BG307" s="26"/>
      <c r="BH307" s="27"/>
      <c r="BI307" s="25"/>
      <c r="BJ307" s="25"/>
      <c r="BK307" s="25"/>
      <c r="BL307" s="25"/>
    </row>
    <row r="308" spans="1:64">
      <c r="A308" s="10" t="str">
        <f t="shared" si="26"/>
        <v>MSTOH_F_LABOR2.당월실적_B2C금년</v>
      </c>
      <c r="B308" s="7"/>
      <c r="C308" s="7"/>
      <c r="D308" s="7"/>
      <c r="E308" s="7"/>
      <c r="F308" s="7"/>
      <c r="G308" s="7" t="s">
        <v>15</v>
      </c>
      <c r="H308" s="7" t="s">
        <v>108</v>
      </c>
      <c r="I308" s="7" t="s">
        <v>55</v>
      </c>
      <c r="J308" s="10" t="s">
        <v>50</v>
      </c>
      <c r="K308" s="9"/>
      <c r="L308" s="24"/>
      <c r="M308" s="25"/>
      <c r="N308" s="25"/>
      <c r="O308" s="25"/>
      <c r="P308" s="25"/>
      <c r="Q308" s="25"/>
      <c r="R308" s="25"/>
      <c r="S308" s="25"/>
      <c r="T308" s="25"/>
      <c r="U308" s="25"/>
      <c r="V308" s="25"/>
      <c r="W308" s="26"/>
      <c r="X308" s="24"/>
      <c r="Y308" s="25"/>
      <c r="Z308" s="25"/>
      <c r="AA308" s="25"/>
      <c r="AB308" s="25"/>
      <c r="AC308" s="25"/>
      <c r="AD308" s="25"/>
      <c r="AE308" s="25"/>
      <c r="AF308" s="25"/>
      <c r="AG308" s="25"/>
      <c r="AH308" s="25"/>
      <c r="AI308" s="26"/>
      <c r="AJ308" s="24"/>
      <c r="AK308" s="25"/>
      <c r="AL308" s="25"/>
      <c r="AM308" s="25"/>
      <c r="AN308" s="25"/>
      <c r="AO308" s="25"/>
      <c r="AP308" s="25"/>
      <c r="AQ308" s="25"/>
      <c r="AR308" s="25"/>
      <c r="AS308" s="25"/>
      <c r="AT308" s="25"/>
      <c r="AU308" s="26"/>
      <c r="AV308" s="24"/>
      <c r="AW308" s="25"/>
      <c r="AX308" s="25"/>
      <c r="AY308" s="25"/>
      <c r="AZ308" s="25"/>
      <c r="BA308" s="25"/>
      <c r="BB308" s="25"/>
      <c r="BC308" s="25"/>
      <c r="BD308" s="25"/>
      <c r="BE308" s="25"/>
      <c r="BF308" s="25"/>
      <c r="BG308" s="26"/>
      <c r="BH308" s="27"/>
      <c r="BI308" s="25"/>
      <c r="BJ308" s="25"/>
      <c r="BK308" s="25"/>
      <c r="BL308" s="25"/>
    </row>
    <row r="309" spans="1:64">
      <c r="A309" s="10" t="str">
        <f t="shared" si="26"/>
        <v>MSTOH_F_LABOR2.당월실적_B2C전년</v>
      </c>
      <c r="B309" s="7"/>
      <c r="C309" s="7"/>
      <c r="D309" s="7"/>
      <c r="E309" s="7"/>
      <c r="F309" s="7"/>
      <c r="G309" s="7" t="s">
        <v>15</v>
      </c>
      <c r="H309" s="7" t="s">
        <v>108</v>
      </c>
      <c r="I309" s="7" t="s">
        <v>55</v>
      </c>
      <c r="J309" s="23" t="s">
        <v>34</v>
      </c>
      <c r="K309" s="9"/>
      <c r="L309" s="24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6"/>
      <c r="X309" s="24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6"/>
      <c r="AJ309" s="24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6"/>
      <c r="AV309" s="24"/>
      <c r="AW309" s="25"/>
      <c r="AX309" s="25"/>
      <c r="AY309" s="25"/>
      <c r="AZ309" s="25"/>
      <c r="BA309" s="25"/>
      <c r="BB309" s="25"/>
      <c r="BC309" s="25"/>
      <c r="BD309" s="25"/>
      <c r="BE309" s="25"/>
      <c r="BF309" s="25"/>
      <c r="BG309" s="26"/>
      <c r="BH309" s="27"/>
      <c r="BI309" s="25"/>
      <c r="BJ309" s="25"/>
      <c r="BK309" s="25"/>
      <c r="BL309" s="25"/>
    </row>
    <row r="310" spans="1:64">
      <c r="A310" s="10" t="str">
        <f t="shared" si="26"/>
        <v>CNTOH_F_LABOR2.당월실적_B2C금년</v>
      </c>
      <c r="B310" s="7"/>
      <c r="C310" s="7"/>
      <c r="D310" s="7"/>
      <c r="E310" s="7"/>
      <c r="F310" s="7"/>
      <c r="G310" s="7" t="s">
        <v>6</v>
      </c>
      <c r="H310" s="7" t="s">
        <v>108</v>
      </c>
      <c r="I310" s="7" t="s">
        <v>55</v>
      </c>
      <c r="J310" s="10" t="s">
        <v>50</v>
      </c>
      <c r="K310" s="9"/>
      <c r="L310" s="24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6"/>
      <c r="X310" s="24"/>
      <c r="Y310" s="25"/>
      <c r="Z310" s="25"/>
      <c r="AA310" s="25"/>
      <c r="AB310" s="25"/>
      <c r="AC310" s="25"/>
      <c r="AD310" s="25"/>
      <c r="AE310" s="25"/>
      <c r="AF310" s="25"/>
      <c r="AG310" s="25"/>
      <c r="AH310" s="25"/>
      <c r="AI310" s="26"/>
      <c r="AJ310" s="24"/>
      <c r="AK310" s="25"/>
      <c r="AL310" s="25"/>
      <c r="AM310" s="25"/>
      <c r="AN310" s="25"/>
      <c r="AO310" s="25"/>
      <c r="AP310" s="25"/>
      <c r="AQ310" s="25"/>
      <c r="AR310" s="25"/>
      <c r="AS310" s="25"/>
      <c r="AT310" s="25"/>
      <c r="AU310" s="26"/>
      <c r="AV310" s="24"/>
      <c r="AW310" s="25"/>
      <c r="AX310" s="25"/>
      <c r="AY310" s="25"/>
      <c r="AZ310" s="25"/>
      <c r="BA310" s="25"/>
      <c r="BB310" s="25"/>
      <c r="BC310" s="25"/>
      <c r="BD310" s="25"/>
      <c r="BE310" s="25"/>
      <c r="BF310" s="25"/>
      <c r="BG310" s="26"/>
      <c r="BH310" s="27"/>
      <c r="BI310" s="25"/>
      <c r="BJ310" s="25"/>
      <c r="BK310" s="25"/>
      <c r="BL310" s="25"/>
    </row>
    <row r="311" spans="1:64">
      <c r="A311" s="10" t="str">
        <f t="shared" si="26"/>
        <v>CNTOH_F_LABOR2.당월실적_B2C전년</v>
      </c>
      <c r="B311" s="7"/>
      <c r="C311" s="7"/>
      <c r="D311" s="7"/>
      <c r="E311" s="7"/>
      <c r="F311" s="7"/>
      <c r="G311" s="7" t="s">
        <v>6</v>
      </c>
      <c r="H311" s="7" t="s">
        <v>108</v>
      </c>
      <c r="I311" s="7" t="s">
        <v>55</v>
      </c>
      <c r="J311" s="23" t="s">
        <v>34</v>
      </c>
      <c r="K311" s="9"/>
      <c r="L311" s="24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6"/>
      <c r="X311" s="24"/>
      <c r="Y311" s="25"/>
      <c r="Z311" s="25"/>
      <c r="AA311" s="25"/>
      <c r="AB311" s="25"/>
      <c r="AC311" s="25"/>
      <c r="AD311" s="25"/>
      <c r="AE311" s="25"/>
      <c r="AF311" s="25"/>
      <c r="AG311" s="25"/>
      <c r="AH311" s="25"/>
      <c r="AI311" s="26"/>
      <c r="AJ311" s="24"/>
      <c r="AK311" s="25"/>
      <c r="AL311" s="25"/>
      <c r="AM311" s="25"/>
      <c r="AN311" s="25"/>
      <c r="AO311" s="25"/>
      <c r="AP311" s="25"/>
      <c r="AQ311" s="25"/>
      <c r="AR311" s="25"/>
      <c r="AS311" s="25"/>
      <c r="AT311" s="25"/>
      <c r="AU311" s="26"/>
      <c r="AV311" s="24"/>
      <c r="AW311" s="25"/>
      <c r="AX311" s="25"/>
      <c r="AY311" s="25"/>
      <c r="AZ311" s="25"/>
      <c r="BA311" s="25"/>
      <c r="BB311" s="25"/>
      <c r="BC311" s="25"/>
      <c r="BD311" s="25"/>
      <c r="BE311" s="25"/>
      <c r="BF311" s="25"/>
      <c r="BG311" s="26"/>
      <c r="BH311" s="27"/>
      <c r="BI311" s="25"/>
      <c r="BJ311" s="25"/>
      <c r="BK311" s="25"/>
      <c r="BL311" s="25"/>
    </row>
    <row r="312" spans="1:64">
      <c r="A312" s="10" t="str">
        <f t="shared" si="26"/>
        <v>DFTOH_F_LABOR2.당월실적_B2C금년</v>
      </c>
      <c r="B312" s="7"/>
      <c r="C312" s="7"/>
      <c r="D312" s="7"/>
      <c r="E312" s="7"/>
      <c r="F312" s="7"/>
      <c r="G312" s="7" t="s">
        <v>7</v>
      </c>
      <c r="H312" s="7" t="s">
        <v>108</v>
      </c>
      <c r="I312" s="7" t="str">
        <f t="shared" ref="I312:I321" si="27">I302</f>
        <v>2.당월실적_B2C</v>
      </c>
      <c r="J312" s="10" t="s">
        <v>50</v>
      </c>
      <c r="K312" s="9"/>
      <c r="L312" s="24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6"/>
      <c r="X312" s="24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6"/>
      <c r="AJ312" s="24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6"/>
      <c r="AV312" s="24"/>
      <c r="AW312" s="25"/>
      <c r="AX312" s="25"/>
      <c r="AY312" s="25"/>
      <c r="AZ312" s="25"/>
      <c r="BA312" s="25"/>
      <c r="BB312" s="25"/>
      <c r="BC312" s="25"/>
      <c r="BD312" s="25"/>
      <c r="BE312" s="25"/>
      <c r="BF312" s="25"/>
      <c r="BG312" s="26"/>
      <c r="BH312" s="27"/>
      <c r="BI312" s="25"/>
      <c r="BJ312" s="25"/>
      <c r="BK312" s="25"/>
      <c r="BL312" s="25"/>
    </row>
    <row r="313" spans="1:64">
      <c r="A313" s="10" t="str">
        <f t="shared" si="26"/>
        <v>DFTOH_F_LABOR2.당월실적_B2C전년</v>
      </c>
      <c r="B313" s="7"/>
      <c r="C313" s="7"/>
      <c r="D313" s="7"/>
      <c r="E313" s="7"/>
      <c r="F313" s="7"/>
      <c r="G313" s="7" t="s">
        <v>7</v>
      </c>
      <c r="H313" s="7" t="s">
        <v>108</v>
      </c>
      <c r="I313" s="7" t="str">
        <f t="shared" si="27"/>
        <v>2.당월실적_B2C</v>
      </c>
      <c r="J313" s="23" t="s">
        <v>34</v>
      </c>
      <c r="K313" s="9"/>
      <c r="L313" s="24"/>
      <c r="M313" s="25"/>
      <c r="N313" s="25"/>
      <c r="O313" s="25"/>
      <c r="P313" s="25"/>
      <c r="Q313" s="25"/>
      <c r="R313" s="25"/>
      <c r="S313" s="25"/>
      <c r="T313" s="25"/>
      <c r="U313" s="25"/>
      <c r="V313" s="25"/>
      <c r="W313" s="26"/>
      <c r="X313" s="24"/>
      <c r="Y313" s="25"/>
      <c r="Z313" s="25"/>
      <c r="AA313" s="25"/>
      <c r="AB313" s="25"/>
      <c r="AC313" s="25"/>
      <c r="AD313" s="25"/>
      <c r="AE313" s="25"/>
      <c r="AF313" s="25"/>
      <c r="AG313" s="25"/>
      <c r="AH313" s="25"/>
      <c r="AI313" s="26"/>
      <c r="AJ313" s="24"/>
      <c r="AK313" s="25"/>
      <c r="AL313" s="25"/>
      <c r="AM313" s="25"/>
      <c r="AN313" s="25"/>
      <c r="AO313" s="25"/>
      <c r="AP313" s="25"/>
      <c r="AQ313" s="25"/>
      <c r="AR313" s="25"/>
      <c r="AS313" s="25"/>
      <c r="AT313" s="25"/>
      <c r="AU313" s="26"/>
      <c r="AV313" s="24"/>
      <c r="AW313" s="25"/>
      <c r="AX313" s="25"/>
      <c r="AY313" s="25"/>
      <c r="AZ313" s="25"/>
      <c r="BA313" s="25"/>
      <c r="BB313" s="25"/>
      <c r="BC313" s="25"/>
      <c r="BD313" s="25"/>
      <c r="BE313" s="25"/>
      <c r="BF313" s="25"/>
      <c r="BG313" s="26"/>
      <c r="BH313" s="27"/>
      <c r="BI313" s="25"/>
      <c r="BJ313" s="25"/>
      <c r="BK313" s="25"/>
      <c r="BL313" s="25"/>
    </row>
    <row r="314" spans="1:64">
      <c r="A314" s="10" t="str">
        <f t="shared" si="26"/>
        <v>DGTOH_F_LABOR2.당월실적_B2C금년</v>
      </c>
      <c r="B314" s="7"/>
      <c r="C314" s="7"/>
      <c r="D314" s="7"/>
      <c r="E314" s="7"/>
      <c r="F314" s="7"/>
      <c r="G314" s="7" t="s">
        <v>8</v>
      </c>
      <c r="H314" s="7" t="s">
        <v>108</v>
      </c>
      <c r="I314" s="7" t="str">
        <f t="shared" si="27"/>
        <v>2.당월실적_B2C</v>
      </c>
      <c r="J314" s="10" t="s">
        <v>50</v>
      </c>
      <c r="K314" s="9"/>
      <c r="L314" s="24"/>
      <c r="M314" s="25"/>
      <c r="N314" s="25"/>
      <c r="O314" s="25"/>
      <c r="P314" s="25"/>
      <c r="Q314" s="25"/>
      <c r="R314" s="25"/>
      <c r="S314" s="25"/>
      <c r="T314" s="25"/>
      <c r="U314" s="25"/>
      <c r="V314" s="25"/>
      <c r="W314" s="26"/>
      <c r="X314" s="24"/>
      <c r="Y314" s="25"/>
      <c r="Z314" s="25"/>
      <c r="AA314" s="25"/>
      <c r="AB314" s="25"/>
      <c r="AC314" s="25"/>
      <c r="AD314" s="25"/>
      <c r="AE314" s="25"/>
      <c r="AF314" s="25"/>
      <c r="AG314" s="25"/>
      <c r="AH314" s="25"/>
      <c r="AI314" s="26"/>
      <c r="AJ314" s="24"/>
      <c r="AK314" s="25"/>
      <c r="AL314" s="25"/>
      <c r="AM314" s="25"/>
      <c r="AN314" s="25"/>
      <c r="AO314" s="25"/>
      <c r="AP314" s="25"/>
      <c r="AQ314" s="25"/>
      <c r="AR314" s="25"/>
      <c r="AS314" s="25"/>
      <c r="AT314" s="25"/>
      <c r="AU314" s="26"/>
      <c r="AV314" s="24"/>
      <c r="AW314" s="25"/>
      <c r="AX314" s="25"/>
      <c r="AY314" s="25"/>
      <c r="AZ314" s="25"/>
      <c r="BA314" s="25"/>
      <c r="BB314" s="25"/>
      <c r="BC314" s="25"/>
      <c r="BD314" s="25"/>
      <c r="BE314" s="25"/>
      <c r="BF314" s="25"/>
      <c r="BG314" s="26"/>
      <c r="BH314" s="27"/>
      <c r="BI314" s="25"/>
      <c r="BJ314" s="25"/>
      <c r="BK314" s="25"/>
      <c r="BL314" s="25"/>
    </row>
    <row r="315" spans="1:64">
      <c r="A315" s="10" t="str">
        <f t="shared" si="26"/>
        <v>DGTOH_F_LABOR2.당월실적_B2C전년</v>
      </c>
      <c r="B315" s="7"/>
      <c r="C315" s="7"/>
      <c r="D315" s="7"/>
      <c r="E315" s="7"/>
      <c r="F315" s="7"/>
      <c r="G315" s="7" t="s">
        <v>8</v>
      </c>
      <c r="H315" s="7" t="s">
        <v>108</v>
      </c>
      <c r="I315" s="7" t="str">
        <f t="shared" si="27"/>
        <v>2.당월실적_B2C</v>
      </c>
      <c r="J315" s="23" t="s">
        <v>34</v>
      </c>
      <c r="K315" s="9"/>
      <c r="L315" s="24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6"/>
      <c r="X315" s="24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6"/>
      <c r="AJ315" s="24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6"/>
      <c r="AV315" s="24"/>
      <c r="AW315" s="25"/>
      <c r="AX315" s="25"/>
      <c r="AY315" s="25"/>
      <c r="AZ315" s="25"/>
      <c r="BA315" s="25"/>
      <c r="BB315" s="25"/>
      <c r="BC315" s="25"/>
      <c r="BD315" s="25"/>
      <c r="BE315" s="25"/>
      <c r="BF315" s="25"/>
      <c r="BG315" s="26"/>
      <c r="BH315" s="27"/>
      <c r="BI315" s="25"/>
      <c r="BJ315" s="25"/>
      <c r="BK315" s="25"/>
      <c r="BL315" s="25"/>
    </row>
    <row r="316" spans="1:64">
      <c r="A316" s="10" t="str">
        <f t="shared" si="26"/>
        <v>PCTOH_F_LABOR2.당월실적_B2C금년</v>
      </c>
      <c r="B316" s="7"/>
      <c r="C316" s="7"/>
      <c r="D316" s="7"/>
      <c r="E316" s="7"/>
      <c r="F316" s="7"/>
      <c r="G316" s="7" t="s">
        <v>19</v>
      </c>
      <c r="H316" s="7" t="s">
        <v>108</v>
      </c>
      <c r="I316" s="7" t="str">
        <f t="shared" si="27"/>
        <v>2.당월실적_B2C</v>
      </c>
      <c r="J316" s="10" t="s">
        <v>50</v>
      </c>
      <c r="K316" s="9"/>
      <c r="L316" s="24"/>
      <c r="M316" s="25"/>
      <c r="N316" s="25"/>
      <c r="O316" s="25"/>
      <c r="P316" s="25"/>
      <c r="Q316" s="25"/>
      <c r="R316" s="25"/>
      <c r="S316" s="25"/>
      <c r="T316" s="25"/>
      <c r="U316" s="25"/>
      <c r="V316" s="25"/>
      <c r="W316" s="26"/>
      <c r="X316" s="24"/>
      <c r="Y316" s="25"/>
      <c r="Z316" s="25"/>
      <c r="AA316" s="25"/>
      <c r="AB316" s="25"/>
      <c r="AC316" s="25"/>
      <c r="AD316" s="25"/>
      <c r="AE316" s="25"/>
      <c r="AF316" s="25"/>
      <c r="AG316" s="25"/>
      <c r="AH316" s="25"/>
      <c r="AI316" s="26"/>
      <c r="AJ316" s="24"/>
      <c r="AK316" s="25"/>
      <c r="AL316" s="25"/>
      <c r="AM316" s="25"/>
      <c r="AN316" s="25"/>
      <c r="AO316" s="25"/>
      <c r="AP316" s="25"/>
      <c r="AQ316" s="25"/>
      <c r="AR316" s="25"/>
      <c r="AS316" s="25"/>
      <c r="AT316" s="25"/>
      <c r="AU316" s="26"/>
      <c r="AV316" s="24"/>
      <c r="AW316" s="25"/>
      <c r="AX316" s="25"/>
      <c r="AY316" s="25"/>
      <c r="AZ316" s="25"/>
      <c r="BA316" s="25"/>
      <c r="BB316" s="25"/>
      <c r="BC316" s="25"/>
      <c r="BD316" s="25"/>
      <c r="BE316" s="25"/>
      <c r="BF316" s="25"/>
      <c r="BG316" s="26"/>
      <c r="BH316" s="27"/>
      <c r="BI316" s="25"/>
      <c r="BJ316" s="25"/>
      <c r="BK316" s="25"/>
      <c r="BL316" s="25"/>
    </row>
    <row r="317" spans="1:64">
      <c r="A317" s="10" t="str">
        <f t="shared" si="26"/>
        <v>PCTOH_F_LABOR2.당월실적_B2C전년</v>
      </c>
      <c r="B317" s="7"/>
      <c r="C317" s="7"/>
      <c r="D317" s="7"/>
      <c r="E317" s="7"/>
      <c r="F317" s="7"/>
      <c r="G317" s="7" t="s">
        <v>19</v>
      </c>
      <c r="H317" s="7" t="s">
        <v>108</v>
      </c>
      <c r="I317" s="7" t="str">
        <f t="shared" si="27"/>
        <v>2.당월실적_B2C</v>
      </c>
      <c r="J317" s="23" t="s">
        <v>34</v>
      </c>
      <c r="K317" s="9"/>
      <c r="L317" s="24"/>
      <c r="M317" s="25"/>
      <c r="N317" s="25"/>
      <c r="O317" s="25"/>
      <c r="P317" s="25"/>
      <c r="Q317" s="25"/>
      <c r="R317" s="25"/>
      <c r="S317" s="25"/>
      <c r="T317" s="25"/>
      <c r="U317" s="25"/>
      <c r="V317" s="25"/>
      <c r="W317" s="26"/>
      <c r="X317" s="24"/>
      <c r="Y317" s="25"/>
      <c r="Z317" s="25"/>
      <c r="AA317" s="25"/>
      <c r="AB317" s="25"/>
      <c r="AC317" s="25"/>
      <c r="AD317" s="25"/>
      <c r="AE317" s="25"/>
      <c r="AF317" s="25"/>
      <c r="AG317" s="25"/>
      <c r="AH317" s="25"/>
      <c r="AI317" s="26"/>
      <c r="AJ317" s="24"/>
      <c r="AK317" s="25"/>
      <c r="AL317" s="25"/>
      <c r="AM317" s="25"/>
      <c r="AN317" s="25"/>
      <c r="AO317" s="25"/>
      <c r="AP317" s="25"/>
      <c r="AQ317" s="25"/>
      <c r="AR317" s="25"/>
      <c r="AS317" s="25"/>
      <c r="AT317" s="25"/>
      <c r="AU317" s="26"/>
      <c r="AV317" s="24"/>
      <c r="AW317" s="25"/>
      <c r="AX317" s="25"/>
      <c r="AY317" s="25"/>
      <c r="AZ317" s="25"/>
      <c r="BA317" s="25"/>
      <c r="BB317" s="25"/>
      <c r="BC317" s="25"/>
      <c r="BD317" s="25"/>
      <c r="BE317" s="25"/>
      <c r="BF317" s="25"/>
      <c r="BG317" s="26"/>
      <c r="BH317" s="27"/>
      <c r="BI317" s="25"/>
      <c r="BJ317" s="25"/>
      <c r="BK317" s="25"/>
      <c r="BL317" s="25"/>
    </row>
    <row r="318" spans="1:64">
      <c r="A318" s="10" t="str">
        <f t="shared" si="26"/>
        <v>PSTOH_F_LABOR2.당월실적_B2C금년</v>
      </c>
      <c r="B318" s="7"/>
      <c r="C318" s="7"/>
      <c r="D318" s="7"/>
      <c r="E318" s="7"/>
      <c r="F318" s="7"/>
      <c r="G318" s="7" t="s">
        <v>17</v>
      </c>
      <c r="H318" s="7" t="s">
        <v>108</v>
      </c>
      <c r="I318" s="7" t="str">
        <f t="shared" si="27"/>
        <v>2.당월실적_B2C</v>
      </c>
      <c r="J318" s="10" t="s">
        <v>50</v>
      </c>
      <c r="K318" s="9"/>
      <c r="L318" s="24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6"/>
      <c r="X318" s="24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6"/>
      <c r="AJ318" s="24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6"/>
      <c r="AV318" s="24"/>
      <c r="AW318" s="25"/>
      <c r="AX318" s="25"/>
      <c r="AY318" s="25"/>
      <c r="AZ318" s="25"/>
      <c r="BA318" s="25"/>
      <c r="BB318" s="25"/>
      <c r="BC318" s="25"/>
      <c r="BD318" s="25"/>
      <c r="BE318" s="25"/>
      <c r="BF318" s="25"/>
      <c r="BG318" s="26"/>
      <c r="BH318" s="27"/>
      <c r="BI318" s="25"/>
      <c r="BJ318" s="25"/>
      <c r="BK318" s="25"/>
      <c r="BL318" s="25"/>
    </row>
    <row r="319" spans="1:64">
      <c r="A319" s="10" t="str">
        <f t="shared" si="26"/>
        <v>PSTOH_F_LABOR2.당월실적_B2C전년</v>
      </c>
      <c r="B319" s="7"/>
      <c r="C319" s="7"/>
      <c r="D319" s="7"/>
      <c r="E319" s="7"/>
      <c r="F319" s="7"/>
      <c r="G319" s="7" t="s">
        <v>17</v>
      </c>
      <c r="H319" s="7" t="s">
        <v>108</v>
      </c>
      <c r="I319" s="7" t="str">
        <f t="shared" si="27"/>
        <v>2.당월실적_B2C</v>
      </c>
      <c r="J319" s="23" t="s">
        <v>34</v>
      </c>
      <c r="K319" s="9"/>
      <c r="L319" s="24"/>
      <c r="M319" s="25"/>
      <c r="N319" s="25"/>
      <c r="O319" s="25"/>
      <c r="P319" s="25"/>
      <c r="Q319" s="25"/>
      <c r="R319" s="25"/>
      <c r="S319" s="25"/>
      <c r="T319" s="25"/>
      <c r="U319" s="25"/>
      <c r="V319" s="25"/>
      <c r="W319" s="26"/>
      <c r="X319" s="24"/>
      <c r="Y319" s="25"/>
      <c r="Z319" s="25"/>
      <c r="AA319" s="25"/>
      <c r="AB319" s="25"/>
      <c r="AC319" s="25"/>
      <c r="AD319" s="25"/>
      <c r="AE319" s="25"/>
      <c r="AF319" s="25"/>
      <c r="AG319" s="25"/>
      <c r="AH319" s="25"/>
      <c r="AI319" s="26"/>
      <c r="AJ319" s="24"/>
      <c r="AK319" s="25"/>
      <c r="AL319" s="25"/>
      <c r="AM319" s="25"/>
      <c r="AN319" s="25"/>
      <c r="AO319" s="25"/>
      <c r="AP319" s="25"/>
      <c r="AQ319" s="25"/>
      <c r="AR319" s="25"/>
      <c r="AS319" s="25"/>
      <c r="AT319" s="25"/>
      <c r="AU319" s="26"/>
      <c r="AV319" s="24"/>
      <c r="AW319" s="25"/>
      <c r="AX319" s="25"/>
      <c r="AY319" s="25"/>
      <c r="AZ319" s="25"/>
      <c r="BA319" s="25"/>
      <c r="BB319" s="25"/>
      <c r="BC319" s="25"/>
      <c r="BD319" s="25"/>
      <c r="BE319" s="25"/>
      <c r="BF319" s="25"/>
      <c r="BG319" s="26"/>
      <c r="BH319" s="27"/>
      <c r="BI319" s="25"/>
      <c r="BJ319" s="25"/>
      <c r="BK319" s="25"/>
      <c r="BL319" s="25"/>
    </row>
    <row r="320" spans="1:64">
      <c r="A320" s="10" t="str">
        <f t="shared" si="26"/>
        <v>DVTOH_F_LABOR2.당월실적_B2C금년</v>
      </c>
      <c r="B320" s="7"/>
      <c r="C320" s="7"/>
      <c r="D320" s="7"/>
      <c r="E320" s="7"/>
      <c r="F320" s="7"/>
      <c r="G320" s="7" t="s">
        <v>10</v>
      </c>
      <c r="H320" s="7" t="s">
        <v>108</v>
      </c>
      <c r="I320" s="7" t="str">
        <f t="shared" si="27"/>
        <v>2.당월실적_B2C</v>
      </c>
      <c r="J320" s="10" t="s">
        <v>50</v>
      </c>
      <c r="K320" s="9"/>
      <c r="L320" s="24"/>
      <c r="M320" s="25"/>
      <c r="N320" s="25"/>
      <c r="O320" s="25"/>
      <c r="P320" s="25"/>
      <c r="Q320" s="25"/>
      <c r="R320" s="25"/>
      <c r="S320" s="25"/>
      <c r="T320" s="25"/>
      <c r="U320" s="25"/>
      <c r="V320" s="25"/>
      <c r="W320" s="26"/>
      <c r="X320" s="24"/>
      <c r="Y320" s="25"/>
      <c r="Z320" s="25"/>
      <c r="AA320" s="25"/>
      <c r="AB320" s="25"/>
      <c r="AC320" s="25"/>
      <c r="AD320" s="25"/>
      <c r="AE320" s="25"/>
      <c r="AF320" s="25"/>
      <c r="AG320" s="25"/>
      <c r="AH320" s="25"/>
      <c r="AI320" s="26"/>
      <c r="AJ320" s="24"/>
      <c r="AK320" s="25"/>
      <c r="AL320" s="25"/>
      <c r="AM320" s="25"/>
      <c r="AN320" s="25"/>
      <c r="AO320" s="25"/>
      <c r="AP320" s="25"/>
      <c r="AQ320" s="25"/>
      <c r="AR320" s="25"/>
      <c r="AS320" s="25"/>
      <c r="AT320" s="25"/>
      <c r="AU320" s="26"/>
      <c r="AV320" s="24"/>
      <c r="AW320" s="25"/>
      <c r="AX320" s="25"/>
      <c r="AY320" s="25"/>
      <c r="AZ320" s="25"/>
      <c r="BA320" s="25"/>
      <c r="BB320" s="25"/>
      <c r="BC320" s="25"/>
      <c r="BD320" s="25"/>
      <c r="BE320" s="25"/>
      <c r="BF320" s="25"/>
      <c r="BG320" s="26"/>
      <c r="BH320" s="27"/>
      <c r="BI320" s="25"/>
      <c r="BJ320" s="25"/>
      <c r="BK320" s="25"/>
      <c r="BL320" s="25"/>
    </row>
    <row r="321" spans="1:64">
      <c r="A321" s="10" t="str">
        <f t="shared" si="26"/>
        <v>DVTOH_F_LABOR2.당월실적_B2C전년</v>
      </c>
      <c r="B321" s="7"/>
      <c r="C321" s="7"/>
      <c r="D321" s="7"/>
      <c r="E321" s="7"/>
      <c r="F321" s="7"/>
      <c r="G321" s="7" t="s">
        <v>10</v>
      </c>
      <c r="H321" s="7" t="s">
        <v>108</v>
      </c>
      <c r="I321" s="7" t="str">
        <f t="shared" si="27"/>
        <v>2.당월실적_B2C</v>
      </c>
      <c r="J321" s="23" t="s">
        <v>34</v>
      </c>
      <c r="K321" s="9"/>
      <c r="L321" s="24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6"/>
      <c r="X321" s="24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6"/>
      <c r="AJ321" s="24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6"/>
      <c r="AV321" s="24"/>
      <c r="AW321" s="25"/>
      <c r="AX321" s="25"/>
      <c r="AY321" s="25"/>
      <c r="AZ321" s="25"/>
      <c r="BA321" s="25"/>
      <c r="BB321" s="25"/>
      <c r="BC321" s="25"/>
      <c r="BD321" s="25"/>
      <c r="BE321" s="25"/>
      <c r="BF321" s="25"/>
      <c r="BG321" s="26"/>
      <c r="BH321" s="27"/>
      <c r="BI321" s="25"/>
      <c r="BJ321" s="25"/>
      <c r="BK321" s="25"/>
      <c r="BL321" s="25"/>
    </row>
    <row r="322" spans="1:64">
      <c r="A322" s="6"/>
      <c r="H322" t="s">
        <v>108</v>
      </c>
      <c r="K322" s="9"/>
    </row>
    <row r="323" spans="1:64">
      <c r="A323" s="10" t="str">
        <f t="shared" ref="A323:A336" si="28">TRIM(B323)&amp;TRIM(C323)&amp;TRIM(D323)&amp;TRIM(E323)&amp;TRIM(F323)&amp;TRIM(G323)&amp;TRIM(H323)&amp;TRIM(I323)&amp;TRIM(J323)</f>
        <v>GJTOH_F_LABOR2.당월실적_B2B금년</v>
      </c>
      <c r="B323" s="7"/>
      <c r="C323" s="7"/>
      <c r="D323" s="7"/>
      <c r="E323" s="7"/>
      <c r="F323" s="7"/>
      <c r="G323" s="7" t="s">
        <v>11</v>
      </c>
      <c r="H323" s="7" t="s">
        <v>108</v>
      </c>
      <c r="I323" s="7" t="s">
        <v>96</v>
      </c>
      <c r="J323" s="10" t="s">
        <v>50</v>
      </c>
      <c r="K323" s="9"/>
      <c r="L323" s="24"/>
      <c r="M323" s="25"/>
      <c r="N323" s="25"/>
      <c r="O323" s="25"/>
      <c r="P323" s="25"/>
      <c r="Q323" s="25"/>
      <c r="R323" s="25"/>
      <c r="S323" s="25"/>
      <c r="T323" s="25"/>
      <c r="U323" s="25"/>
      <c r="V323" s="25"/>
      <c r="W323" s="26"/>
      <c r="X323" s="24"/>
      <c r="Y323" s="25"/>
      <c r="Z323" s="25"/>
      <c r="AA323" s="25"/>
      <c r="AB323" s="25"/>
      <c r="AC323" s="25"/>
      <c r="AD323" s="25"/>
      <c r="AE323" s="25"/>
      <c r="AF323" s="25"/>
      <c r="AG323" s="25"/>
      <c r="AH323" s="25"/>
      <c r="AI323" s="26"/>
      <c r="AJ323" s="24"/>
      <c r="AK323" s="25"/>
      <c r="AL323" s="25"/>
      <c r="AM323" s="25"/>
      <c r="AN323" s="25"/>
      <c r="AO323" s="25"/>
      <c r="AP323" s="25"/>
      <c r="AQ323" s="25"/>
      <c r="AR323" s="25"/>
      <c r="AS323" s="25"/>
      <c r="AT323" s="25"/>
      <c r="AU323" s="26"/>
      <c r="AV323" s="24"/>
      <c r="AW323" s="25"/>
      <c r="AX323" s="25"/>
      <c r="AY323" s="25"/>
      <c r="AZ323" s="25"/>
      <c r="BA323" s="25"/>
      <c r="BB323" s="25"/>
      <c r="BC323" s="25"/>
      <c r="BD323" s="25"/>
      <c r="BE323" s="25"/>
      <c r="BF323" s="25"/>
      <c r="BG323" s="26"/>
      <c r="BH323" s="27"/>
      <c r="BI323" s="25"/>
      <c r="BJ323" s="25"/>
      <c r="BK323" s="25"/>
      <c r="BL323" s="25"/>
    </row>
    <row r="324" spans="1:64" ht="18" customHeight="1">
      <c r="A324" s="10" t="str">
        <f t="shared" si="28"/>
        <v>GJTOH_F_LABOR2.당월실적_B2B전년</v>
      </c>
      <c r="B324" s="7"/>
      <c r="C324" s="7"/>
      <c r="D324" s="7"/>
      <c r="E324" s="7"/>
      <c r="F324" s="7"/>
      <c r="G324" s="7" t="s">
        <v>11</v>
      </c>
      <c r="H324" s="7" t="s">
        <v>108</v>
      </c>
      <c r="I324" s="7" t="s">
        <v>96</v>
      </c>
      <c r="J324" s="23" t="s">
        <v>34</v>
      </c>
      <c r="K324" s="9"/>
      <c r="L324" s="24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6"/>
      <c r="X324" s="24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6"/>
      <c r="AJ324" s="24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6"/>
      <c r="AV324" s="24"/>
      <c r="AW324" s="25"/>
      <c r="AX324" s="25"/>
      <c r="AY324" s="25"/>
      <c r="AZ324" s="25"/>
      <c r="BA324" s="25"/>
      <c r="BB324" s="25"/>
      <c r="BC324" s="25"/>
      <c r="BD324" s="25"/>
      <c r="BE324" s="25"/>
      <c r="BF324" s="25"/>
      <c r="BG324" s="26"/>
      <c r="BH324" s="27"/>
      <c r="BI324" s="25"/>
      <c r="BJ324" s="25"/>
      <c r="BK324" s="25"/>
      <c r="BL324" s="25"/>
    </row>
    <row r="325" spans="1:64">
      <c r="A325" s="10" t="str">
        <f t="shared" si="28"/>
        <v>GNTOH_F_LABOR2.당월실적_B2B금년</v>
      </c>
      <c r="B325" s="7"/>
      <c r="C325" s="7"/>
      <c r="D325" s="7"/>
      <c r="E325" s="7"/>
      <c r="F325" s="7"/>
      <c r="G325" s="7" t="s">
        <v>13</v>
      </c>
      <c r="H325" s="7" t="s">
        <v>108</v>
      </c>
      <c r="I325" s="7" t="s">
        <v>96</v>
      </c>
      <c r="J325" s="10" t="s">
        <v>50</v>
      </c>
      <c r="K325" s="9"/>
      <c r="L325" s="24"/>
      <c r="M325" s="25"/>
      <c r="N325" s="25"/>
      <c r="O325" s="25"/>
      <c r="P325" s="25"/>
      <c r="Q325" s="25"/>
      <c r="R325" s="25"/>
      <c r="S325" s="25"/>
      <c r="T325" s="25"/>
      <c r="U325" s="25"/>
      <c r="V325" s="25"/>
      <c r="W325" s="26"/>
      <c r="X325" s="24"/>
      <c r="Y325" s="25"/>
      <c r="Z325" s="25"/>
      <c r="AA325" s="25"/>
      <c r="AB325" s="25"/>
      <c r="AC325" s="25"/>
      <c r="AD325" s="25"/>
      <c r="AE325" s="25"/>
      <c r="AF325" s="25"/>
      <c r="AG325" s="25"/>
      <c r="AH325" s="25"/>
      <c r="AI325" s="26"/>
      <c r="AJ325" s="24"/>
      <c r="AK325" s="25"/>
      <c r="AL325" s="25"/>
      <c r="AM325" s="25"/>
      <c r="AN325" s="25"/>
      <c r="AO325" s="25"/>
      <c r="AP325" s="25"/>
      <c r="AQ325" s="25"/>
      <c r="AR325" s="25"/>
      <c r="AS325" s="25"/>
      <c r="AT325" s="25"/>
      <c r="AU325" s="26"/>
      <c r="AV325" s="24"/>
      <c r="AW325" s="25"/>
      <c r="AX325" s="25"/>
      <c r="AY325" s="25"/>
      <c r="AZ325" s="25"/>
      <c r="BA325" s="25"/>
      <c r="BB325" s="25"/>
      <c r="BC325" s="25"/>
      <c r="BD325" s="25"/>
      <c r="BE325" s="25"/>
      <c r="BF325" s="25"/>
      <c r="BG325" s="26"/>
      <c r="BH325" s="27"/>
      <c r="BI325" s="25"/>
      <c r="BJ325" s="25"/>
      <c r="BK325" s="25"/>
      <c r="BL325" s="25"/>
    </row>
    <row r="326" spans="1:64">
      <c r="A326" s="10" t="str">
        <f t="shared" si="28"/>
        <v>GNTOH_F_LABOR2.당월실적_B2B전년</v>
      </c>
      <c r="B326" s="7"/>
      <c r="C326" s="7"/>
      <c r="D326" s="7"/>
      <c r="E326" s="7"/>
      <c r="F326" s="7"/>
      <c r="G326" s="7" t="s">
        <v>13</v>
      </c>
      <c r="H326" s="7" t="s">
        <v>108</v>
      </c>
      <c r="I326" s="7" t="s">
        <v>96</v>
      </c>
      <c r="J326" s="23" t="s">
        <v>34</v>
      </c>
      <c r="K326" s="9"/>
      <c r="L326" s="24"/>
      <c r="M326" s="25"/>
      <c r="N326" s="25"/>
      <c r="O326" s="25"/>
      <c r="P326" s="25"/>
      <c r="Q326" s="25"/>
      <c r="R326" s="25"/>
      <c r="S326" s="25"/>
      <c r="T326" s="25"/>
      <c r="U326" s="25"/>
      <c r="V326" s="25"/>
      <c r="W326" s="26"/>
      <c r="X326" s="24"/>
      <c r="Y326" s="25"/>
      <c r="Z326" s="25"/>
      <c r="AA326" s="25"/>
      <c r="AB326" s="25"/>
      <c r="AC326" s="25"/>
      <c r="AD326" s="25"/>
      <c r="AE326" s="25"/>
      <c r="AF326" s="25"/>
      <c r="AG326" s="25"/>
      <c r="AH326" s="25"/>
      <c r="AI326" s="26"/>
      <c r="AJ326" s="24"/>
      <c r="AK326" s="25"/>
      <c r="AL326" s="25"/>
      <c r="AM326" s="25"/>
      <c r="AN326" s="25"/>
      <c r="AO326" s="25"/>
      <c r="AP326" s="25"/>
      <c r="AQ326" s="25"/>
      <c r="AR326" s="25"/>
      <c r="AS326" s="25"/>
      <c r="AT326" s="25"/>
      <c r="AU326" s="26"/>
      <c r="AV326" s="24"/>
      <c r="AW326" s="25"/>
      <c r="AX326" s="25"/>
      <c r="AY326" s="25"/>
      <c r="AZ326" s="25"/>
      <c r="BA326" s="25"/>
      <c r="BB326" s="25"/>
      <c r="BC326" s="25"/>
      <c r="BD326" s="25"/>
      <c r="BE326" s="25"/>
      <c r="BF326" s="25"/>
      <c r="BG326" s="26"/>
      <c r="BH326" s="27"/>
      <c r="BI326" s="25"/>
      <c r="BJ326" s="25"/>
      <c r="BK326" s="25"/>
      <c r="BL326" s="25"/>
    </row>
    <row r="327" spans="1:64">
      <c r="A327" s="10" t="str">
        <f t="shared" si="28"/>
        <v>GOTOH_F_LABOR2.당월실적_B2B금년</v>
      </c>
      <c r="B327" s="7"/>
      <c r="C327" s="7"/>
      <c r="D327" s="7"/>
      <c r="E327" s="7"/>
      <c r="F327" s="7"/>
      <c r="G327" s="7" t="s">
        <v>94</v>
      </c>
      <c r="H327" s="7" t="s">
        <v>108</v>
      </c>
      <c r="I327" s="7" t="s">
        <v>96</v>
      </c>
      <c r="J327" s="10" t="s">
        <v>50</v>
      </c>
      <c r="K327" s="9"/>
      <c r="L327" s="24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6"/>
      <c r="X327" s="24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6"/>
      <c r="AJ327" s="24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6"/>
      <c r="AV327" s="24"/>
      <c r="AW327" s="25"/>
      <c r="AX327" s="25"/>
      <c r="AY327" s="25"/>
      <c r="AZ327" s="25"/>
      <c r="BA327" s="25"/>
      <c r="BB327" s="25"/>
      <c r="BC327" s="25"/>
      <c r="BD327" s="25"/>
      <c r="BE327" s="25"/>
      <c r="BF327" s="25"/>
      <c r="BG327" s="26"/>
      <c r="BH327" s="27"/>
      <c r="BI327" s="25"/>
      <c r="BJ327" s="25"/>
      <c r="BK327" s="25"/>
      <c r="BL327" s="25"/>
    </row>
    <row r="328" spans="1:64">
      <c r="A328" s="10" t="str">
        <f t="shared" si="28"/>
        <v>GOTOH_F_LABOR2.당월실적_B2B전년</v>
      </c>
      <c r="B328" s="7"/>
      <c r="C328" s="7"/>
      <c r="D328" s="7"/>
      <c r="E328" s="7"/>
      <c r="F328" s="7"/>
      <c r="G328" s="7" t="s">
        <v>94</v>
      </c>
      <c r="H328" s="7" t="s">
        <v>108</v>
      </c>
      <c r="I328" s="7" t="s">
        <v>96</v>
      </c>
      <c r="J328" s="23" t="s">
        <v>34</v>
      </c>
      <c r="K328" s="9"/>
      <c r="L328" s="24"/>
      <c r="M328" s="25"/>
      <c r="N328" s="25"/>
      <c r="O328" s="25"/>
      <c r="P328" s="25"/>
      <c r="Q328" s="25"/>
      <c r="R328" s="25"/>
      <c r="S328" s="25"/>
      <c r="T328" s="25"/>
      <c r="U328" s="25"/>
      <c r="V328" s="25"/>
      <c r="W328" s="26"/>
      <c r="X328" s="24"/>
      <c r="Y328" s="25"/>
      <c r="Z328" s="25"/>
      <c r="AA328" s="25"/>
      <c r="AB328" s="25"/>
      <c r="AC328" s="25"/>
      <c r="AD328" s="25"/>
      <c r="AE328" s="25"/>
      <c r="AF328" s="25"/>
      <c r="AG328" s="25"/>
      <c r="AH328" s="25"/>
      <c r="AI328" s="26"/>
      <c r="AJ328" s="24"/>
      <c r="AK328" s="25"/>
      <c r="AL328" s="25"/>
      <c r="AM328" s="25"/>
      <c r="AN328" s="25"/>
      <c r="AO328" s="25"/>
      <c r="AP328" s="25"/>
      <c r="AQ328" s="25"/>
      <c r="AR328" s="25"/>
      <c r="AS328" s="25"/>
      <c r="AT328" s="25"/>
      <c r="AU328" s="26"/>
      <c r="AV328" s="24"/>
      <c r="AW328" s="25"/>
      <c r="AX328" s="25"/>
      <c r="AY328" s="25"/>
      <c r="AZ328" s="25"/>
      <c r="BA328" s="25"/>
      <c r="BB328" s="25"/>
      <c r="BC328" s="25"/>
      <c r="BD328" s="25"/>
      <c r="BE328" s="25"/>
      <c r="BF328" s="25"/>
      <c r="BG328" s="26"/>
      <c r="BH328" s="27"/>
      <c r="BI328" s="25"/>
      <c r="BJ328" s="25"/>
      <c r="BK328" s="25"/>
      <c r="BL328" s="25"/>
    </row>
    <row r="329" spans="1:64">
      <c r="A329" s="10" t="str">
        <f t="shared" si="28"/>
        <v>PKTOH_F_LABOR2.당월실적_B2B금년</v>
      </c>
      <c r="B329" s="7"/>
      <c r="C329" s="7"/>
      <c r="D329" s="7"/>
      <c r="E329" s="7"/>
      <c r="F329" s="7"/>
      <c r="G329" s="7" t="s">
        <v>82</v>
      </c>
      <c r="H329" s="7" t="s">
        <v>108</v>
      </c>
      <c r="I329" s="7" t="s">
        <v>96</v>
      </c>
      <c r="J329" s="10" t="s">
        <v>50</v>
      </c>
      <c r="K329" s="9"/>
      <c r="L329" s="24"/>
      <c r="M329" s="25"/>
      <c r="N329" s="25"/>
      <c r="O329" s="25"/>
      <c r="P329" s="25"/>
      <c r="Q329" s="25"/>
      <c r="R329" s="25"/>
      <c r="S329" s="25"/>
      <c r="T329" s="25"/>
      <c r="U329" s="25"/>
      <c r="V329" s="25"/>
      <c r="W329" s="26"/>
      <c r="X329" s="24"/>
      <c r="Y329" s="25"/>
      <c r="Z329" s="25"/>
      <c r="AA329" s="25"/>
      <c r="AB329" s="25"/>
      <c r="AC329" s="25"/>
      <c r="AD329" s="25"/>
      <c r="AE329" s="25"/>
      <c r="AF329" s="25"/>
      <c r="AG329" s="25"/>
      <c r="AH329" s="25"/>
      <c r="AI329" s="26"/>
      <c r="AJ329" s="24"/>
      <c r="AK329" s="25"/>
      <c r="AL329" s="25"/>
      <c r="AM329" s="25"/>
      <c r="AN329" s="25"/>
      <c r="AO329" s="25"/>
      <c r="AP329" s="25"/>
      <c r="AQ329" s="25"/>
      <c r="AR329" s="25"/>
      <c r="AS329" s="25"/>
      <c r="AT329" s="25"/>
      <c r="AU329" s="26"/>
      <c r="AV329" s="24"/>
      <c r="AW329" s="25"/>
      <c r="AX329" s="25"/>
      <c r="AY329" s="25"/>
      <c r="AZ329" s="25"/>
      <c r="BA329" s="25"/>
      <c r="BB329" s="25"/>
      <c r="BC329" s="25"/>
      <c r="BD329" s="25"/>
      <c r="BE329" s="25"/>
      <c r="BF329" s="25"/>
      <c r="BG329" s="26"/>
      <c r="BH329" s="27"/>
      <c r="BI329" s="25"/>
      <c r="BJ329" s="25"/>
      <c r="BK329" s="25"/>
      <c r="BL329" s="25"/>
    </row>
    <row r="330" spans="1:64">
      <c r="A330" s="10" t="str">
        <f t="shared" si="28"/>
        <v>PKTOH_F_LABOR2.당월실적_B2B전년</v>
      </c>
      <c r="B330" s="7"/>
      <c r="C330" s="7"/>
      <c r="D330" s="7"/>
      <c r="E330" s="7"/>
      <c r="F330" s="7"/>
      <c r="G330" s="7" t="s">
        <v>82</v>
      </c>
      <c r="H330" s="7" t="s">
        <v>108</v>
      </c>
      <c r="I330" s="7" t="s">
        <v>96</v>
      </c>
      <c r="J330" s="23" t="s">
        <v>34</v>
      </c>
      <c r="K330" s="9"/>
      <c r="L330" s="24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6"/>
      <c r="X330" s="24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6"/>
      <c r="AJ330" s="24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6"/>
      <c r="AV330" s="24"/>
      <c r="AW330" s="25"/>
      <c r="AX330" s="25"/>
      <c r="AY330" s="25"/>
      <c r="AZ330" s="25"/>
      <c r="BA330" s="25"/>
      <c r="BB330" s="25"/>
      <c r="BC330" s="25"/>
      <c r="BD330" s="25"/>
      <c r="BE330" s="25"/>
      <c r="BF330" s="25"/>
      <c r="BG330" s="26"/>
      <c r="BH330" s="27"/>
      <c r="BI330" s="25"/>
      <c r="BJ330" s="25"/>
      <c r="BK330" s="25"/>
      <c r="BL330" s="25"/>
    </row>
    <row r="331" spans="1:64">
      <c r="A331" s="10" t="str">
        <f t="shared" si="28"/>
        <v>DMTOH_F_LABOR2.당월실적_B2B금년</v>
      </c>
      <c r="B331" s="7"/>
      <c r="C331" s="7"/>
      <c r="D331" s="7"/>
      <c r="E331" s="7"/>
      <c r="F331" s="7"/>
      <c r="G331" s="7" t="s">
        <v>9</v>
      </c>
      <c r="H331" s="7" t="s">
        <v>108</v>
      </c>
      <c r="I331" s="7" t="s">
        <v>96</v>
      </c>
      <c r="J331" s="10" t="s">
        <v>50</v>
      </c>
      <c r="K331" s="9"/>
      <c r="L331" s="24"/>
      <c r="M331" s="25"/>
      <c r="N331" s="25"/>
      <c r="O331" s="25"/>
      <c r="P331" s="25"/>
      <c r="Q331" s="25"/>
      <c r="R331" s="25"/>
      <c r="S331" s="25"/>
      <c r="T331" s="25"/>
      <c r="U331" s="25"/>
      <c r="V331" s="25"/>
      <c r="W331" s="26"/>
      <c r="X331" s="24"/>
      <c r="Y331" s="25"/>
      <c r="Z331" s="25"/>
      <c r="AA331" s="25"/>
      <c r="AB331" s="25"/>
      <c r="AC331" s="25"/>
      <c r="AD331" s="25"/>
      <c r="AE331" s="25"/>
      <c r="AF331" s="25"/>
      <c r="AG331" s="25"/>
      <c r="AH331" s="25"/>
      <c r="AI331" s="26"/>
      <c r="AJ331" s="24"/>
      <c r="AK331" s="25"/>
      <c r="AL331" s="25"/>
      <c r="AM331" s="25"/>
      <c r="AN331" s="25"/>
      <c r="AO331" s="25"/>
      <c r="AP331" s="25"/>
      <c r="AQ331" s="25"/>
      <c r="AR331" s="25"/>
      <c r="AS331" s="25"/>
      <c r="AT331" s="25"/>
      <c r="AU331" s="26"/>
      <c r="AV331" s="24"/>
      <c r="AW331" s="25"/>
      <c r="AX331" s="25"/>
      <c r="AY331" s="25"/>
      <c r="AZ331" s="25"/>
      <c r="BA331" s="25"/>
      <c r="BB331" s="25"/>
      <c r="BC331" s="25"/>
      <c r="BD331" s="25"/>
      <c r="BE331" s="25"/>
      <c r="BF331" s="25"/>
      <c r="BG331" s="26"/>
      <c r="BH331" s="27"/>
      <c r="BI331" s="25"/>
      <c r="BJ331" s="25"/>
      <c r="BK331" s="25"/>
      <c r="BL331" s="25"/>
    </row>
    <row r="332" spans="1:64">
      <c r="A332" s="10" t="str">
        <f t="shared" si="28"/>
        <v>DMTOH_F_LABOR2.당월실적_B2B전년</v>
      </c>
      <c r="B332" s="7"/>
      <c r="C332" s="7"/>
      <c r="D332" s="7"/>
      <c r="E332" s="7"/>
      <c r="F332" s="7"/>
      <c r="G332" s="7" t="s">
        <v>9</v>
      </c>
      <c r="H332" s="7" t="s">
        <v>108</v>
      </c>
      <c r="I332" s="7" t="s">
        <v>96</v>
      </c>
      <c r="J332" s="23" t="s">
        <v>34</v>
      </c>
      <c r="K332" s="9"/>
      <c r="L332" s="24"/>
      <c r="M332" s="25"/>
      <c r="N332" s="25"/>
      <c r="O332" s="25"/>
      <c r="P332" s="25"/>
      <c r="Q332" s="25"/>
      <c r="R332" s="25"/>
      <c r="S332" s="25"/>
      <c r="T332" s="25"/>
      <c r="U332" s="25"/>
      <c r="V332" s="25"/>
      <c r="W332" s="26"/>
      <c r="X332" s="24"/>
      <c r="Y332" s="25"/>
      <c r="Z332" s="25"/>
      <c r="AA332" s="25"/>
      <c r="AB332" s="25"/>
      <c r="AC332" s="25"/>
      <c r="AD332" s="25"/>
      <c r="AE332" s="25"/>
      <c r="AF332" s="25"/>
      <c r="AG332" s="25"/>
      <c r="AH332" s="25"/>
      <c r="AI332" s="26"/>
      <c r="AJ332" s="24"/>
      <c r="AK332" s="25"/>
      <c r="AL332" s="25"/>
      <c r="AM332" s="25"/>
      <c r="AN332" s="25"/>
      <c r="AO332" s="25"/>
      <c r="AP332" s="25"/>
      <c r="AQ332" s="25"/>
      <c r="AR332" s="25"/>
      <c r="AS332" s="25"/>
      <c r="AT332" s="25"/>
      <c r="AU332" s="26"/>
      <c r="AV332" s="24"/>
      <c r="AW332" s="25"/>
      <c r="AX332" s="25"/>
      <c r="AY332" s="25"/>
      <c r="AZ332" s="25"/>
      <c r="BA332" s="25"/>
      <c r="BB332" s="25"/>
      <c r="BC332" s="25"/>
      <c r="BD332" s="25"/>
      <c r="BE332" s="25"/>
      <c r="BF332" s="25"/>
      <c r="BG332" s="26"/>
      <c r="BH332" s="27"/>
      <c r="BI332" s="25"/>
      <c r="BJ332" s="25"/>
      <c r="BK332" s="25"/>
      <c r="BL332" s="25"/>
    </row>
    <row r="333" spans="1:64">
      <c r="A333" s="10" t="str">
        <f t="shared" si="28"/>
        <v>DTTOH_F_LABOR2.당월실적_B2B금년</v>
      </c>
      <c r="B333" s="7"/>
      <c r="C333" s="7"/>
      <c r="D333" s="7"/>
      <c r="E333" s="7"/>
      <c r="F333" s="7"/>
      <c r="G333" s="7" t="s">
        <v>95</v>
      </c>
      <c r="H333" s="7" t="s">
        <v>108</v>
      </c>
      <c r="I333" s="7" t="s">
        <v>96</v>
      </c>
      <c r="J333" s="10" t="s">
        <v>50</v>
      </c>
      <c r="K333" s="9"/>
      <c r="L333" s="24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6"/>
      <c r="X333" s="24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6"/>
      <c r="AJ333" s="24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6"/>
      <c r="AV333" s="24"/>
      <c r="AW333" s="25"/>
      <c r="AX333" s="25"/>
      <c r="AY333" s="25"/>
      <c r="AZ333" s="25"/>
      <c r="BA333" s="25"/>
      <c r="BB333" s="25"/>
      <c r="BC333" s="25"/>
      <c r="BD333" s="25"/>
      <c r="BE333" s="25"/>
      <c r="BF333" s="25"/>
      <c r="BG333" s="26"/>
      <c r="BH333" s="27"/>
      <c r="BI333" s="25"/>
      <c r="BJ333" s="25"/>
      <c r="BK333" s="25"/>
      <c r="BL333" s="25"/>
    </row>
    <row r="334" spans="1:64">
      <c r="A334" s="10" t="str">
        <f t="shared" si="28"/>
        <v>DTTOH_F_LABOR2.당월실적_B2B전년</v>
      </c>
      <c r="B334" s="7"/>
      <c r="C334" s="7"/>
      <c r="D334" s="7"/>
      <c r="E334" s="7"/>
      <c r="F334" s="7"/>
      <c r="G334" s="7" t="s">
        <v>95</v>
      </c>
      <c r="H334" s="7" t="s">
        <v>108</v>
      </c>
      <c r="I334" s="7" t="s">
        <v>96</v>
      </c>
      <c r="J334" s="23" t="s">
        <v>34</v>
      </c>
      <c r="K334" s="9"/>
      <c r="L334" s="24"/>
      <c r="M334" s="25"/>
      <c r="N334" s="25"/>
      <c r="O334" s="25"/>
      <c r="P334" s="25"/>
      <c r="Q334" s="25"/>
      <c r="R334" s="25"/>
      <c r="S334" s="25"/>
      <c r="T334" s="25"/>
      <c r="U334" s="25"/>
      <c r="V334" s="25"/>
      <c r="W334" s="26"/>
      <c r="X334" s="24"/>
      <c r="Y334" s="25"/>
      <c r="Z334" s="25"/>
      <c r="AA334" s="25"/>
      <c r="AB334" s="25"/>
      <c r="AC334" s="25"/>
      <c r="AD334" s="25"/>
      <c r="AE334" s="25"/>
      <c r="AF334" s="25"/>
      <c r="AG334" s="25"/>
      <c r="AH334" s="25"/>
      <c r="AI334" s="26"/>
      <c r="AJ334" s="24"/>
      <c r="AK334" s="25"/>
      <c r="AL334" s="25"/>
      <c r="AM334" s="25"/>
      <c r="AN334" s="25"/>
      <c r="AO334" s="25"/>
      <c r="AP334" s="25"/>
      <c r="AQ334" s="25"/>
      <c r="AR334" s="25"/>
      <c r="AS334" s="25"/>
      <c r="AT334" s="25"/>
      <c r="AU334" s="26"/>
      <c r="AV334" s="24"/>
      <c r="AW334" s="25"/>
      <c r="AX334" s="25"/>
      <c r="AY334" s="25"/>
      <c r="AZ334" s="25"/>
      <c r="BA334" s="25"/>
      <c r="BB334" s="25"/>
      <c r="BC334" s="25"/>
      <c r="BD334" s="25"/>
      <c r="BE334" s="25"/>
      <c r="BF334" s="25"/>
      <c r="BG334" s="26"/>
      <c r="BH334" s="27"/>
      <c r="BI334" s="25"/>
      <c r="BJ334" s="25"/>
      <c r="BK334" s="25"/>
      <c r="BL334" s="25"/>
    </row>
    <row r="335" spans="1:64">
      <c r="A335" s="10" t="str">
        <f t="shared" si="28"/>
        <v>PGTOH_F_LABOR2.당월실적_B2B금년</v>
      </c>
      <c r="B335" s="7"/>
      <c r="C335" s="7"/>
      <c r="D335" s="7"/>
      <c r="E335" s="7"/>
      <c r="F335" s="7"/>
      <c r="G335" s="7" t="s">
        <v>18</v>
      </c>
      <c r="H335" s="7" t="s">
        <v>108</v>
      </c>
      <c r="I335" s="7" t="s">
        <v>96</v>
      </c>
      <c r="J335" s="10" t="s">
        <v>50</v>
      </c>
      <c r="K335" s="9"/>
      <c r="L335" s="24"/>
      <c r="M335" s="25"/>
      <c r="N335" s="25"/>
      <c r="O335" s="25"/>
      <c r="P335" s="25"/>
      <c r="Q335" s="25"/>
      <c r="R335" s="25"/>
      <c r="S335" s="25"/>
      <c r="T335" s="25"/>
      <c r="U335" s="25"/>
      <c r="V335" s="25"/>
      <c r="W335" s="26"/>
      <c r="X335" s="24"/>
      <c r="Y335" s="25"/>
      <c r="Z335" s="25"/>
      <c r="AA335" s="25"/>
      <c r="AB335" s="25"/>
      <c r="AC335" s="25"/>
      <c r="AD335" s="25"/>
      <c r="AE335" s="25"/>
      <c r="AF335" s="25"/>
      <c r="AG335" s="25"/>
      <c r="AH335" s="25"/>
      <c r="AI335" s="26"/>
      <c r="AJ335" s="24"/>
      <c r="AK335" s="25"/>
      <c r="AL335" s="25"/>
      <c r="AM335" s="25"/>
      <c r="AN335" s="25"/>
      <c r="AO335" s="25"/>
      <c r="AP335" s="25"/>
      <c r="AQ335" s="25"/>
      <c r="AR335" s="25"/>
      <c r="AS335" s="25"/>
      <c r="AT335" s="25"/>
      <c r="AU335" s="26"/>
      <c r="AV335" s="24"/>
      <c r="AW335" s="25"/>
      <c r="AX335" s="25"/>
      <c r="AY335" s="25"/>
      <c r="AZ335" s="25"/>
      <c r="BA335" s="25"/>
      <c r="BB335" s="25"/>
      <c r="BC335" s="25"/>
      <c r="BD335" s="25"/>
      <c r="BE335" s="25"/>
      <c r="BF335" s="25"/>
      <c r="BG335" s="26"/>
      <c r="BH335" s="27"/>
      <c r="BI335" s="25"/>
      <c r="BJ335" s="25"/>
      <c r="BK335" s="25"/>
      <c r="BL335" s="25"/>
    </row>
    <row r="336" spans="1:64">
      <c r="A336" s="10" t="str">
        <f t="shared" si="28"/>
        <v>PGTOH_F_LABOR2.당월실적_B2B전년</v>
      </c>
      <c r="B336" s="7"/>
      <c r="C336" s="7"/>
      <c r="D336" s="7"/>
      <c r="E336" s="7"/>
      <c r="F336" s="7"/>
      <c r="G336" s="7" t="s">
        <v>18</v>
      </c>
      <c r="H336" s="7" t="s">
        <v>108</v>
      </c>
      <c r="I336" s="7" t="s">
        <v>96</v>
      </c>
      <c r="J336" s="23" t="s">
        <v>34</v>
      </c>
      <c r="K336" s="9"/>
      <c r="L336" s="24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6"/>
      <c r="X336" s="24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6"/>
      <c r="AJ336" s="24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6"/>
      <c r="AV336" s="24"/>
      <c r="AW336" s="25"/>
      <c r="AX336" s="25"/>
      <c r="AY336" s="25"/>
      <c r="AZ336" s="25"/>
      <c r="BA336" s="25"/>
      <c r="BB336" s="25"/>
      <c r="BC336" s="25"/>
      <c r="BD336" s="25"/>
      <c r="BE336" s="25"/>
      <c r="BF336" s="25"/>
      <c r="BG336" s="26"/>
      <c r="BH336" s="27"/>
      <c r="BI336" s="25"/>
      <c r="BJ336" s="25"/>
      <c r="BK336" s="25"/>
      <c r="BL336" s="25"/>
    </row>
    <row r="337" spans="1:64">
      <c r="A337" s="6"/>
      <c r="K337" s="9"/>
    </row>
    <row r="338" spans="1:64">
      <c r="A338" s="10" t="str">
        <f t="shared" ref="A338:A357" si="29">TRIM(B338)&amp;TRIM(C338)&amp;TRIM(D338)&amp;TRIM(E338)&amp;TRIM(F338)&amp;TRIM(G338)&amp;TRIM(H338)&amp;TRIM(I338)&amp;TRIM(J338)</f>
        <v>GLTOH_F_AD_PROMOTION2.당월실적_B2C금년</v>
      </c>
      <c r="B338" s="7"/>
      <c r="C338" s="7"/>
      <c r="D338" s="7"/>
      <c r="E338" s="7"/>
      <c r="F338" s="7"/>
      <c r="G338" s="7" t="s">
        <v>12</v>
      </c>
      <c r="H338" s="7" t="s">
        <v>109</v>
      </c>
      <c r="I338" s="7" t="s">
        <v>55</v>
      </c>
      <c r="J338" s="10" t="s">
        <v>50</v>
      </c>
      <c r="K338" s="9"/>
      <c r="L338" s="24"/>
      <c r="M338" s="25"/>
      <c r="N338" s="25"/>
      <c r="O338" s="25"/>
      <c r="P338" s="25"/>
      <c r="Q338" s="25"/>
      <c r="R338" s="25"/>
      <c r="S338" s="25"/>
      <c r="T338" s="25"/>
      <c r="U338" s="25"/>
      <c r="V338" s="25"/>
      <c r="W338" s="26"/>
      <c r="X338" s="24"/>
      <c r="Y338" s="25"/>
      <c r="Z338" s="25"/>
      <c r="AA338" s="25"/>
      <c r="AB338" s="25"/>
      <c r="AC338" s="25"/>
      <c r="AD338" s="25"/>
      <c r="AE338" s="25"/>
      <c r="AF338" s="25"/>
      <c r="AG338" s="25"/>
      <c r="AH338" s="25"/>
      <c r="AI338" s="26"/>
      <c r="AJ338" s="24"/>
      <c r="AK338" s="25"/>
      <c r="AL338" s="25"/>
      <c r="AM338" s="25"/>
      <c r="AN338" s="25"/>
      <c r="AO338" s="25"/>
      <c r="AP338" s="25"/>
      <c r="AQ338" s="25"/>
      <c r="AR338" s="25"/>
      <c r="AS338" s="25"/>
      <c r="AT338" s="25"/>
      <c r="AU338" s="26"/>
      <c r="AV338" s="24"/>
      <c r="AW338" s="25"/>
      <c r="AX338" s="25"/>
      <c r="AY338" s="25"/>
      <c r="AZ338" s="25"/>
      <c r="BA338" s="25"/>
      <c r="BB338" s="25"/>
      <c r="BC338" s="25"/>
      <c r="BD338" s="25"/>
      <c r="BE338" s="25"/>
      <c r="BF338" s="25"/>
      <c r="BG338" s="26"/>
      <c r="BH338" s="27"/>
      <c r="BI338" s="25"/>
      <c r="BJ338" s="25"/>
      <c r="BK338" s="25"/>
      <c r="BL338" s="25"/>
    </row>
    <row r="339" spans="1:64">
      <c r="A339" s="10" t="str">
        <f t="shared" si="29"/>
        <v>GLTOH_F_AD_PROMOTION2.당월실적_B2C전년</v>
      </c>
      <c r="B339" s="7"/>
      <c r="C339" s="7"/>
      <c r="D339" s="7"/>
      <c r="E339" s="7"/>
      <c r="F339" s="7"/>
      <c r="G339" s="7" t="s">
        <v>12</v>
      </c>
      <c r="H339" s="7" t="s">
        <v>109</v>
      </c>
      <c r="I339" s="7" t="s">
        <v>55</v>
      </c>
      <c r="J339" s="23" t="s">
        <v>34</v>
      </c>
      <c r="K339" s="9"/>
      <c r="L339" s="24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6"/>
      <c r="X339" s="24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6"/>
      <c r="AJ339" s="24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6"/>
      <c r="AV339" s="24"/>
      <c r="AW339" s="25"/>
      <c r="AX339" s="25"/>
      <c r="AY339" s="25"/>
      <c r="AZ339" s="25"/>
      <c r="BA339" s="25"/>
      <c r="BB339" s="25"/>
      <c r="BC339" s="25"/>
      <c r="BD339" s="25"/>
      <c r="BE339" s="25"/>
      <c r="BF339" s="25"/>
      <c r="BG339" s="26"/>
      <c r="BH339" s="27"/>
      <c r="BI339" s="25"/>
      <c r="BJ339" s="25"/>
      <c r="BK339" s="25"/>
      <c r="BL339" s="25"/>
    </row>
    <row r="340" spans="1:64">
      <c r="A340" s="10" t="str">
        <f t="shared" si="29"/>
        <v>GTTOH_F_AD_PROMOTION2.당월실적_B2C금년</v>
      </c>
      <c r="B340" s="7"/>
      <c r="C340" s="7"/>
      <c r="D340" s="7"/>
      <c r="E340" s="7"/>
      <c r="F340" s="7"/>
      <c r="G340" s="7" t="s">
        <v>14</v>
      </c>
      <c r="H340" s="7" t="s">
        <v>109</v>
      </c>
      <c r="I340" s="7" t="s">
        <v>55</v>
      </c>
      <c r="J340" s="10" t="s">
        <v>50</v>
      </c>
      <c r="K340" s="9"/>
      <c r="L340" s="24"/>
      <c r="M340" s="25"/>
      <c r="N340" s="25"/>
      <c r="O340" s="25"/>
      <c r="P340" s="25"/>
      <c r="Q340" s="25"/>
      <c r="R340" s="25"/>
      <c r="S340" s="25"/>
      <c r="T340" s="25"/>
      <c r="U340" s="25"/>
      <c r="V340" s="25"/>
      <c r="W340" s="26"/>
      <c r="X340" s="24"/>
      <c r="Y340" s="25"/>
      <c r="Z340" s="25"/>
      <c r="AA340" s="25"/>
      <c r="AB340" s="25"/>
      <c r="AC340" s="25"/>
      <c r="AD340" s="25"/>
      <c r="AE340" s="25"/>
      <c r="AF340" s="25"/>
      <c r="AG340" s="25"/>
      <c r="AH340" s="25"/>
      <c r="AI340" s="26"/>
      <c r="AJ340" s="24"/>
      <c r="AK340" s="25"/>
      <c r="AL340" s="25"/>
      <c r="AM340" s="25"/>
      <c r="AN340" s="25"/>
      <c r="AO340" s="25"/>
      <c r="AP340" s="25"/>
      <c r="AQ340" s="25"/>
      <c r="AR340" s="25"/>
      <c r="AS340" s="25"/>
      <c r="AT340" s="25"/>
      <c r="AU340" s="26"/>
      <c r="AV340" s="24"/>
      <c r="AW340" s="25"/>
      <c r="AX340" s="25"/>
      <c r="AY340" s="25"/>
      <c r="AZ340" s="25"/>
      <c r="BA340" s="25"/>
      <c r="BB340" s="25"/>
      <c r="BC340" s="25"/>
      <c r="BD340" s="25"/>
      <c r="BE340" s="25"/>
      <c r="BF340" s="25"/>
      <c r="BG340" s="26"/>
      <c r="BH340" s="27"/>
      <c r="BI340" s="25"/>
      <c r="BJ340" s="25"/>
      <c r="BK340" s="25"/>
      <c r="BL340" s="25"/>
    </row>
    <row r="341" spans="1:64">
      <c r="A341" s="10" t="str">
        <f t="shared" si="29"/>
        <v>GTTOH_F_AD_PROMOTION2.당월실적_B2C전년</v>
      </c>
      <c r="B341" s="7"/>
      <c r="C341" s="7"/>
      <c r="D341" s="7"/>
      <c r="E341" s="7"/>
      <c r="F341" s="7"/>
      <c r="G341" s="7" t="s">
        <v>14</v>
      </c>
      <c r="H341" s="7" t="s">
        <v>109</v>
      </c>
      <c r="I341" s="7" t="s">
        <v>55</v>
      </c>
      <c r="J341" s="23" t="s">
        <v>34</v>
      </c>
      <c r="K341" s="9"/>
      <c r="L341" s="24"/>
      <c r="M341" s="25"/>
      <c r="N341" s="25"/>
      <c r="O341" s="25"/>
      <c r="P341" s="25"/>
      <c r="Q341" s="25"/>
      <c r="R341" s="25"/>
      <c r="S341" s="25"/>
      <c r="T341" s="25"/>
      <c r="U341" s="25"/>
      <c r="V341" s="25"/>
      <c r="W341" s="26"/>
      <c r="X341" s="24"/>
      <c r="Y341" s="25"/>
      <c r="Z341" s="25"/>
      <c r="AA341" s="25"/>
      <c r="AB341" s="25"/>
      <c r="AC341" s="25"/>
      <c r="AD341" s="25"/>
      <c r="AE341" s="25"/>
      <c r="AF341" s="25"/>
      <c r="AG341" s="25"/>
      <c r="AH341" s="25"/>
      <c r="AI341" s="26"/>
      <c r="AJ341" s="24"/>
      <c r="AK341" s="25"/>
      <c r="AL341" s="25"/>
      <c r="AM341" s="25"/>
      <c r="AN341" s="25"/>
      <c r="AO341" s="25"/>
      <c r="AP341" s="25"/>
      <c r="AQ341" s="25"/>
      <c r="AR341" s="25"/>
      <c r="AS341" s="25"/>
      <c r="AT341" s="25"/>
      <c r="AU341" s="26"/>
      <c r="AV341" s="24"/>
      <c r="AW341" s="25"/>
      <c r="AX341" s="25"/>
      <c r="AY341" s="25"/>
      <c r="AZ341" s="25"/>
      <c r="BA341" s="25"/>
      <c r="BB341" s="25"/>
      <c r="BC341" s="25"/>
      <c r="BD341" s="25"/>
      <c r="BE341" s="25"/>
      <c r="BF341" s="25"/>
      <c r="BG341" s="26"/>
      <c r="BH341" s="27"/>
      <c r="BI341" s="25"/>
      <c r="BJ341" s="25"/>
      <c r="BK341" s="25"/>
      <c r="BL341" s="25"/>
    </row>
    <row r="342" spans="1:64">
      <c r="A342" s="10" t="str">
        <f t="shared" si="29"/>
        <v>PNTOH_F_AD_PROMOTION2.당월실적_B2C금년</v>
      </c>
      <c r="B342" s="7"/>
      <c r="C342" s="7"/>
      <c r="D342" s="7"/>
      <c r="E342" s="7"/>
      <c r="F342" s="7"/>
      <c r="G342" s="7" t="s">
        <v>16</v>
      </c>
      <c r="H342" s="7" t="s">
        <v>109</v>
      </c>
      <c r="I342" s="7" t="s">
        <v>55</v>
      </c>
      <c r="J342" s="10" t="s">
        <v>50</v>
      </c>
      <c r="K342" s="9"/>
      <c r="L342" s="24"/>
      <c r="M342" s="25"/>
      <c r="N342" s="25"/>
      <c r="O342" s="25"/>
      <c r="P342" s="25"/>
      <c r="Q342" s="25"/>
      <c r="R342" s="25"/>
      <c r="S342" s="25"/>
      <c r="T342" s="25"/>
      <c r="U342" s="25"/>
      <c r="V342" s="25"/>
      <c r="W342" s="26"/>
      <c r="X342" s="24"/>
      <c r="Y342" s="25"/>
      <c r="Z342" s="25"/>
      <c r="AA342" s="25"/>
      <c r="AB342" s="25"/>
      <c r="AC342" s="25"/>
      <c r="AD342" s="25"/>
      <c r="AE342" s="25"/>
      <c r="AF342" s="25"/>
      <c r="AG342" s="25"/>
      <c r="AH342" s="25"/>
      <c r="AI342" s="26"/>
      <c r="AJ342" s="24"/>
      <c r="AK342" s="25"/>
      <c r="AL342" s="25"/>
      <c r="AM342" s="25"/>
      <c r="AN342" s="25"/>
      <c r="AO342" s="25"/>
      <c r="AP342" s="25"/>
      <c r="AQ342" s="25"/>
      <c r="AR342" s="25"/>
      <c r="AS342" s="25"/>
      <c r="AT342" s="25"/>
      <c r="AU342" s="26"/>
      <c r="AV342" s="24"/>
      <c r="AW342" s="25"/>
      <c r="AX342" s="25"/>
      <c r="AY342" s="25"/>
      <c r="AZ342" s="25"/>
      <c r="BA342" s="25"/>
      <c r="BB342" s="25"/>
      <c r="BC342" s="25"/>
      <c r="BD342" s="25"/>
      <c r="BE342" s="25"/>
      <c r="BF342" s="25"/>
      <c r="BG342" s="26"/>
      <c r="BH342" s="27"/>
      <c r="BI342" s="25"/>
      <c r="BJ342" s="25"/>
      <c r="BK342" s="25"/>
      <c r="BL342" s="25"/>
    </row>
    <row r="343" spans="1:64">
      <c r="A343" s="10" t="str">
        <f t="shared" si="29"/>
        <v>PNTOH_F_AD_PROMOTION2.당월실적_B2C전년</v>
      </c>
      <c r="B343" s="7"/>
      <c r="C343" s="7"/>
      <c r="D343" s="7"/>
      <c r="E343" s="7"/>
      <c r="F343" s="7"/>
      <c r="G343" s="7" t="s">
        <v>16</v>
      </c>
      <c r="H343" s="7" t="s">
        <v>109</v>
      </c>
      <c r="I343" s="7" t="s">
        <v>55</v>
      </c>
      <c r="J343" s="23" t="s">
        <v>34</v>
      </c>
      <c r="K343" s="9"/>
      <c r="L343" s="24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6"/>
      <c r="X343" s="24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6"/>
      <c r="AJ343" s="24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6"/>
      <c r="AV343" s="24"/>
      <c r="AW343" s="25"/>
      <c r="AX343" s="25"/>
      <c r="AY343" s="25"/>
      <c r="AZ343" s="25"/>
      <c r="BA343" s="25"/>
      <c r="BB343" s="25"/>
      <c r="BC343" s="25"/>
      <c r="BD343" s="25"/>
      <c r="BE343" s="25"/>
      <c r="BF343" s="25"/>
      <c r="BG343" s="26"/>
      <c r="BH343" s="27"/>
      <c r="BI343" s="25"/>
      <c r="BJ343" s="25"/>
      <c r="BK343" s="25"/>
      <c r="BL343" s="25"/>
    </row>
    <row r="344" spans="1:64">
      <c r="A344" s="10" t="str">
        <f t="shared" si="29"/>
        <v>MSTOH_F_AD_PROMOTION2.당월실적_B2C금년</v>
      </c>
      <c r="B344" s="7"/>
      <c r="C344" s="7"/>
      <c r="D344" s="7"/>
      <c r="E344" s="7"/>
      <c r="F344" s="7"/>
      <c r="G344" s="7" t="s">
        <v>15</v>
      </c>
      <c r="H344" s="7" t="s">
        <v>109</v>
      </c>
      <c r="I344" s="7" t="s">
        <v>55</v>
      </c>
      <c r="J344" s="10" t="s">
        <v>50</v>
      </c>
      <c r="K344" s="9"/>
      <c r="L344" s="24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6"/>
      <c r="X344" s="24"/>
      <c r="Y344" s="25"/>
      <c r="Z344" s="25"/>
      <c r="AA344" s="25"/>
      <c r="AB344" s="25"/>
      <c r="AC344" s="25"/>
      <c r="AD344" s="25"/>
      <c r="AE344" s="25"/>
      <c r="AF344" s="25"/>
      <c r="AG344" s="25"/>
      <c r="AH344" s="25"/>
      <c r="AI344" s="26"/>
      <c r="AJ344" s="24"/>
      <c r="AK344" s="25"/>
      <c r="AL344" s="25"/>
      <c r="AM344" s="25"/>
      <c r="AN344" s="25"/>
      <c r="AO344" s="25"/>
      <c r="AP344" s="25"/>
      <c r="AQ344" s="25"/>
      <c r="AR344" s="25"/>
      <c r="AS344" s="25"/>
      <c r="AT344" s="25"/>
      <c r="AU344" s="26"/>
      <c r="AV344" s="24"/>
      <c r="AW344" s="25"/>
      <c r="AX344" s="25"/>
      <c r="AY344" s="25"/>
      <c r="AZ344" s="25"/>
      <c r="BA344" s="25"/>
      <c r="BB344" s="25"/>
      <c r="BC344" s="25"/>
      <c r="BD344" s="25"/>
      <c r="BE344" s="25"/>
      <c r="BF344" s="25"/>
      <c r="BG344" s="26"/>
      <c r="BH344" s="27"/>
      <c r="BI344" s="25"/>
      <c r="BJ344" s="25"/>
      <c r="BK344" s="25"/>
      <c r="BL344" s="25"/>
    </row>
    <row r="345" spans="1:64">
      <c r="A345" s="10" t="str">
        <f t="shared" si="29"/>
        <v>MSTOH_F_AD_PROMOTION2.당월실적_B2C전년</v>
      </c>
      <c r="B345" s="7"/>
      <c r="C345" s="7"/>
      <c r="D345" s="7"/>
      <c r="E345" s="7"/>
      <c r="F345" s="7"/>
      <c r="G345" s="7" t="s">
        <v>15</v>
      </c>
      <c r="H345" s="7" t="s">
        <v>109</v>
      </c>
      <c r="I345" s="7" t="s">
        <v>55</v>
      </c>
      <c r="J345" s="23" t="s">
        <v>34</v>
      </c>
      <c r="K345" s="9"/>
      <c r="L345" s="24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6"/>
      <c r="X345" s="24"/>
      <c r="Y345" s="25"/>
      <c r="Z345" s="25"/>
      <c r="AA345" s="25"/>
      <c r="AB345" s="25"/>
      <c r="AC345" s="25"/>
      <c r="AD345" s="25"/>
      <c r="AE345" s="25"/>
      <c r="AF345" s="25"/>
      <c r="AG345" s="25"/>
      <c r="AH345" s="25"/>
      <c r="AI345" s="26"/>
      <c r="AJ345" s="24"/>
      <c r="AK345" s="25"/>
      <c r="AL345" s="25"/>
      <c r="AM345" s="25"/>
      <c r="AN345" s="25"/>
      <c r="AO345" s="25"/>
      <c r="AP345" s="25"/>
      <c r="AQ345" s="25"/>
      <c r="AR345" s="25"/>
      <c r="AS345" s="25"/>
      <c r="AT345" s="25"/>
      <c r="AU345" s="26"/>
      <c r="AV345" s="24"/>
      <c r="AW345" s="25"/>
      <c r="AX345" s="25"/>
      <c r="AY345" s="25"/>
      <c r="AZ345" s="25"/>
      <c r="BA345" s="25"/>
      <c r="BB345" s="25"/>
      <c r="BC345" s="25"/>
      <c r="BD345" s="25"/>
      <c r="BE345" s="25"/>
      <c r="BF345" s="25"/>
      <c r="BG345" s="26"/>
      <c r="BH345" s="27"/>
      <c r="BI345" s="25"/>
      <c r="BJ345" s="25"/>
      <c r="BK345" s="25"/>
      <c r="BL345" s="25"/>
    </row>
    <row r="346" spans="1:64">
      <c r="A346" s="10" t="str">
        <f t="shared" si="29"/>
        <v>CNTOH_F_AD_PROMOTION2.당월실적_B2C금년</v>
      </c>
      <c r="B346" s="7"/>
      <c r="C346" s="7"/>
      <c r="D346" s="7"/>
      <c r="E346" s="7"/>
      <c r="F346" s="7"/>
      <c r="G346" s="7" t="s">
        <v>6</v>
      </c>
      <c r="H346" s="7" t="s">
        <v>109</v>
      </c>
      <c r="I346" s="7" t="s">
        <v>55</v>
      </c>
      <c r="J346" s="10" t="s">
        <v>50</v>
      </c>
      <c r="K346" s="9"/>
      <c r="L346" s="24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6"/>
      <c r="X346" s="24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6"/>
      <c r="AJ346" s="24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6"/>
      <c r="AV346" s="24"/>
      <c r="AW346" s="25"/>
      <c r="AX346" s="25"/>
      <c r="AY346" s="25"/>
      <c r="AZ346" s="25"/>
      <c r="BA346" s="25"/>
      <c r="BB346" s="25"/>
      <c r="BC346" s="25"/>
      <c r="BD346" s="25"/>
      <c r="BE346" s="25"/>
      <c r="BF346" s="25"/>
      <c r="BG346" s="26"/>
      <c r="BH346" s="27"/>
      <c r="BI346" s="25"/>
      <c r="BJ346" s="25"/>
      <c r="BK346" s="25"/>
      <c r="BL346" s="25"/>
    </row>
    <row r="347" spans="1:64">
      <c r="A347" s="10" t="str">
        <f t="shared" si="29"/>
        <v>CNTOH_F_AD_PROMOTION2.당월실적_B2C전년</v>
      </c>
      <c r="B347" s="7"/>
      <c r="C347" s="7"/>
      <c r="D347" s="7"/>
      <c r="E347" s="7"/>
      <c r="F347" s="7"/>
      <c r="G347" s="7" t="s">
        <v>6</v>
      </c>
      <c r="H347" s="7" t="s">
        <v>109</v>
      </c>
      <c r="I347" s="7" t="s">
        <v>55</v>
      </c>
      <c r="J347" s="23" t="s">
        <v>34</v>
      </c>
      <c r="K347" s="9"/>
      <c r="L347" s="24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6"/>
      <c r="X347" s="24"/>
      <c r="Y347" s="25"/>
      <c r="Z347" s="25"/>
      <c r="AA347" s="25"/>
      <c r="AB347" s="25"/>
      <c r="AC347" s="25"/>
      <c r="AD347" s="25"/>
      <c r="AE347" s="25"/>
      <c r="AF347" s="25"/>
      <c r="AG347" s="25"/>
      <c r="AH347" s="25"/>
      <c r="AI347" s="26"/>
      <c r="AJ347" s="24"/>
      <c r="AK347" s="25"/>
      <c r="AL347" s="25"/>
      <c r="AM347" s="25"/>
      <c r="AN347" s="25"/>
      <c r="AO347" s="25"/>
      <c r="AP347" s="25"/>
      <c r="AQ347" s="25"/>
      <c r="AR347" s="25"/>
      <c r="AS347" s="25"/>
      <c r="AT347" s="25"/>
      <c r="AU347" s="26"/>
      <c r="AV347" s="24"/>
      <c r="AW347" s="25"/>
      <c r="AX347" s="25"/>
      <c r="AY347" s="25"/>
      <c r="AZ347" s="25"/>
      <c r="BA347" s="25"/>
      <c r="BB347" s="25"/>
      <c r="BC347" s="25"/>
      <c r="BD347" s="25"/>
      <c r="BE347" s="25"/>
      <c r="BF347" s="25"/>
      <c r="BG347" s="26"/>
      <c r="BH347" s="27"/>
      <c r="BI347" s="25"/>
      <c r="BJ347" s="25"/>
      <c r="BK347" s="25"/>
      <c r="BL347" s="25"/>
    </row>
    <row r="348" spans="1:64">
      <c r="A348" s="10" t="str">
        <f t="shared" si="29"/>
        <v>DFTOH_F_AD_PROMOTION2.당월실적_B2C금년</v>
      </c>
      <c r="B348" s="7"/>
      <c r="C348" s="7"/>
      <c r="D348" s="7"/>
      <c r="E348" s="7"/>
      <c r="F348" s="7"/>
      <c r="G348" s="7" t="s">
        <v>7</v>
      </c>
      <c r="H348" s="7" t="s">
        <v>109</v>
      </c>
      <c r="I348" s="7" t="str">
        <f t="shared" ref="I348:I357" si="30">I338</f>
        <v>2.당월실적_B2C</v>
      </c>
      <c r="J348" s="10" t="s">
        <v>50</v>
      </c>
      <c r="K348" s="9"/>
      <c r="L348" s="24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6"/>
      <c r="X348" s="24"/>
      <c r="Y348" s="25"/>
      <c r="Z348" s="25"/>
      <c r="AA348" s="25"/>
      <c r="AB348" s="25"/>
      <c r="AC348" s="25"/>
      <c r="AD348" s="25"/>
      <c r="AE348" s="25"/>
      <c r="AF348" s="25"/>
      <c r="AG348" s="25"/>
      <c r="AH348" s="25"/>
      <c r="AI348" s="26"/>
      <c r="AJ348" s="24"/>
      <c r="AK348" s="25"/>
      <c r="AL348" s="25"/>
      <c r="AM348" s="25"/>
      <c r="AN348" s="25"/>
      <c r="AO348" s="25"/>
      <c r="AP348" s="25"/>
      <c r="AQ348" s="25"/>
      <c r="AR348" s="25"/>
      <c r="AS348" s="25"/>
      <c r="AT348" s="25"/>
      <c r="AU348" s="26"/>
      <c r="AV348" s="24"/>
      <c r="AW348" s="25"/>
      <c r="AX348" s="25"/>
      <c r="AY348" s="25"/>
      <c r="AZ348" s="25"/>
      <c r="BA348" s="25"/>
      <c r="BB348" s="25"/>
      <c r="BC348" s="25"/>
      <c r="BD348" s="25"/>
      <c r="BE348" s="25"/>
      <c r="BF348" s="25"/>
      <c r="BG348" s="26"/>
      <c r="BH348" s="27"/>
      <c r="BI348" s="25"/>
      <c r="BJ348" s="25"/>
      <c r="BK348" s="25"/>
      <c r="BL348" s="25"/>
    </row>
    <row r="349" spans="1:64">
      <c r="A349" s="10" t="str">
        <f t="shared" si="29"/>
        <v>DFTOH_F_AD_PROMOTION2.당월실적_B2C전년</v>
      </c>
      <c r="B349" s="7"/>
      <c r="C349" s="7"/>
      <c r="D349" s="7"/>
      <c r="E349" s="7"/>
      <c r="F349" s="7"/>
      <c r="G349" s="7" t="s">
        <v>7</v>
      </c>
      <c r="H349" s="7" t="s">
        <v>109</v>
      </c>
      <c r="I349" s="7" t="str">
        <f t="shared" si="30"/>
        <v>2.당월실적_B2C</v>
      </c>
      <c r="J349" s="23" t="s">
        <v>34</v>
      </c>
      <c r="K349" s="9"/>
      <c r="L349" s="24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6"/>
      <c r="X349" s="24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6"/>
      <c r="AJ349" s="24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6"/>
      <c r="AV349" s="24"/>
      <c r="AW349" s="25"/>
      <c r="AX349" s="25"/>
      <c r="AY349" s="25"/>
      <c r="AZ349" s="25"/>
      <c r="BA349" s="25"/>
      <c r="BB349" s="25"/>
      <c r="BC349" s="25"/>
      <c r="BD349" s="25"/>
      <c r="BE349" s="25"/>
      <c r="BF349" s="25"/>
      <c r="BG349" s="26"/>
      <c r="BH349" s="27"/>
      <c r="BI349" s="25"/>
      <c r="BJ349" s="25"/>
      <c r="BK349" s="25"/>
      <c r="BL349" s="25"/>
    </row>
    <row r="350" spans="1:64">
      <c r="A350" s="10" t="str">
        <f t="shared" si="29"/>
        <v>DGTOH_F_AD_PROMOTION2.당월실적_B2C금년</v>
      </c>
      <c r="B350" s="7"/>
      <c r="C350" s="7"/>
      <c r="D350" s="7"/>
      <c r="E350" s="7"/>
      <c r="F350" s="7"/>
      <c r="G350" s="7" t="s">
        <v>8</v>
      </c>
      <c r="H350" s="7" t="s">
        <v>109</v>
      </c>
      <c r="I350" s="7" t="str">
        <f t="shared" si="30"/>
        <v>2.당월실적_B2C</v>
      </c>
      <c r="J350" s="10" t="s">
        <v>50</v>
      </c>
      <c r="K350" s="9"/>
      <c r="L350" s="24"/>
      <c r="M350" s="25"/>
      <c r="N350" s="25"/>
      <c r="O350" s="25"/>
      <c r="P350" s="25"/>
      <c r="Q350" s="25"/>
      <c r="R350" s="25"/>
      <c r="S350" s="25"/>
      <c r="T350" s="25"/>
      <c r="U350" s="25"/>
      <c r="V350" s="25"/>
      <c r="W350" s="26"/>
      <c r="X350" s="24"/>
      <c r="Y350" s="25"/>
      <c r="Z350" s="25"/>
      <c r="AA350" s="25"/>
      <c r="AB350" s="25"/>
      <c r="AC350" s="25"/>
      <c r="AD350" s="25"/>
      <c r="AE350" s="25"/>
      <c r="AF350" s="25"/>
      <c r="AG350" s="25"/>
      <c r="AH350" s="25"/>
      <c r="AI350" s="26"/>
      <c r="AJ350" s="24"/>
      <c r="AK350" s="25"/>
      <c r="AL350" s="25"/>
      <c r="AM350" s="25"/>
      <c r="AN350" s="25"/>
      <c r="AO350" s="25"/>
      <c r="AP350" s="25"/>
      <c r="AQ350" s="25"/>
      <c r="AR350" s="25"/>
      <c r="AS350" s="25"/>
      <c r="AT350" s="25"/>
      <c r="AU350" s="26"/>
      <c r="AV350" s="24"/>
      <c r="AW350" s="25"/>
      <c r="AX350" s="25"/>
      <c r="AY350" s="25"/>
      <c r="AZ350" s="25"/>
      <c r="BA350" s="25"/>
      <c r="BB350" s="25"/>
      <c r="BC350" s="25"/>
      <c r="BD350" s="25"/>
      <c r="BE350" s="25"/>
      <c r="BF350" s="25"/>
      <c r="BG350" s="26"/>
      <c r="BH350" s="27"/>
      <c r="BI350" s="25"/>
      <c r="BJ350" s="25"/>
      <c r="BK350" s="25"/>
      <c r="BL350" s="25"/>
    </row>
    <row r="351" spans="1:64">
      <c r="A351" s="10" t="str">
        <f t="shared" si="29"/>
        <v>DGTOH_F_AD_PROMOTION2.당월실적_B2C전년</v>
      </c>
      <c r="B351" s="7"/>
      <c r="C351" s="7"/>
      <c r="D351" s="7"/>
      <c r="E351" s="7"/>
      <c r="F351" s="7"/>
      <c r="G351" s="7" t="s">
        <v>8</v>
      </c>
      <c r="H351" s="7" t="s">
        <v>109</v>
      </c>
      <c r="I351" s="7" t="str">
        <f t="shared" si="30"/>
        <v>2.당월실적_B2C</v>
      </c>
      <c r="J351" s="23" t="s">
        <v>34</v>
      </c>
      <c r="K351" s="9"/>
      <c r="L351" s="24"/>
      <c r="M351" s="25"/>
      <c r="N351" s="25"/>
      <c r="O351" s="25"/>
      <c r="P351" s="25"/>
      <c r="Q351" s="25"/>
      <c r="R351" s="25"/>
      <c r="S351" s="25"/>
      <c r="T351" s="25"/>
      <c r="U351" s="25"/>
      <c r="V351" s="25"/>
      <c r="W351" s="26"/>
      <c r="X351" s="24"/>
      <c r="Y351" s="25"/>
      <c r="Z351" s="25"/>
      <c r="AA351" s="25"/>
      <c r="AB351" s="25"/>
      <c r="AC351" s="25"/>
      <c r="AD351" s="25"/>
      <c r="AE351" s="25"/>
      <c r="AF351" s="25"/>
      <c r="AG351" s="25"/>
      <c r="AH351" s="25"/>
      <c r="AI351" s="26"/>
      <c r="AJ351" s="24"/>
      <c r="AK351" s="25"/>
      <c r="AL351" s="25"/>
      <c r="AM351" s="25"/>
      <c r="AN351" s="25"/>
      <c r="AO351" s="25"/>
      <c r="AP351" s="25"/>
      <c r="AQ351" s="25"/>
      <c r="AR351" s="25"/>
      <c r="AS351" s="25"/>
      <c r="AT351" s="25"/>
      <c r="AU351" s="26"/>
      <c r="AV351" s="24"/>
      <c r="AW351" s="25"/>
      <c r="AX351" s="25"/>
      <c r="AY351" s="25"/>
      <c r="AZ351" s="25"/>
      <c r="BA351" s="25"/>
      <c r="BB351" s="25"/>
      <c r="BC351" s="25"/>
      <c r="BD351" s="25"/>
      <c r="BE351" s="25"/>
      <c r="BF351" s="25"/>
      <c r="BG351" s="26"/>
      <c r="BH351" s="27"/>
      <c r="BI351" s="25"/>
      <c r="BJ351" s="25"/>
      <c r="BK351" s="25"/>
      <c r="BL351" s="25"/>
    </row>
    <row r="352" spans="1:64">
      <c r="A352" s="10" t="str">
        <f t="shared" si="29"/>
        <v>PCTOH_F_AD_PROMOTION2.당월실적_B2C금년</v>
      </c>
      <c r="B352" s="7"/>
      <c r="C352" s="7"/>
      <c r="D352" s="7"/>
      <c r="E352" s="7"/>
      <c r="F352" s="7"/>
      <c r="G352" s="7" t="s">
        <v>19</v>
      </c>
      <c r="H352" s="7" t="s">
        <v>109</v>
      </c>
      <c r="I352" s="7" t="str">
        <f t="shared" si="30"/>
        <v>2.당월실적_B2C</v>
      </c>
      <c r="J352" s="10" t="s">
        <v>50</v>
      </c>
      <c r="K352" s="9"/>
      <c r="L352" s="24"/>
      <c r="M352" s="25"/>
      <c r="N352" s="25"/>
      <c r="O352" s="25"/>
      <c r="P352" s="25"/>
      <c r="Q352" s="25"/>
      <c r="R352" s="25"/>
      <c r="S352" s="25"/>
      <c r="T352" s="25"/>
      <c r="U352" s="25"/>
      <c r="V352" s="25"/>
      <c r="W352" s="26"/>
      <c r="X352" s="24"/>
      <c r="Y352" s="25"/>
      <c r="Z352" s="25"/>
      <c r="AA352" s="25"/>
      <c r="AB352" s="25"/>
      <c r="AC352" s="25"/>
      <c r="AD352" s="25"/>
      <c r="AE352" s="25"/>
      <c r="AF352" s="25"/>
      <c r="AG352" s="25"/>
      <c r="AH352" s="25"/>
      <c r="AI352" s="26"/>
      <c r="AJ352" s="24"/>
      <c r="AK352" s="25"/>
      <c r="AL352" s="25"/>
      <c r="AM352" s="25"/>
      <c r="AN352" s="25"/>
      <c r="AO352" s="25"/>
      <c r="AP352" s="25"/>
      <c r="AQ352" s="25"/>
      <c r="AR352" s="25"/>
      <c r="AS352" s="25"/>
      <c r="AT352" s="25"/>
      <c r="AU352" s="26"/>
      <c r="AV352" s="24"/>
      <c r="AW352" s="25"/>
      <c r="AX352" s="25"/>
      <c r="AY352" s="25"/>
      <c r="AZ352" s="25"/>
      <c r="BA352" s="25"/>
      <c r="BB352" s="25"/>
      <c r="BC352" s="25"/>
      <c r="BD352" s="25"/>
      <c r="BE352" s="25"/>
      <c r="BF352" s="25"/>
      <c r="BG352" s="26"/>
      <c r="BH352" s="27"/>
      <c r="BI352" s="25"/>
      <c r="BJ352" s="25"/>
      <c r="BK352" s="25"/>
      <c r="BL352" s="25"/>
    </row>
    <row r="353" spans="1:64">
      <c r="A353" s="10" t="str">
        <f t="shared" si="29"/>
        <v>PCTOH_F_AD_PROMOTION2.당월실적_B2C전년</v>
      </c>
      <c r="B353" s="7"/>
      <c r="C353" s="7"/>
      <c r="D353" s="7"/>
      <c r="E353" s="7"/>
      <c r="F353" s="7"/>
      <c r="G353" s="7" t="s">
        <v>19</v>
      </c>
      <c r="H353" s="7" t="s">
        <v>109</v>
      </c>
      <c r="I353" s="7" t="str">
        <f t="shared" si="30"/>
        <v>2.당월실적_B2C</v>
      </c>
      <c r="J353" s="23" t="s">
        <v>34</v>
      </c>
      <c r="K353" s="9"/>
      <c r="L353" s="24"/>
      <c r="M353" s="25"/>
      <c r="N353" s="25"/>
      <c r="O353" s="25"/>
      <c r="P353" s="25"/>
      <c r="Q353" s="25"/>
      <c r="R353" s="25"/>
      <c r="S353" s="25"/>
      <c r="T353" s="25"/>
      <c r="U353" s="25"/>
      <c r="V353" s="25"/>
      <c r="W353" s="26"/>
      <c r="X353" s="24"/>
      <c r="Y353" s="25"/>
      <c r="Z353" s="25"/>
      <c r="AA353" s="25"/>
      <c r="AB353" s="25"/>
      <c r="AC353" s="25"/>
      <c r="AD353" s="25"/>
      <c r="AE353" s="25"/>
      <c r="AF353" s="25"/>
      <c r="AG353" s="25"/>
      <c r="AH353" s="25"/>
      <c r="AI353" s="26"/>
      <c r="AJ353" s="24"/>
      <c r="AK353" s="25"/>
      <c r="AL353" s="25"/>
      <c r="AM353" s="25"/>
      <c r="AN353" s="25"/>
      <c r="AO353" s="25"/>
      <c r="AP353" s="25"/>
      <c r="AQ353" s="25"/>
      <c r="AR353" s="25"/>
      <c r="AS353" s="25"/>
      <c r="AT353" s="25"/>
      <c r="AU353" s="26"/>
      <c r="AV353" s="24"/>
      <c r="AW353" s="25"/>
      <c r="AX353" s="25"/>
      <c r="AY353" s="25"/>
      <c r="AZ353" s="25"/>
      <c r="BA353" s="25"/>
      <c r="BB353" s="25"/>
      <c r="BC353" s="25"/>
      <c r="BD353" s="25"/>
      <c r="BE353" s="25"/>
      <c r="BF353" s="25"/>
      <c r="BG353" s="26"/>
      <c r="BH353" s="27"/>
      <c r="BI353" s="25"/>
      <c r="BJ353" s="25"/>
      <c r="BK353" s="25"/>
      <c r="BL353" s="25"/>
    </row>
    <row r="354" spans="1:64">
      <c r="A354" s="10" t="str">
        <f t="shared" si="29"/>
        <v>PSTOH_F_AD_PROMOTION2.당월실적_B2C금년</v>
      </c>
      <c r="B354" s="7"/>
      <c r="C354" s="7"/>
      <c r="D354" s="7"/>
      <c r="E354" s="7"/>
      <c r="F354" s="7"/>
      <c r="G354" s="7" t="s">
        <v>17</v>
      </c>
      <c r="H354" s="7" t="s">
        <v>109</v>
      </c>
      <c r="I354" s="7" t="str">
        <f t="shared" si="30"/>
        <v>2.당월실적_B2C</v>
      </c>
      <c r="J354" s="10" t="s">
        <v>50</v>
      </c>
      <c r="K354" s="9"/>
      <c r="L354" s="24"/>
      <c r="M354" s="25"/>
      <c r="N354" s="25"/>
      <c r="O354" s="25"/>
      <c r="P354" s="25"/>
      <c r="Q354" s="25"/>
      <c r="R354" s="25"/>
      <c r="S354" s="25"/>
      <c r="T354" s="25"/>
      <c r="U354" s="25"/>
      <c r="V354" s="25"/>
      <c r="W354" s="26"/>
      <c r="X354" s="24"/>
      <c r="Y354" s="25"/>
      <c r="Z354" s="25"/>
      <c r="AA354" s="25"/>
      <c r="AB354" s="25"/>
      <c r="AC354" s="25"/>
      <c r="AD354" s="25"/>
      <c r="AE354" s="25"/>
      <c r="AF354" s="25"/>
      <c r="AG354" s="25"/>
      <c r="AH354" s="25"/>
      <c r="AI354" s="26"/>
      <c r="AJ354" s="24"/>
      <c r="AK354" s="25"/>
      <c r="AL354" s="25"/>
      <c r="AM354" s="25"/>
      <c r="AN354" s="25"/>
      <c r="AO354" s="25"/>
      <c r="AP354" s="25"/>
      <c r="AQ354" s="25"/>
      <c r="AR354" s="25"/>
      <c r="AS354" s="25"/>
      <c r="AT354" s="25"/>
      <c r="AU354" s="26"/>
      <c r="AV354" s="24"/>
      <c r="AW354" s="25"/>
      <c r="AX354" s="25"/>
      <c r="AY354" s="25"/>
      <c r="AZ354" s="25"/>
      <c r="BA354" s="25"/>
      <c r="BB354" s="25"/>
      <c r="BC354" s="25"/>
      <c r="BD354" s="25"/>
      <c r="BE354" s="25"/>
      <c r="BF354" s="25"/>
      <c r="BG354" s="26"/>
      <c r="BH354" s="27"/>
      <c r="BI354" s="25"/>
      <c r="BJ354" s="25"/>
      <c r="BK354" s="25"/>
      <c r="BL354" s="25"/>
    </row>
    <row r="355" spans="1:64">
      <c r="A355" s="10" t="str">
        <f t="shared" si="29"/>
        <v>PSTOH_F_AD_PROMOTION2.당월실적_B2C전년</v>
      </c>
      <c r="B355" s="7"/>
      <c r="C355" s="7"/>
      <c r="D355" s="7"/>
      <c r="E355" s="7"/>
      <c r="F355" s="7"/>
      <c r="G355" s="7" t="s">
        <v>17</v>
      </c>
      <c r="H355" s="7" t="s">
        <v>109</v>
      </c>
      <c r="I355" s="7" t="str">
        <f t="shared" si="30"/>
        <v>2.당월실적_B2C</v>
      </c>
      <c r="J355" s="23" t="s">
        <v>34</v>
      </c>
      <c r="K355" s="9"/>
      <c r="L355" s="24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6"/>
      <c r="X355" s="24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6"/>
      <c r="AJ355" s="24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6"/>
      <c r="AV355" s="24"/>
      <c r="AW355" s="25"/>
      <c r="AX355" s="25"/>
      <c r="AY355" s="25"/>
      <c r="AZ355" s="25"/>
      <c r="BA355" s="25"/>
      <c r="BB355" s="25"/>
      <c r="BC355" s="25"/>
      <c r="BD355" s="25"/>
      <c r="BE355" s="25"/>
      <c r="BF355" s="25"/>
      <c r="BG355" s="26"/>
      <c r="BH355" s="27"/>
      <c r="BI355" s="25"/>
      <c r="BJ355" s="25"/>
      <c r="BK355" s="25"/>
      <c r="BL355" s="25"/>
    </row>
    <row r="356" spans="1:64">
      <c r="A356" s="10" t="str">
        <f t="shared" si="29"/>
        <v>DVTOH_F_AD_PROMOTION2.당월실적_B2C금년</v>
      </c>
      <c r="B356" s="7"/>
      <c r="C356" s="7"/>
      <c r="D356" s="7"/>
      <c r="E356" s="7"/>
      <c r="F356" s="7"/>
      <c r="G356" s="7" t="s">
        <v>10</v>
      </c>
      <c r="H356" s="7" t="s">
        <v>109</v>
      </c>
      <c r="I356" s="7" t="str">
        <f t="shared" si="30"/>
        <v>2.당월실적_B2C</v>
      </c>
      <c r="J356" s="10" t="s">
        <v>50</v>
      </c>
      <c r="K356" s="9"/>
      <c r="L356" s="24"/>
      <c r="M356" s="25"/>
      <c r="N356" s="25"/>
      <c r="O356" s="25"/>
      <c r="P356" s="25"/>
      <c r="Q356" s="25"/>
      <c r="R356" s="25"/>
      <c r="S356" s="25"/>
      <c r="T356" s="25"/>
      <c r="U356" s="25"/>
      <c r="V356" s="25"/>
      <c r="W356" s="26"/>
      <c r="X356" s="24"/>
      <c r="Y356" s="25"/>
      <c r="Z356" s="25"/>
      <c r="AA356" s="25"/>
      <c r="AB356" s="25"/>
      <c r="AC356" s="25"/>
      <c r="AD356" s="25"/>
      <c r="AE356" s="25"/>
      <c r="AF356" s="25"/>
      <c r="AG356" s="25"/>
      <c r="AH356" s="25"/>
      <c r="AI356" s="26"/>
      <c r="AJ356" s="24"/>
      <c r="AK356" s="25"/>
      <c r="AL356" s="25"/>
      <c r="AM356" s="25"/>
      <c r="AN356" s="25"/>
      <c r="AO356" s="25"/>
      <c r="AP356" s="25"/>
      <c r="AQ356" s="25"/>
      <c r="AR356" s="25"/>
      <c r="AS356" s="25"/>
      <c r="AT356" s="25"/>
      <c r="AU356" s="26"/>
      <c r="AV356" s="24"/>
      <c r="AW356" s="25"/>
      <c r="AX356" s="25"/>
      <c r="AY356" s="25"/>
      <c r="AZ356" s="25"/>
      <c r="BA356" s="25"/>
      <c r="BB356" s="25"/>
      <c r="BC356" s="25"/>
      <c r="BD356" s="25"/>
      <c r="BE356" s="25"/>
      <c r="BF356" s="25"/>
      <c r="BG356" s="26"/>
      <c r="BH356" s="27"/>
      <c r="BI356" s="25"/>
      <c r="BJ356" s="25"/>
      <c r="BK356" s="25"/>
      <c r="BL356" s="25"/>
    </row>
    <row r="357" spans="1:64">
      <c r="A357" s="10" t="str">
        <f t="shared" si="29"/>
        <v>DVTOH_F_AD_PROMOTION2.당월실적_B2C전년</v>
      </c>
      <c r="B357" s="7"/>
      <c r="C357" s="7"/>
      <c r="D357" s="7"/>
      <c r="E357" s="7"/>
      <c r="F357" s="7"/>
      <c r="G357" s="7" t="s">
        <v>10</v>
      </c>
      <c r="H357" s="7" t="s">
        <v>109</v>
      </c>
      <c r="I357" s="7" t="str">
        <f t="shared" si="30"/>
        <v>2.당월실적_B2C</v>
      </c>
      <c r="J357" s="23" t="s">
        <v>34</v>
      </c>
      <c r="K357" s="9"/>
      <c r="L357" s="24"/>
      <c r="M357" s="25"/>
      <c r="N357" s="25"/>
      <c r="O357" s="25"/>
      <c r="P357" s="25"/>
      <c r="Q357" s="25"/>
      <c r="R357" s="25"/>
      <c r="S357" s="25"/>
      <c r="T357" s="25"/>
      <c r="U357" s="25"/>
      <c r="V357" s="25"/>
      <c r="W357" s="26"/>
      <c r="X357" s="24"/>
      <c r="Y357" s="25"/>
      <c r="Z357" s="25"/>
      <c r="AA357" s="25"/>
      <c r="AB357" s="25"/>
      <c r="AC357" s="25"/>
      <c r="AD357" s="25"/>
      <c r="AE357" s="25"/>
      <c r="AF357" s="25"/>
      <c r="AG357" s="25"/>
      <c r="AH357" s="25"/>
      <c r="AI357" s="26"/>
      <c r="AJ357" s="24"/>
      <c r="AK357" s="25"/>
      <c r="AL357" s="25"/>
      <c r="AM357" s="25"/>
      <c r="AN357" s="25"/>
      <c r="AO357" s="25"/>
      <c r="AP357" s="25"/>
      <c r="AQ357" s="25"/>
      <c r="AR357" s="25"/>
      <c r="AS357" s="25"/>
      <c r="AT357" s="25"/>
      <c r="AU357" s="26"/>
      <c r="AV357" s="24"/>
      <c r="AW357" s="25"/>
      <c r="AX357" s="25"/>
      <c r="AY357" s="25"/>
      <c r="AZ357" s="25"/>
      <c r="BA357" s="25"/>
      <c r="BB357" s="25"/>
      <c r="BC357" s="25"/>
      <c r="BD357" s="25"/>
      <c r="BE357" s="25"/>
      <c r="BF357" s="25"/>
      <c r="BG357" s="26"/>
      <c r="BH357" s="27"/>
      <c r="BI357" s="25"/>
      <c r="BJ357" s="25"/>
      <c r="BK357" s="25"/>
      <c r="BL357" s="25"/>
    </row>
    <row r="358" spans="1:64">
      <c r="A358" s="6"/>
      <c r="H358" t="s">
        <v>109</v>
      </c>
      <c r="K358" s="9"/>
    </row>
    <row r="359" spans="1:64">
      <c r="A359" s="10" t="str">
        <f t="shared" ref="A359:A372" si="31">TRIM(B359)&amp;TRIM(C359)&amp;TRIM(D359)&amp;TRIM(E359)&amp;TRIM(F359)&amp;TRIM(G359)&amp;TRIM(H359)&amp;TRIM(I359)&amp;TRIM(J359)</f>
        <v>GJTOH_F_AD_PROMOTION2.당월실적_B2B금년</v>
      </c>
      <c r="B359" s="7"/>
      <c r="C359" s="7"/>
      <c r="D359" s="7"/>
      <c r="E359" s="7"/>
      <c r="F359" s="7"/>
      <c r="G359" s="7" t="s">
        <v>11</v>
      </c>
      <c r="H359" s="7" t="s">
        <v>109</v>
      </c>
      <c r="I359" s="7" t="s">
        <v>96</v>
      </c>
      <c r="J359" s="10" t="s">
        <v>50</v>
      </c>
      <c r="K359" s="9"/>
      <c r="L359" s="24"/>
      <c r="M359" s="25"/>
      <c r="N359" s="25"/>
      <c r="O359" s="25"/>
      <c r="P359" s="25"/>
      <c r="Q359" s="25"/>
      <c r="R359" s="25"/>
      <c r="S359" s="25"/>
      <c r="T359" s="25"/>
      <c r="U359" s="25"/>
      <c r="V359" s="25"/>
      <c r="W359" s="26"/>
      <c r="X359" s="24"/>
      <c r="Y359" s="25"/>
      <c r="Z359" s="25"/>
      <c r="AA359" s="25"/>
      <c r="AB359" s="25"/>
      <c r="AC359" s="25"/>
      <c r="AD359" s="25"/>
      <c r="AE359" s="25"/>
      <c r="AF359" s="25"/>
      <c r="AG359" s="25"/>
      <c r="AH359" s="25"/>
      <c r="AI359" s="26"/>
      <c r="AJ359" s="24"/>
      <c r="AK359" s="25"/>
      <c r="AL359" s="25"/>
      <c r="AM359" s="25"/>
      <c r="AN359" s="25"/>
      <c r="AO359" s="25"/>
      <c r="AP359" s="25"/>
      <c r="AQ359" s="25"/>
      <c r="AR359" s="25"/>
      <c r="AS359" s="25"/>
      <c r="AT359" s="25"/>
      <c r="AU359" s="26"/>
      <c r="AV359" s="24"/>
      <c r="AW359" s="25"/>
      <c r="AX359" s="25"/>
      <c r="AY359" s="25"/>
      <c r="AZ359" s="25"/>
      <c r="BA359" s="25"/>
      <c r="BB359" s="25"/>
      <c r="BC359" s="25"/>
      <c r="BD359" s="25"/>
      <c r="BE359" s="25"/>
      <c r="BF359" s="25"/>
      <c r="BG359" s="26"/>
      <c r="BH359" s="27"/>
      <c r="BI359" s="25"/>
      <c r="BJ359" s="25"/>
      <c r="BK359" s="25"/>
      <c r="BL359" s="25"/>
    </row>
    <row r="360" spans="1:64" ht="18" customHeight="1">
      <c r="A360" s="10" t="str">
        <f t="shared" si="31"/>
        <v>GJTOH_F_AD_PROMOTION2.당월실적_B2B전년</v>
      </c>
      <c r="B360" s="7"/>
      <c r="C360" s="7"/>
      <c r="D360" s="7"/>
      <c r="E360" s="7"/>
      <c r="F360" s="7"/>
      <c r="G360" s="7" t="s">
        <v>11</v>
      </c>
      <c r="H360" s="7" t="s">
        <v>109</v>
      </c>
      <c r="I360" s="7" t="s">
        <v>96</v>
      </c>
      <c r="J360" s="23" t="s">
        <v>34</v>
      </c>
      <c r="K360" s="9"/>
      <c r="L360" s="24"/>
      <c r="M360" s="25"/>
      <c r="N360" s="25"/>
      <c r="O360" s="25"/>
      <c r="P360" s="25"/>
      <c r="Q360" s="25"/>
      <c r="R360" s="25"/>
      <c r="S360" s="25"/>
      <c r="T360" s="25"/>
      <c r="U360" s="25"/>
      <c r="V360" s="25"/>
      <c r="W360" s="26"/>
      <c r="X360" s="24"/>
      <c r="Y360" s="25"/>
      <c r="Z360" s="25"/>
      <c r="AA360" s="25"/>
      <c r="AB360" s="25"/>
      <c r="AC360" s="25"/>
      <c r="AD360" s="25"/>
      <c r="AE360" s="25"/>
      <c r="AF360" s="25"/>
      <c r="AG360" s="25"/>
      <c r="AH360" s="25"/>
      <c r="AI360" s="26"/>
      <c r="AJ360" s="24"/>
      <c r="AK360" s="25"/>
      <c r="AL360" s="25"/>
      <c r="AM360" s="25"/>
      <c r="AN360" s="25"/>
      <c r="AO360" s="25"/>
      <c r="AP360" s="25"/>
      <c r="AQ360" s="25"/>
      <c r="AR360" s="25"/>
      <c r="AS360" s="25"/>
      <c r="AT360" s="25"/>
      <c r="AU360" s="26"/>
      <c r="AV360" s="24"/>
      <c r="AW360" s="25"/>
      <c r="AX360" s="25"/>
      <c r="AY360" s="25"/>
      <c r="AZ360" s="25"/>
      <c r="BA360" s="25"/>
      <c r="BB360" s="25"/>
      <c r="BC360" s="25"/>
      <c r="BD360" s="25"/>
      <c r="BE360" s="25"/>
      <c r="BF360" s="25"/>
      <c r="BG360" s="26"/>
      <c r="BH360" s="27"/>
      <c r="BI360" s="25"/>
      <c r="BJ360" s="25"/>
      <c r="BK360" s="25"/>
      <c r="BL360" s="25"/>
    </row>
    <row r="361" spans="1:64">
      <c r="A361" s="10" t="str">
        <f t="shared" si="31"/>
        <v>GNTOH_F_AD_PROMOTION2.당월실적_B2B금년</v>
      </c>
      <c r="B361" s="7"/>
      <c r="C361" s="7"/>
      <c r="D361" s="7"/>
      <c r="E361" s="7"/>
      <c r="F361" s="7"/>
      <c r="G361" s="7" t="s">
        <v>13</v>
      </c>
      <c r="H361" s="7" t="s">
        <v>109</v>
      </c>
      <c r="I361" s="7" t="s">
        <v>96</v>
      </c>
      <c r="J361" s="10" t="s">
        <v>50</v>
      </c>
      <c r="K361" s="9"/>
      <c r="L361" s="24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6"/>
      <c r="X361" s="24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6"/>
      <c r="AJ361" s="24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6"/>
      <c r="AV361" s="24"/>
      <c r="AW361" s="25"/>
      <c r="AX361" s="25"/>
      <c r="AY361" s="25"/>
      <c r="AZ361" s="25"/>
      <c r="BA361" s="25"/>
      <c r="BB361" s="25"/>
      <c r="BC361" s="25"/>
      <c r="BD361" s="25"/>
      <c r="BE361" s="25"/>
      <c r="BF361" s="25"/>
      <c r="BG361" s="26"/>
      <c r="BH361" s="27"/>
      <c r="BI361" s="25"/>
      <c r="BJ361" s="25"/>
      <c r="BK361" s="25"/>
      <c r="BL361" s="25"/>
    </row>
    <row r="362" spans="1:64">
      <c r="A362" s="10" t="str">
        <f t="shared" si="31"/>
        <v>GNTOH_F_AD_PROMOTION2.당월실적_B2B전년</v>
      </c>
      <c r="B362" s="7"/>
      <c r="C362" s="7"/>
      <c r="D362" s="7"/>
      <c r="E362" s="7"/>
      <c r="F362" s="7"/>
      <c r="G362" s="7" t="s">
        <v>13</v>
      </c>
      <c r="H362" s="7" t="s">
        <v>109</v>
      </c>
      <c r="I362" s="7" t="s">
        <v>96</v>
      </c>
      <c r="J362" s="23" t="s">
        <v>34</v>
      </c>
      <c r="K362" s="9"/>
      <c r="L362" s="24"/>
      <c r="M362" s="25"/>
      <c r="N362" s="25"/>
      <c r="O362" s="25"/>
      <c r="P362" s="25"/>
      <c r="Q362" s="25"/>
      <c r="R362" s="25"/>
      <c r="S362" s="25"/>
      <c r="T362" s="25"/>
      <c r="U362" s="25"/>
      <c r="V362" s="25"/>
      <c r="W362" s="26"/>
      <c r="X362" s="24"/>
      <c r="Y362" s="25"/>
      <c r="Z362" s="25"/>
      <c r="AA362" s="25"/>
      <c r="AB362" s="25"/>
      <c r="AC362" s="25"/>
      <c r="AD362" s="25"/>
      <c r="AE362" s="25"/>
      <c r="AF362" s="25"/>
      <c r="AG362" s="25"/>
      <c r="AH362" s="25"/>
      <c r="AI362" s="26"/>
      <c r="AJ362" s="24"/>
      <c r="AK362" s="25"/>
      <c r="AL362" s="25"/>
      <c r="AM362" s="25"/>
      <c r="AN362" s="25"/>
      <c r="AO362" s="25"/>
      <c r="AP362" s="25"/>
      <c r="AQ362" s="25"/>
      <c r="AR362" s="25"/>
      <c r="AS362" s="25"/>
      <c r="AT362" s="25"/>
      <c r="AU362" s="26"/>
      <c r="AV362" s="24"/>
      <c r="AW362" s="25"/>
      <c r="AX362" s="25"/>
      <c r="AY362" s="25"/>
      <c r="AZ362" s="25"/>
      <c r="BA362" s="25"/>
      <c r="BB362" s="25"/>
      <c r="BC362" s="25"/>
      <c r="BD362" s="25"/>
      <c r="BE362" s="25"/>
      <c r="BF362" s="25"/>
      <c r="BG362" s="26"/>
      <c r="BH362" s="27"/>
      <c r="BI362" s="25"/>
      <c r="BJ362" s="25"/>
      <c r="BK362" s="25"/>
      <c r="BL362" s="25"/>
    </row>
    <row r="363" spans="1:64">
      <c r="A363" s="10" t="str">
        <f t="shared" si="31"/>
        <v>GOTOH_F_AD_PROMOTION2.당월실적_B2B금년</v>
      </c>
      <c r="B363" s="7"/>
      <c r="C363" s="7"/>
      <c r="D363" s="7"/>
      <c r="E363" s="7"/>
      <c r="F363" s="7"/>
      <c r="G363" s="7" t="s">
        <v>94</v>
      </c>
      <c r="H363" s="7" t="s">
        <v>109</v>
      </c>
      <c r="I363" s="7" t="s">
        <v>96</v>
      </c>
      <c r="J363" s="10" t="s">
        <v>50</v>
      </c>
      <c r="K363" s="9"/>
      <c r="L363" s="24"/>
      <c r="M363" s="25"/>
      <c r="N363" s="25"/>
      <c r="O363" s="25"/>
      <c r="P363" s="25"/>
      <c r="Q363" s="25"/>
      <c r="R363" s="25"/>
      <c r="S363" s="25"/>
      <c r="T363" s="25"/>
      <c r="U363" s="25"/>
      <c r="V363" s="25"/>
      <c r="W363" s="26"/>
      <c r="X363" s="24"/>
      <c r="Y363" s="25"/>
      <c r="Z363" s="25"/>
      <c r="AA363" s="25"/>
      <c r="AB363" s="25"/>
      <c r="AC363" s="25"/>
      <c r="AD363" s="25"/>
      <c r="AE363" s="25"/>
      <c r="AF363" s="25"/>
      <c r="AG363" s="25"/>
      <c r="AH363" s="25"/>
      <c r="AI363" s="26"/>
      <c r="AJ363" s="24"/>
      <c r="AK363" s="25"/>
      <c r="AL363" s="25"/>
      <c r="AM363" s="25"/>
      <c r="AN363" s="25"/>
      <c r="AO363" s="25"/>
      <c r="AP363" s="25"/>
      <c r="AQ363" s="25"/>
      <c r="AR363" s="25"/>
      <c r="AS363" s="25"/>
      <c r="AT363" s="25"/>
      <c r="AU363" s="26"/>
      <c r="AV363" s="24"/>
      <c r="AW363" s="25"/>
      <c r="AX363" s="25"/>
      <c r="AY363" s="25"/>
      <c r="AZ363" s="25"/>
      <c r="BA363" s="25"/>
      <c r="BB363" s="25"/>
      <c r="BC363" s="25"/>
      <c r="BD363" s="25"/>
      <c r="BE363" s="25"/>
      <c r="BF363" s="25"/>
      <c r="BG363" s="26"/>
      <c r="BH363" s="27"/>
      <c r="BI363" s="25"/>
      <c r="BJ363" s="25"/>
      <c r="BK363" s="25"/>
      <c r="BL363" s="25"/>
    </row>
    <row r="364" spans="1:64">
      <c r="A364" s="10" t="str">
        <f t="shared" si="31"/>
        <v>GOTOH_F_AD_PROMOTION2.당월실적_B2B전년</v>
      </c>
      <c r="B364" s="7"/>
      <c r="C364" s="7"/>
      <c r="D364" s="7"/>
      <c r="E364" s="7"/>
      <c r="F364" s="7"/>
      <c r="G364" s="7" t="s">
        <v>94</v>
      </c>
      <c r="H364" s="7" t="s">
        <v>109</v>
      </c>
      <c r="I364" s="7" t="s">
        <v>96</v>
      </c>
      <c r="J364" s="23" t="s">
        <v>34</v>
      </c>
      <c r="K364" s="9"/>
      <c r="L364" s="24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6"/>
      <c r="X364" s="24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6"/>
      <c r="AJ364" s="24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6"/>
      <c r="AV364" s="24"/>
      <c r="AW364" s="25"/>
      <c r="AX364" s="25"/>
      <c r="AY364" s="25"/>
      <c r="AZ364" s="25"/>
      <c r="BA364" s="25"/>
      <c r="BB364" s="25"/>
      <c r="BC364" s="25"/>
      <c r="BD364" s="25"/>
      <c r="BE364" s="25"/>
      <c r="BF364" s="25"/>
      <c r="BG364" s="26"/>
      <c r="BH364" s="27"/>
      <c r="BI364" s="25"/>
      <c r="BJ364" s="25"/>
      <c r="BK364" s="25"/>
      <c r="BL364" s="25"/>
    </row>
    <row r="365" spans="1:64">
      <c r="A365" s="10" t="str">
        <f t="shared" si="31"/>
        <v>PKTOH_F_AD_PROMOTION2.당월실적_B2B금년</v>
      </c>
      <c r="B365" s="7"/>
      <c r="C365" s="7"/>
      <c r="D365" s="7"/>
      <c r="E365" s="7"/>
      <c r="F365" s="7"/>
      <c r="G365" s="7" t="s">
        <v>82</v>
      </c>
      <c r="H365" s="7" t="s">
        <v>109</v>
      </c>
      <c r="I365" s="7" t="s">
        <v>96</v>
      </c>
      <c r="J365" s="10" t="s">
        <v>50</v>
      </c>
      <c r="K365" s="9"/>
      <c r="L365" s="24"/>
      <c r="M365" s="25"/>
      <c r="N365" s="25"/>
      <c r="O365" s="25"/>
      <c r="P365" s="25"/>
      <c r="Q365" s="25"/>
      <c r="R365" s="25"/>
      <c r="S365" s="25"/>
      <c r="T365" s="25"/>
      <c r="U365" s="25"/>
      <c r="V365" s="25"/>
      <c r="W365" s="26"/>
      <c r="X365" s="24"/>
      <c r="Y365" s="25"/>
      <c r="Z365" s="25"/>
      <c r="AA365" s="25"/>
      <c r="AB365" s="25"/>
      <c r="AC365" s="25"/>
      <c r="AD365" s="25"/>
      <c r="AE365" s="25"/>
      <c r="AF365" s="25"/>
      <c r="AG365" s="25"/>
      <c r="AH365" s="25"/>
      <c r="AI365" s="26"/>
      <c r="AJ365" s="24"/>
      <c r="AK365" s="25"/>
      <c r="AL365" s="25"/>
      <c r="AM365" s="25"/>
      <c r="AN365" s="25"/>
      <c r="AO365" s="25"/>
      <c r="AP365" s="25"/>
      <c r="AQ365" s="25"/>
      <c r="AR365" s="25"/>
      <c r="AS365" s="25"/>
      <c r="AT365" s="25"/>
      <c r="AU365" s="26"/>
      <c r="AV365" s="24"/>
      <c r="AW365" s="25"/>
      <c r="AX365" s="25"/>
      <c r="AY365" s="25"/>
      <c r="AZ365" s="25"/>
      <c r="BA365" s="25"/>
      <c r="BB365" s="25"/>
      <c r="BC365" s="25"/>
      <c r="BD365" s="25"/>
      <c r="BE365" s="25"/>
      <c r="BF365" s="25"/>
      <c r="BG365" s="26"/>
      <c r="BH365" s="27"/>
      <c r="BI365" s="25"/>
      <c r="BJ365" s="25"/>
      <c r="BK365" s="25"/>
      <c r="BL365" s="25"/>
    </row>
    <row r="366" spans="1:64">
      <c r="A366" s="10" t="str">
        <f t="shared" si="31"/>
        <v>PKTOH_F_AD_PROMOTION2.당월실적_B2B전년</v>
      </c>
      <c r="B366" s="7"/>
      <c r="C366" s="7"/>
      <c r="D366" s="7"/>
      <c r="E366" s="7"/>
      <c r="F366" s="7"/>
      <c r="G366" s="7" t="s">
        <v>82</v>
      </c>
      <c r="H366" s="7" t="s">
        <v>109</v>
      </c>
      <c r="I366" s="7" t="s">
        <v>96</v>
      </c>
      <c r="J366" s="23" t="s">
        <v>34</v>
      </c>
      <c r="K366" s="9"/>
      <c r="L366" s="24"/>
      <c r="M366" s="25"/>
      <c r="N366" s="25"/>
      <c r="O366" s="25"/>
      <c r="P366" s="25"/>
      <c r="Q366" s="25"/>
      <c r="R366" s="25"/>
      <c r="S366" s="25"/>
      <c r="T366" s="25"/>
      <c r="U366" s="25"/>
      <c r="V366" s="25"/>
      <c r="W366" s="26"/>
      <c r="X366" s="24"/>
      <c r="Y366" s="25"/>
      <c r="Z366" s="25"/>
      <c r="AA366" s="25"/>
      <c r="AB366" s="25"/>
      <c r="AC366" s="25"/>
      <c r="AD366" s="25"/>
      <c r="AE366" s="25"/>
      <c r="AF366" s="25"/>
      <c r="AG366" s="25"/>
      <c r="AH366" s="25"/>
      <c r="AI366" s="26"/>
      <c r="AJ366" s="24"/>
      <c r="AK366" s="25"/>
      <c r="AL366" s="25"/>
      <c r="AM366" s="25"/>
      <c r="AN366" s="25"/>
      <c r="AO366" s="25"/>
      <c r="AP366" s="25"/>
      <c r="AQ366" s="25"/>
      <c r="AR366" s="25"/>
      <c r="AS366" s="25"/>
      <c r="AT366" s="25"/>
      <c r="AU366" s="26"/>
      <c r="AV366" s="24"/>
      <c r="AW366" s="25"/>
      <c r="AX366" s="25"/>
      <c r="AY366" s="25"/>
      <c r="AZ366" s="25"/>
      <c r="BA366" s="25"/>
      <c r="BB366" s="25"/>
      <c r="BC366" s="25"/>
      <c r="BD366" s="25"/>
      <c r="BE366" s="25"/>
      <c r="BF366" s="25"/>
      <c r="BG366" s="26"/>
      <c r="BH366" s="27"/>
      <c r="BI366" s="25"/>
      <c r="BJ366" s="25"/>
      <c r="BK366" s="25"/>
      <c r="BL366" s="25"/>
    </row>
    <row r="367" spans="1:64">
      <c r="A367" s="10" t="str">
        <f t="shared" si="31"/>
        <v>DMTOH_F_AD_PROMOTION2.당월실적_B2B금년</v>
      </c>
      <c r="B367" s="7"/>
      <c r="C367" s="7"/>
      <c r="D367" s="7"/>
      <c r="E367" s="7"/>
      <c r="F367" s="7"/>
      <c r="G367" s="7" t="s">
        <v>9</v>
      </c>
      <c r="H367" s="7" t="s">
        <v>109</v>
      </c>
      <c r="I367" s="7" t="s">
        <v>96</v>
      </c>
      <c r="J367" s="10" t="s">
        <v>50</v>
      </c>
      <c r="K367" s="9"/>
      <c r="L367" s="24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6"/>
      <c r="X367" s="24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6"/>
      <c r="AJ367" s="24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6"/>
      <c r="AV367" s="24"/>
      <c r="AW367" s="25"/>
      <c r="AX367" s="25"/>
      <c r="AY367" s="25"/>
      <c r="AZ367" s="25"/>
      <c r="BA367" s="25"/>
      <c r="BB367" s="25"/>
      <c r="BC367" s="25"/>
      <c r="BD367" s="25"/>
      <c r="BE367" s="25"/>
      <c r="BF367" s="25"/>
      <c r="BG367" s="26"/>
      <c r="BH367" s="27"/>
      <c r="BI367" s="25"/>
      <c r="BJ367" s="25"/>
      <c r="BK367" s="25"/>
      <c r="BL367" s="25"/>
    </row>
    <row r="368" spans="1:64">
      <c r="A368" s="10" t="str">
        <f t="shared" si="31"/>
        <v>DMTOH_F_AD_PROMOTION2.당월실적_B2B전년</v>
      </c>
      <c r="B368" s="7"/>
      <c r="C368" s="7"/>
      <c r="D368" s="7"/>
      <c r="E368" s="7"/>
      <c r="F368" s="7"/>
      <c r="G368" s="7" t="s">
        <v>9</v>
      </c>
      <c r="H368" s="7" t="s">
        <v>109</v>
      </c>
      <c r="I368" s="7" t="s">
        <v>96</v>
      </c>
      <c r="J368" s="23" t="s">
        <v>34</v>
      </c>
      <c r="K368" s="9"/>
      <c r="L368" s="24"/>
      <c r="M368" s="25"/>
      <c r="N368" s="25"/>
      <c r="O368" s="25"/>
      <c r="P368" s="25"/>
      <c r="Q368" s="25"/>
      <c r="R368" s="25"/>
      <c r="S368" s="25"/>
      <c r="T368" s="25"/>
      <c r="U368" s="25"/>
      <c r="V368" s="25"/>
      <c r="W368" s="26"/>
      <c r="X368" s="24"/>
      <c r="Y368" s="25"/>
      <c r="Z368" s="25"/>
      <c r="AA368" s="25"/>
      <c r="AB368" s="25"/>
      <c r="AC368" s="25"/>
      <c r="AD368" s="25"/>
      <c r="AE368" s="25"/>
      <c r="AF368" s="25"/>
      <c r="AG368" s="25"/>
      <c r="AH368" s="25"/>
      <c r="AI368" s="26"/>
      <c r="AJ368" s="24"/>
      <c r="AK368" s="25"/>
      <c r="AL368" s="25"/>
      <c r="AM368" s="25"/>
      <c r="AN368" s="25"/>
      <c r="AO368" s="25"/>
      <c r="AP368" s="25"/>
      <c r="AQ368" s="25"/>
      <c r="AR368" s="25"/>
      <c r="AS368" s="25"/>
      <c r="AT368" s="25"/>
      <c r="AU368" s="26"/>
      <c r="AV368" s="24"/>
      <c r="AW368" s="25"/>
      <c r="AX368" s="25"/>
      <c r="AY368" s="25"/>
      <c r="AZ368" s="25"/>
      <c r="BA368" s="25"/>
      <c r="BB368" s="25"/>
      <c r="BC368" s="25"/>
      <c r="BD368" s="25"/>
      <c r="BE368" s="25"/>
      <c r="BF368" s="25"/>
      <c r="BG368" s="26"/>
      <c r="BH368" s="27"/>
      <c r="BI368" s="25"/>
      <c r="BJ368" s="25"/>
      <c r="BK368" s="25"/>
      <c r="BL368" s="25"/>
    </row>
    <row r="369" spans="1:64">
      <c r="A369" s="10" t="str">
        <f t="shared" si="31"/>
        <v>DTTOH_F_AD_PROMOTION2.당월실적_B2B금년</v>
      </c>
      <c r="B369" s="7"/>
      <c r="C369" s="7"/>
      <c r="D369" s="7"/>
      <c r="E369" s="7"/>
      <c r="F369" s="7"/>
      <c r="G369" s="7" t="s">
        <v>95</v>
      </c>
      <c r="H369" s="7" t="s">
        <v>109</v>
      </c>
      <c r="I369" s="7" t="s">
        <v>96</v>
      </c>
      <c r="J369" s="10" t="s">
        <v>50</v>
      </c>
      <c r="K369" s="9"/>
      <c r="L369" s="24"/>
      <c r="M369" s="25"/>
      <c r="N369" s="25"/>
      <c r="O369" s="25"/>
      <c r="P369" s="25"/>
      <c r="Q369" s="25"/>
      <c r="R369" s="25"/>
      <c r="S369" s="25"/>
      <c r="T369" s="25"/>
      <c r="U369" s="25"/>
      <c r="V369" s="25"/>
      <c r="W369" s="26"/>
      <c r="X369" s="24"/>
      <c r="Y369" s="25"/>
      <c r="Z369" s="25"/>
      <c r="AA369" s="25"/>
      <c r="AB369" s="25"/>
      <c r="AC369" s="25"/>
      <c r="AD369" s="25"/>
      <c r="AE369" s="25"/>
      <c r="AF369" s="25"/>
      <c r="AG369" s="25"/>
      <c r="AH369" s="25"/>
      <c r="AI369" s="26"/>
      <c r="AJ369" s="24"/>
      <c r="AK369" s="25"/>
      <c r="AL369" s="25"/>
      <c r="AM369" s="25"/>
      <c r="AN369" s="25"/>
      <c r="AO369" s="25"/>
      <c r="AP369" s="25"/>
      <c r="AQ369" s="25"/>
      <c r="AR369" s="25"/>
      <c r="AS369" s="25"/>
      <c r="AT369" s="25"/>
      <c r="AU369" s="26"/>
      <c r="AV369" s="24"/>
      <c r="AW369" s="25"/>
      <c r="AX369" s="25"/>
      <c r="AY369" s="25"/>
      <c r="AZ369" s="25"/>
      <c r="BA369" s="25"/>
      <c r="BB369" s="25"/>
      <c r="BC369" s="25"/>
      <c r="BD369" s="25"/>
      <c r="BE369" s="25"/>
      <c r="BF369" s="25"/>
      <c r="BG369" s="26"/>
      <c r="BH369" s="27"/>
      <c r="BI369" s="25"/>
      <c r="BJ369" s="25"/>
      <c r="BK369" s="25"/>
      <c r="BL369" s="25"/>
    </row>
    <row r="370" spans="1:64">
      <c r="A370" s="10" t="str">
        <f t="shared" si="31"/>
        <v>DTTOH_F_AD_PROMOTION2.당월실적_B2B전년</v>
      </c>
      <c r="B370" s="7"/>
      <c r="C370" s="7"/>
      <c r="D370" s="7"/>
      <c r="E370" s="7"/>
      <c r="F370" s="7"/>
      <c r="G370" s="7" t="s">
        <v>95</v>
      </c>
      <c r="H370" s="7" t="s">
        <v>109</v>
      </c>
      <c r="I370" s="7" t="s">
        <v>96</v>
      </c>
      <c r="J370" s="23" t="s">
        <v>34</v>
      </c>
      <c r="K370" s="9"/>
      <c r="L370" s="24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6"/>
      <c r="X370" s="24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6"/>
      <c r="AJ370" s="24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6"/>
      <c r="AV370" s="24"/>
      <c r="AW370" s="25"/>
      <c r="AX370" s="25"/>
      <c r="AY370" s="25"/>
      <c r="AZ370" s="25"/>
      <c r="BA370" s="25"/>
      <c r="BB370" s="25"/>
      <c r="BC370" s="25"/>
      <c r="BD370" s="25"/>
      <c r="BE370" s="25"/>
      <c r="BF370" s="25"/>
      <c r="BG370" s="26"/>
      <c r="BH370" s="27"/>
      <c r="BI370" s="25"/>
      <c r="BJ370" s="25"/>
      <c r="BK370" s="25"/>
      <c r="BL370" s="25"/>
    </row>
    <row r="371" spans="1:64">
      <c r="A371" s="10" t="str">
        <f t="shared" si="31"/>
        <v>PGTOH_F_AD_PROMOTION2.당월실적_B2B금년</v>
      </c>
      <c r="B371" s="7"/>
      <c r="C371" s="7"/>
      <c r="D371" s="7"/>
      <c r="E371" s="7"/>
      <c r="F371" s="7"/>
      <c r="G371" s="7" t="s">
        <v>18</v>
      </c>
      <c r="H371" s="7" t="s">
        <v>109</v>
      </c>
      <c r="I371" s="7" t="s">
        <v>96</v>
      </c>
      <c r="J371" s="10" t="s">
        <v>50</v>
      </c>
      <c r="K371" s="9"/>
      <c r="L371" s="24"/>
      <c r="M371" s="25"/>
      <c r="N371" s="25"/>
      <c r="O371" s="25"/>
      <c r="P371" s="25"/>
      <c r="Q371" s="25"/>
      <c r="R371" s="25"/>
      <c r="S371" s="25"/>
      <c r="T371" s="25"/>
      <c r="U371" s="25"/>
      <c r="V371" s="25"/>
      <c r="W371" s="26"/>
      <c r="X371" s="24"/>
      <c r="Y371" s="25"/>
      <c r="Z371" s="25"/>
      <c r="AA371" s="25"/>
      <c r="AB371" s="25"/>
      <c r="AC371" s="25"/>
      <c r="AD371" s="25"/>
      <c r="AE371" s="25"/>
      <c r="AF371" s="25"/>
      <c r="AG371" s="25"/>
      <c r="AH371" s="25"/>
      <c r="AI371" s="26"/>
      <c r="AJ371" s="24"/>
      <c r="AK371" s="25"/>
      <c r="AL371" s="25"/>
      <c r="AM371" s="25"/>
      <c r="AN371" s="25"/>
      <c r="AO371" s="25"/>
      <c r="AP371" s="25"/>
      <c r="AQ371" s="25"/>
      <c r="AR371" s="25"/>
      <c r="AS371" s="25"/>
      <c r="AT371" s="25"/>
      <c r="AU371" s="26"/>
      <c r="AV371" s="24"/>
      <c r="AW371" s="25"/>
      <c r="AX371" s="25"/>
      <c r="AY371" s="25"/>
      <c r="AZ371" s="25"/>
      <c r="BA371" s="25"/>
      <c r="BB371" s="25"/>
      <c r="BC371" s="25"/>
      <c r="BD371" s="25"/>
      <c r="BE371" s="25"/>
      <c r="BF371" s="25"/>
      <c r="BG371" s="26"/>
      <c r="BH371" s="27"/>
      <c r="BI371" s="25"/>
      <c r="BJ371" s="25"/>
      <c r="BK371" s="25"/>
      <c r="BL371" s="25"/>
    </row>
    <row r="372" spans="1:64">
      <c r="A372" s="10" t="str">
        <f t="shared" si="31"/>
        <v>PGTOH_F_AD_PROMOTION2.당월실적_B2B전년</v>
      </c>
      <c r="B372" s="7"/>
      <c r="C372" s="7"/>
      <c r="D372" s="7"/>
      <c r="E372" s="7"/>
      <c r="F372" s="7"/>
      <c r="G372" s="7" t="s">
        <v>18</v>
      </c>
      <c r="H372" s="7" t="s">
        <v>109</v>
      </c>
      <c r="I372" s="7" t="s">
        <v>96</v>
      </c>
      <c r="J372" s="23" t="s">
        <v>34</v>
      </c>
      <c r="K372" s="9"/>
      <c r="L372" s="24"/>
      <c r="M372" s="25"/>
      <c r="N372" s="25"/>
      <c r="O372" s="25"/>
      <c r="P372" s="25"/>
      <c r="Q372" s="25"/>
      <c r="R372" s="25"/>
      <c r="S372" s="25"/>
      <c r="T372" s="25"/>
      <c r="U372" s="25"/>
      <c r="V372" s="25"/>
      <c r="W372" s="26"/>
      <c r="X372" s="24"/>
      <c r="Y372" s="25"/>
      <c r="Z372" s="25"/>
      <c r="AA372" s="25"/>
      <c r="AB372" s="25"/>
      <c r="AC372" s="25"/>
      <c r="AD372" s="25"/>
      <c r="AE372" s="25"/>
      <c r="AF372" s="25"/>
      <c r="AG372" s="25"/>
      <c r="AH372" s="25"/>
      <c r="AI372" s="26"/>
      <c r="AJ372" s="24"/>
      <c r="AK372" s="25"/>
      <c r="AL372" s="25"/>
      <c r="AM372" s="25"/>
      <c r="AN372" s="25"/>
      <c r="AO372" s="25"/>
      <c r="AP372" s="25"/>
      <c r="AQ372" s="25"/>
      <c r="AR372" s="25"/>
      <c r="AS372" s="25"/>
      <c r="AT372" s="25"/>
      <c r="AU372" s="26"/>
      <c r="AV372" s="24"/>
      <c r="AW372" s="25"/>
      <c r="AX372" s="25"/>
      <c r="AY372" s="25"/>
      <c r="AZ372" s="25"/>
      <c r="BA372" s="25"/>
      <c r="BB372" s="25"/>
      <c r="BC372" s="25"/>
      <c r="BD372" s="25"/>
      <c r="BE372" s="25"/>
      <c r="BF372" s="25"/>
      <c r="BG372" s="26"/>
      <c r="BH372" s="27"/>
      <c r="BI372" s="25"/>
      <c r="BJ372" s="25"/>
      <c r="BK372" s="25"/>
      <c r="BL372" s="25"/>
    </row>
    <row r="373" spans="1:64">
      <c r="A373" s="6"/>
      <c r="K373" s="9"/>
    </row>
    <row r="374" spans="1:64">
      <c r="A374" s="10" t="str">
        <f t="shared" ref="A374:A393" si="32">TRIM(B374)&amp;TRIM(C374)&amp;TRIM(D374)&amp;TRIM(E374)&amp;TRIM(F374)&amp;TRIM(G374)&amp;TRIM(H374)&amp;TRIM(I374)&amp;TRIM(J374)</f>
        <v>GLTOH_F_COMMISSION2.당월실적_B2C금년</v>
      </c>
      <c r="B374" s="7"/>
      <c r="C374" s="7"/>
      <c r="D374" s="7"/>
      <c r="E374" s="7"/>
      <c r="F374" s="7"/>
      <c r="G374" s="7" t="s">
        <v>12</v>
      </c>
      <c r="H374" s="7" t="s">
        <v>110</v>
      </c>
      <c r="I374" s="7" t="s">
        <v>55</v>
      </c>
      <c r="J374" s="10" t="s">
        <v>50</v>
      </c>
      <c r="K374" s="9"/>
      <c r="L374" s="24"/>
      <c r="M374" s="25"/>
      <c r="N374" s="25"/>
      <c r="O374" s="25"/>
      <c r="P374" s="25"/>
      <c r="Q374" s="25"/>
      <c r="R374" s="25"/>
      <c r="S374" s="25"/>
      <c r="T374" s="25"/>
      <c r="U374" s="25"/>
      <c r="V374" s="25"/>
      <c r="W374" s="26"/>
      <c r="X374" s="24"/>
      <c r="Y374" s="25"/>
      <c r="Z374" s="25"/>
      <c r="AA374" s="25"/>
      <c r="AB374" s="25"/>
      <c r="AC374" s="25"/>
      <c r="AD374" s="25"/>
      <c r="AE374" s="25"/>
      <c r="AF374" s="25"/>
      <c r="AG374" s="25"/>
      <c r="AH374" s="25"/>
      <c r="AI374" s="26"/>
      <c r="AJ374" s="24"/>
      <c r="AK374" s="25"/>
      <c r="AL374" s="25"/>
      <c r="AM374" s="25"/>
      <c r="AN374" s="25"/>
      <c r="AO374" s="25"/>
      <c r="AP374" s="25"/>
      <c r="AQ374" s="25"/>
      <c r="AR374" s="25"/>
      <c r="AS374" s="25"/>
      <c r="AT374" s="25"/>
      <c r="AU374" s="26"/>
      <c r="AV374" s="24"/>
      <c r="AW374" s="25"/>
      <c r="AX374" s="25"/>
      <c r="AY374" s="25"/>
      <c r="AZ374" s="25"/>
      <c r="BA374" s="25"/>
      <c r="BB374" s="25"/>
      <c r="BC374" s="25"/>
      <c r="BD374" s="25"/>
      <c r="BE374" s="25"/>
      <c r="BF374" s="25"/>
      <c r="BG374" s="26"/>
      <c r="BH374" s="27"/>
      <c r="BI374" s="25"/>
      <c r="BJ374" s="25"/>
      <c r="BK374" s="25"/>
      <c r="BL374" s="25"/>
    </row>
    <row r="375" spans="1:64">
      <c r="A375" s="10" t="str">
        <f t="shared" si="32"/>
        <v>GLTOH_F_COMMISSION2.당월실적_B2C전년</v>
      </c>
      <c r="B375" s="7"/>
      <c r="C375" s="7"/>
      <c r="D375" s="7"/>
      <c r="E375" s="7"/>
      <c r="F375" s="7"/>
      <c r="G375" s="7" t="s">
        <v>12</v>
      </c>
      <c r="H375" s="7" t="s">
        <v>110</v>
      </c>
      <c r="I375" s="7" t="s">
        <v>55</v>
      </c>
      <c r="J375" s="23" t="s">
        <v>34</v>
      </c>
      <c r="K375" s="9"/>
      <c r="L375" s="24"/>
      <c r="M375" s="25"/>
      <c r="N375" s="25"/>
      <c r="O375" s="25"/>
      <c r="P375" s="25"/>
      <c r="Q375" s="25"/>
      <c r="R375" s="25"/>
      <c r="S375" s="25"/>
      <c r="T375" s="25"/>
      <c r="U375" s="25"/>
      <c r="V375" s="25"/>
      <c r="W375" s="26"/>
      <c r="X375" s="24"/>
      <c r="Y375" s="25"/>
      <c r="Z375" s="25"/>
      <c r="AA375" s="25"/>
      <c r="AB375" s="25"/>
      <c r="AC375" s="25"/>
      <c r="AD375" s="25"/>
      <c r="AE375" s="25"/>
      <c r="AF375" s="25"/>
      <c r="AG375" s="25"/>
      <c r="AH375" s="25"/>
      <c r="AI375" s="26"/>
      <c r="AJ375" s="24"/>
      <c r="AK375" s="25"/>
      <c r="AL375" s="25"/>
      <c r="AM375" s="25"/>
      <c r="AN375" s="25"/>
      <c r="AO375" s="25"/>
      <c r="AP375" s="25"/>
      <c r="AQ375" s="25"/>
      <c r="AR375" s="25"/>
      <c r="AS375" s="25"/>
      <c r="AT375" s="25"/>
      <c r="AU375" s="26"/>
      <c r="AV375" s="24"/>
      <c r="AW375" s="25"/>
      <c r="AX375" s="25"/>
      <c r="AY375" s="25"/>
      <c r="AZ375" s="25"/>
      <c r="BA375" s="25"/>
      <c r="BB375" s="25"/>
      <c r="BC375" s="25"/>
      <c r="BD375" s="25"/>
      <c r="BE375" s="25"/>
      <c r="BF375" s="25"/>
      <c r="BG375" s="26"/>
      <c r="BH375" s="27"/>
      <c r="BI375" s="25"/>
      <c r="BJ375" s="25"/>
      <c r="BK375" s="25"/>
      <c r="BL375" s="25"/>
    </row>
    <row r="376" spans="1:64">
      <c r="A376" s="10" t="str">
        <f t="shared" si="32"/>
        <v>GTTOH_F_COMMISSION2.당월실적_B2C금년</v>
      </c>
      <c r="B376" s="7"/>
      <c r="C376" s="7"/>
      <c r="D376" s="7"/>
      <c r="E376" s="7"/>
      <c r="F376" s="7"/>
      <c r="G376" s="7" t="s">
        <v>14</v>
      </c>
      <c r="H376" s="7" t="s">
        <v>110</v>
      </c>
      <c r="I376" s="7" t="s">
        <v>55</v>
      </c>
      <c r="J376" s="10" t="s">
        <v>50</v>
      </c>
      <c r="K376" s="9"/>
      <c r="L376" s="24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6"/>
      <c r="X376" s="24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6"/>
      <c r="AJ376" s="24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6"/>
      <c r="AV376" s="24"/>
      <c r="AW376" s="25"/>
      <c r="AX376" s="25"/>
      <c r="AY376" s="25"/>
      <c r="AZ376" s="25"/>
      <c r="BA376" s="25"/>
      <c r="BB376" s="25"/>
      <c r="BC376" s="25"/>
      <c r="BD376" s="25"/>
      <c r="BE376" s="25"/>
      <c r="BF376" s="25"/>
      <c r="BG376" s="26"/>
      <c r="BH376" s="27"/>
      <c r="BI376" s="25"/>
      <c r="BJ376" s="25"/>
      <c r="BK376" s="25"/>
      <c r="BL376" s="25"/>
    </row>
    <row r="377" spans="1:64">
      <c r="A377" s="10" t="str">
        <f t="shared" si="32"/>
        <v>GTTOH_F_COMMISSION2.당월실적_B2C전년</v>
      </c>
      <c r="B377" s="7"/>
      <c r="C377" s="7"/>
      <c r="D377" s="7"/>
      <c r="E377" s="7"/>
      <c r="F377" s="7"/>
      <c r="G377" s="7" t="s">
        <v>14</v>
      </c>
      <c r="H377" s="7" t="s">
        <v>110</v>
      </c>
      <c r="I377" s="7" t="s">
        <v>55</v>
      </c>
      <c r="J377" s="23" t="s">
        <v>34</v>
      </c>
      <c r="K377" s="9"/>
      <c r="L377" s="24"/>
      <c r="M377" s="25"/>
      <c r="N377" s="25"/>
      <c r="O377" s="25"/>
      <c r="P377" s="25"/>
      <c r="Q377" s="25"/>
      <c r="R377" s="25"/>
      <c r="S377" s="25"/>
      <c r="T377" s="25"/>
      <c r="U377" s="25"/>
      <c r="V377" s="25"/>
      <c r="W377" s="26"/>
      <c r="X377" s="24"/>
      <c r="Y377" s="25"/>
      <c r="Z377" s="25"/>
      <c r="AA377" s="25"/>
      <c r="AB377" s="25"/>
      <c r="AC377" s="25"/>
      <c r="AD377" s="25"/>
      <c r="AE377" s="25"/>
      <c r="AF377" s="25"/>
      <c r="AG377" s="25"/>
      <c r="AH377" s="25"/>
      <c r="AI377" s="26"/>
      <c r="AJ377" s="24"/>
      <c r="AK377" s="25"/>
      <c r="AL377" s="25"/>
      <c r="AM377" s="25"/>
      <c r="AN377" s="25"/>
      <c r="AO377" s="25"/>
      <c r="AP377" s="25"/>
      <c r="AQ377" s="25"/>
      <c r="AR377" s="25"/>
      <c r="AS377" s="25"/>
      <c r="AT377" s="25"/>
      <c r="AU377" s="26"/>
      <c r="AV377" s="24"/>
      <c r="AW377" s="25"/>
      <c r="AX377" s="25"/>
      <c r="AY377" s="25"/>
      <c r="AZ377" s="25"/>
      <c r="BA377" s="25"/>
      <c r="BB377" s="25"/>
      <c r="BC377" s="25"/>
      <c r="BD377" s="25"/>
      <c r="BE377" s="25"/>
      <c r="BF377" s="25"/>
      <c r="BG377" s="26"/>
      <c r="BH377" s="27"/>
      <c r="BI377" s="25"/>
      <c r="BJ377" s="25"/>
      <c r="BK377" s="25"/>
      <c r="BL377" s="25"/>
    </row>
    <row r="378" spans="1:64">
      <c r="A378" s="10" t="str">
        <f t="shared" si="32"/>
        <v>PNTOH_F_COMMISSION2.당월실적_B2C금년</v>
      </c>
      <c r="B378" s="7"/>
      <c r="C378" s="7"/>
      <c r="D378" s="7"/>
      <c r="E378" s="7"/>
      <c r="F378" s="7"/>
      <c r="G378" s="7" t="s">
        <v>16</v>
      </c>
      <c r="H378" s="7" t="s">
        <v>110</v>
      </c>
      <c r="I378" s="7" t="s">
        <v>55</v>
      </c>
      <c r="J378" s="10" t="s">
        <v>50</v>
      </c>
      <c r="K378" s="9"/>
      <c r="L378" s="24"/>
      <c r="M378" s="25"/>
      <c r="N378" s="25"/>
      <c r="O378" s="25"/>
      <c r="P378" s="25"/>
      <c r="Q378" s="25"/>
      <c r="R378" s="25"/>
      <c r="S378" s="25"/>
      <c r="T378" s="25"/>
      <c r="U378" s="25"/>
      <c r="V378" s="25"/>
      <c r="W378" s="26"/>
      <c r="X378" s="24"/>
      <c r="Y378" s="25"/>
      <c r="Z378" s="25"/>
      <c r="AA378" s="25"/>
      <c r="AB378" s="25"/>
      <c r="AC378" s="25"/>
      <c r="AD378" s="25"/>
      <c r="AE378" s="25"/>
      <c r="AF378" s="25"/>
      <c r="AG378" s="25"/>
      <c r="AH378" s="25"/>
      <c r="AI378" s="26"/>
      <c r="AJ378" s="24"/>
      <c r="AK378" s="25"/>
      <c r="AL378" s="25"/>
      <c r="AM378" s="25"/>
      <c r="AN378" s="25"/>
      <c r="AO378" s="25"/>
      <c r="AP378" s="25"/>
      <c r="AQ378" s="25"/>
      <c r="AR378" s="25"/>
      <c r="AS378" s="25"/>
      <c r="AT378" s="25"/>
      <c r="AU378" s="26"/>
      <c r="AV378" s="24"/>
      <c r="AW378" s="25"/>
      <c r="AX378" s="25"/>
      <c r="AY378" s="25"/>
      <c r="AZ378" s="25"/>
      <c r="BA378" s="25"/>
      <c r="BB378" s="25"/>
      <c r="BC378" s="25"/>
      <c r="BD378" s="25"/>
      <c r="BE378" s="25"/>
      <c r="BF378" s="25"/>
      <c r="BG378" s="26"/>
      <c r="BH378" s="27"/>
      <c r="BI378" s="25"/>
      <c r="BJ378" s="25"/>
      <c r="BK378" s="25"/>
      <c r="BL378" s="25"/>
    </row>
    <row r="379" spans="1:64">
      <c r="A379" s="10" t="str">
        <f t="shared" si="32"/>
        <v>PNTOH_F_COMMISSION2.당월실적_B2C전년</v>
      </c>
      <c r="B379" s="7"/>
      <c r="C379" s="7"/>
      <c r="D379" s="7"/>
      <c r="E379" s="7"/>
      <c r="F379" s="7"/>
      <c r="G379" s="7" t="s">
        <v>16</v>
      </c>
      <c r="H379" s="7" t="s">
        <v>110</v>
      </c>
      <c r="I379" s="7" t="s">
        <v>55</v>
      </c>
      <c r="J379" s="23" t="s">
        <v>34</v>
      </c>
      <c r="K379" s="9"/>
      <c r="L379" s="24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6"/>
      <c r="X379" s="24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6"/>
      <c r="AJ379" s="24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6"/>
      <c r="AV379" s="24"/>
      <c r="AW379" s="25"/>
      <c r="AX379" s="25"/>
      <c r="AY379" s="25"/>
      <c r="AZ379" s="25"/>
      <c r="BA379" s="25"/>
      <c r="BB379" s="25"/>
      <c r="BC379" s="25"/>
      <c r="BD379" s="25"/>
      <c r="BE379" s="25"/>
      <c r="BF379" s="25"/>
      <c r="BG379" s="26"/>
      <c r="BH379" s="27"/>
      <c r="BI379" s="25"/>
      <c r="BJ379" s="25"/>
      <c r="BK379" s="25"/>
      <c r="BL379" s="25"/>
    </row>
    <row r="380" spans="1:64">
      <c r="A380" s="10" t="str">
        <f t="shared" si="32"/>
        <v>MSTOH_F_COMMISSION2.당월실적_B2C금년</v>
      </c>
      <c r="B380" s="7"/>
      <c r="C380" s="7"/>
      <c r="D380" s="7"/>
      <c r="E380" s="7"/>
      <c r="F380" s="7"/>
      <c r="G380" s="7" t="s">
        <v>15</v>
      </c>
      <c r="H380" s="7" t="s">
        <v>110</v>
      </c>
      <c r="I380" s="7" t="s">
        <v>55</v>
      </c>
      <c r="J380" s="10" t="s">
        <v>50</v>
      </c>
      <c r="K380" s="9"/>
      <c r="L380" s="24"/>
      <c r="M380" s="25"/>
      <c r="N380" s="25"/>
      <c r="O380" s="25"/>
      <c r="P380" s="25"/>
      <c r="Q380" s="25"/>
      <c r="R380" s="25"/>
      <c r="S380" s="25"/>
      <c r="T380" s="25"/>
      <c r="U380" s="25"/>
      <c r="V380" s="25"/>
      <c r="W380" s="26"/>
      <c r="X380" s="24"/>
      <c r="Y380" s="25"/>
      <c r="Z380" s="25"/>
      <c r="AA380" s="25"/>
      <c r="AB380" s="25"/>
      <c r="AC380" s="25"/>
      <c r="AD380" s="25"/>
      <c r="AE380" s="25"/>
      <c r="AF380" s="25"/>
      <c r="AG380" s="25"/>
      <c r="AH380" s="25"/>
      <c r="AI380" s="26"/>
      <c r="AJ380" s="24"/>
      <c r="AK380" s="25"/>
      <c r="AL380" s="25"/>
      <c r="AM380" s="25"/>
      <c r="AN380" s="25"/>
      <c r="AO380" s="25"/>
      <c r="AP380" s="25"/>
      <c r="AQ380" s="25"/>
      <c r="AR380" s="25"/>
      <c r="AS380" s="25"/>
      <c r="AT380" s="25"/>
      <c r="AU380" s="26"/>
      <c r="AV380" s="24"/>
      <c r="AW380" s="25"/>
      <c r="AX380" s="25"/>
      <c r="AY380" s="25"/>
      <c r="AZ380" s="25"/>
      <c r="BA380" s="25"/>
      <c r="BB380" s="25"/>
      <c r="BC380" s="25"/>
      <c r="BD380" s="25"/>
      <c r="BE380" s="25"/>
      <c r="BF380" s="25"/>
      <c r="BG380" s="26"/>
      <c r="BH380" s="27"/>
      <c r="BI380" s="25"/>
      <c r="BJ380" s="25"/>
      <c r="BK380" s="25"/>
      <c r="BL380" s="25"/>
    </row>
    <row r="381" spans="1:64">
      <c r="A381" s="10" t="str">
        <f t="shared" si="32"/>
        <v>MSTOH_F_COMMISSION2.당월실적_B2C전년</v>
      </c>
      <c r="B381" s="7"/>
      <c r="C381" s="7"/>
      <c r="D381" s="7"/>
      <c r="E381" s="7"/>
      <c r="F381" s="7"/>
      <c r="G381" s="7" t="s">
        <v>15</v>
      </c>
      <c r="H381" s="7" t="s">
        <v>110</v>
      </c>
      <c r="I381" s="7" t="s">
        <v>55</v>
      </c>
      <c r="J381" s="23" t="s">
        <v>34</v>
      </c>
      <c r="K381" s="9"/>
      <c r="L381" s="24"/>
      <c r="M381" s="25"/>
      <c r="N381" s="25"/>
      <c r="O381" s="25"/>
      <c r="P381" s="25"/>
      <c r="Q381" s="25"/>
      <c r="R381" s="25"/>
      <c r="S381" s="25"/>
      <c r="T381" s="25"/>
      <c r="U381" s="25"/>
      <c r="V381" s="25"/>
      <c r="W381" s="26"/>
      <c r="X381" s="24"/>
      <c r="Y381" s="25"/>
      <c r="Z381" s="25"/>
      <c r="AA381" s="25"/>
      <c r="AB381" s="25"/>
      <c r="AC381" s="25"/>
      <c r="AD381" s="25"/>
      <c r="AE381" s="25"/>
      <c r="AF381" s="25"/>
      <c r="AG381" s="25"/>
      <c r="AH381" s="25"/>
      <c r="AI381" s="26"/>
      <c r="AJ381" s="24"/>
      <c r="AK381" s="25"/>
      <c r="AL381" s="25"/>
      <c r="AM381" s="25"/>
      <c r="AN381" s="25"/>
      <c r="AO381" s="25"/>
      <c r="AP381" s="25"/>
      <c r="AQ381" s="25"/>
      <c r="AR381" s="25"/>
      <c r="AS381" s="25"/>
      <c r="AT381" s="25"/>
      <c r="AU381" s="26"/>
      <c r="AV381" s="24"/>
      <c r="AW381" s="25"/>
      <c r="AX381" s="25"/>
      <c r="AY381" s="25"/>
      <c r="AZ381" s="25"/>
      <c r="BA381" s="25"/>
      <c r="BB381" s="25"/>
      <c r="BC381" s="25"/>
      <c r="BD381" s="25"/>
      <c r="BE381" s="25"/>
      <c r="BF381" s="25"/>
      <c r="BG381" s="26"/>
      <c r="BH381" s="27"/>
      <c r="BI381" s="25"/>
      <c r="BJ381" s="25"/>
      <c r="BK381" s="25"/>
      <c r="BL381" s="25"/>
    </row>
    <row r="382" spans="1:64">
      <c r="A382" s="10" t="str">
        <f t="shared" si="32"/>
        <v>CNTOH_F_COMMISSION2.당월실적_B2C금년</v>
      </c>
      <c r="B382" s="7"/>
      <c r="C382" s="7"/>
      <c r="D382" s="7"/>
      <c r="E382" s="7"/>
      <c r="F382" s="7"/>
      <c r="G382" s="7" t="s">
        <v>6</v>
      </c>
      <c r="H382" s="7" t="s">
        <v>110</v>
      </c>
      <c r="I382" s="7" t="s">
        <v>55</v>
      </c>
      <c r="J382" s="10" t="s">
        <v>50</v>
      </c>
      <c r="K382" s="9"/>
      <c r="L382" s="24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6"/>
      <c r="X382" s="24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6"/>
      <c r="AJ382" s="24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6"/>
      <c r="AV382" s="24"/>
      <c r="AW382" s="25"/>
      <c r="AX382" s="25"/>
      <c r="AY382" s="25"/>
      <c r="AZ382" s="25"/>
      <c r="BA382" s="25"/>
      <c r="BB382" s="25"/>
      <c r="BC382" s="25"/>
      <c r="BD382" s="25"/>
      <c r="BE382" s="25"/>
      <c r="BF382" s="25"/>
      <c r="BG382" s="26"/>
      <c r="BH382" s="27"/>
      <c r="BI382" s="25"/>
      <c r="BJ382" s="25"/>
      <c r="BK382" s="25"/>
      <c r="BL382" s="25"/>
    </row>
    <row r="383" spans="1:64">
      <c r="A383" s="10" t="str">
        <f t="shared" si="32"/>
        <v>CNTOH_F_COMMISSION2.당월실적_B2C전년</v>
      </c>
      <c r="B383" s="7"/>
      <c r="C383" s="7"/>
      <c r="D383" s="7"/>
      <c r="E383" s="7"/>
      <c r="F383" s="7"/>
      <c r="G383" s="7" t="s">
        <v>6</v>
      </c>
      <c r="H383" s="7" t="s">
        <v>110</v>
      </c>
      <c r="I383" s="7" t="s">
        <v>55</v>
      </c>
      <c r="J383" s="23" t="s">
        <v>34</v>
      </c>
      <c r="K383" s="9"/>
      <c r="L383" s="24"/>
      <c r="M383" s="25"/>
      <c r="N383" s="25"/>
      <c r="O383" s="25"/>
      <c r="P383" s="25"/>
      <c r="Q383" s="25"/>
      <c r="R383" s="25"/>
      <c r="S383" s="25"/>
      <c r="T383" s="25"/>
      <c r="U383" s="25"/>
      <c r="V383" s="25"/>
      <c r="W383" s="26"/>
      <c r="X383" s="24"/>
      <c r="Y383" s="25"/>
      <c r="Z383" s="25"/>
      <c r="AA383" s="25"/>
      <c r="AB383" s="25"/>
      <c r="AC383" s="25"/>
      <c r="AD383" s="25"/>
      <c r="AE383" s="25"/>
      <c r="AF383" s="25"/>
      <c r="AG383" s="25"/>
      <c r="AH383" s="25"/>
      <c r="AI383" s="26"/>
      <c r="AJ383" s="24"/>
      <c r="AK383" s="25"/>
      <c r="AL383" s="25"/>
      <c r="AM383" s="25"/>
      <c r="AN383" s="25"/>
      <c r="AO383" s="25"/>
      <c r="AP383" s="25"/>
      <c r="AQ383" s="25"/>
      <c r="AR383" s="25"/>
      <c r="AS383" s="25"/>
      <c r="AT383" s="25"/>
      <c r="AU383" s="26"/>
      <c r="AV383" s="24"/>
      <c r="AW383" s="25"/>
      <c r="AX383" s="25"/>
      <c r="AY383" s="25"/>
      <c r="AZ383" s="25"/>
      <c r="BA383" s="25"/>
      <c r="BB383" s="25"/>
      <c r="BC383" s="25"/>
      <c r="BD383" s="25"/>
      <c r="BE383" s="25"/>
      <c r="BF383" s="25"/>
      <c r="BG383" s="26"/>
      <c r="BH383" s="27"/>
      <c r="BI383" s="25"/>
      <c r="BJ383" s="25"/>
      <c r="BK383" s="25"/>
      <c r="BL383" s="25"/>
    </row>
    <row r="384" spans="1:64">
      <c r="A384" s="10" t="str">
        <f t="shared" si="32"/>
        <v>DFTOH_F_COMMISSION2.당월실적_B2C금년</v>
      </c>
      <c r="B384" s="7"/>
      <c r="C384" s="7"/>
      <c r="D384" s="7"/>
      <c r="E384" s="7"/>
      <c r="F384" s="7"/>
      <c r="G384" s="7" t="s">
        <v>7</v>
      </c>
      <c r="H384" s="7" t="s">
        <v>110</v>
      </c>
      <c r="I384" s="7" t="str">
        <f t="shared" ref="I384:I393" si="33">I374</f>
        <v>2.당월실적_B2C</v>
      </c>
      <c r="J384" s="10" t="s">
        <v>50</v>
      </c>
      <c r="K384" s="9"/>
      <c r="L384" s="24"/>
      <c r="M384" s="25"/>
      <c r="N384" s="25"/>
      <c r="O384" s="25"/>
      <c r="P384" s="25"/>
      <c r="Q384" s="25"/>
      <c r="R384" s="25"/>
      <c r="S384" s="25"/>
      <c r="T384" s="25"/>
      <c r="U384" s="25"/>
      <c r="V384" s="25"/>
      <c r="W384" s="26"/>
      <c r="X384" s="24"/>
      <c r="Y384" s="25"/>
      <c r="Z384" s="25"/>
      <c r="AA384" s="25"/>
      <c r="AB384" s="25"/>
      <c r="AC384" s="25"/>
      <c r="AD384" s="25"/>
      <c r="AE384" s="25"/>
      <c r="AF384" s="25"/>
      <c r="AG384" s="25"/>
      <c r="AH384" s="25"/>
      <c r="AI384" s="26"/>
      <c r="AJ384" s="24"/>
      <c r="AK384" s="25"/>
      <c r="AL384" s="25"/>
      <c r="AM384" s="25"/>
      <c r="AN384" s="25"/>
      <c r="AO384" s="25"/>
      <c r="AP384" s="25"/>
      <c r="AQ384" s="25"/>
      <c r="AR384" s="25"/>
      <c r="AS384" s="25"/>
      <c r="AT384" s="25"/>
      <c r="AU384" s="26"/>
      <c r="AV384" s="24"/>
      <c r="AW384" s="25"/>
      <c r="AX384" s="25"/>
      <c r="AY384" s="25"/>
      <c r="AZ384" s="25"/>
      <c r="BA384" s="25"/>
      <c r="BB384" s="25"/>
      <c r="BC384" s="25"/>
      <c r="BD384" s="25"/>
      <c r="BE384" s="25"/>
      <c r="BF384" s="25"/>
      <c r="BG384" s="26"/>
      <c r="BH384" s="27"/>
      <c r="BI384" s="25"/>
      <c r="BJ384" s="25"/>
      <c r="BK384" s="25"/>
      <c r="BL384" s="25"/>
    </row>
    <row r="385" spans="1:64">
      <c r="A385" s="10" t="str">
        <f t="shared" si="32"/>
        <v>DFTOH_F_COMMISSION2.당월실적_B2C전년</v>
      </c>
      <c r="B385" s="7"/>
      <c r="C385" s="7"/>
      <c r="D385" s="7"/>
      <c r="E385" s="7"/>
      <c r="F385" s="7"/>
      <c r="G385" s="7" t="s">
        <v>7</v>
      </c>
      <c r="H385" s="7" t="s">
        <v>110</v>
      </c>
      <c r="I385" s="7" t="str">
        <f t="shared" si="33"/>
        <v>2.당월실적_B2C</v>
      </c>
      <c r="J385" s="23" t="s">
        <v>34</v>
      </c>
      <c r="K385" s="9"/>
      <c r="L385" s="24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6"/>
      <c r="X385" s="24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6"/>
      <c r="AJ385" s="24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6"/>
      <c r="AV385" s="24"/>
      <c r="AW385" s="25"/>
      <c r="AX385" s="25"/>
      <c r="AY385" s="25"/>
      <c r="AZ385" s="25"/>
      <c r="BA385" s="25"/>
      <c r="BB385" s="25"/>
      <c r="BC385" s="25"/>
      <c r="BD385" s="25"/>
      <c r="BE385" s="25"/>
      <c r="BF385" s="25"/>
      <c r="BG385" s="26"/>
      <c r="BH385" s="27"/>
      <c r="BI385" s="25"/>
      <c r="BJ385" s="25"/>
      <c r="BK385" s="25"/>
      <c r="BL385" s="25"/>
    </row>
    <row r="386" spans="1:64">
      <c r="A386" s="10" t="str">
        <f t="shared" si="32"/>
        <v>DGTOH_F_COMMISSION2.당월실적_B2C금년</v>
      </c>
      <c r="B386" s="7"/>
      <c r="C386" s="7"/>
      <c r="D386" s="7"/>
      <c r="E386" s="7"/>
      <c r="F386" s="7"/>
      <c r="G386" s="7" t="s">
        <v>8</v>
      </c>
      <c r="H386" s="7" t="s">
        <v>110</v>
      </c>
      <c r="I386" s="7" t="str">
        <f t="shared" si="33"/>
        <v>2.당월실적_B2C</v>
      </c>
      <c r="J386" s="10" t="s">
        <v>50</v>
      </c>
      <c r="K386" s="9"/>
      <c r="L386" s="24"/>
      <c r="M386" s="25"/>
      <c r="N386" s="25"/>
      <c r="O386" s="25"/>
      <c r="P386" s="25"/>
      <c r="Q386" s="25"/>
      <c r="R386" s="25"/>
      <c r="S386" s="25"/>
      <c r="T386" s="25"/>
      <c r="U386" s="25"/>
      <c r="V386" s="25"/>
      <c r="W386" s="26"/>
      <c r="X386" s="24"/>
      <c r="Y386" s="25"/>
      <c r="Z386" s="25"/>
      <c r="AA386" s="25"/>
      <c r="AB386" s="25"/>
      <c r="AC386" s="25"/>
      <c r="AD386" s="25"/>
      <c r="AE386" s="25"/>
      <c r="AF386" s="25"/>
      <c r="AG386" s="25"/>
      <c r="AH386" s="25"/>
      <c r="AI386" s="26"/>
      <c r="AJ386" s="24"/>
      <c r="AK386" s="25"/>
      <c r="AL386" s="25"/>
      <c r="AM386" s="25"/>
      <c r="AN386" s="25"/>
      <c r="AO386" s="25"/>
      <c r="AP386" s="25"/>
      <c r="AQ386" s="25"/>
      <c r="AR386" s="25"/>
      <c r="AS386" s="25"/>
      <c r="AT386" s="25"/>
      <c r="AU386" s="26"/>
      <c r="AV386" s="24"/>
      <c r="AW386" s="25"/>
      <c r="AX386" s="25"/>
      <c r="AY386" s="25"/>
      <c r="AZ386" s="25"/>
      <c r="BA386" s="25"/>
      <c r="BB386" s="25"/>
      <c r="BC386" s="25"/>
      <c r="BD386" s="25"/>
      <c r="BE386" s="25"/>
      <c r="BF386" s="25"/>
      <c r="BG386" s="26"/>
      <c r="BH386" s="27"/>
      <c r="BI386" s="25"/>
      <c r="BJ386" s="25"/>
      <c r="BK386" s="25"/>
      <c r="BL386" s="25"/>
    </row>
    <row r="387" spans="1:64">
      <c r="A387" s="10" t="str">
        <f t="shared" si="32"/>
        <v>DGTOH_F_COMMISSION2.당월실적_B2C전년</v>
      </c>
      <c r="B387" s="7"/>
      <c r="C387" s="7"/>
      <c r="D387" s="7"/>
      <c r="E387" s="7"/>
      <c r="F387" s="7"/>
      <c r="G387" s="7" t="s">
        <v>8</v>
      </c>
      <c r="H387" s="7" t="s">
        <v>110</v>
      </c>
      <c r="I387" s="7" t="str">
        <f t="shared" si="33"/>
        <v>2.당월실적_B2C</v>
      </c>
      <c r="J387" s="23" t="s">
        <v>34</v>
      </c>
      <c r="K387" s="9"/>
      <c r="L387" s="24"/>
      <c r="M387" s="25"/>
      <c r="N387" s="25"/>
      <c r="O387" s="25"/>
      <c r="P387" s="25"/>
      <c r="Q387" s="25"/>
      <c r="R387" s="25"/>
      <c r="S387" s="25"/>
      <c r="T387" s="25"/>
      <c r="U387" s="25"/>
      <c r="V387" s="25"/>
      <c r="W387" s="26"/>
      <c r="X387" s="24"/>
      <c r="Y387" s="25"/>
      <c r="Z387" s="25"/>
      <c r="AA387" s="25"/>
      <c r="AB387" s="25"/>
      <c r="AC387" s="25"/>
      <c r="AD387" s="25"/>
      <c r="AE387" s="25"/>
      <c r="AF387" s="25"/>
      <c r="AG387" s="25"/>
      <c r="AH387" s="25"/>
      <c r="AI387" s="26"/>
      <c r="AJ387" s="24"/>
      <c r="AK387" s="25"/>
      <c r="AL387" s="25"/>
      <c r="AM387" s="25"/>
      <c r="AN387" s="25"/>
      <c r="AO387" s="25"/>
      <c r="AP387" s="25"/>
      <c r="AQ387" s="25"/>
      <c r="AR387" s="25"/>
      <c r="AS387" s="25"/>
      <c r="AT387" s="25"/>
      <c r="AU387" s="26"/>
      <c r="AV387" s="24"/>
      <c r="AW387" s="25"/>
      <c r="AX387" s="25"/>
      <c r="AY387" s="25"/>
      <c r="AZ387" s="25"/>
      <c r="BA387" s="25"/>
      <c r="BB387" s="25"/>
      <c r="BC387" s="25"/>
      <c r="BD387" s="25"/>
      <c r="BE387" s="25"/>
      <c r="BF387" s="25"/>
      <c r="BG387" s="26"/>
      <c r="BH387" s="27"/>
      <c r="BI387" s="25"/>
      <c r="BJ387" s="25"/>
      <c r="BK387" s="25"/>
      <c r="BL387" s="25"/>
    </row>
    <row r="388" spans="1:64">
      <c r="A388" s="10" t="str">
        <f t="shared" si="32"/>
        <v>PCTOH_F_COMMISSION2.당월실적_B2C금년</v>
      </c>
      <c r="B388" s="7"/>
      <c r="C388" s="7"/>
      <c r="D388" s="7"/>
      <c r="E388" s="7"/>
      <c r="F388" s="7"/>
      <c r="G388" s="7" t="s">
        <v>19</v>
      </c>
      <c r="H388" s="7" t="s">
        <v>110</v>
      </c>
      <c r="I388" s="7" t="str">
        <f t="shared" si="33"/>
        <v>2.당월실적_B2C</v>
      </c>
      <c r="J388" s="10" t="s">
        <v>50</v>
      </c>
      <c r="K388" s="9"/>
      <c r="L388" s="24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6"/>
      <c r="X388" s="24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6"/>
      <c r="AJ388" s="24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6"/>
      <c r="AV388" s="24"/>
      <c r="AW388" s="25"/>
      <c r="AX388" s="25"/>
      <c r="AY388" s="25"/>
      <c r="AZ388" s="25"/>
      <c r="BA388" s="25"/>
      <c r="BB388" s="25"/>
      <c r="BC388" s="25"/>
      <c r="BD388" s="25"/>
      <c r="BE388" s="25"/>
      <c r="BF388" s="25"/>
      <c r="BG388" s="26"/>
      <c r="BH388" s="27"/>
      <c r="BI388" s="25"/>
      <c r="BJ388" s="25"/>
      <c r="BK388" s="25"/>
      <c r="BL388" s="25"/>
    </row>
    <row r="389" spans="1:64">
      <c r="A389" s="10" t="str">
        <f t="shared" si="32"/>
        <v>PCTOH_F_COMMISSION2.당월실적_B2C전년</v>
      </c>
      <c r="B389" s="7"/>
      <c r="C389" s="7"/>
      <c r="D389" s="7"/>
      <c r="E389" s="7"/>
      <c r="F389" s="7"/>
      <c r="G389" s="7" t="s">
        <v>19</v>
      </c>
      <c r="H389" s="7" t="s">
        <v>110</v>
      </c>
      <c r="I389" s="7" t="str">
        <f t="shared" si="33"/>
        <v>2.당월실적_B2C</v>
      </c>
      <c r="J389" s="23" t="s">
        <v>34</v>
      </c>
      <c r="K389" s="9"/>
      <c r="L389" s="24"/>
      <c r="M389" s="25"/>
      <c r="N389" s="25"/>
      <c r="O389" s="25"/>
      <c r="P389" s="25"/>
      <c r="Q389" s="25"/>
      <c r="R389" s="25"/>
      <c r="S389" s="25"/>
      <c r="T389" s="25"/>
      <c r="U389" s="25"/>
      <c r="V389" s="25"/>
      <c r="W389" s="26"/>
      <c r="X389" s="24"/>
      <c r="Y389" s="25"/>
      <c r="Z389" s="25"/>
      <c r="AA389" s="25"/>
      <c r="AB389" s="25"/>
      <c r="AC389" s="25"/>
      <c r="AD389" s="25"/>
      <c r="AE389" s="25"/>
      <c r="AF389" s="25"/>
      <c r="AG389" s="25"/>
      <c r="AH389" s="25"/>
      <c r="AI389" s="26"/>
      <c r="AJ389" s="24"/>
      <c r="AK389" s="25"/>
      <c r="AL389" s="25"/>
      <c r="AM389" s="25"/>
      <c r="AN389" s="25"/>
      <c r="AO389" s="25"/>
      <c r="AP389" s="25"/>
      <c r="AQ389" s="25"/>
      <c r="AR389" s="25"/>
      <c r="AS389" s="25"/>
      <c r="AT389" s="25"/>
      <c r="AU389" s="26"/>
      <c r="AV389" s="24"/>
      <c r="AW389" s="25"/>
      <c r="AX389" s="25"/>
      <c r="AY389" s="25"/>
      <c r="AZ389" s="25"/>
      <c r="BA389" s="25"/>
      <c r="BB389" s="25"/>
      <c r="BC389" s="25"/>
      <c r="BD389" s="25"/>
      <c r="BE389" s="25"/>
      <c r="BF389" s="25"/>
      <c r="BG389" s="26"/>
      <c r="BH389" s="27"/>
      <c r="BI389" s="25"/>
      <c r="BJ389" s="25"/>
      <c r="BK389" s="25"/>
      <c r="BL389" s="25"/>
    </row>
    <row r="390" spans="1:64">
      <c r="A390" s="10" t="str">
        <f t="shared" si="32"/>
        <v>PSTOH_F_COMMISSION2.당월실적_B2C금년</v>
      </c>
      <c r="B390" s="7"/>
      <c r="C390" s="7"/>
      <c r="D390" s="7"/>
      <c r="E390" s="7"/>
      <c r="F390" s="7"/>
      <c r="G390" s="7" t="s">
        <v>17</v>
      </c>
      <c r="H390" s="7" t="s">
        <v>110</v>
      </c>
      <c r="I390" s="7" t="str">
        <f t="shared" si="33"/>
        <v>2.당월실적_B2C</v>
      </c>
      <c r="J390" s="10" t="s">
        <v>50</v>
      </c>
      <c r="K390" s="9"/>
      <c r="L390" s="24"/>
      <c r="M390" s="25"/>
      <c r="N390" s="25"/>
      <c r="O390" s="25"/>
      <c r="P390" s="25"/>
      <c r="Q390" s="25"/>
      <c r="R390" s="25"/>
      <c r="S390" s="25"/>
      <c r="T390" s="25"/>
      <c r="U390" s="25"/>
      <c r="V390" s="25"/>
      <c r="W390" s="26"/>
      <c r="X390" s="24"/>
      <c r="Y390" s="25"/>
      <c r="Z390" s="25"/>
      <c r="AA390" s="25"/>
      <c r="AB390" s="25"/>
      <c r="AC390" s="25"/>
      <c r="AD390" s="25"/>
      <c r="AE390" s="25"/>
      <c r="AF390" s="25"/>
      <c r="AG390" s="25"/>
      <c r="AH390" s="25"/>
      <c r="AI390" s="26"/>
      <c r="AJ390" s="24"/>
      <c r="AK390" s="25"/>
      <c r="AL390" s="25"/>
      <c r="AM390" s="25"/>
      <c r="AN390" s="25"/>
      <c r="AO390" s="25"/>
      <c r="AP390" s="25"/>
      <c r="AQ390" s="25"/>
      <c r="AR390" s="25"/>
      <c r="AS390" s="25"/>
      <c r="AT390" s="25"/>
      <c r="AU390" s="26"/>
      <c r="AV390" s="24"/>
      <c r="AW390" s="25"/>
      <c r="AX390" s="25"/>
      <c r="AY390" s="25"/>
      <c r="AZ390" s="25"/>
      <c r="BA390" s="25"/>
      <c r="BB390" s="25"/>
      <c r="BC390" s="25"/>
      <c r="BD390" s="25"/>
      <c r="BE390" s="25"/>
      <c r="BF390" s="25"/>
      <c r="BG390" s="26"/>
      <c r="BH390" s="27"/>
      <c r="BI390" s="25"/>
      <c r="BJ390" s="25"/>
      <c r="BK390" s="25"/>
      <c r="BL390" s="25"/>
    </row>
    <row r="391" spans="1:64">
      <c r="A391" s="10" t="str">
        <f t="shared" si="32"/>
        <v>PSTOH_F_COMMISSION2.당월실적_B2C전년</v>
      </c>
      <c r="B391" s="7"/>
      <c r="C391" s="7"/>
      <c r="D391" s="7"/>
      <c r="E391" s="7"/>
      <c r="F391" s="7"/>
      <c r="G391" s="7" t="s">
        <v>17</v>
      </c>
      <c r="H391" s="7" t="s">
        <v>110</v>
      </c>
      <c r="I391" s="7" t="str">
        <f t="shared" si="33"/>
        <v>2.당월실적_B2C</v>
      </c>
      <c r="J391" s="23" t="s">
        <v>34</v>
      </c>
      <c r="K391" s="9"/>
      <c r="L391" s="24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6"/>
      <c r="X391" s="24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6"/>
      <c r="AJ391" s="24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6"/>
      <c r="AV391" s="24"/>
      <c r="AW391" s="25"/>
      <c r="AX391" s="25"/>
      <c r="AY391" s="25"/>
      <c r="AZ391" s="25"/>
      <c r="BA391" s="25"/>
      <c r="BB391" s="25"/>
      <c r="BC391" s="25"/>
      <c r="BD391" s="25"/>
      <c r="BE391" s="25"/>
      <c r="BF391" s="25"/>
      <c r="BG391" s="26"/>
      <c r="BH391" s="27"/>
      <c r="BI391" s="25"/>
      <c r="BJ391" s="25"/>
      <c r="BK391" s="25"/>
      <c r="BL391" s="25"/>
    </row>
    <row r="392" spans="1:64">
      <c r="A392" s="10" t="str">
        <f t="shared" si="32"/>
        <v>DVTOH_F_COMMISSION2.당월실적_B2C금년</v>
      </c>
      <c r="B392" s="7"/>
      <c r="C392" s="7"/>
      <c r="D392" s="7"/>
      <c r="E392" s="7"/>
      <c r="F392" s="7"/>
      <c r="G392" s="7" t="s">
        <v>10</v>
      </c>
      <c r="H392" s="7" t="s">
        <v>110</v>
      </c>
      <c r="I392" s="7" t="str">
        <f t="shared" si="33"/>
        <v>2.당월실적_B2C</v>
      </c>
      <c r="J392" s="10" t="s">
        <v>50</v>
      </c>
      <c r="K392" s="9"/>
      <c r="L392" s="24"/>
      <c r="M392" s="25"/>
      <c r="N392" s="25"/>
      <c r="O392" s="25"/>
      <c r="P392" s="25"/>
      <c r="Q392" s="25"/>
      <c r="R392" s="25"/>
      <c r="S392" s="25"/>
      <c r="T392" s="25"/>
      <c r="U392" s="25"/>
      <c r="V392" s="25"/>
      <c r="W392" s="26"/>
      <c r="X392" s="24"/>
      <c r="Y392" s="25"/>
      <c r="Z392" s="25"/>
      <c r="AA392" s="25"/>
      <c r="AB392" s="25"/>
      <c r="AC392" s="25"/>
      <c r="AD392" s="25"/>
      <c r="AE392" s="25"/>
      <c r="AF392" s="25"/>
      <c r="AG392" s="25"/>
      <c r="AH392" s="25"/>
      <c r="AI392" s="26"/>
      <c r="AJ392" s="24"/>
      <c r="AK392" s="25"/>
      <c r="AL392" s="25"/>
      <c r="AM392" s="25"/>
      <c r="AN392" s="25"/>
      <c r="AO392" s="25"/>
      <c r="AP392" s="25"/>
      <c r="AQ392" s="25"/>
      <c r="AR392" s="25"/>
      <c r="AS392" s="25"/>
      <c r="AT392" s="25"/>
      <c r="AU392" s="26"/>
      <c r="AV392" s="24"/>
      <c r="AW392" s="25"/>
      <c r="AX392" s="25"/>
      <c r="AY392" s="25"/>
      <c r="AZ392" s="25"/>
      <c r="BA392" s="25"/>
      <c r="BB392" s="25"/>
      <c r="BC392" s="25"/>
      <c r="BD392" s="25"/>
      <c r="BE392" s="25"/>
      <c r="BF392" s="25"/>
      <c r="BG392" s="26"/>
      <c r="BH392" s="27"/>
      <c r="BI392" s="25"/>
      <c r="BJ392" s="25"/>
      <c r="BK392" s="25"/>
      <c r="BL392" s="25"/>
    </row>
    <row r="393" spans="1:64">
      <c r="A393" s="10" t="str">
        <f t="shared" si="32"/>
        <v>DVTOH_F_COMMISSION2.당월실적_B2C전년</v>
      </c>
      <c r="B393" s="7"/>
      <c r="C393" s="7"/>
      <c r="D393" s="7"/>
      <c r="E393" s="7"/>
      <c r="F393" s="7"/>
      <c r="G393" s="7" t="s">
        <v>10</v>
      </c>
      <c r="H393" s="7" t="s">
        <v>110</v>
      </c>
      <c r="I393" s="7" t="str">
        <f t="shared" si="33"/>
        <v>2.당월실적_B2C</v>
      </c>
      <c r="J393" s="23" t="s">
        <v>34</v>
      </c>
      <c r="K393" s="9"/>
      <c r="L393" s="24"/>
      <c r="M393" s="25"/>
      <c r="N393" s="25"/>
      <c r="O393" s="25"/>
      <c r="P393" s="25"/>
      <c r="Q393" s="25"/>
      <c r="R393" s="25"/>
      <c r="S393" s="25"/>
      <c r="T393" s="25"/>
      <c r="U393" s="25"/>
      <c r="V393" s="25"/>
      <c r="W393" s="26"/>
      <c r="X393" s="24"/>
      <c r="Y393" s="25"/>
      <c r="Z393" s="25"/>
      <c r="AA393" s="25"/>
      <c r="AB393" s="25"/>
      <c r="AC393" s="25"/>
      <c r="AD393" s="25"/>
      <c r="AE393" s="25"/>
      <c r="AF393" s="25"/>
      <c r="AG393" s="25"/>
      <c r="AH393" s="25"/>
      <c r="AI393" s="26"/>
      <c r="AJ393" s="24"/>
      <c r="AK393" s="25"/>
      <c r="AL393" s="25"/>
      <c r="AM393" s="25"/>
      <c r="AN393" s="25"/>
      <c r="AO393" s="25"/>
      <c r="AP393" s="25"/>
      <c r="AQ393" s="25"/>
      <c r="AR393" s="25"/>
      <c r="AS393" s="25"/>
      <c r="AT393" s="25"/>
      <c r="AU393" s="26"/>
      <c r="AV393" s="24"/>
      <c r="AW393" s="25"/>
      <c r="AX393" s="25"/>
      <c r="AY393" s="25"/>
      <c r="AZ393" s="25"/>
      <c r="BA393" s="25"/>
      <c r="BB393" s="25"/>
      <c r="BC393" s="25"/>
      <c r="BD393" s="25"/>
      <c r="BE393" s="25"/>
      <c r="BF393" s="25"/>
      <c r="BG393" s="26"/>
      <c r="BH393" s="27"/>
      <c r="BI393" s="25"/>
      <c r="BJ393" s="25"/>
      <c r="BK393" s="25"/>
      <c r="BL393" s="25"/>
    </row>
    <row r="394" spans="1:64">
      <c r="A394" s="6"/>
      <c r="H394" t="s">
        <v>110</v>
      </c>
      <c r="K394" s="9"/>
    </row>
    <row r="395" spans="1:64">
      <c r="A395" s="10" t="str">
        <f t="shared" ref="A395:A408" si="34">TRIM(B395)&amp;TRIM(C395)&amp;TRIM(D395)&amp;TRIM(E395)&amp;TRIM(F395)&amp;TRIM(G395)&amp;TRIM(H395)&amp;TRIM(I395)&amp;TRIM(J395)</f>
        <v>GJTOH_F_COMMISSION2.당월실적_B2B금년</v>
      </c>
      <c r="B395" s="7"/>
      <c r="C395" s="7"/>
      <c r="D395" s="7"/>
      <c r="E395" s="7"/>
      <c r="F395" s="7"/>
      <c r="G395" s="7" t="s">
        <v>11</v>
      </c>
      <c r="H395" s="7" t="s">
        <v>110</v>
      </c>
      <c r="I395" s="7" t="s">
        <v>96</v>
      </c>
      <c r="J395" s="10" t="s">
        <v>50</v>
      </c>
      <c r="K395" s="9"/>
      <c r="L395" s="24"/>
      <c r="M395" s="25"/>
      <c r="N395" s="25"/>
      <c r="O395" s="25"/>
      <c r="P395" s="25"/>
      <c r="Q395" s="25"/>
      <c r="R395" s="25"/>
      <c r="S395" s="25"/>
      <c r="T395" s="25"/>
      <c r="U395" s="25"/>
      <c r="V395" s="25"/>
      <c r="W395" s="26"/>
      <c r="X395" s="24"/>
      <c r="Y395" s="25"/>
      <c r="Z395" s="25"/>
      <c r="AA395" s="25"/>
      <c r="AB395" s="25"/>
      <c r="AC395" s="25"/>
      <c r="AD395" s="25"/>
      <c r="AE395" s="25"/>
      <c r="AF395" s="25"/>
      <c r="AG395" s="25"/>
      <c r="AH395" s="25"/>
      <c r="AI395" s="26"/>
      <c r="AJ395" s="24"/>
      <c r="AK395" s="25"/>
      <c r="AL395" s="25"/>
      <c r="AM395" s="25"/>
      <c r="AN395" s="25"/>
      <c r="AO395" s="25"/>
      <c r="AP395" s="25"/>
      <c r="AQ395" s="25"/>
      <c r="AR395" s="25"/>
      <c r="AS395" s="25"/>
      <c r="AT395" s="25"/>
      <c r="AU395" s="26"/>
      <c r="AV395" s="24"/>
      <c r="AW395" s="25"/>
      <c r="AX395" s="25"/>
      <c r="AY395" s="25"/>
      <c r="AZ395" s="25"/>
      <c r="BA395" s="25"/>
      <c r="BB395" s="25"/>
      <c r="BC395" s="25"/>
      <c r="BD395" s="25"/>
      <c r="BE395" s="25"/>
      <c r="BF395" s="25"/>
      <c r="BG395" s="26"/>
      <c r="BH395" s="27"/>
      <c r="BI395" s="25"/>
      <c r="BJ395" s="25"/>
      <c r="BK395" s="25"/>
      <c r="BL395" s="25"/>
    </row>
    <row r="396" spans="1:64" ht="18" customHeight="1">
      <c r="A396" s="10" t="str">
        <f t="shared" si="34"/>
        <v>GJTOH_F_COMMISSION2.당월실적_B2B전년</v>
      </c>
      <c r="B396" s="7"/>
      <c r="C396" s="7"/>
      <c r="D396" s="7"/>
      <c r="E396" s="7"/>
      <c r="F396" s="7"/>
      <c r="G396" s="7" t="s">
        <v>11</v>
      </c>
      <c r="H396" s="7" t="s">
        <v>110</v>
      </c>
      <c r="I396" s="7" t="s">
        <v>96</v>
      </c>
      <c r="J396" s="23" t="s">
        <v>34</v>
      </c>
      <c r="K396" s="9"/>
      <c r="L396" s="24"/>
      <c r="M396" s="25"/>
      <c r="N396" s="25"/>
      <c r="O396" s="25"/>
      <c r="P396" s="25"/>
      <c r="Q396" s="25"/>
      <c r="R396" s="25"/>
      <c r="S396" s="25"/>
      <c r="T396" s="25"/>
      <c r="U396" s="25"/>
      <c r="V396" s="25"/>
      <c r="W396" s="26"/>
      <c r="X396" s="24"/>
      <c r="Y396" s="25"/>
      <c r="Z396" s="25"/>
      <c r="AA396" s="25"/>
      <c r="AB396" s="25"/>
      <c r="AC396" s="25"/>
      <c r="AD396" s="25"/>
      <c r="AE396" s="25"/>
      <c r="AF396" s="25"/>
      <c r="AG396" s="25"/>
      <c r="AH396" s="25"/>
      <c r="AI396" s="26"/>
      <c r="AJ396" s="24"/>
      <c r="AK396" s="25"/>
      <c r="AL396" s="25"/>
      <c r="AM396" s="25"/>
      <c r="AN396" s="25"/>
      <c r="AO396" s="25"/>
      <c r="AP396" s="25"/>
      <c r="AQ396" s="25"/>
      <c r="AR396" s="25"/>
      <c r="AS396" s="25"/>
      <c r="AT396" s="25"/>
      <c r="AU396" s="26"/>
      <c r="AV396" s="24"/>
      <c r="AW396" s="25"/>
      <c r="AX396" s="25"/>
      <c r="AY396" s="25"/>
      <c r="AZ396" s="25"/>
      <c r="BA396" s="25"/>
      <c r="BB396" s="25"/>
      <c r="BC396" s="25"/>
      <c r="BD396" s="25"/>
      <c r="BE396" s="25"/>
      <c r="BF396" s="25"/>
      <c r="BG396" s="26"/>
      <c r="BH396" s="27"/>
      <c r="BI396" s="25"/>
      <c r="BJ396" s="25"/>
      <c r="BK396" s="25"/>
      <c r="BL396" s="25"/>
    </row>
    <row r="397" spans="1:64">
      <c r="A397" s="10" t="str">
        <f t="shared" si="34"/>
        <v>GNTOH_F_COMMISSION2.당월실적_B2B금년</v>
      </c>
      <c r="B397" s="7"/>
      <c r="C397" s="7"/>
      <c r="D397" s="7"/>
      <c r="E397" s="7"/>
      <c r="F397" s="7"/>
      <c r="G397" s="7" t="s">
        <v>13</v>
      </c>
      <c r="H397" s="7" t="s">
        <v>110</v>
      </c>
      <c r="I397" s="7" t="s">
        <v>96</v>
      </c>
      <c r="J397" s="10" t="s">
        <v>50</v>
      </c>
      <c r="K397" s="9"/>
      <c r="L397" s="24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6"/>
      <c r="X397" s="24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6"/>
      <c r="AJ397" s="24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6"/>
      <c r="AV397" s="24"/>
      <c r="AW397" s="25"/>
      <c r="AX397" s="25"/>
      <c r="AY397" s="25"/>
      <c r="AZ397" s="25"/>
      <c r="BA397" s="25"/>
      <c r="BB397" s="25"/>
      <c r="BC397" s="25"/>
      <c r="BD397" s="25"/>
      <c r="BE397" s="25"/>
      <c r="BF397" s="25"/>
      <c r="BG397" s="26"/>
      <c r="BH397" s="27"/>
      <c r="BI397" s="25"/>
      <c r="BJ397" s="25"/>
      <c r="BK397" s="25"/>
      <c r="BL397" s="25"/>
    </row>
    <row r="398" spans="1:64">
      <c r="A398" s="10" t="str">
        <f t="shared" si="34"/>
        <v>GNTOH_F_COMMISSION2.당월실적_B2B전년</v>
      </c>
      <c r="B398" s="7"/>
      <c r="C398" s="7"/>
      <c r="D398" s="7"/>
      <c r="E398" s="7"/>
      <c r="F398" s="7"/>
      <c r="G398" s="7" t="s">
        <v>13</v>
      </c>
      <c r="H398" s="7" t="s">
        <v>110</v>
      </c>
      <c r="I398" s="7" t="s">
        <v>96</v>
      </c>
      <c r="J398" s="23" t="s">
        <v>34</v>
      </c>
      <c r="K398" s="9"/>
      <c r="L398" s="24"/>
      <c r="M398" s="25"/>
      <c r="N398" s="25"/>
      <c r="O398" s="25"/>
      <c r="P398" s="25"/>
      <c r="Q398" s="25"/>
      <c r="R398" s="25"/>
      <c r="S398" s="25"/>
      <c r="T398" s="25"/>
      <c r="U398" s="25"/>
      <c r="V398" s="25"/>
      <c r="W398" s="26"/>
      <c r="X398" s="24"/>
      <c r="Y398" s="25"/>
      <c r="Z398" s="25"/>
      <c r="AA398" s="25"/>
      <c r="AB398" s="25"/>
      <c r="AC398" s="25"/>
      <c r="AD398" s="25"/>
      <c r="AE398" s="25"/>
      <c r="AF398" s="25"/>
      <c r="AG398" s="25"/>
      <c r="AH398" s="25"/>
      <c r="AI398" s="26"/>
      <c r="AJ398" s="24"/>
      <c r="AK398" s="25"/>
      <c r="AL398" s="25"/>
      <c r="AM398" s="25"/>
      <c r="AN398" s="25"/>
      <c r="AO398" s="25"/>
      <c r="AP398" s="25"/>
      <c r="AQ398" s="25"/>
      <c r="AR398" s="25"/>
      <c r="AS398" s="25"/>
      <c r="AT398" s="25"/>
      <c r="AU398" s="26"/>
      <c r="AV398" s="24"/>
      <c r="AW398" s="25"/>
      <c r="AX398" s="25"/>
      <c r="AY398" s="25"/>
      <c r="AZ398" s="25"/>
      <c r="BA398" s="25"/>
      <c r="BB398" s="25"/>
      <c r="BC398" s="25"/>
      <c r="BD398" s="25"/>
      <c r="BE398" s="25"/>
      <c r="BF398" s="25"/>
      <c r="BG398" s="26"/>
      <c r="BH398" s="27"/>
      <c r="BI398" s="25"/>
      <c r="BJ398" s="25"/>
      <c r="BK398" s="25"/>
      <c r="BL398" s="25"/>
    </row>
    <row r="399" spans="1:64">
      <c r="A399" s="10" t="str">
        <f t="shared" si="34"/>
        <v>GOTOH_F_COMMISSION2.당월실적_B2B금년</v>
      </c>
      <c r="B399" s="7"/>
      <c r="C399" s="7"/>
      <c r="D399" s="7"/>
      <c r="E399" s="7"/>
      <c r="F399" s="7"/>
      <c r="G399" s="7" t="s">
        <v>94</v>
      </c>
      <c r="H399" s="7" t="s">
        <v>110</v>
      </c>
      <c r="I399" s="7" t="s">
        <v>96</v>
      </c>
      <c r="J399" s="10" t="s">
        <v>50</v>
      </c>
      <c r="K399" s="9"/>
      <c r="L399" s="24"/>
      <c r="M399" s="25"/>
      <c r="N399" s="25"/>
      <c r="O399" s="25"/>
      <c r="P399" s="25"/>
      <c r="Q399" s="25"/>
      <c r="R399" s="25"/>
      <c r="S399" s="25"/>
      <c r="T399" s="25"/>
      <c r="U399" s="25"/>
      <c r="V399" s="25"/>
      <c r="W399" s="26"/>
      <c r="X399" s="24"/>
      <c r="Y399" s="25"/>
      <c r="Z399" s="25"/>
      <c r="AA399" s="25"/>
      <c r="AB399" s="25"/>
      <c r="AC399" s="25"/>
      <c r="AD399" s="25"/>
      <c r="AE399" s="25"/>
      <c r="AF399" s="25"/>
      <c r="AG399" s="25"/>
      <c r="AH399" s="25"/>
      <c r="AI399" s="26"/>
      <c r="AJ399" s="24"/>
      <c r="AK399" s="25"/>
      <c r="AL399" s="25"/>
      <c r="AM399" s="25"/>
      <c r="AN399" s="25"/>
      <c r="AO399" s="25"/>
      <c r="AP399" s="25"/>
      <c r="AQ399" s="25"/>
      <c r="AR399" s="25"/>
      <c r="AS399" s="25"/>
      <c r="AT399" s="25"/>
      <c r="AU399" s="26"/>
      <c r="AV399" s="24"/>
      <c r="AW399" s="25"/>
      <c r="AX399" s="25"/>
      <c r="AY399" s="25"/>
      <c r="AZ399" s="25"/>
      <c r="BA399" s="25"/>
      <c r="BB399" s="25"/>
      <c r="BC399" s="25"/>
      <c r="BD399" s="25"/>
      <c r="BE399" s="25"/>
      <c r="BF399" s="25"/>
      <c r="BG399" s="26"/>
      <c r="BH399" s="27"/>
      <c r="BI399" s="25"/>
      <c r="BJ399" s="25"/>
      <c r="BK399" s="25"/>
      <c r="BL399" s="25"/>
    </row>
    <row r="400" spans="1:64">
      <c r="A400" s="10" t="str">
        <f t="shared" si="34"/>
        <v>GOTOH_F_COMMISSION2.당월실적_B2B전년</v>
      </c>
      <c r="B400" s="7"/>
      <c r="C400" s="7"/>
      <c r="D400" s="7"/>
      <c r="E400" s="7"/>
      <c r="F400" s="7"/>
      <c r="G400" s="7" t="s">
        <v>94</v>
      </c>
      <c r="H400" s="7" t="s">
        <v>110</v>
      </c>
      <c r="I400" s="7" t="s">
        <v>96</v>
      </c>
      <c r="J400" s="23" t="s">
        <v>34</v>
      </c>
      <c r="K400" s="9"/>
      <c r="L400" s="24"/>
      <c r="M400" s="25"/>
      <c r="N400" s="25"/>
      <c r="O400" s="25"/>
      <c r="P400" s="25"/>
      <c r="Q400" s="25"/>
      <c r="R400" s="25"/>
      <c r="S400" s="25"/>
      <c r="T400" s="25"/>
      <c r="U400" s="25"/>
      <c r="V400" s="25"/>
      <c r="W400" s="26"/>
      <c r="X400" s="24"/>
      <c r="Y400" s="25"/>
      <c r="Z400" s="25"/>
      <c r="AA400" s="25"/>
      <c r="AB400" s="25"/>
      <c r="AC400" s="25"/>
      <c r="AD400" s="25"/>
      <c r="AE400" s="25"/>
      <c r="AF400" s="25"/>
      <c r="AG400" s="25"/>
      <c r="AH400" s="25"/>
      <c r="AI400" s="26"/>
      <c r="AJ400" s="24"/>
      <c r="AK400" s="25"/>
      <c r="AL400" s="25"/>
      <c r="AM400" s="25"/>
      <c r="AN400" s="25"/>
      <c r="AO400" s="25"/>
      <c r="AP400" s="25"/>
      <c r="AQ400" s="25"/>
      <c r="AR400" s="25"/>
      <c r="AS400" s="25"/>
      <c r="AT400" s="25"/>
      <c r="AU400" s="26"/>
      <c r="AV400" s="24"/>
      <c r="AW400" s="25"/>
      <c r="AX400" s="25"/>
      <c r="AY400" s="25"/>
      <c r="AZ400" s="25"/>
      <c r="BA400" s="25"/>
      <c r="BB400" s="25"/>
      <c r="BC400" s="25"/>
      <c r="BD400" s="25"/>
      <c r="BE400" s="25"/>
      <c r="BF400" s="25"/>
      <c r="BG400" s="26"/>
      <c r="BH400" s="27"/>
      <c r="BI400" s="25"/>
      <c r="BJ400" s="25"/>
      <c r="BK400" s="25"/>
      <c r="BL400" s="25"/>
    </row>
    <row r="401" spans="1:64">
      <c r="A401" s="10" t="str">
        <f t="shared" si="34"/>
        <v>PKTOH_F_COMMISSION2.당월실적_B2B금년</v>
      </c>
      <c r="B401" s="7"/>
      <c r="C401" s="7"/>
      <c r="D401" s="7"/>
      <c r="E401" s="7"/>
      <c r="F401" s="7"/>
      <c r="G401" s="7" t="s">
        <v>82</v>
      </c>
      <c r="H401" s="7" t="s">
        <v>110</v>
      </c>
      <c r="I401" s="7" t="s">
        <v>96</v>
      </c>
      <c r="J401" s="10" t="s">
        <v>50</v>
      </c>
      <c r="K401" s="9"/>
      <c r="L401" s="24"/>
      <c r="M401" s="25"/>
      <c r="N401" s="25"/>
      <c r="O401" s="25"/>
      <c r="P401" s="25"/>
      <c r="Q401" s="25"/>
      <c r="R401" s="25"/>
      <c r="S401" s="25"/>
      <c r="T401" s="25"/>
      <c r="U401" s="25"/>
      <c r="V401" s="25"/>
      <c r="W401" s="26"/>
      <c r="X401" s="24"/>
      <c r="Y401" s="25"/>
      <c r="Z401" s="25"/>
      <c r="AA401" s="25"/>
      <c r="AB401" s="25"/>
      <c r="AC401" s="25"/>
      <c r="AD401" s="25"/>
      <c r="AE401" s="25"/>
      <c r="AF401" s="25"/>
      <c r="AG401" s="25"/>
      <c r="AH401" s="25"/>
      <c r="AI401" s="26"/>
      <c r="AJ401" s="24"/>
      <c r="AK401" s="25"/>
      <c r="AL401" s="25"/>
      <c r="AM401" s="25"/>
      <c r="AN401" s="25"/>
      <c r="AO401" s="25"/>
      <c r="AP401" s="25"/>
      <c r="AQ401" s="25"/>
      <c r="AR401" s="25"/>
      <c r="AS401" s="25"/>
      <c r="AT401" s="25"/>
      <c r="AU401" s="26"/>
      <c r="AV401" s="24"/>
      <c r="AW401" s="25"/>
      <c r="AX401" s="25"/>
      <c r="AY401" s="25"/>
      <c r="AZ401" s="25"/>
      <c r="BA401" s="25"/>
      <c r="BB401" s="25"/>
      <c r="BC401" s="25"/>
      <c r="BD401" s="25"/>
      <c r="BE401" s="25"/>
      <c r="BF401" s="25"/>
      <c r="BG401" s="26"/>
      <c r="BH401" s="27"/>
      <c r="BI401" s="25"/>
      <c r="BJ401" s="25"/>
      <c r="BK401" s="25"/>
      <c r="BL401" s="25"/>
    </row>
    <row r="402" spans="1:64">
      <c r="A402" s="10" t="str">
        <f t="shared" si="34"/>
        <v>PKTOH_F_COMMISSION2.당월실적_B2B전년</v>
      </c>
      <c r="B402" s="7"/>
      <c r="C402" s="7"/>
      <c r="D402" s="7"/>
      <c r="E402" s="7"/>
      <c r="F402" s="7"/>
      <c r="G402" s="7" t="s">
        <v>82</v>
      </c>
      <c r="H402" s="7" t="s">
        <v>110</v>
      </c>
      <c r="I402" s="7" t="s">
        <v>96</v>
      </c>
      <c r="J402" s="23" t="s">
        <v>34</v>
      </c>
      <c r="K402" s="9"/>
      <c r="L402" s="24"/>
      <c r="M402" s="25"/>
      <c r="N402" s="25"/>
      <c r="O402" s="25"/>
      <c r="P402" s="25"/>
      <c r="Q402" s="25"/>
      <c r="R402" s="25"/>
      <c r="S402" s="25"/>
      <c r="T402" s="25"/>
      <c r="U402" s="25"/>
      <c r="V402" s="25"/>
      <c r="W402" s="26"/>
      <c r="X402" s="24"/>
      <c r="Y402" s="25"/>
      <c r="Z402" s="25"/>
      <c r="AA402" s="25"/>
      <c r="AB402" s="25"/>
      <c r="AC402" s="25"/>
      <c r="AD402" s="25"/>
      <c r="AE402" s="25"/>
      <c r="AF402" s="25"/>
      <c r="AG402" s="25"/>
      <c r="AH402" s="25"/>
      <c r="AI402" s="26"/>
      <c r="AJ402" s="24"/>
      <c r="AK402" s="25"/>
      <c r="AL402" s="25"/>
      <c r="AM402" s="25"/>
      <c r="AN402" s="25"/>
      <c r="AO402" s="25"/>
      <c r="AP402" s="25"/>
      <c r="AQ402" s="25"/>
      <c r="AR402" s="25"/>
      <c r="AS402" s="25"/>
      <c r="AT402" s="25"/>
      <c r="AU402" s="26"/>
      <c r="AV402" s="24"/>
      <c r="AW402" s="25"/>
      <c r="AX402" s="25"/>
      <c r="AY402" s="25"/>
      <c r="AZ402" s="25"/>
      <c r="BA402" s="25"/>
      <c r="BB402" s="25"/>
      <c r="BC402" s="25"/>
      <c r="BD402" s="25"/>
      <c r="BE402" s="25"/>
      <c r="BF402" s="25"/>
      <c r="BG402" s="26"/>
      <c r="BH402" s="27"/>
      <c r="BI402" s="25"/>
      <c r="BJ402" s="25"/>
      <c r="BK402" s="25"/>
      <c r="BL402" s="25"/>
    </row>
    <row r="403" spans="1:64">
      <c r="A403" s="10" t="str">
        <f t="shared" si="34"/>
        <v>DMTOH_F_COMMISSION2.당월실적_B2B금년</v>
      </c>
      <c r="B403" s="7"/>
      <c r="C403" s="7"/>
      <c r="D403" s="7"/>
      <c r="E403" s="7"/>
      <c r="F403" s="7"/>
      <c r="G403" s="7" t="s">
        <v>9</v>
      </c>
      <c r="H403" s="7" t="s">
        <v>110</v>
      </c>
      <c r="I403" s="7" t="s">
        <v>96</v>
      </c>
      <c r="J403" s="10" t="s">
        <v>50</v>
      </c>
      <c r="K403" s="9"/>
      <c r="L403" s="24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6"/>
      <c r="X403" s="24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6"/>
      <c r="AJ403" s="24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6"/>
      <c r="AV403" s="24"/>
      <c r="AW403" s="25"/>
      <c r="AX403" s="25"/>
      <c r="AY403" s="25"/>
      <c r="AZ403" s="25"/>
      <c r="BA403" s="25"/>
      <c r="BB403" s="25"/>
      <c r="BC403" s="25"/>
      <c r="BD403" s="25"/>
      <c r="BE403" s="25"/>
      <c r="BF403" s="25"/>
      <c r="BG403" s="26"/>
      <c r="BH403" s="27"/>
      <c r="BI403" s="25"/>
      <c r="BJ403" s="25"/>
      <c r="BK403" s="25"/>
      <c r="BL403" s="25"/>
    </row>
    <row r="404" spans="1:64">
      <c r="A404" s="10" t="str">
        <f t="shared" si="34"/>
        <v>DMTOH_F_COMMISSION2.당월실적_B2B전년</v>
      </c>
      <c r="B404" s="7"/>
      <c r="C404" s="7"/>
      <c r="D404" s="7"/>
      <c r="E404" s="7"/>
      <c r="F404" s="7"/>
      <c r="G404" s="7" t="s">
        <v>9</v>
      </c>
      <c r="H404" s="7" t="s">
        <v>110</v>
      </c>
      <c r="I404" s="7" t="s">
        <v>96</v>
      </c>
      <c r="J404" s="23" t="s">
        <v>34</v>
      </c>
      <c r="K404" s="9"/>
      <c r="L404" s="24"/>
      <c r="M404" s="25"/>
      <c r="N404" s="25"/>
      <c r="O404" s="25"/>
      <c r="P404" s="25"/>
      <c r="Q404" s="25"/>
      <c r="R404" s="25"/>
      <c r="S404" s="25"/>
      <c r="T404" s="25"/>
      <c r="U404" s="25"/>
      <c r="V404" s="25"/>
      <c r="W404" s="26"/>
      <c r="X404" s="24"/>
      <c r="Y404" s="25"/>
      <c r="Z404" s="25"/>
      <c r="AA404" s="25"/>
      <c r="AB404" s="25"/>
      <c r="AC404" s="25"/>
      <c r="AD404" s="25"/>
      <c r="AE404" s="25"/>
      <c r="AF404" s="25"/>
      <c r="AG404" s="25"/>
      <c r="AH404" s="25"/>
      <c r="AI404" s="26"/>
      <c r="AJ404" s="24"/>
      <c r="AK404" s="25"/>
      <c r="AL404" s="25"/>
      <c r="AM404" s="25"/>
      <c r="AN404" s="25"/>
      <c r="AO404" s="25"/>
      <c r="AP404" s="25"/>
      <c r="AQ404" s="25"/>
      <c r="AR404" s="25"/>
      <c r="AS404" s="25"/>
      <c r="AT404" s="25"/>
      <c r="AU404" s="26"/>
      <c r="AV404" s="24"/>
      <c r="AW404" s="25"/>
      <c r="AX404" s="25"/>
      <c r="AY404" s="25"/>
      <c r="AZ404" s="25"/>
      <c r="BA404" s="25"/>
      <c r="BB404" s="25"/>
      <c r="BC404" s="25"/>
      <c r="BD404" s="25"/>
      <c r="BE404" s="25"/>
      <c r="BF404" s="25"/>
      <c r="BG404" s="26"/>
      <c r="BH404" s="27"/>
      <c r="BI404" s="25"/>
      <c r="BJ404" s="25"/>
      <c r="BK404" s="25"/>
      <c r="BL404" s="25"/>
    </row>
    <row r="405" spans="1:64">
      <c r="A405" s="10" t="str">
        <f t="shared" si="34"/>
        <v>DTTOH_F_COMMISSION2.당월실적_B2B금년</v>
      </c>
      <c r="B405" s="7"/>
      <c r="C405" s="7"/>
      <c r="D405" s="7"/>
      <c r="E405" s="7"/>
      <c r="F405" s="7"/>
      <c r="G405" s="7" t="s">
        <v>95</v>
      </c>
      <c r="H405" s="7" t="s">
        <v>110</v>
      </c>
      <c r="I405" s="7" t="s">
        <v>96</v>
      </c>
      <c r="J405" s="10" t="s">
        <v>50</v>
      </c>
      <c r="K405" s="9"/>
      <c r="L405" s="24"/>
      <c r="M405" s="25"/>
      <c r="N405" s="25"/>
      <c r="O405" s="25"/>
      <c r="P405" s="25"/>
      <c r="Q405" s="25"/>
      <c r="R405" s="25"/>
      <c r="S405" s="25"/>
      <c r="T405" s="25"/>
      <c r="U405" s="25"/>
      <c r="V405" s="25"/>
      <c r="W405" s="26"/>
      <c r="X405" s="24"/>
      <c r="Y405" s="25"/>
      <c r="Z405" s="25"/>
      <c r="AA405" s="25"/>
      <c r="AB405" s="25"/>
      <c r="AC405" s="25"/>
      <c r="AD405" s="25"/>
      <c r="AE405" s="25"/>
      <c r="AF405" s="25"/>
      <c r="AG405" s="25"/>
      <c r="AH405" s="25"/>
      <c r="AI405" s="26"/>
      <c r="AJ405" s="24"/>
      <c r="AK405" s="25"/>
      <c r="AL405" s="25"/>
      <c r="AM405" s="25"/>
      <c r="AN405" s="25"/>
      <c r="AO405" s="25"/>
      <c r="AP405" s="25"/>
      <c r="AQ405" s="25"/>
      <c r="AR405" s="25"/>
      <c r="AS405" s="25"/>
      <c r="AT405" s="25"/>
      <c r="AU405" s="26"/>
      <c r="AV405" s="24"/>
      <c r="AW405" s="25"/>
      <c r="AX405" s="25"/>
      <c r="AY405" s="25"/>
      <c r="AZ405" s="25"/>
      <c r="BA405" s="25"/>
      <c r="BB405" s="25"/>
      <c r="BC405" s="25"/>
      <c r="BD405" s="25"/>
      <c r="BE405" s="25"/>
      <c r="BF405" s="25"/>
      <c r="BG405" s="26"/>
      <c r="BH405" s="27"/>
      <c r="BI405" s="25"/>
      <c r="BJ405" s="25"/>
      <c r="BK405" s="25"/>
      <c r="BL405" s="25"/>
    </row>
    <row r="406" spans="1:64">
      <c r="A406" s="10" t="str">
        <f t="shared" si="34"/>
        <v>DTTOH_F_COMMISSION2.당월실적_B2B전년</v>
      </c>
      <c r="B406" s="7"/>
      <c r="C406" s="7"/>
      <c r="D406" s="7"/>
      <c r="E406" s="7"/>
      <c r="F406" s="7"/>
      <c r="G406" s="7" t="s">
        <v>95</v>
      </c>
      <c r="H406" s="7" t="s">
        <v>110</v>
      </c>
      <c r="I406" s="7" t="s">
        <v>96</v>
      </c>
      <c r="J406" s="23" t="s">
        <v>34</v>
      </c>
      <c r="K406" s="9"/>
      <c r="L406" s="24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6"/>
      <c r="X406" s="24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6"/>
      <c r="AJ406" s="24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6"/>
      <c r="AV406" s="24"/>
      <c r="AW406" s="25"/>
      <c r="AX406" s="25"/>
      <c r="AY406" s="25"/>
      <c r="AZ406" s="25"/>
      <c r="BA406" s="25"/>
      <c r="BB406" s="25"/>
      <c r="BC406" s="25"/>
      <c r="BD406" s="25"/>
      <c r="BE406" s="25"/>
      <c r="BF406" s="25"/>
      <c r="BG406" s="26"/>
      <c r="BH406" s="27"/>
      <c r="BI406" s="25"/>
      <c r="BJ406" s="25"/>
      <c r="BK406" s="25"/>
      <c r="BL406" s="25"/>
    </row>
    <row r="407" spans="1:64">
      <c r="A407" s="10" t="str">
        <f t="shared" si="34"/>
        <v>PGTOH_F_COMMISSION2.당월실적_B2B금년</v>
      </c>
      <c r="B407" s="7"/>
      <c r="C407" s="7"/>
      <c r="D407" s="7"/>
      <c r="E407" s="7"/>
      <c r="F407" s="7"/>
      <c r="G407" s="7" t="s">
        <v>18</v>
      </c>
      <c r="H407" s="7" t="s">
        <v>110</v>
      </c>
      <c r="I407" s="7" t="s">
        <v>96</v>
      </c>
      <c r="J407" s="10" t="s">
        <v>50</v>
      </c>
      <c r="K407" s="9"/>
      <c r="L407" s="24"/>
      <c r="M407" s="25"/>
      <c r="N407" s="25"/>
      <c r="O407" s="25"/>
      <c r="P407" s="25"/>
      <c r="Q407" s="25"/>
      <c r="R407" s="25"/>
      <c r="S407" s="25"/>
      <c r="T407" s="25"/>
      <c r="U407" s="25"/>
      <c r="V407" s="25"/>
      <c r="W407" s="26"/>
      <c r="X407" s="24"/>
      <c r="Y407" s="25"/>
      <c r="Z407" s="25"/>
      <c r="AA407" s="25"/>
      <c r="AB407" s="25"/>
      <c r="AC407" s="25"/>
      <c r="AD407" s="25"/>
      <c r="AE407" s="25"/>
      <c r="AF407" s="25"/>
      <c r="AG407" s="25"/>
      <c r="AH407" s="25"/>
      <c r="AI407" s="26"/>
      <c r="AJ407" s="24"/>
      <c r="AK407" s="25"/>
      <c r="AL407" s="25"/>
      <c r="AM407" s="25"/>
      <c r="AN407" s="25"/>
      <c r="AO407" s="25"/>
      <c r="AP407" s="25"/>
      <c r="AQ407" s="25"/>
      <c r="AR407" s="25"/>
      <c r="AS407" s="25"/>
      <c r="AT407" s="25"/>
      <c r="AU407" s="26"/>
      <c r="AV407" s="24"/>
      <c r="AW407" s="25"/>
      <c r="AX407" s="25"/>
      <c r="AY407" s="25"/>
      <c r="AZ407" s="25"/>
      <c r="BA407" s="25"/>
      <c r="BB407" s="25"/>
      <c r="BC407" s="25"/>
      <c r="BD407" s="25"/>
      <c r="BE407" s="25"/>
      <c r="BF407" s="25"/>
      <c r="BG407" s="26"/>
      <c r="BH407" s="27"/>
      <c r="BI407" s="25"/>
      <c r="BJ407" s="25"/>
      <c r="BK407" s="25"/>
      <c r="BL407" s="25"/>
    </row>
    <row r="408" spans="1:64">
      <c r="A408" s="10" t="str">
        <f t="shared" si="34"/>
        <v>PGTOH_F_COMMISSION2.당월실적_B2B전년</v>
      </c>
      <c r="B408" s="7"/>
      <c r="C408" s="7"/>
      <c r="D408" s="7"/>
      <c r="E408" s="7"/>
      <c r="F408" s="7"/>
      <c r="G408" s="7" t="s">
        <v>18</v>
      </c>
      <c r="H408" s="7" t="s">
        <v>110</v>
      </c>
      <c r="I408" s="7" t="s">
        <v>96</v>
      </c>
      <c r="J408" s="23" t="s">
        <v>34</v>
      </c>
      <c r="K408" s="9"/>
      <c r="L408" s="24"/>
      <c r="M408" s="25"/>
      <c r="N408" s="25"/>
      <c r="O408" s="25"/>
      <c r="P408" s="25"/>
      <c r="Q408" s="25"/>
      <c r="R408" s="25"/>
      <c r="S408" s="25"/>
      <c r="T408" s="25"/>
      <c r="U408" s="25"/>
      <c r="V408" s="25"/>
      <c r="W408" s="26"/>
      <c r="X408" s="24"/>
      <c r="Y408" s="25"/>
      <c r="Z408" s="25"/>
      <c r="AA408" s="25"/>
      <c r="AB408" s="25"/>
      <c r="AC408" s="25"/>
      <c r="AD408" s="25"/>
      <c r="AE408" s="25"/>
      <c r="AF408" s="25"/>
      <c r="AG408" s="25"/>
      <c r="AH408" s="25"/>
      <c r="AI408" s="26"/>
      <c r="AJ408" s="24"/>
      <c r="AK408" s="25"/>
      <c r="AL408" s="25"/>
      <c r="AM408" s="25"/>
      <c r="AN408" s="25"/>
      <c r="AO408" s="25"/>
      <c r="AP408" s="25"/>
      <c r="AQ408" s="25"/>
      <c r="AR408" s="25"/>
      <c r="AS408" s="25"/>
      <c r="AT408" s="25"/>
      <c r="AU408" s="26"/>
      <c r="AV408" s="24"/>
      <c r="AW408" s="25"/>
      <c r="AX408" s="25"/>
      <c r="AY408" s="25"/>
      <c r="AZ408" s="25"/>
      <c r="BA408" s="25"/>
      <c r="BB408" s="25"/>
      <c r="BC408" s="25"/>
      <c r="BD408" s="25"/>
      <c r="BE408" s="25"/>
      <c r="BF408" s="25"/>
      <c r="BG408" s="26"/>
      <c r="BH408" s="27"/>
      <c r="BI408" s="25"/>
      <c r="BJ408" s="25"/>
      <c r="BK408" s="25"/>
      <c r="BL408" s="25"/>
    </row>
    <row r="410" spans="1:64" ht="6" customHeight="1">
      <c r="A410" s="28"/>
      <c r="B410" s="29"/>
      <c r="C410" s="29"/>
      <c r="D410" s="29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29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  <c r="AX410" s="29"/>
      <c r="AY410" s="29"/>
      <c r="AZ410" s="29"/>
      <c r="BA410" s="29"/>
      <c r="BB410" s="29"/>
      <c r="BC410" s="29"/>
      <c r="BD410" s="29"/>
      <c r="BE410" s="29"/>
      <c r="BF410" s="29"/>
      <c r="BG410" s="29"/>
      <c r="BH410" s="29"/>
      <c r="BI410" s="29"/>
      <c r="BJ410" s="29"/>
      <c r="BK410" s="29"/>
      <c r="BL410" s="29"/>
    </row>
    <row r="411" spans="1:64">
      <c r="A411" s="1" t="s">
        <v>57</v>
      </c>
    </row>
    <row r="412" spans="1:64">
      <c r="A412" s="10" t="str">
        <f>TRIM(B412)&amp;TRIM(C412)&amp;TRIM(D412)&amp;TRIM(E412)&amp;TRIM(F412)&amp;TRIM(G412)&amp;TRIM(H412)&amp;TRIM(I412)&amp;TRIM(J412)</f>
        <v>GBUOH_COST(법인전체)금년</v>
      </c>
      <c r="B412" s="2"/>
      <c r="C412" s="2"/>
      <c r="D412" s="2"/>
      <c r="E412" s="2"/>
      <c r="F412" s="2"/>
      <c r="G412" s="2" t="s">
        <v>97</v>
      </c>
      <c r="H412" s="2" t="s">
        <v>100</v>
      </c>
      <c r="I412" s="2"/>
      <c r="J412" s="10" t="s">
        <v>50</v>
      </c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  <c r="BC412" s="25"/>
      <c r="BD412" s="25"/>
      <c r="BE412" s="25"/>
      <c r="BF412" s="25"/>
      <c r="BG412" s="25"/>
      <c r="BH412" s="25"/>
      <c r="BI412" s="25"/>
      <c r="BJ412" s="25"/>
      <c r="BK412" s="25"/>
      <c r="BL412" s="25"/>
    </row>
    <row r="413" spans="1:64">
      <c r="A413" s="10" t="str">
        <f>TRIM(B413)&amp;TRIM(C413)&amp;TRIM(D413)&amp;TRIM(E413)&amp;TRIM(F413)&amp;TRIM(G413)&amp;TRIM(H413)&amp;TRIM(I413)&amp;TRIM(J413)</f>
        <v>GBUOH_COST(법인전체)전년</v>
      </c>
      <c r="B413" s="2"/>
      <c r="C413" s="2"/>
      <c r="D413" s="2"/>
      <c r="E413" s="2"/>
      <c r="F413" s="2"/>
      <c r="G413" s="2" t="s">
        <v>97</v>
      </c>
      <c r="H413" s="2" t="s">
        <v>100</v>
      </c>
      <c r="I413" s="2"/>
      <c r="J413" s="23" t="s">
        <v>34</v>
      </c>
      <c r="L413" s="25"/>
      <c r="M413" s="25"/>
      <c r="N413" s="25"/>
      <c r="O413" s="25"/>
      <c r="P413" s="25"/>
      <c r="Q413" s="25"/>
      <c r="R413" s="25"/>
      <c r="S413" s="25"/>
      <c r="T413" s="25"/>
      <c r="U413" s="25"/>
      <c r="V413" s="25"/>
      <c r="W413" s="25"/>
      <c r="X413" s="25"/>
      <c r="Y413" s="25"/>
      <c r="Z413" s="25"/>
      <c r="AA413" s="25"/>
      <c r="AB413" s="25"/>
      <c r="AC413" s="25"/>
      <c r="AD413" s="25"/>
      <c r="AE413" s="25"/>
      <c r="AF413" s="25"/>
      <c r="AG413" s="25"/>
      <c r="AH413" s="25"/>
      <c r="AI413" s="25"/>
      <c r="AJ413" s="25"/>
      <c r="AK413" s="25"/>
      <c r="AL413" s="25"/>
      <c r="AM413" s="25"/>
      <c r="AN413" s="25"/>
      <c r="AO413" s="25"/>
      <c r="AP413" s="25"/>
      <c r="AQ413" s="25"/>
      <c r="AR413" s="25"/>
      <c r="AS413" s="25"/>
      <c r="AT413" s="25"/>
      <c r="AU413" s="25"/>
      <c r="AV413" s="25"/>
      <c r="AW413" s="25"/>
      <c r="AX413" s="25"/>
      <c r="AY413" s="25"/>
      <c r="AZ413" s="25"/>
      <c r="BA413" s="25"/>
      <c r="BB413" s="25"/>
      <c r="BC413" s="25"/>
      <c r="BD413" s="25"/>
      <c r="BE413" s="25"/>
      <c r="BF413" s="25"/>
      <c r="BG413" s="25"/>
      <c r="BH413" s="25"/>
      <c r="BI413" s="25"/>
      <c r="BJ413" s="25"/>
      <c r="BK413" s="25"/>
      <c r="BL413" s="25"/>
    </row>
    <row r="414" spans="1:64">
      <c r="A414" s="10" t="str">
        <f>TRIM(B414)&amp;TRIM(C414)&amp;TRIM(D414)&amp;TRIM(E414)&amp;TRIM(F414)&amp;TRIM(G414)&amp;TRIM(H414)&amp;TRIM(I414)&amp;TRIM(J414)</f>
        <v>GBUOH_COST율(법인전체)금년</v>
      </c>
      <c r="B414" s="2"/>
      <c r="C414" s="2"/>
      <c r="D414" s="2"/>
      <c r="E414" s="2"/>
      <c r="F414" s="2"/>
      <c r="G414" s="2" t="s">
        <v>97</v>
      </c>
      <c r="H414" s="2" t="s">
        <v>111</v>
      </c>
      <c r="I414" s="2"/>
      <c r="J414" s="10" t="s">
        <v>50</v>
      </c>
      <c r="L414" s="50"/>
      <c r="M414" s="50"/>
      <c r="N414" s="50"/>
      <c r="O414" s="50"/>
      <c r="P414" s="50"/>
      <c r="Q414" s="50"/>
      <c r="R414" s="50"/>
      <c r="S414" s="50"/>
      <c r="T414" s="50"/>
      <c r="U414" s="50"/>
      <c r="V414" s="50"/>
      <c r="W414" s="50"/>
      <c r="X414" s="50"/>
      <c r="Y414" s="50"/>
      <c r="Z414" s="50"/>
      <c r="AA414" s="50"/>
      <c r="AB414" s="50"/>
      <c r="AC414" s="50"/>
      <c r="AD414" s="50"/>
      <c r="AE414" s="50"/>
      <c r="AF414" s="50"/>
      <c r="AG414" s="50"/>
      <c r="AH414" s="50"/>
      <c r="AI414" s="50"/>
      <c r="AJ414" s="50"/>
      <c r="AK414" s="50"/>
      <c r="AL414" s="50"/>
      <c r="AM414" s="50"/>
      <c r="AN414" s="50"/>
      <c r="AO414" s="50"/>
      <c r="AP414" s="50"/>
      <c r="AQ414" s="50"/>
      <c r="AR414" s="50"/>
      <c r="AS414" s="50"/>
      <c r="AT414" s="50"/>
      <c r="AU414" s="50"/>
      <c r="AV414" s="50"/>
      <c r="AW414" s="50"/>
      <c r="AX414" s="50"/>
      <c r="AY414" s="50"/>
      <c r="AZ414" s="50"/>
      <c r="BA414" s="50"/>
      <c r="BB414" s="50"/>
      <c r="BC414" s="50"/>
      <c r="BD414" s="50"/>
      <c r="BE414" s="50"/>
      <c r="BF414" s="50"/>
      <c r="BG414" s="50"/>
      <c r="BH414" s="50"/>
      <c r="BI414" s="50"/>
      <c r="BJ414" s="50"/>
      <c r="BK414" s="50"/>
      <c r="BL414" s="50"/>
    </row>
    <row r="415" spans="1:64">
      <c r="A415" s="10" t="str">
        <f>TRIM(B415)&amp;TRIM(C415)&amp;TRIM(D415)&amp;TRIM(E415)&amp;TRIM(F415)&amp;TRIM(G415)&amp;TRIM(H415)&amp;TRIM(I415)&amp;TRIM(J415)</f>
        <v>GBUOH_COST율(법인전체)전년</v>
      </c>
      <c r="B415" s="2"/>
      <c r="C415" s="2"/>
      <c r="D415" s="2"/>
      <c r="E415" s="2"/>
      <c r="F415" s="2"/>
      <c r="G415" s="2" t="s">
        <v>97</v>
      </c>
      <c r="H415" s="2" t="s">
        <v>111</v>
      </c>
      <c r="I415" s="2"/>
      <c r="J415" s="23" t="s">
        <v>34</v>
      </c>
      <c r="L415" s="50"/>
      <c r="M415" s="50"/>
      <c r="N415" s="50"/>
      <c r="O415" s="50"/>
      <c r="P415" s="50"/>
      <c r="Q415" s="50"/>
      <c r="R415" s="50"/>
      <c r="S415" s="50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D415" s="50"/>
      <c r="AE415" s="50"/>
      <c r="AF415" s="50"/>
      <c r="AG415" s="50"/>
      <c r="AH415" s="50"/>
      <c r="AI415" s="50"/>
      <c r="AJ415" s="50"/>
      <c r="AK415" s="50"/>
      <c r="AL415" s="50"/>
      <c r="AM415" s="50"/>
      <c r="AN415" s="50"/>
      <c r="AO415" s="50"/>
      <c r="AP415" s="50"/>
      <c r="AQ415" s="50"/>
      <c r="AR415" s="50"/>
      <c r="AS415" s="50"/>
      <c r="AT415" s="50"/>
      <c r="AU415" s="50"/>
      <c r="AV415" s="50"/>
      <c r="AW415" s="50"/>
      <c r="AX415" s="50"/>
      <c r="AY415" s="50"/>
      <c r="AZ415" s="50"/>
      <c r="BA415" s="50"/>
      <c r="BB415" s="50"/>
      <c r="BC415" s="50"/>
      <c r="BD415" s="50"/>
      <c r="BE415" s="50"/>
      <c r="BF415" s="50"/>
      <c r="BG415" s="50"/>
      <c r="BH415" s="50"/>
      <c r="BI415" s="50"/>
      <c r="BJ415" s="50"/>
      <c r="BK415" s="50"/>
      <c r="BL415" s="50"/>
    </row>
    <row r="416" spans="1:64">
      <c r="A416" s="10" t="str">
        <f>TRIM(B416)&amp;TRIM(C416)&amp;TRIM(D416)&amp;TRIM(E416)&amp;TRIM(F416)&amp;TRIM(G416)&amp;TRIM(H416)&amp;TRIM(I416)&amp;TRIM(J416)</f>
        <v>GBUOH_COST율(법인전체)전년대비</v>
      </c>
      <c r="B416" s="2"/>
      <c r="C416" s="2"/>
      <c r="D416" s="2"/>
      <c r="E416" s="2"/>
      <c r="F416" s="2"/>
      <c r="G416" s="2" t="s">
        <v>97</v>
      </c>
      <c r="H416" s="2" t="s">
        <v>112</v>
      </c>
      <c r="I416" s="2"/>
      <c r="J416" s="2" t="s">
        <v>52</v>
      </c>
      <c r="L416" s="25"/>
      <c r="M416" s="25"/>
      <c r="N416" s="25"/>
      <c r="O416" s="25"/>
      <c r="P416" s="25"/>
      <c r="Q416" s="25"/>
      <c r="R416" s="25"/>
      <c r="S416" s="25"/>
      <c r="T416" s="25"/>
      <c r="U416" s="25"/>
      <c r="V416" s="25"/>
      <c r="W416" s="25"/>
      <c r="X416" s="25"/>
      <c r="Y416" s="25"/>
      <c r="Z416" s="25"/>
      <c r="AA416" s="25"/>
      <c r="AB416" s="25"/>
      <c r="AC416" s="25"/>
      <c r="AD416" s="25"/>
      <c r="AE416" s="25"/>
      <c r="AF416" s="25"/>
      <c r="AG416" s="25"/>
      <c r="AH416" s="25"/>
      <c r="AI416" s="25"/>
      <c r="AJ416" s="25"/>
      <c r="AK416" s="25"/>
      <c r="AL416" s="25"/>
      <c r="AM416" s="25"/>
      <c r="AN416" s="25"/>
      <c r="AO416" s="25"/>
      <c r="AP416" s="25"/>
      <c r="AQ416" s="25"/>
      <c r="AR416" s="25"/>
      <c r="AS416" s="25"/>
      <c r="AT416" s="25"/>
      <c r="AU416" s="25"/>
      <c r="AV416" s="25"/>
      <c r="AW416" s="25"/>
      <c r="AX416" s="25"/>
      <c r="AY416" s="25"/>
      <c r="AZ416" s="25"/>
      <c r="BA416" s="25"/>
      <c r="BB416" s="25"/>
      <c r="BC416" s="25"/>
      <c r="BD416" s="25"/>
      <c r="BE416" s="25"/>
      <c r="BF416" s="25"/>
      <c r="BG416" s="25"/>
      <c r="BH416" s="25"/>
      <c r="BI416" s="25"/>
      <c r="BJ416" s="25"/>
      <c r="BK416" s="25"/>
      <c r="BL416" s="25"/>
    </row>
    <row r="418" spans="1:64">
      <c r="A418" s="10" t="str">
        <f>TRIM(B418)&amp;TRIM(C418)&amp;TRIM(D418)&amp;TRIM(E418)&amp;TRIM(F418)&amp;TRIM(G418)&amp;TRIM(H418)&amp;TRIM(I418)&amp;TRIM(J418)</f>
        <v>GBUB2B매출금년</v>
      </c>
      <c r="B418" s="2"/>
      <c r="C418" s="2"/>
      <c r="D418" s="2"/>
      <c r="E418" s="2"/>
      <c r="F418" s="2"/>
      <c r="G418" s="2" t="s">
        <v>97</v>
      </c>
      <c r="H418" s="2" t="s">
        <v>125</v>
      </c>
      <c r="I418" s="2"/>
      <c r="J418" s="10" t="s">
        <v>50</v>
      </c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  <c r="BC418" s="25"/>
      <c r="BD418" s="25"/>
      <c r="BE418" s="25"/>
      <c r="BF418" s="25"/>
      <c r="BG418" s="25"/>
      <c r="BH418" s="25"/>
      <c r="BI418" s="25"/>
      <c r="BJ418" s="25"/>
      <c r="BK418" s="25"/>
      <c r="BL418" s="25"/>
    </row>
    <row r="419" spans="1:64">
      <c r="A419" s="10" t="str">
        <f>TRIM(B419)&amp;TRIM(C419)&amp;TRIM(D419)&amp;TRIM(E419)&amp;TRIM(F419)&amp;TRIM(G419)&amp;TRIM(H419)&amp;TRIM(I419)&amp;TRIM(J419)</f>
        <v>GBUB2B매출전년</v>
      </c>
      <c r="B419" s="2"/>
      <c r="C419" s="2"/>
      <c r="D419" s="2"/>
      <c r="E419" s="2"/>
      <c r="F419" s="2"/>
      <c r="G419" s="2" t="s">
        <v>97</v>
      </c>
      <c r="H419" s="2" t="s">
        <v>125</v>
      </c>
      <c r="I419" s="2"/>
      <c r="J419" s="23" t="s">
        <v>34</v>
      </c>
      <c r="L419" s="25"/>
      <c r="M419" s="25"/>
      <c r="N419" s="25"/>
      <c r="O419" s="25"/>
      <c r="P419" s="25"/>
      <c r="Q419" s="25"/>
      <c r="R419" s="25"/>
      <c r="S419" s="25"/>
      <c r="T419" s="25"/>
      <c r="U419" s="25"/>
      <c r="V419" s="25"/>
      <c r="W419" s="25"/>
      <c r="X419" s="25"/>
      <c r="Y419" s="25"/>
      <c r="Z419" s="25"/>
      <c r="AA419" s="25"/>
      <c r="AB419" s="25"/>
      <c r="AC419" s="25"/>
      <c r="AD419" s="25"/>
      <c r="AE419" s="25"/>
      <c r="AF419" s="25"/>
      <c r="AG419" s="25"/>
      <c r="AH419" s="25"/>
      <c r="AI419" s="25"/>
      <c r="AJ419" s="25"/>
      <c r="AK419" s="25"/>
      <c r="AL419" s="25"/>
      <c r="AM419" s="25"/>
      <c r="AN419" s="25"/>
      <c r="AO419" s="25"/>
      <c r="AP419" s="25"/>
      <c r="AQ419" s="25"/>
      <c r="AR419" s="25"/>
      <c r="AS419" s="25"/>
      <c r="AT419" s="25"/>
      <c r="AU419" s="25"/>
      <c r="AV419" s="25"/>
      <c r="AW419" s="25"/>
      <c r="AX419" s="25"/>
      <c r="AY419" s="25"/>
      <c r="AZ419" s="25"/>
      <c r="BA419" s="25"/>
      <c r="BB419" s="25"/>
      <c r="BC419" s="25"/>
      <c r="BD419" s="25"/>
      <c r="BE419" s="25"/>
      <c r="BF419" s="25"/>
      <c r="BG419" s="25"/>
      <c r="BH419" s="25"/>
      <c r="BI419" s="25"/>
      <c r="BJ419" s="25"/>
      <c r="BK419" s="25"/>
      <c r="BL419" s="25"/>
    </row>
    <row r="420" spans="1:64">
      <c r="A420" s="10" t="str">
        <f>TRIM(B420)&amp;TRIM(C420)&amp;TRIM(D420)&amp;TRIM(E420)&amp;TRIM(F420)&amp;TRIM(G420)&amp;TRIM(H420)&amp;TRIM(I420)&amp;TRIM(J420)</f>
        <v>GBUB2B매출전년대비</v>
      </c>
      <c r="B420" s="2"/>
      <c r="C420" s="2"/>
      <c r="D420" s="2"/>
      <c r="E420" s="2"/>
      <c r="F420" s="2"/>
      <c r="G420" s="2" t="s">
        <v>97</v>
      </c>
      <c r="H420" s="2" t="s">
        <v>125</v>
      </c>
      <c r="I420" s="2"/>
      <c r="J420" s="2" t="s">
        <v>52</v>
      </c>
      <c r="L420" s="25"/>
      <c r="M420" s="25"/>
      <c r="N420" s="25"/>
      <c r="O420" s="25"/>
      <c r="P420" s="25"/>
      <c r="Q420" s="25"/>
      <c r="R420" s="25"/>
      <c r="S420" s="25"/>
      <c r="T420" s="25"/>
      <c r="U420" s="25"/>
      <c r="V420" s="25"/>
      <c r="W420" s="25"/>
      <c r="X420" s="25"/>
      <c r="Y420" s="25"/>
      <c r="Z420" s="25"/>
      <c r="AA420" s="25"/>
      <c r="AB420" s="25"/>
      <c r="AC420" s="25"/>
      <c r="AD420" s="25"/>
      <c r="AE420" s="25"/>
      <c r="AF420" s="25"/>
      <c r="AG420" s="25"/>
      <c r="AH420" s="25"/>
      <c r="AI420" s="25"/>
      <c r="AJ420" s="25"/>
      <c r="AK420" s="25"/>
      <c r="AL420" s="25"/>
      <c r="AM420" s="25"/>
      <c r="AN420" s="25"/>
      <c r="AO420" s="25"/>
      <c r="AP420" s="25"/>
      <c r="AQ420" s="25"/>
      <c r="AR420" s="25"/>
      <c r="AS420" s="25"/>
      <c r="AT420" s="25"/>
      <c r="AU420" s="25"/>
      <c r="AV420" s="25"/>
      <c r="AW420" s="25"/>
      <c r="AX420" s="25"/>
      <c r="AY420" s="25"/>
      <c r="AZ420" s="25"/>
      <c r="BA420" s="25"/>
      <c r="BB420" s="25"/>
      <c r="BC420" s="25"/>
      <c r="BD420" s="25"/>
      <c r="BE420" s="25"/>
      <c r="BF420" s="25"/>
      <c r="BG420" s="25"/>
      <c r="BH420" s="25"/>
      <c r="BI420" s="25"/>
      <c r="BJ420" s="25"/>
      <c r="BK420" s="25"/>
      <c r="BL420" s="25"/>
    </row>
    <row r="422" spans="1:64">
      <c r="A422" s="10" t="str">
        <f>TRIM(B422)&amp;TRIM(C422)&amp;TRIM(D422)&amp;TRIM(E422)&amp;TRIM(F422)&amp;TRIM(G422)&amp;TRIM(H422)&amp;TRIM(I422)&amp;TRIM(J422)</f>
        <v>GBUB2B_SALES_DEDUCTION금년</v>
      </c>
      <c r="B422" s="2"/>
      <c r="C422" s="2"/>
      <c r="D422" s="2"/>
      <c r="E422" s="2"/>
      <c r="F422" s="2"/>
      <c r="G422" s="2" t="s">
        <v>97</v>
      </c>
      <c r="H422" s="2" t="s">
        <v>138</v>
      </c>
      <c r="I422" s="2"/>
      <c r="J422" s="10" t="s">
        <v>50</v>
      </c>
      <c r="L422" s="25"/>
      <c r="M422" s="25"/>
      <c r="N422" s="25"/>
      <c r="O422" s="25"/>
      <c r="P422" s="25"/>
      <c r="Q422" s="25"/>
      <c r="R422" s="25"/>
      <c r="S422" s="25"/>
      <c r="T422" s="25"/>
      <c r="U422" s="25"/>
      <c r="V422" s="25"/>
      <c r="W422" s="25"/>
      <c r="X422" s="25"/>
      <c r="Y422" s="25"/>
      <c r="Z422" s="25"/>
      <c r="AA422" s="25"/>
      <c r="AB422" s="25"/>
      <c r="AC422" s="25"/>
      <c r="AD422" s="25"/>
      <c r="AE422" s="25"/>
      <c r="AF422" s="25"/>
      <c r="AG422" s="25"/>
      <c r="AH422" s="25"/>
      <c r="AI422" s="25"/>
      <c r="AJ422" s="25"/>
      <c r="AK422" s="25"/>
      <c r="AL422" s="25"/>
      <c r="AM422" s="25"/>
      <c r="AN422" s="25"/>
      <c r="AO422" s="25"/>
      <c r="AP422" s="25"/>
      <c r="AQ422" s="25"/>
      <c r="AR422" s="25"/>
      <c r="AS422" s="25"/>
      <c r="AT422" s="25"/>
      <c r="AU422" s="25"/>
      <c r="AV422" s="25"/>
      <c r="AW422" s="25"/>
      <c r="AX422" s="25"/>
      <c r="AY422" s="25"/>
      <c r="AZ422" s="25"/>
      <c r="BA422" s="25"/>
      <c r="BB422" s="25"/>
      <c r="BC422" s="25"/>
      <c r="BD422" s="25"/>
      <c r="BE422" s="25"/>
      <c r="BF422" s="25"/>
      <c r="BG422" s="25"/>
      <c r="BH422" s="25"/>
      <c r="BI422" s="25"/>
      <c r="BJ422" s="25"/>
      <c r="BK422" s="25"/>
      <c r="BL422" s="25"/>
    </row>
    <row r="423" spans="1:64">
      <c r="A423" s="10" t="str">
        <f>TRIM(B423)&amp;TRIM(C423)&amp;TRIM(D423)&amp;TRIM(E423)&amp;TRIM(F423)&amp;TRIM(G423)&amp;TRIM(H423)&amp;TRIM(I423)&amp;TRIM(J423)</f>
        <v>GBUB2B_SALES_DEDUCTION전년</v>
      </c>
      <c r="B423" s="2"/>
      <c r="C423" s="2"/>
      <c r="D423" s="2"/>
      <c r="E423" s="2"/>
      <c r="F423" s="2"/>
      <c r="G423" s="2" t="s">
        <v>97</v>
      </c>
      <c r="H423" s="2" t="s">
        <v>138</v>
      </c>
      <c r="I423" s="2"/>
      <c r="J423" s="23" t="s">
        <v>34</v>
      </c>
      <c r="L423" s="25"/>
      <c r="M423" s="25"/>
      <c r="N423" s="25"/>
      <c r="O423" s="25"/>
      <c r="P423" s="25"/>
      <c r="Q423" s="25"/>
      <c r="R423" s="25"/>
      <c r="S423" s="25"/>
      <c r="T423" s="25"/>
      <c r="U423" s="25"/>
      <c r="V423" s="25"/>
      <c r="W423" s="25"/>
      <c r="X423" s="25"/>
      <c r="Y423" s="25"/>
      <c r="Z423" s="25"/>
      <c r="AA423" s="25"/>
      <c r="AB423" s="25"/>
      <c r="AC423" s="25"/>
      <c r="AD423" s="25"/>
      <c r="AE423" s="25"/>
      <c r="AF423" s="25"/>
      <c r="AG423" s="25"/>
      <c r="AH423" s="25"/>
      <c r="AI423" s="25"/>
      <c r="AJ423" s="25"/>
      <c r="AK423" s="25"/>
      <c r="AL423" s="25"/>
      <c r="AM423" s="25"/>
      <c r="AN423" s="25"/>
      <c r="AO423" s="25"/>
      <c r="AP423" s="25"/>
      <c r="AQ423" s="25"/>
      <c r="AR423" s="25"/>
      <c r="AS423" s="25"/>
      <c r="AT423" s="25"/>
      <c r="AU423" s="25"/>
      <c r="AV423" s="25"/>
      <c r="AW423" s="25"/>
      <c r="AX423" s="25"/>
      <c r="AY423" s="25"/>
      <c r="AZ423" s="25"/>
      <c r="BA423" s="25"/>
      <c r="BB423" s="25"/>
      <c r="BC423" s="25"/>
      <c r="BD423" s="25"/>
      <c r="BE423" s="25"/>
      <c r="BF423" s="25"/>
      <c r="BG423" s="25"/>
      <c r="BH423" s="25"/>
      <c r="BI423" s="25"/>
      <c r="BJ423" s="25"/>
      <c r="BK423" s="25"/>
      <c r="BL423" s="25"/>
    </row>
    <row r="425" spans="1:64">
      <c r="A425" s="10" t="str">
        <f>TRIM(B425)&amp;TRIM(C425)&amp;TRIM(D425)&amp;TRIM(E425)&amp;TRIM(F425)&amp;TRIM(G425)&amp;TRIM(H425)&amp;TRIM(I425)&amp;TRIM(J425)</f>
        <v>GBUB2B가격성판촉율금년</v>
      </c>
      <c r="B425" s="2"/>
      <c r="C425" s="2"/>
      <c r="D425" s="2"/>
      <c r="E425" s="2"/>
      <c r="F425" s="2"/>
      <c r="G425" s="2" t="s">
        <v>97</v>
      </c>
      <c r="H425" s="2" t="s">
        <v>126</v>
      </c>
      <c r="I425" s="2"/>
      <c r="J425" s="10" t="s">
        <v>50</v>
      </c>
      <c r="L425" s="50"/>
      <c r="M425" s="50"/>
      <c r="N425" s="50"/>
      <c r="O425" s="50"/>
      <c r="P425" s="50"/>
      <c r="Q425" s="50"/>
      <c r="R425" s="50"/>
      <c r="S425" s="50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D425" s="50"/>
      <c r="AE425" s="50"/>
      <c r="AF425" s="50"/>
      <c r="AG425" s="50"/>
      <c r="AH425" s="50"/>
      <c r="AI425" s="50"/>
      <c r="AJ425" s="50"/>
      <c r="AK425" s="50"/>
      <c r="AL425" s="50"/>
      <c r="AM425" s="50"/>
      <c r="AN425" s="50"/>
      <c r="AO425" s="50"/>
      <c r="AP425" s="50"/>
      <c r="AQ425" s="50"/>
      <c r="AR425" s="50"/>
      <c r="AS425" s="50"/>
      <c r="AT425" s="50"/>
      <c r="AU425" s="50"/>
      <c r="AV425" s="50"/>
      <c r="AW425" s="50"/>
      <c r="AX425" s="50"/>
      <c r="AY425" s="50"/>
      <c r="AZ425" s="50"/>
      <c r="BA425" s="50"/>
      <c r="BB425" s="50"/>
      <c r="BC425" s="50"/>
      <c r="BD425" s="50"/>
      <c r="BE425" s="50"/>
      <c r="BF425" s="50"/>
      <c r="BG425" s="50"/>
      <c r="BH425" s="50"/>
      <c r="BI425" s="50"/>
      <c r="BJ425" s="50"/>
      <c r="BK425" s="50"/>
      <c r="BL425" s="50"/>
    </row>
    <row r="426" spans="1:64">
      <c r="A426" s="10" t="str">
        <f>TRIM(B426)&amp;TRIM(C426)&amp;TRIM(D426)&amp;TRIM(E426)&amp;TRIM(F426)&amp;TRIM(G426)&amp;TRIM(H426)&amp;TRIM(I426)&amp;TRIM(J426)</f>
        <v>GBUB2B가격성판촉율전년</v>
      </c>
      <c r="B426" s="2"/>
      <c r="C426" s="2"/>
      <c r="D426" s="2"/>
      <c r="E426" s="2"/>
      <c r="F426" s="2"/>
      <c r="G426" s="2" t="s">
        <v>97</v>
      </c>
      <c r="H426" s="2" t="s">
        <v>126</v>
      </c>
      <c r="I426" s="2"/>
      <c r="J426" s="23" t="s">
        <v>34</v>
      </c>
      <c r="L426" s="50"/>
      <c r="M426" s="50"/>
      <c r="N426" s="50"/>
      <c r="O426" s="50"/>
      <c r="P426" s="50"/>
      <c r="Q426" s="50"/>
      <c r="R426" s="50"/>
      <c r="S426" s="50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D426" s="50"/>
      <c r="AE426" s="50"/>
      <c r="AF426" s="50"/>
      <c r="AG426" s="50"/>
      <c r="AH426" s="50"/>
      <c r="AI426" s="50"/>
      <c r="AJ426" s="50"/>
      <c r="AK426" s="50"/>
      <c r="AL426" s="50"/>
      <c r="AM426" s="50"/>
      <c r="AN426" s="50"/>
      <c r="AO426" s="50"/>
      <c r="AP426" s="50"/>
      <c r="AQ426" s="50"/>
      <c r="AR426" s="50"/>
      <c r="AS426" s="50"/>
      <c r="AT426" s="50"/>
      <c r="AU426" s="50"/>
      <c r="AV426" s="50"/>
      <c r="AW426" s="50"/>
      <c r="AX426" s="50"/>
      <c r="AY426" s="50"/>
      <c r="AZ426" s="50"/>
      <c r="BA426" s="50"/>
      <c r="BB426" s="50"/>
      <c r="BC426" s="50"/>
      <c r="BD426" s="50"/>
      <c r="BE426" s="50"/>
      <c r="BF426" s="50"/>
      <c r="BG426" s="50"/>
      <c r="BH426" s="50"/>
      <c r="BI426" s="50"/>
      <c r="BJ426" s="50"/>
      <c r="BK426" s="50"/>
      <c r="BL426" s="50"/>
    </row>
    <row r="427" spans="1:64">
      <c r="A427" s="10" t="str">
        <f>TRIM(B427)&amp;TRIM(C427)&amp;TRIM(D427)&amp;TRIM(E427)&amp;TRIM(F427)&amp;TRIM(G427)&amp;TRIM(H427)&amp;TRIM(I427)&amp;TRIM(J427)</f>
        <v>GBUB2B가격성판촉율전년대비</v>
      </c>
      <c r="B427" s="2"/>
      <c r="C427" s="2"/>
      <c r="D427" s="2"/>
      <c r="E427" s="2"/>
      <c r="F427" s="2"/>
      <c r="G427" s="2" t="s">
        <v>97</v>
      </c>
      <c r="H427" s="2" t="s">
        <v>126</v>
      </c>
      <c r="I427" s="2"/>
      <c r="J427" s="2" t="s">
        <v>52</v>
      </c>
      <c r="L427" s="50"/>
      <c r="M427" s="50"/>
      <c r="N427" s="50"/>
      <c r="O427" s="50"/>
      <c r="P427" s="50"/>
      <c r="Q427" s="50"/>
      <c r="R427" s="50"/>
      <c r="S427" s="50"/>
      <c r="T427" s="50"/>
      <c r="U427" s="50"/>
      <c r="V427" s="50"/>
      <c r="W427" s="50"/>
      <c r="X427" s="50"/>
      <c r="Y427" s="50"/>
      <c r="Z427" s="50"/>
      <c r="AA427" s="50"/>
      <c r="AB427" s="50"/>
      <c r="AC427" s="50"/>
      <c r="AD427" s="50"/>
      <c r="AE427" s="50"/>
      <c r="AF427" s="50"/>
      <c r="AG427" s="50"/>
      <c r="AH427" s="50"/>
      <c r="AI427" s="50"/>
      <c r="AJ427" s="50"/>
      <c r="AK427" s="50"/>
      <c r="AL427" s="50"/>
      <c r="AM427" s="50"/>
      <c r="AN427" s="50"/>
      <c r="AO427" s="50"/>
      <c r="AP427" s="50"/>
      <c r="AQ427" s="50"/>
      <c r="AR427" s="50"/>
      <c r="AS427" s="50"/>
      <c r="AT427" s="50"/>
      <c r="AU427" s="50"/>
      <c r="AV427" s="50"/>
      <c r="AW427" s="50"/>
      <c r="AX427" s="50"/>
      <c r="AY427" s="50"/>
      <c r="AZ427" s="50"/>
      <c r="BA427" s="50"/>
      <c r="BB427" s="50"/>
      <c r="BC427" s="50"/>
      <c r="BD427" s="50"/>
      <c r="BE427" s="50"/>
      <c r="BF427" s="50"/>
      <c r="BG427" s="50"/>
      <c r="BH427" s="50"/>
      <c r="BI427" s="50"/>
      <c r="BJ427" s="50"/>
      <c r="BK427" s="50"/>
      <c r="BL427" s="50"/>
    </row>
    <row r="429" spans="1:64">
      <c r="A429" s="10" t="str">
        <f>TRIM(B429)&amp;TRIM(C429)&amp;TRIM(D429)&amp;TRIM(E429)&amp;TRIM(F429)&amp;TRIM(G429)&amp;TRIM(H429)&amp;TRIM(I429)&amp;TRIM(J429)</f>
        <v>GBUB2B_OH_COST금년</v>
      </c>
      <c r="B429" s="2"/>
      <c r="C429" s="2"/>
      <c r="D429" s="2"/>
      <c r="E429" s="2"/>
      <c r="F429" s="2"/>
      <c r="G429" s="2" t="s">
        <v>97</v>
      </c>
      <c r="H429" s="2" t="s">
        <v>127</v>
      </c>
      <c r="I429" s="2"/>
      <c r="J429" s="10" t="s">
        <v>50</v>
      </c>
      <c r="L429" s="49"/>
      <c r="M429" s="49"/>
      <c r="N429" s="49"/>
      <c r="O429" s="49"/>
      <c r="P429" s="49"/>
      <c r="Q429" s="49"/>
      <c r="R429" s="49"/>
      <c r="S429" s="49"/>
      <c r="T429" s="49"/>
      <c r="U429" s="49"/>
      <c r="V429" s="49"/>
      <c r="W429" s="49"/>
      <c r="X429" s="49"/>
      <c r="Y429" s="49"/>
      <c r="Z429" s="49"/>
      <c r="AA429" s="49"/>
      <c r="AB429" s="49"/>
      <c r="AC429" s="49"/>
      <c r="AD429" s="49"/>
      <c r="AE429" s="49"/>
      <c r="AF429" s="49"/>
      <c r="AG429" s="49"/>
      <c r="AH429" s="49"/>
      <c r="AI429" s="49"/>
      <c r="AJ429" s="49"/>
      <c r="AK429" s="49"/>
      <c r="AL429" s="49"/>
      <c r="AM429" s="49"/>
      <c r="AN429" s="49"/>
      <c r="AO429" s="49"/>
      <c r="AP429" s="49"/>
      <c r="AQ429" s="49"/>
      <c r="AR429" s="49"/>
      <c r="AS429" s="49"/>
      <c r="AT429" s="49"/>
      <c r="AU429" s="49"/>
      <c r="AV429" s="49"/>
      <c r="AW429" s="49"/>
      <c r="AX429" s="49"/>
      <c r="AY429" s="49"/>
      <c r="AZ429" s="49"/>
      <c r="BA429" s="49"/>
      <c r="BB429" s="49"/>
      <c r="BC429" s="49"/>
      <c r="BD429" s="49"/>
      <c r="BE429" s="49"/>
      <c r="BF429" s="49"/>
      <c r="BG429" s="49"/>
      <c r="BH429" s="49"/>
      <c r="BI429" s="49"/>
      <c r="BJ429" s="49"/>
      <c r="BK429" s="49"/>
      <c r="BL429" s="49"/>
    </row>
    <row r="430" spans="1:64">
      <c r="A430" s="10" t="str">
        <f>TRIM(B430)&amp;TRIM(C430)&amp;TRIM(D430)&amp;TRIM(E430)&amp;TRIM(F430)&amp;TRIM(G430)&amp;TRIM(H430)&amp;TRIM(I430)&amp;TRIM(J430)</f>
        <v>GBUB2B_OH_COST전년</v>
      </c>
      <c r="B430" s="2"/>
      <c r="C430" s="2"/>
      <c r="D430" s="2"/>
      <c r="E430" s="2"/>
      <c r="F430" s="2"/>
      <c r="G430" s="2" t="s">
        <v>97</v>
      </c>
      <c r="H430" s="2" t="s">
        <v>127</v>
      </c>
      <c r="I430" s="2"/>
      <c r="J430" s="23" t="s">
        <v>34</v>
      </c>
      <c r="L430" s="49"/>
      <c r="M430" s="49"/>
      <c r="N430" s="49"/>
      <c r="O430" s="49"/>
      <c r="P430" s="49"/>
      <c r="Q430" s="49"/>
      <c r="R430" s="49"/>
      <c r="S430" s="49"/>
      <c r="T430" s="49"/>
      <c r="U430" s="49"/>
      <c r="V430" s="49"/>
      <c r="W430" s="49"/>
      <c r="X430" s="49"/>
      <c r="Y430" s="49"/>
      <c r="Z430" s="49"/>
      <c r="AA430" s="49"/>
      <c r="AB430" s="49"/>
      <c r="AC430" s="49"/>
      <c r="AD430" s="49"/>
      <c r="AE430" s="49"/>
      <c r="AF430" s="49"/>
      <c r="AG430" s="49"/>
      <c r="AH430" s="49"/>
      <c r="AI430" s="49"/>
      <c r="AJ430" s="49"/>
      <c r="AK430" s="49"/>
      <c r="AL430" s="49"/>
      <c r="AM430" s="49"/>
      <c r="AN430" s="49"/>
      <c r="AO430" s="49"/>
      <c r="AP430" s="49"/>
      <c r="AQ430" s="49"/>
      <c r="AR430" s="49"/>
      <c r="AS430" s="49"/>
      <c r="AT430" s="49"/>
      <c r="AU430" s="49"/>
      <c r="AV430" s="49"/>
      <c r="AW430" s="49"/>
      <c r="AX430" s="49"/>
      <c r="AY430" s="49"/>
      <c r="AZ430" s="49"/>
      <c r="BA430" s="49"/>
      <c r="BB430" s="49"/>
      <c r="BC430" s="49"/>
      <c r="BD430" s="49"/>
      <c r="BE430" s="49"/>
      <c r="BF430" s="49"/>
      <c r="BG430" s="49"/>
      <c r="BH430" s="49"/>
      <c r="BI430" s="49"/>
      <c r="BJ430" s="49"/>
      <c r="BK430" s="49"/>
      <c r="BL430" s="49"/>
    </row>
    <row r="432" spans="1:64">
      <c r="A432" s="10" t="str">
        <f>TRIM(B432)&amp;TRIM(C432)&amp;TRIM(D432)&amp;TRIM(E432)&amp;TRIM(F432)&amp;TRIM(G432)&amp;TRIM(H432)&amp;TRIM(I432)&amp;TRIM(J432)</f>
        <v>GBUB2B_Overhead_Rate금년</v>
      </c>
      <c r="B432" s="2"/>
      <c r="C432" s="2"/>
      <c r="D432" s="2"/>
      <c r="E432" s="2"/>
      <c r="F432" s="2"/>
      <c r="G432" s="2" t="s">
        <v>97</v>
      </c>
      <c r="H432" s="2" t="s">
        <v>128</v>
      </c>
      <c r="I432" s="2"/>
      <c r="J432" s="10" t="s">
        <v>50</v>
      </c>
      <c r="L432" s="51"/>
      <c r="M432" s="50"/>
      <c r="N432" s="50"/>
      <c r="O432" s="50"/>
      <c r="P432" s="50"/>
      <c r="Q432" s="50"/>
      <c r="R432" s="50"/>
      <c r="S432" s="50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D432" s="50"/>
      <c r="AE432" s="50"/>
      <c r="AF432" s="50"/>
      <c r="AG432" s="50"/>
      <c r="AH432" s="50"/>
      <c r="AI432" s="50"/>
      <c r="AJ432" s="50"/>
      <c r="AK432" s="50"/>
      <c r="AL432" s="50"/>
      <c r="AM432" s="50"/>
      <c r="AN432" s="50"/>
      <c r="AO432" s="50"/>
      <c r="AP432" s="50"/>
      <c r="AQ432" s="50"/>
      <c r="AR432" s="50"/>
      <c r="AS432" s="50"/>
      <c r="AT432" s="50"/>
      <c r="AU432" s="50"/>
      <c r="AV432" s="50"/>
      <c r="AW432" s="50"/>
      <c r="AX432" s="50"/>
      <c r="AY432" s="50"/>
      <c r="AZ432" s="50"/>
      <c r="BA432" s="50"/>
      <c r="BB432" s="50"/>
      <c r="BC432" s="50"/>
      <c r="BD432" s="50"/>
      <c r="BE432" s="50"/>
      <c r="BF432" s="50"/>
      <c r="BG432" s="50"/>
      <c r="BH432" s="50"/>
      <c r="BI432" s="50"/>
      <c r="BJ432" s="50"/>
      <c r="BK432" s="50"/>
      <c r="BL432" s="50"/>
    </row>
    <row r="433" spans="1:64">
      <c r="A433" s="10" t="str">
        <f>TRIM(B433)&amp;TRIM(C433)&amp;TRIM(D433)&amp;TRIM(E433)&amp;TRIM(F433)&amp;TRIM(G433)&amp;TRIM(H433)&amp;TRIM(I433)&amp;TRIM(J433)</f>
        <v>GBUB2B_Overhead_Rate전년</v>
      </c>
      <c r="B433" s="2"/>
      <c r="C433" s="2"/>
      <c r="D433" s="2"/>
      <c r="E433" s="2"/>
      <c r="F433" s="2"/>
      <c r="G433" s="2" t="s">
        <v>97</v>
      </c>
      <c r="H433" s="2" t="s">
        <v>128</v>
      </c>
      <c r="I433" s="2"/>
      <c r="J433" s="23" t="s">
        <v>34</v>
      </c>
      <c r="L433" s="50"/>
      <c r="M433" s="50"/>
      <c r="N433" s="50"/>
      <c r="O433" s="50"/>
      <c r="P433" s="50"/>
      <c r="Q433" s="50"/>
      <c r="R433" s="50"/>
      <c r="S433" s="50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D433" s="50"/>
      <c r="AE433" s="50"/>
      <c r="AF433" s="50"/>
      <c r="AG433" s="50"/>
      <c r="AH433" s="50"/>
      <c r="AI433" s="50"/>
      <c r="AJ433" s="50"/>
      <c r="AK433" s="50"/>
      <c r="AL433" s="50"/>
      <c r="AM433" s="50"/>
      <c r="AN433" s="50"/>
      <c r="AO433" s="50"/>
      <c r="AP433" s="50"/>
      <c r="AQ433" s="50"/>
      <c r="AR433" s="50"/>
      <c r="AS433" s="50"/>
      <c r="AT433" s="50"/>
      <c r="AU433" s="50"/>
      <c r="AV433" s="50"/>
      <c r="AW433" s="50"/>
      <c r="AX433" s="50"/>
      <c r="AY433" s="50"/>
      <c r="AZ433" s="50"/>
      <c r="BA433" s="50"/>
      <c r="BB433" s="50"/>
      <c r="BC433" s="50"/>
      <c r="BD433" s="50"/>
      <c r="BE433" s="50"/>
      <c r="BF433" s="50"/>
      <c r="BG433" s="50"/>
      <c r="BH433" s="50"/>
      <c r="BI433" s="50"/>
      <c r="BJ433" s="50"/>
      <c r="BK433" s="50"/>
      <c r="BL433" s="50"/>
    </row>
    <row r="434" spans="1:64">
      <c r="A434" s="10" t="str">
        <f>TRIM(B434)&amp;TRIM(C434)&amp;TRIM(D434)&amp;TRIM(E434)&amp;TRIM(F434)&amp;TRIM(G434)&amp;TRIM(H434)&amp;TRIM(I434)&amp;TRIM(J434)</f>
        <v>GBUB2B_Overhead_Rate전년대비</v>
      </c>
      <c r="B434" s="2"/>
      <c r="C434" s="2"/>
      <c r="D434" s="2"/>
      <c r="E434" s="2"/>
      <c r="F434" s="2"/>
      <c r="G434" s="2" t="s">
        <v>97</v>
      </c>
      <c r="H434" s="2" t="s">
        <v>128</v>
      </c>
      <c r="I434" s="2"/>
      <c r="J434" s="2" t="s">
        <v>52</v>
      </c>
      <c r="L434" s="50"/>
      <c r="M434" s="50"/>
      <c r="N434" s="50"/>
      <c r="O434" s="50"/>
      <c r="P434" s="50"/>
      <c r="Q434" s="50"/>
      <c r="R434" s="50"/>
      <c r="S434" s="50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D434" s="50"/>
      <c r="AE434" s="50"/>
      <c r="AF434" s="50"/>
      <c r="AG434" s="50"/>
      <c r="AH434" s="50"/>
      <c r="AI434" s="50"/>
      <c r="AJ434" s="50"/>
      <c r="AK434" s="50"/>
      <c r="AL434" s="50"/>
      <c r="AM434" s="50"/>
      <c r="AN434" s="50"/>
      <c r="AO434" s="50"/>
      <c r="AP434" s="50"/>
      <c r="AQ434" s="50"/>
      <c r="AR434" s="50"/>
      <c r="AS434" s="50"/>
      <c r="AT434" s="50"/>
      <c r="AU434" s="50"/>
      <c r="AV434" s="50"/>
      <c r="AW434" s="50"/>
      <c r="AX434" s="50"/>
      <c r="AY434" s="50"/>
      <c r="AZ434" s="50"/>
      <c r="BA434" s="50"/>
      <c r="BB434" s="50"/>
      <c r="BC434" s="50"/>
      <c r="BD434" s="50"/>
      <c r="BE434" s="50"/>
      <c r="BF434" s="50"/>
      <c r="BG434" s="50"/>
      <c r="BH434" s="50"/>
      <c r="BI434" s="50"/>
      <c r="BJ434" s="50"/>
      <c r="BK434" s="50"/>
      <c r="BL434" s="50"/>
    </row>
    <row r="436" spans="1:64">
      <c r="A436" s="10" t="str">
        <f>TRIM(B436)&amp;TRIM(C436)&amp;TRIM(D436)&amp;TRIM(E436)&amp;TRIM(F436)&amp;TRIM(G436)&amp;TRIM(H436)&amp;TRIM(I436)&amp;TRIM(J436)</f>
        <v>GBUB2B_변동비금년</v>
      </c>
      <c r="B436" s="2"/>
      <c r="C436" s="2"/>
      <c r="D436" s="2"/>
      <c r="E436" s="2"/>
      <c r="F436" s="2"/>
      <c r="G436" s="2" t="s">
        <v>97</v>
      </c>
      <c r="H436" s="2" t="s">
        <v>139</v>
      </c>
      <c r="I436" s="2"/>
      <c r="J436" s="10" t="s">
        <v>50</v>
      </c>
      <c r="L436" s="49"/>
      <c r="M436" s="49"/>
      <c r="N436" s="49"/>
      <c r="O436" s="49"/>
      <c r="P436" s="49"/>
      <c r="Q436" s="49"/>
      <c r="R436" s="49"/>
      <c r="S436" s="49"/>
      <c r="T436" s="49"/>
      <c r="U436" s="49"/>
      <c r="V436" s="49"/>
      <c r="W436" s="49"/>
      <c r="X436" s="49"/>
      <c r="Y436" s="49"/>
      <c r="Z436" s="49"/>
      <c r="AA436" s="49"/>
      <c r="AB436" s="49"/>
      <c r="AC436" s="49"/>
      <c r="AD436" s="49"/>
      <c r="AE436" s="49"/>
      <c r="AF436" s="49"/>
      <c r="AG436" s="49"/>
      <c r="AH436" s="49"/>
      <c r="AI436" s="49"/>
      <c r="AJ436" s="49"/>
      <c r="AK436" s="49"/>
      <c r="AL436" s="49"/>
      <c r="AM436" s="49"/>
      <c r="AN436" s="49"/>
      <c r="AO436" s="49"/>
      <c r="AP436" s="49"/>
      <c r="AQ436" s="49"/>
      <c r="AR436" s="49"/>
      <c r="AS436" s="49"/>
      <c r="AT436" s="49"/>
      <c r="AU436" s="49"/>
      <c r="AV436" s="49"/>
      <c r="AW436" s="49"/>
      <c r="AX436" s="49"/>
      <c r="AY436" s="49"/>
      <c r="AZ436" s="49"/>
      <c r="BA436" s="49"/>
      <c r="BB436" s="49"/>
      <c r="BC436" s="49"/>
      <c r="BD436" s="49"/>
      <c r="BE436" s="49"/>
      <c r="BF436" s="49"/>
      <c r="BG436" s="49"/>
      <c r="BH436" s="49"/>
      <c r="BI436" s="49"/>
      <c r="BJ436" s="49"/>
      <c r="BK436" s="49"/>
      <c r="BL436" s="49"/>
    </row>
    <row r="437" spans="1:64">
      <c r="A437" s="10" t="str">
        <f>TRIM(B437)&amp;TRIM(C437)&amp;TRIM(D437)&amp;TRIM(E437)&amp;TRIM(F437)&amp;TRIM(G437)&amp;TRIM(H437)&amp;TRIM(I437)&amp;TRIM(J437)</f>
        <v>GBUB2B_변동비전년</v>
      </c>
      <c r="B437" s="2"/>
      <c r="C437" s="2"/>
      <c r="D437" s="2"/>
      <c r="E437" s="2"/>
      <c r="F437" s="2"/>
      <c r="G437" s="2" t="s">
        <v>97</v>
      </c>
      <c r="H437" s="2" t="s">
        <v>139</v>
      </c>
      <c r="I437" s="2"/>
      <c r="J437" s="23" t="s">
        <v>34</v>
      </c>
      <c r="L437" s="49"/>
      <c r="M437" s="49"/>
      <c r="N437" s="49"/>
      <c r="O437" s="49"/>
      <c r="P437" s="49"/>
      <c r="Q437" s="49"/>
      <c r="R437" s="49"/>
      <c r="S437" s="49"/>
      <c r="T437" s="49"/>
      <c r="U437" s="49"/>
      <c r="V437" s="49"/>
      <c r="W437" s="49"/>
      <c r="X437" s="49"/>
      <c r="Y437" s="49"/>
      <c r="Z437" s="49"/>
      <c r="AA437" s="49"/>
      <c r="AB437" s="49"/>
      <c r="AC437" s="49"/>
      <c r="AD437" s="49"/>
      <c r="AE437" s="49"/>
      <c r="AF437" s="49"/>
      <c r="AG437" s="49"/>
      <c r="AH437" s="49"/>
      <c r="AI437" s="49"/>
      <c r="AJ437" s="49"/>
      <c r="AK437" s="49"/>
      <c r="AL437" s="49"/>
      <c r="AM437" s="49"/>
      <c r="AN437" s="49"/>
      <c r="AO437" s="49"/>
      <c r="AP437" s="49"/>
      <c r="AQ437" s="49"/>
      <c r="AR437" s="49"/>
      <c r="AS437" s="49"/>
      <c r="AT437" s="49"/>
      <c r="AU437" s="49"/>
      <c r="AV437" s="49"/>
      <c r="AW437" s="49"/>
      <c r="AX437" s="49"/>
      <c r="AY437" s="49"/>
      <c r="AZ437" s="49"/>
      <c r="BA437" s="49"/>
      <c r="BB437" s="49"/>
      <c r="BC437" s="49"/>
      <c r="BD437" s="49"/>
      <c r="BE437" s="49"/>
      <c r="BF437" s="49"/>
      <c r="BG437" s="49"/>
      <c r="BH437" s="49"/>
      <c r="BI437" s="49"/>
      <c r="BJ437" s="49"/>
      <c r="BK437" s="49"/>
      <c r="BL437" s="49"/>
    </row>
    <row r="439" spans="1:64">
      <c r="A439" s="10" t="str">
        <f>TRIM(B439)&amp;TRIM(C439)&amp;TRIM(D439)&amp;TRIM(E439)&amp;TRIM(F439)&amp;TRIM(G439)&amp;TRIM(H439)&amp;TRIM(I439)&amp;TRIM(J439)</f>
        <v>GBUB2B_변동비율금년</v>
      </c>
      <c r="B439" s="2"/>
      <c r="C439" s="2"/>
      <c r="D439" s="2"/>
      <c r="E439" s="2"/>
      <c r="F439" s="2"/>
      <c r="G439" s="2" t="s">
        <v>97</v>
      </c>
      <c r="H439" s="2" t="s">
        <v>129</v>
      </c>
      <c r="I439" s="2"/>
      <c r="J439" s="10" t="s">
        <v>50</v>
      </c>
      <c r="L439" s="51"/>
      <c r="M439" s="50"/>
      <c r="N439" s="50"/>
      <c r="O439" s="50"/>
      <c r="P439" s="50"/>
      <c r="Q439" s="50"/>
      <c r="R439" s="50"/>
      <c r="S439" s="50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D439" s="50"/>
      <c r="AE439" s="50"/>
      <c r="AF439" s="50"/>
      <c r="AG439" s="50"/>
      <c r="AH439" s="50"/>
      <c r="AI439" s="50"/>
      <c r="AJ439" s="50"/>
      <c r="AK439" s="50"/>
      <c r="AL439" s="50"/>
      <c r="AM439" s="50"/>
      <c r="AN439" s="50"/>
      <c r="AO439" s="50"/>
      <c r="AP439" s="50"/>
      <c r="AQ439" s="50"/>
      <c r="AR439" s="50"/>
      <c r="AS439" s="50"/>
      <c r="AT439" s="50"/>
      <c r="AU439" s="50"/>
      <c r="AV439" s="50"/>
      <c r="AW439" s="50"/>
      <c r="AX439" s="50"/>
      <c r="AY439" s="50"/>
      <c r="AZ439" s="50"/>
      <c r="BA439" s="50"/>
      <c r="BB439" s="50"/>
      <c r="BC439" s="50"/>
      <c r="BD439" s="50"/>
      <c r="BE439" s="50"/>
      <c r="BF439" s="50"/>
      <c r="BG439" s="50"/>
      <c r="BH439" s="50"/>
      <c r="BI439" s="50"/>
      <c r="BJ439" s="50"/>
      <c r="BK439" s="50"/>
      <c r="BL439" s="50"/>
    </row>
    <row r="440" spans="1:64">
      <c r="A440" s="10" t="str">
        <f>TRIM(B440)&amp;TRIM(C440)&amp;TRIM(D440)&amp;TRIM(E440)&amp;TRIM(F440)&amp;TRIM(G440)&amp;TRIM(H440)&amp;TRIM(I440)&amp;TRIM(J440)</f>
        <v>GBUB2B_변동비율전년</v>
      </c>
      <c r="B440" s="2"/>
      <c r="C440" s="2"/>
      <c r="D440" s="2"/>
      <c r="E440" s="2"/>
      <c r="F440" s="2"/>
      <c r="G440" s="2" t="s">
        <v>97</v>
      </c>
      <c r="H440" s="2" t="s">
        <v>129</v>
      </c>
      <c r="I440" s="2"/>
      <c r="J440" s="23" t="s">
        <v>34</v>
      </c>
      <c r="L440" s="50"/>
      <c r="M440" s="50"/>
      <c r="N440" s="50"/>
      <c r="O440" s="50"/>
      <c r="P440" s="50"/>
      <c r="Q440" s="50"/>
      <c r="R440" s="50"/>
      <c r="S440" s="50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D440" s="50"/>
      <c r="AE440" s="50"/>
      <c r="AF440" s="50"/>
      <c r="AG440" s="50"/>
      <c r="AH440" s="50"/>
      <c r="AI440" s="50"/>
      <c r="AJ440" s="50"/>
      <c r="AK440" s="50"/>
      <c r="AL440" s="50"/>
      <c r="AM440" s="50"/>
      <c r="AN440" s="50"/>
      <c r="AO440" s="50"/>
      <c r="AP440" s="50"/>
      <c r="AQ440" s="50"/>
      <c r="AR440" s="50"/>
      <c r="AS440" s="50"/>
      <c r="AT440" s="50"/>
      <c r="AU440" s="50"/>
      <c r="AV440" s="50"/>
      <c r="AW440" s="50"/>
      <c r="AX440" s="50"/>
      <c r="AY440" s="50"/>
      <c r="AZ440" s="50"/>
      <c r="BA440" s="50"/>
      <c r="BB440" s="50"/>
      <c r="BC440" s="50"/>
      <c r="BD440" s="50"/>
      <c r="BE440" s="50"/>
      <c r="BF440" s="50"/>
      <c r="BG440" s="50"/>
      <c r="BH440" s="50"/>
      <c r="BI440" s="50"/>
      <c r="BJ440" s="50"/>
      <c r="BK440" s="50"/>
      <c r="BL440" s="50"/>
    </row>
    <row r="441" spans="1:64">
      <c r="A441" s="10" t="str">
        <f>TRIM(B441)&amp;TRIM(C441)&amp;TRIM(D441)&amp;TRIM(E441)&amp;TRIM(F441)&amp;TRIM(G441)&amp;TRIM(H441)&amp;TRIM(I441)&amp;TRIM(J441)</f>
        <v>GBUB2B_변동비율전년대비</v>
      </c>
      <c r="B441" s="2"/>
      <c r="C441" s="2"/>
      <c r="D441" s="2"/>
      <c r="E441" s="2"/>
      <c r="F441" s="2"/>
      <c r="G441" s="2" t="s">
        <v>97</v>
      </c>
      <c r="H441" s="2" t="s">
        <v>129</v>
      </c>
      <c r="I441" s="2"/>
      <c r="J441" s="2" t="s">
        <v>52</v>
      </c>
      <c r="L441" s="50"/>
      <c r="M441" s="50"/>
      <c r="N441" s="50"/>
      <c r="O441" s="50"/>
      <c r="P441" s="50"/>
      <c r="Q441" s="50"/>
      <c r="R441" s="50"/>
      <c r="S441" s="50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D441" s="50"/>
      <c r="AE441" s="50"/>
      <c r="AF441" s="50"/>
      <c r="AG441" s="50"/>
      <c r="AH441" s="50"/>
      <c r="AI441" s="50"/>
      <c r="AJ441" s="50"/>
      <c r="AK441" s="50"/>
      <c r="AL441" s="50"/>
      <c r="AM441" s="50"/>
      <c r="AN441" s="50"/>
      <c r="AO441" s="50"/>
      <c r="AP441" s="50"/>
      <c r="AQ441" s="50"/>
      <c r="AR441" s="50"/>
      <c r="AS441" s="50"/>
      <c r="AT441" s="50"/>
      <c r="AU441" s="50"/>
      <c r="AV441" s="50"/>
      <c r="AW441" s="50"/>
      <c r="AX441" s="50"/>
      <c r="AY441" s="50"/>
      <c r="AZ441" s="50"/>
      <c r="BA441" s="50"/>
      <c r="BB441" s="50"/>
      <c r="BC441" s="50"/>
      <c r="BD441" s="50"/>
      <c r="BE441" s="50"/>
      <c r="BF441" s="50"/>
      <c r="BG441" s="50"/>
      <c r="BH441" s="50"/>
      <c r="BI441" s="50"/>
      <c r="BJ441" s="50"/>
      <c r="BK441" s="50"/>
      <c r="BL441" s="50"/>
    </row>
    <row r="443" spans="1:64">
      <c r="A443" s="10" t="str">
        <f>TRIM(B443)&amp;TRIM(C443)&amp;TRIM(D443)&amp;TRIM(E443)&amp;TRIM(F443)&amp;TRIM(G443)&amp;TRIM(H443)&amp;TRIM(I443)&amp;TRIM(J443)</f>
        <v>GBUB2B_판매촉진비금년</v>
      </c>
      <c r="B443" s="2"/>
      <c r="C443" s="2"/>
      <c r="D443" s="2"/>
      <c r="E443" s="2"/>
      <c r="F443" s="2"/>
      <c r="G443" s="2" t="s">
        <v>97</v>
      </c>
      <c r="H443" s="2" t="s">
        <v>140</v>
      </c>
      <c r="I443" s="2"/>
      <c r="J443" s="10" t="s">
        <v>50</v>
      </c>
      <c r="L443" s="25"/>
      <c r="M443" s="25"/>
      <c r="N443" s="25"/>
      <c r="O443" s="25"/>
      <c r="P443" s="25"/>
      <c r="Q443" s="25"/>
      <c r="R443" s="25"/>
      <c r="S443" s="25"/>
      <c r="T443" s="25"/>
      <c r="U443" s="25"/>
      <c r="V443" s="25"/>
      <c r="W443" s="25"/>
      <c r="X443" s="25"/>
      <c r="Y443" s="25"/>
      <c r="Z443" s="25"/>
      <c r="AA443" s="25"/>
      <c r="AB443" s="25"/>
      <c r="AC443" s="25"/>
      <c r="AD443" s="25"/>
      <c r="AE443" s="25"/>
      <c r="AF443" s="25"/>
      <c r="AG443" s="25"/>
      <c r="AH443" s="25"/>
      <c r="AI443" s="25"/>
      <c r="AJ443" s="25"/>
      <c r="AK443" s="25"/>
      <c r="AL443" s="25"/>
      <c r="AM443" s="25"/>
      <c r="AN443" s="25"/>
      <c r="AO443" s="25"/>
      <c r="AP443" s="25"/>
      <c r="AQ443" s="25"/>
      <c r="AR443" s="25"/>
      <c r="AS443" s="25"/>
      <c r="AT443" s="25"/>
      <c r="AU443" s="25"/>
      <c r="AV443" s="25"/>
      <c r="AW443" s="25"/>
      <c r="AX443" s="25"/>
      <c r="AY443" s="25"/>
      <c r="AZ443" s="25"/>
      <c r="BA443" s="25"/>
      <c r="BB443" s="25"/>
      <c r="BC443" s="25"/>
      <c r="BD443" s="25"/>
      <c r="BE443" s="25"/>
      <c r="BF443" s="25"/>
      <c r="BG443" s="25"/>
      <c r="BH443" s="25"/>
      <c r="BI443" s="25"/>
      <c r="BJ443" s="25"/>
      <c r="BK443" s="25"/>
      <c r="BL443" s="25"/>
    </row>
    <row r="444" spans="1:64">
      <c r="A444" s="10" t="str">
        <f>TRIM(B444)&amp;TRIM(C444)&amp;TRIM(D444)&amp;TRIM(E444)&amp;TRIM(F444)&amp;TRIM(G444)&amp;TRIM(H444)&amp;TRIM(I444)&amp;TRIM(J444)</f>
        <v>GBUB2B_판매촉진비전년</v>
      </c>
      <c r="B444" s="2"/>
      <c r="C444" s="2"/>
      <c r="D444" s="2"/>
      <c r="E444" s="2"/>
      <c r="F444" s="2"/>
      <c r="G444" s="2" t="s">
        <v>97</v>
      </c>
      <c r="H444" s="2" t="s">
        <v>140</v>
      </c>
      <c r="I444" s="2"/>
      <c r="J444" s="23" t="s">
        <v>34</v>
      </c>
      <c r="L444" s="25"/>
      <c r="M444" s="25"/>
      <c r="N444" s="25"/>
      <c r="O444" s="25"/>
      <c r="P444" s="25"/>
      <c r="Q444" s="25"/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  <c r="AD444" s="25"/>
      <c r="AE444" s="25"/>
      <c r="AF444" s="25"/>
      <c r="AG444" s="25"/>
      <c r="AH444" s="25"/>
      <c r="AI444" s="25"/>
      <c r="AJ444" s="25"/>
      <c r="AK444" s="25"/>
      <c r="AL444" s="25"/>
      <c r="AM444" s="25"/>
      <c r="AN444" s="25"/>
      <c r="AO444" s="25"/>
      <c r="AP444" s="25"/>
      <c r="AQ444" s="25"/>
      <c r="AR444" s="25"/>
      <c r="AS444" s="25"/>
      <c r="AT444" s="25"/>
      <c r="AU444" s="25"/>
      <c r="AV444" s="25"/>
      <c r="AW444" s="25"/>
      <c r="AX444" s="25"/>
      <c r="AY444" s="25"/>
      <c r="AZ444" s="25"/>
      <c r="BA444" s="25"/>
      <c r="BB444" s="25"/>
      <c r="BC444" s="25"/>
      <c r="BD444" s="25"/>
      <c r="BE444" s="25"/>
      <c r="BF444" s="25"/>
      <c r="BG444" s="25"/>
      <c r="BH444" s="25"/>
      <c r="BI444" s="25"/>
      <c r="BJ444" s="25"/>
      <c r="BK444" s="25"/>
      <c r="BL444" s="25"/>
    </row>
    <row r="445" spans="1:64">
      <c r="A445" s="10" t="str">
        <f>TRIM(B445)&amp;TRIM(C445)&amp;TRIM(D445)&amp;TRIM(E445)&amp;TRIM(F445)&amp;TRIM(G445)&amp;TRIM(H445)&amp;TRIM(I445)&amp;TRIM(J445)</f>
        <v>GBUB2B_판매촉진비율금년</v>
      </c>
      <c r="B445" s="2"/>
      <c r="C445" s="2"/>
      <c r="D445" s="2"/>
      <c r="E445" s="2"/>
      <c r="F445" s="2"/>
      <c r="G445" s="2" t="s">
        <v>97</v>
      </c>
      <c r="H445" s="2" t="s">
        <v>130</v>
      </c>
      <c r="I445" s="2"/>
      <c r="J445" s="10" t="s">
        <v>50</v>
      </c>
      <c r="L445" s="50"/>
      <c r="M445" s="50"/>
      <c r="N445" s="50"/>
      <c r="O445" s="50"/>
      <c r="P445" s="50"/>
      <c r="Q445" s="50"/>
      <c r="R445" s="50"/>
      <c r="S445" s="50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D445" s="50"/>
      <c r="AE445" s="50"/>
      <c r="AF445" s="50"/>
      <c r="AG445" s="50"/>
      <c r="AH445" s="50"/>
      <c r="AI445" s="50"/>
      <c r="AJ445" s="50"/>
      <c r="AK445" s="50"/>
      <c r="AL445" s="50"/>
      <c r="AM445" s="50"/>
      <c r="AN445" s="50"/>
      <c r="AO445" s="50"/>
      <c r="AP445" s="50"/>
      <c r="AQ445" s="50"/>
      <c r="AR445" s="50"/>
      <c r="AS445" s="50"/>
      <c r="AT445" s="50"/>
      <c r="AU445" s="50"/>
      <c r="AV445" s="50"/>
      <c r="AW445" s="50"/>
      <c r="AX445" s="50"/>
      <c r="AY445" s="50"/>
      <c r="AZ445" s="50"/>
      <c r="BA445" s="50"/>
      <c r="BB445" s="50"/>
      <c r="BC445" s="50"/>
      <c r="BD445" s="50"/>
      <c r="BE445" s="50"/>
      <c r="BF445" s="50"/>
      <c r="BG445" s="50"/>
      <c r="BH445" s="50"/>
      <c r="BI445" s="50"/>
      <c r="BJ445" s="50"/>
      <c r="BK445" s="50"/>
      <c r="BL445" s="50"/>
    </row>
    <row r="446" spans="1:64">
      <c r="A446" s="10" t="str">
        <f>TRIM(B446)&amp;TRIM(C446)&amp;TRIM(D446)&amp;TRIM(E446)&amp;TRIM(F446)&amp;TRIM(G446)&amp;TRIM(H446)&amp;TRIM(I446)&amp;TRIM(J446)</f>
        <v>GBUB2B_판매촉진비율전년</v>
      </c>
      <c r="B446" s="2"/>
      <c r="C446" s="2"/>
      <c r="D446" s="2"/>
      <c r="E446" s="2"/>
      <c r="F446" s="2"/>
      <c r="G446" s="2" t="s">
        <v>97</v>
      </c>
      <c r="H446" s="2" t="s">
        <v>130</v>
      </c>
      <c r="I446" s="2"/>
      <c r="J446" s="23" t="s">
        <v>34</v>
      </c>
      <c r="L446" s="50"/>
      <c r="M446" s="50"/>
      <c r="N446" s="50"/>
      <c r="O446" s="50"/>
      <c r="P446" s="50"/>
      <c r="Q446" s="50"/>
      <c r="R446" s="50"/>
      <c r="S446" s="50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D446" s="50"/>
      <c r="AE446" s="50"/>
      <c r="AF446" s="50"/>
      <c r="AG446" s="50"/>
      <c r="AH446" s="50"/>
      <c r="AI446" s="50"/>
      <c r="AJ446" s="50"/>
      <c r="AK446" s="50"/>
      <c r="AL446" s="50"/>
      <c r="AM446" s="50"/>
      <c r="AN446" s="50"/>
      <c r="AO446" s="50"/>
      <c r="AP446" s="50"/>
      <c r="AQ446" s="50"/>
      <c r="AR446" s="50"/>
      <c r="AS446" s="50"/>
      <c r="AT446" s="50"/>
      <c r="AU446" s="50"/>
      <c r="AV446" s="50"/>
      <c r="AW446" s="50"/>
      <c r="AX446" s="50"/>
      <c r="AY446" s="50"/>
      <c r="AZ446" s="50"/>
      <c r="BA446" s="50"/>
      <c r="BB446" s="50"/>
      <c r="BC446" s="50"/>
      <c r="BD446" s="50"/>
      <c r="BE446" s="50"/>
      <c r="BF446" s="50"/>
      <c r="BG446" s="50"/>
      <c r="BH446" s="50"/>
      <c r="BI446" s="50"/>
      <c r="BJ446" s="50"/>
      <c r="BK446" s="50"/>
      <c r="BL446" s="50"/>
    </row>
    <row r="448" spans="1:64">
      <c r="A448" s="10" t="str">
        <f>TRIM(B448)&amp;TRIM(C448)&amp;TRIM(D448)&amp;TRIM(E448)&amp;TRIM(F448)&amp;TRIM(G448)&amp;TRIM(H448)&amp;TRIM(I448)&amp;TRIM(J448)</f>
        <v>GBUB2B_운반비금년</v>
      </c>
      <c r="B448" s="2"/>
      <c r="C448" s="2"/>
      <c r="D448" s="2"/>
      <c r="E448" s="2"/>
      <c r="F448" s="2"/>
      <c r="G448" s="2" t="s">
        <v>97</v>
      </c>
      <c r="H448" s="2" t="s">
        <v>141</v>
      </c>
      <c r="I448" s="2"/>
      <c r="J448" s="10" t="s">
        <v>50</v>
      </c>
      <c r="L448" s="25"/>
      <c r="M448" s="25"/>
      <c r="N448" s="25"/>
      <c r="O448" s="25"/>
      <c r="P448" s="25"/>
      <c r="Q448" s="25"/>
      <c r="R448" s="25"/>
      <c r="S448" s="25"/>
      <c r="T448" s="25"/>
      <c r="U448" s="25"/>
      <c r="V448" s="25"/>
      <c r="W448" s="25"/>
      <c r="X448" s="25"/>
      <c r="Y448" s="25"/>
      <c r="Z448" s="25"/>
      <c r="AA448" s="25"/>
      <c r="AB448" s="25"/>
      <c r="AC448" s="25"/>
      <c r="AD448" s="25"/>
      <c r="AE448" s="25"/>
      <c r="AF448" s="25"/>
      <c r="AG448" s="25"/>
      <c r="AH448" s="25"/>
      <c r="AI448" s="25"/>
      <c r="AJ448" s="25"/>
      <c r="AK448" s="25"/>
      <c r="AL448" s="25"/>
      <c r="AM448" s="25"/>
      <c r="AN448" s="25"/>
      <c r="AO448" s="25"/>
      <c r="AP448" s="25"/>
      <c r="AQ448" s="25"/>
      <c r="AR448" s="25"/>
      <c r="AS448" s="25"/>
      <c r="AT448" s="25"/>
      <c r="AU448" s="25"/>
      <c r="AV448" s="25"/>
      <c r="AW448" s="25"/>
      <c r="AX448" s="25"/>
      <c r="AY448" s="25"/>
      <c r="AZ448" s="25"/>
      <c r="BA448" s="25"/>
      <c r="BB448" s="25"/>
      <c r="BC448" s="25"/>
      <c r="BD448" s="25"/>
      <c r="BE448" s="25"/>
      <c r="BF448" s="25"/>
      <c r="BG448" s="25"/>
      <c r="BH448" s="25"/>
      <c r="BI448" s="25"/>
      <c r="BJ448" s="25"/>
      <c r="BK448" s="25"/>
      <c r="BL448" s="25"/>
    </row>
    <row r="449" spans="1:64">
      <c r="A449" s="10" t="str">
        <f>TRIM(B449)&amp;TRIM(C449)&amp;TRIM(D449)&amp;TRIM(E449)&amp;TRIM(F449)&amp;TRIM(G449)&amp;TRIM(H449)&amp;TRIM(I449)&amp;TRIM(J449)</f>
        <v>GBUB2B_운반비전년</v>
      </c>
      <c r="B449" s="2"/>
      <c r="C449" s="2"/>
      <c r="D449" s="2"/>
      <c r="E449" s="2"/>
      <c r="F449" s="2"/>
      <c r="G449" s="2" t="s">
        <v>97</v>
      </c>
      <c r="H449" s="2" t="s">
        <v>141</v>
      </c>
      <c r="I449" s="2"/>
      <c r="J449" s="23" t="s">
        <v>34</v>
      </c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  <c r="BC449" s="25"/>
      <c r="BD449" s="25"/>
      <c r="BE449" s="25"/>
      <c r="BF449" s="25"/>
      <c r="BG449" s="25"/>
      <c r="BH449" s="25"/>
      <c r="BI449" s="25"/>
      <c r="BJ449" s="25"/>
      <c r="BK449" s="25"/>
      <c r="BL449" s="25"/>
    </row>
    <row r="450" spans="1:64">
      <c r="A450" s="10" t="str">
        <f>TRIM(B450)&amp;TRIM(C450)&amp;TRIM(D450)&amp;TRIM(E450)&amp;TRIM(F450)&amp;TRIM(G450)&amp;TRIM(H450)&amp;TRIM(I450)&amp;TRIM(J450)</f>
        <v>GBUB2B_운반비율금년</v>
      </c>
      <c r="B450" s="2"/>
      <c r="C450" s="2"/>
      <c r="D450" s="2"/>
      <c r="E450" s="2"/>
      <c r="F450" s="2"/>
      <c r="G450" s="2" t="s">
        <v>97</v>
      </c>
      <c r="H450" s="2" t="s">
        <v>131</v>
      </c>
      <c r="I450" s="2"/>
      <c r="J450" s="10" t="s">
        <v>50</v>
      </c>
      <c r="L450" s="50"/>
      <c r="M450" s="50"/>
      <c r="N450" s="50"/>
      <c r="O450" s="50"/>
      <c r="P450" s="50"/>
      <c r="Q450" s="50"/>
      <c r="R450" s="50"/>
      <c r="S450" s="50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D450" s="50"/>
      <c r="AE450" s="50"/>
      <c r="AF450" s="50"/>
      <c r="AG450" s="50"/>
      <c r="AH450" s="50"/>
      <c r="AI450" s="50"/>
      <c r="AJ450" s="50"/>
      <c r="AK450" s="50"/>
      <c r="AL450" s="50"/>
      <c r="AM450" s="50"/>
      <c r="AN450" s="50"/>
      <c r="AO450" s="50"/>
      <c r="AP450" s="50"/>
      <c r="AQ450" s="50"/>
      <c r="AR450" s="50"/>
      <c r="AS450" s="50"/>
      <c r="AT450" s="50"/>
      <c r="AU450" s="50"/>
      <c r="AV450" s="50"/>
      <c r="AW450" s="50"/>
      <c r="AX450" s="50"/>
      <c r="AY450" s="50"/>
      <c r="AZ450" s="50"/>
      <c r="BA450" s="50"/>
      <c r="BB450" s="50"/>
      <c r="BC450" s="50"/>
      <c r="BD450" s="50"/>
      <c r="BE450" s="50"/>
      <c r="BF450" s="50"/>
      <c r="BG450" s="50"/>
      <c r="BH450" s="50"/>
      <c r="BI450" s="50"/>
      <c r="BJ450" s="50"/>
      <c r="BK450" s="50"/>
      <c r="BL450" s="50"/>
    </row>
    <row r="451" spans="1:64">
      <c r="A451" s="10" t="str">
        <f>TRIM(B451)&amp;TRIM(C451)&amp;TRIM(D451)&amp;TRIM(E451)&amp;TRIM(F451)&amp;TRIM(G451)&amp;TRIM(H451)&amp;TRIM(I451)&amp;TRIM(J451)</f>
        <v>GBUB2B_운반비율전년</v>
      </c>
      <c r="B451" s="2"/>
      <c r="C451" s="2"/>
      <c r="D451" s="2"/>
      <c r="E451" s="2"/>
      <c r="F451" s="2"/>
      <c r="G451" s="2" t="s">
        <v>97</v>
      </c>
      <c r="H451" s="2" t="s">
        <v>131</v>
      </c>
      <c r="I451" s="2"/>
      <c r="J451" s="23" t="s">
        <v>34</v>
      </c>
      <c r="L451" s="50"/>
      <c r="M451" s="50"/>
      <c r="N451" s="50"/>
      <c r="O451" s="50"/>
      <c r="P451" s="50"/>
      <c r="Q451" s="50"/>
      <c r="R451" s="50"/>
      <c r="S451" s="50"/>
      <c r="T451" s="50"/>
      <c r="U451" s="50"/>
      <c r="V451" s="50"/>
      <c r="W451" s="50"/>
      <c r="X451" s="50"/>
      <c r="Y451" s="50"/>
      <c r="Z451" s="50"/>
      <c r="AA451" s="50"/>
      <c r="AB451" s="50"/>
      <c r="AC451" s="50"/>
      <c r="AD451" s="50"/>
      <c r="AE451" s="50"/>
      <c r="AF451" s="50"/>
      <c r="AG451" s="50"/>
      <c r="AH451" s="50"/>
      <c r="AI451" s="50"/>
      <c r="AJ451" s="50"/>
      <c r="AK451" s="50"/>
      <c r="AL451" s="50"/>
      <c r="AM451" s="50"/>
      <c r="AN451" s="50"/>
      <c r="AO451" s="50"/>
      <c r="AP451" s="50"/>
      <c r="AQ451" s="50"/>
      <c r="AR451" s="50"/>
      <c r="AS451" s="50"/>
      <c r="AT451" s="50"/>
      <c r="AU451" s="50"/>
      <c r="AV451" s="50"/>
      <c r="AW451" s="50"/>
      <c r="AX451" s="50"/>
      <c r="AY451" s="50"/>
      <c r="AZ451" s="50"/>
      <c r="BA451" s="50"/>
      <c r="BB451" s="50"/>
      <c r="BC451" s="50"/>
      <c r="BD451" s="50"/>
      <c r="BE451" s="50"/>
      <c r="BF451" s="50"/>
      <c r="BG451" s="50"/>
      <c r="BH451" s="50"/>
      <c r="BI451" s="50"/>
      <c r="BJ451" s="50"/>
      <c r="BK451" s="50"/>
      <c r="BL451" s="50"/>
    </row>
    <row r="453" spans="1:64">
      <c r="A453" s="10" t="str">
        <f>TRIM(B453)&amp;TRIM(C453)&amp;TRIM(D453)&amp;TRIM(E453)&amp;TRIM(F453)&amp;TRIM(G453)&amp;TRIM(H453)&amp;TRIM(I453)&amp;TRIM(J453)</f>
        <v>GBUB2B_SVC비금년</v>
      </c>
      <c r="B453" s="2"/>
      <c r="C453" s="2"/>
      <c r="D453" s="2"/>
      <c r="E453" s="2"/>
      <c r="F453" s="2"/>
      <c r="G453" s="2" t="s">
        <v>97</v>
      </c>
      <c r="H453" s="2" t="s">
        <v>142</v>
      </c>
      <c r="I453" s="2"/>
      <c r="J453" s="10" t="s">
        <v>50</v>
      </c>
      <c r="L453" s="25"/>
      <c r="M453" s="25"/>
      <c r="N453" s="25"/>
      <c r="O453" s="25"/>
      <c r="P453" s="25"/>
      <c r="Q453" s="25"/>
      <c r="R453" s="25"/>
      <c r="S453" s="25"/>
      <c r="T453" s="25"/>
      <c r="U453" s="25"/>
      <c r="V453" s="25"/>
      <c r="W453" s="25"/>
      <c r="X453" s="25"/>
      <c r="Y453" s="25"/>
      <c r="Z453" s="25"/>
      <c r="AA453" s="25"/>
      <c r="AB453" s="25"/>
      <c r="AC453" s="25"/>
      <c r="AD453" s="25"/>
      <c r="AE453" s="25"/>
      <c r="AF453" s="25"/>
      <c r="AG453" s="25"/>
      <c r="AH453" s="25"/>
      <c r="AI453" s="25"/>
      <c r="AJ453" s="25"/>
      <c r="AK453" s="25"/>
      <c r="AL453" s="25"/>
      <c r="AM453" s="25"/>
      <c r="AN453" s="25"/>
      <c r="AO453" s="25"/>
      <c r="AP453" s="25"/>
      <c r="AQ453" s="25"/>
      <c r="AR453" s="25"/>
      <c r="AS453" s="25"/>
      <c r="AT453" s="25"/>
      <c r="AU453" s="25"/>
      <c r="AV453" s="25"/>
      <c r="AW453" s="25"/>
      <c r="AX453" s="25"/>
      <c r="AY453" s="25"/>
      <c r="AZ453" s="25"/>
      <c r="BA453" s="25"/>
      <c r="BB453" s="25"/>
      <c r="BC453" s="25"/>
      <c r="BD453" s="25"/>
      <c r="BE453" s="25"/>
      <c r="BF453" s="25"/>
      <c r="BG453" s="25"/>
      <c r="BH453" s="25"/>
      <c r="BI453" s="25"/>
      <c r="BJ453" s="25"/>
      <c r="BK453" s="25"/>
      <c r="BL453" s="25"/>
    </row>
    <row r="454" spans="1:64">
      <c r="A454" s="10" t="str">
        <f>TRIM(B454)&amp;TRIM(C454)&amp;TRIM(D454)&amp;TRIM(E454)&amp;TRIM(F454)&amp;TRIM(G454)&amp;TRIM(H454)&amp;TRIM(I454)&amp;TRIM(J454)</f>
        <v>GBUB2B_SVC비전년</v>
      </c>
      <c r="B454" s="2"/>
      <c r="C454" s="2"/>
      <c r="D454" s="2"/>
      <c r="E454" s="2"/>
      <c r="F454" s="2"/>
      <c r="G454" s="2" t="s">
        <v>97</v>
      </c>
      <c r="H454" s="2" t="s">
        <v>142</v>
      </c>
      <c r="I454" s="2"/>
      <c r="J454" s="23" t="s">
        <v>34</v>
      </c>
      <c r="L454" s="25"/>
      <c r="M454" s="25"/>
      <c r="N454" s="25"/>
      <c r="O454" s="25"/>
      <c r="P454" s="25"/>
      <c r="Q454" s="25"/>
      <c r="R454" s="25"/>
      <c r="S454" s="25"/>
      <c r="T454" s="25"/>
      <c r="U454" s="25"/>
      <c r="V454" s="25"/>
      <c r="W454" s="25"/>
      <c r="X454" s="25"/>
      <c r="Y454" s="25"/>
      <c r="Z454" s="25"/>
      <c r="AA454" s="25"/>
      <c r="AB454" s="25"/>
      <c r="AC454" s="25"/>
      <c r="AD454" s="25"/>
      <c r="AE454" s="25"/>
      <c r="AF454" s="25"/>
      <c r="AG454" s="25"/>
      <c r="AH454" s="25"/>
      <c r="AI454" s="25"/>
      <c r="AJ454" s="25"/>
      <c r="AK454" s="25"/>
      <c r="AL454" s="25"/>
      <c r="AM454" s="25"/>
      <c r="AN454" s="25"/>
      <c r="AO454" s="25"/>
      <c r="AP454" s="25"/>
      <c r="AQ454" s="25"/>
      <c r="AR454" s="25"/>
      <c r="AS454" s="25"/>
      <c r="AT454" s="25"/>
      <c r="AU454" s="25"/>
      <c r="AV454" s="25"/>
      <c r="AW454" s="25"/>
      <c r="AX454" s="25"/>
      <c r="AY454" s="25"/>
      <c r="AZ454" s="25"/>
      <c r="BA454" s="25"/>
      <c r="BB454" s="25"/>
      <c r="BC454" s="25"/>
      <c r="BD454" s="25"/>
      <c r="BE454" s="25"/>
      <c r="BF454" s="25"/>
      <c r="BG454" s="25"/>
      <c r="BH454" s="25"/>
      <c r="BI454" s="25"/>
      <c r="BJ454" s="25"/>
      <c r="BK454" s="25"/>
      <c r="BL454" s="25"/>
    </row>
    <row r="455" spans="1:64">
      <c r="A455" s="10" t="str">
        <f>TRIM(B455)&amp;TRIM(C455)&amp;TRIM(D455)&amp;TRIM(E455)&amp;TRIM(F455)&amp;TRIM(G455)&amp;TRIM(H455)&amp;TRIM(I455)&amp;TRIM(J455)</f>
        <v>GBUB2B_SVC비율금년</v>
      </c>
      <c r="B455" s="2"/>
      <c r="C455" s="2"/>
      <c r="D455" s="2"/>
      <c r="E455" s="2"/>
      <c r="F455" s="2"/>
      <c r="G455" s="2" t="s">
        <v>97</v>
      </c>
      <c r="H455" s="2" t="s">
        <v>132</v>
      </c>
      <c r="I455" s="2"/>
      <c r="J455" s="10" t="s">
        <v>50</v>
      </c>
      <c r="L455" s="50"/>
      <c r="M455" s="50"/>
      <c r="N455" s="50"/>
      <c r="O455" s="50"/>
      <c r="P455" s="50"/>
      <c r="Q455" s="50"/>
      <c r="R455" s="50"/>
      <c r="S455" s="50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D455" s="50"/>
      <c r="AE455" s="50"/>
      <c r="AF455" s="50"/>
      <c r="AG455" s="50"/>
      <c r="AH455" s="50"/>
      <c r="AI455" s="50"/>
      <c r="AJ455" s="50"/>
      <c r="AK455" s="50"/>
      <c r="AL455" s="50"/>
      <c r="AM455" s="50"/>
      <c r="AN455" s="50"/>
      <c r="AO455" s="50"/>
      <c r="AP455" s="50"/>
      <c r="AQ455" s="50"/>
      <c r="AR455" s="50"/>
      <c r="AS455" s="50"/>
      <c r="AT455" s="50"/>
      <c r="AU455" s="50"/>
      <c r="AV455" s="50"/>
      <c r="AW455" s="50"/>
      <c r="AX455" s="50"/>
      <c r="AY455" s="50"/>
      <c r="AZ455" s="50"/>
      <c r="BA455" s="50"/>
      <c r="BB455" s="50"/>
      <c r="BC455" s="50"/>
      <c r="BD455" s="50"/>
      <c r="BE455" s="50"/>
      <c r="BF455" s="50"/>
      <c r="BG455" s="50"/>
      <c r="BH455" s="50"/>
      <c r="BI455" s="50"/>
      <c r="BJ455" s="50"/>
      <c r="BK455" s="50"/>
      <c r="BL455" s="50"/>
    </row>
    <row r="456" spans="1:64">
      <c r="A456" s="10" t="str">
        <f>TRIM(B456)&amp;TRIM(C456)&amp;TRIM(D456)&amp;TRIM(E456)&amp;TRIM(F456)&amp;TRIM(G456)&amp;TRIM(H456)&amp;TRIM(I456)&amp;TRIM(J456)</f>
        <v>GBUB2B_SVC비율전년</v>
      </c>
      <c r="B456" s="2"/>
      <c r="C456" s="2"/>
      <c r="D456" s="2"/>
      <c r="E456" s="2"/>
      <c r="F456" s="2"/>
      <c r="G456" s="2" t="s">
        <v>97</v>
      </c>
      <c r="H456" s="2" t="s">
        <v>132</v>
      </c>
      <c r="I456" s="2"/>
      <c r="J456" s="23" t="s">
        <v>34</v>
      </c>
      <c r="L456" s="50"/>
      <c r="M456" s="50"/>
      <c r="N456" s="50"/>
      <c r="O456" s="50"/>
      <c r="P456" s="50"/>
      <c r="Q456" s="50"/>
      <c r="R456" s="50"/>
      <c r="S456" s="50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D456" s="50"/>
      <c r="AE456" s="50"/>
      <c r="AF456" s="50"/>
      <c r="AG456" s="50"/>
      <c r="AH456" s="50"/>
      <c r="AI456" s="50"/>
      <c r="AJ456" s="50"/>
      <c r="AK456" s="50"/>
      <c r="AL456" s="50"/>
      <c r="AM456" s="50"/>
      <c r="AN456" s="50"/>
      <c r="AO456" s="50"/>
      <c r="AP456" s="50"/>
      <c r="AQ456" s="50"/>
      <c r="AR456" s="50"/>
      <c r="AS456" s="50"/>
      <c r="AT456" s="50"/>
      <c r="AU456" s="50"/>
      <c r="AV456" s="50"/>
      <c r="AW456" s="50"/>
      <c r="AX456" s="50"/>
      <c r="AY456" s="50"/>
      <c r="AZ456" s="50"/>
      <c r="BA456" s="50"/>
      <c r="BB456" s="50"/>
      <c r="BC456" s="50"/>
      <c r="BD456" s="50"/>
      <c r="BE456" s="50"/>
      <c r="BF456" s="50"/>
      <c r="BG456" s="50"/>
      <c r="BH456" s="50"/>
      <c r="BI456" s="50"/>
      <c r="BJ456" s="50"/>
      <c r="BK456" s="50"/>
      <c r="BL456" s="50"/>
    </row>
    <row r="458" spans="1:64">
      <c r="A458" s="10" t="str">
        <f>TRIM(B458)&amp;TRIM(C458)&amp;TRIM(D458)&amp;TRIM(E458)&amp;TRIM(F458)&amp;TRIM(G458)&amp;TRIM(H458)&amp;TRIM(I458)&amp;TRIM(J458)</f>
        <v>GBUB2B_고정비금년</v>
      </c>
      <c r="B458" s="2"/>
      <c r="C458" s="2"/>
      <c r="D458" s="2"/>
      <c r="E458" s="2"/>
      <c r="F458" s="2"/>
      <c r="G458" s="2" t="s">
        <v>97</v>
      </c>
      <c r="H458" s="2" t="s">
        <v>133</v>
      </c>
      <c r="I458" s="2"/>
      <c r="J458" s="10" t="s">
        <v>50</v>
      </c>
      <c r="L458" s="49"/>
      <c r="M458" s="49"/>
      <c r="N458" s="49"/>
      <c r="O458" s="49"/>
      <c r="P458" s="49"/>
      <c r="Q458" s="49"/>
      <c r="R458" s="49"/>
      <c r="S458" s="49"/>
      <c r="T458" s="49"/>
      <c r="U458" s="49"/>
      <c r="V458" s="49"/>
      <c r="W458" s="49"/>
      <c r="X458" s="49"/>
      <c r="Y458" s="49"/>
      <c r="Z458" s="49"/>
      <c r="AA458" s="49"/>
      <c r="AB458" s="49"/>
      <c r="AC458" s="49"/>
      <c r="AD458" s="49"/>
      <c r="AE458" s="49"/>
      <c r="AF458" s="49"/>
      <c r="AG458" s="49"/>
      <c r="AH458" s="49"/>
      <c r="AI458" s="49"/>
      <c r="AJ458" s="49"/>
      <c r="AK458" s="49"/>
      <c r="AL458" s="49"/>
      <c r="AM458" s="49"/>
      <c r="AN458" s="49"/>
      <c r="AO458" s="49"/>
      <c r="AP458" s="49"/>
      <c r="AQ458" s="49"/>
      <c r="AR458" s="49"/>
      <c r="AS458" s="49"/>
      <c r="AT458" s="49"/>
      <c r="AU458" s="49"/>
      <c r="AV458" s="49"/>
      <c r="AW458" s="49"/>
      <c r="AX458" s="49"/>
      <c r="AY458" s="49"/>
      <c r="AZ458" s="49"/>
      <c r="BA458" s="49"/>
      <c r="BB458" s="49"/>
      <c r="BC458" s="49"/>
      <c r="BD458" s="49"/>
      <c r="BE458" s="49"/>
      <c r="BF458" s="49"/>
      <c r="BG458" s="49"/>
      <c r="BH458" s="49"/>
      <c r="BI458" s="49"/>
      <c r="BJ458" s="49"/>
      <c r="BK458" s="49"/>
      <c r="BL458" s="49"/>
    </row>
    <row r="459" spans="1:64">
      <c r="A459" s="10" t="str">
        <f>TRIM(B459)&amp;TRIM(C459)&amp;TRIM(D459)&amp;TRIM(E459)&amp;TRIM(F459)&amp;TRIM(G459)&amp;TRIM(H459)&amp;TRIM(I459)&amp;TRIM(J459)</f>
        <v>GBUB2B_고정비전년</v>
      </c>
      <c r="B459" s="2"/>
      <c r="C459" s="2"/>
      <c r="D459" s="2"/>
      <c r="E459" s="2"/>
      <c r="F459" s="2"/>
      <c r="G459" s="2" t="s">
        <v>97</v>
      </c>
      <c r="H459" s="2" t="s">
        <v>133</v>
      </c>
      <c r="I459" s="2"/>
      <c r="J459" s="23" t="s">
        <v>34</v>
      </c>
      <c r="L459" s="49"/>
      <c r="M459" s="49"/>
      <c r="N459" s="49"/>
      <c r="O459" s="49"/>
      <c r="P459" s="49"/>
      <c r="Q459" s="49"/>
      <c r="R459" s="49"/>
      <c r="S459" s="49"/>
      <c r="T459" s="49"/>
      <c r="U459" s="49"/>
      <c r="V459" s="49"/>
      <c r="W459" s="49"/>
      <c r="X459" s="49"/>
      <c r="Y459" s="49"/>
      <c r="Z459" s="49"/>
      <c r="AA459" s="49"/>
      <c r="AB459" s="49"/>
      <c r="AC459" s="49"/>
      <c r="AD459" s="49"/>
      <c r="AE459" s="49"/>
      <c r="AF459" s="49"/>
      <c r="AG459" s="49"/>
      <c r="AH459" s="49"/>
      <c r="AI459" s="49"/>
      <c r="AJ459" s="49"/>
      <c r="AK459" s="49"/>
      <c r="AL459" s="49"/>
      <c r="AM459" s="49"/>
      <c r="AN459" s="49"/>
      <c r="AO459" s="49"/>
      <c r="AP459" s="49"/>
      <c r="AQ459" s="49"/>
      <c r="AR459" s="49"/>
      <c r="AS459" s="49"/>
      <c r="AT459" s="49"/>
      <c r="AU459" s="49"/>
      <c r="AV459" s="49"/>
      <c r="AW459" s="49"/>
      <c r="AX459" s="49"/>
      <c r="AY459" s="49"/>
      <c r="AZ459" s="49"/>
      <c r="BA459" s="49"/>
      <c r="BB459" s="49"/>
      <c r="BC459" s="49"/>
      <c r="BD459" s="49"/>
      <c r="BE459" s="49"/>
      <c r="BF459" s="49"/>
      <c r="BG459" s="49"/>
      <c r="BH459" s="49"/>
      <c r="BI459" s="49"/>
      <c r="BJ459" s="49"/>
      <c r="BK459" s="49"/>
      <c r="BL459" s="49"/>
    </row>
    <row r="460" spans="1:64">
      <c r="A460" s="10" t="str">
        <f>TRIM(B460)&amp;TRIM(C460)&amp;TRIM(D460)&amp;TRIM(E460)&amp;TRIM(F460)&amp;TRIM(G460)&amp;TRIM(H460)&amp;TRIM(I460)&amp;TRIM(J460)</f>
        <v>GBUB2B_고정비전년대비</v>
      </c>
      <c r="B460" s="2"/>
      <c r="C460" s="2"/>
      <c r="D460" s="2"/>
      <c r="E460" s="2"/>
      <c r="F460" s="2"/>
      <c r="G460" s="2" t="s">
        <v>97</v>
      </c>
      <c r="H460" s="2" t="s">
        <v>133</v>
      </c>
      <c r="I460" s="2"/>
      <c r="J460" s="2" t="s">
        <v>52</v>
      </c>
      <c r="L460" s="50"/>
      <c r="M460" s="50"/>
      <c r="N460" s="50"/>
      <c r="O460" s="50"/>
      <c r="P460" s="50"/>
      <c r="Q460" s="50"/>
      <c r="R460" s="50"/>
      <c r="S460" s="50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D460" s="50"/>
      <c r="AE460" s="50"/>
      <c r="AF460" s="50"/>
      <c r="AG460" s="50"/>
      <c r="AH460" s="50"/>
      <c r="AI460" s="50"/>
      <c r="AJ460" s="50"/>
      <c r="AK460" s="50"/>
      <c r="AL460" s="50"/>
      <c r="AM460" s="50"/>
      <c r="AN460" s="50"/>
      <c r="AO460" s="50"/>
      <c r="AP460" s="50"/>
      <c r="AQ460" s="50"/>
      <c r="AR460" s="50"/>
      <c r="AS460" s="50"/>
      <c r="AT460" s="50"/>
      <c r="AU460" s="50"/>
      <c r="AV460" s="50"/>
      <c r="AW460" s="50"/>
      <c r="AX460" s="50"/>
      <c r="AY460" s="50"/>
      <c r="AZ460" s="50"/>
      <c r="BA460" s="50"/>
      <c r="BB460" s="50"/>
      <c r="BC460" s="50"/>
      <c r="BD460" s="50"/>
      <c r="BE460" s="50"/>
      <c r="BF460" s="50"/>
      <c r="BG460" s="50"/>
      <c r="BH460" s="50"/>
      <c r="BI460" s="50"/>
      <c r="BJ460" s="50"/>
      <c r="BK460" s="50"/>
      <c r="BL460" s="50"/>
    </row>
    <row r="462" spans="1:64">
      <c r="A462" s="10" t="str">
        <f>TRIM(B462)&amp;TRIM(C462)&amp;TRIM(D462)&amp;TRIM(E462)&amp;TRIM(F462)&amp;TRIM(G462)&amp;TRIM(H462)&amp;TRIM(I462)&amp;TRIM(J462)</f>
        <v>GBUB2B_고정비율금년</v>
      </c>
      <c r="B462" s="2"/>
      <c r="C462" s="2"/>
      <c r="D462" s="2"/>
      <c r="E462" s="2"/>
      <c r="F462" s="2"/>
      <c r="G462" s="2" t="s">
        <v>97</v>
      </c>
      <c r="H462" s="2" t="s">
        <v>134</v>
      </c>
      <c r="I462" s="2"/>
      <c r="J462" s="10" t="s">
        <v>50</v>
      </c>
      <c r="L462" s="51"/>
      <c r="M462" s="50"/>
      <c r="N462" s="50"/>
      <c r="O462" s="50"/>
      <c r="P462" s="50"/>
      <c r="Q462" s="50"/>
      <c r="R462" s="50"/>
      <c r="S462" s="50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D462" s="50"/>
      <c r="AE462" s="50"/>
      <c r="AF462" s="50"/>
      <c r="AG462" s="50"/>
      <c r="AH462" s="50"/>
      <c r="AI462" s="50"/>
      <c r="AJ462" s="50"/>
      <c r="AK462" s="50"/>
      <c r="AL462" s="50"/>
      <c r="AM462" s="50"/>
      <c r="AN462" s="50"/>
      <c r="AO462" s="50"/>
      <c r="AP462" s="50"/>
      <c r="AQ462" s="50"/>
      <c r="AR462" s="50"/>
      <c r="AS462" s="50"/>
      <c r="AT462" s="50"/>
      <c r="AU462" s="50"/>
      <c r="AV462" s="50"/>
      <c r="AW462" s="50"/>
      <c r="AX462" s="50"/>
      <c r="AY462" s="50"/>
      <c r="AZ462" s="50"/>
      <c r="BA462" s="50"/>
      <c r="BB462" s="50"/>
      <c r="BC462" s="50"/>
      <c r="BD462" s="50"/>
      <c r="BE462" s="50"/>
      <c r="BF462" s="50"/>
      <c r="BG462" s="50"/>
      <c r="BH462" s="50"/>
      <c r="BI462" s="50"/>
      <c r="BJ462" s="50"/>
      <c r="BK462" s="50"/>
      <c r="BL462" s="50"/>
    </row>
    <row r="463" spans="1:64">
      <c r="A463" s="10" t="str">
        <f>TRIM(B463)&amp;TRIM(C463)&amp;TRIM(D463)&amp;TRIM(E463)&amp;TRIM(F463)&amp;TRIM(G463)&amp;TRIM(H463)&amp;TRIM(I463)&amp;TRIM(J463)</f>
        <v>GBUB2B_고정비율전년</v>
      </c>
      <c r="B463" s="2"/>
      <c r="C463" s="2"/>
      <c r="D463" s="2"/>
      <c r="E463" s="2"/>
      <c r="F463" s="2"/>
      <c r="G463" s="2" t="s">
        <v>97</v>
      </c>
      <c r="H463" s="2" t="s">
        <v>134</v>
      </c>
      <c r="I463" s="2"/>
      <c r="J463" s="23" t="s">
        <v>34</v>
      </c>
      <c r="L463" s="50"/>
      <c r="M463" s="50"/>
      <c r="N463" s="50"/>
      <c r="O463" s="50"/>
      <c r="P463" s="50"/>
      <c r="Q463" s="50"/>
      <c r="R463" s="50"/>
      <c r="S463" s="50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D463" s="50"/>
      <c r="AE463" s="50"/>
      <c r="AF463" s="50"/>
      <c r="AG463" s="50"/>
      <c r="AH463" s="50"/>
      <c r="AI463" s="50"/>
      <c r="AJ463" s="50"/>
      <c r="AK463" s="50"/>
      <c r="AL463" s="50"/>
      <c r="AM463" s="50"/>
      <c r="AN463" s="50"/>
      <c r="AO463" s="50"/>
      <c r="AP463" s="50"/>
      <c r="AQ463" s="50"/>
      <c r="AR463" s="50"/>
      <c r="AS463" s="50"/>
      <c r="AT463" s="50"/>
      <c r="AU463" s="50"/>
      <c r="AV463" s="50"/>
      <c r="AW463" s="50"/>
      <c r="AX463" s="50"/>
      <c r="AY463" s="50"/>
      <c r="AZ463" s="50"/>
      <c r="BA463" s="50"/>
      <c r="BB463" s="50"/>
      <c r="BC463" s="50"/>
      <c r="BD463" s="50"/>
      <c r="BE463" s="50"/>
      <c r="BF463" s="50"/>
      <c r="BG463" s="50"/>
      <c r="BH463" s="50"/>
      <c r="BI463" s="50"/>
      <c r="BJ463" s="50"/>
      <c r="BK463" s="50"/>
      <c r="BL463" s="50"/>
    </row>
    <row r="465" spans="1:64">
      <c r="A465" s="10" t="str">
        <f>TRIM(B465)&amp;TRIM(C465)&amp;TRIM(D465)&amp;TRIM(E465)&amp;TRIM(F465)&amp;TRIM(G465)&amp;TRIM(H465)&amp;TRIM(I465)&amp;TRIM(J465)</f>
        <v>GBUB2B_인건비금년</v>
      </c>
      <c r="B465" s="2"/>
      <c r="C465" s="2"/>
      <c r="D465" s="2"/>
      <c r="E465" s="2"/>
      <c r="F465" s="2"/>
      <c r="G465" s="2" t="s">
        <v>97</v>
      </c>
      <c r="H465" s="2" t="s">
        <v>135</v>
      </c>
      <c r="I465" s="2"/>
      <c r="J465" s="10" t="s">
        <v>50</v>
      </c>
      <c r="L465" s="25"/>
      <c r="M465" s="25"/>
      <c r="N465" s="25"/>
      <c r="O465" s="25"/>
      <c r="P465" s="25"/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AA465" s="25"/>
      <c r="AB465" s="25"/>
      <c r="AC465" s="25"/>
      <c r="AD465" s="25"/>
      <c r="AE465" s="25"/>
      <c r="AF465" s="25"/>
      <c r="AG465" s="25"/>
      <c r="AH465" s="25"/>
      <c r="AI465" s="25"/>
      <c r="AJ465" s="25"/>
      <c r="AK465" s="25"/>
      <c r="AL465" s="25"/>
      <c r="AM465" s="25"/>
      <c r="AN465" s="25"/>
      <c r="AO465" s="25"/>
      <c r="AP465" s="25"/>
      <c r="AQ465" s="25"/>
      <c r="AR465" s="25"/>
      <c r="AS465" s="25"/>
      <c r="AT465" s="25"/>
      <c r="AU465" s="25"/>
      <c r="AV465" s="25"/>
      <c r="AW465" s="25"/>
      <c r="AX465" s="25"/>
      <c r="AY465" s="25"/>
      <c r="AZ465" s="25"/>
      <c r="BA465" s="25"/>
      <c r="BB465" s="25"/>
      <c r="BC465" s="25"/>
      <c r="BD465" s="25"/>
      <c r="BE465" s="25"/>
      <c r="BF465" s="25"/>
      <c r="BG465" s="25"/>
      <c r="BH465" s="25"/>
      <c r="BI465" s="25"/>
      <c r="BJ465" s="25"/>
      <c r="BK465" s="25"/>
      <c r="BL465" s="25"/>
    </row>
    <row r="466" spans="1:64">
      <c r="A466" s="10" t="str">
        <f>TRIM(B466)&amp;TRIM(C466)&amp;TRIM(D466)&amp;TRIM(E466)&amp;TRIM(F466)&amp;TRIM(G466)&amp;TRIM(H466)&amp;TRIM(I466)&amp;TRIM(J466)</f>
        <v>GBUB2B_인건비전년</v>
      </c>
      <c r="B466" s="2"/>
      <c r="C466" s="2"/>
      <c r="D466" s="2"/>
      <c r="E466" s="2"/>
      <c r="F466" s="2"/>
      <c r="G466" s="2" t="s">
        <v>97</v>
      </c>
      <c r="H466" s="2" t="s">
        <v>135</v>
      </c>
      <c r="I466" s="2"/>
      <c r="J466" s="23" t="s">
        <v>34</v>
      </c>
      <c r="L466" s="25"/>
      <c r="M466" s="25"/>
      <c r="N466" s="25"/>
      <c r="O466" s="25"/>
      <c r="P466" s="25"/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5"/>
      <c r="AC466" s="25"/>
      <c r="AD466" s="25"/>
      <c r="AE466" s="25"/>
      <c r="AF466" s="25"/>
      <c r="AG466" s="25"/>
      <c r="AH466" s="25"/>
      <c r="AI466" s="25"/>
      <c r="AJ466" s="25"/>
      <c r="AK466" s="25"/>
      <c r="AL466" s="25"/>
      <c r="AM466" s="25"/>
      <c r="AN466" s="25"/>
      <c r="AO466" s="25"/>
      <c r="AP466" s="25"/>
      <c r="AQ466" s="25"/>
      <c r="AR466" s="25"/>
      <c r="AS466" s="25"/>
      <c r="AT466" s="25"/>
      <c r="AU466" s="25"/>
      <c r="AV466" s="25"/>
      <c r="AW466" s="25"/>
      <c r="AX466" s="25"/>
      <c r="AY466" s="25"/>
      <c r="AZ466" s="25"/>
      <c r="BA466" s="25"/>
      <c r="BB466" s="25"/>
      <c r="BC466" s="25"/>
      <c r="BD466" s="25"/>
      <c r="BE466" s="25"/>
      <c r="BF466" s="25"/>
      <c r="BG466" s="25"/>
      <c r="BH466" s="25"/>
      <c r="BI466" s="25"/>
      <c r="BJ466" s="25"/>
      <c r="BK466" s="25"/>
      <c r="BL466" s="25"/>
    </row>
    <row r="468" spans="1:64">
      <c r="A468" s="10" t="str">
        <f>TRIM(B468)&amp;TRIM(C468)&amp;TRIM(D468)&amp;TRIM(E468)&amp;TRIM(F468)&amp;TRIM(G468)&amp;TRIM(H468)&amp;TRIM(I468)&amp;TRIM(J468)</f>
        <v>GBUB2B_광고선전비금년</v>
      </c>
      <c r="B468" s="2"/>
      <c r="C468" s="2"/>
      <c r="D468" s="2"/>
      <c r="E468" s="2"/>
      <c r="F468" s="2"/>
      <c r="G468" s="2" t="s">
        <v>97</v>
      </c>
      <c r="H468" s="2" t="s">
        <v>136</v>
      </c>
      <c r="I468" s="2"/>
      <c r="J468" s="10" t="s">
        <v>50</v>
      </c>
      <c r="L468" s="25"/>
      <c r="M468" s="25"/>
      <c r="N468" s="25"/>
      <c r="O468" s="25"/>
      <c r="P468" s="25"/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5"/>
      <c r="AC468" s="25"/>
      <c r="AD468" s="25"/>
      <c r="AE468" s="25"/>
      <c r="AF468" s="25"/>
      <c r="AG468" s="25"/>
      <c r="AH468" s="25"/>
      <c r="AI468" s="25"/>
      <c r="AJ468" s="25"/>
      <c r="AK468" s="25"/>
      <c r="AL468" s="25"/>
      <c r="AM468" s="25"/>
      <c r="AN468" s="25"/>
      <c r="AO468" s="25"/>
      <c r="AP468" s="25"/>
      <c r="AQ468" s="25"/>
      <c r="AR468" s="25"/>
      <c r="AS468" s="25"/>
      <c r="AT468" s="25"/>
      <c r="AU468" s="25"/>
      <c r="AV468" s="25"/>
      <c r="AW468" s="25"/>
      <c r="AX468" s="25"/>
      <c r="AY468" s="25"/>
      <c r="AZ468" s="25"/>
      <c r="BA468" s="25"/>
      <c r="BB468" s="25"/>
      <c r="BC468" s="25"/>
      <c r="BD468" s="25"/>
      <c r="BE468" s="25"/>
      <c r="BF468" s="25"/>
      <c r="BG468" s="25"/>
      <c r="BH468" s="25"/>
      <c r="BI468" s="25"/>
      <c r="BJ468" s="25"/>
      <c r="BK468" s="25"/>
      <c r="BL468" s="25"/>
    </row>
    <row r="469" spans="1:64">
      <c r="A469" s="10" t="str">
        <f>TRIM(B469)&amp;TRIM(C469)&amp;TRIM(D469)&amp;TRIM(E469)&amp;TRIM(F469)&amp;TRIM(G469)&amp;TRIM(H469)&amp;TRIM(I469)&amp;TRIM(J469)</f>
        <v>GBUB2B_광고선전비전년</v>
      </c>
      <c r="B469" s="2"/>
      <c r="C469" s="2"/>
      <c r="D469" s="2"/>
      <c r="E469" s="2"/>
      <c r="F469" s="2"/>
      <c r="G469" s="2" t="s">
        <v>97</v>
      </c>
      <c r="H469" s="2" t="s">
        <v>136</v>
      </c>
      <c r="I469" s="2"/>
      <c r="J469" s="23" t="s">
        <v>34</v>
      </c>
      <c r="L469" s="25"/>
      <c r="M469" s="25"/>
      <c r="N469" s="25"/>
      <c r="O469" s="25"/>
      <c r="P469" s="25"/>
      <c r="Q469" s="25"/>
      <c r="R469" s="25"/>
      <c r="S469" s="25"/>
      <c r="T469" s="25"/>
      <c r="U469" s="25"/>
      <c r="V469" s="25"/>
      <c r="W469" s="25"/>
      <c r="X469" s="25"/>
      <c r="Y469" s="25"/>
      <c r="Z469" s="25"/>
      <c r="AA469" s="25"/>
      <c r="AB469" s="25"/>
      <c r="AC469" s="25"/>
      <c r="AD469" s="25"/>
      <c r="AE469" s="25"/>
      <c r="AF469" s="25"/>
      <c r="AG469" s="25"/>
      <c r="AH469" s="25"/>
      <c r="AI469" s="25"/>
      <c r="AJ469" s="25"/>
      <c r="AK469" s="25"/>
      <c r="AL469" s="25"/>
      <c r="AM469" s="25"/>
      <c r="AN469" s="25"/>
      <c r="AO469" s="25"/>
      <c r="AP469" s="25"/>
      <c r="AQ469" s="25"/>
      <c r="AR469" s="25"/>
      <c r="AS469" s="25"/>
      <c r="AT469" s="25"/>
      <c r="AU469" s="25"/>
      <c r="AV469" s="25"/>
      <c r="AW469" s="25"/>
      <c r="AX469" s="25"/>
      <c r="AY469" s="25"/>
      <c r="AZ469" s="25"/>
      <c r="BA469" s="25"/>
      <c r="BB469" s="25"/>
      <c r="BC469" s="25"/>
      <c r="BD469" s="25"/>
      <c r="BE469" s="25"/>
      <c r="BF469" s="25"/>
      <c r="BG469" s="25"/>
      <c r="BH469" s="25"/>
      <c r="BI469" s="25"/>
      <c r="BJ469" s="25"/>
      <c r="BK469" s="25"/>
      <c r="BL469" s="25"/>
    </row>
    <row r="471" spans="1:64">
      <c r="A471" s="10" t="str">
        <f>TRIM(B471)&amp;TRIM(C471)&amp;TRIM(D471)&amp;TRIM(E471)&amp;TRIM(F471)&amp;TRIM(G471)&amp;TRIM(H471)&amp;TRIM(I471)&amp;TRIM(J471)</f>
        <v>GBUB2B_지급수수료금년</v>
      </c>
      <c r="B471" s="2"/>
      <c r="C471" s="2"/>
      <c r="D471" s="2"/>
      <c r="E471" s="2"/>
      <c r="F471" s="2"/>
      <c r="G471" s="2" t="s">
        <v>97</v>
      </c>
      <c r="H471" s="2" t="s">
        <v>137</v>
      </c>
      <c r="I471" s="2"/>
      <c r="J471" s="10" t="s">
        <v>50</v>
      </c>
      <c r="L471" s="25"/>
      <c r="M471" s="25"/>
      <c r="N471" s="25"/>
      <c r="O471" s="25"/>
      <c r="P471" s="25"/>
      <c r="Q471" s="25"/>
      <c r="R471" s="25"/>
      <c r="S471" s="25"/>
      <c r="T471" s="25"/>
      <c r="U471" s="25"/>
      <c r="V471" s="25"/>
      <c r="W471" s="25"/>
      <c r="X471" s="25"/>
      <c r="Y471" s="25"/>
      <c r="Z471" s="25"/>
      <c r="AA471" s="25"/>
      <c r="AB471" s="25"/>
      <c r="AC471" s="25"/>
      <c r="AD471" s="25"/>
      <c r="AE471" s="25"/>
      <c r="AF471" s="25"/>
      <c r="AG471" s="25"/>
      <c r="AH471" s="25"/>
      <c r="AI471" s="25"/>
      <c r="AJ471" s="25"/>
      <c r="AK471" s="25"/>
      <c r="AL471" s="25"/>
      <c r="AM471" s="25"/>
      <c r="AN471" s="25"/>
      <c r="AO471" s="25"/>
      <c r="AP471" s="25"/>
      <c r="AQ471" s="25"/>
      <c r="AR471" s="25"/>
      <c r="AS471" s="25"/>
      <c r="AT471" s="25"/>
      <c r="AU471" s="25"/>
      <c r="AV471" s="25"/>
      <c r="AW471" s="25"/>
      <c r="AX471" s="25"/>
      <c r="AY471" s="25"/>
      <c r="AZ471" s="25"/>
      <c r="BA471" s="25"/>
      <c r="BB471" s="25"/>
      <c r="BC471" s="25"/>
      <c r="BD471" s="25"/>
      <c r="BE471" s="25"/>
      <c r="BF471" s="25"/>
      <c r="BG471" s="25"/>
      <c r="BH471" s="25"/>
      <c r="BI471" s="25"/>
      <c r="BJ471" s="25"/>
      <c r="BK471" s="25"/>
      <c r="BL471" s="25"/>
    </row>
    <row r="472" spans="1:64">
      <c r="A472" s="10" t="str">
        <f>TRIM(B472)&amp;TRIM(C472)&amp;TRIM(D472)&amp;TRIM(E472)&amp;TRIM(F472)&amp;TRIM(G472)&amp;TRIM(H472)&amp;TRIM(I472)&amp;TRIM(J472)</f>
        <v>GBUB2B_지급수수료전년</v>
      </c>
      <c r="B472" s="2"/>
      <c r="C472" s="2"/>
      <c r="D472" s="2"/>
      <c r="E472" s="2"/>
      <c r="F472" s="2"/>
      <c r="G472" s="2" t="s">
        <v>97</v>
      </c>
      <c r="H472" s="2" t="s">
        <v>137</v>
      </c>
      <c r="I472" s="2"/>
      <c r="J472" s="23" t="s">
        <v>34</v>
      </c>
      <c r="L472" s="25"/>
      <c r="M472" s="25"/>
      <c r="N472" s="25"/>
      <c r="O472" s="25"/>
      <c r="P472" s="25"/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25"/>
      <c r="AB472" s="25"/>
      <c r="AC472" s="25"/>
      <c r="AD472" s="25"/>
      <c r="AE472" s="25"/>
      <c r="AF472" s="25"/>
      <c r="AG472" s="25"/>
      <c r="AH472" s="25"/>
      <c r="AI472" s="25"/>
      <c r="AJ472" s="25"/>
      <c r="AK472" s="25"/>
      <c r="AL472" s="25"/>
      <c r="AM472" s="25"/>
      <c r="AN472" s="25"/>
      <c r="AO472" s="25"/>
      <c r="AP472" s="25"/>
      <c r="AQ472" s="25"/>
      <c r="AR472" s="25"/>
      <c r="AS472" s="25"/>
      <c r="AT472" s="25"/>
      <c r="AU472" s="25"/>
      <c r="AV472" s="25"/>
      <c r="AW472" s="25"/>
      <c r="AX472" s="25"/>
      <c r="AY472" s="25"/>
      <c r="AZ472" s="25"/>
      <c r="BA472" s="25"/>
      <c r="BB472" s="25"/>
      <c r="BC472" s="25"/>
      <c r="BD472" s="25"/>
      <c r="BE472" s="25"/>
      <c r="BF472" s="25"/>
      <c r="BG472" s="25"/>
      <c r="BH472" s="25"/>
      <c r="BI472" s="25"/>
      <c r="BJ472" s="25"/>
      <c r="BK472" s="25"/>
      <c r="BL472" s="25"/>
    </row>
  </sheetData>
  <phoneticPr fontId="4" type="noConversion"/>
  <pageMargins left="0.7" right="0.7" top="0.75" bottom="0.75" header="0.3" footer="0.3"/>
  <pageSetup paperSize="9" orientation="portrait" r:id="rId1"/>
  <customProperties>
    <customPr name="Key" r:id="rId2"/>
  </customProperties>
  <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4:L3015"/>
  <sheetViews>
    <sheetView workbookViewId="0">
      <pane xSplit="5" ySplit="6" topLeftCell="F7" activePane="bottomRight" state="frozen"/>
      <selection pane="topRight" activeCell="C1" sqref="C1"/>
      <selection pane="bottomLeft" activeCell="A3" sqref="A3"/>
      <selection pane="bottomRight" activeCell="B7" sqref="B7:B156"/>
    </sheetView>
  </sheetViews>
  <sheetFormatPr defaultRowHeight="16.5"/>
  <cols>
    <col min="1" max="1" width="41.5" customWidth="1"/>
    <col min="2" max="2" width="20.125" customWidth="1"/>
    <col min="3" max="5" width="3.125" customWidth="1"/>
    <col min="6" max="6" width="15.125" bestFit="1" customWidth="1"/>
    <col min="7" max="7" width="5.25" bestFit="1" customWidth="1"/>
    <col min="8" max="8" width="14.375" bestFit="1" customWidth="1"/>
    <col min="9" max="9" width="7.5" bestFit="1" customWidth="1"/>
    <col min="10" max="10" width="12.75" bestFit="1" customWidth="1"/>
    <col min="11" max="11" width="3.5" bestFit="1" customWidth="1"/>
    <col min="12" max="12" width="13.5" bestFit="1" customWidth="1"/>
  </cols>
  <sheetData>
    <row r="4" spans="1:12">
      <c r="F4" s="74" t="s">
        <v>208</v>
      </c>
    </row>
    <row r="5" spans="1:12">
      <c r="F5" s="74">
        <v>4</v>
      </c>
      <c r="G5" s="74">
        <v>1</v>
      </c>
      <c r="H5" s="74">
        <v>2</v>
      </c>
      <c r="I5" s="74">
        <v>3</v>
      </c>
    </row>
    <row r="6" spans="1:12">
      <c r="A6" s="74" t="str">
        <f>G6&amp;H6&amp;I6&amp;F6</f>
        <v>NATION_NMKPI_CDBASE_YYYYMMCOL_INDEX</v>
      </c>
      <c r="B6" s="74" t="s">
        <v>211</v>
      </c>
      <c r="F6" s="69" t="s">
        <v>5</v>
      </c>
      <c r="G6" s="69" t="s">
        <v>206</v>
      </c>
      <c r="H6" s="69" t="s">
        <v>4</v>
      </c>
      <c r="I6" s="69" t="s">
        <v>160</v>
      </c>
      <c r="J6" s="69" t="s">
        <v>148</v>
      </c>
      <c r="K6" s="110" t="s">
        <v>227</v>
      </c>
      <c r="L6" s="110" t="s">
        <v>228</v>
      </c>
    </row>
    <row r="7" spans="1:12">
      <c r="A7" t="str">
        <f t="shared" ref="A7:A70" si="0">G7&amp;H7&amp;I7&amp;F7</f>
        <v>ALL매출(전체)201312모니터사이니지</v>
      </c>
      <c r="B7" t="s">
        <v>207</v>
      </c>
      <c r="F7" t="s">
        <v>229</v>
      </c>
      <c r="G7" t="s">
        <v>207</v>
      </c>
      <c r="H7" t="s">
        <v>164</v>
      </c>
      <c r="I7" t="s">
        <v>233</v>
      </c>
      <c r="J7">
        <v>87242.200135235646</v>
      </c>
      <c r="K7">
        <v>13</v>
      </c>
      <c r="L7" t="s">
        <v>232</v>
      </c>
    </row>
    <row r="8" spans="1:12">
      <c r="A8" t="str">
        <f t="shared" si="0"/>
        <v>ALL매출(전체)201401모니터사이니지</v>
      </c>
      <c r="B8" t="s">
        <v>725</v>
      </c>
      <c r="F8" t="s">
        <v>229</v>
      </c>
      <c r="G8" t="s">
        <v>207</v>
      </c>
      <c r="H8" t="s">
        <v>164</v>
      </c>
      <c r="I8" t="s">
        <v>166</v>
      </c>
      <c r="J8">
        <v>238520.13382036032</v>
      </c>
      <c r="K8">
        <v>13</v>
      </c>
      <c r="L8" t="s">
        <v>232</v>
      </c>
    </row>
    <row r="9" spans="1:12">
      <c r="A9" t="str">
        <f t="shared" si="0"/>
        <v>ALL매출(전체)201402모니터사이니지</v>
      </c>
      <c r="F9" t="s">
        <v>229</v>
      </c>
      <c r="G9" t="s">
        <v>207</v>
      </c>
      <c r="H9" t="s">
        <v>164</v>
      </c>
      <c r="I9" t="s">
        <v>167</v>
      </c>
      <c r="J9">
        <v>320837.99379260337</v>
      </c>
      <c r="K9">
        <v>13</v>
      </c>
      <c r="L9" t="s">
        <v>232</v>
      </c>
    </row>
    <row r="10" spans="1:12">
      <c r="A10" t="str">
        <f t="shared" si="0"/>
        <v>ALL매출(전체)201403모니터사이니지</v>
      </c>
      <c r="F10" t="s">
        <v>229</v>
      </c>
      <c r="G10" t="s">
        <v>207</v>
      </c>
      <c r="H10" t="s">
        <v>164</v>
      </c>
      <c r="I10" t="s">
        <v>168</v>
      </c>
      <c r="J10">
        <v>373397.3684233565</v>
      </c>
      <c r="K10">
        <v>13</v>
      </c>
      <c r="L10" t="s">
        <v>232</v>
      </c>
    </row>
    <row r="11" spans="1:12">
      <c r="A11" t="str">
        <f t="shared" si="0"/>
        <v>ALL매출(전체)201404모니터사이니지</v>
      </c>
      <c r="F11" t="s">
        <v>229</v>
      </c>
      <c r="G11" t="s">
        <v>207</v>
      </c>
      <c r="H11" t="s">
        <v>164</v>
      </c>
      <c r="I11" t="s">
        <v>169</v>
      </c>
      <c r="J11">
        <v>366546.34663411818</v>
      </c>
      <c r="K11">
        <v>13</v>
      </c>
      <c r="L11" t="s">
        <v>232</v>
      </c>
    </row>
    <row r="12" spans="1:12">
      <c r="A12" t="str">
        <f t="shared" si="0"/>
        <v>ALL매출(전체)201405모니터사이니지</v>
      </c>
      <c r="F12" t="s">
        <v>229</v>
      </c>
      <c r="G12" t="s">
        <v>207</v>
      </c>
      <c r="H12" t="s">
        <v>164</v>
      </c>
      <c r="I12" t="s">
        <v>170</v>
      </c>
      <c r="J12">
        <v>456927.74048689241</v>
      </c>
      <c r="K12">
        <v>13</v>
      </c>
      <c r="L12" t="s">
        <v>232</v>
      </c>
    </row>
    <row r="13" spans="1:12">
      <c r="A13" t="str">
        <f t="shared" si="0"/>
        <v>ALL매출(전체)201406모니터사이니지</v>
      </c>
      <c r="F13" t="s">
        <v>229</v>
      </c>
      <c r="G13" t="s">
        <v>207</v>
      </c>
      <c r="H13" t="s">
        <v>164</v>
      </c>
      <c r="I13" t="s">
        <v>171</v>
      </c>
      <c r="J13">
        <v>695946.00774642755</v>
      </c>
      <c r="K13">
        <v>13</v>
      </c>
      <c r="L13" t="s">
        <v>232</v>
      </c>
    </row>
    <row r="14" spans="1:12">
      <c r="A14" t="str">
        <f t="shared" si="0"/>
        <v>ALL매출(전체)201407모니터사이니지</v>
      </c>
      <c r="F14" t="s">
        <v>229</v>
      </c>
      <c r="G14" t="s">
        <v>207</v>
      </c>
      <c r="H14" t="s">
        <v>164</v>
      </c>
      <c r="I14" t="s">
        <v>172</v>
      </c>
      <c r="J14">
        <v>533790.43490627455</v>
      </c>
      <c r="K14">
        <v>13</v>
      </c>
      <c r="L14" t="s">
        <v>232</v>
      </c>
    </row>
    <row r="15" spans="1:12">
      <c r="A15" t="str">
        <f t="shared" si="0"/>
        <v>ALL매출(전체)201408모니터사이니지</v>
      </c>
      <c r="F15" t="s">
        <v>229</v>
      </c>
      <c r="G15" t="s">
        <v>207</v>
      </c>
      <c r="H15" t="s">
        <v>164</v>
      </c>
      <c r="I15" t="s">
        <v>173</v>
      </c>
      <c r="J15">
        <v>356428.03698035929</v>
      </c>
      <c r="K15">
        <v>13</v>
      </c>
      <c r="L15" t="s">
        <v>232</v>
      </c>
    </row>
    <row r="16" spans="1:12">
      <c r="A16" t="str">
        <f t="shared" si="0"/>
        <v>ALL매출(전체)201409모니터사이니지</v>
      </c>
      <c r="F16" t="s">
        <v>229</v>
      </c>
      <c r="G16" t="s">
        <v>207</v>
      </c>
      <c r="H16" t="s">
        <v>164</v>
      </c>
      <c r="I16" t="s">
        <v>174</v>
      </c>
      <c r="J16">
        <v>1100178.5254567247</v>
      </c>
      <c r="K16">
        <v>13</v>
      </c>
      <c r="L16" t="s">
        <v>232</v>
      </c>
    </row>
    <row r="17" spans="1:12">
      <c r="A17" t="str">
        <f t="shared" si="0"/>
        <v>ALL매출(전체)201410모니터사이니지</v>
      </c>
      <c r="F17" t="s">
        <v>229</v>
      </c>
      <c r="G17" t="s">
        <v>207</v>
      </c>
      <c r="H17" t="s">
        <v>164</v>
      </c>
      <c r="I17" t="s">
        <v>175</v>
      </c>
      <c r="J17">
        <v>1304060.4293438953</v>
      </c>
      <c r="K17">
        <v>13</v>
      </c>
      <c r="L17" t="s">
        <v>232</v>
      </c>
    </row>
    <row r="18" spans="1:12">
      <c r="A18" t="str">
        <f t="shared" si="0"/>
        <v>ALL매출(전체)201411모니터사이니지</v>
      </c>
      <c r="F18" t="s">
        <v>229</v>
      </c>
      <c r="G18" t="s">
        <v>207</v>
      </c>
      <c r="H18" t="s">
        <v>164</v>
      </c>
      <c r="I18" t="s">
        <v>176</v>
      </c>
      <c r="J18">
        <v>1039585.0797989534</v>
      </c>
      <c r="K18">
        <v>13</v>
      </c>
      <c r="L18" t="s">
        <v>232</v>
      </c>
    </row>
    <row r="19" spans="1:12">
      <c r="A19" t="str">
        <f t="shared" si="0"/>
        <v>ALL매출(전체)201412모니터사이니지</v>
      </c>
      <c r="F19" t="s">
        <v>229</v>
      </c>
      <c r="G19" t="s">
        <v>207</v>
      </c>
      <c r="H19" t="s">
        <v>164</v>
      </c>
      <c r="I19" t="s">
        <v>177</v>
      </c>
      <c r="J19">
        <v>377721.06575566134</v>
      </c>
      <c r="K19">
        <v>13</v>
      </c>
      <c r="L19" t="s">
        <v>232</v>
      </c>
    </row>
    <row r="20" spans="1:12">
      <c r="A20" t="str">
        <f t="shared" si="0"/>
        <v>ALL매출(전체)201501모니터사이니지</v>
      </c>
      <c r="F20" t="s">
        <v>229</v>
      </c>
      <c r="G20" t="s">
        <v>207</v>
      </c>
      <c r="H20" t="s">
        <v>164</v>
      </c>
      <c r="I20" t="s">
        <v>178</v>
      </c>
      <c r="J20">
        <v>719443.47034365404</v>
      </c>
      <c r="K20">
        <v>13</v>
      </c>
      <c r="L20" t="s">
        <v>232</v>
      </c>
    </row>
    <row r="21" spans="1:12">
      <c r="A21" t="str">
        <f t="shared" si="0"/>
        <v>ALL매출(전체)201502모니터사이니지</v>
      </c>
      <c r="F21" t="s">
        <v>229</v>
      </c>
      <c r="G21" t="s">
        <v>207</v>
      </c>
      <c r="H21" t="s">
        <v>164</v>
      </c>
      <c r="I21" t="s">
        <v>179</v>
      </c>
      <c r="J21">
        <v>1057502.7683765825</v>
      </c>
      <c r="K21">
        <v>13</v>
      </c>
      <c r="L21" t="s">
        <v>232</v>
      </c>
    </row>
    <row r="22" spans="1:12">
      <c r="A22" t="str">
        <f t="shared" si="0"/>
        <v>ALL매출(전체)201503모니터사이니지</v>
      </c>
      <c r="F22" t="s">
        <v>229</v>
      </c>
      <c r="G22" t="s">
        <v>207</v>
      </c>
      <c r="H22" t="s">
        <v>164</v>
      </c>
      <c r="I22" t="s">
        <v>180</v>
      </c>
      <c r="J22">
        <v>910890.70642398868</v>
      </c>
      <c r="K22">
        <v>13</v>
      </c>
      <c r="L22" t="s">
        <v>232</v>
      </c>
    </row>
    <row r="23" spans="1:12">
      <c r="A23" t="str">
        <f t="shared" si="0"/>
        <v>ALL매출(전체)201504모니터사이니지</v>
      </c>
      <c r="F23" t="s">
        <v>229</v>
      </c>
      <c r="G23" t="s">
        <v>207</v>
      </c>
      <c r="H23" t="s">
        <v>164</v>
      </c>
      <c r="I23" t="s">
        <v>181</v>
      </c>
      <c r="J23">
        <v>692488.92370054731</v>
      </c>
      <c r="K23">
        <v>13</v>
      </c>
      <c r="L23" t="s">
        <v>232</v>
      </c>
    </row>
    <row r="24" spans="1:12">
      <c r="A24" t="str">
        <f t="shared" si="0"/>
        <v>ALL매출(전체)201505모니터사이니지</v>
      </c>
      <c r="F24" t="s">
        <v>229</v>
      </c>
      <c r="G24" t="s">
        <v>207</v>
      </c>
      <c r="H24" t="s">
        <v>164</v>
      </c>
      <c r="I24" t="s">
        <v>182</v>
      </c>
      <c r="J24">
        <v>939148.28427705006</v>
      </c>
      <c r="K24">
        <v>13</v>
      </c>
      <c r="L24" t="s">
        <v>232</v>
      </c>
    </row>
    <row r="25" spans="1:12">
      <c r="A25" t="str">
        <f t="shared" si="0"/>
        <v>ALL매출(전체)201506모니터사이니지</v>
      </c>
      <c r="F25" t="s">
        <v>229</v>
      </c>
      <c r="G25" t="s">
        <v>207</v>
      </c>
      <c r="H25" t="s">
        <v>164</v>
      </c>
      <c r="I25" t="s">
        <v>183</v>
      </c>
      <c r="J25">
        <v>1053533.6926716384</v>
      </c>
      <c r="K25">
        <v>13</v>
      </c>
      <c r="L25" t="s">
        <v>232</v>
      </c>
    </row>
    <row r="26" spans="1:12">
      <c r="A26" t="str">
        <f t="shared" si="0"/>
        <v>ALL매출(전체)201507모니터사이니지</v>
      </c>
      <c r="F26" t="s">
        <v>229</v>
      </c>
      <c r="G26" t="s">
        <v>207</v>
      </c>
      <c r="H26" t="s">
        <v>164</v>
      </c>
      <c r="I26" t="s">
        <v>184</v>
      </c>
      <c r="J26">
        <v>867500.05858730094</v>
      </c>
      <c r="K26">
        <v>13</v>
      </c>
      <c r="L26" t="s">
        <v>232</v>
      </c>
    </row>
    <row r="27" spans="1:12">
      <c r="A27" t="str">
        <f t="shared" si="0"/>
        <v>ALL매출(전체)201508모니터사이니지</v>
      </c>
      <c r="F27" t="s">
        <v>229</v>
      </c>
      <c r="G27" t="s">
        <v>207</v>
      </c>
      <c r="H27" t="s">
        <v>164</v>
      </c>
      <c r="I27" t="s">
        <v>185</v>
      </c>
      <c r="J27">
        <v>1288596.0659010673</v>
      </c>
      <c r="K27">
        <v>13</v>
      </c>
      <c r="L27" t="s">
        <v>232</v>
      </c>
    </row>
    <row r="28" spans="1:12">
      <c r="A28" t="str">
        <f t="shared" si="0"/>
        <v>ALL매출(전체)201509모니터사이니지</v>
      </c>
      <c r="F28" t="s">
        <v>229</v>
      </c>
      <c r="G28" t="s">
        <v>207</v>
      </c>
      <c r="H28" t="s">
        <v>164</v>
      </c>
      <c r="I28" t="s">
        <v>186</v>
      </c>
      <c r="J28">
        <v>840541.45576378272</v>
      </c>
      <c r="K28">
        <v>13</v>
      </c>
      <c r="L28" t="s">
        <v>232</v>
      </c>
    </row>
    <row r="29" spans="1:12">
      <c r="A29" t="str">
        <f t="shared" si="0"/>
        <v>ALL매출(전체)201510모니터사이니지</v>
      </c>
      <c r="F29" t="s">
        <v>229</v>
      </c>
      <c r="G29" t="s">
        <v>207</v>
      </c>
      <c r="H29" t="s">
        <v>164</v>
      </c>
      <c r="I29" t="s">
        <v>0</v>
      </c>
      <c r="J29">
        <v>957373.60893181537</v>
      </c>
      <c r="K29">
        <v>13</v>
      </c>
      <c r="L29" t="s">
        <v>232</v>
      </c>
    </row>
    <row r="30" spans="1:12">
      <c r="A30" t="str">
        <f t="shared" si="0"/>
        <v>ALL매출(전체)201511모니터사이니지</v>
      </c>
      <c r="F30" t="s">
        <v>229</v>
      </c>
      <c r="G30" t="s">
        <v>207</v>
      </c>
      <c r="H30" t="s">
        <v>164</v>
      </c>
      <c r="I30" t="s">
        <v>1455</v>
      </c>
      <c r="J30">
        <v>985860.80759353505</v>
      </c>
      <c r="K30">
        <v>13</v>
      </c>
      <c r="L30" t="s">
        <v>232</v>
      </c>
    </row>
    <row r="31" spans="1:12">
      <c r="A31" t="str">
        <f t="shared" si="0"/>
        <v>ALL매출(전체)201512모니터사이니지</v>
      </c>
      <c r="F31" t="s">
        <v>229</v>
      </c>
      <c r="G31" t="s">
        <v>207</v>
      </c>
      <c r="H31" t="s">
        <v>164</v>
      </c>
      <c r="I31" t="s">
        <v>1456</v>
      </c>
      <c r="J31">
        <v>386211.00763504981</v>
      </c>
      <c r="K31">
        <v>13</v>
      </c>
      <c r="L31" t="s">
        <v>232</v>
      </c>
    </row>
    <row r="32" spans="1:12">
      <c r="A32" t="str">
        <f t="shared" si="0"/>
        <v>ALL매출(프로젝트)201312모니터사이니지</v>
      </c>
      <c r="F32" t="s">
        <v>229</v>
      </c>
      <c r="G32" t="s">
        <v>207</v>
      </c>
      <c r="H32" t="s">
        <v>165</v>
      </c>
      <c r="I32" t="s">
        <v>233</v>
      </c>
      <c r="J32">
        <v>39163.242794663638</v>
      </c>
      <c r="K32">
        <v>13</v>
      </c>
      <c r="L32" t="s">
        <v>232</v>
      </c>
    </row>
    <row r="33" spans="1:12">
      <c r="A33" t="str">
        <f t="shared" si="0"/>
        <v>ALL매출(프로젝트)201401모니터사이니지</v>
      </c>
      <c r="F33" t="s">
        <v>229</v>
      </c>
      <c r="G33" t="s">
        <v>207</v>
      </c>
      <c r="H33" t="s">
        <v>165</v>
      </c>
      <c r="I33" t="s">
        <v>166</v>
      </c>
      <c r="J33">
        <v>72655.03</v>
      </c>
      <c r="K33">
        <v>13</v>
      </c>
      <c r="L33" t="s">
        <v>232</v>
      </c>
    </row>
    <row r="34" spans="1:12">
      <c r="A34" t="str">
        <f t="shared" si="0"/>
        <v>ALL매출(프로젝트)201402모니터사이니지</v>
      </c>
      <c r="F34" t="s">
        <v>229</v>
      </c>
      <c r="G34" t="s">
        <v>207</v>
      </c>
      <c r="H34" t="s">
        <v>165</v>
      </c>
      <c r="I34" t="s">
        <v>167</v>
      </c>
      <c r="J34">
        <v>173607.03</v>
      </c>
      <c r="K34">
        <v>13</v>
      </c>
      <c r="L34" t="s">
        <v>232</v>
      </c>
    </row>
    <row r="35" spans="1:12">
      <c r="A35" t="str">
        <f t="shared" si="0"/>
        <v>ALL매출(프로젝트)201403모니터사이니지</v>
      </c>
      <c r="F35" t="s">
        <v>229</v>
      </c>
      <c r="G35" t="s">
        <v>207</v>
      </c>
      <c r="H35" t="s">
        <v>165</v>
      </c>
      <c r="I35" t="s">
        <v>168</v>
      </c>
      <c r="J35">
        <v>158505.74</v>
      </c>
      <c r="K35">
        <v>13</v>
      </c>
      <c r="L35" t="s">
        <v>232</v>
      </c>
    </row>
    <row r="36" spans="1:12">
      <c r="A36" t="str">
        <f t="shared" si="0"/>
        <v>ALL매출(프로젝트)201404모니터사이니지</v>
      </c>
      <c r="F36" t="s">
        <v>229</v>
      </c>
      <c r="G36" t="s">
        <v>207</v>
      </c>
      <c r="H36" t="s">
        <v>165</v>
      </c>
      <c r="I36" t="s">
        <v>169</v>
      </c>
      <c r="J36">
        <v>98399.27</v>
      </c>
      <c r="K36">
        <v>13</v>
      </c>
      <c r="L36" t="s">
        <v>232</v>
      </c>
    </row>
    <row r="37" spans="1:12">
      <c r="A37" t="str">
        <f t="shared" si="0"/>
        <v>ALL매출(프로젝트)201405모니터사이니지</v>
      </c>
      <c r="F37" t="s">
        <v>229</v>
      </c>
      <c r="G37" t="s">
        <v>207</v>
      </c>
      <c r="H37" t="s">
        <v>165</v>
      </c>
      <c r="I37" t="s">
        <v>170</v>
      </c>
      <c r="J37">
        <v>55339.34</v>
      </c>
      <c r="K37">
        <v>13</v>
      </c>
      <c r="L37" t="s">
        <v>232</v>
      </c>
    </row>
    <row r="38" spans="1:12">
      <c r="A38" t="str">
        <f t="shared" si="0"/>
        <v>ALL매출(프로젝트)201406모니터사이니지</v>
      </c>
      <c r="F38" t="s">
        <v>229</v>
      </c>
      <c r="G38" t="s">
        <v>207</v>
      </c>
      <c r="H38" t="s">
        <v>165</v>
      </c>
      <c r="I38" t="s">
        <v>171</v>
      </c>
      <c r="J38">
        <v>265350.63</v>
      </c>
      <c r="K38">
        <v>13</v>
      </c>
      <c r="L38" t="s">
        <v>232</v>
      </c>
    </row>
    <row r="39" spans="1:12">
      <c r="A39" t="str">
        <f t="shared" si="0"/>
        <v>ALL매출(프로젝트)201407모니터사이니지</v>
      </c>
      <c r="F39" t="s">
        <v>229</v>
      </c>
      <c r="G39" t="s">
        <v>207</v>
      </c>
      <c r="H39" t="s">
        <v>165</v>
      </c>
      <c r="I39" t="s">
        <v>172</v>
      </c>
      <c r="J39">
        <v>222541.11</v>
      </c>
      <c r="K39">
        <v>13</v>
      </c>
      <c r="L39" t="s">
        <v>232</v>
      </c>
    </row>
    <row r="40" spans="1:12">
      <c r="A40" t="str">
        <f t="shared" si="0"/>
        <v>ALL매출(프로젝트)201408모니터사이니지</v>
      </c>
      <c r="F40" t="s">
        <v>229</v>
      </c>
      <c r="G40" t="s">
        <v>207</v>
      </c>
      <c r="H40" t="s">
        <v>165</v>
      </c>
      <c r="I40" t="s">
        <v>173</v>
      </c>
      <c r="J40">
        <v>146488.45000000001</v>
      </c>
      <c r="K40">
        <v>13</v>
      </c>
      <c r="L40" t="s">
        <v>232</v>
      </c>
    </row>
    <row r="41" spans="1:12">
      <c r="A41" t="str">
        <f t="shared" si="0"/>
        <v>ALL매출(프로젝트)201409모니터사이니지</v>
      </c>
      <c r="F41" t="s">
        <v>229</v>
      </c>
      <c r="G41" t="s">
        <v>207</v>
      </c>
      <c r="H41" t="s">
        <v>165</v>
      </c>
      <c r="I41" t="s">
        <v>174</v>
      </c>
      <c r="J41">
        <v>648521.09</v>
      </c>
      <c r="K41">
        <v>13</v>
      </c>
      <c r="L41" t="s">
        <v>232</v>
      </c>
    </row>
    <row r="42" spans="1:12">
      <c r="A42" t="str">
        <f t="shared" si="0"/>
        <v>ALL매출(프로젝트)201410모니터사이니지</v>
      </c>
      <c r="F42" t="s">
        <v>229</v>
      </c>
      <c r="G42" t="s">
        <v>207</v>
      </c>
      <c r="H42" t="s">
        <v>165</v>
      </c>
      <c r="I42" t="s">
        <v>175</v>
      </c>
      <c r="J42">
        <v>1152210.93</v>
      </c>
      <c r="K42">
        <v>13</v>
      </c>
      <c r="L42" t="s">
        <v>232</v>
      </c>
    </row>
    <row r="43" spans="1:12">
      <c r="A43" t="str">
        <f t="shared" si="0"/>
        <v>ALL매출(프로젝트)201411모니터사이니지</v>
      </c>
      <c r="F43" t="s">
        <v>229</v>
      </c>
      <c r="G43" t="s">
        <v>207</v>
      </c>
      <c r="H43" t="s">
        <v>165</v>
      </c>
      <c r="I43" t="s">
        <v>176</v>
      </c>
      <c r="J43">
        <v>780211.12</v>
      </c>
      <c r="K43">
        <v>13</v>
      </c>
      <c r="L43" t="s">
        <v>232</v>
      </c>
    </row>
    <row r="44" spans="1:12">
      <c r="A44" t="str">
        <f t="shared" si="0"/>
        <v>ALL매출(프로젝트)201412모니터사이니지</v>
      </c>
      <c r="F44" t="s">
        <v>229</v>
      </c>
      <c r="G44" t="s">
        <v>207</v>
      </c>
      <c r="H44" t="s">
        <v>165</v>
      </c>
      <c r="I44" t="s">
        <v>177</v>
      </c>
      <c r="J44">
        <v>321501.13</v>
      </c>
      <c r="K44">
        <v>13</v>
      </c>
      <c r="L44" t="s">
        <v>232</v>
      </c>
    </row>
    <row r="45" spans="1:12">
      <c r="A45" t="str">
        <f t="shared" si="0"/>
        <v>ALL매출(프로젝트)201501모니터사이니지</v>
      </c>
      <c r="F45" t="s">
        <v>229</v>
      </c>
      <c r="G45" t="s">
        <v>207</v>
      </c>
      <c r="H45" t="s">
        <v>165</v>
      </c>
      <c r="I45" t="s">
        <v>178</v>
      </c>
      <c r="J45">
        <v>481366.06</v>
      </c>
      <c r="K45">
        <v>13</v>
      </c>
      <c r="L45" t="s">
        <v>232</v>
      </c>
    </row>
    <row r="46" spans="1:12">
      <c r="A46" t="str">
        <f t="shared" si="0"/>
        <v>ALL매출(프로젝트)201502모니터사이니지</v>
      </c>
      <c r="F46" t="s">
        <v>229</v>
      </c>
      <c r="G46" t="s">
        <v>207</v>
      </c>
      <c r="H46" t="s">
        <v>165</v>
      </c>
      <c r="I46" t="s">
        <v>179</v>
      </c>
      <c r="J46">
        <v>736069.77</v>
      </c>
      <c r="K46">
        <v>13</v>
      </c>
      <c r="L46" t="s">
        <v>232</v>
      </c>
    </row>
    <row r="47" spans="1:12">
      <c r="A47" t="str">
        <f t="shared" si="0"/>
        <v>ALL매출(프로젝트)201503모니터사이니지</v>
      </c>
      <c r="F47" t="s">
        <v>229</v>
      </c>
      <c r="G47" t="s">
        <v>207</v>
      </c>
      <c r="H47" t="s">
        <v>165</v>
      </c>
      <c r="I47" t="s">
        <v>180</v>
      </c>
      <c r="J47">
        <v>544168.85</v>
      </c>
      <c r="K47">
        <v>13</v>
      </c>
      <c r="L47" t="s">
        <v>232</v>
      </c>
    </row>
    <row r="48" spans="1:12">
      <c r="A48" t="str">
        <f t="shared" si="0"/>
        <v>ALL매출(프로젝트)201504모니터사이니지</v>
      </c>
      <c r="F48" t="s">
        <v>229</v>
      </c>
      <c r="G48" t="s">
        <v>207</v>
      </c>
      <c r="H48" t="s">
        <v>165</v>
      </c>
      <c r="I48" t="s">
        <v>181</v>
      </c>
      <c r="J48">
        <v>284384.31</v>
      </c>
      <c r="K48">
        <v>13</v>
      </c>
      <c r="L48" t="s">
        <v>232</v>
      </c>
    </row>
    <row r="49" spans="1:12">
      <c r="A49" t="str">
        <f t="shared" si="0"/>
        <v>ALL매출(프로젝트)201505모니터사이니지</v>
      </c>
      <c r="F49" t="s">
        <v>229</v>
      </c>
      <c r="G49" t="s">
        <v>207</v>
      </c>
      <c r="H49" t="s">
        <v>165</v>
      </c>
      <c r="I49" t="s">
        <v>182</v>
      </c>
      <c r="J49">
        <v>560428.74</v>
      </c>
      <c r="K49">
        <v>13</v>
      </c>
      <c r="L49" t="s">
        <v>232</v>
      </c>
    </row>
    <row r="50" spans="1:12">
      <c r="A50" t="str">
        <f t="shared" si="0"/>
        <v>ALL매출(프로젝트)201506모니터사이니지</v>
      </c>
      <c r="F50" t="s">
        <v>229</v>
      </c>
      <c r="G50" t="s">
        <v>207</v>
      </c>
      <c r="H50" t="s">
        <v>165</v>
      </c>
      <c r="I50" t="s">
        <v>183</v>
      </c>
      <c r="J50">
        <v>860478.34</v>
      </c>
      <c r="K50">
        <v>13</v>
      </c>
      <c r="L50" t="s">
        <v>232</v>
      </c>
    </row>
    <row r="51" spans="1:12">
      <c r="A51" t="str">
        <f t="shared" si="0"/>
        <v>ALL매출(프로젝트)201507모니터사이니지</v>
      </c>
      <c r="F51" t="s">
        <v>229</v>
      </c>
      <c r="G51" t="s">
        <v>207</v>
      </c>
      <c r="H51" t="s">
        <v>165</v>
      </c>
      <c r="I51" t="s">
        <v>184</v>
      </c>
      <c r="J51">
        <v>696980.7</v>
      </c>
      <c r="K51">
        <v>13</v>
      </c>
      <c r="L51" t="s">
        <v>232</v>
      </c>
    </row>
    <row r="52" spans="1:12">
      <c r="A52" t="str">
        <f t="shared" si="0"/>
        <v>ALL매출(프로젝트)201508모니터사이니지</v>
      </c>
      <c r="F52" t="s">
        <v>229</v>
      </c>
      <c r="G52" t="s">
        <v>207</v>
      </c>
      <c r="H52" t="s">
        <v>165</v>
      </c>
      <c r="I52" t="s">
        <v>185</v>
      </c>
      <c r="J52">
        <v>1062591.1100000001</v>
      </c>
      <c r="K52">
        <v>13</v>
      </c>
      <c r="L52" t="s">
        <v>232</v>
      </c>
    </row>
    <row r="53" spans="1:12">
      <c r="A53" t="str">
        <f t="shared" si="0"/>
        <v>ALL매출(프로젝트)201509모니터사이니지</v>
      </c>
      <c r="F53" t="s">
        <v>229</v>
      </c>
      <c r="G53" t="s">
        <v>207</v>
      </c>
      <c r="H53" t="s">
        <v>165</v>
      </c>
      <c r="I53" t="s">
        <v>186</v>
      </c>
      <c r="J53">
        <v>700941.64</v>
      </c>
      <c r="K53">
        <v>13</v>
      </c>
      <c r="L53" t="s">
        <v>232</v>
      </c>
    </row>
    <row r="54" spans="1:12">
      <c r="A54" t="str">
        <f t="shared" si="0"/>
        <v>ALL매출(프로젝트)201510모니터사이니지</v>
      </c>
      <c r="F54" t="s">
        <v>229</v>
      </c>
      <c r="G54" t="s">
        <v>207</v>
      </c>
      <c r="H54" t="s">
        <v>165</v>
      </c>
      <c r="I54" t="s">
        <v>0</v>
      </c>
      <c r="J54">
        <v>790593.48</v>
      </c>
      <c r="K54">
        <v>13</v>
      </c>
      <c r="L54" t="s">
        <v>232</v>
      </c>
    </row>
    <row r="55" spans="1:12">
      <c r="A55" t="str">
        <f t="shared" si="0"/>
        <v>ALL매출(프로젝트)201511모니터사이니지</v>
      </c>
      <c r="F55" t="s">
        <v>229</v>
      </c>
      <c r="G55" t="s">
        <v>207</v>
      </c>
      <c r="H55" t="s">
        <v>165</v>
      </c>
      <c r="I55" t="s">
        <v>1455</v>
      </c>
      <c r="J55">
        <v>932907.42999999993</v>
      </c>
      <c r="K55">
        <v>13</v>
      </c>
      <c r="L55" t="s">
        <v>232</v>
      </c>
    </row>
    <row r="56" spans="1:12">
      <c r="A56" t="str">
        <f t="shared" si="0"/>
        <v>ALL매출(프로젝트)201512모니터사이니지</v>
      </c>
      <c r="F56" t="s">
        <v>229</v>
      </c>
      <c r="G56" t="s">
        <v>207</v>
      </c>
      <c r="H56" t="s">
        <v>165</v>
      </c>
      <c r="I56" t="s">
        <v>1456</v>
      </c>
      <c r="J56">
        <v>340997</v>
      </c>
      <c r="K56">
        <v>13</v>
      </c>
      <c r="L56" t="s">
        <v>232</v>
      </c>
    </row>
    <row r="57" spans="1:12">
      <c r="A57" t="str">
        <f t="shared" si="0"/>
        <v>ALL수주잔고201312모니터사이니지</v>
      </c>
      <c r="F57" t="s">
        <v>229</v>
      </c>
      <c r="G57" t="s">
        <v>207</v>
      </c>
      <c r="H57" t="s">
        <v>163</v>
      </c>
      <c r="I57" t="s">
        <v>233</v>
      </c>
      <c r="J57">
        <v>11478.687610269058</v>
      </c>
      <c r="K57">
        <v>13</v>
      </c>
      <c r="L57" t="s">
        <v>232</v>
      </c>
    </row>
    <row r="58" spans="1:12">
      <c r="A58" t="str">
        <f t="shared" si="0"/>
        <v>ALL수주잔고201401모니터사이니지</v>
      </c>
      <c r="F58" t="s">
        <v>229</v>
      </c>
      <c r="G58" t="s">
        <v>207</v>
      </c>
      <c r="H58" t="s">
        <v>163</v>
      </c>
      <c r="I58" t="s">
        <v>166</v>
      </c>
      <c r="J58">
        <v>599757.67788030044</v>
      </c>
      <c r="K58">
        <v>13</v>
      </c>
      <c r="L58" t="s">
        <v>232</v>
      </c>
    </row>
    <row r="59" spans="1:12">
      <c r="A59" t="str">
        <f t="shared" si="0"/>
        <v>ALL수주잔고201402모니터사이니지</v>
      </c>
      <c r="F59" t="s">
        <v>229</v>
      </c>
      <c r="G59" t="s">
        <v>207</v>
      </c>
      <c r="H59" t="s">
        <v>163</v>
      </c>
      <c r="I59" t="s">
        <v>167</v>
      </c>
      <c r="J59">
        <v>459483.18249388994</v>
      </c>
      <c r="K59">
        <v>13</v>
      </c>
      <c r="L59" t="s">
        <v>232</v>
      </c>
    </row>
    <row r="60" spans="1:12">
      <c r="A60" t="str">
        <f t="shared" si="0"/>
        <v>ALL수주잔고201403모니터사이니지</v>
      </c>
      <c r="F60" t="s">
        <v>229</v>
      </c>
      <c r="G60" t="s">
        <v>207</v>
      </c>
      <c r="H60" t="s">
        <v>163</v>
      </c>
      <c r="I60" t="s">
        <v>168</v>
      </c>
      <c r="J60">
        <v>666119.36319952353</v>
      </c>
      <c r="K60">
        <v>13</v>
      </c>
      <c r="L60" t="s">
        <v>232</v>
      </c>
    </row>
    <row r="61" spans="1:12">
      <c r="A61" t="str">
        <f t="shared" si="0"/>
        <v>ALL수주잔고201404모니터사이니지</v>
      </c>
      <c r="F61" t="s">
        <v>229</v>
      </c>
      <c r="G61" t="s">
        <v>207</v>
      </c>
      <c r="H61" t="s">
        <v>163</v>
      </c>
      <c r="I61" t="s">
        <v>169</v>
      </c>
      <c r="J61">
        <v>642746.25537050562</v>
      </c>
      <c r="K61">
        <v>13</v>
      </c>
      <c r="L61" t="s">
        <v>232</v>
      </c>
    </row>
    <row r="62" spans="1:12">
      <c r="A62" t="str">
        <f t="shared" si="0"/>
        <v>ALL수주잔고201405모니터사이니지</v>
      </c>
      <c r="F62" t="s">
        <v>229</v>
      </c>
      <c r="G62" t="s">
        <v>207</v>
      </c>
      <c r="H62" t="s">
        <v>163</v>
      </c>
      <c r="I62" t="s">
        <v>170</v>
      </c>
      <c r="J62">
        <v>727541.45560091652</v>
      </c>
      <c r="K62">
        <v>13</v>
      </c>
      <c r="L62" t="s">
        <v>232</v>
      </c>
    </row>
    <row r="63" spans="1:12">
      <c r="A63" t="str">
        <f t="shared" si="0"/>
        <v>ALL수주잔고201406모니터사이니지</v>
      </c>
      <c r="F63" t="s">
        <v>229</v>
      </c>
      <c r="G63" t="s">
        <v>207</v>
      </c>
      <c r="H63" t="s">
        <v>163</v>
      </c>
      <c r="I63" t="s">
        <v>171</v>
      </c>
      <c r="J63">
        <v>2616399.3984734588</v>
      </c>
      <c r="K63">
        <v>13</v>
      </c>
      <c r="L63" t="s">
        <v>232</v>
      </c>
    </row>
    <row r="64" spans="1:12">
      <c r="A64" t="str">
        <f t="shared" si="0"/>
        <v>ALL수주잔고201407모니터사이니지</v>
      </c>
      <c r="F64" t="s">
        <v>229</v>
      </c>
      <c r="G64" t="s">
        <v>207</v>
      </c>
      <c r="H64" t="s">
        <v>163</v>
      </c>
      <c r="I64" t="s">
        <v>172</v>
      </c>
      <c r="J64">
        <v>3700366.5992173259</v>
      </c>
      <c r="K64">
        <v>13</v>
      </c>
      <c r="L64" t="s">
        <v>232</v>
      </c>
    </row>
    <row r="65" spans="1:12">
      <c r="A65" t="str">
        <f t="shared" si="0"/>
        <v>ALL수주잔고201408모니터사이니지</v>
      </c>
      <c r="F65" t="s">
        <v>229</v>
      </c>
      <c r="G65" t="s">
        <v>207</v>
      </c>
      <c r="H65" t="s">
        <v>163</v>
      </c>
      <c r="I65" t="s">
        <v>173</v>
      </c>
      <c r="J65">
        <v>3929394.678561918</v>
      </c>
      <c r="K65">
        <v>13</v>
      </c>
      <c r="L65" t="s">
        <v>232</v>
      </c>
    </row>
    <row r="66" spans="1:12">
      <c r="A66" t="str">
        <f t="shared" si="0"/>
        <v>ALL수주잔고201409모니터사이니지</v>
      </c>
      <c r="F66" t="s">
        <v>229</v>
      </c>
      <c r="G66" t="s">
        <v>207</v>
      </c>
      <c r="H66" t="s">
        <v>163</v>
      </c>
      <c r="I66" t="s">
        <v>174</v>
      </c>
      <c r="J66">
        <v>4127545.4590306855</v>
      </c>
      <c r="K66">
        <v>13</v>
      </c>
      <c r="L66" t="s">
        <v>232</v>
      </c>
    </row>
    <row r="67" spans="1:12">
      <c r="A67" t="str">
        <f t="shared" si="0"/>
        <v>ALL수주잔고201410모니터사이니지</v>
      </c>
      <c r="F67" t="s">
        <v>229</v>
      </c>
      <c r="G67" t="s">
        <v>207</v>
      </c>
      <c r="H67" t="s">
        <v>163</v>
      </c>
      <c r="I67" t="s">
        <v>175</v>
      </c>
      <c r="J67">
        <v>4766122.8567338176</v>
      </c>
      <c r="K67">
        <v>13</v>
      </c>
      <c r="L67" t="s">
        <v>232</v>
      </c>
    </row>
    <row r="68" spans="1:12">
      <c r="A68" t="str">
        <f t="shared" si="0"/>
        <v>ALL수주잔고201411모니터사이니지</v>
      </c>
      <c r="F68" t="s">
        <v>229</v>
      </c>
      <c r="G68" t="s">
        <v>207</v>
      </c>
      <c r="H68" t="s">
        <v>163</v>
      </c>
      <c r="I68" t="s">
        <v>176</v>
      </c>
      <c r="J68">
        <v>4591580.0133211622</v>
      </c>
      <c r="K68">
        <v>13</v>
      </c>
      <c r="L68" t="s">
        <v>232</v>
      </c>
    </row>
    <row r="69" spans="1:12">
      <c r="A69" t="str">
        <f t="shared" si="0"/>
        <v>ALL수주잔고201412모니터사이니지</v>
      </c>
      <c r="F69" t="s">
        <v>229</v>
      </c>
      <c r="G69" t="s">
        <v>207</v>
      </c>
      <c r="H69" t="s">
        <v>163</v>
      </c>
      <c r="I69" t="s">
        <v>177</v>
      </c>
      <c r="J69">
        <v>4849754.5576038472</v>
      </c>
      <c r="K69">
        <v>13</v>
      </c>
      <c r="L69" t="s">
        <v>232</v>
      </c>
    </row>
    <row r="70" spans="1:12">
      <c r="A70" t="str">
        <f t="shared" si="0"/>
        <v>ALL수주잔고201501모니터사이니지</v>
      </c>
      <c r="F70" t="s">
        <v>229</v>
      </c>
      <c r="G70" t="s">
        <v>207</v>
      </c>
      <c r="H70" t="s">
        <v>163</v>
      </c>
      <c r="I70" t="s">
        <v>178</v>
      </c>
      <c r="J70">
        <v>7317985.0741704926</v>
      </c>
      <c r="K70">
        <v>13</v>
      </c>
      <c r="L70" t="s">
        <v>232</v>
      </c>
    </row>
    <row r="71" spans="1:12">
      <c r="A71" t="str">
        <f t="shared" ref="A71:A134" si="1">G71&amp;H71&amp;I71&amp;F71</f>
        <v>ALL수주잔고201502모니터사이니지</v>
      </c>
      <c r="F71" t="s">
        <v>229</v>
      </c>
      <c r="G71" t="s">
        <v>207</v>
      </c>
      <c r="H71" t="s">
        <v>163</v>
      </c>
      <c r="I71" t="s">
        <v>179</v>
      </c>
      <c r="J71">
        <v>7866327.160761402</v>
      </c>
      <c r="K71">
        <v>13</v>
      </c>
      <c r="L71" t="s">
        <v>232</v>
      </c>
    </row>
    <row r="72" spans="1:12">
      <c r="A72" t="str">
        <f t="shared" si="1"/>
        <v>ALL수주잔고201503모니터사이니지</v>
      </c>
      <c r="F72" t="s">
        <v>229</v>
      </c>
      <c r="G72" t="s">
        <v>207</v>
      </c>
      <c r="H72" t="s">
        <v>163</v>
      </c>
      <c r="I72" t="s">
        <v>180</v>
      </c>
      <c r="J72">
        <v>7982097.3884539306</v>
      </c>
      <c r="K72">
        <v>13</v>
      </c>
      <c r="L72" t="s">
        <v>232</v>
      </c>
    </row>
    <row r="73" spans="1:12">
      <c r="A73" t="str">
        <f t="shared" si="1"/>
        <v>ALL수주잔고201504모니터사이니지</v>
      </c>
      <c r="F73" t="s">
        <v>229</v>
      </c>
      <c r="G73" t="s">
        <v>207</v>
      </c>
      <c r="H73" t="s">
        <v>163</v>
      </c>
      <c r="I73" t="s">
        <v>181</v>
      </c>
      <c r="J73">
        <v>8523987.6036920547</v>
      </c>
      <c r="K73">
        <v>13</v>
      </c>
      <c r="L73" t="s">
        <v>232</v>
      </c>
    </row>
    <row r="74" spans="1:12">
      <c r="A74" t="str">
        <f t="shared" si="1"/>
        <v>ALL수주잔고201505모니터사이니지</v>
      </c>
      <c r="F74" t="s">
        <v>229</v>
      </c>
      <c r="G74" t="s">
        <v>207</v>
      </c>
      <c r="H74" t="s">
        <v>163</v>
      </c>
      <c r="I74" t="s">
        <v>182</v>
      </c>
      <c r="J74">
        <v>8879454.0659473389</v>
      </c>
      <c r="K74">
        <v>13</v>
      </c>
      <c r="L74" t="s">
        <v>232</v>
      </c>
    </row>
    <row r="75" spans="1:12">
      <c r="A75" t="str">
        <f t="shared" si="1"/>
        <v>ALL수주잔고201506모니터사이니지</v>
      </c>
      <c r="F75" t="s">
        <v>229</v>
      </c>
      <c r="G75" t="s">
        <v>207</v>
      </c>
      <c r="H75" t="s">
        <v>163</v>
      </c>
      <c r="I75" t="s">
        <v>183</v>
      </c>
      <c r="J75">
        <v>8431869.3575604502</v>
      </c>
      <c r="K75">
        <v>13</v>
      </c>
      <c r="L75" t="s">
        <v>232</v>
      </c>
    </row>
    <row r="76" spans="1:12">
      <c r="A76" t="str">
        <f t="shared" si="1"/>
        <v>ALL수주잔고201507모니터사이니지</v>
      </c>
      <c r="F76" t="s">
        <v>229</v>
      </c>
      <c r="G76" t="s">
        <v>207</v>
      </c>
      <c r="H76" t="s">
        <v>163</v>
      </c>
      <c r="I76" t="s">
        <v>184</v>
      </c>
      <c r="J76">
        <v>8906064.1804556791</v>
      </c>
      <c r="K76">
        <v>13</v>
      </c>
      <c r="L76" t="s">
        <v>232</v>
      </c>
    </row>
    <row r="77" spans="1:12">
      <c r="A77" t="str">
        <f t="shared" si="1"/>
        <v>ALL수주잔고201508모니터사이니지</v>
      </c>
      <c r="F77" t="s">
        <v>229</v>
      </c>
      <c r="G77" t="s">
        <v>207</v>
      </c>
      <c r="H77" t="s">
        <v>163</v>
      </c>
      <c r="I77" t="s">
        <v>185</v>
      </c>
      <c r="J77">
        <v>8552759.9644024521</v>
      </c>
      <c r="K77">
        <v>13</v>
      </c>
      <c r="L77" t="s">
        <v>232</v>
      </c>
    </row>
    <row r="78" spans="1:12">
      <c r="A78" t="str">
        <f t="shared" si="1"/>
        <v>ALL수주잔고201509모니터사이니지</v>
      </c>
      <c r="F78" t="s">
        <v>229</v>
      </c>
      <c r="G78" t="s">
        <v>207</v>
      </c>
      <c r="H78" t="s">
        <v>163</v>
      </c>
      <c r="I78" t="s">
        <v>186</v>
      </c>
      <c r="J78">
        <v>8438320.5033889394</v>
      </c>
      <c r="K78">
        <v>13</v>
      </c>
      <c r="L78" t="s">
        <v>232</v>
      </c>
    </row>
    <row r="79" spans="1:12">
      <c r="A79" t="str">
        <f t="shared" si="1"/>
        <v>ALL수주잔고201510모니터사이니지</v>
      </c>
      <c r="F79" t="s">
        <v>229</v>
      </c>
      <c r="G79" t="s">
        <v>207</v>
      </c>
      <c r="H79" t="s">
        <v>163</v>
      </c>
      <c r="I79" t="s">
        <v>0</v>
      </c>
      <c r="J79">
        <v>9243903.1695024557</v>
      </c>
      <c r="K79">
        <v>13</v>
      </c>
      <c r="L79" t="s">
        <v>232</v>
      </c>
    </row>
    <row r="80" spans="1:12">
      <c r="A80" t="str">
        <f t="shared" si="1"/>
        <v>ALL수주잔고201511모니터사이니지</v>
      </c>
      <c r="F80" t="s">
        <v>229</v>
      </c>
      <c r="G80" t="s">
        <v>207</v>
      </c>
      <c r="H80" t="s">
        <v>163</v>
      </c>
      <c r="I80" t="s">
        <v>1455</v>
      </c>
      <c r="J80">
        <v>10817827.386545457</v>
      </c>
      <c r="K80">
        <v>13</v>
      </c>
      <c r="L80" t="s">
        <v>232</v>
      </c>
    </row>
    <row r="81" spans="1:12">
      <c r="A81" t="str">
        <f t="shared" si="1"/>
        <v>ALL수주잔고201512모니터사이니지</v>
      </c>
      <c r="F81" t="s">
        <v>229</v>
      </c>
      <c r="G81" t="s">
        <v>207</v>
      </c>
      <c r="H81" t="s">
        <v>163</v>
      </c>
      <c r="I81" t="s">
        <v>1456</v>
      </c>
      <c r="J81">
        <v>11040179.365459166</v>
      </c>
      <c r="K81">
        <v>13</v>
      </c>
      <c r="L81" t="s">
        <v>232</v>
      </c>
    </row>
    <row r="82" spans="1:12">
      <c r="A82" t="str">
        <f t="shared" si="1"/>
        <v>호주매출(전체)201312모니터사이니지</v>
      </c>
      <c r="F82" t="s">
        <v>229</v>
      </c>
      <c r="G82" t="s">
        <v>725</v>
      </c>
      <c r="H82" t="s">
        <v>164</v>
      </c>
      <c r="I82" t="s">
        <v>233</v>
      </c>
      <c r="J82">
        <v>87242.200135235646</v>
      </c>
      <c r="K82">
        <v>13</v>
      </c>
      <c r="L82" t="s">
        <v>232</v>
      </c>
    </row>
    <row r="83" spans="1:12">
      <c r="A83" t="str">
        <f t="shared" si="1"/>
        <v>호주매출(전체)201401모니터사이니지</v>
      </c>
      <c r="F83" t="s">
        <v>229</v>
      </c>
      <c r="G83" t="s">
        <v>725</v>
      </c>
      <c r="H83" t="s">
        <v>164</v>
      </c>
      <c r="I83" t="s">
        <v>166</v>
      </c>
      <c r="J83">
        <v>238520.13382036032</v>
      </c>
      <c r="K83">
        <v>13</v>
      </c>
      <c r="L83" t="s">
        <v>232</v>
      </c>
    </row>
    <row r="84" spans="1:12">
      <c r="A84" t="str">
        <f t="shared" si="1"/>
        <v>호주매출(전체)201402모니터사이니지</v>
      </c>
      <c r="F84" t="s">
        <v>229</v>
      </c>
      <c r="G84" t="s">
        <v>725</v>
      </c>
      <c r="H84" t="s">
        <v>164</v>
      </c>
      <c r="I84" t="s">
        <v>167</v>
      </c>
      <c r="J84">
        <v>320837.99379260337</v>
      </c>
      <c r="K84">
        <v>13</v>
      </c>
      <c r="L84" t="s">
        <v>232</v>
      </c>
    </row>
    <row r="85" spans="1:12">
      <c r="A85" t="str">
        <f t="shared" si="1"/>
        <v>호주매출(전체)201403모니터사이니지</v>
      </c>
      <c r="F85" t="s">
        <v>229</v>
      </c>
      <c r="G85" t="s">
        <v>725</v>
      </c>
      <c r="H85" t="s">
        <v>164</v>
      </c>
      <c r="I85" t="s">
        <v>168</v>
      </c>
      <c r="J85">
        <v>373397.3684233565</v>
      </c>
      <c r="K85">
        <v>13</v>
      </c>
      <c r="L85" t="s">
        <v>232</v>
      </c>
    </row>
    <row r="86" spans="1:12">
      <c r="A86" t="str">
        <f t="shared" si="1"/>
        <v>호주매출(전체)201404모니터사이니지</v>
      </c>
      <c r="F86" t="s">
        <v>229</v>
      </c>
      <c r="G86" t="s">
        <v>725</v>
      </c>
      <c r="H86" t="s">
        <v>164</v>
      </c>
      <c r="I86" t="s">
        <v>169</v>
      </c>
      <c r="J86">
        <v>366546.34663411818</v>
      </c>
      <c r="K86">
        <v>13</v>
      </c>
      <c r="L86" t="s">
        <v>232</v>
      </c>
    </row>
    <row r="87" spans="1:12">
      <c r="A87" t="str">
        <f t="shared" si="1"/>
        <v>호주매출(전체)201405모니터사이니지</v>
      </c>
      <c r="F87" t="s">
        <v>229</v>
      </c>
      <c r="G87" t="s">
        <v>725</v>
      </c>
      <c r="H87" t="s">
        <v>164</v>
      </c>
      <c r="I87" t="s">
        <v>170</v>
      </c>
      <c r="J87">
        <v>456927.74048689241</v>
      </c>
      <c r="K87">
        <v>13</v>
      </c>
      <c r="L87" t="s">
        <v>232</v>
      </c>
    </row>
    <row r="88" spans="1:12">
      <c r="A88" t="str">
        <f t="shared" si="1"/>
        <v>호주매출(전체)201406모니터사이니지</v>
      </c>
      <c r="F88" t="s">
        <v>229</v>
      </c>
      <c r="G88" t="s">
        <v>725</v>
      </c>
      <c r="H88" t="s">
        <v>164</v>
      </c>
      <c r="I88" t="s">
        <v>171</v>
      </c>
      <c r="J88">
        <v>695946.00774642755</v>
      </c>
      <c r="K88">
        <v>13</v>
      </c>
      <c r="L88" t="s">
        <v>232</v>
      </c>
    </row>
    <row r="89" spans="1:12">
      <c r="A89" t="str">
        <f t="shared" si="1"/>
        <v>호주매출(전체)201407모니터사이니지</v>
      </c>
      <c r="F89" t="s">
        <v>229</v>
      </c>
      <c r="G89" t="s">
        <v>725</v>
      </c>
      <c r="H89" t="s">
        <v>164</v>
      </c>
      <c r="I89" t="s">
        <v>172</v>
      </c>
      <c r="J89">
        <v>533790.43490627455</v>
      </c>
      <c r="K89">
        <v>13</v>
      </c>
      <c r="L89" t="s">
        <v>232</v>
      </c>
    </row>
    <row r="90" spans="1:12">
      <c r="A90" t="str">
        <f t="shared" si="1"/>
        <v>호주매출(전체)201408모니터사이니지</v>
      </c>
      <c r="F90" t="s">
        <v>229</v>
      </c>
      <c r="G90" t="s">
        <v>725</v>
      </c>
      <c r="H90" t="s">
        <v>164</v>
      </c>
      <c r="I90" t="s">
        <v>173</v>
      </c>
      <c r="J90">
        <v>356428.03698035929</v>
      </c>
      <c r="K90">
        <v>13</v>
      </c>
      <c r="L90" t="s">
        <v>232</v>
      </c>
    </row>
    <row r="91" spans="1:12">
      <c r="A91" t="str">
        <f t="shared" si="1"/>
        <v>호주매출(전체)201409모니터사이니지</v>
      </c>
      <c r="F91" t="s">
        <v>229</v>
      </c>
      <c r="G91" t="s">
        <v>725</v>
      </c>
      <c r="H91" t="s">
        <v>164</v>
      </c>
      <c r="I91" t="s">
        <v>174</v>
      </c>
      <c r="J91">
        <v>1100178.5254567247</v>
      </c>
      <c r="K91">
        <v>13</v>
      </c>
      <c r="L91" t="s">
        <v>232</v>
      </c>
    </row>
    <row r="92" spans="1:12">
      <c r="A92" t="str">
        <f t="shared" si="1"/>
        <v>호주매출(전체)201410모니터사이니지</v>
      </c>
      <c r="F92" t="s">
        <v>229</v>
      </c>
      <c r="G92" t="s">
        <v>725</v>
      </c>
      <c r="H92" t="s">
        <v>164</v>
      </c>
      <c r="I92" t="s">
        <v>175</v>
      </c>
      <c r="J92">
        <v>1304060.4293438953</v>
      </c>
      <c r="K92">
        <v>13</v>
      </c>
      <c r="L92" t="s">
        <v>232</v>
      </c>
    </row>
    <row r="93" spans="1:12">
      <c r="A93" t="str">
        <f t="shared" si="1"/>
        <v>호주매출(전체)201411모니터사이니지</v>
      </c>
      <c r="F93" t="s">
        <v>229</v>
      </c>
      <c r="G93" t="s">
        <v>725</v>
      </c>
      <c r="H93" t="s">
        <v>164</v>
      </c>
      <c r="I93" t="s">
        <v>176</v>
      </c>
      <c r="J93">
        <v>1039585.0797989534</v>
      </c>
      <c r="K93">
        <v>13</v>
      </c>
      <c r="L93" t="s">
        <v>232</v>
      </c>
    </row>
    <row r="94" spans="1:12">
      <c r="A94" t="str">
        <f t="shared" si="1"/>
        <v>호주매출(전체)201412모니터사이니지</v>
      </c>
      <c r="F94" t="s">
        <v>229</v>
      </c>
      <c r="G94" t="s">
        <v>725</v>
      </c>
      <c r="H94" t="s">
        <v>164</v>
      </c>
      <c r="I94" t="s">
        <v>177</v>
      </c>
      <c r="J94">
        <v>377721.06575566134</v>
      </c>
      <c r="K94">
        <v>13</v>
      </c>
      <c r="L94" t="s">
        <v>232</v>
      </c>
    </row>
    <row r="95" spans="1:12">
      <c r="A95" t="str">
        <f t="shared" si="1"/>
        <v>호주매출(전체)201501모니터사이니지</v>
      </c>
      <c r="F95" t="s">
        <v>229</v>
      </c>
      <c r="G95" t="s">
        <v>725</v>
      </c>
      <c r="H95" t="s">
        <v>164</v>
      </c>
      <c r="I95" t="s">
        <v>178</v>
      </c>
      <c r="J95">
        <v>719443.47034365404</v>
      </c>
      <c r="K95">
        <v>13</v>
      </c>
      <c r="L95" t="s">
        <v>232</v>
      </c>
    </row>
    <row r="96" spans="1:12">
      <c r="A96" t="str">
        <f t="shared" si="1"/>
        <v>호주매출(전체)201502모니터사이니지</v>
      </c>
      <c r="F96" t="s">
        <v>229</v>
      </c>
      <c r="G96" t="s">
        <v>725</v>
      </c>
      <c r="H96" t="s">
        <v>164</v>
      </c>
      <c r="I96" t="s">
        <v>179</v>
      </c>
      <c r="J96">
        <v>1057502.7683765825</v>
      </c>
      <c r="K96">
        <v>13</v>
      </c>
      <c r="L96" t="s">
        <v>232</v>
      </c>
    </row>
    <row r="97" spans="1:12">
      <c r="A97" t="str">
        <f t="shared" si="1"/>
        <v>호주매출(전체)201503모니터사이니지</v>
      </c>
      <c r="F97" t="s">
        <v>229</v>
      </c>
      <c r="G97" t="s">
        <v>725</v>
      </c>
      <c r="H97" t="s">
        <v>164</v>
      </c>
      <c r="I97" t="s">
        <v>180</v>
      </c>
      <c r="J97">
        <v>910890.70642398868</v>
      </c>
      <c r="K97">
        <v>13</v>
      </c>
      <c r="L97" t="s">
        <v>232</v>
      </c>
    </row>
    <row r="98" spans="1:12">
      <c r="A98" t="str">
        <f t="shared" si="1"/>
        <v>호주매출(전체)201504모니터사이니지</v>
      </c>
      <c r="F98" t="s">
        <v>229</v>
      </c>
      <c r="G98" t="s">
        <v>725</v>
      </c>
      <c r="H98" t="s">
        <v>164</v>
      </c>
      <c r="I98" t="s">
        <v>181</v>
      </c>
      <c r="J98">
        <v>692488.92370054731</v>
      </c>
      <c r="K98">
        <v>13</v>
      </c>
      <c r="L98" t="s">
        <v>232</v>
      </c>
    </row>
    <row r="99" spans="1:12">
      <c r="A99" t="str">
        <f t="shared" si="1"/>
        <v>호주매출(전체)201505모니터사이니지</v>
      </c>
      <c r="F99" t="s">
        <v>229</v>
      </c>
      <c r="G99" t="s">
        <v>725</v>
      </c>
      <c r="H99" t="s">
        <v>164</v>
      </c>
      <c r="I99" t="s">
        <v>182</v>
      </c>
      <c r="J99">
        <v>939148.28427705006</v>
      </c>
      <c r="K99">
        <v>13</v>
      </c>
      <c r="L99" t="s">
        <v>232</v>
      </c>
    </row>
    <row r="100" spans="1:12">
      <c r="A100" t="str">
        <f t="shared" si="1"/>
        <v>호주매출(전체)201506모니터사이니지</v>
      </c>
      <c r="F100" t="s">
        <v>229</v>
      </c>
      <c r="G100" t="s">
        <v>725</v>
      </c>
      <c r="H100" t="s">
        <v>164</v>
      </c>
      <c r="I100" t="s">
        <v>183</v>
      </c>
      <c r="J100">
        <v>1053533.6926716384</v>
      </c>
      <c r="K100">
        <v>13</v>
      </c>
      <c r="L100" t="s">
        <v>232</v>
      </c>
    </row>
    <row r="101" spans="1:12">
      <c r="A101" t="str">
        <f t="shared" si="1"/>
        <v>호주매출(전체)201507모니터사이니지</v>
      </c>
      <c r="F101" t="s">
        <v>229</v>
      </c>
      <c r="G101" t="s">
        <v>725</v>
      </c>
      <c r="H101" t="s">
        <v>164</v>
      </c>
      <c r="I101" t="s">
        <v>184</v>
      </c>
      <c r="J101">
        <v>867500.05858730094</v>
      </c>
      <c r="K101">
        <v>13</v>
      </c>
      <c r="L101" t="s">
        <v>232</v>
      </c>
    </row>
    <row r="102" spans="1:12">
      <c r="A102" t="str">
        <f t="shared" si="1"/>
        <v>호주매출(전체)201508모니터사이니지</v>
      </c>
      <c r="F102" t="s">
        <v>229</v>
      </c>
      <c r="G102" t="s">
        <v>725</v>
      </c>
      <c r="H102" t="s">
        <v>164</v>
      </c>
      <c r="I102" t="s">
        <v>185</v>
      </c>
      <c r="J102">
        <v>1288596.0659010673</v>
      </c>
      <c r="K102">
        <v>13</v>
      </c>
      <c r="L102" t="s">
        <v>232</v>
      </c>
    </row>
    <row r="103" spans="1:12">
      <c r="A103" t="str">
        <f t="shared" si="1"/>
        <v>호주매출(전체)201509모니터사이니지</v>
      </c>
      <c r="F103" t="s">
        <v>229</v>
      </c>
      <c r="G103" t="s">
        <v>725</v>
      </c>
      <c r="H103" t="s">
        <v>164</v>
      </c>
      <c r="I103" t="s">
        <v>186</v>
      </c>
      <c r="J103">
        <v>840541.45576378272</v>
      </c>
      <c r="K103">
        <v>13</v>
      </c>
      <c r="L103" t="s">
        <v>232</v>
      </c>
    </row>
    <row r="104" spans="1:12">
      <c r="A104" t="str">
        <f t="shared" si="1"/>
        <v>호주매출(전체)201510모니터사이니지</v>
      </c>
      <c r="F104" t="s">
        <v>229</v>
      </c>
      <c r="G104" t="s">
        <v>725</v>
      </c>
      <c r="H104" t="s">
        <v>164</v>
      </c>
      <c r="I104" t="s">
        <v>0</v>
      </c>
      <c r="J104">
        <v>957373.60893181537</v>
      </c>
      <c r="K104">
        <v>13</v>
      </c>
      <c r="L104" t="s">
        <v>232</v>
      </c>
    </row>
    <row r="105" spans="1:12">
      <c r="A105" t="str">
        <f t="shared" si="1"/>
        <v>호주매출(전체)201511모니터사이니지</v>
      </c>
      <c r="F105" t="s">
        <v>229</v>
      </c>
      <c r="G105" t="s">
        <v>725</v>
      </c>
      <c r="H105" t="s">
        <v>164</v>
      </c>
      <c r="I105" t="s">
        <v>1455</v>
      </c>
      <c r="J105">
        <v>985860.80759353505</v>
      </c>
      <c r="K105">
        <v>13</v>
      </c>
      <c r="L105" t="s">
        <v>232</v>
      </c>
    </row>
    <row r="106" spans="1:12">
      <c r="A106" t="str">
        <f t="shared" si="1"/>
        <v>호주매출(전체)201512모니터사이니지</v>
      </c>
      <c r="F106" t="s">
        <v>229</v>
      </c>
      <c r="G106" t="s">
        <v>725</v>
      </c>
      <c r="H106" t="s">
        <v>164</v>
      </c>
      <c r="I106" t="s">
        <v>1456</v>
      </c>
      <c r="J106">
        <v>386211.00763504981</v>
      </c>
      <c r="K106">
        <v>13</v>
      </c>
      <c r="L106" t="s">
        <v>232</v>
      </c>
    </row>
    <row r="107" spans="1:12">
      <c r="A107" t="str">
        <f t="shared" si="1"/>
        <v>호주매출(프로젝트)201312모니터사이니지</v>
      </c>
      <c r="F107" t="s">
        <v>229</v>
      </c>
      <c r="G107" t="s">
        <v>725</v>
      </c>
      <c r="H107" t="s">
        <v>165</v>
      </c>
      <c r="I107" t="s">
        <v>233</v>
      </c>
      <c r="J107">
        <v>39163.242794663638</v>
      </c>
      <c r="K107">
        <v>13</v>
      </c>
      <c r="L107" t="s">
        <v>232</v>
      </c>
    </row>
    <row r="108" spans="1:12">
      <c r="A108" t="str">
        <f t="shared" si="1"/>
        <v>호주매출(프로젝트)201401모니터사이니지</v>
      </c>
      <c r="F108" t="s">
        <v>229</v>
      </c>
      <c r="G108" t="s">
        <v>725</v>
      </c>
      <c r="H108" t="s">
        <v>165</v>
      </c>
      <c r="I108" t="s">
        <v>166</v>
      </c>
      <c r="J108">
        <v>72655.03</v>
      </c>
      <c r="K108">
        <v>13</v>
      </c>
      <c r="L108" t="s">
        <v>232</v>
      </c>
    </row>
    <row r="109" spans="1:12">
      <c r="A109" t="str">
        <f t="shared" si="1"/>
        <v>호주매출(프로젝트)201402모니터사이니지</v>
      </c>
      <c r="F109" t="s">
        <v>229</v>
      </c>
      <c r="G109" t="s">
        <v>725</v>
      </c>
      <c r="H109" t="s">
        <v>165</v>
      </c>
      <c r="I109" t="s">
        <v>167</v>
      </c>
      <c r="J109">
        <v>173607.03</v>
      </c>
      <c r="K109">
        <v>13</v>
      </c>
      <c r="L109" t="s">
        <v>232</v>
      </c>
    </row>
    <row r="110" spans="1:12">
      <c r="A110" t="str">
        <f t="shared" si="1"/>
        <v>호주매출(프로젝트)201403모니터사이니지</v>
      </c>
      <c r="F110" t="s">
        <v>229</v>
      </c>
      <c r="G110" t="s">
        <v>725</v>
      </c>
      <c r="H110" t="s">
        <v>165</v>
      </c>
      <c r="I110" t="s">
        <v>168</v>
      </c>
      <c r="J110">
        <v>158505.74</v>
      </c>
      <c r="K110">
        <v>13</v>
      </c>
      <c r="L110" t="s">
        <v>232</v>
      </c>
    </row>
    <row r="111" spans="1:12">
      <c r="A111" t="str">
        <f t="shared" si="1"/>
        <v>호주매출(프로젝트)201404모니터사이니지</v>
      </c>
      <c r="F111" t="s">
        <v>229</v>
      </c>
      <c r="G111" t="s">
        <v>725</v>
      </c>
      <c r="H111" t="s">
        <v>165</v>
      </c>
      <c r="I111" t="s">
        <v>169</v>
      </c>
      <c r="J111">
        <v>98399.27</v>
      </c>
      <c r="K111">
        <v>13</v>
      </c>
      <c r="L111" t="s">
        <v>232</v>
      </c>
    </row>
    <row r="112" spans="1:12">
      <c r="A112" t="str">
        <f t="shared" si="1"/>
        <v>호주매출(프로젝트)201405모니터사이니지</v>
      </c>
      <c r="F112" t="s">
        <v>229</v>
      </c>
      <c r="G112" t="s">
        <v>725</v>
      </c>
      <c r="H112" t="s">
        <v>165</v>
      </c>
      <c r="I112" t="s">
        <v>170</v>
      </c>
      <c r="J112">
        <v>55339.34</v>
      </c>
      <c r="K112">
        <v>13</v>
      </c>
      <c r="L112" t="s">
        <v>232</v>
      </c>
    </row>
    <row r="113" spans="1:12">
      <c r="A113" t="str">
        <f t="shared" si="1"/>
        <v>호주매출(프로젝트)201406모니터사이니지</v>
      </c>
      <c r="F113" t="s">
        <v>229</v>
      </c>
      <c r="G113" t="s">
        <v>725</v>
      </c>
      <c r="H113" t="s">
        <v>165</v>
      </c>
      <c r="I113" t="s">
        <v>171</v>
      </c>
      <c r="J113">
        <v>265350.63</v>
      </c>
      <c r="K113">
        <v>13</v>
      </c>
      <c r="L113" t="s">
        <v>232</v>
      </c>
    </row>
    <row r="114" spans="1:12">
      <c r="A114" t="str">
        <f t="shared" si="1"/>
        <v>호주매출(프로젝트)201407모니터사이니지</v>
      </c>
      <c r="F114" t="s">
        <v>229</v>
      </c>
      <c r="G114" t="s">
        <v>725</v>
      </c>
      <c r="H114" t="s">
        <v>165</v>
      </c>
      <c r="I114" t="s">
        <v>172</v>
      </c>
      <c r="J114">
        <v>222541.11</v>
      </c>
      <c r="K114">
        <v>13</v>
      </c>
      <c r="L114" t="s">
        <v>232</v>
      </c>
    </row>
    <row r="115" spans="1:12">
      <c r="A115" t="str">
        <f t="shared" si="1"/>
        <v>호주매출(프로젝트)201408모니터사이니지</v>
      </c>
      <c r="F115" t="s">
        <v>229</v>
      </c>
      <c r="G115" t="s">
        <v>725</v>
      </c>
      <c r="H115" t="s">
        <v>165</v>
      </c>
      <c r="I115" t="s">
        <v>173</v>
      </c>
      <c r="J115">
        <v>146488.45000000001</v>
      </c>
      <c r="K115">
        <v>13</v>
      </c>
      <c r="L115" t="s">
        <v>232</v>
      </c>
    </row>
    <row r="116" spans="1:12">
      <c r="A116" t="str">
        <f t="shared" si="1"/>
        <v>호주매출(프로젝트)201409모니터사이니지</v>
      </c>
      <c r="F116" t="s">
        <v>229</v>
      </c>
      <c r="G116" t="s">
        <v>725</v>
      </c>
      <c r="H116" t="s">
        <v>165</v>
      </c>
      <c r="I116" t="s">
        <v>174</v>
      </c>
      <c r="J116">
        <v>648521.09</v>
      </c>
      <c r="K116">
        <v>13</v>
      </c>
      <c r="L116" t="s">
        <v>232</v>
      </c>
    </row>
    <row r="117" spans="1:12">
      <c r="A117" t="str">
        <f t="shared" si="1"/>
        <v>호주매출(프로젝트)201410모니터사이니지</v>
      </c>
      <c r="F117" t="s">
        <v>229</v>
      </c>
      <c r="G117" t="s">
        <v>725</v>
      </c>
      <c r="H117" t="s">
        <v>165</v>
      </c>
      <c r="I117" t="s">
        <v>175</v>
      </c>
      <c r="J117">
        <v>1152210.93</v>
      </c>
      <c r="K117">
        <v>13</v>
      </c>
      <c r="L117" t="s">
        <v>232</v>
      </c>
    </row>
    <row r="118" spans="1:12">
      <c r="A118" t="str">
        <f t="shared" si="1"/>
        <v>호주매출(프로젝트)201411모니터사이니지</v>
      </c>
      <c r="F118" t="s">
        <v>229</v>
      </c>
      <c r="G118" t="s">
        <v>725</v>
      </c>
      <c r="H118" t="s">
        <v>165</v>
      </c>
      <c r="I118" t="s">
        <v>176</v>
      </c>
      <c r="J118">
        <v>780211.12</v>
      </c>
      <c r="K118">
        <v>13</v>
      </c>
      <c r="L118" t="s">
        <v>232</v>
      </c>
    </row>
    <row r="119" spans="1:12">
      <c r="A119" t="str">
        <f t="shared" si="1"/>
        <v>호주매출(프로젝트)201412모니터사이니지</v>
      </c>
      <c r="F119" t="s">
        <v>229</v>
      </c>
      <c r="G119" t="s">
        <v>725</v>
      </c>
      <c r="H119" t="s">
        <v>165</v>
      </c>
      <c r="I119" t="s">
        <v>177</v>
      </c>
      <c r="J119">
        <v>321501.13</v>
      </c>
      <c r="K119">
        <v>13</v>
      </c>
      <c r="L119" t="s">
        <v>232</v>
      </c>
    </row>
    <row r="120" spans="1:12">
      <c r="A120" t="str">
        <f t="shared" si="1"/>
        <v>호주매출(프로젝트)201501모니터사이니지</v>
      </c>
      <c r="F120" t="s">
        <v>229</v>
      </c>
      <c r="G120" t="s">
        <v>725</v>
      </c>
      <c r="H120" t="s">
        <v>165</v>
      </c>
      <c r="I120" t="s">
        <v>178</v>
      </c>
      <c r="J120">
        <v>481366.06</v>
      </c>
      <c r="K120">
        <v>13</v>
      </c>
      <c r="L120" t="s">
        <v>232</v>
      </c>
    </row>
    <row r="121" spans="1:12">
      <c r="A121" t="str">
        <f t="shared" si="1"/>
        <v>호주매출(프로젝트)201502모니터사이니지</v>
      </c>
      <c r="F121" t="s">
        <v>229</v>
      </c>
      <c r="G121" t="s">
        <v>725</v>
      </c>
      <c r="H121" t="s">
        <v>165</v>
      </c>
      <c r="I121" t="s">
        <v>179</v>
      </c>
      <c r="J121">
        <v>736069.77</v>
      </c>
      <c r="K121">
        <v>13</v>
      </c>
      <c r="L121" t="s">
        <v>232</v>
      </c>
    </row>
    <row r="122" spans="1:12">
      <c r="A122" t="str">
        <f t="shared" si="1"/>
        <v>호주매출(프로젝트)201503모니터사이니지</v>
      </c>
      <c r="F122" t="s">
        <v>229</v>
      </c>
      <c r="G122" t="s">
        <v>725</v>
      </c>
      <c r="H122" t="s">
        <v>165</v>
      </c>
      <c r="I122" t="s">
        <v>180</v>
      </c>
      <c r="J122">
        <v>544168.85</v>
      </c>
      <c r="K122">
        <v>13</v>
      </c>
      <c r="L122" t="s">
        <v>232</v>
      </c>
    </row>
    <row r="123" spans="1:12">
      <c r="A123" t="str">
        <f t="shared" si="1"/>
        <v>호주매출(프로젝트)201504모니터사이니지</v>
      </c>
      <c r="F123" t="s">
        <v>229</v>
      </c>
      <c r="G123" t="s">
        <v>725</v>
      </c>
      <c r="H123" t="s">
        <v>165</v>
      </c>
      <c r="I123" t="s">
        <v>181</v>
      </c>
      <c r="J123">
        <v>284384.31</v>
      </c>
      <c r="K123">
        <v>13</v>
      </c>
      <c r="L123" t="s">
        <v>232</v>
      </c>
    </row>
    <row r="124" spans="1:12">
      <c r="A124" t="str">
        <f t="shared" si="1"/>
        <v>호주매출(프로젝트)201505모니터사이니지</v>
      </c>
      <c r="F124" t="s">
        <v>229</v>
      </c>
      <c r="G124" t="s">
        <v>725</v>
      </c>
      <c r="H124" t="s">
        <v>165</v>
      </c>
      <c r="I124" t="s">
        <v>182</v>
      </c>
      <c r="J124">
        <v>560428.74</v>
      </c>
      <c r="K124">
        <v>13</v>
      </c>
      <c r="L124" t="s">
        <v>232</v>
      </c>
    </row>
    <row r="125" spans="1:12">
      <c r="A125" t="str">
        <f t="shared" si="1"/>
        <v>호주매출(프로젝트)201506모니터사이니지</v>
      </c>
      <c r="F125" t="s">
        <v>229</v>
      </c>
      <c r="G125" t="s">
        <v>725</v>
      </c>
      <c r="H125" t="s">
        <v>165</v>
      </c>
      <c r="I125" t="s">
        <v>183</v>
      </c>
      <c r="J125">
        <v>860478.34</v>
      </c>
      <c r="K125">
        <v>13</v>
      </c>
      <c r="L125" t="s">
        <v>232</v>
      </c>
    </row>
    <row r="126" spans="1:12">
      <c r="A126" t="str">
        <f t="shared" si="1"/>
        <v>호주매출(프로젝트)201507모니터사이니지</v>
      </c>
      <c r="F126" t="s">
        <v>229</v>
      </c>
      <c r="G126" t="s">
        <v>725</v>
      </c>
      <c r="H126" t="s">
        <v>165</v>
      </c>
      <c r="I126" t="s">
        <v>184</v>
      </c>
      <c r="J126">
        <v>696980.7</v>
      </c>
      <c r="K126">
        <v>13</v>
      </c>
      <c r="L126" t="s">
        <v>232</v>
      </c>
    </row>
    <row r="127" spans="1:12">
      <c r="A127" t="str">
        <f t="shared" si="1"/>
        <v>호주매출(프로젝트)201508모니터사이니지</v>
      </c>
      <c r="F127" t="s">
        <v>229</v>
      </c>
      <c r="G127" t="s">
        <v>725</v>
      </c>
      <c r="H127" t="s">
        <v>165</v>
      </c>
      <c r="I127" t="s">
        <v>185</v>
      </c>
      <c r="J127">
        <v>1062591.1100000001</v>
      </c>
      <c r="K127">
        <v>13</v>
      </c>
      <c r="L127" t="s">
        <v>232</v>
      </c>
    </row>
    <row r="128" spans="1:12">
      <c r="A128" t="str">
        <f t="shared" si="1"/>
        <v>호주매출(프로젝트)201509모니터사이니지</v>
      </c>
      <c r="F128" t="s">
        <v>229</v>
      </c>
      <c r="G128" t="s">
        <v>725</v>
      </c>
      <c r="H128" t="s">
        <v>165</v>
      </c>
      <c r="I128" t="s">
        <v>186</v>
      </c>
      <c r="J128">
        <v>700941.64</v>
      </c>
      <c r="K128">
        <v>13</v>
      </c>
      <c r="L128" t="s">
        <v>232</v>
      </c>
    </row>
    <row r="129" spans="1:12">
      <c r="A129" t="str">
        <f t="shared" si="1"/>
        <v>호주매출(프로젝트)201510모니터사이니지</v>
      </c>
      <c r="F129" t="s">
        <v>229</v>
      </c>
      <c r="G129" t="s">
        <v>725</v>
      </c>
      <c r="H129" t="s">
        <v>165</v>
      </c>
      <c r="I129" t="s">
        <v>0</v>
      </c>
      <c r="J129">
        <v>790593.48</v>
      </c>
      <c r="K129">
        <v>13</v>
      </c>
      <c r="L129" t="s">
        <v>232</v>
      </c>
    </row>
    <row r="130" spans="1:12">
      <c r="A130" t="str">
        <f t="shared" si="1"/>
        <v>호주매출(프로젝트)201511모니터사이니지</v>
      </c>
      <c r="F130" t="s">
        <v>229</v>
      </c>
      <c r="G130" t="s">
        <v>725</v>
      </c>
      <c r="H130" t="s">
        <v>165</v>
      </c>
      <c r="I130" t="s">
        <v>1455</v>
      </c>
      <c r="J130">
        <v>932907.42999999993</v>
      </c>
      <c r="K130">
        <v>13</v>
      </c>
      <c r="L130" t="s">
        <v>232</v>
      </c>
    </row>
    <row r="131" spans="1:12">
      <c r="A131" t="str">
        <f t="shared" si="1"/>
        <v>호주매출(프로젝트)201512모니터사이니지</v>
      </c>
      <c r="F131" t="s">
        <v>229</v>
      </c>
      <c r="G131" t="s">
        <v>725</v>
      </c>
      <c r="H131" t="s">
        <v>165</v>
      </c>
      <c r="I131" t="s">
        <v>1456</v>
      </c>
      <c r="J131">
        <v>340997</v>
      </c>
      <c r="K131">
        <v>13</v>
      </c>
      <c r="L131" t="s">
        <v>232</v>
      </c>
    </row>
    <row r="132" spans="1:12">
      <c r="A132" t="str">
        <f t="shared" si="1"/>
        <v>호주수주잔고201312모니터사이니지</v>
      </c>
      <c r="F132" t="s">
        <v>229</v>
      </c>
      <c r="G132" t="s">
        <v>725</v>
      </c>
      <c r="H132" t="s">
        <v>163</v>
      </c>
      <c r="I132" t="s">
        <v>233</v>
      </c>
      <c r="J132">
        <v>11478.687610269058</v>
      </c>
      <c r="K132">
        <v>13</v>
      </c>
      <c r="L132" t="s">
        <v>232</v>
      </c>
    </row>
    <row r="133" spans="1:12">
      <c r="A133" t="str">
        <f t="shared" si="1"/>
        <v>호주수주잔고201401모니터사이니지</v>
      </c>
      <c r="F133" t="s">
        <v>229</v>
      </c>
      <c r="G133" t="s">
        <v>725</v>
      </c>
      <c r="H133" t="s">
        <v>163</v>
      </c>
      <c r="I133" t="s">
        <v>166</v>
      </c>
      <c r="J133">
        <v>599757.67788030044</v>
      </c>
      <c r="K133">
        <v>13</v>
      </c>
      <c r="L133" t="s">
        <v>232</v>
      </c>
    </row>
    <row r="134" spans="1:12">
      <c r="A134" t="str">
        <f t="shared" si="1"/>
        <v>호주수주잔고201402모니터사이니지</v>
      </c>
      <c r="F134" t="s">
        <v>229</v>
      </c>
      <c r="G134" t="s">
        <v>725</v>
      </c>
      <c r="H134" t="s">
        <v>163</v>
      </c>
      <c r="I134" t="s">
        <v>167</v>
      </c>
      <c r="J134">
        <v>459483.18249388994</v>
      </c>
      <c r="K134">
        <v>13</v>
      </c>
      <c r="L134" t="s">
        <v>232</v>
      </c>
    </row>
    <row r="135" spans="1:12">
      <c r="A135" t="str">
        <f t="shared" ref="A135:A156" si="2">G135&amp;H135&amp;I135&amp;F135</f>
        <v>호주수주잔고201403모니터사이니지</v>
      </c>
      <c r="F135" t="s">
        <v>229</v>
      </c>
      <c r="G135" t="s">
        <v>725</v>
      </c>
      <c r="H135" t="s">
        <v>163</v>
      </c>
      <c r="I135" t="s">
        <v>168</v>
      </c>
      <c r="J135">
        <v>666119.36319952353</v>
      </c>
      <c r="K135">
        <v>13</v>
      </c>
      <c r="L135" t="s">
        <v>232</v>
      </c>
    </row>
    <row r="136" spans="1:12">
      <c r="A136" t="str">
        <f t="shared" si="2"/>
        <v>호주수주잔고201404모니터사이니지</v>
      </c>
      <c r="F136" t="s">
        <v>229</v>
      </c>
      <c r="G136" t="s">
        <v>725</v>
      </c>
      <c r="H136" t="s">
        <v>163</v>
      </c>
      <c r="I136" t="s">
        <v>169</v>
      </c>
      <c r="J136">
        <v>642746.25537050562</v>
      </c>
      <c r="K136">
        <v>13</v>
      </c>
      <c r="L136" t="s">
        <v>232</v>
      </c>
    </row>
    <row r="137" spans="1:12">
      <c r="A137" t="str">
        <f t="shared" si="2"/>
        <v>호주수주잔고201405모니터사이니지</v>
      </c>
      <c r="F137" t="s">
        <v>229</v>
      </c>
      <c r="G137" t="s">
        <v>725</v>
      </c>
      <c r="H137" t="s">
        <v>163</v>
      </c>
      <c r="I137" t="s">
        <v>170</v>
      </c>
      <c r="J137">
        <v>727541.45560091652</v>
      </c>
      <c r="K137">
        <v>13</v>
      </c>
      <c r="L137" t="s">
        <v>232</v>
      </c>
    </row>
    <row r="138" spans="1:12">
      <c r="A138" t="str">
        <f t="shared" si="2"/>
        <v>호주수주잔고201406모니터사이니지</v>
      </c>
      <c r="F138" t="s">
        <v>229</v>
      </c>
      <c r="G138" t="s">
        <v>725</v>
      </c>
      <c r="H138" t="s">
        <v>163</v>
      </c>
      <c r="I138" t="s">
        <v>171</v>
      </c>
      <c r="J138">
        <v>2616399.3984734588</v>
      </c>
      <c r="K138">
        <v>13</v>
      </c>
      <c r="L138" t="s">
        <v>232</v>
      </c>
    </row>
    <row r="139" spans="1:12">
      <c r="A139" t="str">
        <f t="shared" si="2"/>
        <v>호주수주잔고201407모니터사이니지</v>
      </c>
      <c r="F139" t="s">
        <v>229</v>
      </c>
      <c r="G139" t="s">
        <v>725</v>
      </c>
      <c r="H139" t="s">
        <v>163</v>
      </c>
      <c r="I139" t="s">
        <v>172</v>
      </c>
      <c r="J139">
        <v>3700366.5992173259</v>
      </c>
      <c r="K139">
        <v>13</v>
      </c>
      <c r="L139" t="s">
        <v>232</v>
      </c>
    </row>
    <row r="140" spans="1:12">
      <c r="A140" t="str">
        <f t="shared" si="2"/>
        <v>호주수주잔고201408모니터사이니지</v>
      </c>
      <c r="F140" t="s">
        <v>229</v>
      </c>
      <c r="G140" t="s">
        <v>725</v>
      </c>
      <c r="H140" t="s">
        <v>163</v>
      </c>
      <c r="I140" t="s">
        <v>173</v>
      </c>
      <c r="J140">
        <v>3929394.678561918</v>
      </c>
      <c r="K140">
        <v>13</v>
      </c>
      <c r="L140" t="s">
        <v>232</v>
      </c>
    </row>
    <row r="141" spans="1:12">
      <c r="A141" t="str">
        <f t="shared" si="2"/>
        <v>호주수주잔고201409모니터사이니지</v>
      </c>
      <c r="F141" t="s">
        <v>229</v>
      </c>
      <c r="G141" t="s">
        <v>725</v>
      </c>
      <c r="H141" t="s">
        <v>163</v>
      </c>
      <c r="I141" t="s">
        <v>174</v>
      </c>
      <c r="J141">
        <v>4127545.4590306855</v>
      </c>
      <c r="K141">
        <v>13</v>
      </c>
      <c r="L141" t="s">
        <v>232</v>
      </c>
    </row>
    <row r="142" spans="1:12">
      <c r="A142" t="str">
        <f t="shared" si="2"/>
        <v>호주수주잔고201410모니터사이니지</v>
      </c>
      <c r="F142" t="s">
        <v>229</v>
      </c>
      <c r="G142" t="s">
        <v>725</v>
      </c>
      <c r="H142" t="s">
        <v>163</v>
      </c>
      <c r="I142" t="s">
        <v>175</v>
      </c>
      <c r="J142">
        <v>4766122.8567338176</v>
      </c>
      <c r="K142">
        <v>13</v>
      </c>
      <c r="L142" t="s">
        <v>232</v>
      </c>
    </row>
    <row r="143" spans="1:12">
      <c r="A143" t="str">
        <f t="shared" si="2"/>
        <v>호주수주잔고201411모니터사이니지</v>
      </c>
      <c r="F143" t="s">
        <v>229</v>
      </c>
      <c r="G143" t="s">
        <v>725</v>
      </c>
      <c r="H143" t="s">
        <v>163</v>
      </c>
      <c r="I143" t="s">
        <v>176</v>
      </c>
      <c r="J143">
        <v>4591580.0133211622</v>
      </c>
      <c r="K143">
        <v>13</v>
      </c>
      <c r="L143" t="s">
        <v>232</v>
      </c>
    </row>
    <row r="144" spans="1:12">
      <c r="A144" t="str">
        <f t="shared" si="2"/>
        <v>호주수주잔고201412모니터사이니지</v>
      </c>
      <c r="F144" t="s">
        <v>229</v>
      </c>
      <c r="G144" t="s">
        <v>725</v>
      </c>
      <c r="H144" t="s">
        <v>163</v>
      </c>
      <c r="I144" t="s">
        <v>177</v>
      </c>
      <c r="J144">
        <v>4849754.5576038472</v>
      </c>
      <c r="K144">
        <v>13</v>
      </c>
      <c r="L144" t="s">
        <v>232</v>
      </c>
    </row>
    <row r="145" spans="1:12">
      <c r="A145" t="str">
        <f t="shared" si="2"/>
        <v>호주수주잔고201501모니터사이니지</v>
      </c>
      <c r="F145" t="s">
        <v>229</v>
      </c>
      <c r="G145" t="s">
        <v>725</v>
      </c>
      <c r="H145" t="s">
        <v>163</v>
      </c>
      <c r="I145" t="s">
        <v>178</v>
      </c>
      <c r="J145">
        <v>7317985.0741704926</v>
      </c>
      <c r="K145">
        <v>13</v>
      </c>
      <c r="L145" t="s">
        <v>232</v>
      </c>
    </row>
    <row r="146" spans="1:12">
      <c r="A146" t="str">
        <f t="shared" si="2"/>
        <v>호주수주잔고201502모니터사이니지</v>
      </c>
      <c r="F146" t="s">
        <v>229</v>
      </c>
      <c r="G146" t="s">
        <v>725</v>
      </c>
      <c r="H146" t="s">
        <v>163</v>
      </c>
      <c r="I146" t="s">
        <v>179</v>
      </c>
      <c r="J146">
        <v>7866327.160761402</v>
      </c>
      <c r="K146">
        <v>13</v>
      </c>
      <c r="L146" t="s">
        <v>232</v>
      </c>
    </row>
    <row r="147" spans="1:12">
      <c r="A147" t="str">
        <f t="shared" si="2"/>
        <v>호주수주잔고201503모니터사이니지</v>
      </c>
      <c r="F147" t="s">
        <v>229</v>
      </c>
      <c r="G147" t="s">
        <v>725</v>
      </c>
      <c r="H147" t="s">
        <v>163</v>
      </c>
      <c r="I147" t="s">
        <v>180</v>
      </c>
      <c r="J147">
        <v>7982097.3884539306</v>
      </c>
      <c r="K147">
        <v>13</v>
      </c>
      <c r="L147" t="s">
        <v>232</v>
      </c>
    </row>
    <row r="148" spans="1:12">
      <c r="A148" t="str">
        <f t="shared" si="2"/>
        <v>호주수주잔고201504모니터사이니지</v>
      </c>
      <c r="F148" t="s">
        <v>229</v>
      </c>
      <c r="G148" t="s">
        <v>725</v>
      </c>
      <c r="H148" t="s">
        <v>163</v>
      </c>
      <c r="I148" t="s">
        <v>181</v>
      </c>
      <c r="J148">
        <v>8523987.6036920547</v>
      </c>
      <c r="K148">
        <v>13</v>
      </c>
      <c r="L148" t="s">
        <v>232</v>
      </c>
    </row>
    <row r="149" spans="1:12">
      <c r="A149" t="str">
        <f t="shared" si="2"/>
        <v>호주수주잔고201505모니터사이니지</v>
      </c>
      <c r="F149" t="s">
        <v>229</v>
      </c>
      <c r="G149" t="s">
        <v>725</v>
      </c>
      <c r="H149" t="s">
        <v>163</v>
      </c>
      <c r="I149" t="s">
        <v>182</v>
      </c>
      <c r="J149">
        <v>8879454.0659473389</v>
      </c>
      <c r="K149">
        <v>13</v>
      </c>
      <c r="L149" t="s">
        <v>232</v>
      </c>
    </row>
    <row r="150" spans="1:12">
      <c r="A150" t="str">
        <f t="shared" si="2"/>
        <v>호주수주잔고201506모니터사이니지</v>
      </c>
      <c r="F150" t="s">
        <v>229</v>
      </c>
      <c r="G150" t="s">
        <v>725</v>
      </c>
      <c r="H150" t="s">
        <v>163</v>
      </c>
      <c r="I150" t="s">
        <v>183</v>
      </c>
      <c r="J150">
        <v>8431869.3575604502</v>
      </c>
      <c r="K150">
        <v>13</v>
      </c>
      <c r="L150" t="s">
        <v>232</v>
      </c>
    </row>
    <row r="151" spans="1:12">
      <c r="A151" t="str">
        <f t="shared" si="2"/>
        <v>호주수주잔고201507모니터사이니지</v>
      </c>
      <c r="F151" t="s">
        <v>229</v>
      </c>
      <c r="G151" t="s">
        <v>725</v>
      </c>
      <c r="H151" t="s">
        <v>163</v>
      </c>
      <c r="I151" t="s">
        <v>184</v>
      </c>
      <c r="J151">
        <v>8906064.1804556791</v>
      </c>
      <c r="K151">
        <v>13</v>
      </c>
      <c r="L151" t="s">
        <v>232</v>
      </c>
    </row>
    <row r="152" spans="1:12">
      <c r="A152" t="str">
        <f t="shared" si="2"/>
        <v>호주수주잔고201508모니터사이니지</v>
      </c>
      <c r="F152" t="s">
        <v>229</v>
      </c>
      <c r="G152" t="s">
        <v>725</v>
      </c>
      <c r="H152" t="s">
        <v>163</v>
      </c>
      <c r="I152" t="s">
        <v>185</v>
      </c>
      <c r="J152">
        <v>8552759.9644024521</v>
      </c>
      <c r="K152">
        <v>13</v>
      </c>
      <c r="L152" t="s">
        <v>232</v>
      </c>
    </row>
    <row r="153" spans="1:12">
      <c r="A153" t="str">
        <f t="shared" si="2"/>
        <v>호주수주잔고201509모니터사이니지</v>
      </c>
      <c r="F153" t="s">
        <v>229</v>
      </c>
      <c r="G153" t="s">
        <v>725</v>
      </c>
      <c r="H153" t="s">
        <v>163</v>
      </c>
      <c r="I153" t="s">
        <v>186</v>
      </c>
      <c r="J153">
        <v>8438320.5033889394</v>
      </c>
      <c r="K153">
        <v>13</v>
      </c>
      <c r="L153" t="s">
        <v>232</v>
      </c>
    </row>
    <row r="154" spans="1:12">
      <c r="A154" t="str">
        <f t="shared" si="2"/>
        <v>호주수주잔고201510모니터사이니지</v>
      </c>
      <c r="F154" t="s">
        <v>229</v>
      </c>
      <c r="G154" t="s">
        <v>725</v>
      </c>
      <c r="H154" t="s">
        <v>163</v>
      </c>
      <c r="I154" t="s">
        <v>0</v>
      </c>
      <c r="J154">
        <v>9243903.1695024557</v>
      </c>
      <c r="K154">
        <v>13</v>
      </c>
      <c r="L154" t="s">
        <v>232</v>
      </c>
    </row>
    <row r="155" spans="1:12">
      <c r="A155" t="str">
        <f t="shared" si="2"/>
        <v>호주수주잔고201511모니터사이니지</v>
      </c>
      <c r="F155" t="s">
        <v>229</v>
      </c>
      <c r="G155" t="s">
        <v>725</v>
      </c>
      <c r="H155" t="s">
        <v>163</v>
      </c>
      <c r="I155" t="s">
        <v>1455</v>
      </c>
      <c r="J155">
        <v>10817827.386545457</v>
      </c>
      <c r="K155">
        <v>13</v>
      </c>
      <c r="L155" t="s">
        <v>232</v>
      </c>
    </row>
    <row r="156" spans="1:12">
      <c r="A156" t="str">
        <f t="shared" si="2"/>
        <v>호주수주잔고201512모니터사이니지</v>
      </c>
      <c r="F156" t="s">
        <v>229</v>
      </c>
      <c r="G156" t="s">
        <v>725</v>
      </c>
      <c r="H156" t="s">
        <v>163</v>
      </c>
      <c r="I156" t="s">
        <v>1456</v>
      </c>
      <c r="J156">
        <v>11040179.365459166</v>
      </c>
      <c r="K156">
        <v>13</v>
      </c>
      <c r="L156" t="s">
        <v>232</v>
      </c>
    </row>
    <row r="157" spans="1:12">
      <c r="A157" t="str">
        <f t="shared" ref="A157:A198" si="3">G157&amp;H157&amp;I157&amp;F157</f>
        <v/>
      </c>
    </row>
    <row r="158" spans="1:12">
      <c r="A158" t="str">
        <f t="shared" si="3"/>
        <v/>
      </c>
    </row>
    <row r="159" spans="1:12">
      <c r="A159" t="str">
        <f t="shared" si="3"/>
        <v/>
      </c>
    </row>
    <row r="160" spans="1:12">
      <c r="A160" t="str">
        <f t="shared" si="3"/>
        <v/>
      </c>
    </row>
    <row r="161" spans="1:1">
      <c r="A161" t="str">
        <f t="shared" si="3"/>
        <v/>
      </c>
    </row>
    <row r="162" spans="1:1">
      <c r="A162" t="str">
        <f t="shared" si="3"/>
        <v/>
      </c>
    </row>
    <row r="163" spans="1:1">
      <c r="A163" t="str">
        <f t="shared" si="3"/>
        <v/>
      </c>
    </row>
    <row r="164" spans="1:1">
      <c r="A164" t="str">
        <f t="shared" si="3"/>
        <v/>
      </c>
    </row>
    <row r="165" spans="1:1">
      <c r="A165" t="str">
        <f t="shared" si="3"/>
        <v/>
      </c>
    </row>
    <row r="166" spans="1:1">
      <c r="A166" t="str">
        <f t="shared" si="3"/>
        <v/>
      </c>
    </row>
    <row r="167" spans="1:1">
      <c r="A167" t="str">
        <f t="shared" si="3"/>
        <v/>
      </c>
    </row>
    <row r="168" spans="1:1">
      <c r="A168" t="str">
        <f t="shared" si="3"/>
        <v/>
      </c>
    </row>
    <row r="169" spans="1:1">
      <c r="A169" t="str">
        <f t="shared" si="3"/>
        <v/>
      </c>
    </row>
    <row r="170" spans="1:1">
      <c r="A170" t="str">
        <f t="shared" si="3"/>
        <v/>
      </c>
    </row>
    <row r="171" spans="1:1">
      <c r="A171" t="str">
        <f t="shared" si="3"/>
        <v/>
      </c>
    </row>
    <row r="172" spans="1:1">
      <c r="A172" t="str">
        <f t="shared" si="3"/>
        <v/>
      </c>
    </row>
    <row r="173" spans="1:1">
      <c r="A173" t="str">
        <f t="shared" si="3"/>
        <v/>
      </c>
    </row>
    <row r="174" spans="1:1">
      <c r="A174" t="str">
        <f t="shared" si="3"/>
        <v/>
      </c>
    </row>
    <row r="175" spans="1:1">
      <c r="A175" t="str">
        <f t="shared" si="3"/>
        <v/>
      </c>
    </row>
    <row r="176" spans="1:1">
      <c r="A176" t="str">
        <f t="shared" si="3"/>
        <v/>
      </c>
    </row>
    <row r="177" spans="1:1">
      <c r="A177" t="str">
        <f t="shared" si="3"/>
        <v/>
      </c>
    </row>
    <row r="178" spans="1:1">
      <c r="A178" t="str">
        <f t="shared" si="3"/>
        <v/>
      </c>
    </row>
    <row r="179" spans="1:1">
      <c r="A179" t="str">
        <f t="shared" si="3"/>
        <v/>
      </c>
    </row>
    <row r="180" spans="1:1">
      <c r="A180" t="str">
        <f t="shared" si="3"/>
        <v/>
      </c>
    </row>
    <row r="181" spans="1:1">
      <c r="A181" t="str">
        <f t="shared" si="3"/>
        <v/>
      </c>
    </row>
    <row r="182" spans="1:1">
      <c r="A182" t="str">
        <f t="shared" si="3"/>
        <v/>
      </c>
    </row>
    <row r="183" spans="1:1">
      <c r="A183" t="str">
        <f t="shared" si="3"/>
        <v/>
      </c>
    </row>
    <row r="184" spans="1:1">
      <c r="A184" t="str">
        <f t="shared" si="3"/>
        <v/>
      </c>
    </row>
    <row r="185" spans="1:1">
      <c r="A185" t="str">
        <f t="shared" si="3"/>
        <v/>
      </c>
    </row>
    <row r="186" spans="1:1">
      <c r="A186" t="str">
        <f t="shared" si="3"/>
        <v/>
      </c>
    </row>
    <row r="187" spans="1:1">
      <c r="A187" t="str">
        <f t="shared" si="3"/>
        <v/>
      </c>
    </row>
    <row r="188" spans="1:1">
      <c r="A188" t="str">
        <f t="shared" si="3"/>
        <v/>
      </c>
    </row>
    <row r="189" spans="1:1">
      <c r="A189" t="str">
        <f t="shared" si="3"/>
        <v/>
      </c>
    </row>
    <row r="190" spans="1:1">
      <c r="A190" t="str">
        <f t="shared" si="3"/>
        <v/>
      </c>
    </row>
    <row r="191" spans="1:1">
      <c r="A191" t="str">
        <f t="shared" si="3"/>
        <v/>
      </c>
    </row>
    <row r="192" spans="1:1">
      <c r="A192" t="str">
        <f t="shared" si="3"/>
        <v/>
      </c>
    </row>
    <row r="193" spans="1:1">
      <c r="A193" t="str">
        <f t="shared" si="3"/>
        <v/>
      </c>
    </row>
    <row r="194" spans="1:1">
      <c r="A194" t="str">
        <f t="shared" si="3"/>
        <v/>
      </c>
    </row>
    <row r="195" spans="1:1">
      <c r="A195" t="str">
        <f t="shared" si="3"/>
        <v/>
      </c>
    </row>
    <row r="196" spans="1:1">
      <c r="A196" t="str">
        <f t="shared" si="3"/>
        <v/>
      </c>
    </row>
    <row r="197" spans="1:1">
      <c r="A197" t="str">
        <f t="shared" si="3"/>
        <v/>
      </c>
    </row>
    <row r="198" spans="1:1">
      <c r="A198" t="str">
        <f t="shared" si="3"/>
        <v/>
      </c>
    </row>
    <row r="199" spans="1:1">
      <c r="A199" t="str">
        <f t="shared" ref="A199:A262" si="4">G199&amp;H199&amp;I199&amp;F199</f>
        <v/>
      </c>
    </row>
    <row r="200" spans="1:1">
      <c r="A200" t="str">
        <f t="shared" si="4"/>
        <v/>
      </c>
    </row>
    <row r="201" spans="1:1">
      <c r="A201" t="str">
        <f t="shared" si="4"/>
        <v/>
      </c>
    </row>
    <row r="202" spans="1:1">
      <c r="A202" t="str">
        <f t="shared" si="4"/>
        <v/>
      </c>
    </row>
    <row r="203" spans="1:1">
      <c r="A203" t="str">
        <f t="shared" si="4"/>
        <v/>
      </c>
    </row>
    <row r="204" spans="1:1">
      <c r="A204" t="str">
        <f t="shared" si="4"/>
        <v/>
      </c>
    </row>
    <row r="205" spans="1:1">
      <c r="A205" t="str">
        <f t="shared" si="4"/>
        <v/>
      </c>
    </row>
    <row r="206" spans="1:1">
      <c r="A206" t="str">
        <f t="shared" si="4"/>
        <v/>
      </c>
    </row>
    <row r="207" spans="1:1">
      <c r="A207" t="str">
        <f t="shared" si="4"/>
        <v/>
      </c>
    </row>
    <row r="208" spans="1:1">
      <c r="A208" t="str">
        <f t="shared" si="4"/>
        <v/>
      </c>
    </row>
    <row r="209" spans="1:1">
      <c r="A209" t="str">
        <f t="shared" si="4"/>
        <v/>
      </c>
    </row>
    <row r="210" spans="1:1">
      <c r="A210" t="str">
        <f t="shared" si="4"/>
        <v/>
      </c>
    </row>
    <row r="211" spans="1:1">
      <c r="A211" t="str">
        <f t="shared" si="4"/>
        <v/>
      </c>
    </row>
    <row r="212" spans="1:1">
      <c r="A212" t="str">
        <f t="shared" si="4"/>
        <v/>
      </c>
    </row>
    <row r="213" spans="1:1">
      <c r="A213" t="str">
        <f t="shared" si="4"/>
        <v/>
      </c>
    </row>
    <row r="214" spans="1:1">
      <c r="A214" t="str">
        <f t="shared" si="4"/>
        <v/>
      </c>
    </row>
    <row r="215" spans="1:1">
      <c r="A215" t="str">
        <f t="shared" si="4"/>
        <v/>
      </c>
    </row>
    <row r="216" spans="1:1">
      <c r="A216" t="str">
        <f t="shared" si="4"/>
        <v/>
      </c>
    </row>
    <row r="217" spans="1:1">
      <c r="A217" t="str">
        <f t="shared" si="4"/>
        <v/>
      </c>
    </row>
    <row r="218" spans="1:1">
      <c r="A218" t="str">
        <f t="shared" si="4"/>
        <v/>
      </c>
    </row>
    <row r="219" spans="1:1">
      <c r="A219" t="str">
        <f t="shared" si="4"/>
        <v/>
      </c>
    </row>
    <row r="220" spans="1:1">
      <c r="A220" t="str">
        <f t="shared" si="4"/>
        <v/>
      </c>
    </row>
    <row r="221" spans="1:1">
      <c r="A221" t="str">
        <f t="shared" si="4"/>
        <v/>
      </c>
    </row>
    <row r="222" spans="1:1">
      <c r="A222" t="str">
        <f t="shared" si="4"/>
        <v/>
      </c>
    </row>
    <row r="223" spans="1:1">
      <c r="A223" t="str">
        <f t="shared" si="4"/>
        <v/>
      </c>
    </row>
    <row r="224" spans="1:1">
      <c r="A224" t="str">
        <f t="shared" si="4"/>
        <v/>
      </c>
    </row>
    <row r="225" spans="1:1">
      <c r="A225" t="str">
        <f t="shared" si="4"/>
        <v/>
      </c>
    </row>
    <row r="226" spans="1:1">
      <c r="A226" t="str">
        <f t="shared" si="4"/>
        <v/>
      </c>
    </row>
    <row r="227" spans="1:1">
      <c r="A227" t="str">
        <f t="shared" si="4"/>
        <v/>
      </c>
    </row>
    <row r="228" spans="1:1">
      <c r="A228" t="str">
        <f t="shared" si="4"/>
        <v/>
      </c>
    </row>
    <row r="229" spans="1:1">
      <c r="A229" t="str">
        <f t="shared" si="4"/>
        <v/>
      </c>
    </row>
    <row r="230" spans="1:1">
      <c r="A230" t="str">
        <f t="shared" si="4"/>
        <v/>
      </c>
    </row>
    <row r="231" spans="1:1">
      <c r="A231" t="str">
        <f t="shared" si="4"/>
        <v/>
      </c>
    </row>
    <row r="232" spans="1:1">
      <c r="A232" t="str">
        <f t="shared" si="4"/>
        <v/>
      </c>
    </row>
    <row r="233" spans="1:1">
      <c r="A233" t="str">
        <f t="shared" si="4"/>
        <v/>
      </c>
    </row>
    <row r="234" spans="1:1">
      <c r="A234" t="str">
        <f t="shared" si="4"/>
        <v/>
      </c>
    </row>
    <row r="235" spans="1:1">
      <c r="A235" t="str">
        <f t="shared" si="4"/>
        <v/>
      </c>
    </row>
    <row r="236" spans="1:1">
      <c r="A236" t="str">
        <f t="shared" si="4"/>
        <v/>
      </c>
    </row>
    <row r="237" spans="1:1">
      <c r="A237" t="str">
        <f t="shared" si="4"/>
        <v/>
      </c>
    </row>
    <row r="238" spans="1:1">
      <c r="A238" t="str">
        <f t="shared" si="4"/>
        <v/>
      </c>
    </row>
    <row r="239" spans="1:1">
      <c r="A239" t="str">
        <f t="shared" si="4"/>
        <v/>
      </c>
    </row>
    <row r="240" spans="1:1">
      <c r="A240" t="str">
        <f t="shared" si="4"/>
        <v/>
      </c>
    </row>
    <row r="241" spans="1:1">
      <c r="A241" t="str">
        <f t="shared" si="4"/>
        <v/>
      </c>
    </row>
    <row r="242" spans="1:1">
      <c r="A242" t="str">
        <f t="shared" si="4"/>
        <v/>
      </c>
    </row>
    <row r="243" spans="1:1">
      <c r="A243" t="str">
        <f t="shared" si="4"/>
        <v/>
      </c>
    </row>
    <row r="244" spans="1:1">
      <c r="A244" t="str">
        <f t="shared" si="4"/>
        <v/>
      </c>
    </row>
    <row r="245" spans="1:1">
      <c r="A245" t="str">
        <f t="shared" si="4"/>
        <v/>
      </c>
    </row>
    <row r="246" spans="1:1">
      <c r="A246" t="str">
        <f t="shared" si="4"/>
        <v/>
      </c>
    </row>
    <row r="247" spans="1:1">
      <c r="A247" t="str">
        <f t="shared" si="4"/>
        <v/>
      </c>
    </row>
    <row r="248" spans="1:1">
      <c r="A248" t="str">
        <f t="shared" si="4"/>
        <v/>
      </c>
    </row>
    <row r="249" spans="1:1">
      <c r="A249" t="str">
        <f t="shared" si="4"/>
        <v/>
      </c>
    </row>
    <row r="250" spans="1:1">
      <c r="A250" t="str">
        <f t="shared" si="4"/>
        <v/>
      </c>
    </row>
    <row r="251" spans="1:1">
      <c r="A251" t="str">
        <f t="shared" si="4"/>
        <v/>
      </c>
    </row>
    <row r="252" spans="1:1">
      <c r="A252" t="str">
        <f t="shared" si="4"/>
        <v/>
      </c>
    </row>
    <row r="253" spans="1:1">
      <c r="A253" t="str">
        <f t="shared" si="4"/>
        <v/>
      </c>
    </row>
    <row r="254" spans="1:1">
      <c r="A254" t="str">
        <f t="shared" si="4"/>
        <v/>
      </c>
    </row>
    <row r="255" spans="1:1">
      <c r="A255" t="str">
        <f t="shared" si="4"/>
        <v/>
      </c>
    </row>
    <row r="256" spans="1:1">
      <c r="A256" t="str">
        <f t="shared" si="4"/>
        <v/>
      </c>
    </row>
    <row r="257" spans="1:1">
      <c r="A257" t="str">
        <f t="shared" si="4"/>
        <v/>
      </c>
    </row>
    <row r="258" spans="1:1">
      <c r="A258" t="str">
        <f t="shared" si="4"/>
        <v/>
      </c>
    </row>
    <row r="259" spans="1:1">
      <c r="A259" t="str">
        <f t="shared" si="4"/>
        <v/>
      </c>
    </row>
    <row r="260" spans="1:1">
      <c r="A260" t="str">
        <f t="shared" si="4"/>
        <v/>
      </c>
    </row>
    <row r="261" spans="1:1">
      <c r="A261" t="str">
        <f t="shared" si="4"/>
        <v/>
      </c>
    </row>
    <row r="262" spans="1:1">
      <c r="A262" t="str">
        <f t="shared" si="4"/>
        <v/>
      </c>
    </row>
    <row r="263" spans="1:1">
      <c r="A263" t="str">
        <f t="shared" ref="A263:A326" si="5">G263&amp;H263&amp;I263&amp;F263</f>
        <v/>
      </c>
    </row>
    <row r="264" spans="1:1">
      <c r="A264" t="str">
        <f t="shared" si="5"/>
        <v/>
      </c>
    </row>
    <row r="265" spans="1:1">
      <c r="A265" t="str">
        <f t="shared" si="5"/>
        <v/>
      </c>
    </row>
    <row r="266" spans="1:1">
      <c r="A266" t="str">
        <f t="shared" si="5"/>
        <v/>
      </c>
    </row>
    <row r="267" spans="1:1">
      <c r="A267" t="str">
        <f t="shared" si="5"/>
        <v/>
      </c>
    </row>
    <row r="268" spans="1:1">
      <c r="A268" t="str">
        <f t="shared" si="5"/>
        <v/>
      </c>
    </row>
    <row r="269" spans="1:1">
      <c r="A269" t="str">
        <f t="shared" si="5"/>
        <v/>
      </c>
    </row>
    <row r="270" spans="1:1">
      <c r="A270" t="str">
        <f t="shared" si="5"/>
        <v/>
      </c>
    </row>
    <row r="271" spans="1:1">
      <c r="A271" t="str">
        <f t="shared" si="5"/>
        <v/>
      </c>
    </row>
    <row r="272" spans="1:1">
      <c r="A272" t="str">
        <f t="shared" si="5"/>
        <v/>
      </c>
    </row>
    <row r="273" spans="1:1">
      <c r="A273" t="str">
        <f t="shared" si="5"/>
        <v/>
      </c>
    </row>
    <row r="274" spans="1:1">
      <c r="A274" t="str">
        <f t="shared" si="5"/>
        <v/>
      </c>
    </row>
    <row r="275" spans="1:1">
      <c r="A275" t="str">
        <f t="shared" si="5"/>
        <v/>
      </c>
    </row>
    <row r="276" spans="1:1">
      <c r="A276" t="str">
        <f t="shared" si="5"/>
        <v/>
      </c>
    </row>
    <row r="277" spans="1:1">
      <c r="A277" t="str">
        <f t="shared" si="5"/>
        <v/>
      </c>
    </row>
    <row r="278" spans="1:1">
      <c r="A278" t="str">
        <f t="shared" si="5"/>
        <v/>
      </c>
    </row>
    <row r="279" spans="1:1">
      <c r="A279" t="str">
        <f t="shared" si="5"/>
        <v/>
      </c>
    </row>
    <row r="280" spans="1:1">
      <c r="A280" t="str">
        <f t="shared" si="5"/>
        <v/>
      </c>
    </row>
    <row r="281" spans="1:1">
      <c r="A281" t="str">
        <f t="shared" si="5"/>
        <v/>
      </c>
    </row>
    <row r="282" spans="1:1">
      <c r="A282" t="str">
        <f t="shared" si="5"/>
        <v/>
      </c>
    </row>
    <row r="283" spans="1:1">
      <c r="A283" t="str">
        <f t="shared" si="5"/>
        <v/>
      </c>
    </row>
    <row r="284" spans="1:1">
      <c r="A284" t="str">
        <f t="shared" si="5"/>
        <v/>
      </c>
    </row>
    <row r="285" spans="1:1">
      <c r="A285" t="str">
        <f t="shared" si="5"/>
        <v/>
      </c>
    </row>
    <row r="286" spans="1:1">
      <c r="A286" t="str">
        <f t="shared" si="5"/>
        <v/>
      </c>
    </row>
    <row r="287" spans="1:1">
      <c r="A287" t="str">
        <f t="shared" si="5"/>
        <v/>
      </c>
    </row>
    <row r="288" spans="1:1">
      <c r="A288" t="str">
        <f t="shared" si="5"/>
        <v/>
      </c>
    </row>
    <row r="289" spans="1:1">
      <c r="A289" t="str">
        <f t="shared" si="5"/>
        <v/>
      </c>
    </row>
    <row r="290" spans="1:1">
      <c r="A290" t="str">
        <f t="shared" si="5"/>
        <v/>
      </c>
    </row>
    <row r="291" spans="1:1">
      <c r="A291" t="str">
        <f t="shared" si="5"/>
        <v/>
      </c>
    </row>
    <row r="292" spans="1:1">
      <c r="A292" t="str">
        <f t="shared" si="5"/>
        <v/>
      </c>
    </row>
    <row r="293" spans="1:1">
      <c r="A293" t="str">
        <f t="shared" si="5"/>
        <v/>
      </c>
    </row>
    <row r="294" spans="1:1">
      <c r="A294" t="str">
        <f t="shared" si="5"/>
        <v/>
      </c>
    </row>
    <row r="295" spans="1:1">
      <c r="A295" t="str">
        <f t="shared" si="5"/>
        <v/>
      </c>
    </row>
    <row r="296" spans="1:1">
      <c r="A296" t="str">
        <f t="shared" si="5"/>
        <v/>
      </c>
    </row>
    <row r="297" spans="1:1">
      <c r="A297" t="str">
        <f t="shared" si="5"/>
        <v/>
      </c>
    </row>
    <row r="298" spans="1:1">
      <c r="A298" t="str">
        <f t="shared" si="5"/>
        <v/>
      </c>
    </row>
    <row r="299" spans="1:1">
      <c r="A299" t="str">
        <f t="shared" si="5"/>
        <v/>
      </c>
    </row>
    <row r="300" spans="1:1">
      <c r="A300" t="str">
        <f t="shared" si="5"/>
        <v/>
      </c>
    </row>
    <row r="301" spans="1:1">
      <c r="A301" t="str">
        <f t="shared" si="5"/>
        <v/>
      </c>
    </row>
    <row r="302" spans="1:1">
      <c r="A302" t="str">
        <f t="shared" si="5"/>
        <v/>
      </c>
    </row>
    <row r="303" spans="1:1">
      <c r="A303" t="str">
        <f t="shared" si="5"/>
        <v/>
      </c>
    </row>
    <row r="304" spans="1:1">
      <c r="A304" t="str">
        <f t="shared" si="5"/>
        <v/>
      </c>
    </row>
    <row r="305" spans="1:1">
      <c r="A305" t="str">
        <f t="shared" si="5"/>
        <v/>
      </c>
    </row>
    <row r="306" spans="1:1">
      <c r="A306" t="str">
        <f t="shared" si="5"/>
        <v/>
      </c>
    </row>
    <row r="307" spans="1:1">
      <c r="A307" t="str">
        <f t="shared" si="5"/>
        <v/>
      </c>
    </row>
    <row r="308" spans="1:1">
      <c r="A308" t="str">
        <f t="shared" si="5"/>
        <v/>
      </c>
    </row>
    <row r="309" spans="1:1">
      <c r="A309" t="str">
        <f t="shared" si="5"/>
        <v/>
      </c>
    </row>
    <row r="310" spans="1:1">
      <c r="A310" t="str">
        <f t="shared" si="5"/>
        <v/>
      </c>
    </row>
    <row r="311" spans="1:1">
      <c r="A311" t="str">
        <f t="shared" si="5"/>
        <v/>
      </c>
    </row>
    <row r="312" spans="1:1">
      <c r="A312" t="str">
        <f t="shared" si="5"/>
        <v/>
      </c>
    </row>
    <row r="313" spans="1:1">
      <c r="A313" t="str">
        <f t="shared" si="5"/>
        <v/>
      </c>
    </row>
    <row r="314" spans="1:1">
      <c r="A314" t="str">
        <f t="shared" si="5"/>
        <v/>
      </c>
    </row>
    <row r="315" spans="1:1">
      <c r="A315" t="str">
        <f t="shared" si="5"/>
        <v/>
      </c>
    </row>
    <row r="316" spans="1:1">
      <c r="A316" t="str">
        <f t="shared" si="5"/>
        <v/>
      </c>
    </row>
    <row r="317" spans="1:1">
      <c r="A317" t="str">
        <f t="shared" si="5"/>
        <v/>
      </c>
    </row>
    <row r="318" spans="1:1">
      <c r="A318" t="str">
        <f t="shared" si="5"/>
        <v/>
      </c>
    </row>
    <row r="319" spans="1:1">
      <c r="A319" t="str">
        <f t="shared" si="5"/>
        <v/>
      </c>
    </row>
    <row r="320" spans="1:1">
      <c r="A320" t="str">
        <f t="shared" si="5"/>
        <v/>
      </c>
    </row>
    <row r="321" spans="1:1">
      <c r="A321" t="str">
        <f t="shared" si="5"/>
        <v/>
      </c>
    </row>
    <row r="322" spans="1:1">
      <c r="A322" t="str">
        <f t="shared" si="5"/>
        <v/>
      </c>
    </row>
    <row r="323" spans="1:1">
      <c r="A323" t="str">
        <f t="shared" si="5"/>
        <v/>
      </c>
    </row>
    <row r="324" spans="1:1">
      <c r="A324" t="str">
        <f t="shared" si="5"/>
        <v/>
      </c>
    </row>
    <row r="325" spans="1:1">
      <c r="A325" t="str">
        <f t="shared" si="5"/>
        <v/>
      </c>
    </row>
    <row r="326" spans="1:1">
      <c r="A326" t="str">
        <f t="shared" si="5"/>
        <v/>
      </c>
    </row>
    <row r="327" spans="1:1">
      <c r="A327" t="str">
        <f t="shared" ref="A327:A390" si="6">G327&amp;H327&amp;I327&amp;F327</f>
        <v/>
      </c>
    </row>
    <row r="328" spans="1:1">
      <c r="A328" t="str">
        <f t="shared" si="6"/>
        <v/>
      </c>
    </row>
    <row r="329" spans="1:1">
      <c r="A329" t="str">
        <f t="shared" si="6"/>
        <v/>
      </c>
    </row>
    <row r="330" spans="1:1">
      <c r="A330" t="str">
        <f t="shared" si="6"/>
        <v/>
      </c>
    </row>
    <row r="331" spans="1:1">
      <c r="A331" t="str">
        <f t="shared" si="6"/>
        <v/>
      </c>
    </row>
    <row r="332" spans="1:1">
      <c r="A332" t="str">
        <f t="shared" si="6"/>
        <v/>
      </c>
    </row>
    <row r="333" spans="1:1">
      <c r="A333" t="str">
        <f t="shared" si="6"/>
        <v/>
      </c>
    </row>
    <row r="334" spans="1:1">
      <c r="A334" t="str">
        <f t="shared" si="6"/>
        <v/>
      </c>
    </row>
    <row r="335" spans="1:1">
      <c r="A335" t="str">
        <f t="shared" si="6"/>
        <v/>
      </c>
    </row>
    <row r="336" spans="1:1">
      <c r="A336" t="str">
        <f t="shared" si="6"/>
        <v/>
      </c>
    </row>
    <row r="337" spans="1:1">
      <c r="A337" t="str">
        <f t="shared" si="6"/>
        <v/>
      </c>
    </row>
    <row r="338" spans="1:1">
      <c r="A338" t="str">
        <f t="shared" si="6"/>
        <v/>
      </c>
    </row>
    <row r="339" spans="1:1">
      <c r="A339" t="str">
        <f t="shared" si="6"/>
        <v/>
      </c>
    </row>
    <row r="340" spans="1:1">
      <c r="A340" t="str">
        <f t="shared" si="6"/>
        <v/>
      </c>
    </row>
    <row r="341" spans="1:1">
      <c r="A341" t="str">
        <f t="shared" si="6"/>
        <v/>
      </c>
    </row>
    <row r="342" spans="1:1">
      <c r="A342" t="str">
        <f t="shared" si="6"/>
        <v/>
      </c>
    </row>
    <row r="343" spans="1:1">
      <c r="A343" t="str">
        <f t="shared" si="6"/>
        <v/>
      </c>
    </row>
    <row r="344" spans="1:1">
      <c r="A344" t="str">
        <f t="shared" si="6"/>
        <v/>
      </c>
    </row>
    <row r="345" spans="1:1">
      <c r="A345" t="str">
        <f t="shared" si="6"/>
        <v/>
      </c>
    </row>
    <row r="346" spans="1:1">
      <c r="A346" t="str">
        <f t="shared" si="6"/>
        <v/>
      </c>
    </row>
    <row r="347" spans="1:1">
      <c r="A347" t="str">
        <f t="shared" si="6"/>
        <v/>
      </c>
    </row>
    <row r="348" spans="1:1">
      <c r="A348" t="str">
        <f t="shared" si="6"/>
        <v/>
      </c>
    </row>
    <row r="349" spans="1:1">
      <c r="A349" t="str">
        <f t="shared" si="6"/>
        <v/>
      </c>
    </row>
    <row r="350" spans="1:1">
      <c r="A350" t="str">
        <f t="shared" si="6"/>
        <v/>
      </c>
    </row>
    <row r="351" spans="1:1">
      <c r="A351" t="str">
        <f t="shared" si="6"/>
        <v/>
      </c>
    </row>
    <row r="352" spans="1:1">
      <c r="A352" t="str">
        <f t="shared" si="6"/>
        <v/>
      </c>
    </row>
    <row r="353" spans="1:1">
      <c r="A353" t="str">
        <f t="shared" si="6"/>
        <v/>
      </c>
    </row>
    <row r="354" spans="1:1">
      <c r="A354" t="str">
        <f t="shared" si="6"/>
        <v/>
      </c>
    </row>
    <row r="355" spans="1:1">
      <c r="A355" t="str">
        <f t="shared" si="6"/>
        <v/>
      </c>
    </row>
    <row r="356" spans="1:1">
      <c r="A356" t="str">
        <f t="shared" si="6"/>
        <v/>
      </c>
    </row>
    <row r="357" spans="1:1">
      <c r="A357" t="str">
        <f t="shared" si="6"/>
        <v/>
      </c>
    </row>
    <row r="358" spans="1:1">
      <c r="A358" t="str">
        <f t="shared" si="6"/>
        <v/>
      </c>
    </row>
    <row r="359" spans="1:1">
      <c r="A359" t="str">
        <f t="shared" si="6"/>
        <v/>
      </c>
    </row>
    <row r="360" spans="1:1">
      <c r="A360" t="str">
        <f t="shared" si="6"/>
        <v/>
      </c>
    </row>
    <row r="361" spans="1:1">
      <c r="A361" t="str">
        <f t="shared" si="6"/>
        <v/>
      </c>
    </row>
    <row r="362" spans="1:1">
      <c r="A362" t="str">
        <f t="shared" si="6"/>
        <v/>
      </c>
    </row>
    <row r="363" spans="1:1">
      <c r="A363" t="str">
        <f t="shared" si="6"/>
        <v/>
      </c>
    </row>
    <row r="364" spans="1:1">
      <c r="A364" t="str">
        <f t="shared" si="6"/>
        <v/>
      </c>
    </row>
    <row r="365" spans="1:1">
      <c r="A365" t="str">
        <f t="shared" si="6"/>
        <v/>
      </c>
    </row>
    <row r="366" spans="1:1">
      <c r="A366" t="str">
        <f t="shared" si="6"/>
        <v/>
      </c>
    </row>
    <row r="367" spans="1:1">
      <c r="A367" t="str">
        <f t="shared" si="6"/>
        <v/>
      </c>
    </row>
    <row r="368" spans="1:1">
      <c r="A368" t="str">
        <f t="shared" si="6"/>
        <v/>
      </c>
    </row>
    <row r="369" spans="1:1">
      <c r="A369" t="str">
        <f t="shared" si="6"/>
        <v/>
      </c>
    </row>
    <row r="370" spans="1:1">
      <c r="A370" t="str">
        <f t="shared" si="6"/>
        <v/>
      </c>
    </row>
    <row r="371" spans="1:1">
      <c r="A371" t="str">
        <f t="shared" si="6"/>
        <v/>
      </c>
    </row>
    <row r="372" spans="1:1">
      <c r="A372" t="str">
        <f t="shared" si="6"/>
        <v/>
      </c>
    </row>
    <row r="373" spans="1:1">
      <c r="A373" t="str">
        <f t="shared" si="6"/>
        <v/>
      </c>
    </row>
    <row r="374" spans="1:1">
      <c r="A374" t="str">
        <f t="shared" si="6"/>
        <v/>
      </c>
    </row>
    <row r="375" spans="1:1">
      <c r="A375" t="str">
        <f t="shared" si="6"/>
        <v/>
      </c>
    </row>
    <row r="376" spans="1:1">
      <c r="A376" t="str">
        <f t="shared" si="6"/>
        <v/>
      </c>
    </row>
    <row r="377" spans="1:1">
      <c r="A377" t="str">
        <f t="shared" si="6"/>
        <v/>
      </c>
    </row>
    <row r="378" spans="1:1">
      <c r="A378" t="str">
        <f t="shared" si="6"/>
        <v/>
      </c>
    </row>
    <row r="379" spans="1:1">
      <c r="A379" t="str">
        <f t="shared" si="6"/>
        <v/>
      </c>
    </row>
    <row r="380" spans="1:1">
      <c r="A380" t="str">
        <f t="shared" si="6"/>
        <v/>
      </c>
    </row>
    <row r="381" spans="1:1">
      <c r="A381" t="str">
        <f t="shared" si="6"/>
        <v/>
      </c>
    </row>
    <row r="382" spans="1:1">
      <c r="A382" t="str">
        <f t="shared" si="6"/>
        <v/>
      </c>
    </row>
    <row r="383" spans="1:1">
      <c r="A383" t="str">
        <f t="shared" si="6"/>
        <v/>
      </c>
    </row>
    <row r="384" spans="1:1">
      <c r="A384" t="str">
        <f t="shared" si="6"/>
        <v/>
      </c>
    </row>
    <row r="385" spans="1:1">
      <c r="A385" t="str">
        <f t="shared" si="6"/>
        <v/>
      </c>
    </row>
    <row r="386" spans="1:1">
      <c r="A386" t="str">
        <f t="shared" si="6"/>
        <v/>
      </c>
    </row>
    <row r="387" spans="1:1">
      <c r="A387" t="str">
        <f t="shared" si="6"/>
        <v/>
      </c>
    </row>
    <row r="388" spans="1:1">
      <c r="A388" t="str">
        <f t="shared" si="6"/>
        <v/>
      </c>
    </row>
    <row r="389" spans="1:1">
      <c r="A389" t="str">
        <f t="shared" si="6"/>
        <v/>
      </c>
    </row>
    <row r="390" spans="1:1">
      <c r="A390" t="str">
        <f t="shared" si="6"/>
        <v/>
      </c>
    </row>
    <row r="391" spans="1:1">
      <c r="A391" t="str">
        <f t="shared" ref="A391:A454" si="7">G391&amp;H391&amp;I391&amp;F391</f>
        <v/>
      </c>
    </row>
    <row r="392" spans="1:1">
      <c r="A392" t="str">
        <f t="shared" si="7"/>
        <v/>
      </c>
    </row>
    <row r="393" spans="1:1">
      <c r="A393" t="str">
        <f t="shared" si="7"/>
        <v/>
      </c>
    </row>
    <row r="394" spans="1:1">
      <c r="A394" t="str">
        <f t="shared" si="7"/>
        <v/>
      </c>
    </row>
    <row r="395" spans="1:1">
      <c r="A395" t="str">
        <f t="shared" si="7"/>
        <v/>
      </c>
    </row>
    <row r="396" spans="1:1">
      <c r="A396" t="str">
        <f t="shared" si="7"/>
        <v/>
      </c>
    </row>
    <row r="397" spans="1:1">
      <c r="A397" t="str">
        <f t="shared" si="7"/>
        <v/>
      </c>
    </row>
    <row r="398" spans="1:1">
      <c r="A398" t="str">
        <f t="shared" si="7"/>
        <v/>
      </c>
    </row>
    <row r="399" spans="1:1">
      <c r="A399" t="str">
        <f t="shared" si="7"/>
        <v/>
      </c>
    </row>
    <row r="400" spans="1:1">
      <c r="A400" t="str">
        <f t="shared" si="7"/>
        <v/>
      </c>
    </row>
    <row r="401" spans="1:1">
      <c r="A401" t="str">
        <f t="shared" si="7"/>
        <v/>
      </c>
    </row>
    <row r="402" spans="1:1">
      <c r="A402" t="str">
        <f t="shared" si="7"/>
        <v/>
      </c>
    </row>
    <row r="403" spans="1:1">
      <c r="A403" t="str">
        <f t="shared" si="7"/>
        <v/>
      </c>
    </row>
    <row r="404" spans="1:1">
      <c r="A404" t="str">
        <f t="shared" si="7"/>
        <v/>
      </c>
    </row>
    <row r="405" spans="1:1">
      <c r="A405" t="str">
        <f t="shared" si="7"/>
        <v/>
      </c>
    </row>
    <row r="406" spans="1:1">
      <c r="A406" t="str">
        <f t="shared" si="7"/>
        <v/>
      </c>
    </row>
    <row r="407" spans="1:1">
      <c r="A407" t="str">
        <f t="shared" si="7"/>
        <v/>
      </c>
    </row>
    <row r="408" spans="1:1">
      <c r="A408" t="str">
        <f t="shared" si="7"/>
        <v/>
      </c>
    </row>
    <row r="409" spans="1:1">
      <c r="A409" t="str">
        <f t="shared" si="7"/>
        <v/>
      </c>
    </row>
    <row r="410" spans="1:1">
      <c r="A410" t="str">
        <f t="shared" si="7"/>
        <v/>
      </c>
    </row>
    <row r="411" spans="1:1">
      <c r="A411" t="str">
        <f t="shared" si="7"/>
        <v/>
      </c>
    </row>
    <row r="412" spans="1:1">
      <c r="A412" t="str">
        <f t="shared" si="7"/>
        <v/>
      </c>
    </row>
    <row r="413" spans="1:1">
      <c r="A413" t="str">
        <f t="shared" si="7"/>
        <v/>
      </c>
    </row>
    <row r="414" spans="1:1">
      <c r="A414" t="str">
        <f t="shared" si="7"/>
        <v/>
      </c>
    </row>
    <row r="415" spans="1:1">
      <c r="A415" t="str">
        <f t="shared" si="7"/>
        <v/>
      </c>
    </row>
    <row r="416" spans="1:1">
      <c r="A416" t="str">
        <f t="shared" si="7"/>
        <v/>
      </c>
    </row>
    <row r="417" spans="1:1">
      <c r="A417" t="str">
        <f t="shared" si="7"/>
        <v/>
      </c>
    </row>
    <row r="418" spans="1:1">
      <c r="A418" t="str">
        <f t="shared" si="7"/>
        <v/>
      </c>
    </row>
    <row r="419" spans="1:1">
      <c r="A419" t="str">
        <f t="shared" si="7"/>
        <v/>
      </c>
    </row>
    <row r="420" spans="1:1">
      <c r="A420" t="str">
        <f t="shared" si="7"/>
        <v/>
      </c>
    </row>
    <row r="421" spans="1:1">
      <c r="A421" t="str">
        <f t="shared" si="7"/>
        <v/>
      </c>
    </row>
    <row r="422" spans="1:1">
      <c r="A422" t="str">
        <f t="shared" si="7"/>
        <v/>
      </c>
    </row>
    <row r="423" spans="1:1">
      <c r="A423" t="str">
        <f t="shared" si="7"/>
        <v/>
      </c>
    </row>
    <row r="424" spans="1:1">
      <c r="A424" t="str">
        <f t="shared" si="7"/>
        <v/>
      </c>
    </row>
    <row r="425" spans="1:1">
      <c r="A425" t="str">
        <f t="shared" si="7"/>
        <v/>
      </c>
    </row>
    <row r="426" spans="1:1">
      <c r="A426" t="str">
        <f t="shared" si="7"/>
        <v/>
      </c>
    </row>
    <row r="427" spans="1:1">
      <c r="A427" t="str">
        <f t="shared" si="7"/>
        <v/>
      </c>
    </row>
    <row r="428" spans="1:1">
      <c r="A428" t="str">
        <f t="shared" si="7"/>
        <v/>
      </c>
    </row>
    <row r="429" spans="1:1">
      <c r="A429" t="str">
        <f t="shared" si="7"/>
        <v/>
      </c>
    </row>
    <row r="430" spans="1:1">
      <c r="A430" t="str">
        <f t="shared" si="7"/>
        <v/>
      </c>
    </row>
    <row r="431" spans="1:1">
      <c r="A431" t="str">
        <f t="shared" si="7"/>
        <v/>
      </c>
    </row>
    <row r="432" spans="1:1">
      <c r="A432" t="str">
        <f t="shared" si="7"/>
        <v/>
      </c>
    </row>
    <row r="433" spans="1:1">
      <c r="A433" t="str">
        <f t="shared" si="7"/>
        <v/>
      </c>
    </row>
    <row r="434" spans="1:1">
      <c r="A434" t="str">
        <f t="shared" si="7"/>
        <v/>
      </c>
    </row>
    <row r="435" spans="1:1">
      <c r="A435" t="str">
        <f t="shared" si="7"/>
        <v/>
      </c>
    </row>
    <row r="436" spans="1:1">
      <c r="A436" t="str">
        <f t="shared" si="7"/>
        <v/>
      </c>
    </row>
    <row r="437" spans="1:1">
      <c r="A437" t="str">
        <f t="shared" si="7"/>
        <v/>
      </c>
    </row>
    <row r="438" spans="1:1">
      <c r="A438" t="str">
        <f t="shared" si="7"/>
        <v/>
      </c>
    </row>
    <row r="439" spans="1:1">
      <c r="A439" t="str">
        <f t="shared" si="7"/>
        <v/>
      </c>
    </row>
    <row r="440" spans="1:1">
      <c r="A440" t="str">
        <f t="shared" si="7"/>
        <v/>
      </c>
    </row>
    <row r="441" spans="1:1">
      <c r="A441" t="str">
        <f t="shared" si="7"/>
        <v/>
      </c>
    </row>
    <row r="442" spans="1:1">
      <c r="A442" t="str">
        <f t="shared" si="7"/>
        <v/>
      </c>
    </row>
    <row r="443" spans="1:1">
      <c r="A443" t="str">
        <f t="shared" si="7"/>
        <v/>
      </c>
    </row>
    <row r="444" spans="1:1">
      <c r="A444" t="str">
        <f t="shared" si="7"/>
        <v/>
      </c>
    </row>
    <row r="445" spans="1:1">
      <c r="A445" t="str">
        <f t="shared" si="7"/>
        <v/>
      </c>
    </row>
    <row r="446" spans="1:1">
      <c r="A446" t="str">
        <f t="shared" si="7"/>
        <v/>
      </c>
    </row>
    <row r="447" spans="1:1">
      <c r="A447" t="str">
        <f t="shared" si="7"/>
        <v/>
      </c>
    </row>
    <row r="448" spans="1:1">
      <c r="A448" t="str">
        <f t="shared" si="7"/>
        <v/>
      </c>
    </row>
    <row r="449" spans="1:1">
      <c r="A449" t="str">
        <f t="shared" si="7"/>
        <v/>
      </c>
    </row>
    <row r="450" spans="1:1">
      <c r="A450" t="str">
        <f t="shared" si="7"/>
        <v/>
      </c>
    </row>
    <row r="451" spans="1:1">
      <c r="A451" t="str">
        <f t="shared" si="7"/>
        <v/>
      </c>
    </row>
    <row r="452" spans="1:1">
      <c r="A452" t="str">
        <f t="shared" si="7"/>
        <v/>
      </c>
    </row>
    <row r="453" spans="1:1">
      <c r="A453" t="str">
        <f t="shared" si="7"/>
        <v/>
      </c>
    </row>
    <row r="454" spans="1:1">
      <c r="A454" t="str">
        <f t="shared" si="7"/>
        <v/>
      </c>
    </row>
    <row r="455" spans="1:1">
      <c r="A455" t="str">
        <f t="shared" ref="A455:A518" si="8">G455&amp;H455&amp;I455&amp;F455</f>
        <v/>
      </c>
    </row>
    <row r="456" spans="1:1">
      <c r="A456" t="str">
        <f t="shared" si="8"/>
        <v/>
      </c>
    </row>
    <row r="457" spans="1:1">
      <c r="A457" t="str">
        <f t="shared" si="8"/>
        <v/>
      </c>
    </row>
    <row r="458" spans="1:1">
      <c r="A458" t="str">
        <f t="shared" si="8"/>
        <v/>
      </c>
    </row>
    <row r="459" spans="1:1">
      <c r="A459" t="str">
        <f t="shared" si="8"/>
        <v/>
      </c>
    </row>
    <row r="460" spans="1:1">
      <c r="A460" t="str">
        <f t="shared" si="8"/>
        <v/>
      </c>
    </row>
    <row r="461" spans="1:1">
      <c r="A461" t="str">
        <f t="shared" si="8"/>
        <v/>
      </c>
    </row>
    <row r="462" spans="1:1">
      <c r="A462" t="str">
        <f t="shared" si="8"/>
        <v/>
      </c>
    </row>
    <row r="463" spans="1:1">
      <c r="A463" t="str">
        <f t="shared" si="8"/>
        <v/>
      </c>
    </row>
    <row r="464" spans="1:1">
      <c r="A464" t="str">
        <f t="shared" si="8"/>
        <v/>
      </c>
    </row>
    <row r="465" spans="1:1">
      <c r="A465" t="str">
        <f t="shared" si="8"/>
        <v/>
      </c>
    </row>
    <row r="466" spans="1:1">
      <c r="A466" t="str">
        <f t="shared" si="8"/>
        <v/>
      </c>
    </row>
    <row r="467" spans="1:1">
      <c r="A467" t="str">
        <f t="shared" si="8"/>
        <v/>
      </c>
    </row>
    <row r="468" spans="1:1">
      <c r="A468" t="str">
        <f t="shared" si="8"/>
        <v/>
      </c>
    </row>
    <row r="469" spans="1:1">
      <c r="A469" t="str">
        <f t="shared" si="8"/>
        <v/>
      </c>
    </row>
    <row r="470" spans="1:1">
      <c r="A470" t="str">
        <f t="shared" si="8"/>
        <v/>
      </c>
    </row>
    <row r="471" spans="1:1">
      <c r="A471" t="str">
        <f t="shared" si="8"/>
        <v/>
      </c>
    </row>
    <row r="472" spans="1:1">
      <c r="A472" t="str">
        <f t="shared" si="8"/>
        <v/>
      </c>
    </row>
    <row r="473" spans="1:1">
      <c r="A473" t="str">
        <f t="shared" si="8"/>
        <v/>
      </c>
    </row>
    <row r="474" spans="1:1">
      <c r="A474" t="str">
        <f t="shared" si="8"/>
        <v/>
      </c>
    </row>
    <row r="475" spans="1:1">
      <c r="A475" t="str">
        <f t="shared" si="8"/>
        <v/>
      </c>
    </row>
    <row r="476" spans="1:1">
      <c r="A476" t="str">
        <f t="shared" si="8"/>
        <v/>
      </c>
    </row>
    <row r="477" spans="1:1">
      <c r="A477" t="str">
        <f t="shared" si="8"/>
        <v/>
      </c>
    </row>
    <row r="478" spans="1:1">
      <c r="A478" t="str">
        <f t="shared" si="8"/>
        <v/>
      </c>
    </row>
    <row r="479" spans="1:1">
      <c r="A479" t="str">
        <f t="shared" si="8"/>
        <v/>
      </c>
    </row>
    <row r="480" spans="1:1">
      <c r="A480" t="str">
        <f t="shared" si="8"/>
        <v/>
      </c>
    </row>
    <row r="481" spans="1:1">
      <c r="A481" t="str">
        <f t="shared" si="8"/>
        <v/>
      </c>
    </row>
    <row r="482" spans="1:1">
      <c r="A482" t="str">
        <f t="shared" si="8"/>
        <v/>
      </c>
    </row>
    <row r="483" spans="1:1">
      <c r="A483" t="str">
        <f t="shared" si="8"/>
        <v/>
      </c>
    </row>
    <row r="484" spans="1:1">
      <c r="A484" t="str">
        <f t="shared" si="8"/>
        <v/>
      </c>
    </row>
    <row r="485" spans="1:1">
      <c r="A485" t="str">
        <f t="shared" si="8"/>
        <v/>
      </c>
    </row>
    <row r="486" spans="1:1">
      <c r="A486" t="str">
        <f t="shared" si="8"/>
        <v/>
      </c>
    </row>
    <row r="487" spans="1:1">
      <c r="A487" t="str">
        <f t="shared" si="8"/>
        <v/>
      </c>
    </row>
    <row r="488" spans="1:1">
      <c r="A488" t="str">
        <f t="shared" si="8"/>
        <v/>
      </c>
    </row>
    <row r="489" spans="1:1">
      <c r="A489" t="str">
        <f t="shared" si="8"/>
        <v/>
      </c>
    </row>
    <row r="490" spans="1:1">
      <c r="A490" t="str">
        <f t="shared" si="8"/>
        <v/>
      </c>
    </row>
    <row r="491" spans="1:1">
      <c r="A491" t="str">
        <f t="shared" si="8"/>
        <v/>
      </c>
    </row>
    <row r="492" spans="1:1">
      <c r="A492" t="str">
        <f t="shared" si="8"/>
        <v/>
      </c>
    </row>
    <row r="493" spans="1:1">
      <c r="A493" t="str">
        <f t="shared" si="8"/>
        <v/>
      </c>
    </row>
    <row r="494" spans="1:1">
      <c r="A494" t="str">
        <f t="shared" si="8"/>
        <v/>
      </c>
    </row>
    <row r="495" spans="1:1">
      <c r="A495" t="str">
        <f t="shared" si="8"/>
        <v/>
      </c>
    </row>
    <row r="496" spans="1:1">
      <c r="A496" t="str">
        <f t="shared" si="8"/>
        <v/>
      </c>
    </row>
    <row r="497" spans="1:1">
      <c r="A497" t="str">
        <f t="shared" si="8"/>
        <v/>
      </c>
    </row>
    <row r="498" spans="1:1">
      <c r="A498" t="str">
        <f t="shared" si="8"/>
        <v/>
      </c>
    </row>
    <row r="499" spans="1:1">
      <c r="A499" t="str">
        <f t="shared" si="8"/>
        <v/>
      </c>
    </row>
    <row r="500" spans="1:1">
      <c r="A500" t="str">
        <f t="shared" si="8"/>
        <v/>
      </c>
    </row>
    <row r="501" spans="1:1">
      <c r="A501" t="str">
        <f t="shared" si="8"/>
        <v/>
      </c>
    </row>
    <row r="502" spans="1:1">
      <c r="A502" t="str">
        <f t="shared" si="8"/>
        <v/>
      </c>
    </row>
    <row r="503" spans="1:1">
      <c r="A503" t="str">
        <f t="shared" si="8"/>
        <v/>
      </c>
    </row>
    <row r="504" spans="1:1">
      <c r="A504" t="str">
        <f t="shared" si="8"/>
        <v/>
      </c>
    </row>
    <row r="505" spans="1:1">
      <c r="A505" t="str">
        <f t="shared" si="8"/>
        <v/>
      </c>
    </row>
    <row r="506" spans="1:1">
      <c r="A506" t="str">
        <f t="shared" si="8"/>
        <v/>
      </c>
    </row>
    <row r="507" spans="1:1">
      <c r="A507" t="str">
        <f t="shared" si="8"/>
        <v/>
      </c>
    </row>
    <row r="508" spans="1:1">
      <c r="A508" t="str">
        <f t="shared" si="8"/>
        <v/>
      </c>
    </row>
    <row r="509" spans="1:1">
      <c r="A509" t="str">
        <f t="shared" si="8"/>
        <v/>
      </c>
    </row>
    <row r="510" spans="1:1">
      <c r="A510" t="str">
        <f t="shared" si="8"/>
        <v/>
      </c>
    </row>
    <row r="511" spans="1:1">
      <c r="A511" t="str">
        <f t="shared" si="8"/>
        <v/>
      </c>
    </row>
    <row r="512" spans="1:1">
      <c r="A512" t="str">
        <f t="shared" si="8"/>
        <v/>
      </c>
    </row>
    <row r="513" spans="1:1">
      <c r="A513" t="str">
        <f t="shared" si="8"/>
        <v/>
      </c>
    </row>
    <row r="514" spans="1:1">
      <c r="A514" t="str">
        <f t="shared" si="8"/>
        <v/>
      </c>
    </row>
    <row r="515" spans="1:1">
      <c r="A515" t="str">
        <f t="shared" si="8"/>
        <v/>
      </c>
    </row>
    <row r="516" spans="1:1">
      <c r="A516" t="str">
        <f t="shared" si="8"/>
        <v/>
      </c>
    </row>
    <row r="517" spans="1:1">
      <c r="A517" t="str">
        <f t="shared" si="8"/>
        <v/>
      </c>
    </row>
    <row r="518" spans="1:1">
      <c r="A518" t="str">
        <f t="shared" si="8"/>
        <v/>
      </c>
    </row>
    <row r="519" spans="1:1">
      <c r="A519" t="str">
        <f t="shared" ref="A519:A582" si="9">G519&amp;H519&amp;I519&amp;F519</f>
        <v/>
      </c>
    </row>
    <row r="520" spans="1:1">
      <c r="A520" t="str">
        <f t="shared" si="9"/>
        <v/>
      </c>
    </row>
    <row r="521" spans="1:1">
      <c r="A521" t="str">
        <f t="shared" si="9"/>
        <v/>
      </c>
    </row>
    <row r="522" spans="1:1">
      <c r="A522" t="str">
        <f t="shared" si="9"/>
        <v/>
      </c>
    </row>
    <row r="523" spans="1:1">
      <c r="A523" t="str">
        <f t="shared" si="9"/>
        <v/>
      </c>
    </row>
    <row r="524" spans="1:1">
      <c r="A524" t="str">
        <f t="shared" si="9"/>
        <v/>
      </c>
    </row>
    <row r="525" spans="1:1">
      <c r="A525" t="str">
        <f t="shared" si="9"/>
        <v/>
      </c>
    </row>
    <row r="526" spans="1:1">
      <c r="A526" t="str">
        <f t="shared" si="9"/>
        <v/>
      </c>
    </row>
    <row r="527" spans="1:1">
      <c r="A527" t="str">
        <f t="shared" si="9"/>
        <v/>
      </c>
    </row>
    <row r="528" spans="1:1">
      <c r="A528" t="str">
        <f t="shared" si="9"/>
        <v/>
      </c>
    </row>
    <row r="529" spans="1:1">
      <c r="A529" t="str">
        <f t="shared" si="9"/>
        <v/>
      </c>
    </row>
    <row r="530" spans="1:1">
      <c r="A530" t="str">
        <f t="shared" si="9"/>
        <v/>
      </c>
    </row>
    <row r="531" spans="1:1">
      <c r="A531" t="str">
        <f t="shared" si="9"/>
        <v/>
      </c>
    </row>
    <row r="532" spans="1:1">
      <c r="A532" t="str">
        <f t="shared" si="9"/>
        <v/>
      </c>
    </row>
    <row r="533" spans="1:1">
      <c r="A533" t="str">
        <f t="shared" si="9"/>
        <v/>
      </c>
    </row>
    <row r="534" spans="1:1">
      <c r="A534" t="str">
        <f t="shared" si="9"/>
        <v/>
      </c>
    </row>
    <row r="535" spans="1:1">
      <c r="A535" t="str">
        <f t="shared" si="9"/>
        <v/>
      </c>
    </row>
    <row r="536" spans="1:1">
      <c r="A536" t="str">
        <f t="shared" si="9"/>
        <v/>
      </c>
    </row>
    <row r="537" spans="1:1">
      <c r="A537" t="str">
        <f t="shared" si="9"/>
        <v/>
      </c>
    </row>
    <row r="538" spans="1:1">
      <c r="A538" t="str">
        <f t="shared" si="9"/>
        <v/>
      </c>
    </row>
    <row r="539" spans="1:1">
      <c r="A539" t="str">
        <f t="shared" si="9"/>
        <v/>
      </c>
    </row>
    <row r="540" spans="1:1">
      <c r="A540" t="str">
        <f t="shared" si="9"/>
        <v/>
      </c>
    </row>
    <row r="541" spans="1:1">
      <c r="A541" t="str">
        <f t="shared" si="9"/>
        <v/>
      </c>
    </row>
    <row r="542" spans="1:1">
      <c r="A542" t="str">
        <f t="shared" si="9"/>
        <v/>
      </c>
    </row>
    <row r="543" spans="1:1">
      <c r="A543" t="str">
        <f t="shared" si="9"/>
        <v/>
      </c>
    </row>
    <row r="544" spans="1:1">
      <c r="A544" t="str">
        <f t="shared" si="9"/>
        <v/>
      </c>
    </row>
    <row r="545" spans="1:1">
      <c r="A545" t="str">
        <f t="shared" si="9"/>
        <v/>
      </c>
    </row>
    <row r="546" spans="1:1">
      <c r="A546" t="str">
        <f t="shared" si="9"/>
        <v/>
      </c>
    </row>
    <row r="547" spans="1:1">
      <c r="A547" t="str">
        <f t="shared" si="9"/>
        <v/>
      </c>
    </row>
    <row r="548" spans="1:1">
      <c r="A548" t="str">
        <f t="shared" si="9"/>
        <v/>
      </c>
    </row>
    <row r="549" spans="1:1">
      <c r="A549" t="str">
        <f t="shared" si="9"/>
        <v/>
      </c>
    </row>
    <row r="550" spans="1:1">
      <c r="A550" t="str">
        <f t="shared" si="9"/>
        <v/>
      </c>
    </row>
    <row r="551" spans="1:1">
      <c r="A551" t="str">
        <f t="shared" si="9"/>
        <v/>
      </c>
    </row>
    <row r="552" spans="1:1">
      <c r="A552" t="str">
        <f t="shared" si="9"/>
        <v/>
      </c>
    </row>
    <row r="553" spans="1:1">
      <c r="A553" t="str">
        <f t="shared" si="9"/>
        <v/>
      </c>
    </row>
    <row r="554" spans="1:1">
      <c r="A554" t="str">
        <f t="shared" si="9"/>
        <v/>
      </c>
    </row>
    <row r="555" spans="1:1">
      <c r="A555" t="str">
        <f t="shared" si="9"/>
        <v/>
      </c>
    </row>
    <row r="556" spans="1:1">
      <c r="A556" t="str">
        <f t="shared" si="9"/>
        <v/>
      </c>
    </row>
    <row r="557" spans="1:1">
      <c r="A557" t="str">
        <f t="shared" si="9"/>
        <v/>
      </c>
    </row>
    <row r="558" spans="1:1">
      <c r="A558" t="str">
        <f t="shared" si="9"/>
        <v/>
      </c>
    </row>
    <row r="559" spans="1:1">
      <c r="A559" t="str">
        <f t="shared" si="9"/>
        <v/>
      </c>
    </row>
    <row r="560" spans="1:1">
      <c r="A560" t="str">
        <f t="shared" si="9"/>
        <v/>
      </c>
    </row>
    <row r="561" spans="1:1">
      <c r="A561" t="str">
        <f t="shared" si="9"/>
        <v/>
      </c>
    </row>
    <row r="562" spans="1:1">
      <c r="A562" t="str">
        <f t="shared" si="9"/>
        <v/>
      </c>
    </row>
    <row r="563" spans="1:1">
      <c r="A563" t="str">
        <f t="shared" si="9"/>
        <v/>
      </c>
    </row>
    <row r="564" spans="1:1">
      <c r="A564" t="str">
        <f t="shared" si="9"/>
        <v/>
      </c>
    </row>
    <row r="565" spans="1:1">
      <c r="A565" t="str">
        <f t="shared" si="9"/>
        <v/>
      </c>
    </row>
    <row r="566" spans="1:1">
      <c r="A566" t="str">
        <f t="shared" si="9"/>
        <v/>
      </c>
    </row>
    <row r="567" spans="1:1">
      <c r="A567" t="str">
        <f t="shared" si="9"/>
        <v/>
      </c>
    </row>
    <row r="568" spans="1:1">
      <c r="A568" t="str">
        <f t="shared" si="9"/>
        <v/>
      </c>
    </row>
    <row r="569" spans="1:1">
      <c r="A569" t="str">
        <f t="shared" si="9"/>
        <v/>
      </c>
    </row>
    <row r="570" spans="1:1">
      <c r="A570" t="str">
        <f t="shared" si="9"/>
        <v/>
      </c>
    </row>
    <row r="571" spans="1:1">
      <c r="A571" t="str">
        <f t="shared" si="9"/>
        <v/>
      </c>
    </row>
    <row r="572" spans="1:1">
      <c r="A572" t="str">
        <f t="shared" si="9"/>
        <v/>
      </c>
    </row>
    <row r="573" spans="1:1">
      <c r="A573" t="str">
        <f t="shared" si="9"/>
        <v/>
      </c>
    </row>
    <row r="574" spans="1:1">
      <c r="A574" t="str">
        <f t="shared" si="9"/>
        <v/>
      </c>
    </row>
    <row r="575" spans="1:1">
      <c r="A575" t="str">
        <f t="shared" si="9"/>
        <v/>
      </c>
    </row>
    <row r="576" spans="1:1">
      <c r="A576" t="str">
        <f t="shared" si="9"/>
        <v/>
      </c>
    </row>
    <row r="577" spans="1:1">
      <c r="A577" t="str">
        <f t="shared" si="9"/>
        <v/>
      </c>
    </row>
    <row r="578" spans="1:1">
      <c r="A578" t="str">
        <f t="shared" si="9"/>
        <v/>
      </c>
    </row>
    <row r="579" spans="1:1">
      <c r="A579" t="str">
        <f t="shared" si="9"/>
        <v/>
      </c>
    </row>
    <row r="580" spans="1:1">
      <c r="A580" t="str">
        <f t="shared" si="9"/>
        <v/>
      </c>
    </row>
    <row r="581" spans="1:1">
      <c r="A581" t="str">
        <f t="shared" si="9"/>
        <v/>
      </c>
    </row>
    <row r="582" spans="1:1">
      <c r="A582" t="str">
        <f t="shared" si="9"/>
        <v/>
      </c>
    </row>
    <row r="583" spans="1:1">
      <c r="A583" t="str">
        <f t="shared" ref="A583:A646" si="10">G583&amp;H583&amp;I583&amp;F583</f>
        <v/>
      </c>
    </row>
    <row r="584" spans="1:1">
      <c r="A584" t="str">
        <f t="shared" si="10"/>
        <v/>
      </c>
    </row>
    <row r="585" spans="1:1">
      <c r="A585" t="str">
        <f t="shared" si="10"/>
        <v/>
      </c>
    </row>
    <row r="586" spans="1:1">
      <c r="A586" t="str">
        <f t="shared" si="10"/>
        <v/>
      </c>
    </row>
    <row r="587" spans="1:1">
      <c r="A587" t="str">
        <f t="shared" si="10"/>
        <v/>
      </c>
    </row>
    <row r="588" spans="1:1">
      <c r="A588" t="str">
        <f t="shared" si="10"/>
        <v/>
      </c>
    </row>
    <row r="589" spans="1:1">
      <c r="A589" t="str">
        <f t="shared" si="10"/>
        <v/>
      </c>
    </row>
    <row r="590" spans="1:1">
      <c r="A590" t="str">
        <f t="shared" si="10"/>
        <v/>
      </c>
    </row>
    <row r="591" spans="1:1">
      <c r="A591" t="str">
        <f t="shared" si="10"/>
        <v/>
      </c>
    </row>
    <row r="592" spans="1:1">
      <c r="A592" t="str">
        <f t="shared" si="10"/>
        <v/>
      </c>
    </row>
    <row r="593" spans="1:1">
      <c r="A593" t="str">
        <f t="shared" si="10"/>
        <v/>
      </c>
    </row>
    <row r="594" spans="1:1">
      <c r="A594" t="str">
        <f t="shared" si="10"/>
        <v/>
      </c>
    </row>
    <row r="595" spans="1:1">
      <c r="A595" t="str">
        <f t="shared" si="10"/>
        <v/>
      </c>
    </row>
    <row r="596" spans="1:1">
      <c r="A596" t="str">
        <f t="shared" si="10"/>
        <v/>
      </c>
    </row>
    <row r="597" spans="1:1">
      <c r="A597" t="str">
        <f t="shared" si="10"/>
        <v/>
      </c>
    </row>
    <row r="598" spans="1:1">
      <c r="A598" t="str">
        <f t="shared" si="10"/>
        <v/>
      </c>
    </row>
    <row r="599" spans="1:1">
      <c r="A599" t="str">
        <f t="shared" si="10"/>
        <v/>
      </c>
    </row>
    <row r="600" spans="1:1">
      <c r="A600" t="str">
        <f t="shared" si="10"/>
        <v/>
      </c>
    </row>
    <row r="601" spans="1:1">
      <c r="A601" t="str">
        <f t="shared" si="10"/>
        <v/>
      </c>
    </row>
    <row r="602" spans="1:1">
      <c r="A602" t="str">
        <f t="shared" si="10"/>
        <v/>
      </c>
    </row>
    <row r="603" spans="1:1">
      <c r="A603" t="str">
        <f t="shared" si="10"/>
        <v/>
      </c>
    </row>
    <row r="604" spans="1:1">
      <c r="A604" t="str">
        <f t="shared" si="10"/>
        <v/>
      </c>
    </row>
    <row r="605" spans="1:1">
      <c r="A605" t="str">
        <f t="shared" si="10"/>
        <v/>
      </c>
    </row>
    <row r="606" spans="1:1">
      <c r="A606" t="str">
        <f t="shared" si="10"/>
        <v/>
      </c>
    </row>
    <row r="607" spans="1:1">
      <c r="A607" t="str">
        <f t="shared" si="10"/>
        <v/>
      </c>
    </row>
    <row r="608" spans="1:1">
      <c r="A608" t="str">
        <f t="shared" si="10"/>
        <v/>
      </c>
    </row>
    <row r="609" spans="1:1">
      <c r="A609" t="str">
        <f t="shared" si="10"/>
        <v/>
      </c>
    </row>
    <row r="610" spans="1:1">
      <c r="A610" t="str">
        <f t="shared" si="10"/>
        <v/>
      </c>
    </row>
    <row r="611" spans="1:1">
      <c r="A611" t="str">
        <f t="shared" si="10"/>
        <v/>
      </c>
    </row>
    <row r="612" spans="1:1">
      <c r="A612" t="str">
        <f t="shared" si="10"/>
        <v/>
      </c>
    </row>
    <row r="613" spans="1:1">
      <c r="A613" t="str">
        <f t="shared" si="10"/>
        <v/>
      </c>
    </row>
    <row r="614" spans="1:1">
      <c r="A614" t="str">
        <f t="shared" si="10"/>
        <v/>
      </c>
    </row>
    <row r="615" spans="1:1">
      <c r="A615" t="str">
        <f t="shared" si="10"/>
        <v/>
      </c>
    </row>
    <row r="616" spans="1:1">
      <c r="A616" t="str">
        <f t="shared" si="10"/>
        <v/>
      </c>
    </row>
    <row r="617" spans="1:1">
      <c r="A617" t="str">
        <f t="shared" si="10"/>
        <v/>
      </c>
    </row>
    <row r="618" spans="1:1">
      <c r="A618" t="str">
        <f t="shared" si="10"/>
        <v/>
      </c>
    </row>
    <row r="619" spans="1:1">
      <c r="A619" t="str">
        <f t="shared" si="10"/>
        <v/>
      </c>
    </row>
    <row r="620" spans="1:1">
      <c r="A620" t="str">
        <f t="shared" si="10"/>
        <v/>
      </c>
    </row>
    <row r="621" spans="1:1">
      <c r="A621" t="str">
        <f t="shared" si="10"/>
        <v/>
      </c>
    </row>
    <row r="622" spans="1:1">
      <c r="A622" t="str">
        <f t="shared" si="10"/>
        <v/>
      </c>
    </row>
    <row r="623" spans="1:1">
      <c r="A623" t="str">
        <f t="shared" si="10"/>
        <v/>
      </c>
    </row>
    <row r="624" spans="1:1">
      <c r="A624" t="str">
        <f t="shared" si="10"/>
        <v/>
      </c>
    </row>
    <row r="625" spans="1:1">
      <c r="A625" t="str">
        <f t="shared" si="10"/>
        <v/>
      </c>
    </row>
    <row r="626" spans="1:1">
      <c r="A626" t="str">
        <f t="shared" si="10"/>
        <v/>
      </c>
    </row>
    <row r="627" spans="1:1">
      <c r="A627" t="str">
        <f t="shared" si="10"/>
        <v/>
      </c>
    </row>
    <row r="628" spans="1:1">
      <c r="A628" t="str">
        <f t="shared" si="10"/>
        <v/>
      </c>
    </row>
    <row r="629" spans="1:1">
      <c r="A629" t="str">
        <f t="shared" si="10"/>
        <v/>
      </c>
    </row>
    <row r="630" spans="1:1">
      <c r="A630" t="str">
        <f t="shared" si="10"/>
        <v/>
      </c>
    </row>
    <row r="631" spans="1:1">
      <c r="A631" t="str">
        <f t="shared" si="10"/>
        <v/>
      </c>
    </row>
    <row r="632" spans="1:1">
      <c r="A632" t="str">
        <f t="shared" si="10"/>
        <v/>
      </c>
    </row>
    <row r="633" spans="1:1">
      <c r="A633" t="str">
        <f t="shared" si="10"/>
        <v/>
      </c>
    </row>
    <row r="634" spans="1:1">
      <c r="A634" t="str">
        <f t="shared" si="10"/>
        <v/>
      </c>
    </row>
    <row r="635" spans="1:1">
      <c r="A635" t="str">
        <f t="shared" si="10"/>
        <v/>
      </c>
    </row>
    <row r="636" spans="1:1">
      <c r="A636" t="str">
        <f t="shared" si="10"/>
        <v/>
      </c>
    </row>
    <row r="637" spans="1:1">
      <c r="A637" t="str">
        <f t="shared" si="10"/>
        <v/>
      </c>
    </row>
    <row r="638" spans="1:1">
      <c r="A638" t="str">
        <f t="shared" si="10"/>
        <v/>
      </c>
    </row>
    <row r="639" spans="1:1">
      <c r="A639" t="str">
        <f t="shared" si="10"/>
        <v/>
      </c>
    </row>
    <row r="640" spans="1:1">
      <c r="A640" t="str">
        <f t="shared" si="10"/>
        <v/>
      </c>
    </row>
    <row r="641" spans="1:1">
      <c r="A641" t="str">
        <f t="shared" si="10"/>
        <v/>
      </c>
    </row>
    <row r="642" spans="1:1">
      <c r="A642" t="str">
        <f t="shared" si="10"/>
        <v/>
      </c>
    </row>
    <row r="643" spans="1:1">
      <c r="A643" t="str">
        <f t="shared" si="10"/>
        <v/>
      </c>
    </row>
    <row r="644" spans="1:1">
      <c r="A644" t="str">
        <f t="shared" si="10"/>
        <v/>
      </c>
    </row>
    <row r="645" spans="1:1">
      <c r="A645" t="str">
        <f t="shared" si="10"/>
        <v/>
      </c>
    </row>
    <row r="646" spans="1:1">
      <c r="A646" t="str">
        <f t="shared" si="10"/>
        <v/>
      </c>
    </row>
    <row r="647" spans="1:1">
      <c r="A647" t="str">
        <f t="shared" ref="A647:A710" si="11">G647&amp;H647&amp;I647&amp;F647</f>
        <v/>
      </c>
    </row>
    <row r="648" spans="1:1">
      <c r="A648" t="str">
        <f t="shared" si="11"/>
        <v/>
      </c>
    </row>
    <row r="649" spans="1:1">
      <c r="A649" t="str">
        <f t="shared" si="11"/>
        <v/>
      </c>
    </row>
    <row r="650" spans="1:1">
      <c r="A650" t="str">
        <f t="shared" si="11"/>
        <v/>
      </c>
    </row>
    <row r="651" spans="1:1">
      <c r="A651" t="str">
        <f t="shared" si="11"/>
        <v/>
      </c>
    </row>
    <row r="652" spans="1:1">
      <c r="A652" t="str">
        <f t="shared" si="11"/>
        <v/>
      </c>
    </row>
    <row r="653" spans="1:1">
      <c r="A653" t="str">
        <f t="shared" si="11"/>
        <v/>
      </c>
    </row>
    <row r="654" spans="1:1">
      <c r="A654" t="str">
        <f t="shared" si="11"/>
        <v/>
      </c>
    </row>
    <row r="655" spans="1:1">
      <c r="A655" t="str">
        <f t="shared" si="11"/>
        <v/>
      </c>
    </row>
    <row r="656" spans="1:1">
      <c r="A656" t="str">
        <f t="shared" si="11"/>
        <v/>
      </c>
    </row>
    <row r="657" spans="1:1">
      <c r="A657" t="str">
        <f t="shared" si="11"/>
        <v/>
      </c>
    </row>
    <row r="658" spans="1:1">
      <c r="A658" t="str">
        <f t="shared" si="11"/>
        <v/>
      </c>
    </row>
    <row r="659" spans="1:1">
      <c r="A659" t="str">
        <f t="shared" si="11"/>
        <v/>
      </c>
    </row>
    <row r="660" spans="1:1">
      <c r="A660" t="str">
        <f t="shared" si="11"/>
        <v/>
      </c>
    </row>
    <row r="661" spans="1:1">
      <c r="A661" t="str">
        <f t="shared" si="11"/>
        <v/>
      </c>
    </row>
    <row r="662" spans="1:1">
      <c r="A662" t="str">
        <f t="shared" si="11"/>
        <v/>
      </c>
    </row>
    <row r="663" spans="1:1">
      <c r="A663" t="str">
        <f t="shared" si="11"/>
        <v/>
      </c>
    </row>
    <row r="664" spans="1:1">
      <c r="A664" t="str">
        <f t="shared" si="11"/>
        <v/>
      </c>
    </row>
    <row r="665" spans="1:1">
      <c r="A665" t="str">
        <f t="shared" si="11"/>
        <v/>
      </c>
    </row>
    <row r="666" spans="1:1">
      <c r="A666" t="str">
        <f t="shared" si="11"/>
        <v/>
      </c>
    </row>
    <row r="667" spans="1:1">
      <c r="A667" t="str">
        <f t="shared" si="11"/>
        <v/>
      </c>
    </row>
    <row r="668" spans="1:1">
      <c r="A668" t="str">
        <f t="shared" si="11"/>
        <v/>
      </c>
    </row>
    <row r="669" spans="1:1">
      <c r="A669" t="str">
        <f t="shared" si="11"/>
        <v/>
      </c>
    </row>
    <row r="670" spans="1:1">
      <c r="A670" t="str">
        <f t="shared" si="11"/>
        <v/>
      </c>
    </row>
    <row r="671" spans="1:1">
      <c r="A671" t="str">
        <f t="shared" si="11"/>
        <v/>
      </c>
    </row>
    <row r="672" spans="1:1">
      <c r="A672" t="str">
        <f t="shared" si="11"/>
        <v/>
      </c>
    </row>
    <row r="673" spans="1:1">
      <c r="A673" t="str">
        <f t="shared" si="11"/>
        <v/>
      </c>
    </row>
    <row r="674" spans="1:1">
      <c r="A674" t="str">
        <f t="shared" si="11"/>
        <v/>
      </c>
    </row>
    <row r="675" spans="1:1">
      <c r="A675" t="str">
        <f t="shared" si="11"/>
        <v/>
      </c>
    </row>
    <row r="676" spans="1:1">
      <c r="A676" t="str">
        <f t="shared" si="11"/>
        <v/>
      </c>
    </row>
    <row r="677" spans="1:1">
      <c r="A677" t="str">
        <f t="shared" si="11"/>
        <v/>
      </c>
    </row>
    <row r="678" spans="1:1">
      <c r="A678" t="str">
        <f t="shared" si="11"/>
        <v/>
      </c>
    </row>
    <row r="679" spans="1:1">
      <c r="A679" t="str">
        <f t="shared" si="11"/>
        <v/>
      </c>
    </row>
    <row r="680" spans="1:1">
      <c r="A680" t="str">
        <f t="shared" si="11"/>
        <v/>
      </c>
    </row>
    <row r="681" spans="1:1">
      <c r="A681" t="str">
        <f t="shared" si="11"/>
        <v/>
      </c>
    </row>
    <row r="682" spans="1:1">
      <c r="A682" t="str">
        <f t="shared" si="11"/>
        <v/>
      </c>
    </row>
    <row r="683" spans="1:1">
      <c r="A683" t="str">
        <f t="shared" si="11"/>
        <v/>
      </c>
    </row>
    <row r="684" spans="1:1">
      <c r="A684" t="str">
        <f t="shared" si="11"/>
        <v/>
      </c>
    </row>
    <row r="685" spans="1:1">
      <c r="A685" t="str">
        <f t="shared" si="11"/>
        <v/>
      </c>
    </row>
    <row r="686" spans="1:1">
      <c r="A686" t="str">
        <f t="shared" si="11"/>
        <v/>
      </c>
    </row>
    <row r="687" spans="1:1">
      <c r="A687" t="str">
        <f t="shared" si="11"/>
        <v/>
      </c>
    </row>
    <row r="688" spans="1:1">
      <c r="A688" t="str">
        <f t="shared" si="11"/>
        <v/>
      </c>
    </row>
    <row r="689" spans="1:1">
      <c r="A689" t="str">
        <f t="shared" si="11"/>
        <v/>
      </c>
    </row>
    <row r="690" spans="1:1">
      <c r="A690" t="str">
        <f t="shared" si="11"/>
        <v/>
      </c>
    </row>
    <row r="691" spans="1:1">
      <c r="A691" t="str">
        <f t="shared" si="11"/>
        <v/>
      </c>
    </row>
    <row r="692" spans="1:1">
      <c r="A692" t="str">
        <f t="shared" si="11"/>
        <v/>
      </c>
    </row>
    <row r="693" spans="1:1">
      <c r="A693" t="str">
        <f t="shared" si="11"/>
        <v/>
      </c>
    </row>
    <row r="694" spans="1:1">
      <c r="A694" t="str">
        <f t="shared" si="11"/>
        <v/>
      </c>
    </row>
    <row r="695" spans="1:1">
      <c r="A695" t="str">
        <f t="shared" si="11"/>
        <v/>
      </c>
    </row>
    <row r="696" spans="1:1">
      <c r="A696" t="str">
        <f t="shared" si="11"/>
        <v/>
      </c>
    </row>
    <row r="697" spans="1:1">
      <c r="A697" t="str">
        <f t="shared" si="11"/>
        <v/>
      </c>
    </row>
    <row r="698" spans="1:1">
      <c r="A698" t="str">
        <f t="shared" si="11"/>
        <v/>
      </c>
    </row>
    <row r="699" spans="1:1">
      <c r="A699" t="str">
        <f t="shared" si="11"/>
        <v/>
      </c>
    </row>
    <row r="700" spans="1:1">
      <c r="A700" t="str">
        <f t="shared" si="11"/>
        <v/>
      </c>
    </row>
    <row r="701" spans="1:1">
      <c r="A701" t="str">
        <f t="shared" si="11"/>
        <v/>
      </c>
    </row>
    <row r="702" spans="1:1">
      <c r="A702" t="str">
        <f t="shared" si="11"/>
        <v/>
      </c>
    </row>
    <row r="703" spans="1:1">
      <c r="A703" t="str">
        <f t="shared" si="11"/>
        <v/>
      </c>
    </row>
    <row r="704" spans="1:1">
      <c r="A704" t="str">
        <f t="shared" si="11"/>
        <v/>
      </c>
    </row>
    <row r="705" spans="1:1">
      <c r="A705" t="str">
        <f t="shared" si="11"/>
        <v/>
      </c>
    </row>
    <row r="706" spans="1:1">
      <c r="A706" t="str">
        <f t="shared" si="11"/>
        <v/>
      </c>
    </row>
    <row r="707" spans="1:1">
      <c r="A707" t="str">
        <f t="shared" si="11"/>
        <v/>
      </c>
    </row>
    <row r="708" spans="1:1">
      <c r="A708" t="str">
        <f t="shared" si="11"/>
        <v/>
      </c>
    </row>
    <row r="709" spans="1:1">
      <c r="A709" t="str">
        <f t="shared" si="11"/>
        <v/>
      </c>
    </row>
    <row r="710" spans="1:1">
      <c r="A710" t="str">
        <f t="shared" si="11"/>
        <v/>
      </c>
    </row>
    <row r="711" spans="1:1">
      <c r="A711" t="str">
        <f t="shared" ref="A711:A774" si="12">G711&amp;H711&amp;I711&amp;F711</f>
        <v/>
      </c>
    </row>
    <row r="712" spans="1:1">
      <c r="A712" t="str">
        <f t="shared" si="12"/>
        <v/>
      </c>
    </row>
    <row r="713" spans="1:1">
      <c r="A713" t="str">
        <f t="shared" si="12"/>
        <v/>
      </c>
    </row>
    <row r="714" spans="1:1">
      <c r="A714" t="str">
        <f t="shared" si="12"/>
        <v/>
      </c>
    </row>
    <row r="715" spans="1:1">
      <c r="A715" t="str">
        <f t="shared" si="12"/>
        <v/>
      </c>
    </row>
    <row r="716" spans="1:1">
      <c r="A716" t="str">
        <f t="shared" si="12"/>
        <v/>
      </c>
    </row>
    <row r="717" spans="1:1">
      <c r="A717" t="str">
        <f t="shared" si="12"/>
        <v/>
      </c>
    </row>
    <row r="718" spans="1:1">
      <c r="A718" t="str">
        <f t="shared" si="12"/>
        <v/>
      </c>
    </row>
    <row r="719" spans="1:1">
      <c r="A719" t="str">
        <f t="shared" si="12"/>
        <v/>
      </c>
    </row>
    <row r="720" spans="1:1">
      <c r="A720" t="str">
        <f t="shared" si="12"/>
        <v/>
      </c>
    </row>
    <row r="721" spans="1:1">
      <c r="A721" t="str">
        <f t="shared" si="12"/>
        <v/>
      </c>
    </row>
    <row r="722" spans="1:1">
      <c r="A722" t="str">
        <f t="shared" si="12"/>
        <v/>
      </c>
    </row>
    <row r="723" spans="1:1">
      <c r="A723" t="str">
        <f t="shared" si="12"/>
        <v/>
      </c>
    </row>
    <row r="724" spans="1:1">
      <c r="A724" t="str">
        <f t="shared" si="12"/>
        <v/>
      </c>
    </row>
    <row r="725" spans="1:1">
      <c r="A725" t="str">
        <f t="shared" si="12"/>
        <v/>
      </c>
    </row>
    <row r="726" spans="1:1">
      <c r="A726" t="str">
        <f t="shared" si="12"/>
        <v/>
      </c>
    </row>
    <row r="727" spans="1:1">
      <c r="A727" t="str">
        <f t="shared" si="12"/>
        <v/>
      </c>
    </row>
    <row r="728" spans="1:1">
      <c r="A728" t="str">
        <f t="shared" si="12"/>
        <v/>
      </c>
    </row>
    <row r="729" spans="1:1">
      <c r="A729" t="str">
        <f t="shared" si="12"/>
        <v/>
      </c>
    </row>
    <row r="730" spans="1:1">
      <c r="A730" t="str">
        <f t="shared" si="12"/>
        <v/>
      </c>
    </row>
    <row r="731" spans="1:1">
      <c r="A731" t="str">
        <f t="shared" si="12"/>
        <v/>
      </c>
    </row>
    <row r="732" spans="1:1">
      <c r="A732" t="str">
        <f t="shared" si="12"/>
        <v/>
      </c>
    </row>
    <row r="733" spans="1:1">
      <c r="A733" t="str">
        <f t="shared" si="12"/>
        <v/>
      </c>
    </row>
    <row r="734" spans="1:1">
      <c r="A734" t="str">
        <f t="shared" si="12"/>
        <v/>
      </c>
    </row>
    <row r="735" spans="1:1">
      <c r="A735" t="str">
        <f t="shared" si="12"/>
        <v/>
      </c>
    </row>
    <row r="736" spans="1:1">
      <c r="A736" t="str">
        <f t="shared" si="12"/>
        <v/>
      </c>
    </row>
    <row r="737" spans="1:1">
      <c r="A737" t="str">
        <f t="shared" si="12"/>
        <v/>
      </c>
    </row>
    <row r="738" spans="1:1">
      <c r="A738" t="str">
        <f t="shared" si="12"/>
        <v/>
      </c>
    </row>
    <row r="739" spans="1:1">
      <c r="A739" t="str">
        <f t="shared" si="12"/>
        <v/>
      </c>
    </row>
    <row r="740" spans="1:1">
      <c r="A740" t="str">
        <f t="shared" si="12"/>
        <v/>
      </c>
    </row>
    <row r="741" spans="1:1">
      <c r="A741" t="str">
        <f t="shared" si="12"/>
        <v/>
      </c>
    </row>
    <row r="742" spans="1:1">
      <c r="A742" t="str">
        <f t="shared" si="12"/>
        <v/>
      </c>
    </row>
    <row r="743" spans="1:1">
      <c r="A743" t="str">
        <f t="shared" si="12"/>
        <v/>
      </c>
    </row>
    <row r="744" spans="1:1">
      <c r="A744" t="str">
        <f t="shared" si="12"/>
        <v/>
      </c>
    </row>
    <row r="745" spans="1:1">
      <c r="A745" t="str">
        <f t="shared" si="12"/>
        <v/>
      </c>
    </row>
    <row r="746" spans="1:1">
      <c r="A746" t="str">
        <f t="shared" si="12"/>
        <v/>
      </c>
    </row>
    <row r="747" spans="1:1">
      <c r="A747" t="str">
        <f t="shared" si="12"/>
        <v/>
      </c>
    </row>
    <row r="748" spans="1:1">
      <c r="A748" t="str">
        <f t="shared" si="12"/>
        <v/>
      </c>
    </row>
    <row r="749" spans="1:1">
      <c r="A749" t="str">
        <f t="shared" si="12"/>
        <v/>
      </c>
    </row>
    <row r="750" spans="1:1">
      <c r="A750" t="str">
        <f t="shared" si="12"/>
        <v/>
      </c>
    </row>
    <row r="751" spans="1:1">
      <c r="A751" t="str">
        <f t="shared" si="12"/>
        <v/>
      </c>
    </row>
    <row r="752" spans="1:1">
      <c r="A752" t="str">
        <f t="shared" si="12"/>
        <v/>
      </c>
    </row>
    <row r="753" spans="1:1">
      <c r="A753" t="str">
        <f t="shared" si="12"/>
        <v/>
      </c>
    </row>
    <row r="754" spans="1:1">
      <c r="A754" t="str">
        <f t="shared" si="12"/>
        <v/>
      </c>
    </row>
    <row r="755" spans="1:1">
      <c r="A755" t="str">
        <f t="shared" si="12"/>
        <v/>
      </c>
    </row>
    <row r="756" spans="1:1">
      <c r="A756" t="str">
        <f t="shared" si="12"/>
        <v/>
      </c>
    </row>
    <row r="757" spans="1:1">
      <c r="A757" t="str">
        <f t="shared" si="12"/>
        <v/>
      </c>
    </row>
    <row r="758" spans="1:1">
      <c r="A758" t="str">
        <f t="shared" si="12"/>
        <v/>
      </c>
    </row>
    <row r="759" spans="1:1">
      <c r="A759" t="str">
        <f t="shared" si="12"/>
        <v/>
      </c>
    </row>
    <row r="760" spans="1:1">
      <c r="A760" t="str">
        <f t="shared" si="12"/>
        <v/>
      </c>
    </row>
    <row r="761" spans="1:1">
      <c r="A761" t="str">
        <f t="shared" si="12"/>
        <v/>
      </c>
    </row>
    <row r="762" spans="1:1">
      <c r="A762" t="str">
        <f t="shared" si="12"/>
        <v/>
      </c>
    </row>
    <row r="763" spans="1:1">
      <c r="A763" t="str">
        <f t="shared" si="12"/>
        <v/>
      </c>
    </row>
    <row r="764" spans="1:1">
      <c r="A764" t="str">
        <f t="shared" si="12"/>
        <v/>
      </c>
    </row>
    <row r="765" spans="1:1">
      <c r="A765" t="str">
        <f t="shared" si="12"/>
        <v/>
      </c>
    </row>
    <row r="766" spans="1:1">
      <c r="A766" t="str">
        <f t="shared" si="12"/>
        <v/>
      </c>
    </row>
    <row r="767" spans="1:1">
      <c r="A767" t="str">
        <f t="shared" si="12"/>
        <v/>
      </c>
    </row>
    <row r="768" spans="1:1">
      <c r="A768" t="str">
        <f t="shared" si="12"/>
        <v/>
      </c>
    </row>
    <row r="769" spans="1:1">
      <c r="A769" t="str">
        <f t="shared" si="12"/>
        <v/>
      </c>
    </row>
    <row r="770" spans="1:1">
      <c r="A770" t="str">
        <f t="shared" si="12"/>
        <v/>
      </c>
    </row>
    <row r="771" spans="1:1">
      <c r="A771" t="str">
        <f t="shared" si="12"/>
        <v/>
      </c>
    </row>
    <row r="772" spans="1:1">
      <c r="A772" t="str">
        <f t="shared" si="12"/>
        <v/>
      </c>
    </row>
    <row r="773" spans="1:1">
      <c r="A773" t="str">
        <f t="shared" si="12"/>
        <v/>
      </c>
    </row>
    <row r="774" spans="1:1">
      <c r="A774" t="str">
        <f t="shared" si="12"/>
        <v/>
      </c>
    </row>
    <row r="775" spans="1:1">
      <c r="A775" t="str">
        <f t="shared" ref="A775:A838" si="13">G775&amp;H775&amp;I775&amp;F775</f>
        <v/>
      </c>
    </row>
    <row r="776" spans="1:1">
      <c r="A776" t="str">
        <f t="shared" si="13"/>
        <v/>
      </c>
    </row>
    <row r="777" spans="1:1">
      <c r="A777" t="str">
        <f t="shared" si="13"/>
        <v/>
      </c>
    </row>
    <row r="778" spans="1:1">
      <c r="A778" t="str">
        <f t="shared" si="13"/>
        <v/>
      </c>
    </row>
    <row r="779" spans="1:1">
      <c r="A779" t="str">
        <f t="shared" si="13"/>
        <v/>
      </c>
    </row>
    <row r="780" spans="1:1">
      <c r="A780" t="str">
        <f t="shared" si="13"/>
        <v/>
      </c>
    </row>
    <row r="781" spans="1:1">
      <c r="A781" t="str">
        <f t="shared" si="13"/>
        <v/>
      </c>
    </row>
    <row r="782" spans="1:1">
      <c r="A782" t="str">
        <f t="shared" si="13"/>
        <v/>
      </c>
    </row>
    <row r="783" spans="1:1">
      <c r="A783" t="str">
        <f t="shared" si="13"/>
        <v/>
      </c>
    </row>
    <row r="784" spans="1:1">
      <c r="A784" t="str">
        <f t="shared" si="13"/>
        <v/>
      </c>
    </row>
    <row r="785" spans="1:1">
      <c r="A785" t="str">
        <f t="shared" si="13"/>
        <v/>
      </c>
    </row>
    <row r="786" spans="1:1">
      <c r="A786" t="str">
        <f t="shared" si="13"/>
        <v/>
      </c>
    </row>
    <row r="787" spans="1:1">
      <c r="A787" t="str">
        <f t="shared" si="13"/>
        <v/>
      </c>
    </row>
    <row r="788" spans="1:1">
      <c r="A788" t="str">
        <f t="shared" si="13"/>
        <v/>
      </c>
    </row>
    <row r="789" spans="1:1">
      <c r="A789" t="str">
        <f t="shared" si="13"/>
        <v/>
      </c>
    </row>
    <row r="790" spans="1:1">
      <c r="A790" t="str">
        <f t="shared" si="13"/>
        <v/>
      </c>
    </row>
    <row r="791" spans="1:1">
      <c r="A791" t="str">
        <f t="shared" si="13"/>
        <v/>
      </c>
    </row>
    <row r="792" spans="1:1">
      <c r="A792" t="str">
        <f t="shared" si="13"/>
        <v/>
      </c>
    </row>
    <row r="793" spans="1:1">
      <c r="A793" t="str">
        <f t="shared" si="13"/>
        <v/>
      </c>
    </row>
    <row r="794" spans="1:1">
      <c r="A794" t="str">
        <f t="shared" si="13"/>
        <v/>
      </c>
    </row>
    <row r="795" spans="1:1">
      <c r="A795" t="str">
        <f t="shared" si="13"/>
        <v/>
      </c>
    </row>
    <row r="796" spans="1:1">
      <c r="A796" t="str">
        <f t="shared" si="13"/>
        <v/>
      </c>
    </row>
    <row r="797" spans="1:1">
      <c r="A797" t="str">
        <f t="shared" si="13"/>
        <v/>
      </c>
    </row>
    <row r="798" spans="1:1">
      <c r="A798" t="str">
        <f t="shared" si="13"/>
        <v/>
      </c>
    </row>
    <row r="799" spans="1:1">
      <c r="A799" t="str">
        <f t="shared" si="13"/>
        <v/>
      </c>
    </row>
    <row r="800" spans="1:1">
      <c r="A800" t="str">
        <f t="shared" si="13"/>
        <v/>
      </c>
    </row>
    <row r="801" spans="1:1">
      <c r="A801" t="str">
        <f t="shared" si="13"/>
        <v/>
      </c>
    </row>
    <row r="802" spans="1:1">
      <c r="A802" t="str">
        <f t="shared" si="13"/>
        <v/>
      </c>
    </row>
    <row r="803" spans="1:1">
      <c r="A803" t="str">
        <f t="shared" si="13"/>
        <v/>
      </c>
    </row>
    <row r="804" spans="1:1">
      <c r="A804" t="str">
        <f t="shared" si="13"/>
        <v/>
      </c>
    </row>
    <row r="805" spans="1:1">
      <c r="A805" t="str">
        <f t="shared" si="13"/>
        <v/>
      </c>
    </row>
    <row r="806" spans="1:1">
      <c r="A806" t="str">
        <f t="shared" si="13"/>
        <v/>
      </c>
    </row>
    <row r="807" spans="1:1">
      <c r="A807" t="str">
        <f t="shared" si="13"/>
        <v/>
      </c>
    </row>
    <row r="808" spans="1:1">
      <c r="A808" t="str">
        <f t="shared" si="13"/>
        <v/>
      </c>
    </row>
    <row r="809" spans="1:1">
      <c r="A809" t="str">
        <f t="shared" si="13"/>
        <v/>
      </c>
    </row>
    <row r="810" spans="1:1">
      <c r="A810" t="str">
        <f t="shared" si="13"/>
        <v/>
      </c>
    </row>
    <row r="811" spans="1:1">
      <c r="A811" t="str">
        <f t="shared" si="13"/>
        <v/>
      </c>
    </row>
    <row r="812" spans="1:1">
      <c r="A812" t="str">
        <f t="shared" si="13"/>
        <v/>
      </c>
    </row>
    <row r="813" spans="1:1">
      <c r="A813" t="str">
        <f t="shared" si="13"/>
        <v/>
      </c>
    </row>
    <row r="814" spans="1:1">
      <c r="A814" t="str">
        <f t="shared" si="13"/>
        <v/>
      </c>
    </row>
    <row r="815" spans="1:1">
      <c r="A815" t="str">
        <f t="shared" si="13"/>
        <v/>
      </c>
    </row>
    <row r="816" spans="1:1">
      <c r="A816" t="str">
        <f t="shared" si="13"/>
        <v/>
      </c>
    </row>
    <row r="817" spans="1:1">
      <c r="A817" t="str">
        <f t="shared" si="13"/>
        <v/>
      </c>
    </row>
    <row r="818" spans="1:1">
      <c r="A818" t="str">
        <f t="shared" si="13"/>
        <v/>
      </c>
    </row>
    <row r="819" spans="1:1">
      <c r="A819" t="str">
        <f t="shared" si="13"/>
        <v/>
      </c>
    </row>
    <row r="820" spans="1:1">
      <c r="A820" t="str">
        <f t="shared" si="13"/>
        <v/>
      </c>
    </row>
    <row r="821" spans="1:1">
      <c r="A821" t="str">
        <f t="shared" si="13"/>
        <v/>
      </c>
    </row>
    <row r="822" spans="1:1">
      <c r="A822" t="str">
        <f t="shared" si="13"/>
        <v/>
      </c>
    </row>
    <row r="823" spans="1:1">
      <c r="A823" t="str">
        <f t="shared" si="13"/>
        <v/>
      </c>
    </row>
    <row r="824" spans="1:1">
      <c r="A824" t="str">
        <f t="shared" si="13"/>
        <v/>
      </c>
    </row>
    <row r="825" spans="1:1">
      <c r="A825" t="str">
        <f t="shared" si="13"/>
        <v/>
      </c>
    </row>
    <row r="826" spans="1:1">
      <c r="A826" t="str">
        <f t="shared" si="13"/>
        <v/>
      </c>
    </row>
    <row r="827" spans="1:1">
      <c r="A827" t="str">
        <f t="shared" si="13"/>
        <v/>
      </c>
    </row>
    <row r="828" spans="1:1">
      <c r="A828" t="str">
        <f t="shared" si="13"/>
        <v/>
      </c>
    </row>
    <row r="829" spans="1:1">
      <c r="A829" t="str">
        <f t="shared" si="13"/>
        <v/>
      </c>
    </row>
    <row r="830" spans="1:1">
      <c r="A830" t="str">
        <f t="shared" si="13"/>
        <v/>
      </c>
    </row>
    <row r="831" spans="1:1">
      <c r="A831" t="str">
        <f t="shared" si="13"/>
        <v/>
      </c>
    </row>
    <row r="832" spans="1:1">
      <c r="A832" t="str">
        <f t="shared" si="13"/>
        <v/>
      </c>
    </row>
    <row r="833" spans="1:1">
      <c r="A833" t="str">
        <f t="shared" si="13"/>
        <v/>
      </c>
    </row>
    <row r="834" spans="1:1">
      <c r="A834" t="str">
        <f t="shared" si="13"/>
        <v/>
      </c>
    </row>
    <row r="835" spans="1:1">
      <c r="A835" t="str">
        <f t="shared" si="13"/>
        <v/>
      </c>
    </row>
    <row r="836" spans="1:1">
      <c r="A836" t="str">
        <f t="shared" si="13"/>
        <v/>
      </c>
    </row>
    <row r="837" spans="1:1">
      <c r="A837" t="str">
        <f t="shared" si="13"/>
        <v/>
      </c>
    </row>
    <row r="838" spans="1:1">
      <c r="A838" t="str">
        <f t="shared" si="13"/>
        <v/>
      </c>
    </row>
    <row r="839" spans="1:1">
      <c r="A839" t="str">
        <f t="shared" ref="A839:A902" si="14">G839&amp;H839&amp;I839&amp;F839</f>
        <v/>
      </c>
    </row>
    <row r="840" spans="1:1">
      <c r="A840" t="str">
        <f t="shared" si="14"/>
        <v/>
      </c>
    </row>
    <row r="841" spans="1:1">
      <c r="A841" t="str">
        <f t="shared" si="14"/>
        <v/>
      </c>
    </row>
    <row r="842" spans="1:1">
      <c r="A842" t="str">
        <f t="shared" si="14"/>
        <v/>
      </c>
    </row>
    <row r="843" spans="1:1">
      <c r="A843" t="str">
        <f t="shared" si="14"/>
        <v/>
      </c>
    </row>
    <row r="844" spans="1:1">
      <c r="A844" t="str">
        <f t="shared" si="14"/>
        <v/>
      </c>
    </row>
    <row r="845" spans="1:1">
      <c r="A845" t="str">
        <f t="shared" si="14"/>
        <v/>
      </c>
    </row>
    <row r="846" spans="1:1">
      <c r="A846" t="str">
        <f t="shared" si="14"/>
        <v/>
      </c>
    </row>
    <row r="847" spans="1:1">
      <c r="A847" t="str">
        <f t="shared" si="14"/>
        <v/>
      </c>
    </row>
    <row r="848" spans="1:1">
      <c r="A848" t="str">
        <f t="shared" si="14"/>
        <v/>
      </c>
    </row>
    <row r="849" spans="1:1">
      <c r="A849" t="str">
        <f t="shared" si="14"/>
        <v/>
      </c>
    </row>
    <row r="850" spans="1:1">
      <c r="A850" t="str">
        <f t="shared" si="14"/>
        <v/>
      </c>
    </row>
    <row r="851" spans="1:1">
      <c r="A851" t="str">
        <f t="shared" si="14"/>
        <v/>
      </c>
    </row>
    <row r="852" spans="1:1">
      <c r="A852" t="str">
        <f t="shared" si="14"/>
        <v/>
      </c>
    </row>
    <row r="853" spans="1:1">
      <c r="A853" t="str">
        <f t="shared" si="14"/>
        <v/>
      </c>
    </row>
    <row r="854" spans="1:1">
      <c r="A854" t="str">
        <f t="shared" si="14"/>
        <v/>
      </c>
    </row>
    <row r="855" spans="1:1">
      <c r="A855" t="str">
        <f t="shared" si="14"/>
        <v/>
      </c>
    </row>
    <row r="856" spans="1:1">
      <c r="A856" t="str">
        <f t="shared" si="14"/>
        <v/>
      </c>
    </row>
    <row r="857" spans="1:1">
      <c r="A857" t="str">
        <f t="shared" si="14"/>
        <v/>
      </c>
    </row>
    <row r="858" spans="1:1">
      <c r="A858" t="str">
        <f t="shared" si="14"/>
        <v/>
      </c>
    </row>
    <row r="859" spans="1:1">
      <c r="A859" t="str">
        <f t="shared" si="14"/>
        <v/>
      </c>
    </row>
    <row r="860" spans="1:1">
      <c r="A860" t="str">
        <f t="shared" si="14"/>
        <v/>
      </c>
    </row>
    <row r="861" spans="1:1">
      <c r="A861" t="str">
        <f t="shared" si="14"/>
        <v/>
      </c>
    </row>
    <row r="862" spans="1:1">
      <c r="A862" t="str">
        <f t="shared" si="14"/>
        <v/>
      </c>
    </row>
    <row r="863" spans="1:1">
      <c r="A863" t="str">
        <f t="shared" si="14"/>
        <v/>
      </c>
    </row>
    <row r="864" spans="1:1">
      <c r="A864" t="str">
        <f t="shared" si="14"/>
        <v/>
      </c>
    </row>
    <row r="865" spans="1:1">
      <c r="A865" t="str">
        <f t="shared" si="14"/>
        <v/>
      </c>
    </row>
    <row r="866" spans="1:1">
      <c r="A866" t="str">
        <f t="shared" si="14"/>
        <v/>
      </c>
    </row>
    <row r="867" spans="1:1">
      <c r="A867" t="str">
        <f t="shared" si="14"/>
        <v/>
      </c>
    </row>
    <row r="868" spans="1:1">
      <c r="A868" t="str">
        <f t="shared" si="14"/>
        <v/>
      </c>
    </row>
    <row r="869" spans="1:1">
      <c r="A869" t="str">
        <f t="shared" si="14"/>
        <v/>
      </c>
    </row>
    <row r="870" spans="1:1">
      <c r="A870" t="str">
        <f t="shared" si="14"/>
        <v/>
      </c>
    </row>
    <row r="871" spans="1:1">
      <c r="A871" t="str">
        <f t="shared" si="14"/>
        <v/>
      </c>
    </row>
    <row r="872" spans="1:1">
      <c r="A872" t="str">
        <f t="shared" si="14"/>
        <v/>
      </c>
    </row>
    <row r="873" spans="1:1">
      <c r="A873" t="str">
        <f t="shared" si="14"/>
        <v/>
      </c>
    </row>
    <row r="874" spans="1:1">
      <c r="A874" t="str">
        <f t="shared" si="14"/>
        <v/>
      </c>
    </row>
    <row r="875" spans="1:1">
      <c r="A875" t="str">
        <f t="shared" si="14"/>
        <v/>
      </c>
    </row>
    <row r="876" spans="1:1">
      <c r="A876" t="str">
        <f t="shared" si="14"/>
        <v/>
      </c>
    </row>
    <row r="877" spans="1:1">
      <c r="A877" t="str">
        <f t="shared" si="14"/>
        <v/>
      </c>
    </row>
    <row r="878" spans="1:1">
      <c r="A878" t="str">
        <f t="shared" si="14"/>
        <v/>
      </c>
    </row>
    <row r="879" spans="1:1">
      <c r="A879" t="str">
        <f t="shared" si="14"/>
        <v/>
      </c>
    </row>
    <row r="880" spans="1:1">
      <c r="A880" t="str">
        <f t="shared" si="14"/>
        <v/>
      </c>
    </row>
    <row r="881" spans="1:1">
      <c r="A881" t="str">
        <f t="shared" si="14"/>
        <v/>
      </c>
    </row>
    <row r="882" spans="1:1">
      <c r="A882" t="str">
        <f t="shared" si="14"/>
        <v/>
      </c>
    </row>
    <row r="883" spans="1:1">
      <c r="A883" t="str">
        <f t="shared" si="14"/>
        <v/>
      </c>
    </row>
    <row r="884" spans="1:1">
      <c r="A884" t="str">
        <f t="shared" si="14"/>
        <v/>
      </c>
    </row>
    <row r="885" spans="1:1">
      <c r="A885" t="str">
        <f t="shared" si="14"/>
        <v/>
      </c>
    </row>
    <row r="886" spans="1:1">
      <c r="A886" t="str">
        <f t="shared" si="14"/>
        <v/>
      </c>
    </row>
    <row r="887" spans="1:1">
      <c r="A887" t="str">
        <f t="shared" si="14"/>
        <v/>
      </c>
    </row>
    <row r="888" spans="1:1">
      <c r="A888" t="str">
        <f t="shared" si="14"/>
        <v/>
      </c>
    </row>
    <row r="889" spans="1:1">
      <c r="A889" t="str">
        <f t="shared" si="14"/>
        <v/>
      </c>
    </row>
    <row r="890" spans="1:1">
      <c r="A890" t="str">
        <f t="shared" si="14"/>
        <v/>
      </c>
    </row>
    <row r="891" spans="1:1">
      <c r="A891" t="str">
        <f t="shared" si="14"/>
        <v/>
      </c>
    </row>
    <row r="892" spans="1:1">
      <c r="A892" t="str">
        <f t="shared" si="14"/>
        <v/>
      </c>
    </row>
    <row r="893" spans="1:1">
      <c r="A893" t="str">
        <f t="shared" si="14"/>
        <v/>
      </c>
    </row>
    <row r="894" spans="1:1">
      <c r="A894" t="str">
        <f t="shared" si="14"/>
        <v/>
      </c>
    </row>
    <row r="895" spans="1:1">
      <c r="A895" t="str">
        <f t="shared" si="14"/>
        <v/>
      </c>
    </row>
    <row r="896" spans="1:1">
      <c r="A896" t="str">
        <f t="shared" si="14"/>
        <v/>
      </c>
    </row>
    <row r="897" spans="1:1">
      <c r="A897" t="str">
        <f t="shared" si="14"/>
        <v/>
      </c>
    </row>
    <row r="898" spans="1:1">
      <c r="A898" t="str">
        <f t="shared" si="14"/>
        <v/>
      </c>
    </row>
    <row r="899" spans="1:1">
      <c r="A899" t="str">
        <f t="shared" si="14"/>
        <v/>
      </c>
    </row>
    <row r="900" spans="1:1">
      <c r="A900" t="str">
        <f t="shared" si="14"/>
        <v/>
      </c>
    </row>
    <row r="901" spans="1:1">
      <c r="A901" t="str">
        <f t="shared" si="14"/>
        <v/>
      </c>
    </row>
    <row r="902" spans="1:1">
      <c r="A902" t="str">
        <f t="shared" si="14"/>
        <v/>
      </c>
    </row>
    <row r="903" spans="1:1">
      <c r="A903" t="str">
        <f t="shared" ref="A903:A966" si="15">G903&amp;H903&amp;I903&amp;F903</f>
        <v/>
      </c>
    </row>
    <row r="904" spans="1:1">
      <c r="A904" t="str">
        <f t="shared" si="15"/>
        <v/>
      </c>
    </row>
    <row r="905" spans="1:1">
      <c r="A905" t="str">
        <f t="shared" si="15"/>
        <v/>
      </c>
    </row>
    <row r="906" spans="1:1">
      <c r="A906" t="str">
        <f t="shared" si="15"/>
        <v/>
      </c>
    </row>
    <row r="907" spans="1:1">
      <c r="A907" t="str">
        <f t="shared" si="15"/>
        <v/>
      </c>
    </row>
    <row r="908" spans="1:1">
      <c r="A908" t="str">
        <f t="shared" si="15"/>
        <v/>
      </c>
    </row>
    <row r="909" spans="1:1">
      <c r="A909" t="str">
        <f t="shared" si="15"/>
        <v/>
      </c>
    </row>
    <row r="910" spans="1:1">
      <c r="A910" t="str">
        <f t="shared" si="15"/>
        <v/>
      </c>
    </row>
    <row r="911" spans="1:1">
      <c r="A911" t="str">
        <f t="shared" si="15"/>
        <v/>
      </c>
    </row>
    <row r="912" spans="1:1">
      <c r="A912" t="str">
        <f t="shared" si="15"/>
        <v/>
      </c>
    </row>
    <row r="913" spans="1:1">
      <c r="A913" t="str">
        <f t="shared" si="15"/>
        <v/>
      </c>
    </row>
    <row r="914" spans="1:1">
      <c r="A914" t="str">
        <f t="shared" si="15"/>
        <v/>
      </c>
    </row>
    <row r="915" spans="1:1">
      <c r="A915" t="str">
        <f t="shared" si="15"/>
        <v/>
      </c>
    </row>
    <row r="916" spans="1:1">
      <c r="A916" t="str">
        <f t="shared" si="15"/>
        <v/>
      </c>
    </row>
    <row r="917" spans="1:1">
      <c r="A917" t="str">
        <f t="shared" si="15"/>
        <v/>
      </c>
    </row>
    <row r="918" spans="1:1">
      <c r="A918" t="str">
        <f t="shared" si="15"/>
        <v/>
      </c>
    </row>
    <row r="919" spans="1:1">
      <c r="A919" t="str">
        <f t="shared" si="15"/>
        <v/>
      </c>
    </row>
    <row r="920" spans="1:1">
      <c r="A920" t="str">
        <f t="shared" si="15"/>
        <v/>
      </c>
    </row>
    <row r="921" spans="1:1">
      <c r="A921" t="str">
        <f t="shared" si="15"/>
        <v/>
      </c>
    </row>
    <row r="922" spans="1:1">
      <c r="A922" t="str">
        <f t="shared" si="15"/>
        <v/>
      </c>
    </row>
    <row r="923" spans="1:1">
      <c r="A923" t="str">
        <f t="shared" si="15"/>
        <v/>
      </c>
    </row>
    <row r="924" spans="1:1">
      <c r="A924" t="str">
        <f t="shared" si="15"/>
        <v/>
      </c>
    </row>
    <row r="925" spans="1:1">
      <c r="A925" t="str">
        <f t="shared" si="15"/>
        <v/>
      </c>
    </row>
    <row r="926" spans="1:1">
      <c r="A926" t="str">
        <f t="shared" si="15"/>
        <v/>
      </c>
    </row>
    <row r="927" spans="1:1">
      <c r="A927" t="str">
        <f t="shared" si="15"/>
        <v/>
      </c>
    </row>
    <row r="928" spans="1:1">
      <c r="A928" t="str">
        <f t="shared" si="15"/>
        <v/>
      </c>
    </row>
    <row r="929" spans="1:1">
      <c r="A929" t="str">
        <f t="shared" si="15"/>
        <v/>
      </c>
    </row>
    <row r="930" spans="1:1">
      <c r="A930" t="str">
        <f t="shared" si="15"/>
        <v/>
      </c>
    </row>
    <row r="931" spans="1:1">
      <c r="A931" t="str">
        <f t="shared" si="15"/>
        <v/>
      </c>
    </row>
    <row r="932" spans="1:1">
      <c r="A932" t="str">
        <f t="shared" si="15"/>
        <v/>
      </c>
    </row>
    <row r="933" spans="1:1">
      <c r="A933" t="str">
        <f t="shared" si="15"/>
        <v/>
      </c>
    </row>
    <row r="934" spans="1:1">
      <c r="A934" t="str">
        <f t="shared" si="15"/>
        <v/>
      </c>
    </row>
    <row r="935" spans="1:1">
      <c r="A935" t="str">
        <f t="shared" si="15"/>
        <v/>
      </c>
    </row>
    <row r="936" spans="1:1">
      <c r="A936" t="str">
        <f t="shared" si="15"/>
        <v/>
      </c>
    </row>
    <row r="937" spans="1:1">
      <c r="A937" t="str">
        <f t="shared" si="15"/>
        <v/>
      </c>
    </row>
    <row r="938" spans="1:1">
      <c r="A938" t="str">
        <f t="shared" si="15"/>
        <v/>
      </c>
    </row>
    <row r="939" spans="1:1">
      <c r="A939" t="str">
        <f t="shared" si="15"/>
        <v/>
      </c>
    </row>
    <row r="940" spans="1:1">
      <c r="A940" t="str">
        <f t="shared" si="15"/>
        <v/>
      </c>
    </row>
    <row r="941" spans="1:1">
      <c r="A941" t="str">
        <f t="shared" si="15"/>
        <v/>
      </c>
    </row>
    <row r="942" spans="1:1">
      <c r="A942" t="str">
        <f t="shared" si="15"/>
        <v/>
      </c>
    </row>
    <row r="943" spans="1:1">
      <c r="A943" t="str">
        <f t="shared" si="15"/>
        <v/>
      </c>
    </row>
    <row r="944" spans="1:1">
      <c r="A944" t="str">
        <f t="shared" si="15"/>
        <v/>
      </c>
    </row>
    <row r="945" spans="1:1">
      <c r="A945" t="str">
        <f t="shared" si="15"/>
        <v/>
      </c>
    </row>
    <row r="946" spans="1:1">
      <c r="A946" t="str">
        <f t="shared" si="15"/>
        <v/>
      </c>
    </row>
    <row r="947" spans="1:1">
      <c r="A947" t="str">
        <f t="shared" si="15"/>
        <v/>
      </c>
    </row>
    <row r="948" spans="1:1">
      <c r="A948" t="str">
        <f t="shared" si="15"/>
        <v/>
      </c>
    </row>
    <row r="949" spans="1:1">
      <c r="A949" t="str">
        <f t="shared" si="15"/>
        <v/>
      </c>
    </row>
    <row r="950" spans="1:1">
      <c r="A950" t="str">
        <f t="shared" si="15"/>
        <v/>
      </c>
    </row>
    <row r="951" spans="1:1">
      <c r="A951" t="str">
        <f t="shared" si="15"/>
        <v/>
      </c>
    </row>
    <row r="952" spans="1:1">
      <c r="A952" t="str">
        <f t="shared" si="15"/>
        <v/>
      </c>
    </row>
    <row r="953" spans="1:1">
      <c r="A953" t="str">
        <f t="shared" si="15"/>
        <v/>
      </c>
    </row>
    <row r="954" spans="1:1">
      <c r="A954" t="str">
        <f t="shared" si="15"/>
        <v/>
      </c>
    </row>
    <row r="955" spans="1:1">
      <c r="A955" t="str">
        <f t="shared" si="15"/>
        <v/>
      </c>
    </row>
    <row r="956" spans="1:1">
      <c r="A956" t="str">
        <f t="shared" si="15"/>
        <v/>
      </c>
    </row>
    <row r="957" spans="1:1">
      <c r="A957" t="str">
        <f t="shared" si="15"/>
        <v/>
      </c>
    </row>
    <row r="958" spans="1:1">
      <c r="A958" t="str">
        <f t="shared" si="15"/>
        <v/>
      </c>
    </row>
    <row r="959" spans="1:1">
      <c r="A959" t="str">
        <f t="shared" si="15"/>
        <v/>
      </c>
    </row>
    <row r="960" spans="1:1">
      <c r="A960" t="str">
        <f t="shared" si="15"/>
        <v/>
      </c>
    </row>
    <row r="961" spans="1:1">
      <c r="A961" t="str">
        <f t="shared" si="15"/>
        <v/>
      </c>
    </row>
    <row r="962" spans="1:1">
      <c r="A962" t="str">
        <f t="shared" si="15"/>
        <v/>
      </c>
    </row>
    <row r="963" spans="1:1">
      <c r="A963" t="str">
        <f t="shared" si="15"/>
        <v/>
      </c>
    </row>
    <row r="964" spans="1:1">
      <c r="A964" t="str">
        <f t="shared" si="15"/>
        <v/>
      </c>
    </row>
    <row r="965" spans="1:1">
      <c r="A965" t="str">
        <f t="shared" si="15"/>
        <v/>
      </c>
    </row>
    <row r="966" spans="1:1">
      <c r="A966" t="str">
        <f t="shared" si="15"/>
        <v/>
      </c>
    </row>
    <row r="967" spans="1:1">
      <c r="A967" t="str">
        <f t="shared" ref="A967:A1030" si="16">G967&amp;H967&amp;I967&amp;F967</f>
        <v/>
      </c>
    </row>
    <row r="968" spans="1:1">
      <c r="A968" t="str">
        <f t="shared" si="16"/>
        <v/>
      </c>
    </row>
    <row r="969" spans="1:1">
      <c r="A969" t="str">
        <f t="shared" si="16"/>
        <v/>
      </c>
    </row>
    <row r="970" spans="1:1">
      <c r="A970" t="str">
        <f t="shared" si="16"/>
        <v/>
      </c>
    </row>
    <row r="971" spans="1:1">
      <c r="A971" t="str">
        <f t="shared" si="16"/>
        <v/>
      </c>
    </row>
    <row r="972" spans="1:1">
      <c r="A972" t="str">
        <f t="shared" si="16"/>
        <v/>
      </c>
    </row>
    <row r="973" spans="1:1">
      <c r="A973" t="str">
        <f t="shared" si="16"/>
        <v/>
      </c>
    </row>
    <row r="974" spans="1:1">
      <c r="A974" t="str">
        <f t="shared" si="16"/>
        <v/>
      </c>
    </row>
    <row r="975" spans="1:1">
      <c r="A975" t="str">
        <f t="shared" si="16"/>
        <v/>
      </c>
    </row>
    <row r="976" spans="1:1">
      <c r="A976" t="str">
        <f t="shared" si="16"/>
        <v/>
      </c>
    </row>
    <row r="977" spans="1:1">
      <c r="A977" t="str">
        <f t="shared" si="16"/>
        <v/>
      </c>
    </row>
    <row r="978" spans="1:1">
      <c r="A978" t="str">
        <f t="shared" si="16"/>
        <v/>
      </c>
    </row>
    <row r="979" spans="1:1">
      <c r="A979" t="str">
        <f t="shared" si="16"/>
        <v/>
      </c>
    </row>
    <row r="980" spans="1:1">
      <c r="A980" t="str">
        <f t="shared" si="16"/>
        <v/>
      </c>
    </row>
    <row r="981" spans="1:1">
      <c r="A981" t="str">
        <f t="shared" si="16"/>
        <v/>
      </c>
    </row>
    <row r="982" spans="1:1">
      <c r="A982" t="str">
        <f t="shared" si="16"/>
        <v/>
      </c>
    </row>
    <row r="983" spans="1:1">
      <c r="A983" t="str">
        <f t="shared" si="16"/>
        <v/>
      </c>
    </row>
    <row r="984" spans="1:1">
      <c r="A984" t="str">
        <f t="shared" si="16"/>
        <v/>
      </c>
    </row>
    <row r="985" spans="1:1">
      <c r="A985" t="str">
        <f t="shared" si="16"/>
        <v/>
      </c>
    </row>
    <row r="986" spans="1:1">
      <c r="A986" t="str">
        <f t="shared" si="16"/>
        <v/>
      </c>
    </row>
    <row r="987" spans="1:1">
      <c r="A987" t="str">
        <f t="shared" si="16"/>
        <v/>
      </c>
    </row>
    <row r="988" spans="1:1">
      <c r="A988" t="str">
        <f t="shared" si="16"/>
        <v/>
      </c>
    </row>
    <row r="989" spans="1:1">
      <c r="A989" t="str">
        <f t="shared" si="16"/>
        <v/>
      </c>
    </row>
    <row r="990" spans="1:1">
      <c r="A990" t="str">
        <f t="shared" si="16"/>
        <v/>
      </c>
    </row>
    <row r="991" spans="1:1">
      <c r="A991" t="str">
        <f t="shared" si="16"/>
        <v/>
      </c>
    </row>
    <row r="992" spans="1:1">
      <c r="A992" t="str">
        <f t="shared" si="16"/>
        <v/>
      </c>
    </row>
    <row r="993" spans="1:1">
      <c r="A993" t="str">
        <f t="shared" si="16"/>
        <v/>
      </c>
    </row>
    <row r="994" spans="1:1">
      <c r="A994" t="str">
        <f t="shared" si="16"/>
        <v/>
      </c>
    </row>
    <row r="995" spans="1:1">
      <c r="A995" t="str">
        <f t="shared" si="16"/>
        <v/>
      </c>
    </row>
    <row r="996" spans="1:1">
      <c r="A996" t="str">
        <f t="shared" si="16"/>
        <v/>
      </c>
    </row>
    <row r="997" spans="1:1">
      <c r="A997" t="str">
        <f t="shared" si="16"/>
        <v/>
      </c>
    </row>
    <row r="998" spans="1:1">
      <c r="A998" t="str">
        <f t="shared" si="16"/>
        <v/>
      </c>
    </row>
    <row r="999" spans="1:1">
      <c r="A999" t="str">
        <f t="shared" si="16"/>
        <v/>
      </c>
    </row>
    <row r="1000" spans="1:1">
      <c r="A1000" t="str">
        <f t="shared" si="16"/>
        <v/>
      </c>
    </row>
    <row r="1001" spans="1:1">
      <c r="A1001" t="str">
        <f t="shared" si="16"/>
        <v/>
      </c>
    </row>
    <row r="1002" spans="1:1">
      <c r="A1002" t="str">
        <f t="shared" si="16"/>
        <v/>
      </c>
    </row>
    <row r="1003" spans="1:1">
      <c r="A1003" t="str">
        <f t="shared" si="16"/>
        <v/>
      </c>
    </row>
    <row r="1004" spans="1:1">
      <c r="A1004" t="str">
        <f t="shared" si="16"/>
        <v/>
      </c>
    </row>
    <row r="1005" spans="1:1">
      <c r="A1005" t="str">
        <f t="shared" si="16"/>
        <v/>
      </c>
    </row>
    <row r="1006" spans="1:1">
      <c r="A1006" t="str">
        <f t="shared" si="16"/>
        <v/>
      </c>
    </row>
    <row r="1007" spans="1:1">
      <c r="A1007" t="str">
        <f t="shared" si="16"/>
        <v/>
      </c>
    </row>
    <row r="1008" spans="1:1">
      <c r="A1008" t="str">
        <f t="shared" si="16"/>
        <v/>
      </c>
    </row>
    <row r="1009" spans="1:1">
      <c r="A1009" t="str">
        <f t="shared" si="16"/>
        <v/>
      </c>
    </row>
    <row r="1010" spans="1:1">
      <c r="A1010" t="str">
        <f t="shared" si="16"/>
        <v/>
      </c>
    </row>
    <row r="1011" spans="1:1">
      <c r="A1011" t="str">
        <f t="shared" si="16"/>
        <v/>
      </c>
    </row>
    <row r="1012" spans="1:1">
      <c r="A1012" t="str">
        <f t="shared" si="16"/>
        <v/>
      </c>
    </row>
    <row r="1013" spans="1:1">
      <c r="A1013" t="str">
        <f t="shared" si="16"/>
        <v/>
      </c>
    </row>
    <row r="1014" spans="1:1">
      <c r="A1014" t="str">
        <f t="shared" si="16"/>
        <v/>
      </c>
    </row>
    <row r="1015" spans="1:1">
      <c r="A1015" t="str">
        <f t="shared" si="16"/>
        <v/>
      </c>
    </row>
    <row r="1016" spans="1:1">
      <c r="A1016" t="str">
        <f t="shared" si="16"/>
        <v/>
      </c>
    </row>
    <row r="1017" spans="1:1">
      <c r="A1017" t="str">
        <f t="shared" si="16"/>
        <v/>
      </c>
    </row>
    <row r="1018" spans="1:1">
      <c r="A1018" t="str">
        <f t="shared" si="16"/>
        <v/>
      </c>
    </row>
    <row r="1019" spans="1:1">
      <c r="A1019" t="str">
        <f t="shared" si="16"/>
        <v/>
      </c>
    </row>
    <row r="1020" spans="1:1">
      <c r="A1020" t="str">
        <f t="shared" si="16"/>
        <v/>
      </c>
    </row>
    <row r="1021" spans="1:1">
      <c r="A1021" t="str">
        <f t="shared" si="16"/>
        <v/>
      </c>
    </row>
    <row r="1022" spans="1:1">
      <c r="A1022" t="str">
        <f t="shared" si="16"/>
        <v/>
      </c>
    </row>
    <row r="1023" spans="1:1">
      <c r="A1023" t="str">
        <f t="shared" si="16"/>
        <v/>
      </c>
    </row>
    <row r="1024" spans="1:1">
      <c r="A1024" t="str">
        <f t="shared" si="16"/>
        <v/>
      </c>
    </row>
    <row r="1025" spans="1:1">
      <c r="A1025" t="str">
        <f t="shared" si="16"/>
        <v/>
      </c>
    </row>
    <row r="1026" spans="1:1">
      <c r="A1026" t="str">
        <f t="shared" si="16"/>
        <v/>
      </c>
    </row>
    <row r="1027" spans="1:1">
      <c r="A1027" t="str">
        <f t="shared" si="16"/>
        <v/>
      </c>
    </row>
    <row r="1028" spans="1:1">
      <c r="A1028" t="str">
        <f t="shared" si="16"/>
        <v/>
      </c>
    </row>
    <row r="1029" spans="1:1">
      <c r="A1029" t="str">
        <f t="shared" si="16"/>
        <v/>
      </c>
    </row>
    <row r="1030" spans="1:1">
      <c r="A1030" t="str">
        <f t="shared" si="16"/>
        <v/>
      </c>
    </row>
    <row r="1031" spans="1:1">
      <c r="A1031" t="str">
        <f t="shared" ref="A1031:A1094" si="17">G1031&amp;H1031&amp;I1031&amp;F1031</f>
        <v/>
      </c>
    </row>
    <row r="1032" spans="1:1">
      <c r="A1032" t="str">
        <f t="shared" si="17"/>
        <v/>
      </c>
    </row>
    <row r="1033" spans="1:1">
      <c r="A1033" t="str">
        <f t="shared" si="17"/>
        <v/>
      </c>
    </row>
    <row r="1034" spans="1:1">
      <c r="A1034" t="str">
        <f t="shared" si="17"/>
        <v/>
      </c>
    </row>
    <row r="1035" spans="1:1">
      <c r="A1035" t="str">
        <f t="shared" si="17"/>
        <v/>
      </c>
    </row>
    <row r="1036" spans="1:1">
      <c r="A1036" t="str">
        <f t="shared" si="17"/>
        <v/>
      </c>
    </row>
    <row r="1037" spans="1:1">
      <c r="A1037" t="str">
        <f t="shared" si="17"/>
        <v/>
      </c>
    </row>
    <row r="1038" spans="1:1">
      <c r="A1038" t="str">
        <f t="shared" si="17"/>
        <v/>
      </c>
    </row>
    <row r="1039" spans="1:1">
      <c r="A1039" t="str">
        <f t="shared" si="17"/>
        <v/>
      </c>
    </row>
    <row r="1040" spans="1:1">
      <c r="A1040" t="str">
        <f t="shared" si="17"/>
        <v/>
      </c>
    </row>
    <row r="1041" spans="1:1">
      <c r="A1041" t="str">
        <f t="shared" si="17"/>
        <v/>
      </c>
    </row>
    <row r="1042" spans="1:1">
      <c r="A1042" t="str">
        <f t="shared" si="17"/>
        <v/>
      </c>
    </row>
    <row r="1043" spans="1:1">
      <c r="A1043" t="str">
        <f t="shared" si="17"/>
        <v/>
      </c>
    </row>
    <row r="1044" spans="1:1">
      <c r="A1044" t="str">
        <f t="shared" si="17"/>
        <v/>
      </c>
    </row>
    <row r="1045" spans="1:1">
      <c r="A1045" t="str">
        <f t="shared" si="17"/>
        <v/>
      </c>
    </row>
    <row r="1046" spans="1:1">
      <c r="A1046" t="str">
        <f t="shared" si="17"/>
        <v/>
      </c>
    </row>
    <row r="1047" spans="1:1">
      <c r="A1047" t="str">
        <f t="shared" si="17"/>
        <v/>
      </c>
    </row>
    <row r="1048" spans="1:1">
      <c r="A1048" t="str">
        <f t="shared" si="17"/>
        <v/>
      </c>
    </row>
    <row r="1049" spans="1:1">
      <c r="A1049" t="str">
        <f t="shared" si="17"/>
        <v/>
      </c>
    </row>
    <row r="1050" spans="1:1">
      <c r="A1050" t="str">
        <f t="shared" si="17"/>
        <v/>
      </c>
    </row>
    <row r="1051" spans="1:1">
      <c r="A1051" t="str">
        <f t="shared" si="17"/>
        <v/>
      </c>
    </row>
    <row r="1052" spans="1:1">
      <c r="A1052" t="str">
        <f t="shared" si="17"/>
        <v/>
      </c>
    </row>
    <row r="1053" spans="1:1">
      <c r="A1053" t="str">
        <f t="shared" si="17"/>
        <v/>
      </c>
    </row>
    <row r="1054" spans="1:1">
      <c r="A1054" t="str">
        <f t="shared" si="17"/>
        <v/>
      </c>
    </row>
    <row r="1055" spans="1:1">
      <c r="A1055" t="str">
        <f t="shared" si="17"/>
        <v/>
      </c>
    </row>
    <row r="1056" spans="1:1">
      <c r="A1056" t="str">
        <f t="shared" si="17"/>
        <v/>
      </c>
    </row>
    <row r="1057" spans="1:1">
      <c r="A1057" t="str">
        <f t="shared" si="17"/>
        <v/>
      </c>
    </row>
    <row r="1058" spans="1:1">
      <c r="A1058" t="str">
        <f t="shared" si="17"/>
        <v/>
      </c>
    </row>
    <row r="1059" spans="1:1">
      <c r="A1059" t="str">
        <f t="shared" si="17"/>
        <v/>
      </c>
    </row>
    <row r="1060" spans="1:1">
      <c r="A1060" t="str">
        <f t="shared" si="17"/>
        <v/>
      </c>
    </row>
    <row r="1061" spans="1:1">
      <c r="A1061" t="str">
        <f t="shared" si="17"/>
        <v/>
      </c>
    </row>
    <row r="1062" spans="1:1">
      <c r="A1062" t="str">
        <f t="shared" si="17"/>
        <v/>
      </c>
    </row>
    <row r="1063" spans="1:1">
      <c r="A1063" t="str">
        <f t="shared" si="17"/>
        <v/>
      </c>
    </row>
    <row r="1064" spans="1:1">
      <c r="A1064" t="str">
        <f t="shared" si="17"/>
        <v/>
      </c>
    </row>
    <row r="1065" spans="1:1">
      <c r="A1065" t="str">
        <f t="shared" si="17"/>
        <v/>
      </c>
    </row>
    <row r="1066" spans="1:1">
      <c r="A1066" t="str">
        <f t="shared" si="17"/>
        <v/>
      </c>
    </row>
    <row r="1067" spans="1:1">
      <c r="A1067" t="str">
        <f t="shared" si="17"/>
        <v/>
      </c>
    </row>
    <row r="1068" spans="1:1">
      <c r="A1068" t="str">
        <f t="shared" si="17"/>
        <v/>
      </c>
    </row>
    <row r="1069" spans="1:1">
      <c r="A1069" t="str">
        <f t="shared" si="17"/>
        <v/>
      </c>
    </row>
    <row r="1070" spans="1:1">
      <c r="A1070" t="str">
        <f t="shared" si="17"/>
        <v/>
      </c>
    </row>
    <row r="1071" spans="1:1">
      <c r="A1071" t="str">
        <f t="shared" si="17"/>
        <v/>
      </c>
    </row>
    <row r="1072" spans="1:1">
      <c r="A1072" t="str">
        <f t="shared" si="17"/>
        <v/>
      </c>
    </row>
    <row r="1073" spans="1:1">
      <c r="A1073" t="str">
        <f t="shared" si="17"/>
        <v/>
      </c>
    </row>
    <row r="1074" spans="1:1">
      <c r="A1074" t="str">
        <f t="shared" si="17"/>
        <v/>
      </c>
    </row>
    <row r="1075" spans="1:1">
      <c r="A1075" t="str">
        <f t="shared" si="17"/>
        <v/>
      </c>
    </row>
    <row r="1076" spans="1:1">
      <c r="A1076" t="str">
        <f t="shared" si="17"/>
        <v/>
      </c>
    </row>
    <row r="1077" spans="1:1">
      <c r="A1077" t="str">
        <f t="shared" si="17"/>
        <v/>
      </c>
    </row>
    <row r="1078" spans="1:1">
      <c r="A1078" t="str">
        <f t="shared" si="17"/>
        <v/>
      </c>
    </row>
    <row r="1079" spans="1:1">
      <c r="A1079" t="str">
        <f t="shared" si="17"/>
        <v/>
      </c>
    </row>
    <row r="1080" spans="1:1">
      <c r="A1080" t="str">
        <f t="shared" si="17"/>
        <v/>
      </c>
    </row>
    <row r="1081" spans="1:1">
      <c r="A1081" t="str">
        <f t="shared" si="17"/>
        <v/>
      </c>
    </row>
    <row r="1082" spans="1:1">
      <c r="A1082" t="str">
        <f t="shared" si="17"/>
        <v/>
      </c>
    </row>
    <row r="1083" spans="1:1">
      <c r="A1083" t="str">
        <f t="shared" si="17"/>
        <v/>
      </c>
    </row>
    <row r="1084" spans="1:1">
      <c r="A1084" t="str">
        <f t="shared" si="17"/>
        <v/>
      </c>
    </row>
    <row r="1085" spans="1:1">
      <c r="A1085" t="str">
        <f t="shared" si="17"/>
        <v/>
      </c>
    </row>
    <row r="1086" spans="1:1">
      <c r="A1086" t="str">
        <f t="shared" si="17"/>
        <v/>
      </c>
    </row>
    <row r="1087" spans="1:1">
      <c r="A1087" t="str">
        <f t="shared" si="17"/>
        <v/>
      </c>
    </row>
    <row r="1088" spans="1:1">
      <c r="A1088" t="str">
        <f t="shared" si="17"/>
        <v/>
      </c>
    </row>
    <row r="1089" spans="1:1">
      <c r="A1089" t="str">
        <f t="shared" si="17"/>
        <v/>
      </c>
    </row>
    <row r="1090" spans="1:1">
      <c r="A1090" t="str">
        <f t="shared" si="17"/>
        <v/>
      </c>
    </row>
    <row r="1091" spans="1:1">
      <c r="A1091" t="str">
        <f t="shared" si="17"/>
        <v/>
      </c>
    </row>
    <row r="1092" spans="1:1">
      <c r="A1092" t="str">
        <f t="shared" si="17"/>
        <v/>
      </c>
    </row>
    <row r="1093" spans="1:1">
      <c r="A1093" t="str">
        <f t="shared" si="17"/>
        <v/>
      </c>
    </row>
    <row r="1094" spans="1:1">
      <c r="A1094" t="str">
        <f t="shared" si="17"/>
        <v/>
      </c>
    </row>
    <row r="1095" spans="1:1">
      <c r="A1095" t="str">
        <f t="shared" ref="A1095:A1158" si="18">G1095&amp;H1095&amp;I1095&amp;F1095</f>
        <v/>
      </c>
    </row>
    <row r="1096" spans="1:1">
      <c r="A1096" t="str">
        <f t="shared" si="18"/>
        <v/>
      </c>
    </row>
    <row r="1097" spans="1:1">
      <c r="A1097" t="str">
        <f t="shared" si="18"/>
        <v/>
      </c>
    </row>
    <row r="1098" spans="1:1">
      <c r="A1098" t="str">
        <f t="shared" si="18"/>
        <v/>
      </c>
    </row>
    <row r="1099" spans="1:1">
      <c r="A1099" t="str">
        <f t="shared" si="18"/>
        <v/>
      </c>
    </row>
    <row r="1100" spans="1:1">
      <c r="A1100" t="str">
        <f t="shared" si="18"/>
        <v/>
      </c>
    </row>
    <row r="1101" spans="1:1">
      <c r="A1101" t="str">
        <f t="shared" si="18"/>
        <v/>
      </c>
    </row>
    <row r="1102" spans="1:1">
      <c r="A1102" t="str">
        <f t="shared" si="18"/>
        <v/>
      </c>
    </row>
    <row r="1103" spans="1:1">
      <c r="A1103" t="str">
        <f t="shared" si="18"/>
        <v/>
      </c>
    </row>
    <row r="1104" spans="1:1">
      <c r="A1104" t="str">
        <f t="shared" si="18"/>
        <v/>
      </c>
    </row>
    <row r="1105" spans="1:1">
      <c r="A1105" t="str">
        <f t="shared" si="18"/>
        <v/>
      </c>
    </row>
    <row r="1106" spans="1:1">
      <c r="A1106" t="str">
        <f t="shared" si="18"/>
        <v/>
      </c>
    </row>
    <row r="1107" spans="1:1">
      <c r="A1107" t="str">
        <f t="shared" si="18"/>
        <v/>
      </c>
    </row>
    <row r="1108" spans="1:1">
      <c r="A1108" t="str">
        <f t="shared" si="18"/>
        <v/>
      </c>
    </row>
    <row r="1109" spans="1:1">
      <c r="A1109" t="str">
        <f t="shared" si="18"/>
        <v/>
      </c>
    </row>
    <row r="1110" spans="1:1">
      <c r="A1110" t="str">
        <f t="shared" si="18"/>
        <v/>
      </c>
    </row>
    <row r="1111" spans="1:1">
      <c r="A1111" t="str">
        <f t="shared" si="18"/>
        <v/>
      </c>
    </row>
    <row r="1112" spans="1:1">
      <c r="A1112" t="str">
        <f t="shared" si="18"/>
        <v/>
      </c>
    </row>
    <row r="1113" spans="1:1">
      <c r="A1113" t="str">
        <f t="shared" si="18"/>
        <v/>
      </c>
    </row>
    <row r="1114" spans="1:1">
      <c r="A1114" t="str">
        <f t="shared" si="18"/>
        <v/>
      </c>
    </row>
    <row r="1115" spans="1:1">
      <c r="A1115" t="str">
        <f t="shared" si="18"/>
        <v/>
      </c>
    </row>
    <row r="1116" spans="1:1">
      <c r="A1116" t="str">
        <f t="shared" si="18"/>
        <v/>
      </c>
    </row>
    <row r="1117" spans="1:1">
      <c r="A1117" t="str">
        <f t="shared" si="18"/>
        <v/>
      </c>
    </row>
    <row r="1118" spans="1:1">
      <c r="A1118" t="str">
        <f t="shared" si="18"/>
        <v/>
      </c>
    </row>
    <row r="1119" spans="1:1">
      <c r="A1119" t="str">
        <f t="shared" si="18"/>
        <v/>
      </c>
    </row>
    <row r="1120" spans="1:1">
      <c r="A1120" t="str">
        <f t="shared" si="18"/>
        <v/>
      </c>
    </row>
    <row r="1121" spans="1:1">
      <c r="A1121" t="str">
        <f t="shared" si="18"/>
        <v/>
      </c>
    </row>
    <row r="1122" spans="1:1">
      <c r="A1122" t="str">
        <f t="shared" si="18"/>
        <v/>
      </c>
    </row>
    <row r="1123" spans="1:1">
      <c r="A1123" t="str">
        <f t="shared" si="18"/>
        <v/>
      </c>
    </row>
    <row r="1124" spans="1:1">
      <c r="A1124" t="str">
        <f t="shared" si="18"/>
        <v/>
      </c>
    </row>
    <row r="1125" spans="1:1">
      <c r="A1125" t="str">
        <f t="shared" si="18"/>
        <v/>
      </c>
    </row>
    <row r="1126" spans="1:1">
      <c r="A1126" t="str">
        <f t="shared" si="18"/>
        <v/>
      </c>
    </row>
    <row r="1127" spans="1:1">
      <c r="A1127" t="str">
        <f t="shared" si="18"/>
        <v/>
      </c>
    </row>
    <row r="1128" spans="1:1">
      <c r="A1128" t="str">
        <f t="shared" si="18"/>
        <v/>
      </c>
    </row>
    <row r="1129" spans="1:1">
      <c r="A1129" t="str">
        <f t="shared" si="18"/>
        <v/>
      </c>
    </row>
    <row r="1130" spans="1:1">
      <c r="A1130" t="str">
        <f t="shared" si="18"/>
        <v/>
      </c>
    </row>
    <row r="1131" spans="1:1">
      <c r="A1131" t="str">
        <f t="shared" si="18"/>
        <v/>
      </c>
    </row>
    <row r="1132" spans="1:1">
      <c r="A1132" t="str">
        <f t="shared" si="18"/>
        <v/>
      </c>
    </row>
    <row r="1133" spans="1:1">
      <c r="A1133" t="str">
        <f t="shared" si="18"/>
        <v/>
      </c>
    </row>
    <row r="1134" spans="1:1">
      <c r="A1134" t="str">
        <f t="shared" si="18"/>
        <v/>
      </c>
    </row>
    <row r="1135" spans="1:1">
      <c r="A1135" t="str">
        <f t="shared" si="18"/>
        <v/>
      </c>
    </row>
    <row r="1136" spans="1:1">
      <c r="A1136" t="str">
        <f t="shared" si="18"/>
        <v/>
      </c>
    </row>
    <row r="1137" spans="1:1">
      <c r="A1137" t="str">
        <f t="shared" si="18"/>
        <v/>
      </c>
    </row>
    <row r="1138" spans="1:1">
      <c r="A1138" t="str">
        <f t="shared" si="18"/>
        <v/>
      </c>
    </row>
    <row r="1139" spans="1:1">
      <c r="A1139" t="str">
        <f t="shared" si="18"/>
        <v/>
      </c>
    </row>
    <row r="1140" spans="1:1">
      <c r="A1140" t="str">
        <f t="shared" si="18"/>
        <v/>
      </c>
    </row>
    <row r="1141" spans="1:1">
      <c r="A1141" t="str">
        <f t="shared" si="18"/>
        <v/>
      </c>
    </row>
    <row r="1142" spans="1:1">
      <c r="A1142" t="str">
        <f t="shared" si="18"/>
        <v/>
      </c>
    </row>
    <row r="1143" spans="1:1">
      <c r="A1143" t="str">
        <f t="shared" si="18"/>
        <v/>
      </c>
    </row>
    <row r="1144" spans="1:1">
      <c r="A1144" t="str">
        <f t="shared" si="18"/>
        <v/>
      </c>
    </row>
    <row r="1145" spans="1:1">
      <c r="A1145" t="str">
        <f t="shared" si="18"/>
        <v/>
      </c>
    </row>
    <row r="1146" spans="1:1">
      <c r="A1146" t="str">
        <f t="shared" si="18"/>
        <v/>
      </c>
    </row>
    <row r="1147" spans="1:1">
      <c r="A1147" t="str">
        <f t="shared" si="18"/>
        <v/>
      </c>
    </row>
    <row r="1148" spans="1:1">
      <c r="A1148" t="str">
        <f t="shared" si="18"/>
        <v/>
      </c>
    </row>
    <row r="1149" spans="1:1">
      <c r="A1149" t="str">
        <f t="shared" si="18"/>
        <v/>
      </c>
    </row>
    <row r="1150" spans="1:1">
      <c r="A1150" t="str">
        <f t="shared" si="18"/>
        <v/>
      </c>
    </row>
    <row r="1151" spans="1:1">
      <c r="A1151" t="str">
        <f t="shared" si="18"/>
        <v/>
      </c>
    </row>
    <row r="1152" spans="1:1">
      <c r="A1152" t="str">
        <f t="shared" si="18"/>
        <v/>
      </c>
    </row>
    <row r="1153" spans="1:1">
      <c r="A1153" t="str">
        <f t="shared" si="18"/>
        <v/>
      </c>
    </row>
    <row r="1154" spans="1:1">
      <c r="A1154" t="str">
        <f t="shared" si="18"/>
        <v/>
      </c>
    </row>
    <row r="1155" spans="1:1">
      <c r="A1155" t="str">
        <f t="shared" si="18"/>
        <v/>
      </c>
    </row>
    <row r="1156" spans="1:1">
      <c r="A1156" t="str">
        <f t="shared" si="18"/>
        <v/>
      </c>
    </row>
    <row r="1157" spans="1:1">
      <c r="A1157" t="str">
        <f t="shared" si="18"/>
        <v/>
      </c>
    </row>
    <row r="1158" spans="1:1">
      <c r="A1158" t="str">
        <f t="shared" si="18"/>
        <v/>
      </c>
    </row>
    <row r="1159" spans="1:1">
      <c r="A1159" t="str">
        <f t="shared" ref="A1159:A1222" si="19">G1159&amp;H1159&amp;I1159&amp;F1159</f>
        <v/>
      </c>
    </row>
    <row r="1160" spans="1:1">
      <c r="A1160" t="str">
        <f t="shared" si="19"/>
        <v/>
      </c>
    </row>
    <row r="1161" spans="1:1">
      <c r="A1161" t="str">
        <f t="shared" si="19"/>
        <v/>
      </c>
    </row>
    <row r="1162" spans="1:1">
      <c r="A1162" t="str">
        <f t="shared" si="19"/>
        <v/>
      </c>
    </row>
    <row r="1163" spans="1:1">
      <c r="A1163" t="str">
        <f t="shared" si="19"/>
        <v/>
      </c>
    </row>
    <row r="1164" spans="1:1">
      <c r="A1164" t="str">
        <f t="shared" si="19"/>
        <v/>
      </c>
    </row>
    <row r="1165" spans="1:1">
      <c r="A1165" t="str">
        <f t="shared" si="19"/>
        <v/>
      </c>
    </row>
    <row r="1166" spans="1:1">
      <c r="A1166" t="str">
        <f t="shared" si="19"/>
        <v/>
      </c>
    </row>
    <row r="1167" spans="1:1">
      <c r="A1167" t="str">
        <f t="shared" si="19"/>
        <v/>
      </c>
    </row>
    <row r="1168" spans="1:1">
      <c r="A1168" t="str">
        <f t="shared" si="19"/>
        <v/>
      </c>
    </row>
    <row r="1169" spans="1:1">
      <c r="A1169" t="str">
        <f t="shared" si="19"/>
        <v/>
      </c>
    </row>
    <row r="1170" spans="1:1">
      <c r="A1170" t="str">
        <f t="shared" si="19"/>
        <v/>
      </c>
    </row>
    <row r="1171" spans="1:1">
      <c r="A1171" t="str">
        <f t="shared" si="19"/>
        <v/>
      </c>
    </row>
    <row r="1172" spans="1:1">
      <c r="A1172" t="str">
        <f t="shared" si="19"/>
        <v/>
      </c>
    </row>
    <row r="1173" spans="1:1">
      <c r="A1173" t="str">
        <f t="shared" si="19"/>
        <v/>
      </c>
    </row>
    <row r="1174" spans="1:1">
      <c r="A1174" t="str">
        <f t="shared" si="19"/>
        <v/>
      </c>
    </row>
    <row r="1175" spans="1:1">
      <c r="A1175" t="str">
        <f t="shared" si="19"/>
        <v/>
      </c>
    </row>
    <row r="1176" spans="1:1">
      <c r="A1176" t="str">
        <f t="shared" si="19"/>
        <v/>
      </c>
    </row>
    <row r="1177" spans="1:1">
      <c r="A1177" t="str">
        <f t="shared" si="19"/>
        <v/>
      </c>
    </row>
    <row r="1178" spans="1:1">
      <c r="A1178" t="str">
        <f t="shared" si="19"/>
        <v/>
      </c>
    </row>
    <row r="1179" spans="1:1">
      <c r="A1179" t="str">
        <f t="shared" si="19"/>
        <v/>
      </c>
    </row>
    <row r="1180" spans="1:1">
      <c r="A1180" t="str">
        <f t="shared" si="19"/>
        <v/>
      </c>
    </row>
    <row r="1181" spans="1:1">
      <c r="A1181" t="str">
        <f t="shared" si="19"/>
        <v/>
      </c>
    </row>
    <row r="1182" spans="1:1">
      <c r="A1182" t="str">
        <f t="shared" si="19"/>
        <v/>
      </c>
    </row>
    <row r="1183" spans="1:1">
      <c r="A1183" t="str">
        <f t="shared" si="19"/>
        <v/>
      </c>
    </row>
    <row r="1184" spans="1:1">
      <c r="A1184" t="str">
        <f t="shared" si="19"/>
        <v/>
      </c>
    </row>
    <row r="1185" spans="1:1">
      <c r="A1185" t="str">
        <f t="shared" si="19"/>
        <v/>
      </c>
    </row>
    <row r="1186" spans="1:1">
      <c r="A1186" t="str">
        <f t="shared" si="19"/>
        <v/>
      </c>
    </row>
    <row r="1187" spans="1:1">
      <c r="A1187" t="str">
        <f t="shared" si="19"/>
        <v/>
      </c>
    </row>
    <row r="1188" spans="1:1">
      <c r="A1188" t="str">
        <f t="shared" si="19"/>
        <v/>
      </c>
    </row>
    <row r="1189" spans="1:1">
      <c r="A1189" t="str">
        <f t="shared" si="19"/>
        <v/>
      </c>
    </row>
    <row r="1190" spans="1:1">
      <c r="A1190" t="str">
        <f t="shared" si="19"/>
        <v/>
      </c>
    </row>
    <row r="1191" spans="1:1">
      <c r="A1191" t="str">
        <f t="shared" si="19"/>
        <v/>
      </c>
    </row>
    <row r="1192" spans="1:1">
      <c r="A1192" t="str">
        <f t="shared" si="19"/>
        <v/>
      </c>
    </row>
    <row r="1193" spans="1:1">
      <c r="A1193" t="str">
        <f t="shared" si="19"/>
        <v/>
      </c>
    </row>
    <row r="1194" spans="1:1">
      <c r="A1194" t="str">
        <f t="shared" si="19"/>
        <v/>
      </c>
    </row>
    <row r="1195" spans="1:1">
      <c r="A1195" t="str">
        <f t="shared" si="19"/>
        <v/>
      </c>
    </row>
    <row r="1196" spans="1:1">
      <c r="A1196" t="str">
        <f t="shared" si="19"/>
        <v/>
      </c>
    </row>
    <row r="1197" spans="1:1">
      <c r="A1197" t="str">
        <f t="shared" si="19"/>
        <v/>
      </c>
    </row>
    <row r="1198" spans="1:1">
      <c r="A1198" t="str">
        <f t="shared" si="19"/>
        <v/>
      </c>
    </row>
    <row r="1199" spans="1:1">
      <c r="A1199" t="str">
        <f t="shared" si="19"/>
        <v/>
      </c>
    </row>
    <row r="1200" spans="1:1">
      <c r="A1200" t="str">
        <f t="shared" si="19"/>
        <v/>
      </c>
    </row>
    <row r="1201" spans="1:1">
      <c r="A1201" t="str">
        <f t="shared" si="19"/>
        <v/>
      </c>
    </row>
    <row r="1202" spans="1:1">
      <c r="A1202" t="str">
        <f t="shared" si="19"/>
        <v/>
      </c>
    </row>
    <row r="1203" spans="1:1">
      <c r="A1203" t="str">
        <f t="shared" si="19"/>
        <v/>
      </c>
    </row>
    <row r="1204" spans="1:1">
      <c r="A1204" t="str">
        <f t="shared" si="19"/>
        <v/>
      </c>
    </row>
    <row r="1205" spans="1:1">
      <c r="A1205" t="str">
        <f t="shared" si="19"/>
        <v/>
      </c>
    </row>
    <row r="1206" spans="1:1">
      <c r="A1206" t="str">
        <f t="shared" si="19"/>
        <v/>
      </c>
    </row>
    <row r="1207" spans="1:1">
      <c r="A1207" t="str">
        <f t="shared" si="19"/>
        <v/>
      </c>
    </row>
    <row r="1208" spans="1:1">
      <c r="A1208" t="str">
        <f t="shared" si="19"/>
        <v/>
      </c>
    </row>
    <row r="1209" spans="1:1">
      <c r="A1209" t="str">
        <f t="shared" si="19"/>
        <v/>
      </c>
    </row>
    <row r="1210" spans="1:1">
      <c r="A1210" t="str">
        <f t="shared" si="19"/>
        <v/>
      </c>
    </row>
    <row r="1211" spans="1:1">
      <c r="A1211" t="str">
        <f t="shared" si="19"/>
        <v/>
      </c>
    </row>
    <row r="1212" spans="1:1">
      <c r="A1212" t="str">
        <f t="shared" si="19"/>
        <v/>
      </c>
    </row>
    <row r="1213" spans="1:1">
      <c r="A1213" t="str">
        <f t="shared" si="19"/>
        <v/>
      </c>
    </row>
    <row r="1214" spans="1:1">
      <c r="A1214" t="str">
        <f t="shared" si="19"/>
        <v/>
      </c>
    </row>
    <row r="1215" spans="1:1">
      <c r="A1215" t="str">
        <f t="shared" si="19"/>
        <v/>
      </c>
    </row>
    <row r="1216" spans="1:1">
      <c r="A1216" t="str">
        <f t="shared" si="19"/>
        <v/>
      </c>
    </row>
    <row r="1217" spans="1:1">
      <c r="A1217" t="str">
        <f t="shared" si="19"/>
        <v/>
      </c>
    </row>
    <row r="1218" spans="1:1">
      <c r="A1218" t="str">
        <f t="shared" si="19"/>
        <v/>
      </c>
    </row>
    <row r="1219" spans="1:1">
      <c r="A1219" t="str">
        <f t="shared" si="19"/>
        <v/>
      </c>
    </row>
    <row r="1220" spans="1:1">
      <c r="A1220" t="str">
        <f t="shared" si="19"/>
        <v/>
      </c>
    </row>
    <row r="1221" spans="1:1">
      <c r="A1221" t="str">
        <f t="shared" si="19"/>
        <v/>
      </c>
    </row>
    <row r="1222" spans="1:1">
      <c r="A1222" t="str">
        <f t="shared" si="19"/>
        <v/>
      </c>
    </row>
    <row r="1223" spans="1:1">
      <c r="A1223" t="str">
        <f t="shared" ref="A1223:A1286" si="20">G1223&amp;H1223&amp;I1223&amp;F1223</f>
        <v/>
      </c>
    </row>
    <row r="1224" spans="1:1">
      <c r="A1224" t="str">
        <f t="shared" si="20"/>
        <v/>
      </c>
    </row>
    <row r="1225" spans="1:1">
      <c r="A1225" t="str">
        <f t="shared" si="20"/>
        <v/>
      </c>
    </row>
    <row r="1226" spans="1:1">
      <c r="A1226" t="str">
        <f t="shared" si="20"/>
        <v/>
      </c>
    </row>
    <row r="1227" spans="1:1">
      <c r="A1227" t="str">
        <f t="shared" si="20"/>
        <v/>
      </c>
    </row>
    <row r="1228" spans="1:1">
      <c r="A1228" t="str">
        <f t="shared" si="20"/>
        <v/>
      </c>
    </row>
    <row r="1229" spans="1:1">
      <c r="A1229" t="str">
        <f t="shared" si="20"/>
        <v/>
      </c>
    </row>
    <row r="1230" spans="1:1">
      <c r="A1230" t="str">
        <f t="shared" si="20"/>
        <v/>
      </c>
    </row>
    <row r="1231" spans="1:1">
      <c r="A1231" t="str">
        <f t="shared" si="20"/>
        <v/>
      </c>
    </row>
    <row r="1232" spans="1:1">
      <c r="A1232" t="str">
        <f t="shared" si="20"/>
        <v/>
      </c>
    </row>
    <row r="1233" spans="1:1">
      <c r="A1233" t="str">
        <f t="shared" si="20"/>
        <v/>
      </c>
    </row>
    <row r="1234" spans="1:1">
      <c r="A1234" t="str">
        <f t="shared" si="20"/>
        <v/>
      </c>
    </row>
    <row r="1235" spans="1:1">
      <c r="A1235" t="str">
        <f t="shared" si="20"/>
        <v/>
      </c>
    </row>
    <row r="1236" spans="1:1">
      <c r="A1236" t="str">
        <f t="shared" si="20"/>
        <v/>
      </c>
    </row>
    <row r="1237" spans="1:1">
      <c r="A1237" t="str">
        <f t="shared" si="20"/>
        <v/>
      </c>
    </row>
    <row r="1238" spans="1:1">
      <c r="A1238" t="str">
        <f t="shared" si="20"/>
        <v/>
      </c>
    </row>
    <row r="1239" spans="1:1">
      <c r="A1239" t="str">
        <f t="shared" si="20"/>
        <v/>
      </c>
    </row>
    <row r="1240" spans="1:1">
      <c r="A1240" t="str">
        <f t="shared" si="20"/>
        <v/>
      </c>
    </row>
    <row r="1241" spans="1:1">
      <c r="A1241" t="str">
        <f t="shared" si="20"/>
        <v/>
      </c>
    </row>
    <row r="1242" spans="1:1">
      <c r="A1242" t="str">
        <f t="shared" si="20"/>
        <v/>
      </c>
    </row>
    <row r="1243" spans="1:1">
      <c r="A1243" t="str">
        <f t="shared" si="20"/>
        <v/>
      </c>
    </row>
    <row r="1244" spans="1:1">
      <c r="A1244" t="str">
        <f t="shared" si="20"/>
        <v/>
      </c>
    </row>
    <row r="1245" spans="1:1">
      <c r="A1245" t="str">
        <f t="shared" si="20"/>
        <v/>
      </c>
    </row>
    <row r="1246" spans="1:1">
      <c r="A1246" t="str">
        <f t="shared" si="20"/>
        <v/>
      </c>
    </row>
    <row r="1247" spans="1:1">
      <c r="A1247" t="str">
        <f t="shared" si="20"/>
        <v/>
      </c>
    </row>
    <row r="1248" spans="1:1">
      <c r="A1248" t="str">
        <f t="shared" si="20"/>
        <v/>
      </c>
    </row>
    <row r="1249" spans="1:1">
      <c r="A1249" t="str">
        <f t="shared" si="20"/>
        <v/>
      </c>
    </row>
    <row r="1250" spans="1:1">
      <c r="A1250" t="str">
        <f t="shared" si="20"/>
        <v/>
      </c>
    </row>
    <row r="1251" spans="1:1">
      <c r="A1251" t="str">
        <f t="shared" si="20"/>
        <v/>
      </c>
    </row>
    <row r="1252" spans="1:1">
      <c r="A1252" t="str">
        <f t="shared" si="20"/>
        <v/>
      </c>
    </row>
    <row r="1253" spans="1:1">
      <c r="A1253" t="str">
        <f t="shared" si="20"/>
        <v/>
      </c>
    </row>
    <row r="1254" spans="1:1">
      <c r="A1254" t="str">
        <f t="shared" si="20"/>
        <v/>
      </c>
    </row>
    <row r="1255" spans="1:1">
      <c r="A1255" t="str">
        <f t="shared" si="20"/>
        <v/>
      </c>
    </row>
    <row r="1256" spans="1:1">
      <c r="A1256" t="str">
        <f t="shared" si="20"/>
        <v/>
      </c>
    </row>
    <row r="1257" spans="1:1">
      <c r="A1257" t="str">
        <f t="shared" si="20"/>
        <v/>
      </c>
    </row>
    <row r="1258" spans="1:1">
      <c r="A1258" t="str">
        <f t="shared" si="20"/>
        <v/>
      </c>
    </row>
    <row r="1259" spans="1:1">
      <c r="A1259" t="str">
        <f t="shared" si="20"/>
        <v/>
      </c>
    </row>
    <row r="1260" spans="1:1">
      <c r="A1260" t="str">
        <f t="shared" si="20"/>
        <v/>
      </c>
    </row>
    <row r="1261" spans="1:1">
      <c r="A1261" t="str">
        <f t="shared" si="20"/>
        <v/>
      </c>
    </row>
    <row r="1262" spans="1:1">
      <c r="A1262" t="str">
        <f t="shared" si="20"/>
        <v/>
      </c>
    </row>
    <row r="1263" spans="1:1">
      <c r="A1263" t="str">
        <f t="shared" si="20"/>
        <v/>
      </c>
    </row>
    <row r="1264" spans="1:1">
      <c r="A1264" t="str">
        <f t="shared" si="20"/>
        <v/>
      </c>
    </row>
    <row r="1265" spans="1:1">
      <c r="A1265" t="str">
        <f t="shared" si="20"/>
        <v/>
      </c>
    </row>
    <row r="1266" spans="1:1">
      <c r="A1266" t="str">
        <f t="shared" si="20"/>
        <v/>
      </c>
    </row>
    <row r="1267" spans="1:1">
      <c r="A1267" t="str">
        <f t="shared" si="20"/>
        <v/>
      </c>
    </row>
    <row r="1268" spans="1:1">
      <c r="A1268" t="str">
        <f t="shared" si="20"/>
        <v/>
      </c>
    </row>
    <row r="1269" spans="1:1">
      <c r="A1269" t="str">
        <f t="shared" si="20"/>
        <v/>
      </c>
    </row>
    <row r="1270" spans="1:1">
      <c r="A1270" t="str">
        <f t="shared" si="20"/>
        <v/>
      </c>
    </row>
    <row r="1271" spans="1:1">
      <c r="A1271" t="str">
        <f t="shared" si="20"/>
        <v/>
      </c>
    </row>
    <row r="1272" spans="1:1">
      <c r="A1272" t="str">
        <f t="shared" si="20"/>
        <v/>
      </c>
    </row>
    <row r="1273" spans="1:1">
      <c r="A1273" t="str">
        <f t="shared" si="20"/>
        <v/>
      </c>
    </row>
    <row r="1274" spans="1:1">
      <c r="A1274" t="str">
        <f t="shared" si="20"/>
        <v/>
      </c>
    </row>
    <row r="1275" spans="1:1">
      <c r="A1275" t="str">
        <f t="shared" si="20"/>
        <v/>
      </c>
    </row>
    <row r="1276" spans="1:1">
      <c r="A1276" t="str">
        <f t="shared" si="20"/>
        <v/>
      </c>
    </row>
    <row r="1277" spans="1:1">
      <c r="A1277" t="str">
        <f t="shared" si="20"/>
        <v/>
      </c>
    </row>
    <row r="1278" spans="1:1">
      <c r="A1278" t="str">
        <f t="shared" si="20"/>
        <v/>
      </c>
    </row>
    <row r="1279" spans="1:1">
      <c r="A1279" t="str">
        <f t="shared" si="20"/>
        <v/>
      </c>
    </row>
    <row r="1280" spans="1:1">
      <c r="A1280" t="str">
        <f t="shared" si="20"/>
        <v/>
      </c>
    </row>
    <row r="1281" spans="1:1">
      <c r="A1281" t="str">
        <f t="shared" si="20"/>
        <v/>
      </c>
    </row>
    <row r="1282" spans="1:1">
      <c r="A1282" t="str">
        <f t="shared" si="20"/>
        <v/>
      </c>
    </row>
    <row r="1283" spans="1:1">
      <c r="A1283" t="str">
        <f t="shared" si="20"/>
        <v/>
      </c>
    </row>
    <row r="1284" spans="1:1">
      <c r="A1284" t="str">
        <f t="shared" si="20"/>
        <v/>
      </c>
    </row>
    <row r="1285" spans="1:1">
      <c r="A1285" t="str">
        <f t="shared" si="20"/>
        <v/>
      </c>
    </row>
    <row r="1286" spans="1:1">
      <c r="A1286" t="str">
        <f t="shared" si="20"/>
        <v/>
      </c>
    </row>
    <row r="1287" spans="1:1">
      <c r="A1287" t="str">
        <f t="shared" ref="A1287:A1350" si="21">G1287&amp;H1287&amp;I1287&amp;F1287</f>
        <v/>
      </c>
    </row>
    <row r="1288" spans="1:1">
      <c r="A1288" t="str">
        <f t="shared" si="21"/>
        <v/>
      </c>
    </row>
    <row r="1289" spans="1:1">
      <c r="A1289" t="str">
        <f t="shared" si="21"/>
        <v/>
      </c>
    </row>
    <row r="1290" spans="1:1">
      <c r="A1290" t="str">
        <f t="shared" si="21"/>
        <v/>
      </c>
    </row>
    <row r="1291" spans="1:1">
      <c r="A1291" t="str">
        <f t="shared" si="21"/>
        <v/>
      </c>
    </row>
    <row r="1292" spans="1:1">
      <c r="A1292" t="str">
        <f t="shared" si="21"/>
        <v/>
      </c>
    </row>
    <row r="1293" spans="1:1">
      <c r="A1293" t="str">
        <f t="shared" si="21"/>
        <v/>
      </c>
    </row>
    <row r="1294" spans="1:1">
      <c r="A1294" t="str">
        <f t="shared" si="21"/>
        <v/>
      </c>
    </row>
    <row r="1295" spans="1:1">
      <c r="A1295" t="str">
        <f t="shared" si="21"/>
        <v/>
      </c>
    </row>
    <row r="1296" spans="1:1">
      <c r="A1296" t="str">
        <f t="shared" si="21"/>
        <v/>
      </c>
    </row>
    <row r="1297" spans="1:1">
      <c r="A1297" t="str">
        <f t="shared" si="21"/>
        <v/>
      </c>
    </row>
    <row r="1298" spans="1:1">
      <c r="A1298" t="str">
        <f t="shared" si="21"/>
        <v/>
      </c>
    </row>
    <row r="1299" spans="1:1">
      <c r="A1299" t="str">
        <f t="shared" si="21"/>
        <v/>
      </c>
    </row>
    <row r="1300" spans="1:1">
      <c r="A1300" t="str">
        <f t="shared" si="21"/>
        <v/>
      </c>
    </row>
    <row r="1301" spans="1:1">
      <c r="A1301" t="str">
        <f t="shared" si="21"/>
        <v/>
      </c>
    </row>
    <row r="1302" spans="1:1">
      <c r="A1302" t="str">
        <f t="shared" si="21"/>
        <v/>
      </c>
    </row>
    <row r="1303" spans="1:1">
      <c r="A1303" t="str">
        <f t="shared" si="21"/>
        <v/>
      </c>
    </row>
    <row r="1304" spans="1:1">
      <c r="A1304" t="str">
        <f t="shared" si="21"/>
        <v/>
      </c>
    </row>
    <row r="1305" spans="1:1">
      <c r="A1305" t="str">
        <f t="shared" si="21"/>
        <v/>
      </c>
    </row>
    <row r="1306" spans="1:1">
      <c r="A1306" t="str">
        <f t="shared" si="21"/>
        <v/>
      </c>
    </row>
    <row r="1307" spans="1:1">
      <c r="A1307" t="str">
        <f t="shared" si="21"/>
        <v/>
      </c>
    </row>
    <row r="1308" spans="1:1">
      <c r="A1308" t="str">
        <f t="shared" si="21"/>
        <v/>
      </c>
    </row>
    <row r="1309" spans="1:1">
      <c r="A1309" t="str">
        <f t="shared" si="21"/>
        <v/>
      </c>
    </row>
    <row r="1310" spans="1:1">
      <c r="A1310" t="str">
        <f t="shared" si="21"/>
        <v/>
      </c>
    </row>
    <row r="1311" spans="1:1">
      <c r="A1311" t="str">
        <f t="shared" si="21"/>
        <v/>
      </c>
    </row>
    <row r="1312" spans="1:1">
      <c r="A1312" t="str">
        <f t="shared" si="21"/>
        <v/>
      </c>
    </row>
    <row r="1313" spans="1:1">
      <c r="A1313" t="str">
        <f t="shared" si="21"/>
        <v/>
      </c>
    </row>
    <row r="1314" spans="1:1">
      <c r="A1314" t="str">
        <f t="shared" si="21"/>
        <v/>
      </c>
    </row>
    <row r="1315" spans="1:1">
      <c r="A1315" t="str">
        <f t="shared" si="21"/>
        <v/>
      </c>
    </row>
    <row r="1316" spans="1:1">
      <c r="A1316" t="str">
        <f t="shared" si="21"/>
        <v/>
      </c>
    </row>
    <row r="1317" spans="1:1">
      <c r="A1317" t="str">
        <f t="shared" si="21"/>
        <v/>
      </c>
    </row>
    <row r="1318" spans="1:1">
      <c r="A1318" t="str">
        <f t="shared" si="21"/>
        <v/>
      </c>
    </row>
    <row r="1319" spans="1:1">
      <c r="A1319" t="str">
        <f t="shared" si="21"/>
        <v/>
      </c>
    </row>
    <row r="1320" spans="1:1">
      <c r="A1320" t="str">
        <f t="shared" si="21"/>
        <v/>
      </c>
    </row>
    <row r="1321" spans="1:1">
      <c r="A1321" t="str">
        <f t="shared" si="21"/>
        <v/>
      </c>
    </row>
    <row r="1322" spans="1:1">
      <c r="A1322" t="str">
        <f t="shared" si="21"/>
        <v/>
      </c>
    </row>
    <row r="1323" spans="1:1">
      <c r="A1323" t="str">
        <f t="shared" si="21"/>
        <v/>
      </c>
    </row>
    <row r="1324" spans="1:1">
      <c r="A1324" t="str">
        <f t="shared" si="21"/>
        <v/>
      </c>
    </row>
    <row r="1325" spans="1:1">
      <c r="A1325" t="str">
        <f t="shared" si="21"/>
        <v/>
      </c>
    </row>
    <row r="1326" spans="1:1">
      <c r="A1326" t="str">
        <f t="shared" si="21"/>
        <v/>
      </c>
    </row>
    <row r="1327" spans="1:1">
      <c r="A1327" t="str">
        <f t="shared" si="21"/>
        <v/>
      </c>
    </row>
    <row r="1328" spans="1:1">
      <c r="A1328" t="str">
        <f t="shared" si="21"/>
        <v/>
      </c>
    </row>
    <row r="1329" spans="1:1">
      <c r="A1329" t="str">
        <f t="shared" si="21"/>
        <v/>
      </c>
    </row>
    <row r="1330" spans="1:1">
      <c r="A1330" t="str">
        <f t="shared" si="21"/>
        <v/>
      </c>
    </row>
    <row r="1331" spans="1:1">
      <c r="A1331" t="str">
        <f t="shared" si="21"/>
        <v/>
      </c>
    </row>
    <row r="1332" spans="1:1">
      <c r="A1332" t="str">
        <f t="shared" si="21"/>
        <v/>
      </c>
    </row>
    <row r="1333" spans="1:1">
      <c r="A1333" t="str">
        <f t="shared" si="21"/>
        <v/>
      </c>
    </row>
    <row r="1334" spans="1:1">
      <c r="A1334" t="str">
        <f t="shared" si="21"/>
        <v/>
      </c>
    </row>
    <row r="1335" spans="1:1">
      <c r="A1335" t="str">
        <f t="shared" si="21"/>
        <v/>
      </c>
    </row>
    <row r="1336" spans="1:1">
      <c r="A1336" t="str">
        <f t="shared" si="21"/>
        <v/>
      </c>
    </row>
    <row r="1337" spans="1:1">
      <c r="A1337" t="str">
        <f t="shared" si="21"/>
        <v/>
      </c>
    </row>
    <row r="1338" spans="1:1">
      <c r="A1338" t="str">
        <f t="shared" si="21"/>
        <v/>
      </c>
    </row>
    <row r="1339" spans="1:1">
      <c r="A1339" t="str">
        <f t="shared" si="21"/>
        <v/>
      </c>
    </row>
    <row r="1340" spans="1:1">
      <c r="A1340" t="str">
        <f t="shared" si="21"/>
        <v/>
      </c>
    </row>
    <row r="1341" spans="1:1">
      <c r="A1341" t="str">
        <f t="shared" si="21"/>
        <v/>
      </c>
    </row>
    <row r="1342" spans="1:1">
      <c r="A1342" t="str">
        <f t="shared" si="21"/>
        <v/>
      </c>
    </row>
    <row r="1343" spans="1:1">
      <c r="A1343" t="str">
        <f t="shared" si="21"/>
        <v/>
      </c>
    </row>
    <row r="1344" spans="1:1">
      <c r="A1344" t="str">
        <f t="shared" si="21"/>
        <v/>
      </c>
    </row>
    <row r="1345" spans="1:1">
      <c r="A1345" t="str">
        <f t="shared" si="21"/>
        <v/>
      </c>
    </row>
    <row r="1346" spans="1:1">
      <c r="A1346" t="str">
        <f t="shared" si="21"/>
        <v/>
      </c>
    </row>
    <row r="1347" spans="1:1">
      <c r="A1347" t="str">
        <f t="shared" si="21"/>
        <v/>
      </c>
    </row>
    <row r="1348" spans="1:1">
      <c r="A1348" t="str">
        <f t="shared" si="21"/>
        <v/>
      </c>
    </row>
    <row r="1349" spans="1:1">
      <c r="A1349" t="str">
        <f t="shared" si="21"/>
        <v/>
      </c>
    </row>
    <row r="1350" spans="1:1">
      <c r="A1350" t="str">
        <f t="shared" si="21"/>
        <v/>
      </c>
    </row>
    <row r="1351" spans="1:1">
      <c r="A1351" t="str">
        <f t="shared" ref="A1351:A1414" si="22">G1351&amp;H1351&amp;I1351&amp;F1351</f>
        <v/>
      </c>
    </row>
    <row r="1352" spans="1:1">
      <c r="A1352" t="str">
        <f t="shared" si="22"/>
        <v/>
      </c>
    </row>
    <row r="1353" spans="1:1">
      <c r="A1353" t="str">
        <f t="shared" si="22"/>
        <v/>
      </c>
    </row>
    <row r="1354" spans="1:1">
      <c r="A1354" t="str">
        <f t="shared" si="22"/>
        <v/>
      </c>
    </row>
    <row r="1355" spans="1:1">
      <c r="A1355" t="str">
        <f t="shared" si="22"/>
        <v/>
      </c>
    </row>
    <row r="1356" spans="1:1">
      <c r="A1356" t="str">
        <f t="shared" si="22"/>
        <v/>
      </c>
    </row>
    <row r="1357" spans="1:1">
      <c r="A1357" t="str">
        <f t="shared" si="22"/>
        <v/>
      </c>
    </row>
    <row r="1358" spans="1:1">
      <c r="A1358" t="str">
        <f t="shared" si="22"/>
        <v/>
      </c>
    </row>
    <row r="1359" spans="1:1">
      <c r="A1359" t="str">
        <f t="shared" si="22"/>
        <v/>
      </c>
    </row>
    <row r="1360" spans="1:1">
      <c r="A1360" t="str">
        <f t="shared" si="22"/>
        <v/>
      </c>
    </row>
    <row r="1361" spans="1:1">
      <c r="A1361" t="str">
        <f t="shared" si="22"/>
        <v/>
      </c>
    </row>
    <row r="1362" spans="1:1">
      <c r="A1362" t="str">
        <f t="shared" si="22"/>
        <v/>
      </c>
    </row>
    <row r="1363" spans="1:1">
      <c r="A1363" t="str">
        <f t="shared" si="22"/>
        <v/>
      </c>
    </row>
    <row r="1364" spans="1:1">
      <c r="A1364" t="str">
        <f t="shared" si="22"/>
        <v/>
      </c>
    </row>
    <row r="1365" spans="1:1">
      <c r="A1365" t="str">
        <f t="shared" si="22"/>
        <v/>
      </c>
    </row>
    <row r="1366" spans="1:1">
      <c r="A1366" t="str">
        <f t="shared" si="22"/>
        <v/>
      </c>
    </row>
    <row r="1367" spans="1:1">
      <c r="A1367" t="str">
        <f t="shared" si="22"/>
        <v/>
      </c>
    </row>
    <row r="1368" spans="1:1">
      <c r="A1368" t="str">
        <f t="shared" si="22"/>
        <v/>
      </c>
    </row>
    <row r="1369" spans="1:1">
      <c r="A1369" t="str">
        <f t="shared" si="22"/>
        <v/>
      </c>
    </row>
    <row r="1370" spans="1:1">
      <c r="A1370" t="str">
        <f t="shared" si="22"/>
        <v/>
      </c>
    </row>
    <row r="1371" spans="1:1">
      <c r="A1371" t="str">
        <f t="shared" si="22"/>
        <v/>
      </c>
    </row>
    <row r="1372" spans="1:1">
      <c r="A1372" t="str">
        <f t="shared" si="22"/>
        <v/>
      </c>
    </row>
    <row r="1373" spans="1:1">
      <c r="A1373" t="str">
        <f t="shared" si="22"/>
        <v/>
      </c>
    </row>
    <row r="1374" spans="1:1">
      <c r="A1374" t="str">
        <f t="shared" si="22"/>
        <v/>
      </c>
    </row>
    <row r="1375" spans="1:1">
      <c r="A1375" t="str">
        <f t="shared" si="22"/>
        <v/>
      </c>
    </row>
    <row r="1376" spans="1:1">
      <c r="A1376" t="str">
        <f t="shared" si="22"/>
        <v/>
      </c>
    </row>
    <row r="1377" spans="1:1">
      <c r="A1377" t="str">
        <f t="shared" si="22"/>
        <v/>
      </c>
    </row>
    <row r="1378" spans="1:1">
      <c r="A1378" t="str">
        <f t="shared" si="22"/>
        <v/>
      </c>
    </row>
    <row r="1379" spans="1:1">
      <c r="A1379" t="str">
        <f t="shared" si="22"/>
        <v/>
      </c>
    </row>
    <row r="1380" spans="1:1">
      <c r="A1380" t="str">
        <f t="shared" si="22"/>
        <v/>
      </c>
    </row>
    <row r="1381" spans="1:1">
      <c r="A1381" t="str">
        <f t="shared" si="22"/>
        <v/>
      </c>
    </row>
    <row r="1382" spans="1:1">
      <c r="A1382" t="str">
        <f t="shared" si="22"/>
        <v/>
      </c>
    </row>
    <row r="1383" spans="1:1">
      <c r="A1383" t="str">
        <f t="shared" si="22"/>
        <v/>
      </c>
    </row>
    <row r="1384" spans="1:1">
      <c r="A1384" t="str">
        <f t="shared" si="22"/>
        <v/>
      </c>
    </row>
    <row r="1385" spans="1:1">
      <c r="A1385" t="str">
        <f t="shared" si="22"/>
        <v/>
      </c>
    </row>
    <row r="1386" spans="1:1">
      <c r="A1386" t="str">
        <f t="shared" si="22"/>
        <v/>
      </c>
    </row>
    <row r="1387" spans="1:1">
      <c r="A1387" t="str">
        <f t="shared" si="22"/>
        <v/>
      </c>
    </row>
    <row r="1388" spans="1:1">
      <c r="A1388" t="str">
        <f t="shared" si="22"/>
        <v/>
      </c>
    </row>
    <row r="1389" spans="1:1">
      <c r="A1389" t="str">
        <f t="shared" si="22"/>
        <v/>
      </c>
    </row>
    <row r="1390" spans="1:1">
      <c r="A1390" t="str">
        <f t="shared" si="22"/>
        <v/>
      </c>
    </row>
    <row r="1391" spans="1:1">
      <c r="A1391" t="str">
        <f t="shared" si="22"/>
        <v/>
      </c>
    </row>
    <row r="1392" spans="1:1">
      <c r="A1392" t="str">
        <f t="shared" si="22"/>
        <v/>
      </c>
    </row>
    <row r="1393" spans="1:1">
      <c r="A1393" t="str">
        <f t="shared" si="22"/>
        <v/>
      </c>
    </row>
    <row r="1394" spans="1:1">
      <c r="A1394" t="str">
        <f t="shared" si="22"/>
        <v/>
      </c>
    </row>
    <row r="1395" spans="1:1">
      <c r="A1395" t="str">
        <f t="shared" si="22"/>
        <v/>
      </c>
    </row>
    <row r="1396" spans="1:1">
      <c r="A1396" t="str">
        <f t="shared" si="22"/>
        <v/>
      </c>
    </row>
    <row r="1397" spans="1:1">
      <c r="A1397" t="str">
        <f t="shared" si="22"/>
        <v/>
      </c>
    </row>
    <row r="1398" spans="1:1">
      <c r="A1398" t="str">
        <f t="shared" si="22"/>
        <v/>
      </c>
    </row>
    <row r="1399" spans="1:1">
      <c r="A1399" t="str">
        <f t="shared" si="22"/>
        <v/>
      </c>
    </row>
    <row r="1400" spans="1:1">
      <c r="A1400" t="str">
        <f t="shared" si="22"/>
        <v/>
      </c>
    </row>
    <row r="1401" spans="1:1">
      <c r="A1401" t="str">
        <f t="shared" si="22"/>
        <v/>
      </c>
    </row>
    <row r="1402" spans="1:1">
      <c r="A1402" t="str">
        <f t="shared" si="22"/>
        <v/>
      </c>
    </row>
    <row r="1403" spans="1:1">
      <c r="A1403" t="str">
        <f t="shared" si="22"/>
        <v/>
      </c>
    </row>
    <row r="1404" spans="1:1">
      <c r="A1404" t="str">
        <f t="shared" si="22"/>
        <v/>
      </c>
    </row>
    <row r="1405" spans="1:1">
      <c r="A1405" t="str">
        <f t="shared" si="22"/>
        <v/>
      </c>
    </row>
    <row r="1406" spans="1:1">
      <c r="A1406" t="str">
        <f t="shared" si="22"/>
        <v/>
      </c>
    </row>
    <row r="1407" spans="1:1">
      <c r="A1407" t="str">
        <f t="shared" si="22"/>
        <v/>
      </c>
    </row>
    <row r="1408" spans="1:1">
      <c r="A1408" t="str">
        <f t="shared" si="22"/>
        <v/>
      </c>
    </row>
    <row r="1409" spans="1:1">
      <c r="A1409" t="str">
        <f t="shared" si="22"/>
        <v/>
      </c>
    </row>
    <row r="1410" spans="1:1">
      <c r="A1410" t="str">
        <f t="shared" si="22"/>
        <v/>
      </c>
    </row>
    <row r="1411" spans="1:1">
      <c r="A1411" t="str">
        <f t="shared" si="22"/>
        <v/>
      </c>
    </row>
    <row r="1412" spans="1:1">
      <c r="A1412" t="str">
        <f t="shared" si="22"/>
        <v/>
      </c>
    </row>
    <row r="1413" spans="1:1">
      <c r="A1413" t="str">
        <f t="shared" si="22"/>
        <v/>
      </c>
    </row>
    <row r="1414" spans="1:1">
      <c r="A1414" t="str">
        <f t="shared" si="22"/>
        <v/>
      </c>
    </row>
    <row r="1415" spans="1:1">
      <c r="A1415" t="str">
        <f t="shared" ref="A1415:A1478" si="23">G1415&amp;H1415&amp;I1415&amp;F1415</f>
        <v/>
      </c>
    </row>
    <row r="1416" spans="1:1">
      <c r="A1416" t="str">
        <f t="shared" si="23"/>
        <v/>
      </c>
    </row>
    <row r="1417" spans="1:1">
      <c r="A1417" t="str">
        <f t="shared" si="23"/>
        <v/>
      </c>
    </row>
    <row r="1418" spans="1:1">
      <c r="A1418" t="str">
        <f t="shared" si="23"/>
        <v/>
      </c>
    </row>
    <row r="1419" spans="1:1">
      <c r="A1419" t="str">
        <f t="shared" si="23"/>
        <v/>
      </c>
    </row>
    <row r="1420" spans="1:1">
      <c r="A1420" t="str">
        <f t="shared" si="23"/>
        <v/>
      </c>
    </row>
    <row r="1421" spans="1:1">
      <c r="A1421" t="str">
        <f t="shared" si="23"/>
        <v/>
      </c>
    </row>
    <row r="1422" spans="1:1">
      <c r="A1422" t="str">
        <f t="shared" si="23"/>
        <v/>
      </c>
    </row>
    <row r="1423" spans="1:1">
      <c r="A1423" t="str">
        <f t="shared" si="23"/>
        <v/>
      </c>
    </row>
    <row r="1424" spans="1:1">
      <c r="A1424" t="str">
        <f t="shared" si="23"/>
        <v/>
      </c>
    </row>
    <row r="1425" spans="1:1">
      <c r="A1425" t="str">
        <f t="shared" si="23"/>
        <v/>
      </c>
    </row>
    <row r="1426" spans="1:1">
      <c r="A1426" t="str">
        <f t="shared" si="23"/>
        <v/>
      </c>
    </row>
    <row r="1427" spans="1:1">
      <c r="A1427" t="str">
        <f t="shared" si="23"/>
        <v/>
      </c>
    </row>
    <row r="1428" spans="1:1">
      <c r="A1428" t="str">
        <f t="shared" si="23"/>
        <v/>
      </c>
    </row>
    <row r="1429" spans="1:1">
      <c r="A1429" t="str">
        <f t="shared" si="23"/>
        <v/>
      </c>
    </row>
    <row r="1430" spans="1:1">
      <c r="A1430" t="str">
        <f t="shared" si="23"/>
        <v/>
      </c>
    </row>
    <row r="1431" spans="1:1">
      <c r="A1431" t="str">
        <f t="shared" si="23"/>
        <v/>
      </c>
    </row>
    <row r="1432" spans="1:1">
      <c r="A1432" t="str">
        <f t="shared" si="23"/>
        <v/>
      </c>
    </row>
    <row r="1433" spans="1:1">
      <c r="A1433" t="str">
        <f t="shared" si="23"/>
        <v/>
      </c>
    </row>
    <row r="1434" spans="1:1">
      <c r="A1434" t="str">
        <f t="shared" si="23"/>
        <v/>
      </c>
    </row>
    <row r="1435" spans="1:1">
      <c r="A1435" t="str">
        <f t="shared" si="23"/>
        <v/>
      </c>
    </row>
    <row r="1436" spans="1:1">
      <c r="A1436" t="str">
        <f t="shared" si="23"/>
        <v/>
      </c>
    </row>
    <row r="1437" spans="1:1">
      <c r="A1437" t="str">
        <f t="shared" si="23"/>
        <v/>
      </c>
    </row>
    <row r="1438" spans="1:1">
      <c r="A1438" t="str">
        <f t="shared" si="23"/>
        <v/>
      </c>
    </row>
    <row r="1439" spans="1:1">
      <c r="A1439" t="str">
        <f t="shared" si="23"/>
        <v/>
      </c>
    </row>
    <row r="1440" spans="1:1">
      <c r="A1440" t="str">
        <f t="shared" si="23"/>
        <v/>
      </c>
    </row>
    <row r="1441" spans="1:1">
      <c r="A1441" t="str">
        <f t="shared" si="23"/>
        <v/>
      </c>
    </row>
    <row r="1442" spans="1:1">
      <c r="A1442" t="str">
        <f t="shared" si="23"/>
        <v/>
      </c>
    </row>
    <row r="1443" spans="1:1">
      <c r="A1443" t="str">
        <f t="shared" si="23"/>
        <v/>
      </c>
    </row>
    <row r="1444" spans="1:1">
      <c r="A1444" t="str">
        <f t="shared" si="23"/>
        <v/>
      </c>
    </row>
    <row r="1445" spans="1:1">
      <c r="A1445" t="str">
        <f t="shared" si="23"/>
        <v/>
      </c>
    </row>
    <row r="1446" spans="1:1">
      <c r="A1446" t="str">
        <f t="shared" si="23"/>
        <v/>
      </c>
    </row>
    <row r="1447" spans="1:1">
      <c r="A1447" t="str">
        <f t="shared" si="23"/>
        <v/>
      </c>
    </row>
    <row r="1448" spans="1:1">
      <c r="A1448" t="str">
        <f t="shared" si="23"/>
        <v/>
      </c>
    </row>
    <row r="1449" spans="1:1">
      <c r="A1449" t="str">
        <f t="shared" si="23"/>
        <v/>
      </c>
    </row>
    <row r="1450" spans="1:1">
      <c r="A1450" t="str">
        <f t="shared" si="23"/>
        <v/>
      </c>
    </row>
    <row r="1451" spans="1:1">
      <c r="A1451" t="str">
        <f t="shared" si="23"/>
        <v/>
      </c>
    </row>
    <row r="1452" spans="1:1">
      <c r="A1452" t="str">
        <f t="shared" si="23"/>
        <v/>
      </c>
    </row>
    <row r="1453" spans="1:1">
      <c r="A1453" t="str">
        <f t="shared" si="23"/>
        <v/>
      </c>
    </row>
    <row r="1454" spans="1:1">
      <c r="A1454" t="str">
        <f t="shared" si="23"/>
        <v/>
      </c>
    </row>
    <row r="1455" spans="1:1">
      <c r="A1455" t="str">
        <f t="shared" si="23"/>
        <v/>
      </c>
    </row>
    <row r="1456" spans="1:1">
      <c r="A1456" t="str">
        <f t="shared" si="23"/>
        <v/>
      </c>
    </row>
    <row r="1457" spans="1:1">
      <c r="A1457" t="str">
        <f t="shared" si="23"/>
        <v/>
      </c>
    </row>
    <row r="1458" spans="1:1">
      <c r="A1458" t="str">
        <f t="shared" si="23"/>
        <v/>
      </c>
    </row>
    <row r="1459" spans="1:1">
      <c r="A1459" t="str">
        <f t="shared" si="23"/>
        <v/>
      </c>
    </row>
    <row r="1460" spans="1:1">
      <c r="A1460" t="str">
        <f t="shared" si="23"/>
        <v/>
      </c>
    </row>
    <row r="1461" spans="1:1">
      <c r="A1461" t="str">
        <f t="shared" si="23"/>
        <v/>
      </c>
    </row>
    <row r="1462" spans="1:1">
      <c r="A1462" t="str">
        <f t="shared" si="23"/>
        <v/>
      </c>
    </row>
    <row r="1463" spans="1:1">
      <c r="A1463" t="str">
        <f t="shared" si="23"/>
        <v/>
      </c>
    </row>
    <row r="1464" spans="1:1">
      <c r="A1464" t="str">
        <f t="shared" si="23"/>
        <v/>
      </c>
    </row>
    <row r="1465" spans="1:1">
      <c r="A1465" t="str">
        <f t="shared" si="23"/>
        <v/>
      </c>
    </row>
    <row r="1466" spans="1:1">
      <c r="A1466" t="str">
        <f t="shared" si="23"/>
        <v/>
      </c>
    </row>
    <row r="1467" spans="1:1">
      <c r="A1467" t="str">
        <f t="shared" si="23"/>
        <v/>
      </c>
    </row>
    <row r="1468" spans="1:1">
      <c r="A1468" t="str">
        <f t="shared" si="23"/>
        <v/>
      </c>
    </row>
    <row r="1469" spans="1:1">
      <c r="A1469" t="str">
        <f t="shared" si="23"/>
        <v/>
      </c>
    </row>
    <row r="1470" spans="1:1">
      <c r="A1470" t="str">
        <f t="shared" si="23"/>
        <v/>
      </c>
    </row>
    <row r="1471" spans="1:1">
      <c r="A1471" t="str">
        <f t="shared" si="23"/>
        <v/>
      </c>
    </row>
    <row r="1472" spans="1:1">
      <c r="A1472" t="str">
        <f t="shared" si="23"/>
        <v/>
      </c>
    </row>
    <row r="1473" spans="1:1">
      <c r="A1473" t="str">
        <f t="shared" si="23"/>
        <v/>
      </c>
    </row>
    <row r="1474" spans="1:1">
      <c r="A1474" t="str">
        <f t="shared" si="23"/>
        <v/>
      </c>
    </row>
    <row r="1475" spans="1:1">
      <c r="A1475" t="str">
        <f t="shared" si="23"/>
        <v/>
      </c>
    </row>
    <row r="1476" spans="1:1">
      <c r="A1476" t="str">
        <f t="shared" si="23"/>
        <v/>
      </c>
    </row>
    <row r="1477" spans="1:1">
      <c r="A1477" t="str">
        <f t="shared" si="23"/>
        <v/>
      </c>
    </row>
    <row r="1478" spans="1:1">
      <c r="A1478" t="str">
        <f t="shared" si="23"/>
        <v/>
      </c>
    </row>
    <row r="1479" spans="1:1">
      <c r="A1479" t="str">
        <f t="shared" ref="A1479:A1542" si="24">G1479&amp;H1479&amp;I1479&amp;F1479</f>
        <v/>
      </c>
    </row>
    <row r="1480" spans="1:1">
      <c r="A1480" t="str">
        <f t="shared" si="24"/>
        <v/>
      </c>
    </row>
    <row r="1481" spans="1:1">
      <c r="A1481" t="str">
        <f t="shared" si="24"/>
        <v/>
      </c>
    </row>
    <row r="1482" spans="1:1">
      <c r="A1482" t="str">
        <f t="shared" si="24"/>
        <v/>
      </c>
    </row>
    <row r="1483" spans="1:1">
      <c r="A1483" t="str">
        <f t="shared" si="24"/>
        <v/>
      </c>
    </row>
    <row r="1484" spans="1:1">
      <c r="A1484" t="str">
        <f t="shared" si="24"/>
        <v/>
      </c>
    </row>
    <row r="1485" spans="1:1">
      <c r="A1485" t="str">
        <f t="shared" si="24"/>
        <v/>
      </c>
    </row>
    <row r="1486" spans="1:1">
      <c r="A1486" t="str">
        <f t="shared" si="24"/>
        <v/>
      </c>
    </row>
    <row r="1487" spans="1:1">
      <c r="A1487" t="str">
        <f t="shared" si="24"/>
        <v/>
      </c>
    </row>
    <row r="1488" spans="1:1">
      <c r="A1488" t="str">
        <f t="shared" si="24"/>
        <v/>
      </c>
    </row>
    <row r="1489" spans="1:1">
      <c r="A1489" t="str">
        <f t="shared" si="24"/>
        <v/>
      </c>
    </row>
    <row r="1490" spans="1:1">
      <c r="A1490" t="str">
        <f t="shared" si="24"/>
        <v/>
      </c>
    </row>
    <row r="1491" spans="1:1">
      <c r="A1491" t="str">
        <f t="shared" si="24"/>
        <v/>
      </c>
    </row>
    <row r="1492" spans="1:1">
      <c r="A1492" t="str">
        <f t="shared" si="24"/>
        <v/>
      </c>
    </row>
    <row r="1493" spans="1:1">
      <c r="A1493" t="str">
        <f t="shared" si="24"/>
        <v/>
      </c>
    </row>
    <row r="1494" spans="1:1">
      <c r="A1494" t="str">
        <f t="shared" si="24"/>
        <v/>
      </c>
    </row>
    <row r="1495" spans="1:1">
      <c r="A1495" t="str">
        <f t="shared" si="24"/>
        <v/>
      </c>
    </row>
    <row r="1496" spans="1:1">
      <c r="A1496" t="str">
        <f t="shared" si="24"/>
        <v/>
      </c>
    </row>
    <row r="1497" spans="1:1">
      <c r="A1497" t="str">
        <f t="shared" si="24"/>
        <v/>
      </c>
    </row>
    <row r="1498" spans="1:1">
      <c r="A1498" t="str">
        <f t="shared" si="24"/>
        <v/>
      </c>
    </row>
    <row r="1499" spans="1:1">
      <c r="A1499" t="str">
        <f t="shared" si="24"/>
        <v/>
      </c>
    </row>
    <row r="1500" spans="1:1">
      <c r="A1500" t="str">
        <f t="shared" si="24"/>
        <v/>
      </c>
    </row>
    <row r="1501" spans="1:1">
      <c r="A1501" t="str">
        <f t="shared" si="24"/>
        <v/>
      </c>
    </row>
    <row r="1502" spans="1:1">
      <c r="A1502" t="str">
        <f t="shared" si="24"/>
        <v/>
      </c>
    </row>
    <row r="1503" spans="1:1">
      <c r="A1503" t="str">
        <f t="shared" si="24"/>
        <v/>
      </c>
    </row>
    <row r="1504" spans="1:1">
      <c r="A1504" t="str">
        <f t="shared" si="24"/>
        <v/>
      </c>
    </row>
    <row r="1505" spans="1:1">
      <c r="A1505" t="str">
        <f t="shared" si="24"/>
        <v/>
      </c>
    </row>
    <row r="1506" spans="1:1">
      <c r="A1506" t="str">
        <f t="shared" si="24"/>
        <v/>
      </c>
    </row>
    <row r="1507" spans="1:1">
      <c r="A1507" t="str">
        <f t="shared" si="24"/>
        <v/>
      </c>
    </row>
    <row r="1508" spans="1:1">
      <c r="A1508" t="str">
        <f t="shared" si="24"/>
        <v/>
      </c>
    </row>
    <row r="1509" spans="1:1">
      <c r="A1509" t="str">
        <f t="shared" si="24"/>
        <v/>
      </c>
    </row>
    <row r="1510" spans="1:1">
      <c r="A1510" t="str">
        <f t="shared" si="24"/>
        <v/>
      </c>
    </row>
    <row r="1511" spans="1:1">
      <c r="A1511" t="str">
        <f t="shared" si="24"/>
        <v/>
      </c>
    </row>
    <row r="1512" spans="1:1">
      <c r="A1512" t="str">
        <f t="shared" si="24"/>
        <v/>
      </c>
    </row>
    <row r="1513" spans="1:1">
      <c r="A1513" t="str">
        <f t="shared" si="24"/>
        <v/>
      </c>
    </row>
    <row r="1514" spans="1:1">
      <c r="A1514" t="str">
        <f t="shared" si="24"/>
        <v/>
      </c>
    </row>
    <row r="1515" spans="1:1">
      <c r="A1515" t="str">
        <f t="shared" si="24"/>
        <v/>
      </c>
    </row>
    <row r="1516" spans="1:1">
      <c r="A1516" t="str">
        <f t="shared" si="24"/>
        <v/>
      </c>
    </row>
    <row r="1517" spans="1:1">
      <c r="A1517" t="str">
        <f t="shared" si="24"/>
        <v/>
      </c>
    </row>
    <row r="1518" spans="1:1">
      <c r="A1518" t="str">
        <f t="shared" si="24"/>
        <v/>
      </c>
    </row>
    <row r="1519" spans="1:1">
      <c r="A1519" t="str">
        <f t="shared" si="24"/>
        <v/>
      </c>
    </row>
    <row r="1520" spans="1:1">
      <c r="A1520" t="str">
        <f t="shared" si="24"/>
        <v/>
      </c>
    </row>
    <row r="1521" spans="1:1">
      <c r="A1521" t="str">
        <f t="shared" si="24"/>
        <v/>
      </c>
    </row>
    <row r="1522" spans="1:1">
      <c r="A1522" t="str">
        <f t="shared" si="24"/>
        <v/>
      </c>
    </row>
    <row r="1523" spans="1:1">
      <c r="A1523" t="str">
        <f t="shared" si="24"/>
        <v/>
      </c>
    </row>
    <row r="1524" spans="1:1">
      <c r="A1524" t="str">
        <f t="shared" si="24"/>
        <v/>
      </c>
    </row>
    <row r="1525" spans="1:1">
      <c r="A1525" t="str">
        <f t="shared" si="24"/>
        <v/>
      </c>
    </row>
    <row r="1526" spans="1:1">
      <c r="A1526" t="str">
        <f t="shared" si="24"/>
        <v/>
      </c>
    </row>
    <row r="1527" spans="1:1">
      <c r="A1527" t="str">
        <f t="shared" si="24"/>
        <v/>
      </c>
    </row>
    <row r="1528" spans="1:1">
      <c r="A1528" t="str">
        <f t="shared" si="24"/>
        <v/>
      </c>
    </row>
    <row r="1529" spans="1:1">
      <c r="A1529" t="str">
        <f t="shared" si="24"/>
        <v/>
      </c>
    </row>
    <row r="1530" spans="1:1">
      <c r="A1530" t="str">
        <f t="shared" si="24"/>
        <v/>
      </c>
    </row>
    <row r="1531" spans="1:1">
      <c r="A1531" t="str">
        <f t="shared" si="24"/>
        <v/>
      </c>
    </row>
    <row r="1532" spans="1:1">
      <c r="A1532" t="str">
        <f t="shared" si="24"/>
        <v/>
      </c>
    </row>
    <row r="1533" spans="1:1">
      <c r="A1533" t="str">
        <f t="shared" si="24"/>
        <v/>
      </c>
    </row>
    <row r="1534" spans="1:1">
      <c r="A1534" t="str">
        <f t="shared" si="24"/>
        <v/>
      </c>
    </row>
    <row r="1535" spans="1:1">
      <c r="A1535" t="str">
        <f t="shared" si="24"/>
        <v/>
      </c>
    </row>
    <row r="1536" spans="1:1">
      <c r="A1536" t="str">
        <f t="shared" si="24"/>
        <v/>
      </c>
    </row>
    <row r="1537" spans="1:1">
      <c r="A1537" t="str">
        <f t="shared" si="24"/>
        <v/>
      </c>
    </row>
    <row r="1538" spans="1:1">
      <c r="A1538" t="str">
        <f t="shared" si="24"/>
        <v/>
      </c>
    </row>
    <row r="1539" spans="1:1">
      <c r="A1539" t="str">
        <f t="shared" si="24"/>
        <v/>
      </c>
    </row>
    <row r="1540" spans="1:1">
      <c r="A1540" t="str">
        <f t="shared" si="24"/>
        <v/>
      </c>
    </row>
    <row r="1541" spans="1:1">
      <c r="A1541" t="str">
        <f t="shared" si="24"/>
        <v/>
      </c>
    </row>
    <row r="1542" spans="1:1">
      <c r="A1542" t="str">
        <f t="shared" si="24"/>
        <v/>
      </c>
    </row>
    <row r="1543" spans="1:1">
      <c r="A1543" t="str">
        <f t="shared" ref="A1543:A1606" si="25">G1543&amp;H1543&amp;I1543&amp;F1543</f>
        <v/>
      </c>
    </row>
    <row r="1544" spans="1:1">
      <c r="A1544" t="str">
        <f t="shared" si="25"/>
        <v/>
      </c>
    </row>
    <row r="1545" spans="1:1">
      <c r="A1545" t="str">
        <f t="shared" si="25"/>
        <v/>
      </c>
    </row>
    <row r="1546" spans="1:1">
      <c r="A1546" t="str">
        <f t="shared" si="25"/>
        <v/>
      </c>
    </row>
    <row r="1547" spans="1:1">
      <c r="A1547" t="str">
        <f t="shared" si="25"/>
        <v/>
      </c>
    </row>
    <row r="1548" spans="1:1">
      <c r="A1548" t="str">
        <f t="shared" si="25"/>
        <v/>
      </c>
    </row>
    <row r="1549" spans="1:1">
      <c r="A1549" t="str">
        <f t="shared" si="25"/>
        <v/>
      </c>
    </row>
    <row r="1550" spans="1:1">
      <c r="A1550" t="str">
        <f t="shared" si="25"/>
        <v/>
      </c>
    </row>
    <row r="1551" spans="1:1">
      <c r="A1551" t="str">
        <f t="shared" si="25"/>
        <v/>
      </c>
    </row>
    <row r="1552" spans="1:1">
      <c r="A1552" t="str">
        <f t="shared" si="25"/>
        <v/>
      </c>
    </row>
    <row r="1553" spans="1:1">
      <c r="A1553" t="str">
        <f t="shared" si="25"/>
        <v/>
      </c>
    </row>
    <row r="1554" spans="1:1">
      <c r="A1554" t="str">
        <f t="shared" si="25"/>
        <v/>
      </c>
    </row>
    <row r="1555" spans="1:1">
      <c r="A1555" t="str">
        <f t="shared" si="25"/>
        <v/>
      </c>
    </row>
    <row r="1556" spans="1:1">
      <c r="A1556" t="str">
        <f t="shared" si="25"/>
        <v/>
      </c>
    </row>
    <row r="1557" spans="1:1">
      <c r="A1557" t="str">
        <f t="shared" si="25"/>
        <v/>
      </c>
    </row>
    <row r="1558" spans="1:1">
      <c r="A1558" t="str">
        <f t="shared" si="25"/>
        <v/>
      </c>
    </row>
    <row r="1559" spans="1:1">
      <c r="A1559" t="str">
        <f t="shared" si="25"/>
        <v/>
      </c>
    </row>
    <row r="1560" spans="1:1">
      <c r="A1560" t="str">
        <f t="shared" si="25"/>
        <v/>
      </c>
    </row>
    <row r="1561" spans="1:1">
      <c r="A1561" t="str">
        <f t="shared" si="25"/>
        <v/>
      </c>
    </row>
    <row r="1562" spans="1:1">
      <c r="A1562" t="str">
        <f t="shared" si="25"/>
        <v/>
      </c>
    </row>
    <row r="1563" spans="1:1">
      <c r="A1563" t="str">
        <f t="shared" si="25"/>
        <v/>
      </c>
    </row>
    <row r="1564" spans="1:1">
      <c r="A1564" t="str">
        <f t="shared" si="25"/>
        <v/>
      </c>
    </row>
    <row r="1565" spans="1:1">
      <c r="A1565" t="str">
        <f t="shared" si="25"/>
        <v/>
      </c>
    </row>
    <row r="1566" spans="1:1">
      <c r="A1566" t="str">
        <f t="shared" si="25"/>
        <v/>
      </c>
    </row>
    <row r="1567" spans="1:1">
      <c r="A1567" t="str">
        <f t="shared" si="25"/>
        <v/>
      </c>
    </row>
    <row r="1568" spans="1:1">
      <c r="A1568" t="str">
        <f t="shared" si="25"/>
        <v/>
      </c>
    </row>
    <row r="1569" spans="1:1">
      <c r="A1569" t="str">
        <f t="shared" si="25"/>
        <v/>
      </c>
    </row>
    <row r="1570" spans="1:1">
      <c r="A1570" t="str">
        <f t="shared" si="25"/>
        <v/>
      </c>
    </row>
    <row r="1571" spans="1:1">
      <c r="A1571" t="str">
        <f t="shared" si="25"/>
        <v/>
      </c>
    </row>
    <row r="1572" spans="1:1">
      <c r="A1572" t="str">
        <f t="shared" si="25"/>
        <v/>
      </c>
    </row>
    <row r="1573" spans="1:1">
      <c r="A1573" t="str">
        <f t="shared" si="25"/>
        <v/>
      </c>
    </row>
    <row r="1574" spans="1:1">
      <c r="A1574" t="str">
        <f t="shared" si="25"/>
        <v/>
      </c>
    </row>
    <row r="1575" spans="1:1">
      <c r="A1575" t="str">
        <f t="shared" si="25"/>
        <v/>
      </c>
    </row>
    <row r="1576" spans="1:1">
      <c r="A1576" t="str">
        <f t="shared" si="25"/>
        <v/>
      </c>
    </row>
    <row r="1577" spans="1:1">
      <c r="A1577" t="str">
        <f t="shared" si="25"/>
        <v/>
      </c>
    </row>
    <row r="1578" spans="1:1">
      <c r="A1578" t="str">
        <f t="shared" si="25"/>
        <v/>
      </c>
    </row>
    <row r="1579" spans="1:1">
      <c r="A1579" t="str">
        <f t="shared" si="25"/>
        <v/>
      </c>
    </row>
    <row r="1580" spans="1:1">
      <c r="A1580" t="str">
        <f t="shared" si="25"/>
        <v/>
      </c>
    </row>
    <row r="1581" spans="1:1">
      <c r="A1581" t="str">
        <f t="shared" si="25"/>
        <v/>
      </c>
    </row>
    <row r="1582" spans="1:1">
      <c r="A1582" t="str">
        <f t="shared" si="25"/>
        <v/>
      </c>
    </row>
    <row r="1583" spans="1:1">
      <c r="A1583" t="str">
        <f t="shared" si="25"/>
        <v/>
      </c>
    </row>
    <row r="1584" spans="1:1">
      <c r="A1584" t="str">
        <f t="shared" si="25"/>
        <v/>
      </c>
    </row>
    <row r="1585" spans="1:1">
      <c r="A1585" t="str">
        <f t="shared" si="25"/>
        <v/>
      </c>
    </row>
    <row r="1586" spans="1:1">
      <c r="A1586" t="str">
        <f t="shared" si="25"/>
        <v/>
      </c>
    </row>
    <row r="1587" spans="1:1">
      <c r="A1587" t="str">
        <f t="shared" si="25"/>
        <v/>
      </c>
    </row>
    <row r="1588" spans="1:1">
      <c r="A1588" t="str">
        <f t="shared" si="25"/>
        <v/>
      </c>
    </row>
    <row r="1589" spans="1:1">
      <c r="A1589" t="str">
        <f t="shared" si="25"/>
        <v/>
      </c>
    </row>
    <row r="1590" spans="1:1">
      <c r="A1590" t="str">
        <f t="shared" si="25"/>
        <v/>
      </c>
    </row>
    <row r="1591" spans="1:1">
      <c r="A1591" t="str">
        <f t="shared" si="25"/>
        <v/>
      </c>
    </row>
    <row r="1592" spans="1:1">
      <c r="A1592" t="str">
        <f t="shared" si="25"/>
        <v/>
      </c>
    </row>
    <row r="1593" spans="1:1">
      <c r="A1593" t="str">
        <f t="shared" si="25"/>
        <v/>
      </c>
    </row>
    <row r="1594" spans="1:1">
      <c r="A1594" t="str">
        <f t="shared" si="25"/>
        <v/>
      </c>
    </row>
    <row r="1595" spans="1:1">
      <c r="A1595" t="str">
        <f t="shared" si="25"/>
        <v/>
      </c>
    </row>
    <row r="1596" spans="1:1">
      <c r="A1596" t="str">
        <f t="shared" si="25"/>
        <v/>
      </c>
    </row>
    <row r="1597" spans="1:1">
      <c r="A1597" t="str">
        <f t="shared" si="25"/>
        <v/>
      </c>
    </row>
    <row r="1598" spans="1:1">
      <c r="A1598" t="str">
        <f t="shared" si="25"/>
        <v/>
      </c>
    </row>
    <row r="1599" spans="1:1">
      <c r="A1599" t="str">
        <f t="shared" si="25"/>
        <v/>
      </c>
    </row>
    <row r="1600" spans="1:1">
      <c r="A1600" t="str">
        <f t="shared" si="25"/>
        <v/>
      </c>
    </row>
    <row r="1601" spans="1:1">
      <c r="A1601" t="str">
        <f t="shared" si="25"/>
        <v/>
      </c>
    </row>
    <row r="1602" spans="1:1">
      <c r="A1602" t="str">
        <f t="shared" si="25"/>
        <v/>
      </c>
    </row>
    <row r="1603" spans="1:1">
      <c r="A1603" t="str">
        <f t="shared" si="25"/>
        <v/>
      </c>
    </row>
    <row r="1604" spans="1:1">
      <c r="A1604" t="str">
        <f t="shared" si="25"/>
        <v/>
      </c>
    </row>
    <row r="1605" spans="1:1">
      <c r="A1605" t="str">
        <f t="shared" si="25"/>
        <v/>
      </c>
    </row>
    <row r="1606" spans="1:1">
      <c r="A1606" t="str">
        <f t="shared" si="25"/>
        <v/>
      </c>
    </row>
    <row r="1607" spans="1:1">
      <c r="A1607" t="str">
        <f t="shared" ref="A1607:A1670" si="26">G1607&amp;H1607&amp;I1607&amp;F1607</f>
        <v/>
      </c>
    </row>
    <row r="1608" spans="1:1">
      <c r="A1608" t="str">
        <f t="shared" si="26"/>
        <v/>
      </c>
    </row>
    <row r="1609" spans="1:1">
      <c r="A1609" t="str">
        <f t="shared" si="26"/>
        <v/>
      </c>
    </row>
    <row r="1610" spans="1:1">
      <c r="A1610" t="str">
        <f t="shared" si="26"/>
        <v/>
      </c>
    </row>
    <row r="1611" spans="1:1">
      <c r="A1611" t="str">
        <f t="shared" si="26"/>
        <v/>
      </c>
    </row>
    <row r="1612" spans="1:1">
      <c r="A1612" t="str">
        <f t="shared" si="26"/>
        <v/>
      </c>
    </row>
    <row r="1613" spans="1:1">
      <c r="A1613" t="str">
        <f t="shared" si="26"/>
        <v/>
      </c>
    </row>
    <row r="1614" spans="1:1">
      <c r="A1614" t="str">
        <f t="shared" si="26"/>
        <v/>
      </c>
    </row>
    <row r="1615" spans="1:1">
      <c r="A1615" t="str">
        <f t="shared" si="26"/>
        <v/>
      </c>
    </row>
    <row r="1616" spans="1:1">
      <c r="A1616" t="str">
        <f t="shared" si="26"/>
        <v/>
      </c>
    </row>
    <row r="1617" spans="1:1">
      <c r="A1617" t="str">
        <f t="shared" si="26"/>
        <v/>
      </c>
    </row>
    <row r="1618" spans="1:1">
      <c r="A1618" t="str">
        <f t="shared" si="26"/>
        <v/>
      </c>
    </row>
    <row r="1619" spans="1:1">
      <c r="A1619" t="str">
        <f t="shared" si="26"/>
        <v/>
      </c>
    </row>
    <row r="1620" spans="1:1">
      <c r="A1620" t="str">
        <f t="shared" si="26"/>
        <v/>
      </c>
    </row>
    <row r="1621" spans="1:1">
      <c r="A1621" t="str">
        <f t="shared" si="26"/>
        <v/>
      </c>
    </row>
    <row r="1622" spans="1:1">
      <c r="A1622" t="str">
        <f t="shared" si="26"/>
        <v/>
      </c>
    </row>
    <row r="1623" spans="1:1">
      <c r="A1623" t="str">
        <f t="shared" si="26"/>
        <v/>
      </c>
    </row>
    <row r="1624" spans="1:1">
      <c r="A1624" t="str">
        <f t="shared" si="26"/>
        <v/>
      </c>
    </row>
    <row r="1625" spans="1:1">
      <c r="A1625" t="str">
        <f t="shared" si="26"/>
        <v/>
      </c>
    </row>
    <row r="1626" spans="1:1">
      <c r="A1626" t="str">
        <f t="shared" si="26"/>
        <v/>
      </c>
    </row>
    <row r="1627" spans="1:1">
      <c r="A1627" t="str">
        <f t="shared" si="26"/>
        <v/>
      </c>
    </row>
    <row r="1628" spans="1:1">
      <c r="A1628" t="str">
        <f t="shared" si="26"/>
        <v/>
      </c>
    </row>
    <row r="1629" spans="1:1">
      <c r="A1629" t="str">
        <f t="shared" si="26"/>
        <v/>
      </c>
    </row>
    <row r="1630" spans="1:1">
      <c r="A1630" t="str">
        <f t="shared" si="26"/>
        <v/>
      </c>
    </row>
    <row r="1631" spans="1:1">
      <c r="A1631" t="str">
        <f t="shared" si="26"/>
        <v/>
      </c>
    </row>
    <row r="1632" spans="1:1">
      <c r="A1632" t="str">
        <f t="shared" si="26"/>
        <v/>
      </c>
    </row>
    <row r="1633" spans="1:1">
      <c r="A1633" t="str">
        <f t="shared" si="26"/>
        <v/>
      </c>
    </row>
    <row r="1634" spans="1:1">
      <c r="A1634" t="str">
        <f t="shared" si="26"/>
        <v/>
      </c>
    </row>
    <row r="1635" spans="1:1">
      <c r="A1635" t="str">
        <f t="shared" si="26"/>
        <v/>
      </c>
    </row>
    <row r="1636" spans="1:1">
      <c r="A1636" t="str">
        <f t="shared" si="26"/>
        <v/>
      </c>
    </row>
    <row r="1637" spans="1:1">
      <c r="A1637" t="str">
        <f t="shared" si="26"/>
        <v/>
      </c>
    </row>
    <row r="1638" spans="1:1">
      <c r="A1638" t="str">
        <f t="shared" si="26"/>
        <v/>
      </c>
    </row>
    <row r="1639" spans="1:1">
      <c r="A1639" t="str">
        <f t="shared" si="26"/>
        <v/>
      </c>
    </row>
    <row r="1640" spans="1:1">
      <c r="A1640" t="str">
        <f t="shared" si="26"/>
        <v/>
      </c>
    </row>
    <row r="1641" spans="1:1">
      <c r="A1641" t="str">
        <f t="shared" si="26"/>
        <v/>
      </c>
    </row>
    <row r="1642" spans="1:1">
      <c r="A1642" t="str">
        <f t="shared" si="26"/>
        <v/>
      </c>
    </row>
    <row r="1643" spans="1:1">
      <c r="A1643" t="str">
        <f t="shared" si="26"/>
        <v/>
      </c>
    </row>
    <row r="1644" spans="1:1">
      <c r="A1644" t="str">
        <f t="shared" si="26"/>
        <v/>
      </c>
    </row>
    <row r="1645" spans="1:1">
      <c r="A1645" t="str">
        <f t="shared" si="26"/>
        <v/>
      </c>
    </row>
    <row r="1646" spans="1:1">
      <c r="A1646" t="str">
        <f t="shared" si="26"/>
        <v/>
      </c>
    </row>
    <row r="1647" spans="1:1">
      <c r="A1647" t="str">
        <f t="shared" si="26"/>
        <v/>
      </c>
    </row>
    <row r="1648" spans="1:1">
      <c r="A1648" t="str">
        <f t="shared" si="26"/>
        <v/>
      </c>
    </row>
    <row r="1649" spans="1:1">
      <c r="A1649" t="str">
        <f t="shared" si="26"/>
        <v/>
      </c>
    </row>
    <row r="1650" spans="1:1">
      <c r="A1650" t="str">
        <f t="shared" si="26"/>
        <v/>
      </c>
    </row>
    <row r="1651" spans="1:1">
      <c r="A1651" t="str">
        <f t="shared" si="26"/>
        <v/>
      </c>
    </row>
    <row r="1652" spans="1:1">
      <c r="A1652" t="str">
        <f t="shared" si="26"/>
        <v/>
      </c>
    </row>
    <row r="1653" spans="1:1">
      <c r="A1653" t="str">
        <f t="shared" si="26"/>
        <v/>
      </c>
    </row>
    <row r="1654" spans="1:1">
      <c r="A1654" t="str">
        <f t="shared" si="26"/>
        <v/>
      </c>
    </row>
    <row r="1655" spans="1:1">
      <c r="A1655" t="str">
        <f t="shared" si="26"/>
        <v/>
      </c>
    </row>
    <row r="1656" spans="1:1">
      <c r="A1656" t="str">
        <f t="shared" si="26"/>
        <v/>
      </c>
    </row>
    <row r="1657" spans="1:1">
      <c r="A1657" t="str">
        <f t="shared" si="26"/>
        <v/>
      </c>
    </row>
    <row r="1658" spans="1:1">
      <c r="A1658" t="str">
        <f t="shared" si="26"/>
        <v/>
      </c>
    </row>
    <row r="1659" spans="1:1">
      <c r="A1659" t="str">
        <f t="shared" si="26"/>
        <v/>
      </c>
    </row>
    <row r="1660" spans="1:1">
      <c r="A1660" t="str">
        <f t="shared" si="26"/>
        <v/>
      </c>
    </row>
    <row r="1661" spans="1:1">
      <c r="A1661" t="str">
        <f t="shared" si="26"/>
        <v/>
      </c>
    </row>
    <row r="1662" spans="1:1">
      <c r="A1662" t="str">
        <f t="shared" si="26"/>
        <v/>
      </c>
    </row>
    <row r="1663" spans="1:1">
      <c r="A1663" t="str">
        <f t="shared" si="26"/>
        <v/>
      </c>
    </row>
    <row r="1664" spans="1:1">
      <c r="A1664" t="str">
        <f t="shared" si="26"/>
        <v/>
      </c>
    </row>
    <row r="1665" spans="1:1">
      <c r="A1665" t="str">
        <f t="shared" si="26"/>
        <v/>
      </c>
    </row>
    <row r="1666" spans="1:1">
      <c r="A1666" t="str">
        <f t="shared" si="26"/>
        <v/>
      </c>
    </row>
    <row r="1667" spans="1:1">
      <c r="A1667" t="str">
        <f t="shared" si="26"/>
        <v/>
      </c>
    </row>
    <row r="1668" spans="1:1">
      <c r="A1668" t="str">
        <f t="shared" si="26"/>
        <v/>
      </c>
    </row>
    <row r="1669" spans="1:1">
      <c r="A1669" t="str">
        <f t="shared" si="26"/>
        <v/>
      </c>
    </row>
    <row r="1670" spans="1:1">
      <c r="A1670" t="str">
        <f t="shared" si="26"/>
        <v/>
      </c>
    </row>
    <row r="1671" spans="1:1">
      <c r="A1671" t="str">
        <f t="shared" ref="A1671:A1734" si="27">G1671&amp;H1671&amp;I1671&amp;F1671</f>
        <v/>
      </c>
    </row>
    <row r="1672" spans="1:1">
      <c r="A1672" t="str">
        <f t="shared" si="27"/>
        <v/>
      </c>
    </row>
    <row r="1673" spans="1:1">
      <c r="A1673" t="str">
        <f t="shared" si="27"/>
        <v/>
      </c>
    </row>
    <row r="1674" spans="1:1">
      <c r="A1674" t="str">
        <f t="shared" si="27"/>
        <v/>
      </c>
    </row>
    <row r="1675" spans="1:1">
      <c r="A1675" t="str">
        <f t="shared" si="27"/>
        <v/>
      </c>
    </row>
    <row r="1676" spans="1:1">
      <c r="A1676" t="str">
        <f t="shared" si="27"/>
        <v/>
      </c>
    </row>
    <row r="1677" spans="1:1">
      <c r="A1677" t="str">
        <f t="shared" si="27"/>
        <v/>
      </c>
    </row>
    <row r="1678" spans="1:1">
      <c r="A1678" t="str">
        <f t="shared" si="27"/>
        <v/>
      </c>
    </row>
    <row r="1679" spans="1:1">
      <c r="A1679" t="str">
        <f t="shared" si="27"/>
        <v/>
      </c>
    </row>
    <row r="1680" spans="1:1">
      <c r="A1680" t="str">
        <f t="shared" si="27"/>
        <v/>
      </c>
    </row>
    <row r="1681" spans="1:1">
      <c r="A1681" t="str">
        <f t="shared" si="27"/>
        <v/>
      </c>
    </row>
    <row r="1682" spans="1:1">
      <c r="A1682" t="str">
        <f t="shared" si="27"/>
        <v/>
      </c>
    </row>
    <row r="1683" spans="1:1">
      <c r="A1683" t="str">
        <f t="shared" si="27"/>
        <v/>
      </c>
    </row>
    <row r="1684" spans="1:1">
      <c r="A1684" t="str">
        <f t="shared" si="27"/>
        <v/>
      </c>
    </row>
    <row r="1685" spans="1:1">
      <c r="A1685" t="str">
        <f t="shared" si="27"/>
        <v/>
      </c>
    </row>
    <row r="1686" spans="1:1">
      <c r="A1686" t="str">
        <f t="shared" si="27"/>
        <v/>
      </c>
    </row>
    <row r="1687" spans="1:1">
      <c r="A1687" t="str">
        <f t="shared" si="27"/>
        <v/>
      </c>
    </row>
    <row r="1688" spans="1:1">
      <c r="A1688" t="str">
        <f t="shared" si="27"/>
        <v/>
      </c>
    </row>
    <row r="1689" spans="1:1">
      <c r="A1689" t="str">
        <f t="shared" si="27"/>
        <v/>
      </c>
    </row>
    <row r="1690" spans="1:1">
      <c r="A1690" t="str">
        <f t="shared" si="27"/>
        <v/>
      </c>
    </row>
    <row r="1691" spans="1:1">
      <c r="A1691" t="str">
        <f t="shared" si="27"/>
        <v/>
      </c>
    </row>
    <row r="1692" spans="1:1">
      <c r="A1692" t="str">
        <f t="shared" si="27"/>
        <v/>
      </c>
    </row>
    <row r="1693" spans="1:1">
      <c r="A1693" t="str">
        <f t="shared" si="27"/>
        <v/>
      </c>
    </row>
    <row r="1694" spans="1:1">
      <c r="A1694" t="str">
        <f t="shared" si="27"/>
        <v/>
      </c>
    </row>
    <row r="1695" spans="1:1">
      <c r="A1695" t="str">
        <f t="shared" si="27"/>
        <v/>
      </c>
    </row>
    <row r="1696" spans="1:1">
      <c r="A1696" t="str">
        <f t="shared" si="27"/>
        <v/>
      </c>
    </row>
    <row r="1697" spans="1:1">
      <c r="A1697" t="str">
        <f t="shared" si="27"/>
        <v/>
      </c>
    </row>
    <row r="1698" spans="1:1">
      <c r="A1698" t="str">
        <f t="shared" si="27"/>
        <v/>
      </c>
    </row>
    <row r="1699" spans="1:1">
      <c r="A1699" t="str">
        <f t="shared" si="27"/>
        <v/>
      </c>
    </row>
    <row r="1700" spans="1:1">
      <c r="A1700" t="str">
        <f t="shared" si="27"/>
        <v/>
      </c>
    </row>
    <row r="1701" spans="1:1">
      <c r="A1701" t="str">
        <f t="shared" si="27"/>
        <v/>
      </c>
    </row>
    <row r="1702" spans="1:1">
      <c r="A1702" t="str">
        <f t="shared" si="27"/>
        <v/>
      </c>
    </row>
    <row r="1703" spans="1:1">
      <c r="A1703" t="str">
        <f t="shared" si="27"/>
        <v/>
      </c>
    </row>
    <row r="1704" spans="1:1">
      <c r="A1704" t="str">
        <f t="shared" si="27"/>
        <v/>
      </c>
    </row>
    <row r="1705" spans="1:1">
      <c r="A1705" t="str">
        <f t="shared" si="27"/>
        <v/>
      </c>
    </row>
    <row r="1706" spans="1:1">
      <c r="A1706" t="str">
        <f t="shared" si="27"/>
        <v/>
      </c>
    </row>
    <row r="1707" spans="1:1">
      <c r="A1707" t="str">
        <f t="shared" si="27"/>
        <v/>
      </c>
    </row>
    <row r="1708" spans="1:1">
      <c r="A1708" t="str">
        <f t="shared" si="27"/>
        <v/>
      </c>
    </row>
    <row r="1709" spans="1:1">
      <c r="A1709" t="str">
        <f t="shared" si="27"/>
        <v/>
      </c>
    </row>
    <row r="1710" spans="1:1">
      <c r="A1710" t="str">
        <f t="shared" si="27"/>
        <v/>
      </c>
    </row>
    <row r="1711" spans="1:1">
      <c r="A1711" t="str">
        <f t="shared" si="27"/>
        <v/>
      </c>
    </row>
    <row r="1712" spans="1:1">
      <c r="A1712" t="str">
        <f t="shared" si="27"/>
        <v/>
      </c>
    </row>
    <row r="1713" spans="1:1">
      <c r="A1713" t="str">
        <f t="shared" si="27"/>
        <v/>
      </c>
    </row>
    <row r="1714" spans="1:1">
      <c r="A1714" t="str">
        <f t="shared" si="27"/>
        <v/>
      </c>
    </row>
    <row r="1715" spans="1:1">
      <c r="A1715" t="str">
        <f t="shared" si="27"/>
        <v/>
      </c>
    </row>
    <row r="1716" spans="1:1">
      <c r="A1716" t="str">
        <f t="shared" si="27"/>
        <v/>
      </c>
    </row>
    <row r="1717" spans="1:1">
      <c r="A1717" t="str">
        <f t="shared" si="27"/>
        <v/>
      </c>
    </row>
    <row r="1718" spans="1:1">
      <c r="A1718" t="str">
        <f t="shared" si="27"/>
        <v/>
      </c>
    </row>
    <row r="1719" spans="1:1">
      <c r="A1719" t="str">
        <f t="shared" si="27"/>
        <v/>
      </c>
    </row>
    <row r="1720" spans="1:1">
      <c r="A1720" t="str">
        <f t="shared" si="27"/>
        <v/>
      </c>
    </row>
    <row r="1721" spans="1:1">
      <c r="A1721" t="str">
        <f t="shared" si="27"/>
        <v/>
      </c>
    </row>
    <row r="1722" spans="1:1">
      <c r="A1722" t="str">
        <f t="shared" si="27"/>
        <v/>
      </c>
    </row>
    <row r="1723" spans="1:1">
      <c r="A1723" t="str">
        <f t="shared" si="27"/>
        <v/>
      </c>
    </row>
    <row r="1724" spans="1:1">
      <c r="A1724" t="str">
        <f t="shared" si="27"/>
        <v/>
      </c>
    </row>
    <row r="1725" spans="1:1">
      <c r="A1725" t="str">
        <f t="shared" si="27"/>
        <v/>
      </c>
    </row>
    <row r="1726" spans="1:1">
      <c r="A1726" t="str">
        <f t="shared" si="27"/>
        <v/>
      </c>
    </row>
    <row r="1727" spans="1:1">
      <c r="A1727" t="str">
        <f t="shared" si="27"/>
        <v/>
      </c>
    </row>
    <row r="1728" spans="1:1">
      <c r="A1728" t="str">
        <f t="shared" si="27"/>
        <v/>
      </c>
    </row>
    <row r="1729" spans="1:1">
      <c r="A1729" t="str">
        <f t="shared" si="27"/>
        <v/>
      </c>
    </row>
    <row r="1730" spans="1:1">
      <c r="A1730" t="str">
        <f t="shared" si="27"/>
        <v/>
      </c>
    </row>
    <row r="1731" spans="1:1">
      <c r="A1731" t="str">
        <f t="shared" si="27"/>
        <v/>
      </c>
    </row>
    <row r="1732" spans="1:1">
      <c r="A1732" t="str">
        <f t="shared" si="27"/>
        <v/>
      </c>
    </row>
    <row r="1733" spans="1:1">
      <c r="A1733" t="str">
        <f t="shared" si="27"/>
        <v/>
      </c>
    </row>
    <row r="1734" spans="1:1">
      <c r="A1734" t="str">
        <f t="shared" si="27"/>
        <v/>
      </c>
    </row>
    <row r="1735" spans="1:1">
      <c r="A1735" t="str">
        <f t="shared" ref="A1735:A1798" si="28">G1735&amp;H1735&amp;I1735&amp;F1735</f>
        <v/>
      </c>
    </row>
    <row r="1736" spans="1:1">
      <c r="A1736" t="str">
        <f t="shared" si="28"/>
        <v/>
      </c>
    </row>
    <row r="1737" spans="1:1">
      <c r="A1737" t="str">
        <f t="shared" si="28"/>
        <v/>
      </c>
    </row>
    <row r="1738" spans="1:1">
      <c r="A1738" t="str">
        <f t="shared" si="28"/>
        <v/>
      </c>
    </row>
    <row r="1739" spans="1:1">
      <c r="A1739" t="str">
        <f t="shared" si="28"/>
        <v/>
      </c>
    </row>
    <row r="1740" spans="1:1">
      <c r="A1740" t="str">
        <f t="shared" si="28"/>
        <v/>
      </c>
    </row>
    <row r="1741" spans="1:1">
      <c r="A1741" t="str">
        <f t="shared" si="28"/>
        <v/>
      </c>
    </row>
    <row r="1742" spans="1:1">
      <c r="A1742" t="str">
        <f t="shared" si="28"/>
        <v/>
      </c>
    </row>
    <row r="1743" spans="1:1">
      <c r="A1743" t="str">
        <f t="shared" si="28"/>
        <v/>
      </c>
    </row>
    <row r="1744" spans="1:1">
      <c r="A1744" t="str">
        <f t="shared" si="28"/>
        <v/>
      </c>
    </row>
    <row r="1745" spans="1:1">
      <c r="A1745" t="str">
        <f t="shared" si="28"/>
        <v/>
      </c>
    </row>
    <row r="1746" spans="1:1">
      <c r="A1746" t="str">
        <f t="shared" si="28"/>
        <v/>
      </c>
    </row>
    <row r="1747" spans="1:1">
      <c r="A1747" t="str">
        <f t="shared" si="28"/>
        <v/>
      </c>
    </row>
    <row r="1748" spans="1:1">
      <c r="A1748" t="str">
        <f t="shared" si="28"/>
        <v/>
      </c>
    </row>
    <row r="1749" spans="1:1">
      <c r="A1749" t="str">
        <f t="shared" si="28"/>
        <v/>
      </c>
    </row>
    <row r="1750" spans="1:1">
      <c r="A1750" t="str">
        <f t="shared" si="28"/>
        <v/>
      </c>
    </row>
    <row r="1751" spans="1:1">
      <c r="A1751" t="str">
        <f t="shared" si="28"/>
        <v/>
      </c>
    </row>
    <row r="1752" spans="1:1">
      <c r="A1752" t="str">
        <f t="shared" si="28"/>
        <v/>
      </c>
    </row>
    <row r="1753" spans="1:1">
      <c r="A1753" t="str">
        <f t="shared" si="28"/>
        <v/>
      </c>
    </row>
    <row r="1754" spans="1:1">
      <c r="A1754" t="str">
        <f t="shared" si="28"/>
        <v/>
      </c>
    </row>
    <row r="1755" spans="1:1">
      <c r="A1755" t="str">
        <f t="shared" si="28"/>
        <v/>
      </c>
    </row>
    <row r="1756" spans="1:1">
      <c r="A1756" t="str">
        <f t="shared" si="28"/>
        <v/>
      </c>
    </row>
    <row r="1757" spans="1:1">
      <c r="A1757" t="str">
        <f t="shared" si="28"/>
        <v/>
      </c>
    </row>
    <row r="1758" spans="1:1">
      <c r="A1758" t="str">
        <f t="shared" si="28"/>
        <v/>
      </c>
    </row>
    <row r="1759" spans="1:1">
      <c r="A1759" t="str">
        <f t="shared" si="28"/>
        <v/>
      </c>
    </row>
    <row r="1760" spans="1:1">
      <c r="A1760" t="str">
        <f t="shared" si="28"/>
        <v/>
      </c>
    </row>
    <row r="1761" spans="1:1">
      <c r="A1761" t="str">
        <f t="shared" si="28"/>
        <v/>
      </c>
    </row>
    <row r="1762" spans="1:1">
      <c r="A1762" t="str">
        <f t="shared" si="28"/>
        <v/>
      </c>
    </row>
    <row r="1763" spans="1:1">
      <c r="A1763" t="str">
        <f t="shared" si="28"/>
        <v/>
      </c>
    </row>
    <row r="1764" spans="1:1">
      <c r="A1764" t="str">
        <f t="shared" si="28"/>
        <v/>
      </c>
    </row>
    <row r="1765" spans="1:1">
      <c r="A1765" t="str">
        <f t="shared" si="28"/>
        <v/>
      </c>
    </row>
    <row r="1766" spans="1:1">
      <c r="A1766" t="str">
        <f t="shared" si="28"/>
        <v/>
      </c>
    </row>
    <row r="1767" spans="1:1">
      <c r="A1767" t="str">
        <f t="shared" si="28"/>
        <v/>
      </c>
    </row>
    <row r="1768" spans="1:1">
      <c r="A1768" t="str">
        <f t="shared" si="28"/>
        <v/>
      </c>
    </row>
    <row r="1769" spans="1:1">
      <c r="A1769" t="str">
        <f t="shared" si="28"/>
        <v/>
      </c>
    </row>
    <row r="1770" spans="1:1">
      <c r="A1770" t="str">
        <f t="shared" si="28"/>
        <v/>
      </c>
    </row>
    <row r="1771" spans="1:1">
      <c r="A1771" t="str">
        <f t="shared" si="28"/>
        <v/>
      </c>
    </row>
    <row r="1772" spans="1:1">
      <c r="A1772" t="str">
        <f t="shared" si="28"/>
        <v/>
      </c>
    </row>
    <row r="1773" spans="1:1">
      <c r="A1773" t="str">
        <f t="shared" si="28"/>
        <v/>
      </c>
    </row>
    <row r="1774" spans="1:1">
      <c r="A1774" t="str">
        <f t="shared" si="28"/>
        <v/>
      </c>
    </row>
    <row r="1775" spans="1:1">
      <c r="A1775" t="str">
        <f t="shared" si="28"/>
        <v/>
      </c>
    </row>
    <row r="1776" spans="1:1">
      <c r="A1776" t="str">
        <f t="shared" si="28"/>
        <v/>
      </c>
    </row>
    <row r="1777" spans="1:1">
      <c r="A1777" t="str">
        <f t="shared" si="28"/>
        <v/>
      </c>
    </row>
    <row r="1778" spans="1:1">
      <c r="A1778" t="str">
        <f t="shared" si="28"/>
        <v/>
      </c>
    </row>
    <row r="1779" spans="1:1">
      <c r="A1779" t="str">
        <f t="shared" si="28"/>
        <v/>
      </c>
    </row>
    <row r="1780" spans="1:1">
      <c r="A1780" t="str">
        <f t="shared" si="28"/>
        <v/>
      </c>
    </row>
    <row r="1781" spans="1:1">
      <c r="A1781" t="str">
        <f t="shared" si="28"/>
        <v/>
      </c>
    </row>
    <row r="1782" spans="1:1">
      <c r="A1782" t="str">
        <f t="shared" si="28"/>
        <v/>
      </c>
    </row>
    <row r="1783" spans="1:1">
      <c r="A1783" t="str">
        <f t="shared" si="28"/>
        <v/>
      </c>
    </row>
    <row r="1784" spans="1:1">
      <c r="A1784" t="str">
        <f t="shared" si="28"/>
        <v/>
      </c>
    </row>
    <row r="1785" spans="1:1">
      <c r="A1785" t="str">
        <f t="shared" si="28"/>
        <v/>
      </c>
    </row>
    <row r="1786" spans="1:1">
      <c r="A1786" t="str">
        <f t="shared" si="28"/>
        <v/>
      </c>
    </row>
    <row r="1787" spans="1:1">
      <c r="A1787" t="str">
        <f t="shared" si="28"/>
        <v/>
      </c>
    </row>
    <row r="1788" spans="1:1">
      <c r="A1788" t="str">
        <f t="shared" si="28"/>
        <v/>
      </c>
    </row>
    <row r="1789" spans="1:1">
      <c r="A1789" t="str">
        <f t="shared" si="28"/>
        <v/>
      </c>
    </row>
    <row r="1790" spans="1:1">
      <c r="A1790" t="str">
        <f t="shared" si="28"/>
        <v/>
      </c>
    </row>
    <row r="1791" spans="1:1">
      <c r="A1791" t="str">
        <f t="shared" si="28"/>
        <v/>
      </c>
    </row>
    <row r="1792" spans="1:1">
      <c r="A1792" t="str">
        <f t="shared" si="28"/>
        <v/>
      </c>
    </row>
    <row r="1793" spans="1:1">
      <c r="A1793" t="str">
        <f t="shared" si="28"/>
        <v/>
      </c>
    </row>
    <row r="1794" spans="1:1">
      <c r="A1794" t="str">
        <f t="shared" si="28"/>
        <v/>
      </c>
    </row>
    <row r="1795" spans="1:1">
      <c r="A1795" t="str">
        <f t="shared" si="28"/>
        <v/>
      </c>
    </row>
    <row r="1796" spans="1:1">
      <c r="A1796" t="str">
        <f t="shared" si="28"/>
        <v/>
      </c>
    </row>
    <row r="1797" spans="1:1">
      <c r="A1797" t="str">
        <f t="shared" si="28"/>
        <v/>
      </c>
    </row>
    <row r="1798" spans="1:1">
      <c r="A1798" t="str">
        <f t="shared" si="28"/>
        <v/>
      </c>
    </row>
    <row r="1799" spans="1:1">
      <c r="A1799" t="str">
        <f t="shared" ref="A1799:A1862" si="29">G1799&amp;H1799&amp;I1799&amp;F1799</f>
        <v/>
      </c>
    </row>
    <row r="1800" spans="1:1">
      <c r="A1800" t="str">
        <f t="shared" si="29"/>
        <v/>
      </c>
    </row>
    <row r="1801" spans="1:1">
      <c r="A1801" t="str">
        <f t="shared" si="29"/>
        <v/>
      </c>
    </row>
    <row r="1802" spans="1:1">
      <c r="A1802" t="str">
        <f t="shared" si="29"/>
        <v/>
      </c>
    </row>
    <row r="1803" spans="1:1">
      <c r="A1803" t="str">
        <f t="shared" si="29"/>
        <v/>
      </c>
    </row>
    <row r="1804" spans="1:1">
      <c r="A1804" t="str">
        <f t="shared" si="29"/>
        <v/>
      </c>
    </row>
    <row r="1805" spans="1:1">
      <c r="A1805" t="str">
        <f t="shared" si="29"/>
        <v/>
      </c>
    </row>
    <row r="1806" spans="1:1">
      <c r="A1806" t="str">
        <f t="shared" si="29"/>
        <v/>
      </c>
    </row>
    <row r="1807" spans="1:1">
      <c r="A1807" t="str">
        <f t="shared" si="29"/>
        <v/>
      </c>
    </row>
    <row r="1808" spans="1:1">
      <c r="A1808" t="str">
        <f t="shared" si="29"/>
        <v/>
      </c>
    </row>
    <row r="1809" spans="1:1">
      <c r="A1809" t="str">
        <f t="shared" si="29"/>
        <v/>
      </c>
    </row>
    <row r="1810" spans="1:1">
      <c r="A1810" t="str">
        <f t="shared" si="29"/>
        <v/>
      </c>
    </row>
    <row r="1811" spans="1:1">
      <c r="A1811" t="str">
        <f t="shared" si="29"/>
        <v/>
      </c>
    </row>
    <row r="1812" spans="1:1">
      <c r="A1812" t="str">
        <f t="shared" si="29"/>
        <v/>
      </c>
    </row>
    <row r="1813" spans="1:1">
      <c r="A1813" t="str">
        <f t="shared" si="29"/>
        <v/>
      </c>
    </row>
    <row r="1814" spans="1:1">
      <c r="A1814" t="str">
        <f t="shared" si="29"/>
        <v/>
      </c>
    </row>
    <row r="1815" spans="1:1">
      <c r="A1815" t="str">
        <f t="shared" si="29"/>
        <v/>
      </c>
    </row>
    <row r="1816" spans="1:1">
      <c r="A1816" t="str">
        <f t="shared" si="29"/>
        <v/>
      </c>
    </row>
    <row r="1817" spans="1:1">
      <c r="A1817" t="str">
        <f t="shared" si="29"/>
        <v/>
      </c>
    </row>
    <row r="1818" spans="1:1">
      <c r="A1818" t="str">
        <f t="shared" si="29"/>
        <v/>
      </c>
    </row>
    <row r="1819" spans="1:1">
      <c r="A1819" t="str">
        <f t="shared" si="29"/>
        <v/>
      </c>
    </row>
    <row r="1820" spans="1:1">
      <c r="A1820" t="str">
        <f t="shared" si="29"/>
        <v/>
      </c>
    </row>
    <row r="1821" spans="1:1">
      <c r="A1821" t="str">
        <f t="shared" si="29"/>
        <v/>
      </c>
    </row>
    <row r="1822" spans="1:1">
      <c r="A1822" t="str">
        <f t="shared" si="29"/>
        <v/>
      </c>
    </row>
    <row r="1823" spans="1:1">
      <c r="A1823" t="str">
        <f t="shared" si="29"/>
        <v/>
      </c>
    </row>
    <row r="1824" spans="1:1">
      <c r="A1824" t="str">
        <f t="shared" si="29"/>
        <v/>
      </c>
    </row>
    <row r="1825" spans="1:1">
      <c r="A1825" t="str">
        <f t="shared" si="29"/>
        <v/>
      </c>
    </row>
    <row r="1826" spans="1:1">
      <c r="A1826" t="str">
        <f t="shared" si="29"/>
        <v/>
      </c>
    </row>
    <row r="1827" spans="1:1">
      <c r="A1827" t="str">
        <f t="shared" si="29"/>
        <v/>
      </c>
    </row>
    <row r="1828" spans="1:1">
      <c r="A1828" t="str">
        <f t="shared" si="29"/>
        <v/>
      </c>
    </row>
    <row r="1829" spans="1:1">
      <c r="A1829" t="str">
        <f t="shared" si="29"/>
        <v/>
      </c>
    </row>
    <row r="1830" spans="1:1">
      <c r="A1830" t="str">
        <f t="shared" si="29"/>
        <v/>
      </c>
    </row>
    <row r="1831" spans="1:1">
      <c r="A1831" t="str">
        <f t="shared" si="29"/>
        <v/>
      </c>
    </row>
    <row r="1832" spans="1:1">
      <c r="A1832" t="str">
        <f t="shared" si="29"/>
        <v/>
      </c>
    </row>
    <row r="1833" spans="1:1">
      <c r="A1833" t="str">
        <f t="shared" si="29"/>
        <v/>
      </c>
    </row>
    <row r="1834" spans="1:1">
      <c r="A1834" t="str">
        <f t="shared" si="29"/>
        <v/>
      </c>
    </row>
    <row r="1835" spans="1:1">
      <c r="A1835" t="str">
        <f t="shared" si="29"/>
        <v/>
      </c>
    </row>
    <row r="1836" spans="1:1">
      <c r="A1836" t="str">
        <f t="shared" si="29"/>
        <v/>
      </c>
    </row>
    <row r="1837" spans="1:1">
      <c r="A1837" t="str">
        <f t="shared" si="29"/>
        <v/>
      </c>
    </row>
    <row r="1838" spans="1:1">
      <c r="A1838" t="str">
        <f t="shared" si="29"/>
        <v/>
      </c>
    </row>
    <row r="1839" spans="1:1">
      <c r="A1839" t="str">
        <f t="shared" si="29"/>
        <v/>
      </c>
    </row>
    <row r="1840" spans="1:1">
      <c r="A1840" t="str">
        <f t="shared" si="29"/>
        <v/>
      </c>
    </row>
    <row r="1841" spans="1:1">
      <c r="A1841" t="str">
        <f t="shared" si="29"/>
        <v/>
      </c>
    </row>
    <row r="1842" spans="1:1">
      <c r="A1842" t="str">
        <f t="shared" si="29"/>
        <v/>
      </c>
    </row>
    <row r="1843" spans="1:1">
      <c r="A1843" t="str">
        <f t="shared" si="29"/>
        <v/>
      </c>
    </row>
    <row r="1844" spans="1:1">
      <c r="A1844" t="str">
        <f t="shared" si="29"/>
        <v/>
      </c>
    </row>
    <row r="1845" spans="1:1">
      <c r="A1845" t="str">
        <f t="shared" si="29"/>
        <v/>
      </c>
    </row>
    <row r="1846" spans="1:1">
      <c r="A1846" t="str">
        <f t="shared" si="29"/>
        <v/>
      </c>
    </row>
    <row r="1847" spans="1:1">
      <c r="A1847" t="str">
        <f t="shared" si="29"/>
        <v/>
      </c>
    </row>
    <row r="1848" spans="1:1">
      <c r="A1848" t="str">
        <f t="shared" si="29"/>
        <v/>
      </c>
    </row>
    <row r="1849" spans="1:1">
      <c r="A1849" t="str">
        <f t="shared" si="29"/>
        <v/>
      </c>
    </row>
    <row r="1850" spans="1:1">
      <c r="A1850" t="str">
        <f t="shared" si="29"/>
        <v/>
      </c>
    </row>
    <row r="1851" spans="1:1">
      <c r="A1851" t="str">
        <f t="shared" si="29"/>
        <v/>
      </c>
    </row>
    <row r="1852" spans="1:1">
      <c r="A1852" t="str">
        <f t="shared" si="29"/>
        <v/>
      </c>
    </row>
    <row r="1853" spans="1:1">
      <c r="A1853" t="str">
        <f t="shared" si="29"/>
        <v/>
      </c>
    </row>
    <row r="1854" spans="1:1">
      <c r="A1854" t="str">
        <f t="shared" si="29"/>
        <v/>
      </c>
    </row>
    <row r="1855" spans="1:1">
      <c r="A1855" t="str">
        <f t="shared" si="29"/>
        <v/>
      </c>
    </row>
    <row r="1856" spans="1:1">
      <c r="A1856" t="str">
        <f t="shared" si="29"/>
        <v/>
      </c>
    </row>
    <row r="1857" spans="1:1">
      <c r="A1857" t="str">
        <f t="shared" si="29"/>
        <v/>
      </c>
    </row>
    <row r="1858" spans="1:1">
      <c r="A1858" t="str">
        <f t="shared" si="29"/>
        <v/>
      </c>
    </row>
    <row r="1859" spans="1:1">
      <c r="A1859" t="str">
        <f t="shared" si="29"/>
        <v/>
      </c>
    </row>
    <row r="1860" spans="1:1">
      <c r="A1860" t="str">
        <f t="shared" si="29"/>
        <v/>
      </c>
    </row>
    <row r="1861" spans="1:1">
      <c r="A1861" t="str">
        <f t="shared" si="29"/>
        <v/>
      </c>
    </row>
    <row r="1862" spans="1:1">
      <c r="A1862" t="str">
        <f t="shared" si="29"/>
        <v/>
      </c>
    </row>
    <row r="1863" spans="1:1">
      <c r="A1863" t="str">
        <f t="shared" ref="A1863:A1926" si="30">G1863&amp;H1863&amp;I1863&amp;F1863</f>
        <v/>
      </c>
    </row>
    <row r="1864" spans="1:1">
      <c r="A1864" t="str">
        <f t="shared" si="30"/>
        <v/>
      </c>
    </row>
    <row r="1865" spans="1:1">
      <c r="A1865" t="str">
        <f t="shared" si="30"/>
        <v/>
      </c>
    </row>
    <row r="1866" spans="1:1">
      <c r="A1866" t="str">
        <f t="shared" si="30"/>
        <v/>
      </c>
    </row>
    <row r="1867" spans="1:1">
      <c r="A1867" t="str">
        <f t="shared" si="30"/>
        <v/>
      </c>
    </row>
    <row r="1868" spans="1:1">
      <c r="A1868" t="str">
        <f t="shared" si="30"/>
        <v/>
      </c>
    </row>
    <row r="1869" spans="1:1">
      <c r="A1869" t="str">
        <f t="shared" si="30"/>
        <v/>
      </c>
    </row>
    <row r="1870" spans="1:1">
      <c r="A1870" t="str">
        <f t="shared" si="30"/>
        <v/>
      </c>
    </row>
    <row r="1871" spans="1:1">
      <c r="A1871" t="str">
        <f t="shared" si="30"/>
        <v/>
      </c>
    </row>
    <row r="1872" spans="1:1">
      <c r="A1872" t="str">
        <f t="shared" si="30"/>
        <v/>
      </c>
    </row>
    <row r="1873" spans="1:1">
      <c r="A1873" t="str">
        <f t="shared" si="30"/>
        <v/>
      </c>
    </row>
    <row r="1874" spans="1:1">
      <c r="A1874" t="str">
        <f t="shared" si="30"/>
        <v/>
      </c>
    </row>
    <row r="1875" spans="1:1">
      <c r="A1875" t="str">
        <f t="shared" si="30"/>
        <v/>
      </c>
    </row>
    <row r="1876" spans="1:1">
      <c r="A1876" t="str">
        <f t="shared" si="30"/>
        <v/>
      </c>
    </row>
    <row r="1877" spans="1:1">
      <c r="A1877" t="str">
        <f t="shared" si="30"/>
        <v/>
      </c>
    </row>
    <row r="1878" spans="1:1">
      <c r="A1878" t="str">
        <f t="shared" si="30"/>
        <v/>
      </c>
    </row>
    <row r="1879" spans="1:1">
      <c r="A1879" t="str">
        <f t="shared" si="30"/>
        <v/>
      </c>
    </row>
    <row r="1880" spans="1:1">
      <c r="A1880" t="str">
        <f t="shared" si="30"/>
        <v/>
      </c>
    </row>
    <row r="1881" spans="1:1">
      <c r="A1881" t="str">
        <f t="shared" si="30"/>
        <v/>
      </c>
    </row>
    <row r="1882" spans="1:1">
      <c r="A1882" t="str">
        <f t="shared" si="30"/>
        <v/>
      </c>
    </row>
    <row r="1883" spans="1:1">
      <c r="A1883" t="str">
        <f t="shared" si="30"/>
        <v/>
      </c>
    </row>
    <row r="1884" spans="1:1">
      <c r="A1884" t="str">
        <f t="shared" si="30"/>
        <v/>
      </c>
    </row>
    <row r="1885" spans="1:1">
      <c r="A1885" t="str">
        <f t="shared" si="30"/>
        <v/>
      </c>
    </row>
    <row r="1886" spans="1:1">
      <c r="A1886" t="str">
        <f t="shared" si="30"/>
        <v/>
      </c>
    </row>
    <row r="1887" spans="1:1">
      <c r="A1887" t="str">
        <f t="shared" si="30"/>
        <v/>
      </c>
    </row>
    <row r="1888" spans="1:1">
      <c r="A1888" t="str">
        <f t="shared" si="30"/>
        <v/>
      </c>
    </row>
    <row r="1889" spans="1:1">
      <c r="A1889" t="str">
        <f t="shared" si="30"/>
        <v/>
      </c>
    </row>
    <row r="1890" spans="1:1">
      <c r="A1890" t="str">
        <f t="shared" si="30"/>
        <v/>
      </c>
    </row>
    <row r="1891" spans="1:1">
      <c r="A1891" t="str">
        <f t="shared" si="30"/>
        <v/>
      </c>
    </row>
    <row r="1892" spans="1:1">
      <c r="A1892" t="str">
        <f t="shared" si="30"/>
        <v/>
      </c>
    </row>
    <row r="1893" spans="1:1">
      <c r="A1893" t="str">
        <f t="shared" si="30"/>
        <v/>
      </c>
    </row>
    <row r="1894" spans="1:1">
      <c r="A1894" t="str">
        <f t="shared" si="30"/>
        <v/>
      </c>
    </row>
    <row r="1895" spans="1:1">
      <c r="A1895" t="str">
        <f t="shared" si="30"/>
        <v/>
      </c>
    </row>
    <row r="1896" spans="1:1">
      <c r="A1896" t="str">
        <f t="shared" si="30"/>
        <v/>
      </c>
    </row>
    <row r="1897" spans="1:1">
      <c r="A1897" t="str">
        <f t="shared" si="30"/>
        <v/>
      </c>
    </row>
    <row r="1898" spans="1:1">
      <c r="A1898" t="str">
        <f t="shared" si="30"/>
        <v/>
      </c>
    </row>
    <row r="1899" spans="1:1">
      <c r="A1899" t="str">
        <f t="shared" si="30"/>
        <v/>
      </c>
    </row>
    <row r="1900" spans="1:1">
      <c r="A1900" t="str">
        <f t="shared" si="30"/>
        <v/>
      </c>
    </row>
    <row r="1901" spans="1:1">
      <c r="A1901" t="str">
        <f t="shared" si="30"/>
        <v/>
      </c>
    </row>
    <row r="1902" spans="1:1">
      <c r="A1902" t="str">
        <f t="shared" si="30"/>
        <v/>
      </c>
    </row>
    <row r="1903" spans="1:1">
      <c r="A1903" t="str">
        <f t="shared" si="30"/>
        <v/>
      </c>
    </row>
    <row r="1904" spans="1:1">
      <c r="A1904" t="str">
        <f t="shared" si="30"/>
        <v/>
      </c>
    </row>
    <row r="1905" spans="1:1">
      <c r="A1905" t="str">
        <f t="shared" si="30"/>
        <v/>
      </c>
    </row>
    <row r="1906" spans="1:1">
      <c r="A1906" t="str">
        <f t="shared" si="30"/>
        <v/>
      </c>
    </row>
    <row r="1907" spans="1:1">
      <c r="A1907" t="str">
        <f t="shared" si="30"/>
        <v/>
      </c>
    </row>
    <row r="1908" spans="1:1">
      <c r="A1908" t="str">
        <f t="shared" si="30"/>
        <v/>
      </c>
    </row>
    <row r="1909" spans="1:1">
      <c r="A1909" t="str">
        <f t="shared" si="30"/>
        <v/>
      </c>
    </row>
    <row r="1910" spans="1:1">
      <c r="A1910" t="str">
        <f t="shared" si="30"/>
        <v/>
      </c>
    </row>
    <row r="1911" spans="1:1">
      <c r="A1911" t="str">
        <f t="shared" si="30"/>
        <v/>
      </c>
    </row>
    <row r="1912" spans="1:1">
      <c r="A1912" t="str">
        <f t="shared" si="30"/>
        <v/>
      </c>
    </row>
    <row r="1913" spans="1:1">
      <c r="A1913" t="str">
        <f t="shared" si="30"/>
        <v/>
      </c>
    </row>
    <row r="1914" spans="1:1">
      <c r="A1914" t="str">
        <f t="shared" si="30"/>
        <v/>
      </c>
    </row>
    <row r="1915" spans="1:1">
      <c r="A1915" t="str">
        <f t="shared" si="30"/>
        <v/>
      </c>
    </row>
    <row r="1916" spans="1:1">
      <c r="A1916" t="str">
        <f t="shared" si="30"/>
        <v/>
      </c>
    </row>
    <row r="1917" spans="1:1">
      <c r="A1917" t="str">
        <f t="shared" si="30"/>
        <v/>
      </c>
    </row>
    <row r="1918" spans="1:1">
      <c r="A1918" t="str">
        <f t="shared" si="30"/>
        <v/>
      </c>
    </row>
    <row r="1919" spans="1:1">
      <c r="A1919" t="str">
        <f t="shared" si="30"/>
        <v/>
      </c>
    </row>
    <row r="1920" spans="1:1">
      <c r="A1920" t="str">
        <f t="shared" si="30"/>
        <v/>
      </c>
    </row>
    <row r="1921" spans="1:1">
      <c r="A1921" t="str">
        <f t="shared" si="30"/>
        <v/>
      </c>
    </row>
    <row r="1922" spans="1:1">
      <c r="A1922" t="str">
        <f t="shared" si="30"/>
        <v/>
      </c>
    </row>
    <row r="1923" spans="1:1">
      <c r="A1923" t="str">
        <f t="shared" si="30"/>
        <v/>
      </c>
    </row>
    <row r="1924" spans="1:1">
      <c r="A1924" t="str">
        <f t="shared" si="30"/>
        <v/>
      </c>
    </row>
    <row r="1925" spans="1:1">
      <c r="A1925" t="str">
        <f t="shared" si="30"/>
        <v/>
      </c>
    </row>
    <row r="1926" spans="1:1">
      <c r="A1926" t="str">
        <f t="shared" si="30"/>
        <v/>
      </c>
    </row>
    <row r="1927" spans="1:1">
      <c r="A1927" t="str">
        <f t="shared" ref="A1927:A1990" si="31">G1927&amp;H1927&amp;I1927&amp;F1927</f>
        <v/>
      </c>
    </row>
    <row r="1928" spans="1:1">
      <c r="A1928" t="str">
        <f t="shared" si="31"/>
        <v/>
      </c>
    </row>
    <row r="1929" spans="1:1">
      <c r="A1929" t="str">
        <f t="shared" si="31"/>
        <v/>
      </c>
    </row>
    <row r="1930" spans="1:1">
      <c r="A1930" t="str">
        <f t="shared" si="31"/>
        <v/>
      </c>
    </row>
    <row r="1931" spans="1:1">
      <c r="A1931" t="str">
        <f t="shared" si="31"/>
        <v/>
      </c>
    </row>
    <row r="1932" spans="1:1">
      <c r="A1932" t="str">
        <f t="shared" si="31"/>
        <v/>
      </c>
    </row>
    <row r="1933" spans="1:1">
      <c r="A1933" t="str">
        <f t="shared" si="31"/>
        <v/>
      </c>
    </row>
    <row r="1934" spans="1:1">
      <c r="A1934" t="str">
        <f t="shared" si="31"/>
        <v/>
      </c>
    </row>
    <row r="1935" spans="1:1">
      <c r="A1935" t="str">
        <f t="shared" si="31"/>
        <v/>
      </c>
    </row>
    <row r="1936" spans="1:1">
      <c r="A1936" t="str">
        <f t="shared" si="31"/>
        <v/>
      </c>
    </row>
    <row r="1937" spans="1:1">
      <c r="A1937" t="str">
        <f t="shared" si="31"/>
        <v/>
      </c>
    </row>
    <row r="1938" spans="1:1">
      <c r="A1938" t="str">
        <f t="shared" si="31"/>
        <v/>
      </c>
    </row>
    <row r="1939" spans="1:1">
      <c r="A1939" t="str">
        <f t="shared" si="31"/>
        <v/>
      </c>
    </row>
    <row r="1940" spans="1:1">
      <c r="A1940" t="str">
        <f t="shared" si="31"/>
        <v/>
      </c>
    </row>
    <row r="1941" spans="1:1">
      <c r="A1941" t="str">
        <f t="shared" si="31"/>
        <v/>
      </c>
    </row>
    <row r="1942" spans="1:1">
      <c r="A1942" t="str">
        <f t="shared" si="31"/>
        <v/>
      </c>
    </row>
    <row r="1943" spans="1:1">
      <c r="A1943" t="str">
        <f t="shared" si="31"/>
        <v/>
      </c>
    </row>
    <row r="1944" spans="1:1">
      <c r="A1944" t="str">
        <f t="shared" si="31"/>
        <v/>
      </c>
    </row>
    <row r="1945" spans="1:1">
      <c r="A1945" t="str">
        <f t="shared" si="31"/>
        <v/>
      </c>
    </row>
    <row r="1946" spans="1:1">
      <c r="A1946" t="str">
        <f t="shared" si="31"/>
        <v/>
      </c>
    </row>
    <row r="1947" spans="1:1">
      <c r="A1947" t="str">
        <f t="shared" si="31"/>
        <v/>
      </c>
    </row>
    <row r="1948" spans="1:1">
      <c r="A1948" t="str">
        <f t="shared" si="31"/>
        <v/>
      </c>
    </row>
    <row r="1949" spans="1:1">
      <c r="A1949" t="str">
        <f t="shared" si="31"/>
        <v/>
      </c>
    </row>
    <row r="1950" spans="1:1">
      <c r="A1950" t="str">
        <f t="shared" si="31"/>
        <v/>
      </c>
    </row>
    <row r="1951" spans="1:1">
      <c r="A1951" t="str">
        <f t="shared" si="31"/>
        <v/>
      </c>
    </row>
    <row r="1952" spans="1:1">
      <c r="A1952" t="str">
        <f t="shared" si="31"/>
        <v/>
      </c>
    </row>
    <row r="1953" spans="1:1">
      <c r="A1953" t="str">
        <f t="shared" si="31"/>
        <v/>
      </c>
    </row>
    <row r="1954" spans="1:1">
      <c r="A1954" t="str">
        <f t="shared" si="31"/>
        <v/>
      </c>
    </row>
    <row r="1955" spans="1:1">
      <c r="A1955" t="str">
        <f t="shared" si="31"/>
        <v/>
      </c>
    </row>
    <row r="1956" spans="1:1">
      <c r="A1956" t="str">
        <f t="shared" si="31"/>
        <v/>
      </c>
    </row>
    <row r="1957" spans="1:1">
      <c r="A1957" t="str">
        <f t="shared" si="31"/>
        <v/>
      </c>
    </row>
    <row r="1958" spans="1:1">
      <c r="A1958" t="str">
        <f t="shared" si="31"/>
        <v/>
      </c>
    </row>
    <row r="1959" spans="1:1">
      <c r="A1959" t="str">
        <f t="shared" si="31"/>
        <v/>
      </c>
    </row>
    <row r="1960" spans="1:1">
      <c r="A1960" t="str">
        <f t="shared" si="31"/>
        <v/>
      </c>
    </row>
    <row r="1961" spans="1:1">
      <c r="A1961" t="str">
        <f t="shared" si="31"/>
        <v/>
      </c>
    </row>
    <row r="1962" spans="1:1">
      <c r="A1962" t="str">
        <f t="shared" si="31"/>
        <v/>
      </c>
    </row>
    <row r="1963" spans="1:1">
      <c r="A1963" t="str">
        <f t="shared" si="31"/>
        <v/>
      </c>
    </row>
    <row r="1964" spans="1:1">
      <c r="A1964" t="str">
        <f t="shared" si="31"/>
        <v/>
      </c>
    </row>
    <row r="1965" spans="1:1">
      <c r="A1965" t="str">
        <f t="shared" si="31"/>
        <v/>
      </c>
    </row>
    <row r="1966" spans="1:1">
      <c r="A1966" t="str">
        <f t="shared" si="31"/>
        <v/>
      </c>
    </row>
    <row r="1967" spans="1:1">
      <c r="A1967" t="str">
        <f t="shared" si="31"/>
        <v/>
      </c>
    </row>
    <row r="1968" spans="1:1">
      <c r="A1968" t="str">
        <f t="shared" si="31"/>
        <v/>
      </c>
    </row>
    <row r="1969" spans="1:1">
      <c r="A1969" t="str">
        <f t="shared" si="31"/>
        <v/>
      </c>
    </row>
    <row r="1970" spans="1:1">
      <c r="A1970" t="str">
        <f t="shared" si="31"/>
        <v/>
      </c>
    </row>
    <row r="1971" spans="1:1">
      <c r="A1971" t="str">
        <f t="shared" si="31"/>
        <v/>
      </c>
    </row>
    <row r="1972" spans="1:1">
      <c r="A1972" t="str">
        <f t="shared" si="31"/>
        <v/>
      </c>
    </row>
    <row r="1973" spans="1:1">
      <c r="A1973" t="str">
        <f t="shared" si="31"/>
        <v/>
      </c>
    </row>
    <row r="1974" spans="1:1">
      <c r="A1974" t="str">
        <f t="shared" si="31"/>
        <v/>
      </c>
    </row>
    <row r="1975" spans="1:1">
      <c r="A1975" t="str">
        <f t="shared" si="31"/>
        <v/>
      </c>
    </row>
    <row r="1976" spans="1:1">
      <c r="A1976" t="str">
        <f t="shared" si="31"/>
        <v/>
      </c>
    </row>
    <row r="1977" spans="1:1">
      <c r="A1977" t="str">
        <f t="shared" si="31"/>
        <v/>
      </c>
    </row>
    <row r="1978" spans="1:1">
      <c r="A1978" t="str">
        <f t="shared" si="31"/>
        <v/>
      </c>
    </row>
    <row r="1979" spans="1:1">
      <c r="A1979" t="str">
        <f t="shared" si="31"/>
        <v/>
      </c>
    </row>
    <row r="1980" spans="1:1">
      <c r="A1980" t="str">
        <f t="shared" si="31"/>
        <v/>
      </c>
    </row>
    <row r="1981" spans="1:1">
      <c r="A1981" t="str">
        <f t="shared" si="31"/>
        <v/>
      </c>
    </row>
    <row r="1982" spans="1:1">
      <c r="A1982" t="str">
        <f t="shared" si="31"/>
        <v/>
      </c>
    </row>
    <row r="1983" spans="1:1">
      <c r="A1983" t="str">
        <f t="shared" si="31"/>
        <v/>
      </c>
    </row>
    <row r="1984" spans="1:1">
      <c r="A1984" t="str">
        <f t="shared" si="31"/>
        <v/>
      </c>
    </row>
    <row r="1985" spans="1:1">
      <c r="A1985" t="str">
        <f t="shared" si="31"/>
        <v/>
      </c>
    </row>
    <row r="1986" spans="1:1">
      <c r="A1986" t="str">
        <f t="shared" si="31"/>
        <v/>
      </c>
    </row>
    <row r="1987" spans="1:1">
      <c r="A1987" t="str">
        <f t="shared" si="31"/>
        <v/>
      </c>
    </row>
    <row r="1988" spans="1:1">
      <c r="A1988" t="str">
        <f t="shared" si="31"/>
        <v/>
      </c>
    </row>
    <row r="1989" spans="1:1">
      <c r="A1989" t="str">
        <f t="shared" si="31"/>
        <v/>
      </c>
    </row>
    <row r="1990" spans="1:1">
      <c r="A1990" t="str">
        <f t="shared" si="31"/>
        <v/>
      </c>
    </row>
    <row r="1991" spans="1:1">
      <c r="A1991" t="str">
        <f t="shared" ref="A1991:A2054" si="32">G1991&amp;H1991&amp;I1991&amp;F1991</f>
        <v/>
      </c>
    </row>
    <row r="1992" spans="1:1">
      <c r="A1992" t="str">
        <f t="shared" si="32"/>
        <v/>
      </c>
    </row>
    <row r="1993" spans="1:1">
      <c r="A1993" t="str">
        <f t="shared" si="32"/>
        <v/>
      </c>
    </row>
    <row r="1994" spans="1:1">
      <c r="A1994" t="str">
        <f t="shared" si="32"/>
        <v/>
      </c>
    </row>
    <row r="1995" spans="1:1">
      <c r="A1995" t="str">
        <f t="shared" si="32"/>
        <v/>
      </c>
    </row>
    <row r="1996" spans="1:1">
      <c r="A1996" t="str">
        <f t="shared" si="32"/>
        <v/>
      </c>
    </row>
    <row r="1997" spans="1:1">
      <c r="A1997" t="str">
        <f t="shared" si="32"/>
        <v/>
      </c>
    </row>
    <row r="1998" spans="1:1">
      <c r="A1998" t="str">
        <f t="shared" si="32"/>
        <v/>
      </c>
    </row>
    <row r="1999" spans="1:1">
      <c r="A1999" t="str">
        <f t="shared" si="32"/>
        <v/>
      </c>
    </row>
    <row r="2000" spans="1:1">
      <c r="A2000" t="str">
        <f t="shared" si="32"/>
        <v/>
      </c>
    </row>
    <row r="2001" spans="1:1">
      <c r="A2001" t="str">
        <f t="shared" si="32"/>
        <v/>
      </c>
    </row>
    <row r="2002" spans="1:1">
      <c r="A2002" t="str">
        <f t="shared" si="32"/>
        <v/>
      </c>
    </row>
    <row r="2003" spans="1:1">
      <c r="A2003" t="str">
        <f t="shared" si="32"/>
        <v/>
      </c>
    </row>
    <row r="2004" spans="1:1">
      <c r="A2004" t="str">
        <f t="shared" si="32"/>
        <v/>
      </c>
    </row>
    <row r="2005" spans="1:1">
      <c r="A2005" t="str">
        <f t="shared" si="32"/>
        <v/>
      </c>
    </row>
    <row r="2006" spans="1:1">
      <c r="A2006" t="str">
        <f t="shared" si="32"/>
        <v/>
      </c>
    </row>
    <row r="2007" spans="1:1">
      <c r="A2007" t="str">
        <f t="shared" si="32"/>
        <v/>
      </c>
    </row>
    <row r="2008" spans="1:1">
      <c r="A2008" t="str">
        <f t="shared" si="32"/>
        <v/>
      </c>
    </row>
    <row r="2009" spans="1:1">
      <c r="A2009" t="str">
        <f t="shared" si="32"/>
        <v/>
      </c>
    </row>
    <row r="2010" spans="1:1">
      <c r="A2010" t="str">
        <f t="shared" si="32"/>
        <v/>
      </c>
    </row>
    <row r="2011" spans="1:1">
      <c r="A2011" t="str">
        <f t="shared" si="32"/>
        <v/>
      </c>
    </row>
    <row r="2012" spans="1:1">
      <c r="A2012" t="str">
        <f t="shared" si="32"/>
        <v/>
      </c>
    </row>
    <row r="2013" spans="1:1">
      <c r="A2013" t="str">
        <f t="shared" si="32"/>
        <v/>
      </c>
    </row>
    <row r="2014" spans="1:1">
      <c r="A2014" t="str">
        <f t="shared" si="32"/>
        <v/>
      </c>
    </row>
    <row r="2015" spans="1:1">
      <c r="A2015" t="str">
        <f t="shared" si="32"/>
        <v/>
      </c>
    </row>
    <row r="2016" spans="1:1">
      <c r="A2016" t="str">
        <f t="shared" si="32"/>
        <v/>
      </c>
    </row>
    <row r="2017" spans="1:1">
      <c r="A2017" t="str">
        <f t="shared" si="32"/>
        <v/>
      </c>
    </row>
    <row r="2018" spans="1:1">
      <c r="A2018" t="str">
        <f t="shared" si="32"/>
        <v/>
      </c>
    </row>
    <row r="2019" spans="1:1">
      <c r="A2019" t="str">
        <f t="shared" si="32"/>
        <v/>
      </c>
    </row>
    <row r="2020" spans="1:1">
      <c r="A2020" t="str">
        <f t="shared" si="32"/>
        <v/>
      </c>
    </row>
    <row r="2021" spans="1:1">
      <c r="A2021" t="str">
        <f t="shared" si="32"/>
        <v/>
      </c>
    </row>
    <row r="2022" spans="1:1">
      <c r="A2022" t="str">
        <f t="shared" si="32"/>
        <v/>
      </c>
    </row>
    <row r="2023" spans="1:1">
      <c r="A2023" t="str">
        <f t="shared" si="32"/>
        <v/>
      </c>
    </row>
    <row r="2024" spans="1:1">
      <c r="A2024" t="str">
        <f t="shared" si="32"/>
        <v/>
      </c>
    </row>
    <row r="2025" spans="1:1">
      <c r="A2025" t="str">
        <f t="shared" si="32"/>
        <v/>
      </c>
    </row>
    <row r="2026" spans="1:1">
      <c r="A2026" t="str">
        <f t="shared" si="32"/>
        <v/>
      </c>
    </row>
    <row r="2027" spans="1:1">
      <c r="A2027" t="str">
        <f t="shared" si="32"/>
        <v/>
      </c>
    </row>
    <row r="2028" spans="1:1">
      <c r="A2028" t="str">
        <f t="shared" si="32"/>
        <v/>
      </c>
    </row>
    <row r="2029" spans="1:1">
      <c r="A2029" t="str">
        <f t="shared" si="32"/>
        <v/>
      </c>
    </row>
    <row r="2030" spans="1:1">
      <c r="A2030" t="str">
        <f t="shared" si="32"/>
        <v/>
      </c>
    </row>
    <row r="2031" spans="1:1">
      <c r="A2031" t="str">
        <f t="shared" si="32"/>
        <v/>
      </c>
    </row>
    <row r="2032" spans="1:1">
      <c r="A2032" t="str">
        <f t="shared" si="32"/>
        <v/>
      </c>
    </row>
    <row r="2033" spans="1:1">
      <c r="A2033" t="str">
        <f t="shared" si="32"/>
        <v/>
      </c>
    </row>
    <row r="2034" spans="1:1">
      <c r="A2034" t="str">
        <f t="shared" si="32"/>
        <v/>
      </c>
    </row>
    <row r="2035" spans="1:1">
      <c r="A2035" t="str">
        <f t="shared" si="32"/>
        <v/>
      </c>
    </row>
    <row r="2036" spans="1:1">
      <c r="A2036" t="str">
        <f t="shared" si="32"/>
        <v/>
      </c>
    </row>
    <row r="2037" spans="1:1">
      <c r="A2037" t="str">
        <f t="shared" si="32"/>
        <v/>
      </c>
    </row>
    <row r="2038" spans="1:1">
      <c r="A2038" t="str">
        <f t="shared" si="32"/>
        <v/>
      </c>
    </row>
    <row r="2039" spans="1:1">
      <c r="A2039" t="str">
        <f t="shared" si="32"/>
        <v/>
      </c>
    </row>
    <row r="2040" spans="1:1">
      <c r="A2040" t="str">
        <f t="shared" si="32"/>
        <v/>
      </c>
    </row>
    <row r="2041" spans="1:1">
      <c r="A2041" t="str">
        <f t="shared" si="32"/>
        <v/>
      </c>
    </row>
    <row r="2042" spans="1:1">
      <c r="A2042" t="str">
        <f t="shared" si="32"/>
        <v/>
      </c>
    </row>
    <row r="2043" spans="1:1">
      <c r="A2043" t="str">
        <f t="shared" si="32"/>
        <v/>
      </c>
    </row>
    <row r="2044" spans="1:1">
      <c r="A2044" t="str">
        <f t="shared" si="32"/>
        <v/>
      </c>
    </row>
    <row r="2045" spans="1:1">
      <c r="A2045" t="str">
        <f t="shared" si="32"/>
        <v/>
      </c>
    </row>
    <row r="2046" spans="1:1">
      <c r="A2046" t="str">
        <f t="shared" si="32"/>
        <v/>
      </c>
    </row>
    <row r="2047" spans="1:1">
      <c r="A2047" t="str">
        <f t="shared" si="32"/>
        <v/>
      </c>
    </row>
    <row r="2048" spans="1:1">
      <c r="A2048" t="str">
        <f t="shared" si="32"/>
        <v/>
      </c>
    </row>
    <row r="2049" spans="1:1">
      <c r="A2049" t="str">
        <f t="shared" si="32"/>
        <v/>
      </c>
    </row>
    <row r="2050" spans="1:1">
      <c r="A2050" t="str">
        <f t="shared" si="32"/>
        <v/>
      </c>
    </row>
    <row r="2051" spans="1:1">
      <c r="A2051" t="str">
        <f t="shared" si="32"/>
        <v/>
      </c>
    </row>
    <row r="2052" spans="1:1">
      <c r="A2052" t="str">
        <f t="shared" si="32"/>
        <v/>
      </c>
    </row>
    <row r="2053" spans="1:1">
      <c r="A2053" t="str">
        <f t="shared" si="32"/>
        <v/>
      </c>
    </row>
    <row r="2054" spans="1:1">
      <c r="A2054" t="str">
        <f t="shared" si="32"/>
        <v/>
      </c>
    </row>
    <row r="2055" spans="1:1">
      <c r="A2055" t="str">
        <f t="shared" ref="A2055:A2118" si="33">G2055&amp;H2055&amp;I2055&amp;F2055</f>
        <v/>
      </c>
    </row>
    <row r="2056" spans="1:1">
      <c r="A2056" t="str">
        <f t="shared" si="33"/>
        <v/>
      </c>
    </row>
    <row r="2057" spans="1:1">
      <c r="A2057" t="str">
        <f t="shared" si="33"/>
        <v/>
      </c>
    </row>
    <row r="2058" spans="1:1">
      <c r="A2058" t="str">
        <f t="shared" si="33"/>
        <v/>
      </c>
    </row>
    <row r="2059" spans="1:1">
      <c r="A2059" t="str">
        <f t="shared" si="33"/>
        <v/>
      </c>
    </row>
    <row r="2060" spans="1:1">
      <c r="A2060" t="str">
        <f t="shared" si="33"/>
        <v/>
      </c>
    </row>
    <row r="2061" spans="1:1">
      <c r="A2061" t="str">
        <f t="shared" si="33"/>
        <v/>
      </c>
    </row>
    <row r="2062" spans="1:1">
      <c r="A2062" t="str">
        <f t="shared" si="33"/>
        <v/>
      </c>
    </row>
    <row r="2063" spans="1:1">
      <c r="A2063" t="str">
        <f t="shared" si="33"/>
        <v/>
      </c>
    </row>
    <row r="2064" spans="1:1">
      <c r="A2064" t="str">
        <f t="shared" si="33"/>
        <v/>
      </c>
    </row>
    <row r="2065" spans="1:1">
      <c r="A2065" t="str">
        <f t="shared" si="33"/>
        <v/>
      </c>
    </row>
    <row r="2066" spans="1:1">
      <c r="A2066" t="str">
        <f t="shared" si="33"/>
        <v/>
      </c>
    </row>
    <row r="2067" spans="1:1">
      <c r="A2067" t="str">
        <f t="shared" si="33"/>
        <v/>
      </c>
    </row>
    <row r="2068" spans="1:1">
      <c r="A2068" t="str">
        <f t="shared" si="33"/>
        <v/>
      </c>
    </row>
    <row r="2069" spans="1:1">
      <c r="A2069" t="str">
        <f t="shared" si="33"/>
        <v/>
      </c>
    </row>
    <row r="2070" spans="1:1">
      <c r="A2070" t="str">
        <f t="shared" si="33"/>
        <v/>
      </c>
    </row>
    <row r="2071" spans="1:1">
      <c r="A2071" t="str">
        <f t="shared" si="33"/>
        <v/>
      </c>
    </row>
    <row r="2072" spans="1:1">
      <c r="A2072" t="str">
        <f t="shared" si="33"/>
        <v/>
      </c>
    </row>
    <row r="2073" spans="1:1">
      <c r="A2073" t="str">
        <f t="shared" si="33"/>
        <v/>
      </c>
    </row>
    <row r="2074" spans="1:1">
      <c r="A2074" t="str">
        <f t="shared" si="33"/>
        <v/>
      </c>
    </row>
    <row r="2075" spans="1:1">
      <c r="A2075" t="str">
        <f t="shared" si="33"/>
        <v/>
      </c>
    </row>
    <row r="2076" spans="1:1">
      <c r="A2076" t="str">
        <f t="shared" si="33"/>
        <v/>
      </c>
    </row>
    <row r="2077" spans="1:1">
      <c r="A2077" t="str">
        <f t="shared" si="33"/>
        <v/>
      </c>
    </row>
    <row r="2078" spans="1:1">
      <c r="A2078" t="str">
        <f t="shared" si="33"/>
        <v/>
      </c>
    </row>
    <row r="2079" spans="1:1">
      <c r="A2079" t="str">
        <f t="shared" si="33"/>
        <v/>
      </c>
    </row>
    <row r="2080" spans="1:1">
      <c r="A2080" t="str">
        <f t="shared" si="33"/>
        <v/>
      </c>
    </row>
    <row r="2081" spans="1:1">
      <c r="A2081" t="str">
        <f t="shared" si="33"/>
        <v/>
      </c>
    </row>
    <row r="2082" spans="1:1">
      <c r="A2082" t="str">
        <f t="shared" si="33"/>
        <v/>
      </c>
    </row>
    <row r="2083" spans="1:1">
      <c r="A2083" t="str">
        <f t="shared" si="33"/>
        <v/>
      </c>
    </row>
    <row r="2084" spans="1:1">
      <c r="A2084" t="str">
        <f t="shared" si="33"/>
        <v/>
      </c>
    </row>
    <row r="2085" spans="1:1">
      <c r="A2085" t="str">
        <f t="shared" si="33"/>
        <v/>
      </c>
    </row>
    <row r="2086" spans="1:1">
      <c r="A2086" t="str">
        <f t="shared" si="33"/>
        <v/>
      </c>
    </row>
    <row r="2087" spans="1:1">
      <c r="A2087" t="str">
        <f t="shared" si="33"/>
        <v/>
      </c>
    </row>
    <row r="2088" spans="1:1">
      <c r="A2088" t="str">
        <f t="shared" si="33"/>
        <v/>
      </c>
    </row>
    <row r="2089" spans="1:1">
      <c r="A2089" t="str">
        <f t="shared" si="33"/>
        <v/>
      </c>
    </row>
    <row r="2090" spans="1:1">
      <c r="A2090" t="str">
        <f t="shared" si="33"/>
        <v/>
      </c>
    </row>
    <row r="2091" spans="1:1">
      <c r="A2091" t="str">
        <f t="shared" si="33"/>
        <v/>
      </c>
    </row>
    <row r="2092" spans="1:1">
      <c r="A2092" t="str">
        <f t="shared" si="33"/>
        <v/>
      </c>
    </row>
    <row r="2093" spans="1:1">
      <c r="A2093" t="str">
        <f t="shared" si="33"/>
        <v/>
      </c>
    </row>
    <row r="2094" spans="1:1">
      <c r="A2094" t="str">
        <f t="shared" si="33"/>
        <v/>
      </c>
    </row>
    <row r="2095" spans="1:1">
      <c r="A2095" t="str">
        <f t="shared" si="33"/>
        <v/>
      </c>
    </row>
    <row r="2096" spans="1:1">
      <c r="A2096" t="str">
        <f t="shared" si="33"/>
        <v/>
      </c>
    </row>
    <row r="2097" spans="1:1">
      <c r="A2097" t="str">
        <f t="shared" si="33"/>
        <v/>
      </c>
    </row>
    <row r="2098" spans="1:1">
      <c r="A2098" t="str">
        <f t="shared" si="33"/>
        <v/>
      </c>
    </row>
    <row r="2099" spans="1:1">
      <c r="A2099" t="str">
        <f t="shared" si="33"/>
        <v/>
      </c>
    </row>
    <row r="2100" spans="1:1">
      <c r="A2100" t="str">
        <f t="shared" si="33"/>
        <v/>
      </c>
    </row>
    <row r="2101" spans="1:1">
      <c r="A2101" t="str">
        <f t="shared" si="33"/>
        <v/>
      </c>
    </row>
    <row r="2102" spans="1:1">
      <c r="A2102" t="str">
        <f t="shared" si="33"/>
        <v/>
      </c>
    </row>
    <row r="2103" spans="1:1">
      <c r="A2103" t="str">
        <f t="shared" si="33"/>
        <v/>
      </c>
    </row>
    <row r="2104" spans="1:1">
      <c r="A2104" t="str">
        <f t="shared" si="33"/>
        <v/>
      </c>
    </row>
    <row r="2105" spans="1:1">
      <c r="A2105" t="str">
        <f t="shared" si="33"/>
        <v/>
      </c>
    </row>
    <row r="2106" spans="1:1">
      <c r="A2106" t="str">
        <f t="shared" si="33"/>
        <v/>
      </c>
    </row>
    <row r="2107" spans="1:1">
      <c r="A2107" t="str">
        <f t="shared" si="33"/>
        <v/>
      </c>
    </row>
    <row r="2108" spans="1:1">
      <c r="A2108" t="str">
        <f t="shared" si="33"/>
        <v/>
      </c>
    </row>
    <row r="2109" spans="1:1">
      <c r="A2109" t="str">
        <f t="shared" si="33"/>
        <v/>
      </c>
    </row>
    <row r="2110" spans="1:1">
      <c r="A2110" t="str">
        <f t="shared" si="33"/>
        <v/>
      </c>
    </row>
    <row r="2111" spans="1:1">
      <c r="A2111" t="str">
        <f t="shared" si="33"/>
        <v/>
      </c>
    </row>
    <row r="2112" spans="1:1">
      <c r="A2112" t="str">
        <f t="shared" si="33"/>
        <v/>
      </c>
    </row>
    <row r="2113" spans="1:1">
      <c r="A2113" t="str">
        <f t="shared" si="33"/>
        <v/>
      </c>
    </row>
    <row r="2114" spans="1:1">
      <c r="A2114" t="str">
        <f t="shared" si="33"/>
        <v/>
      </c>
    </row>
    <row r="2115" spans="1:1">
      <c r="A2115" t="str">
        <f t="shared" si="33"/>
        <v/>
      </c>
    </row>
    <row r="2116" spans="1:1">
      <c r="A2116" t="str">
        <f t="shared" si="33"/>
        <v/>
      </c>
    </row>
    <row r="2117" spans="1:1">
      <c r="A2117" t="str">
        <f t="shared" si="33"/>
        <v/>
      </c>
    </row>
    <row r="2118" spans="1:1">
      <c r="A2118" t="str">
        <f t="shared" si="33"/>
        <v/>
      </c>
    </row>
    <row r="2119" spans="1:1">
      <c r="A2119" t="str">
        <f t="shared" ref="A2119:A2182" si="34">G2119&amp;H2119&amp;I2119&amp;F2119</f>
        <v/>
      </c>
    </row>
    <row r="2120" spans="1:1">
      <c r="A2120" t="str">
        <f t="shared" si="34"/>
        <v/>
      </c>
    </row>
    <row r="2121" spans="1:1">
      <c r="A2121" t="str">
        <f t="shared" si="34"/>
        <v/>
      </c>
    </row>
    <row r="2122" spans="1:1">
      <c r="A2122" t="str">
        <f t="shared" si="34"/>
        <v/>
      </c>
    </row>
    <row r="2123" spans="1:1">
      <c r="A2123" t="str">
        <f t="shared" si="34"/>
        <v/>
      </c>
    </row>
    <row r="2124" spans="1:1">
      <c r="A2124" t="str">
        <f t="shared" si="34"/>
        <v/>
      </c>
    </row>
    <row r="2125" spans="1:1">
      <c r="A2125" t="str">
        <f t="shared" si="34"/>
        <v/>
      </c>
    </row>
    <row r="2126" spans="1:1">
      <c r="A2126" t="str">
        <f t="shared" si="34"/>
        <v/>
      </c>
    </row>
    <row r="2127" spans="1:1">
      <c r="A2127" t="str">
        <f t="shared" si="34"/>
        <v/>
      </c>
    </row>
    <row r="2128" spans="1:1">
      <c r="A2128" t="str">
        <f t="shared" si="34"/>
        <v/>
      </c>
    </row>
    <row r="2129" spans="1:1">
      <c r="A2129" t="str">
        <f t="shared" si="34"/>
        <v/>
      </c>
    </row>
    <row r="2130" spans="1:1">
      <c r="A2130" t="str">
        <f t="shared" si="34"/>
        <v/>
      </c>
    </row>
    <row r="2131" spans="1:1">
      <c r="A2131" t="str">
        <f t="shared" si="34"/>
        <v/>
      </c>
    </row>
    <row r="2132" spans="1:1">
      <c r="A2132" t="str">
        <f t="shared" si="34"/>
        <v/>
      </c>
    </row>
    <row r="2133" spans="1:1">
      <c r="A2133" t="str">
        <f t="shared" si="34"/>
        <v/>
      </c>
    </row>
    <row r="2134" spans="1:1">
      <c r="A2134" t="str">
        <f t="shared" si="34"/>
        <v/>
      </c>
    </row>
    <row r="2135" spans="1:1">
      <c r="A2135" t="str">
        <f t="shared" si="34"/>
        <v/>
      </c>
    </row>
    <row r="2136" spans="1:1">
      <c r="A2136" t="str">
        <f t="shared" si="34"/>
        <v/>
      </c>
    </row>
    <row r="2137" spans="1:1">
      <c r="A2137" t="str">
        <f t="shared" si="34"/>
        <v/>
      </c>
    </row>
    <row r="2138" spans="1:1">
      <c r="A2138" t="str">
        <f t="shared" si="34"/>
        <v/>
      </c>
    </row>
    <row r="2139" spans="1:1">
      <c r="A2139" t="str">
        <f t="shared" si="34"/>
        <v/>
      </c>
    </row>
    <row r="2140" spans="1:1">
      <c r="A2140" t="str">
        <f t="shared" si="34"/>
        <v/>
      </c>
    </row>
    <row r="2141" spans="1:1">
      <c r="A2141" t="str">
        <f t="shared" si="34"/>
        <v/>
      </c>
    </row>
    <row r="2142" spans="1:1">
      <c r="A2142" t="str">
        <f t="shared" si="34"/>
        <v/>
      </c>
    </row>
    <row r="2143" spans="1:1">
      <c r="A2143" t="str">
        <f t="shared" si="34"/>
        <v/>
      </c>
    </row>
    <row r="2144" spans="1:1">
      <c r="A2144" t="str">
        <f t="shared" si="34"/>
        <v/>
      </c>
    </row>
    <row r="2145" spans="1:1">
      <c r="A2145" t="str">
        <f t="shared" si="34"/>
        <v/>
      </c>
    </row>
    <row r="2146" spans="1:1">
      <c r="A2146" t="str">
        <f t="shared" si="34"/>
        <v/>
      </c>
    </row>
    <row r="2147" spans="1:1">
      <c r="A2147" t="str">
        <f t="shared" si="34"/>
        <v/>
      </c>
    </row>
    <row r="2148" spans="1:1">
      <c r="A2148" t="str">
        <f t="shared" si="34"/>
        <v/>
      </c>
    </row>
    <row r="2149" spans="1:1">
      <c r="A2149" t="str">
        <f t="shared" si="34"/>
        <v/>
      </c>
    </row>
    <row r="2150" spans="1:1">
      <c r="A2150" t="str">
        <f t="shared" si="34"/>
        <v/>
      </c>
    </row>
    <row r="2151" spans="1:1">
      <c r="A2151" t="str">
        <f t="shared" si="34"/>
        <v/>
      </c>
    </row>
    <row r="2152" spans="1:1">
      <c r="A2152" t="str">
        <f t="shared" si="34"/>
        <v/>
      </c>
    </row>
    <row r="2153" spans="1:1">
      <c r="A2153" t="str">
        <f t="shared" si="34"/>
        <v/>
      </c>
    </row>
    <row r="2154" spans="1:1">
      <c r="A2154" t="str">
        <f t="shared" si="34"/>
        <v/>
      </c>
    </row>
    <row r="2155" spans="1:1">
      <c r="A2155" t="str">
        <f t="shared" si="34"/>
        <v/>
      </c>
    </row>
    <row r="2156" spans="1:1">
      <c r="A2156" t="str">
        <f t="shared" si="34"/>
        <v/>
      </c>
    </row>
    <row r="2157" spans="1:1">
      <c r="A2157" t="str">
        <f t="shared" si="34"/>
        <v/>
      </c>
    </row>
    <row r="2158" spans="1:1">
      <c r="A2158" t="str">
        <f t="shared" si="34"/>
        <v/>
      </c>
    </row>
    <row r="2159" spans="1:1">
      <c r="A2159" t="str">
        <f t="shared" si="34"/>
        <v/>
      </c>
    </row>
    <row r="2160" spans="1:1">
      <c r="A2160" t="str">
        <f t="shared" si="34"/>
        <v/>
      </c>
    </row>
    <row r="2161" spans="1:1">
      <c r="A2161" t="str">
        <f t="shared" si="34"/>
        <v/>
      </c>
    </row>
    <row r="2162" spans="1:1">
      <c r="A2162" t="str">
        <f t="shared" si="34"/>
        <v/>
      </c>
    </row>
    <row r="2163" spans="1:1">
      <c r="A2163" t="str">
        <f t="shared" si="34"/>
        <v/>
      </c>
    </row>
    <row r="2164" spans="1:1">
      <c r="A2164" t="str">
        <f t="shared" si="34"/>
        <v/>
      </c>
    </row>
    <row r="2165" spans="1:1">
      <c r="A2165" t="str">
        <f t="shared" si="34"/>
        <v/>
      </c>
    </row>
    <row r="2166" spans="1:1">
      <c r="A2166" t="str">
        <f t="shared" si="34"/>
        <v/>
      </c>
    </row>
    <row r="2167" spans="1:1">
      <c r="A2167" t="str">
        <f t="shared" si="34"/>
        <v/>
      </c>
    </row>
    <row r="2168" spans="1:1">
      <c r="A2168" t="str">
        <f t="shared" si="34"/>
        <v/>
      </c>
    </row>
    <row r="2169" spans="1:1">
      <c r="A2169" t="str">
        <f t="shared" si="34"/>
        <v/>
      </c>
    </row>
    <row r="2170" spans="1:1">
      <c r="A2170" t="str">
        <f t="shared" si="34"/>
        <v/>
      </c>
    </row>
    <row r="2171" spans="1:1">
      <c r="A2171" t="str">
        <f t="shared" si="34"/>
        <v/>
      </c>
    </row>
    <row r="2172" spans="1:1">
      <c r="A2172" t="str">
        <f t="shared" si="34"/>
        <v/>
      </c>
    </row>
    <row r="2173" spans="1:1">
      <c r="A2173" t="str">
        <f t="shared" si="34"/>
        <v/>
      </c>
    </row>
    <row r="2174" spans="1:1">
      <c r="A2174" t="str">
        <f t="shared" si="34"/>
        <v/>
      </c>
    </row>
    <row r="2175" spans="1:1">
      <c r="A2175" t="str">
        <f t="shared" si="34"/>
        <v/>
      </c>
    </row>
    <row r="2176" spans="1:1">
      <c r="A2176" t="str">
        <f t="shared" si="34"/>
        <v/>
      </c>
    </row>
    <row r="2177" spans="1:1">
      <c r="A2177" t="str">
        <f t="shared" si="34"/>
        <v/>
      </c>
    </row>
    <row r="2178" spans="1:1">
      <c r="A2178" t="str">
        <f t="shared" si="34"/>
        <v/>
      </c>
    </row>
    <row r="2179" spans="1:1">
      <c r="A2179" t="str">
        <f t="shared" si="34"/>
        <v/>
      </c>
    </row>
    <row r="2180" spans="1:1">
      <c r="A2180" t="str">
        <f t="shared" si="34"/>
        <v/>
      </c>
    </row>
    <row r="2181" spans="1:1">
      <c r="A2181" t="str">
        <f t="shared" si="34"/>
        <v/>
      </c>
    </row>
    <row r="2182" spans="1:1">
      <c r="A2182" t="str">
        <f t="shared" si="34"/>
        <v/>
      </c>
    </row>
    <row r="2183" spans="1:1">
      <c r="A2183" t="str">
        <f t="shared" ref="A2183:A2246" si="35">G2183&amp;H2183&amp;I2183&amp;F2183</f>
        <v/>
      </c>
    </row>
    <row r="2184" spans="1:1">
      <c r="A2184" t="str">
        <f t="shared" si="35"/>
        <v/>
      </c>
    </row>
    <row r="2185" spans="1:1">
      <c r="A2185" t="str">
        <f t="shared" si="35"/>
        <v/>
      </c>
    </row>
    <row r="2186" spans="1:1">
      <c r="A2186" t="str">
        <f t="shared" si="35"/>
        <v/>
      </c>
    </row>
    <row r="2187" spans="1:1">
      <c r="A2187" t="str">
        <f t="shared" si="35"/>
        <v/>
      </c>
    </row>
    <row r="2188" spans="1:1">
      <c r="A2188" t="str">
        <f t="shared" si="35"/>
        <v/>
      </c>
    </row>
    <row r="2189" spans="1:1">
      <c r="A2189" t="str">
        <f t="shared" si="35"/>
        <v/>
      </c>
    </row>
    <row r="2190" spans="1:1">
      <c r="A2190" t="str">
        <f t="shared" si="35"/>
        <v/>
      </c>
    </row>
    <row r="2191" spans="1:1">
      <c r="A2191" t="str">
        <f t="shared" si="35"/>
        <v/>
      </c>
    </row>
    <row r="2192" spans="1:1">
      <c r="A2192" t="str">
        <f t="shared" si="35"/>
        <v/>
      </c>
    </row>
    <row r="2193" spans="1:1">
      <c r="A2193" t="str">
        <f t="shared" si="35"/>
        <v/>
      </c>
    </row>
    <row r="2194" spans="1:1">
      <c r="A2194" t="str">
        <f t="shared" si="35"/>
        <v/>
      </c>
    </row>
    <row r="2195" spans="1:1">
      <c r="A2195" t="str">
        <f t="shared" si="35"/>
        <v/>
      </c>
    </row>
    <row r="2196" spans="1:1">
      <c r="A2196" t="str">
        <f t="shared" si="35"/>
        <v/>
      </c>
    </row>
    <row r="2197" spans="1:1">
      <c r="A2197" t="str">
        <f t="shared" si="35"/>
        <v/>
      </c>
    </row>
    <row r="2198" spans="1:1">
      <c r="A2198" t="str">
        <f t="shared" si="35"/>
        <v/>
      </c>
    </row>
    <row r="2199" spans="1:1">
      <c r="A2199" t="str">
        <f t="shared" si="35"/>
        <v/>
      </c>
    </row>
    <row r="2200" spans="1:1">
      <c r="A2200" t="str">
        <f t="shared" si="35"/>
        <v/>
      </c>
    </row>
    <row r="2201" spans="1:1">
      <c r="A2201" t="str">
        <f t="shared" si="35"/>
        <v/>
      </c>
    </row>
    <row r="2202" spans="1:1">
      <c r="A2202" t="str">
        <f t="shared" si="35"/>
        <v/>
      </c>
    </row>
    <row r="2203" spans="1:1">
      <c r="A2203" t="str">
        <f t="shared" si="35"/>
        <v/>
      </c>
    </row>
    <row r="2204" spans="1:1">
      <c r="A2204" t="str">
        <f t="shared" si="35"/>
        <v/>
      </c>
    </row>
    <row r="2205" spans="1:1">
      <c r="A2205" t="str">
        <f t="shared" si="35"/>
        <v/>
      </c>
    </row>
    <row r="2206" spans="1:1">
      <c r="A2206" t="str">
        <f t="shared" si="35"/>
        <v/>
      </c>
    </row>
    <row r="2207" spans="1:1">
      <c r="A2207" t="str">
        <f t="shared" si="35"/>
        <v/>
      </c>
    </row>
    <row r="2208" spans="1:1">
      <c r="A2208" t="str">
        <f t="shared" si="35"/>
        <v/>
      </c>
    </row>
    <row r="2209" spans="1:1">
      <c r="A2209" t="str">
        <f t="shared" si="35"/>
        <v/>
      </c>
    </row>
    <row r="2210" spans="1:1">
      <c r="A2210" t="str">
        <f t="shared" si="35"/>
        <v/>
      </c>
    </row>
    <row r="2211" spans="1:1">
      <c r="A2211" t="str">
        <f t="shared" si="35"/>
        <v/>
      </c>
    </row>
    <row r="2212" spans="1:1">
      <c r="A2212" t="str">
        <f t="shared" si="35"/>
        <v/>
      </c>
    </row>
    <row r="2213" spans="1:1">
      <c r="A2213" t="str">
        <f t="shared" si="35"/>
        <v/>
      </c>
    </row>
    <row r="2214" spans="1:1">
      <c r="A2214" t="str">
        <f t="shared" si="35"/>
        <v/>
      </c>
    </row>
    <row r="2215" spans="1:1">
      <c r="A2215" t="str">
        <f t="shared" si="35"/>
        <v/>
      </c>
    </row>
    <row r="2216" spans="1:1">
      <c r="A2216" t="str">
        <f t="shared" si="35"/>
        <v/>
      </c>
    </row>
    <row r="2217" spans="1:1">
      <c r="A2217" t="str">
        <f t="shared" si="35"/>
        <v/>
      </c>
    </row>
    <row r="2218" spans="1:1">
      <c r="A2218" t="str">
        <f t="shared" si="35"/>
        <v/>
      </c>
    </row>
    <row r="2219" spans="1:1">
      <c r="A2219" t="str">
        <f t="shared" si="35"/>
        <v/>
      </c>
    </row>
    <row r="2220" spans="1:1">
      <c r="A2220" t="str">
        <f t="shared" si="35"/>
        <v/>
      </c>
    </row>
    <row r="2221" spans="1:1">
      <c r="A2221" t="str">
        <f t="shared" si="35"/>
        <v/>
      </c>
    </row>
    <row r="2222" spans="1:1">
      <c r="A2222" t="str">
        <f t="shared" si="35"/>
        <v/>
      </c>
    </row>
    <row r="2223" spans="1:1">
      <c r="A2223" t="str">
        <f t="shared" si="35"/>
        <v/>
      </c>
    </row>
    <row r="2224" spans="1:1">
      <c r="A2224" t="str">
        <f t="shared" si="35"/>
        <v/>
      </c>
    </row>
    <row r="2225" spans="1:1">
      <c r="A2225" t="str">
        <f t="shared" si="35"/>
        <v/>
      </c>
    </row>
    <row r="2226" spans="1:1">
      <c r="A2226" t="str">
        <f t="shared" si="35"/>
        <v/>
      </c>
    </row>
    <row r="2227" spans="1:1">
      <c r="A2227" t="str">
        <f t="shared" si="35"/>
        <v/>
      </c>
    </row>
    <row r="2228" spans="1:1">
      <c r="A2228" t="str">
        <f t="shared" si="35"/>
        <v/>
      </c>
    </row>
    <row r="2229" spans="1:1">
      <c r="A2229" t="str">
        <f t="shared" si="35"/>
        <v/>
      </c>
    </row>
    <row r="2230" spans="1:1">
      <c r="A2230" t="str">
        <f t="shared" si="35"/>
        <v/>
      </c>
    </row>
    <row r="2231" spans="1:1">
      <c r="A2231" t="str">
        <f t="shared" si="35"/>
        <v/>
      </c>
    </row>
    <row r="2232" spans="1:1">
      <c r="A2232" t="str">
        <f t="shared" si="35"/>
        <v/>
      </c>
    </row>
    <row r="2233" spans="1:1">
      <c r="A2233" t="str">
        <f t="shared" si="35"/>
        <v/>
      </c>
    </row>
    <row r="2234" spans="1:1">
      <c r="A2234" t="str">
        <f t="shared" si="35"/>
        <v/>
      </c>
    </row>
    <row r="2235" spans="1:1">
      <c r="A2235" t="str">
        <f t="shared" si="35"/>
        <v/>
      </c>
    </row>
    <row r="2236" spans="1:1">
      <c r="A2236" t="str">
        <f t="shared" si="35"/>
        <v/>
      </c>
    </row>
    <row r="2237" spans="1:1">
      <c r="A2237" t="str">
        <f t="shared" si="35"/>
        <v/>
      </c>
    </row>
    <row r="2238" spans="1:1">
      <c r="A2238" t="str">
        <f t="shared" si="35"/>
        <v/>
      </c>
    </row>
    <row r="2239" spans="1:1">
      <c r="A2239" t="str">
        <f t="shared" si="35"/>
        <v/>
      </c>
    </row>
    <row r="2240" spans="1:1">
      <c r="A2240" t="str">
        <f t="shared" si="35"/>
        <v/>
      </c>
    </row>
    <row r="2241" spans="1:1">
      <c r="A2241" t="str">
        <f t="shared" si="35"/>
        <v/>
      </c>
    </row>
    <row r="2242" spans="1:1">
      <c r="A2242" t="str">
        <f t="shared" si="35"/>
        <v/>
      </c>
    </row>
    <row r="2243" spans="1:1">
      <c r="A2243" t="str">
        <f t="shared" si="35"/>
        <v/>
      </c>
    </row>
    <row r="2244" spans="1:1">
      <c r="A2244" t="str">
        <f t="shared" si="35"/>
        <v/>
      </c>
    </row>
    <row r="2245" spans="1:1">
      <c r="A2245" t="str">
        <f t="shared" si="35"/>
        <v/>
      </c>
    </row>
    <row r="2246" spans="1:1">
      <c r="A2246" t="str">
        <f t="shared" si="35"/>
        <v/>
      </c>
    </row>
    <row r="2247" spans="1:1">
      <c r="A2247" t="str">
        <f t="shared" ref="A2247:A2310" si="36">G2247&amp;H2247&amp;I2247&amp;F2247</f>
        <v/>
      </c>
    </row>
    <row r="2248" spans="1:1">
      <c r="A2248" t="str">
        <f t="shared" si="36"/>
        <v/>
      </c>
    </row>
    <row r="2249" spans="1:1">
      <c r="A2249" t="str">
        <f t="shared" si="36"/>
        <v/>
      </c>
    </row>
    <row r="2250" spans="1:1">
      <c r="A2250" t="str">
        <f t="shared" si="36"/>
        <v/>
      </c>
    </row>
    <row r="2251" spans="1:1">
      <c r="A2251" t="str">
        <f t="shared" si="36"/>
        <v/>
      </c>
    </row>
    <row r="2252" spans="1:1">
      <c r="A2252" t="str">
        <f t="shared" si="36"/>
        <v/>
      </c>
    </row>
    <row r="2253" spans="1:1">
      <c r="A2253" t="str">
        <f t="shared" si="36"/>
        <v/>
      </c>
    </row>
    <row r="2254" spans="1:1">
      <c r="A2254" t="str">
        <f t="shared" si="36"/>
        <v/>
      </c>
    </row>
    <row r="2255" spans="1:1">
      <c r="A2255" t="str">
        <f t="shared" si="36"/>
        <v/>
      </c>
    </row>
    <row r="2256" spans="1:1">
      <c r="A2256" t="str">
        <f t="shared" si="36"/>
        <v/>
      </c>
    </row>
    <row r="2257" spans="1:1">
      <c r="A2257" t="str">
        <f t="shared" si="36"/>
        <v/>
      </c>
    </row>
    <row r="2258" spans="1:1">
      <c r="A2258" t="str">
        <f t="shared" si="36"/>
        <v/>
      </c>
    </row>
    <row r="2259" spans="1:1">
      <c r="A2259" t="str">
        <f t="shared" si="36"/>
        <v/>
      </c>
    </row>
    <row r="2260" spans="1:1">
      <c r="A2260" t="str">
        <f t="shared" si="36"/>
        <v/>
      </c>
    </row>
    <row r="2261" spans="1:1">
      <c r="A2261" t="str">
        <f t="shared" si="36"/>
        <v/>
      </c>
    </row>
    <row r="2262" spans="1:1">
      <c r="A2262" t="str">
        <f t="shared" si="36"/>
        <v/>
      </c>
    </row>
    <row r="2263" spans="1:1">
      <c r="A2263" t="str">
        <f t="shared" si="36"/>
        <v/>
      </c>
    </row>
    <row r="2264" spans="1:1">
      <c r="A2264" t="str">
        <f t="shared" si="36"/>
        <v/>
      </c>
    </row>
    <row r="2265" spans="1:1">
      <c r="A2265" t="str">
        <f t="shared" si="36"/>
        <v/>
      </c>
    </row>
    <row r="2266" spans="1:1">
      <c r="A2266" t="str">
        <f t="shared" si="36"/>
        <v/>
      </c>
    </row>
    <row r="2267" spans="1:1">
      <c r="A2267" t="str">
        <f t="shared" si="36"/>
        <v/>
      </c>
    </row>
    <row r="2268" spans="1:1">
      <c r="A2268" t="str">
        <f t="shared" si="36"/>
        <v/>
      </c>
    </row>
    <row r="2269" spans="1:1">
      <c r="A2269" t="str">
        <f t="shared" si="36"/>
        <v/>
      </c>
    </row>
    <row r="2270" spans="1:1">
      <c r="A2270" t="str">
        <f t="shared" si="36"/>
        <v/>
      </c>
    </row>
    <row r="2271" spans="1:1">
      <c r="A2271" t="str">
        <f t="shared" si="36"/>
        <v/>
      </c>
    </row>
    <row r="2272" spans="1:1">
      <c r="A2272" t="str">
        <f t="shared" si="36"/>
        <v/>
      </c>
    </row>
    <row r="2273" spans="1:1">
      <c r="A2273" t="str">
        <f t="shared" si="36"/>
        <v/>
      </c>
    </row>
    <row r="2274" spans="1:1">
      <c r="A2274" t="str">
        <f t="shared" si="36"/>
        <v/>
      </c>
    </row>
    <row r="2275" spans="1:1">
      <c r="A2275" t="str">
        <f t="shared" si="36"/>
        <v/>
      </c>
    </row>
    <row r="2276" spans="1:1">
      <c r="A2276" t="str">
        <f t="shared" si="36"/>
        <v/>
      </c>
    </row>
    <row r="2277" spans="1:1">
      <c r="A2277" t="str">
        <f t="shared" si="36"/>
        <v/>
      </c>
    </row>
    <row r="2278" spans="1:1">
      <c r="A2278" t="str">
        <f t="shared" si="36"/>
        <v/>
      </c>
    </row>
    <row r="2279" spans="1:1">
      <c r="A2279" t="str">
        <f t="shared" si="36"/>
        <v/>
      </c>
    </row>
    <row r="2280" spans="1:1">
      <c r="A2280" t="str">
        <f t="shared" si="36"/>
        <v/>
      </c>
    </row>
    <row r="2281" spans="1:1">
      <c r="A2281" t="str">
        <f t="shared" si="36"/>
        <v/>
      </c>
    </row>
    <row r="2282" spans="1:1">
      <c r="A2282" t="str">
        <f t="shared" si="36"/>
        <v/>
      </c>
    </row>
    <row r="2283" spans="1:1">
      <c r="A2283" t="str">
        <f t="shared" si="36"/>
        <v/>
      </c>
    </row>
    <row r="2284" spans="1:1">
      <c r="A2284" t="str">
        <f t="shared" si="36"/>
        <v/>
      </c>
    </row>
    <row r="2285" spans="1:1">
      <c r="A2285" t="str">
        <f t="shared" si="36"/>
        <v/>
      </c>
    </row>
    <row r="2286" spans="1:1">
      <c r="A2286" t="str">
        <f t="shared" si="36"/>
        <v/>
      </c>
    </row>
    <row r="2287" spans="1:1">
      <c r="A2287" t="str">
        <f t="shared" si="36"/>
        <v/>
      </c>
    </row>
    <row r="2288" spans="1:1">
      <c r="A2288" t="str">
        <f t="shared" si="36"/>
        <v/>
      </c>
    </row>
    <row r="2289" spans="1:1">
      <c r="A2289" t="str">
        <f t="shared" si="36"/>
        <v/>
      </c>
    </row>
    <row r="2290" spans="1:1">
      <c r="A2290" t="str">
        <f t="shared" si="36"/>
        <v/>
      </c>
    </row>
    <row r="2291" spans="1:1">
      <c r="A2291" t="str">
        <f t="shared" si="36"/>
        <v/>
      </c>
    </row>
    <row r="2292" spans="1:1">
      <c r="A2292" t="str">
        <f t="shared" si="36"/>
        <v/>
      </c>
    </row>
    <row r="2293" spans="1:1">
      <c r="A2293" t="str">
        <f t="shared" si="36"/>
        <v/>
      </c>
    </row>
    <row r="2294" spans="1:1">
      <c r="A2294" t="str">
        <f t="shared" si="36"/>
        <v/>
      </c>
    </row>
    <row r="2295" spans="1:1">
      <c r="A2295" t="str">
        <f t="shared" si="36"/>
        <v/>
      </c>
    </row>
    <row r="2296" spans="1:1">
      <c r="A2296" t="str">
        <f t="shared" si="36"/>
        <v/>
      </c>
    </row>
    <row r="2297" spans="1:1">
      <c r="A2297" t="str">
        <f t="shared" si="36"/>
        <v/>
      </c>
    </row>
    <row r="2298" spans="1:1">
      <c r="A2298" t="str">
        <f t="shared" si="36"/>
        <v/>
      </c>
    </row>
    <row r="2299" spans="1:1">
      <c r="A2299" t="str">
        <f t="shared" si="36"/>
        <v/>
      </c>
    </row>
    <row r="2300" spans="1:1">
      <c r="A2300" t="str">
        <f t="shared" si="36"/>
        <v/>
      </c>
    </row>
    <row r="2301" spans="1:1">
      <c r="A2301" t="str">
        <f t="shared" si="36"/>
        <v/>
      </c>
    </row>
    <row r="2302" spans="1:1">
      <c r="A2302" t="str">
        <f t="shared" si="36"/>
        <v/>
      </c>
    </row>
    <row r="2303" spans="1:1">
      <c r="A2303" t="str">
        <f t="shared" si="36"/>
        <v/>
      </c>
    </row>
    <row r="2304" spans="1:1">
      <c r="A2304" t="str">
        <f t="shared" si="36"/>
        <v/>
      </c>
    </row>
    <row r="2305" spans="1:1">
      <c r="A2305" t="str">
        <f t="shared" si="36"/>
        <v/>
      </c>
    </row>
    <row r="2306" spans="1:1">
      <c r="A2306" t="str">
        <f t="shared" si="36"/>
        <v/>
      </c>
    </row>
    <row r="2307" spans="1:1">
      <c r="A2307" t="str">
        <f t="shared" si="36"/>
        <v/>
      </c>
    </row>
    <row r="2308" spans="1:1">
      <c r="A2308" t="str">
        <f t="shared" si="36"/>
        <v/>
      </c>
    </row>
    <row r="2309" spans="1:1">
      <c r="A2309" t="str">
        <f t="shared" si="36"/>
        <v/>
      </c>
    </row>
    <row r="2310" spans="1:1">
      <c r="A2310" t="str">
        <f t="shared" si="36"/>
        <v/>
      </c>
    </row>
    <row r="2311" spans="1:1">
      <c r="A2311" t="str">
        <f t="shared" ref="A2311:A2374" si="37">G2311&amp;H2311&amp;I2311&amp;F2311</f>
        <v/>
      </c>
    </row>
    <row r="2312" spans="1:1">
      <c r="A2312" t="str">
        <f t="shared" si="37"/>
        <v/>
      </c>
    </row>
    <row r="2313" spans="1:1">
      <c r="A2313" t="str">
        <f t="shared" si="37"/>
        <v/>
      </c>
    </row>
    <row r="2314" spans="1:1">
      <c r="A2314" t="str">
        <f t="shared" si="37"/>
        <v/>
      </c>
    </row>
    <row r="2315" spans="1:1">
      <c r="A2315" t="str">
        <f t="shared" si="37"/>
        <v/>
      </c>
    </row>
    <row r="2316" spans="1:1">
      <c r="A2316" t="str">
        <f t="shared" si="37"/>
        <v/>
      </c>
    </row>
    <row r="2317" spans="1:1">
      <c r="A2317" t="str">
        <f t="shared" si="37"/>
        <v/>
      </c>
    </row>
    <row r="2318" spans="1:1">
      <c r="A2318" t="str">
        <f t="shared" si="37"/>
        <v/>
      </c>
    </row>
    <row r="2319" spans="1:1">
      <c r="A2319" t="str">
        <f t="shared" si="37"/>
        <v/>
      </c>
    </row>
    <row r="2320" spans="1:1">
      <c r="A2320" t="str">
        <f t="shared" si="37"/>
        <v/>
      </c>
    </row>
    <row r="2321" spans="1:1">
      <c r="A2321" t="str">
        <f t="shared" si="37"/>
        <v/>
      </c>
    </row>
    <row r="2322" spans="1:1">
      <c r="A2322" t="str">
        <f t="shared" si="37"/>
        <v/>
      </c>
    </row>
    <row r="2323" spans="1:1">
      <c r="A2323" t="str">
        <f t="shared" si="37"/>
        <v/>
      </c>
    </row>
    <row r="2324" spans="1:1">
      <c r="A2324" t="str">
        <f t="shared" si="37"/>
        <v/>
      </c>
    </row>
    <row r="2325" spans="1:1">
      <c r="A2325" t="str">
        <f t="shared" si="37"/>
        <v/>
      </c>
    </row>
    <row r="2326" spans="1:1">
      <c r="A2326" t="str">
        <f t="shared" si="37"/>
        <v/>
      </c>
    </row>
    <row r="2327" spans="1:1">
      <c r="A2327" t="str">
        <f t="shared" si="37"/>
        <v/>
      </c>
    </row>
    <row r="2328" spans="1:1">
      <c r="A2328" t="str">
        <f t="shared" si="37"/>
        <v/>
      </c>
    </row>
    <row r="2329" spans="1:1">
      <c r="A2329" t="str">
        <f t="shared" si="37"/>
        <v/>
      </c>
    </row>
    <row r="2330" spans="1:1">
      <c r="A2330" t="str">
        <f t="shared" si="37"/>
        <v/>
      </c>
    </row>
    <row r="2331" spans="1:1">
      <c r="A2331" t="str">
        <f t="shared" si="37"/>
        <v/>
      </c>
    </row>
    <row r="2332" spans="1:1">
      <c r="A2332" t="str">
        <f t="shared" si="37"/>
        <v/>
      </c>
    </row>
    <row r="2333" spans="1:1">
      <c r="A2333" t="str">
        <f t="shared" si="37"/>
        <v/>
      </c>
    </row>
    <row r="2334" spans="1:1">
      <c r="A2334" t="str">
        <f t="shared" si="37"/>
        <v/>
      </c>
    </row>
    <row r="2335" spans="1:1">
      <c r="A2335" t="str">
        <f t="shared" si="37"/>
        <v/>
      </c>
    </row>
    <row r="2336" spans="1:1">
      <c r="A2336" t="str">
        <f t="shared" si="37"/>
        <v/>
      </c>
    </row>
    <row r="2337" spans="1:1">
      <c r="A2337" t="str">
        <f t="shared" si="37"/>
        <v/>
      </c>
    </row>
    <row r="2338" spans="1:1">
      <c r="A2338" t="str">
        <f t="shared" si="37"/>
        <v/>
      </c>
    </row>
    <row r="2339" spans="1:1">
      <c r="A2339" t="str">
        <f t="shared" si="37"/>
        <v/>
      </c>
    </row>
    <row r="2340" spans="1:1">
      <c r="A2340" t="str">
        <f t="shared" si="37"/>
        <v/>
      </c>
    </row>
    <row r="2341" spans="1:1">
      <c r="A2341" t="str">
        <f t="shared" si="37"/>
        <v/>
      </c>
    </row>
    <row r="2342" spans="1:1">
      <c r="A2342" t="str">
        <f t="shared" si="37"/>
        <v/>
      </c>
    </row>
    <row r="2343" spans="1:1">
      <c r="A2343" t="str">
        <f t="shared" si="37"/>
        <v/>
      </c>
    </row>
    <row r="2344" spans="1:1">
      <c r="A2344" t="str">
        <f t="shared" si="37"/>
        <v/>
      </c>
    </row>
    <row r="2345" spans="1:1">
      <c r="A2345" t="str">
        <f t="shared" si="37"/>
        <v/>
      </c>
    </row>
    <row r="2346" spans="1:1">
      <c r="A2346" t="str">
        <f t="shared" si="37"/>
        <v/>
      </c>
    </row>
    <row r="2347" spans="1:1">
      <c r="A2347" t="str">
        <f t="shared" si="37"/>
        <v/>
      </c>
    </row>
    <row r="2348" spans="1:1">
      <c r="A2348" t="str">
        <f t="shared" si="37"/>
        <v/>
      </c>
    </row>
    <row r="2349" spans="1:1">
      <c r="A2349" t="str">
        <f t="shared" si="37"/>
        <v/>
      </c>
    </row>
    <row r="2350" spans="1:1">
      <c r="A2350" t="str">
        <f t="shared" si="37"/>
        <v/>
      </c>
    </row>
    <row r="2351" spans="1:1">
      <c r="A2351" t="str">
        <f t="shared" si="37"/>
        <v/>
      </c>
    </row>
    <row r="2352" spans="1:1">
      <c r="A2352" t="str">
        <f t="shared" si="37"/>
        <v/>
      </c>
    </row>
    <row r="2353" spans="1:1">
      <c r="A2353" t="str">
        <f t="shared" si="37"/>
        <v/>
      </c>
    </row>
    <row r="2354" spans="1:1">
      <c r="A2354" t="str">
        <f t="shared" si="37"/>
        <v/>
      </c>
    </row>
    <row r="2355" spans="1:1">
      <c r="A2355" t="str">
        <f t="shared" si="37"/>
        <v/>
      </c>
    </row>
    <row r="2356" spans="1:1">
      <c r="A2356" t="str">
        <f t="shared" si="37"/>
        <v/>
      </c>
    </row>
    <row r="2357" spans="1:1">
      <c r="A2357" t="str">
        <f t="shared" si="37"/>
        <v/>
      </c>
    </row>
    <row r="2358" spans="1:1">
      <c r="A2358" t="str">
        <f t="shared" si="37"/>
        <v/>
      </c>
    </row>
    <row r="2359" spans="1:1">
      <c r="A2359" t="str">
        <f t="shared" si="37"/>
        <v/>
      </c>
    </row>
    <row r="2360" spans="1:1">
      <c r="A2360" t="str">
        <f t="shared" si="37"/>
        <v/>
      </c>
    </row>
    <row r="2361" spans="1:1">
      <c r="A2361" t="str">
        <f t="shared" si="37"/>
        <v/>
      </c>
    </row>
    <row r="2362" spans="1:1">
      <c r="A2362" t="str">
        <f t="shared" si="37"/>
        <v/>
      </c>
    </row>
    <row r="2363" spans="1:1">
      <c r="A2363" t="str">
        <f t="shared" si="37"/>
        <v/>
      </c>
    </row>
    <row r="2364" spans="1:1">
      <c r="A2364" t="str">
        <f t="shared" si="37"/>
        <v/>
      </c>
    </row>
    <row r="2365" spans="1:1">
      <c r="A2365" t="str">
        <f t="shared" si="37"/>
        <v/>
      </c>
    </row>
    <row r="2366" spans="1:1">
      <c r="A2366" t="str">
        <f t="shared" si="37"/>
        <v/>
      </c>
    </row>
    <row r="2367" spans="1:1">
      <c r="A2367" t="str">
        <f t="shared" si="37"/>
        <v/>
      </c>
    </row>
    <row r="2368" spans="1:1">
      <c r="A2368" t="str">
        <f t="shared" si="37"/>
        <v/>
      </c>
    </row>
    <row r="2369" spans="1:1">
      <c r="A2369" t="str">
        <f t="shared" si="37"/>
        <v/>
      </c>
    </row>
    <row r="2370" spans="1:1">
      <c r="A2370" t="str">
        <f t="shared" si="37"/>
        <v/>
      </c>
    </row>
    <row r="2371" spans="1:1">
      <c r="A2371" t="str">
        <f t="shared" si="37"/>
        <v/>
      </c>
    </row>
    <row r="2372" spans="1:1">
      <c r="A2372" t="str">
        <f t="shared" si="37"/>
        <v/>
      </c>
    </row>
    <row r="2373" spans="1:1">
      <c r="A2373" t="str">
        <f t="shared" si="37"/>
        <v/>
      </c>
    </row>
    <row r="2374" spans="1:1">
      <c r="A2374" t="str">
        <f t="shared" si="37"/>
        <v/>
      </c>
    </row>
    <row r="2375" spans="1:1">
      <c r="A2375" t="str">
        <f t="shared" ref="A2375:A2438" si="38">G2375&amp;H2375&amp;I2375&amp;F2375</f>
        <v/>
      </c>
    </row>
    <row r="2376" spans="1:1">
      <c r="A2376" t="str">
        <f t="shared" si="38"/>
        <v/>
      </c>
    </row>
    <row r="2377" spans="1:1">
      <c r="A2377" t="str">
        <f t="shared" si="38"/>
        <v/>
      </c>
    </row>
    <row r="2378" spans="1:1">
      <c r="A2378" t="str">
        <f t="shared" si="38"/>
        <v/>
      </c>
    </row>
    <row r="2379" spans="1:1">
      <c r="A2379" t="str">
        <f t="shared" si="38"/>
        <v/>
      </c>
    </row>
    <row r="2380" spans="1:1">
      <c r="A2380" t="str">
        <f t="shared" si="38"/>
        <v/>
      </c>
    </row>
    <row r="2381" spans="1:1">
      <c r="A2381" t="str">
        <f t="shared" si="38"/>
        <v/>
      </c>
    </row>
    <row r="2382" spans="1:1">
      <c r="A2382" t="str">
        <f t="shared" si="38"/>
        <v/>
      </c>
    </row>
    <row r="2383" spans="1:1">
      <c r="A2383" t="str">
        <f t="shared" si="38"/>
        <v/>
      </c>
    </row>
    <row r="2384" spans="1:1">
      <c r="A2384" t="str">
        <f t="shared" si="38"/>
        <v/>
      </c>
    </row>
    <row r="2385" spans="1:1">
      <c r="A2385" t="str">
        <f t="shared" si="38"/>
        <v/>
      </c>
    </row>
    <row r="2386" spans="1:1">
      <c r="A2386" t="str">
        <f t="shared" si="38"/>
        <v/>
      </c>
    </row>
    <row r="2387" spans="1:1">
      <c r="A2387" t="str">
        <f t="shared" si="38"/>
        <v/>
      </c>
    </row>
    <row r="2388" spans="1:1">
      <c r="A2388" t="str">
        <f t="shared" si="38"/>
        <v/>
      </c>
    </row>
    <row r="2389" spans="1:1">
      <c r="A2389" t="str">
        <f t="shared" si="38"/>
        <v/>
      </c>
    </row>
    <row r="2390" spans="1:1">
      <c r="A2390" t="str">
        <f t="shared" si="38"/>
        <v/>
      </c>
    </row>
    <row r="2391" spans="1:1">
      <c r="A2391" t="str">
        <f t="shared" si="38"/>
        <v/>
      </c>
    </row>
    <row r="2392" spans="1:1">
      <c r="A2392" t="str">
        <f t="shared" si="38"/>
        <v/>
      </c>
    </row>
    <row r="2393" spans="1:1">
      <c r="A2393" t="str">
        <f t="shared" si="38"/>
        <v/>
      </c>
    </row>
    <row r="2394" spans="1:1">
      <c r="A2394" t="str">
        <f t="shared" si="38"/>
        <v/>
      </c>
    </row>
    <row r="2395" spans="1:1">
      <c r="A2395" t="str">
        <f t="shared" si="38"/>
        <v/>
      </c>
    </row>
    <row r="2396" spans="1:1">
      <c r="A2396" t="str">
        <f t="shared" si="38"/>
        <v/>
      </c>
    </row>
    <row r="2397" spans="1:1">
      <c r="A2397" t="str">
        <f t="shared" si="38"/>
        <v/>
      </c>
    </row>
    <row r="2398" spans="1:1">
      <c r="A2398" t="str">
        <f t="shared" si="38"/>
        <v/>
      </c>
    </row>
    <row r="2399" spans="1:1">
      <c r="A2399" t="str">
        <f t="shared" si="38"/>
        <v/>
      </c>
    </row>
    <row r="2400" spans="1:1">
      <c r="A2400" t="str">
        <f t="shared" si="38"/>
        <v/>
      </c>
    </row>
    <row r="2401" spans="1:1">
      <c r="A2401" t="str">
        <f t="shared" si="38"/>
        <v/>
      </c>
    </row>
    <row r="2402" spans="1:1">
      <c r="A2402" t="str">
        <f t="shared" si="38"/>
        <v/>
      </c>
    </row>
    <row r="2403" spans="1:1">
      <c r="A2403" t="str">
        <f t="shared" si="38"/>
        <v/>
      </c>
    </row>
    <row r="2404" spans="1:1">
      <c r="A2404" t="str">
        <f t="shared" si="38"/>
        <v/>
      </c>
    </row>
    <row r="2405" spans="1:1">
      <c r="A2405" t="str">
        <f t="shared" si="38"/>
        <v/>
      </c>
    </row>
    <row r="2406" spans="1:1">
      <c r="A2406" t="str">
        <f t="shared" si="38"/>
        <v/>
      </c>
    </row>
    <row r="2407" spans="1:1">
      <c r="A2407" t="str">
        <f t="shared" si="38"/>
        <v/>
      </c>
    </row>
    <row r="2408" spans="1:1">
      <c r="A2408" t="str">
        <f t="shared" si="38"/>
        <v/>
      </c>
    </row>
    <row r="2409" spans="1:1">
      <c r="A2409" t="str">
        <f t="shared" si="38"/>
        <v/>
      </c>
    </row>
    <row r="2410" spans="1:1">
      <c r="A2410" t="str">
        <f t="shared" si="38"/>
        <v/>
      </c>
    </row>
    <row r="2411" spans="1:1">
      <c r="A2411" t="str">
        <f t="shared" si="38"/>
        <v/>
      </c>
    </row>
    <row r="2412" spans="1:1">
      <c r="A2412" t="str">
        <f t="shared" si="38"/>
        <v/>
      </c>
    </row>
    <row r="2413" spans="1:1">
      <c r="A2413" t="str">
        <f t="shared" si="38"/>
        <v/>
      </c>
    </row>
    <row r="2414" spans="1:1">
      <c r="A2414" t="str">
        <f t="shared" si="38"/>
        <v/>
      </c>
    </row>
    <row r="2415" spans="1:1">
      <c r="A2415" t="str">
        <f t="shared" si="38"/>
        <v/>
      </c>
    </row>
    <row r="2416" spans="1:1">
      <c r="A2416" t="str">
        <f t="shared" si="38"/>
        <v/>
      </c>
    </row>
    <row r="2417" spans="1:1">
      <c r="A2417" t="str">
        <f t="shared" si="38"/>
        <v/>
      </c>
    </row>
    <row r="2418" spans="1:1">
      <c r="A2418" t="str">
        <f t="shared" si="38"/>
        <v/>
      </c>
    </row>
    <row r="2419" spans="1:1">
      <c r="A2419" t="str">
        <f t="shared" si="38"/>
        <v/>
      </c>
    </row>
    <row r="2420" spans="1:1">
      <c r="A2420" t="str">
        <f t="shared" si="38"/>
        <v/>
      </c>
    </row>
    <row r="2421" spans="1:1">
      <c r="A2421" t="str">
        <f t="shared" si="38"/>
        <v/>
      </c>
    </row>
    <row r="2422" spans="1:1">
      <c r="A2422" t="str">
        <f t="shared" si="38"/>
        <v/>
      </c>
    </row>
    <row r="2423" spans="1:1">
      <c r="A2423" t="str">
        <f t="shared" si="38"/>
        <v/>
      </c>
    </row>
    <row r="2424" spans="1:1">
      <c r="A2424" t="str">
        <f t="shared" si="38"/>
        <v/>
      </c>
    </row>
    <row r="2425" spans="1:1">
      <c r="A2425" t="str">
        <f t="shared" si="38"/>
        <v/>
      </c>
    </row>
    <row r="2426" spans="1:1">
      <c r="A2426" t="str">
        <f t="shared" si="38"/>
        <v/>
      </c>
    </row>
    <row r="2427" spans="1:1">
      <c r="A2427" t="str">
        <f t="shared" si="38"/>
        <v/>
      </c>
    </row>
    <row r="2428" spans="1:1">
      <c r="A2428" t="str">
        <f t="shared" si="38"/>
        <v/>
      </c>
    </row>
    <row r="2429" spans="1:1">
      <c r="A2429" t="str">
        <f t="shared" si="38"/>
        <v/>
      </c>
    </row>
    <row r="2430" spans="1:1">
      <c r="A2430" t="str">
        <f t="shared" si="38"/>
        <v/>
      </c>
    </row>
    <row r="2431" spans="1:1">
      <c r="A2431" t="str">
        <f t="shared" si="38"/>
        <v/>
      </c>
    </row>
    <row r="2432" spans="1:1">
      <c r="A2432" t="str">
        <f t="shared" si="38"/>
        <v/>
      </c>
    </row>
    <row r="2433" spans="1:1">
      <c r="A2433" t="str">
        <f t="shared" si="38"/>
        <v/>
      </c>
    </row>
    <row r="2434" spans="1:1">
      <c r="A2434" t="str">
        <f t="shared" si="38"/>
        <v/>
      </c>
    </row>
    <row r="2435" spans="1:1">
      <c r="A2435" t="str">
        <f t="shared" si="38"/>
        <v/>
      </c>
    </row>
    <row r="2436" spans="1:1">
      <c r="A2436" t="str">
        <f t="shared" si="38"/>
        <v/>
      </c>
    </row>
    <row r="2437" spans="1:1">
      <c r="A2437" t="str">
        <f t="shared" si="38"/>
        <v/>
      </c>
    </row>
    <row r="2438" spans="1:1">
      <c r="A2438" t="str">
        <f t="shared" si="38"/>
        <v/>
      </c>
    </row>
    <row r="2439" spans="1:1">
      <c r="A2439" t="str">
        <f t="shared" ref="A2439:A2502" si="39">G2439&amp;H2439&amp;I2439&amp;F2439</f>
        <v/>
      </c>
    </row>
    <row r="2440" spans="1:1">
      <c r="A2440" t="str">
        <f t="shared" si="39"/>
        <v/>
      </c>
    </row>
    <row r="2441" spans="1:1">
      <c r="A2441" t="str">
        <f t="shared" si="39"/>
        <v/>
      </c>
    </row>
    <row r="2442" spans="1:1">
      <c r="A2442" t="str">
        <f t="shared" si="39"/>
        <v/>
      </c>
    </row>
    <row r="2443" spans="1:1">
      <c r="A2443" t="str">
        <f t="shared" si="39"/>
        <v/>
      </c>
    </row>
    <row r="2444" spans="1:1">
      <c r="A2444" t="str">
        <f t="shared" si="39"/>
        <v/>
      </c>
    </row>
    <row r="2445" spans="1:1">
      <c r="A2445" t="str">
        <f t="shared" si="39"/>
        <v/>
      </c>
    </row>
    <row r="2446" spans="1:1">
      <c r="A2446" t="str">
        <f t="shared" si="39"/>
        <v/>
      </c>
    </row>
    <row r="2447" spans="1:1">
      <c r="A2447" t="str">
        <f t="shared" si="39"/>
        <v/>
      </c>
    </row>
    <row r="2448" spans="1:1">
      <c r="A2448" t="str">
        <f t="shared" si="39"/>
        <v/>
      </c>
    </row>
    <row r="2449" spans="1:1">
      <c r="A2449" t="str">
        <f t="shared" si="39"/>
        <v/>
      </c>
    </row>
    <row r="2450" spans="1:1">
      <c r="A2450" t="str">
        <f t="shared" si="39"/>
        <v/>
      </c>
    </row>
    <row r="2451" spans="1:1">
      <c r="A2451" t="str">
        <f t="shared" si="39"/>
        <v/>
      </c>
    </row>
    <row r="2452" spans="1:1">
      <c r="A2452" t="str">
        <f t="shared" si="39"/>
        <v/>
      </c>
    </row>
    <row r="2453" spans="1:1">
      <c r="A2453" t="str">
        <f t="shared" si="39"/>
        <v/>
      </c>
    </row>
    <row r="2454" spans="1:1">
      <c r="A2454" t="str">
        <f t="shared" si="39"/>
        <v/>
      </c>
    </row>
    <row r="2455" spans="1:1">
      <c r="A2455" t="str">
        <f t="shared" si="39"/>
        <v/>
      </c>
    </row>
    <row r="2456" spans="1:1">
      <c r="A2456" t="str">
        <f t="shared" si="39"/>
        <v/>
      </c>
    </row>
    <row r="2457" spans="1:1">
      <c r="A2457" t="str">
        <f t="shared" si="39"/>
        <v/>
      </c>
    </row>
    <row r="2458" spans="1:1">
      <c r="A2458" t="str">
        <f t="shared" si="39"/>
        <v/>
      </c>
    </row>
    <row r="2459" spans="1:1">
      <c r="A2459" t="str">
        <f t="shared" si="39"/>
        <v/>
      </c>
    </row>
    <row r="2460" spans="1:1">
      <c r="A2460" t="str">
        <f t="shared" si="39"/>
        <v/>
      </c>
    </row>
    <row r="2461" spans="1:1">
      <c r="A2461" t="str">
        <f t="shared" si="39"/>
        <v/>
      </c>
    </row>
    <row r="2462" spans="1:1">
      <c r="A2462" t="str">
        <f t="shared" si="39"/>
        <v/>
      </c>
    </row>
    <row r="2463" spans="1:1">
      <c r="A2463" t="str">
        <f t="shared" si="39"/>
        <v/>
      </c>
    </row>
    <row r="2464" spans="1:1">
      <c r="A2464" t="str">
        <f t="shared" si="39"/>
        <v/>
      </c>
    </row>
    <row r="2465" spans="1:1">
      <c r="A2465" t="str">
        <f t="shared" si="39"/>
        <v/>
      </c>
    </row>
    <row r="2466" spans="1:1">
      <c r="A2466" t="str">
        <f t="shared" si="39"/>
        <v/>
      </c>
    </row>
    <row r="2467" spans="1:1">
      <c r="A2467" t="str">
        <f t="shared" si="39"/>
        <v/>
      </c>
    </row>
    <row r="2468" spans="1:1">
      <c r="A2468" t="str">
        <f t="shared" si="39"/>
        <v/>
      </c>
    </row>
    <row r="2469" spans="1:1">
      <c r="A2469" t="str">
        <f t="shared" si="39"/>
        <v/>
      </c>
    </row>
    <row r="2470" spans="1:1">
      <c r="A2470" t="str">
        <f t="shared" si="39"/>
        <v/>
      </c>
    </row>
    <row r="2471" spans="1:1">
      <c r="A2471" t="str">
        <f t="shared" si="39"/>
        <v/>
      </c>
    </row>
    <row r="2472" spans="1:1">
      <c r="A2472" t="str">
        <f t="shared" si="39"/>
        <v/>
      </c>
    </row>
    <row r="2473" spans="1:1">
      <c r="A2473" t="str">
        <f t="shared" si="39"/>
        <v/>
      </c>
    </row>
    <row r="2474" spans="1:1">
      <c r="A2474" t="str">
        <f t="shared" si="39"/>
        <v/>
      </c>
    </row>
    <row r="2475" spans="1:1">
      <c r="A2475" t="str">
        <f t="shared" si="39"/>
        <v/>
      </c>
    </row>
    <row r="2476" spans="1:1">
      <c r="A2476" t="str">
        <f t="shared" si="39"/>
        <v/>
      </c>
    </row>
    <row r="2477" spans="1:1">
      <c r="A2477" t="str">
        <f t="shared" si="39"/>
        <v/>
      </c>
    </row>
    <row r="2478" spans="1:1">
      <c r="A2478" t="str">
        <f t="shared" si="39"/>
        <v/>
      </c>
    </row>
    <row r="2479" spans="1:1">
      <c r="A2479" t="str">
        <f t="shared" si="39"/>
        <v/>
      </c>
    </row>
    <row r="2480" spans="1:1">
      <c r="A2480" t="str">
        <f t="shared" si="39"/>
        <v/>
      </c>
    </row>
    <row r="2481" spans="1:1">
      <c r="A2481" t="str">
        <f t="shared" si="39"/>
        <v/>
      </c>
    </row>
    <row r="2482" spans="1:1">
      <c r="A2482" t="str">
        <f t="shared" si="39"/>
        <v/>
      </c>
    </row>
    <row r="2483" spans="1:1">
      <c r="A2483" t="str">
        <f t="shared" si="39"/>
        <v/>
      </c>
    </row>
    <row r="2484" spans="1:1">
      <c r="A2484" t="str">
        <f t="shared" si="39"/>
        <v/>
      </c>
    </row>
    <row r="2485" spans="1:1">
      <c r="A2485" t="str">
        <f t="shared" si="39"/>
        <v/>
      </c>
    </row>
    <row r="2486" spans="1:1">
      <c r="A2486" t="str">
        <f t="shared" si="39"/>
        <v/>
      </c>
    </row>
    <row r="2487" spans="1:1">
      <c r="A2487" t="str">
        <f t="shared" si="39"/>
        <v/>
      </c>
    </row>
    <row r="2488" spans="1:1">
      <c r="A2488" t="str">
        <f t="shared" si="39"/>
        <v/>
      </c>
    </row>
    <row r="2489" spans="1:1">
      <c r="A2489" t="str">
        <f t="shared" si="39"/>
        <v/>
      </c>
    </row>
    <row r="2490" spans="1:1">
      <c r="A2490" t="str">
        <f t="shared" si="39"/>
        <v/>
      </c>
    </row>
    <row r="2491" spans="1:1">
      <c r="A2491" t="str">
        <f t="shared" si="39"/>
        <v/>
      </c>
    </row>
    <row r="2492" spans="1:1">
      <c r="A2492" t="str">
        <f t="shared" si="39"/>
        <v/>
      </c>
    </row>
    <row r="2493" spans="1:1">
      <c r="A2493" t="str">
        <f t="shared" si="39"/>
        <v/>
      </c>
    </row>
    <row r="2494" spans="1:1">
      <c r="A2494" t="str">
        <f t="shared" si="39"/>
        <v/>
      </c>
    </row>
    <row r="2495" spans="1:1">
      <c r="A2495" t="str">
        <f t="shared" si="39"/>
        <v/>
      </c>
    </row>
    <row r="2496" spans="1:1">
      <c r="A2496" t="str">
        <f t="shared" si="39"/>
        <v/>
      </c>
    </row>
    <row r="2497" spans="1:1">
      <c r="A2497" t="str">
        <f t="shared" si="39"/>
        <v/>
      </c>
    </row>
    <row r="2498" spans="1:1">
      <c r="A2498" t="str">
        <f t="shared" si="39"/>
        <v/>
      </c>
    </row>
    <row r="2499" spans="1:1">
      <c r="A2499" t="str">
        <f t="shared" si="39"/>
        <v/>
      </c>
    </row>
    <row r="2500" spans="1:1">
      <c r="A2500" t="str">
        <f t="shared" si="39"/>
        <v/>
      </c>
    </row>
    <row r="2501" spans="1:1">
      <c r="A2501" t="str">
        <f t="shared" si="39"/>
        <v/>
      </c>
    </row>
    <row r="2502" spans="1:1">
      <c r="A2502" t="str">
        <f t="shared" si="39"/>
        <v/>
      </c>
    </row>
    <row r="2503" spans="1:1">
      <c r="A2503" t="str">
        <f t="shared" ref="A2503:A2566" si="40">G2503&amp;H2503&amp;I2503&amp;F2503</f>
        <v/>
      </c>
    </row>
    <row r="2504" spans="1:1">
      <c r="A2504" t="str">
        <f t="shared" si="40"/>
        <v/>
      </c>
    </row>
    <row r="2505" spans="1:1">
      <c r="A2505" t="str">
        <f t="shared" si="40"/>
        <v/>
      </c>
    </row>
    <row r="2506" spans="1:1">
      <c r="A2506" t="str">
        <f t="shared" si="40"/>
        <v/>
      </c>
    </row>
    <row r="2507" spans="1:1">
      <c r="A2507" t="str">
        <f t="shared" si="40"/>
        <v/>
      </c>
    </row>
    <row r="2508" spans="1:1">
      <c r="A2508" t="str">
        <f t="shared" si="40"/>
        <v/>
      </c>
    </row>
    <row r="2509" spans="1:1">
      <c r="A2509" t="str">
        <f t="shared" si="40"/>
        <v/>
      </c>
    </row>
    <row r="2510" spans="1:1">
      <c r="A2510" t="str">
        <f t="shared" si="40"/>
        <v/>
      </c>
    </row>
    <row r="2511" spans="1:1">
      <c r="A2511" t="str">
        <f t="shared" si="40"/>
        <v/>
      </c>
    </row>
    <row r="2512" spans="1:1">
      <c r="A2512" t="str">
        <f t="shared" si="40"/>
        <v/>
      </c>
    </row>
    <row r="2513" spans="1:1">
      <c r="A2513" t="str">
        <f t="shared" si="40"/>
        <v/>
      </c>
    </row>
    <row r="2514" spans="1:1">
      <c r="A2514" t="str">
        <f t="shared" si="40"/>
        <v/>
      </c>
    </row>
    <row r="2515" spans="1:1">
      <c r="A2515" t="str">
        <f t="shared" si="40"/>
        <v/>
      </c>
    </row>
    <row r="2516" spans="1:1">
      <c r="A2516" t="str">
        <f t="shared" si="40"/>
        <v/>
      </c>
    </row>
    <row r="2517" spans="1:1">
      <c r="A2517" t="str">
        <f t="shared" si="40"/>
        <v/>
      </c>
    </row>
    <row r="2518" spans="1:1">
      <c r="A2518" t="str">
        <f t="shared" si="40"/>
        <v/>
      </c>
    </row>
    <row r="2519" spans="1:1">
      <c r="A2519" t="str">
        <f t="shared" si="40"/>
        <v/>
      </c>
    </row>
    <row r="2520" spans="1:1">
      <c r="A2520" t="str">
        <f t="shared" si="40"/>
        <v/>
      </c>
    </row>
    <row r="2521" spans="1:1">
      <c r="A2521" t="str">
        <f t="shared" si="40"/>
        <v/>
      </c>
    </row>
    <row r="2522" spans="1:1">
      <c r="A2522" t="str">
        <f t="shared" si="40"/>
        <v/>
      </c>
    </row>
    <row r="2523" spans="1:1">
      <c r="A2523" t="str">
        <f t="shared" si="40"/>
        <v/>
      </c>
    </row>
    <row r="2524" spans="1:1">
      <c r="A2524" t="str">
        <f t="shared" si="40"/>
        <v/>
      </c>
    </row>
    <row r="2525" spans="1:1">
      <c r="A2525" t="str">
        <f t="shared" si="40"/>
        <v/>
      </c>
    </row>
    <row r="2526" spans="1:1">
      <c r="A2526" t="str">
        <f t="shared" si="40"/>
        <v/>
      </c>
    </row>
    <row r="2527" spans="1:1">
      <c r="A2527" t="str">
        <f t="shared" si="40"/>
        <v/>
      </c>
    </row>
    <row r="2528" spans="1:1">
      <c r="A2528" t="str">
        <f t="shared" si="40"/>
        <v/>
      </c>
    </row>
    <row r="2529" spans="1:1">
      <c r="A2529" t="str">
        <f t="shared" si="40"/>
        <v/>
      </c>
    </row>
    <row r="2530" spans="1:1">
      <c r="A2530" t="str">
        <f t="shared" si="40"/>
        <v/>
      </c>
    </row>
    <row r="2531" spans="1:1">
      <c r="A2531" t="str">
        <f t="shared" si="40"/>
        <v/>
      </c>
    </row>
    <row r="2532" spans="1:1">
      <c r="A2532" t="str">
        <f t="shared" si="40"/>
        <v/>
      </c>
    </row>
    <row r="2533" spans="1:1">
      <c r="A2533" t="str">
        <f t="shared" si="40"/>
        <v/>
      </c>
    </row>
    <row r="2534" spans="1:1">
      <c r="A2534" t="str">
        <f t="shared" si="40"/>
        <v/>
      </c>
    </row>
    <row r="2535" spans="1:1">
      <c r="A2535" t="str">
        <f t="shared" si="40"/>
        <v/>
      </c>
    </row>
    <row r="2536" spans="1:1">
      <c r="A2536" t="str">
        <f t="shared" si="40"/>
        <v/>
      </c>
    </row>
    <row r="2537" spans="1:1">
      <c r="A2537" t="str">
        <f t="shared" si="40"/>
        <v/>
      </c>
    </row>
    <row r="2538" spans="1:1">
      <c r="A2538" t="str">
        <f t="shared" si="40"/>
        <v/>
      </c>
    </row>
    <row r="2539" spans="1:1">
      <c r="A2539" t="str">
        <f t="shared" si="40"/>
        <v/>
      </c>
    </row>
    <row r="2540" spans="1:1">
      <c r="A2540" t="str">
        <f t="shared" si="40"/>
        <v/>
      </c>
    </row>
    <row r="2541" spans="1:1">
      <c r="A2541" t="str">
        <f t="shared" si="40"/>
        <v/>
      </c>
    </row>
    <row r="2542" spans="1:1">
      <c r="A2542" t="str">
        <f t="shared" si="40"/>
        <v/>
      </c>
    </row>
    <row r="2543" spans="1:1">
      <c r="A2543" t="str">
        <f t="shared" si="40"/>
        <v/>
      </c>
    </row>
    <row r="2544" spans="1:1">
      <c r="A2544" t="str">
        <f t="shared" si="40"/>
        <v/>
      </c>
    </row>
    <row r="2545" spans="1:1">
      <c r="A2545" t="str">
        <f t="shared" si="40"/>
        <v/>
      </c>
    </row>
    <row r="2546" spans="1:1">
      <c r="A2546" t="str">
        <f t="shared" si="40"/>
        <v/>
      </c>
    </row>
    <row r="2547" spans="1:1">
      <c r="A2547" t="str">
        <f t="shared" si="40"/>
        <v/>
      </c>
    </row>
    <row r="2548" spans="1:1">
      <c r="A2548" t="str">
        <f t="shared" si="40"/>
        <v/>
      </c>
    </row>
    <row r="2549" spans="1:1">
      <c r="A2549" t="str">
        <f t="shared" si="40"/>
        <v/>
      </c>
    </row>
    <row r="2550" spans="1:1">
      <c r="A2550" t="str">
        <f t="shared" si="40"/>
        <v/>
      </c>
    </row>
    <row r="2551" spans="1:1">
      <c r="A2551" t="str">
        <f t="shared" si="40"/>
        <v/>
      </c>
    </row>
    <row r="2552" spans="1:1">
      <c r="A2552" t="str">
        <f t="shared" si="40"/>
        <v/>
      </c>
    </row>
    <row r="2553" spans="1:1">
      <c r="A2553" t="str">
        <f t="shared" si="40"/>
        <v/>
      </c>
    </row>
    <row r="2554" spans="1:1">
      <c r="A2554" t="str">
        <f t="shared" si="40"/>
        <v/>
      </c>
    </row>
    <row r="2555" spans="1:1">
      <c r="A2555" t="str">
        <f t="shared" si="40"/>
        <v/>
      </c>
    </row>
    <row r="2556" spans="1:1">
      <c r="A2556" t="str">
        <f t="shared" si="40"/>
        <v/>
      </c>
    </row>
    <row r="2557" spans="1:1">
      <c r="A2557" t="str">
        <f t="shared" si="40"/>
        <v/>
      </c>
    </row>
    <row r="2558" spans="1:1">
      <c r="A2558" t="str">
        <f t="shared" si="40"/>
        <v/>
      </c>
    </row>
    <row r="2559" spans="1:1">
      <c r="A2559" t="str">
        <f t="shared" si="40"/>
        <v/>
      </c>
    </row>
    <row r="2560" spans="1:1">
      <c r="A2560" t="str">
        <f t="shared" si="40"/>
        <v/>
      </c>
    </row>
    <row r="2561" spans="1:1">
      <c r="A2561" t="str">
        <f t="shared" si="40"/>
        <v/>
      </c>
    </row>
    <row r="2562" spans="1:1">
      <c r="A2562" t="str">
        <f t="shared" si="40"/>
        <v/>
      </c>
    </row>
    <row r="2563" spans="1:1">
      <c r="A2563" t="str">
        <f t="shared" si="40"/>
        <v/>
      </c>
    </row>
    <row r="2564" spans="1:1">
      <c r="A2564" t="str">
        <f t="shared" si="40"/>
        <v/>
      </c>
    </row>
    <row r="2565" spans="1:1">
      <c r="A2565" t="str">
        <f t="shared" si="40"/>
        <v/>
      </c>
    </row>
    <row r="2566" spans="1:1">
      <c r="A2566" t="str">
        <f t="shared" si="40"/>
        <v/>
      </c>
    </row>
    <row r="2567" spans="1:1">
      <c r="A2567" t="str">
        <f t="shared" ref="A2567:A2630" si="41">G2567&amp;H2567&amp;I2567&amp;F2567</f>
        <v/>
      </c>
    </row>
    <row r="2568" spans="1:1">
      <c r="A2568" t="str">
        <f t="shared" si="41"/>
        <v/>
      </c>
    </row>
    <row r="2569" spans="1:1">
      <c r="A2569" t="str">
        <f t="shared" si="41"/>
        <v/>
      </c>
    </row>
    <row r="2570" spans="1:1">
      <c r="A2570" t="str">
        <f t="shared" si="41"/>
        <v/>
      </c>
    </row>
    <row r="2571" spans="1:1">
      <c r="A2571" t="str">
        <f t="shared" si="41"/>
        <v/>
      </c>
    </row>
    <row r="2572" spans="1:1">
      <c r="A2572" t="str">
        <f t="shared" si="41"/>
        <v/>
      </c>
    </row>
    <row r="2573" spans="1:1">
      <c r="A2573" t="str">
        <f t="shared" si="41"/>
        <v/>
      </c>
    </row>
    <row r="2574" spans="1:1">
      <c r="A2574" t="str">
        <f t="shared" si="41"/>
        <v/>
      </c>
    </row>
    <row r="2575" spans="1:1">
      <c r="A2575" t="str">
        <f t="shared" si="41"/>
        <v/>
      </c>
    </row>
    <row r="2576" spans="1:1">
      <c r="A2576" t="str">
        <f t="shared" si="41"/>
        <v/>
      </c>
    </row>
    <row r="2577" spans="1:1">
      <c r="A2577" t="str">
        <f t="shared" si="41"/>
        <v/>
      </c>
    </row>
    <row r="2578" spans="1:1">
      <c r="A2578" t="str">
        <f t="shared" si="41"/>
        <v/>
      </c>
    </row>
    <row r="2579" spans="1:1">
      <c r="A2579" t="str">
        <f t="shared" si="41"/>
        <v/>
      </c>
    </row>
    <row r="2580" spans="1:1">
      <c r="A2580" t="str">
        <f t="shared" si="41"/>
        <v/>
      </c>
    </row>
    <row r="2581" spans="1:1">
      <c r="A2581" t="str">
        <f t="shared" si="41"/>
        <v/>
      </c>
    </row>
    <row r="2582" spans="1:1">
      <c r="A2582" t="str">
        <f t="shared" si="41"/>
        <v/>
      </c>
    </row>
    <row r="2583" spans="1:1">
      <c r="A2583" t="str">
        <f t="shared" si="41"/>
        <v/>
      </c>
    </row>
    <row r="2584" spans="1:1">
      <c r="A2584" t="str">
        <f t="shared" si="41"/>
        <v/>
      </c>
    </row>
    <row r="2585" spans="1:1">
      <c r="A2585" t="str">
        <f t="shared" si="41"/>
        <v/>
      </c>
    </row>
    <row r="2586" spans="1:1">
      <c r="A2586" t="str">
        <f t="shared" si="41"/>
        <v/>
      </c>
    </row>
    <row r="2587" spans="1:1">
      <c r="A2587" t="str">
        <f t="shared" si="41"/>
        <v/>
      </c>
    </row>
    <row r="2588" spans="1:1">
      <c r="A2588" t="str">
        <f t="shared" si="41"/>
        <v/>
      </c>
    </row>
    <row r="2589" spans="1:1">
      <c r="A2589" t="str">
        <f t="shared" si="41"/>
        <v/>
      </c>
    </row>
    <row r="2590" spans="1:1">
      <c r="A2590" t="str">
        <f t="shared" si="41"/>
        <v/>
      </c>
    </row>
    <row r="2591" spans="1:1">
      <c r="A2591" t="str">
        <f t="shared" si="41"/>
        <v/>
      </c>
    </row>
    <row r="2592" spans="1:1">
      <c r="A2592" t="str">
        <f t="shared" si="41"/>
        <v/>
      </c>
    </row>
    <row r="2593" spans="1:1">
      <c r="A2593" t="str">
        <f t="shared" si="41"/>
        <v/>
      </c>
    </row>
    <row r="2594" spans="1:1">
      <c r="A2594" t="str">
        <f t="shared" si="41"/>
        <v/>
      </c>
    </row>
    <row r="2595" spans="1:1">
      <c r="A2595" t="str">
        <f t="shared" si="41"/>
        <v/>
      </c>
    </row>
    <row r="2596" spans="1:1">
      <c r="A2596" t="str">
        <f t="shared" si="41"/>
        <v/>
      </c>
    </row>
    <row r="2597" spans="1:1">
      <c r="A2597" t="str">
        <f t="shared" si="41"/>
        <v/>
      </c>
    </row>
    <row r="2598" spans="1:1">
      <c r="A2598" t="str">
        <f t="shared" si="41"/>
        <v/>
      </c>
    </row>
    <row r="2599" spans="1:1">
      <c r="A2599" t="str">
        <f t="shared" si="41"/>
        <v/>
      </c>
    </row>
    <row r="2600" spans="1:1">
      <c r="A2600" t="str">
        <f t="shared" si="41"/>
        <v/>
      </c>
    </row>
    <row r="2601" spans="1:1">
      <c r="A2601" t="str">
        <f t="shared" si="41"/>
        <v/>
      </c>
    </row>
    <row r="2602" spans="1:1">
      <c r="A2602" t="str">
        <f t="shared" si="41"/>
        <v/>
      </c>
    </row>
    <row r="2603" spans="1:1">
      <c r="A2603" t="str">
        <f t="shared" si="41"/>
        <v/>
      </c>
    </row>
    <row r="2604" spans="1:1">
      <c r="A2604" t="str">
        <f t="shared" si="41"/>
        <v/>
      </c>
    </row>
    <row r="2605" spans="1:1">
      <c r="A2605" t="str">
        <f t="shared" si="41"/>
        <v/>
      </c>
    </row>
    <row r="2606" spans="1:1">
      <c r="A2606" t="str">
        <f t="shared" si="41"/>
        <v/>
      </c>
    </row>
    <row r="2607" spans="1:1">
      <c r="A2607" t="str">
        <f t="shared" si="41"/>
        <v/>
      </c>
    </row>
    <row r="2608" spans="1:1">
      <c r="A2608" t="str">
        <f t="shared" si="41"/>
        <v/>
      </c>
    </row>
    <row r="2609" spans="1:1">
      <c r="A2609" t="str">
        <f t="shared" si="41"/>
        <v/>
      </c>
    </row>
    <row r="2610" spans="1:1">
      <c r="A2610" t="str">
        <f t="shared" si="41"/>
        <v/>
      </c>
    </row>
    <row r="2611" spans="1:1">
      <c r="A2611" t="str">
        <f t="shared" si="41"/>
        <v/>
      </c>
    </row>
    <row r="2612" spans="1:1">
      <c r="A2612" t="str">
        <f t="shared" si="41"/>
        <v/>
      </c>
    </row>
    <row r="2613" spans="1:1">
      <c r="A2613" t="str">
        <f t="shared" si="41"/>
        <v/>
      </c>
    </row>
    <row r="2614" spans="1:1">
      <c r="A2614" t="str">
        <f t="shared" si="41"/>
        <v/>
      </c>
    </row>
    <row r="2615" spans="1:1">
      <c r="A2615" t="str">
        <f t="shared" si="41"/>
        <v/>
      </c>
    </row>
    <row r="2616" spans="1:1">
      <c r="A2616" t="str">
        <f t="shared" si="41"/>
        <v/>
      </c>
    </row>
    <row r="2617" spans="1:1">
      <c r="A2617" t="str">
        <f t="shared" si="41"/>
        <v/>
      </c>
    </row>
    <row r="2618" spans="1:1">
      <c r="A2618" t="str">
        <f t="shared" si="41"/>
        <v/>
      </c>
    </row>
    <row r="2619" spans="1:1">
      <c r="A2619" t="str">
        <f t="shared" si="41"/>
        <v/>
      </c>
    </row>
    <row r="2620" spans="1:1">
      <c r="A2620" t="str">
        <f t="shared" si="41"/>
        <v/>
      </c>
    </row>
    <row r="2621" spans="1:1">
      <c r="A2621" t="str">
        <f t="shared" si="41"/>
        <v/>
      </c>
    </row>
    <row r="2622" spans="1:1">
      <c r="A2622" t="str">
        <f t="shared" si="41"/>
        <v/>
      </c>
    </row>
    <row r="2623" spans="1:1">
      <c r="A2623" t="str">
        <f t="shared" si="41"/>
        <v/>
      </c>
    </row>
    <row r="2624" spans="1:1">
      <c r="A2624" t="str">
        <f t="shared" si="41"/>
        <v/>
      </c>
    </row>
    <row r="2625" spans="1:1">
      <c r="A2625" t="str">
        <f t="shared" si="41"/>
        <v/>
      </c>
    </row>
    <row r="2626" spans="1:1">
      <c r="A2626" t="str">
        <f t="shared" si="41"/>
        <v/>
      </c>
    </row>
    <row r="2627" spans="1:1">
      <c r="A2627" t="str">
        <f t="shared" si="41"/>
        <v/>
      </c>
    </row>
    <row r="2628" spans="1:1">
      <c r="A2628" t="str">
        <f t="shared" si="41"/>
        <v/>
      </c>
    </row>
    <row r="2629" spans="1:1">
      <c r="A2629" t="str">
        <f t="shared" si="41"/>
        <v/>
      </c>
    </row>
    <row r="2630" spans="1:1">
      <c r="A2630" t="str">
        <f t="shared" si="41"/>
        <v/>
      </c>
    </row>
    <row r="2631" spans="1:1">
      <c r="A2631" t="str">
        <f t="shared" ref="A2631:A2694" si="42">G2631&amp;H2631&amp;I2631&amp;F2631</f>
        <v/>
      </c>
    </row>
    <row r="2632" spans="1:1">
      <c r="A2632" t="str">
        <f t="shared" si="42"/>
        <v/>
      </c>
    </row>
    <row r="2633" spans="1:1">
      <c r="A2633" t="str">
        <f t="shared" si="42"/>
        <v/>
      </c>
    </row>
    <row r="2634" spans="1:1">
      <c r="A2634" t="str">
        <f t="shared" si="42"/>
        <v/>
      </c>
    </row>
    <row r="2635" spans="1:1">
      <c r="A2635" t="str">
        <f t="shared" si="42"/>
        <v/>
      </c>
    </row>
    <row r="2636" spans="1:1">
      <c r="A2636" t="str">
        <f t="shared" si="42"/>
        <v/>
      </c>
    </row>
    <row r="2637" spans="1:1">
      <c r="A2637" t="str">
        <f t="shared" si="42"/>
        <v/>
      </c>
    </row>
    <row r="2638" spans="1:1">
      <c r="A2638" t="str">
        <f t="shared" si="42"/>
        <v/>
      </c>
    </row>
    <row r="2639" spans="1:1">
      <c r="A2639" t="str">
        <f t="shared" si="42"/>
        <v/>
      </c>
    </row>
    <row r="2640" spans="1:1">
      <c r="A2640" t="str">
        <f t="shared" si="42"/>
        <v/>
      </c>
    </row>
    <row r="2641" spans="1:1">
      <c r="A2641" t="str">
        <f t="shared" si="42"/>
        <v/>
      </c>
    </row>
    <row r="2642" spans="1:1">
      <c r="A2642" t="str">
        <f t="shared" si="42"/>
        <v/>
      </c>
    </row>
    <row r="2643" spans="1:1">
      <c r="A2643" t="str">
        <f t="shared" si="42"/>
        <v/>
      </c>
    </row>
    <row r="2644" spans="1:1">
      <c r="A2644" t="str">
        <f t="shared" si="42"/>
        <v/>
      </c>
    </row>
    <row r="2645" spans="1:1">
      <c r="A2645" t="str">
        <f t="shared" si="42"/>
        <v/>
      </c>
    </row>
    <row r="2646" spans="1:1">
      <c r="A2646" t="str">
        <f t="shared" si="42"/>
        <v/>
      </c>
    </row>
    <row r="2647" spans="1:1">
      <c r="A2647" t="str">
        <f t="shared" si="42"/>
        <v/>
      </c>
    </row>
    <row r="2648" spans="1:1">
      <c r="A2648" t="str">
        <f t="shared" si="42"/>
        <v/>
      </c>
    </row>
    <row r="2649" spans="1:1">
      <c r="A2649" t="str">
        <f t="shared" si="42"/>
        <v/>
      </c>
    </row>
    <row r="2650" spans="1:1">
      <c r="A2650" t="str">
        <f t="shared" si="42"/>
        <v/>
      </c>
    </row>
    <row r="2651" spans="1:1">
      <c r="A2651" t="str">
        <f t="shared" si="42"/>
        <v/>
      </c>
    </row>
    <row r="2652" spans="1:1">
      <c r="A2652" t="str">
        <f t="shared" si="42"/>
        <v/>
      </c>
    </row>
    <row r="2653" spans="1:1">
      <c r="A2653" t="str">
        <f t="shared" si="42"/>
        <v/>
      </c>
    </row>
    <row r="2654" spans="1:1">
      <c r="A2654" t="str">
        <f t="shared" si="42"/>
        <v/>
      </c>
    </row>
    <row r="2655" spans="1:1">
      <c r="A2655" t="str">
        <f t="shared" si="42"/>
        <v/>
      </c>
    </row>
    <row r="2656" spans="1:1">
      <c r="A2656" t="str">
        <f t="shared" si="42"/>
        <v/>
      </c>
    </row>
    <row r="2657" spans="1:1">
      <c r="A2657" t="str">
        <f t="shared" si="42"/>
        <v/>
      </c>
    </row>
    <row r="2658" spans="1:1">
      <c r="A2658" t="str">
        <f t="shared" si="42"/>
        <v/>
      </c>
    </row>
    <row r="2659" spans="1:1">
      <c r="A2659" t="str">
        <f t="shared" si="42"/>
        <v/>
      </c>
    </row>
    <row r="2660" spans="1:1">
      <c r="A2660" t="str">
        <f t="shared" si="42"/>
        <v/>
      </c>
    </row>
    <row r="2661" spans="1:1">
      <c r="A2661" t="str">
        <f t="shared" si="42"/>
        <v/>
      </c>
    </row>
    <row r="2662" spans="1:1">
      <c r="A2662" t="str">
        <f t="shared" si="42"/>
        <v/>
      </c>
    </row>
    <row r="2663" spans="1:1">
      <c r="A2663" t="str">
        <f t="shared" si="42"/>
        <v/>
      </c>
    </row>
    <row r="2664" spans="1:1">
      <c r="A2664" t="str">
        <f t="shared" si="42"/>
        <v/>
      </c>
    </row>
    <row r="2665" spans="1:1">
      <c r="A2665" t="str">
        <f t="shared" si="42"/>
        <v/>
      </c>
    </row>
    <row r="2666" spans="1:1">
      <c r="A2666" t="str">
        <f t="shared" si="42"/>
        <v/>
      </c>
    </row>
    <row r="2667" spans="1:1">
      <c r="A2667" t="str">
        <f t="shared" si="42"/>
        <v/>
      </c>
    </row>
    <row r="2668" spans="1:1">
      <c r="A2668" t="str">
        <f t="shared" si="42"/>
        <v/>
      </c>
    </row>
    <row r="2669" spans="1:1">
      <c r="A2669" t="str">
        <f t="shared" si="42"/>
        <v/>
      </c>
    </row>
    <row r="2670" spans="1:1">
      <c r="A2670" t="str">
        <f t="shared" si="42"/>
        <v/>
      </c>
    </row>
    <row r="2671" spans="1:1">
      <c r="A2671" t="str">
        <f t="shared" si="42"/>
        <v/>
      </c>
    </row>
    <row r="2672" spans="1:1">
      <c r="A2672" t="str">
        <f t="shared" si="42"/>
        <v/>
      </c>
    </row>
    <row r="2673" spans="1:1">
      <c r="A2673" t="str">
        <f t="shared" si="42"/>
        <v/>
      </c>
    </row>
    <row r="2674" spans="1:1">
      <c r="A2674" t="str">
        <f t="shared" si="42"/>
        <v/>
      </c>
    </row>
    <row r="2675" spans="1:1">
      <c r="A2675" t="str">
        <f t="shared" si="42"/>
        <v/>
      </c>
    </row>
    <row r="2676" spans="1:1">
      <c r="A2676" t="str">
        <f t="shared" si="42"/>
        <v/>
      </c>
    </row>
    <row r="2677" spans="1:1">
      <c r="A2677" t="str">
        <f t="shared" si="42"/>
        <v/>
      </c>
    </row>
    <row r="2678" spans="1:1">
      <c r="A2678" t="str">
        <f t="shared" si="42"/>
        <v/>
      </c>
    </row>
    <row r="2679" spans="1:1">
      <c r="A2679" t="str">
        <f t="shared" si="42"/>
        <v/>
      </c>
    </row>
    <row r="2680" spans="1:1">
      <c r="A2680" t="str">
        <f t="shared" si="42"/>
        <v/>
      </c>
    </row>
    <row r="2681" spans="1:1">
      <c r="A2681" t="str">
        <f t="shared" si="42"/>
        <v/>
      </c>
    </row>
    <row r="2682" spans="1:1">
      <c r="A2682" t="str">
        <f t="shared" si="42"/>
        <v/>
      </c>
    </row>
    <row r="2683" spans="1:1">
      <c r="A2683" t="str">
        <f t="shared" si="42"/>
        <v/>
      </c>
    </row>
    <row r="2684" spans="1:1">
      <c r="A2684" t="str">
        <f t="shared" si="42"/>
        <v/>
      </c>
    </row>
    <row r="2685" spans="1:1">
      <c r="A2685" t="str">
        <f t="shared" si="42"/>
        <v/>
      </c>
    </row>
    <row r="2686" spans="1:1">
      <c r="A2686" t="str">
        <f t="shared" si="42"/>
        <v/>
      </c>
    </row>
    <row r="2687" spans="1:1">
      <c r="A2687" t="str">
        <f t="shared" si="42"/>
        <v/>
      </c>
    </row>
    <row r="2688" spans="1:1">
      <c r="A2688" t="str">
        <f t="shared" si="42"/>
        <v/>
      </c>
    </row>
    <row r="2689" spans="1:1">
      <c r="A2689" t="str">
        <f t="shared" si="42"/>
        <v/>
      </c>
    </row>
    <row r="2690" spans="1:1">
      <c r="A2690" t="str">
        <f t="shared" si="42"/>
        <v/>
      </c>
    </row>
    <row r="2691" spans="1:1">
      <c r="A2691" t="str">
        <f t="shared" si="42"/>
        <v/>
      </c>
    </row>
    <row r="2692" spans="1:1">
      <c r="A2692" t="str">
        <f t="shared" si="42"/>
        <v/>
      </c>
    </row>
    <row r="2693" spans="1:1">
      <c r="A2693" t="str">
        <f t="shared" si="42"/>
        <v/>
      </c>
    </row>
    <row r="2694" spans="1:1">
      <c r="A2694" t="str">
        <f t="shared" si="42"/>
        <v/>
      </c>
    </row>
    <row r="2695" spans="1:1">
      <c r="A2695" t="str">
        <f t="shared" ref="A2695:A2758" si="43">G2695&amp;H2695&amp;I2695&amp;F2695</f>
        <v/>
      </c>
    </row>
    <row r="2696" spans="1:1">
      <c r="A2696" t="str">
        <f t="shared" si="43"/>
        <v/>
      </c>
    </row>
    <row r="2697" spans="1:1">
      <c r="A2697" t="str">
        <f t="shared" si="43"/>
        <v/>
      </c>
    </row>
    <row r="2698" spans="1:1">
      <c r="A2698" t="str">
        <f t="shared" si="43"/>
        <v/>
      </c>
    </row>
    <row r="2699" spans="1:1">
      <c r="A2699" t="str">
        <f t="shared" si="43"/>
        <v/>
      </c>
    </row>
    <row r="2700" spans="1:1">
      <c r="A2700" t="str">
        <f t="shared" si="43"/>
        <v/>
      </c>
    </row>
    <row r="2701" spans="1:1">
      <c r="A2701" t="str">
        <f t="shared" si="43"/>
        <v/>
      </c>
    </row>
    <row r="2702" spans="1:1">
      <c r="A2702" t="str">
        <f t="shared" si="43"/>
        <v/>
      </c>
    </row>
    <row r="2703" spans="1:1">
      <c r="A2703" t="str">
        <f t="shared" si="43"/>
        <v/>
      </c>
    </row>
    <row r="2704" spans="1:1">
      <c r="A2704" t="str">
        <f t="shared" si="43"/>
        <v/>
      </c>
    </row>
    <row r="2705" spans="1:1">
      <c r="A2705" t="str">
        <f t="shared" si="43"/>
        <v/>
      </c>
    </row>
    <row r="2706" spans="1:1">
      <c r="A2706" t="str">
        <f t="shared" si="43"/>
        <v/>
      </c>
    </row>
    <row r="2707" spans="1:1">
      <c r="A2707" t="str">
        <f t="shared" si="43"/>
        <v/>
      </c>
    </row>
    <row r="2708" spans="1:1">
      <c r="A2708" t="str">
        <f t="shared" si="43"/>
        <v/>
      </c>
    </row>
    <row r="2709" spans="1:1">
      <c r="A2709" t="str">
        <f t="shared" si="43"/>
        <v/>
      </c>
    </row>
    <row r="2710" spans="1:1">
      <c r="A2710" t="str">
        <f t="shared" si="43"/>
        <v/>
      </c>
    </row>
    <row r="2711" spans="1:1">
      <c r="A2711" t="str">
        <f t="shared" si="43"/>
        <v/>
      </c>
    </row>
    <row r="2712" spans="1:1">
      <c r="A2712" t="str">
        <f t="shared" si="43"/>
        <v/>
      </c>
    </row>
    <row r="2713" spans="1:1">
      <c r="A2713" t="str">
        <f t="shared" si="43"/>
        <v/>
      </c>
    </row>
    <row r="2714" spans="1:1">
      <c r="A2714" t="str">
        <f t="shared" si="43"/>
        <v/>
      </c>
    </row>
    <row r="2715" spans="1:1">
      <c r="A2715" t="str">
        <f t="shared" si="43"/>
        <v/>
      </c>
    </row>
    <row r="2716" spans="1:1">
      <c r="A2716" t="str">
        <f t="shared" si="43"/>
        <v/>
      </c>
    </row>
    <row r="2717" spans="1:1">
      <c r="A2717" t="str">
        <f t="shared" si="43"/>
        <v/>
      </c>
    </row>
    <row r="2718" spans="1:1">
      <c r="A2718" t="str">
        <f t="shared" si="43"/>
        <v/>
      </c>
    </row>
    <row r="2719" spans="1:1">
      <c r="A2719" t="str">
        <f t="shared" si="43"/>
        <v/>
      </c>
    </row>
    <row r="2720" spans="1:1">
      <c r="A2720" t="str">
        <f t="shared" si="43"/>
        <v/>
      </c>
    </row>
    <row r="2721" spans="1:1">
      <c r="A2721" t="str">
        <f t="shared" si="43"/>
        <v/>
      </c>
    </row>
    <row r="2722" spans="1:1">
      <c r="A2722" t="str">
        <f t="shared" si="43"/>
        <v/>
      </c>
    </row>
    <row r="2723" spans="1:1">
      <c r="A2723" t="str">
        <f t="shared" si="43"/>
        <v/>
      </c>
    </row>
    <row r="2724" spans="1:1">
      <c r="A2724" t="str">
        <f t="shared" si="43"/>
        <v/>
      </c>
    </row>
    <row r="2725" spans="1:1">
      <c r="A2725" t="str">
        <f t="shared" si="43"/>
        <v/>
      </c>
    </row>
    <row r="2726" spans="1:1">
      <c r="A2726" t="str">
        <f t="shared" si="43"/>
        <v/>
      </c>
    </row>
    <row r="2727" spans="1:1">
      <c r="A2727" t="str">
        <f t="shared" si="43"/>
        <v/>
      </c>
    </row>
    <row r="2728" spans="1:1">
      <c r="A2728" t="str">
        <f t="shared" si="43"/>
        <v/>
      </c>
    </row>
    <row r="2729" spans="1:1">
      <c r="A2729" t="str">
        <f t="shared" si="43"/>
        <v/>
      </c>
    </row>
    <row r="2730" spans="1:1">
      <c r="A2730" t="str">
        <f t="shared" si="43"/>
        <v/>
      </c>
    </row>
    <row r="2731" spans="1:1">
      <c r="A2731" t="str">
        <f t="shared" si="43"/>
        <v/>
      </c>
    </row>
    <row r="2732" spans="1:1">
      <c r="A2732" t="str">
        <f t="shared" si="43"/>
        <v/>
      </c>
    </row>
    <row r="2733" spans="1:1">
      <c r="A2733" t="str">
        <f t="shared" si="43"/>
        <v/>
      </c>
    </row>
    <row r="2734" spans="1:1">
      <c r="A2734" t="str">
        <f t="shared" si="43"/>
        <v/>
      </c>
    </row>
    <row r="2735" spans="1:1">
      <c r="A2735" t="str">
        <f t="shared" si="43"/>
        <v/>
      </c>
    </row>
    <row r="2736" spans="1:1">
      <c r="A2736" t="str">
        <f t="shared" si="43"/>
        <v/>
      </c>
    </row>
    <row r="2737" spans="1:1">
      <c r="A2737" t="str">
        <f t="shared" si="43"/>
        <v/>
      </c>
    </row>
    <row r="2738" spans="1:1">
      <c r="A2738" t="str">
        <f t="shared" si="43"/>
        <v/>
      </c>
    </row>
    <row r="2739" spans="1:1">
      <c r="A2739" t="str">
        <f t="shared" si="43"/>
        <v/>
      </c>
    </row>
    <row r="2740" spans="1:1">
      <c r="A2740" t="str">
        <f t="shared" si="43"/>
        <v/>
      </c>
    </row>
    <row r="2741" spans="1:1">
      <c r="A2741" t="str">
        <f t="shared" si="43"/>
        <v/>
      </c>
    </row>
    <row r="2742" spans="1:1">
      <c r="A2742" t="str">
        <f t="shared" si="43"/>
        <v/>
      </c>
    </row>
    <row r="2743" spans="1:1">
      <c r="A2743" t="str">
        <f t="shared" si="43"/>
        <v/>
      </c>
    </row>
    <row r="2744" spans="1:1">
      <c r="A2744" t="str">
        <f t="shared" si="43"/>
        <v/>
      </c>
    </row>
    <row r="2745" spans="1:1">
      <c r="A2745" t="str">
        <f t="shared" si="43"/>
        <v/>
      </c>
    </row>
    <row r="2746" spans="1:1">
      <c r="A2746" t="str">
        <f t="shared" si="43"/>
        <v/>
      </c>
    </row>
    <row r="2747" spans="1:1">
      <c r="A2747" t="str">
        <f t="shared" si="43"/>
        <v/>
      </c>
    </row>
    <row r="2748" spans="1:1">
      <c r="A2748" t="str">
        <f t="shared" si="43"/>
        <v/>
      </c>
    </row>
    <row r="2749" spans="1:1">
      <c r="A2749" t="str">
        <f t="shared" si="43"/>
        <v/>
      </c>
    </row>
    <row r="2750" spans="1:1">
      <c r="A2750" t="str">
        <f t="shared" si="43"/>
        <v/>
      </c>
    </row>
    <row r="2751" spans="1:1">
      <c r="A2751" t="str">
        <f t="shared" si="43"/>
        <v/>
      </c>
    </row>
    <row r="2752" spans="1:1">
      <c r="A2752" t="str">
        <f t="shared" si="43"/>
        <v/>
      </c>
    </row>
    <row r="2753" spans="1:1">
      <c r="A2753" t="str">
        <f t="shared" si="43"/>
        <v/>
      </c>
    </row>
    <row r="2754" spans="1:1">
      <c r="A2754" t="str">
        <f t="shared" si="43"/>
        <v/>
      </c>
    </row>
    <row r="2755" spans="1:1">
      <c r="A2755" t="str">
        <f t="shared" si="43"/>
        <v/>
      </c>
    </row>
    <row r="2756" spans="1:1">
      <c r="A2756" t="str">
        <f t="shared" si="43"/>
        <v/>
      </c>
    </row>
    <row r="2757" spans="1:1">
      <c r="A2757" t="str">
        <f t="shared" si="43"/>
        <v/>
      </c>
    </row>
    <row r="2758" spans="1:1">
      <c r="A2758" t="str">
        <f t="shared" si="43"/>
        <v/>
      </c>
    </row>
    <row r="2759" spans="1:1">
      <c r="A2759" t="str">
        <f t="shared" ref="A2759:A2822" si="44">G2759&amp;H2759&amp;I2759&amp;F2759</f>
        <v/>
      </c>
    </row>
    <row r="2760" spans="1:1">
      <c r="A2760" t="str">
        <f t="shared" si="44"/>
        <v/>
      </c>
    </row>
    <row r="2761" spans="1:1">
      <c r="A2761" t="str">
        <f t="shared" si="44"/>
        <v/>
      </c>
    </row>
    <row r="2762" spans="1:1">
      <c r="A2762" t="str">
        <f t="shared" si="44"/>
        <v/>
      </c>
    </row>
    <row r="2763" spans="1:1">
      <c r="A2763" t="str">
        <f t="shared" si="44"/>
        <v/>
      </c>
    </row>
    <row r="2764" spans="1:1">
      <c r="A2764" t="str">
        <f t="shared" si="44"/>
        <v/>
      </c>
    </row>
    <row r="2765" spans="1:1">
      <c r="A2765" t="str">
        <f t="shared" si="44"/>
        <v/>
      </c>
    </row>
    <row r="2766" spans="1:1">
      <c r="A2766" t="str">
        <f t="shared" si="44"/>
        <v/>
      </c>
    </row>
    <row r="2767" spans="1:1">
      <c r="A2767" t="str">
        <f t="shared" si="44"/>
        <v/>
      </c>
    </row>
    <row r="2768" spans="1:1">
      <c r="A2768" t="str">
        <f t="shared" si="44"/>
        <v/>
      </c>
    </row>
    <row r="2769" spans="1:1">
      <c r="A2769" t="str">
        <f t="shared" si="44"/>
        <v/>
      </c>
    </row>
    <row r="2770" spans="1:1">
      <c r="A2770" t="str">
        <f t="shared" si="44"/>
        <v/>
      </c>
    </row>
    <row r="2771" spans="1:1">
      <c r="A2771" t="str">
        <f t="shared" si="44"/>
        <v/>
      </c>
    </row>
    <row r="2772" spans="1:1">
      <c r="A2772" t="str">
        <f t="shared" si="44"/>
        <v/>
      </c>
    </row>
    <row r="2773" spans="1:1">
      <c r="A2773" t="str">
        <f t="shared" si="44"/>
        <v/>
      </c>
    </row>
    <row r="2774" spans="1:1">
      <c r="A2774" t="str">
        <f t="shared" si="44"/>
        <v/>
      </c>
    </row>
    <row r="2775" spans="1:1">
      <c r="A2775" t="str">
        <f t="shared" si="44"/>
        <v/>
      </c>
    </row>
    <row r="2776" spans="1:1">
      <c r="A2776" t="str">
        <f t="shared" si="44"/>
        <v/>
      </c>
    </row>
    <row r="2777" spans="1:1">
      <c r="A2777" t="str">
        <f t="shared" si="44"/>
        <v/>
      </c>
    </row>
    <row r="2778" spans="1:1">
      <c r="A2778" t="str">
        <f t="shared" si="44"/>
        <v/>
      </c>
    </row>
    <row r="2779" spans="1:1">
      <c r="A2779" t="str">
        <f t="shared" si="44"/>
        <v/>
      </c>
    </row>
    <row r="2780" spans="1:1">
      <c r="A2780" t="str">
        <f t="shared" si="44"/>
        <v/>
      </c>
    </row>
    <row r="2781" spans="1:1">
      <c r="A2781" t="str">
        <f t="shared" si="44"/>
        <v/>
      </c>
    </row>
    <row r="2782" spans="1:1">
      <c r="A2782" t="str">
        <f t="shared" si="44"/>
        <v/>
      </c>
    </row>
    <row r="2783" spans="1:1">
      <c r="A2783" t="str">
        <f t="shared" si="44"/>
        <v/>
      </c>
    </row>
    <row r="2784" spans="1:1">
      <c r="A2784" t="str">
        <f t="shared" si="44"/>
        <v/>
      </c>
    </row>
    <row r="2785" spans="1:1">
      <c r="A2785" t="str">
        <f t="shared" si="44"/>
        <v/>
      </c>
    </row>
    <row r="2786" spans="1:1">
      <c r="A2786" t="str">
        <f t="shared" si="44"/>
        <v/>
      </c>
    </row>
    <row r="2787" spans="1:1">
      <c r="A2787" t="str">
        <f t="shared" si="44"/>
        <v/>
      </c>
    </row>
    <row r="2788" spans="1:1">
      <c r="A2788" t="str">
        <f t="shared" si="44"/>
        <v/>
      </c>
    </row>
    <row r="2789" spans="1:1">
      <c r="A2789" t="str">
        <f t="shared" si="44"/>
        <v/>
      </c>
    </row>
    <row r="2790" spans="1:1">
      <c r="A2790" t="str">
        <f t="shared" si="44"/>
        <v/>
      </c>
    </row>
    <row r="2791" spans="1:1">
      <c r="A2791" t="str">
        <f t="shared" si="44"/>
        <v/>
      </c>
    </row>
    <row r="2792" spans="1:1">
      <c r="A2792" t="str">
        <f t="shared" si="44"/>
        <v/>
      </c>
    </row>
    <row r="2793" spans="1:1">
      <c r="A2793" t="str">
        <f t="shared" si="44"/>
        <v/>
      </c>
    </row>
    <row r="2794" spans="1:1">
      <c r="A2794" t="str">
        <f t="shared" si="44"/>
        <v/>
      </c>
    </row>
    <row r="2795" spans="1:1">
      <c r="A2795" t="str">
        <f t="shared" si="44"/>
        <v/>
      </c>
    </row>
    <row r="2796" spans="1:1">
      <c r="A2796" t="str">
        <f t="shared" si="44"/>
        <v/>
      </c>
    </row>
    <row r="2797" spans="1:1">
      <c r="A2797" t="str">
        <f t="shared" si="44"/>
        <v/>
      </c>
    </row>
    <row r="2798" spans="1:1">
      <c r="A2798" t="str">
        <f t="shared" si="44"/>
        <v/>
      </c>
    </row>
    <row r="2799" spans="1:1">
      <c r="A2799" t="str">
        <f t="shared" si="44"/>
        <v/>
      </c>
    </row>
    <row r="2800" spans="1:1">
      <c r="A2800" t="str">
        <f t="shared" si="44"/>
        <v/>
      </c>
    </row>
    <row r="2801" spans="1:1">
      <c r="A2801" t="str">
        <f t="shared" si="44"/>
        <v/>
      </c>
    </row>
    <row r="2802" spans="1:1">
      <c r="A2802" t="str">
        <f t="shared" si="44"/>
        <v/>
      </c>
    </row>
    <row r="2803" spans="1:1">
      <c r="A2803" t="str">
        <f t="shared" si="44"/>
        <v/>
      </c>
    </row>
    <row r="2804" spans="1:1">
      <c r="A2804" t="str">
        <f t="shared" si="44"/>
        <v/>
      </c>
    </row>
    <row r="2805" spans="1:1">
      <c r="A2805" t="str">
        <f t="shared" si="44"/>
        <v/>
      </c>
    </row>
    <row r="2806" spans="1:1">
      <c r="A2806" t="str">
        <f t="shared" si="44"/>
        <v/>
      </c>
    </row>
    <row r="2807" spans="1:1">
      <c r="A2807" t="str">
        <f t="shared" si="44"/>
        <v/>
      </c>
    </row>
    <row r="2808" spans="1:1">
      <c r="A2808" t="str">
        <f t="shared" si="44"/>
        <v/>
      </c>
    </row>
    <row r="2809" spans="1:1">
      <c r="A2809" t="str">
        <f t="shared" si="44"/>
        <v/>
      </c>
    </row>
    <row r="2810" spans="1:1">
      <c r="A2810" t="str">
        <f t="shared" si="44"/>
        <v/>
      </c>
    </row>
    <row r="2811" spans="1:1">
      <c r="A2811" t="str">
        <f t="shared" si="44"/>
        <v/>
      </c>
    </row>
    <row r="2812" spans="1:1">
      <c r="A2812" t="str">
        <f t="shared" si="44"/>
        <v/>
      </c>
    </row>
    <row r="2813" spans="1:1">
      <c r="A2813" t="str">
        <f t="shared" si="44"/>
        <v/>
      </c>
    </row>
    <row r="2814" spans="1:1">
      <c r="A2814" t="str">
        <f t="shared" si="44"/>
        <v/>
      </c>
    </row>
    <row r="2815" spans="1:1">
      <c r="A2815" t="str">
        <f t="shared" si="44"/>
        <v/>
      </c>
    </row>
    <row r="2816" spans="1:1">
      <c r="A2816" t="str">
        <f t="shared" si="44"/>
        <v/>
      </c>
    </row>
    <row r="2817" spans="1:1">
      <c r="A2817" t="str">
        <f t="shared" si="44"/>
        <v/>
      </c>
    </row>
    <row r="2818" spans="1:1">
      <c r="A2818" t="str">
        <f t="shared" si="44"/>
        <v/>
      </c>
    </row>
    <row r="2819" spans="1:1">
      <c r="A2819" t="str">
        <f t="shared" si="44"/>
        <v/>
      </c>
    </row>
    <row r="2820" spans="1:1">
      <c r="A2820" t="str">
        <f t="shared" si="44"/>
        <v/>
      </c>
    </row>
    <row r="2821" spans="1:1">
      <c r="A2821" t="str">
        <f t="shared" si="44"/>
        <v/>
      </c>
    </row>
    <row r="2822" spans="1:1">
      <c r="A2822" t="str">
        <f t="shared" si="44"/>
        <v/>
      </c>
    </row>
    <row r="2823" spans="1:1">
      <c r="A2823" t="str">
        <f t="shared" ref="A2823:A2886" si="45">G2823&amp;H2823&amp;I2823&amp;F2823</f>
        <v/>
      </c>
    </row>
    <row r="2824" spans="1:1">
      <c r="A2824" t="str">
        <f t="shared" si="45"/>
        <v/>
      </c>
    </row>
    <row r="2825" spans="1:1">
      <c r="A2825" t="str">
        <f t="shared" si="45"/>
        <v/>
      </c>
    </row>
    <row r="2826" spans="1:1">
      <c r="A2826" t="str">
        <f t="shared" si="45"/>
        <v/>
      </c>
    </row>
    <row r="2827" spans="1:1">
      <c r="A2827" t="str">
        <f t="shared" si="45"/>
        <v/>
      </c>
    </row>
    <row r="2828" spans="1:1">
      <c r="A2828" t="str">
        <f t="shared" si="45"/>
        <v/>
      </c>
    </row>
    <row r="2829" spans="1:1">
      <c r="A2829" t="str">
        <f t="shared" si="45"/>
        <v/>
      </c>
    </row>
    <row r="2830" spans="1:1">
      <c r="A2830" t="str">
        <f t="shared" si="45"/>
        <v/>
      </c>
    </row>
    <row r="2831" spans="1:1">
      <c r="A2831" t="str">
        <f t="shared" si="45"/>
        <v/>
      </c>
    </row>
    <row r="2832" spans="1:1">
      <c r="A2832" t="str">
        <f t="shared" si="45"/>
        <v/>
      </c>
    </row>
    <row r="2833" spans="1:1">
      <c r="A2833" t="str">
        <f t="shared" si="45"/>
        <v/>
      </c>
    </row>
    <row r="2834" spans="1:1">
      <c r="A2834" t="str">
        <f t="shared" si="45"/>
        <v/>
      </c>
    </row>
    <row r="2835" spans="1:1">
      <c r="A2835" t="str">
        <f t="shared" si="45"/>
        <v/>
      </c>
    </row>
    <row r="2836" spans="1:1">
      <c r="A2836" t="str">
        <f t="shared" si="45"/>
        <v/>
      </c>
    </row>
    <row r="2837" spans="1:1">
      <c r="A2837" t="str">
        <f t="shared" si="45"/>
        <v/>
      </c>
    </row>
    <row r="2838" spans="1:1">
      <c r="A2838" t="str">
        <f t="shared" si="45"/>
        <v/>
      </c>
    </row>
    <row r="2839" spans="1:1">
      <c r="A2839" t="str">
        <f t="shared" si="45"/>
        <v/>
      </c>
    </row>
    <row r="2840" spans="1:1">
      <c r="A2840" t="str">
        <f t="shared" si="45"/>
        <v/>
      </c>
    </row>
    <row r="2841" spans="1:1">
      <c r="A2841" t="str">
        <f t="shared" si="45"/>
        <v/>
      </c>
    </row>
    <row r="2842" spans="1:1">
      <c r="A2842" t="str">
        <f t="shared" si="45"/>
        <v/>
      </c>
    </row>
    <row r="2843" spans="1:1">
      <c r="A2843" t="str">
        <f t="shared" si="45"/>
        <v/>
      </c>
    </row>
    <row r="2844" spans="1:1">
      <c r="A2844" t="str">
        <f t="shared" si="45"/>
        <v/>
      </c>
    </row>
    <row r="2845" spans="1:1">
      <c r="A2845" t="str">
        <f t="shared" si="45"/>
        <v/>
      </c>
    </row>
    <row r="2846" spans="1:1">
      <c r="A2846" t="str">
        <f t="shared" si="45"/>
        <v/>
      </c>
    </row>
    <row r="2847" spans="1:1">
      <c r="A2847" t="str">
        <f t="shared" si="45"/>
        <v/>
      </c>
    </row>
    <row r="2848" spans="1:1">
      <c r="A2848" t="str">
        <f t="shared" si="45"/>
        <v/>
      </c>
    </row>
    <row r="2849" spans="1:1">
      <c r="A2849" t="str">
        <f t="shared" si="45"/>
        <v/>
      </c>
    </row>
    <row r="2850" spans="1:1">
      <c r="A2850" t="str">
        <f t="shared" si="45"/>
        <v/>
      </c>
    </row>
    <row r="2851" spans="1:1">
      <c r="A2851" t="str">
        <f t="shared" si="45"/>
        <v/>
      </c>
    </row>
    <row r="2852" spans="1:1">
      <c r="A2852" t="str">
        <f t="shared" si="45"/>
        <v/>
      </c>
    </row>
    <row r="2853" spans="1:1">
      <c r="A2853" t="str">
        <f t="shared" si="45"/>
        <v/>
      </c>
    </row>
    <row r="2854" spans="1:1">
      <c r="A2854" t="str">
        <f t="shared" si="45"/>
        <v/>
      </c>
    </row>
    <row r="2855" spans="1:1">
      <c r="A2855" t="str">
        <f t="shared" si="45"/>
        <v/>
      </c>
    </row>
    <row r="2856" spans="1:1">
      <c r="A2856" t="str">
        <f t="shared" si="45"/>
        <v/>
      </c>
    </row>
    <row r="2857" spans="1:1">
      <c r="A2857" t="str">
        <f t="shared" si="45"/>
        <v/>
      </c>
    </row>
    <row r="2858" spans="1:1">
      <c r="A2858" t="str">
        <f t="shared" si="45"/>
        <v/>
      </c>
    </row>
    <row r="2859" spans="1:1">
      <c r="A2859" t="str">
        <f t="shared" si="45"/>
        <v/>
      </c>
    </row>
    <row r="2860" spans="1:1">
      <c r="A2860" t="str">
        <f t="shared" si="45"/>
        <v/>
      </c>
    </row>
    <row r="2861" spans="1:1">
      <c r="A2861" t="str">
        <f t="shared" si="45"/>
        <v/>
      </c>
    </row>
    <row r="2862" spans="1:1">
      <c r="A2862" t="str">
        <f t="shared" si="45"/>
        <v/>
      </c>
    </row>
    <row r="2863" spans="1:1">
      <c r="A2863" t="str">
        <f t="shared" si="45"/>
        <v/>
      </c>
    </row>
    <row r="2864" spans="1:1">
      <c r="A2864" t="str">
        <f t="shared" si="45"/>
        <v/>
      </c>
    </row>
    <row r="2865" spans="1:1">
      <c r="A2865" t="str">
        <f t="shared" si="45"/>
        <v/>
      </c>
    </row>
    <row r="2866" spans="1:1">
      <c r="A2866" t="str">
        <f t="shared" si="45"/>
        <v/>
      </c>
    </row>
    <row r="2867" spans="1:1">
      <c r="A2867" t="str">
        <f t="shared" si="45"/>
        <v/>
      </c>
    </row>
    <row r="2868" spans="1:1">
      <c r="A2868" t="str">
        <f t="shared" si="45"/>
        <v/>
      </c>
    </row>
    <row r="2869" spans="1:1">
      <c r="A2869" t="str">
        <f t="shared" si="45"/>
        <v/>
      </c>
    </row>
    <row r="2870" spans="1:1">
      <c r="A2870" t="str">
        <f t="shared" si="45"/>
        <v/>
      </c>
    </row>
    <row r="2871" spans="1:1">
      <c r="A2871" t="str">
        <f t="shared" si="45"/>
        <v/>
      </c>
    </row>
    <row r="2872" spans="1:1">
      <c r="A2872" t="str">
        <f t="shared" si="45"/>
        <v/>
      </c>
    </row>
    <row r="2873" spans="1:1">
      <c r="A2873" t="str">
        <f t="shared" si="45"/>
        <v/>
      </c>
    </row>
    <row r="2874" spans="1:1">
      <c r="A2874" t="str">
        <f t="shared" si="45"/>
        <v/>
      </c>
    </row>
    <row r="2875" spans="1:1">
      <c r="A2875" t="str">
        <f t="shared" si="45"/>
        <v/>
      </c>
    </row>
    <row r="2876" spans="1:1">
      <c r="A2876" t="str">
        <f t="shared" si="45"/>
        <v/>
      </c>
    </row>
    <row r="2877" spans="1:1">
      <c r="A2877" t="str">
        <f t="shared" si="45"/>
        <v/>
      </c>
    </row>
    <row r="2878" spans="1:1">
      <c r="A2878" t="str">
        <f t="shared" si="45"/>
        <v/>
      </c>
    </row>
    <row r="2879" spans="1:1">
      <c r="A2879" t="str">
        <f t="shared" si="45"/>
        <v/>
      </c>
    </row>
    <row r="2880" spans="1:1">
      <c r="A2880" t="str">
        <f t="shared" si="45"/>
        <v/>
      </c>
    </row>
    <row r="2881" spans="1:1">
      <c r="A2881" t="str">
        <f t="shared" si="45"/>
        <v/>
      </c>
    </row>
    <row r="2882" spans="1:1">
      <c r="A2882" t="str">
        <f t="shared" si="45"/>
        <v/>
      </c>
    </row>
    <row r="2883" spans="1:1">
      <c r="A2883" t="str">
        <f t="shared" si="45"/>
        <v/>
      </c>
    </row>
    <row r="2884" spans="1:1">
      <c r="A2884" t="str">
        <f t="shared" si="45"/>
        <v/>
      </c>
    </row>
    <row r="2885" spans="1:1">
      <c r="A2885" t="str">
        <f t="shared" si="45"/>
        <v/>
      </c>
    </row>
    <row r="2886" spans="1:1">
      <c r="A2886" t="str">
        <f t="shared" si="45"/>
        <v/>
      </c>
    </row>
    <row r="2887" spans="1:1">
      <c r="A2887" t="str">
        <f t="shared" ref="A2887:A2950" si="46">G2887&amp;H2887&amp;I2887&amp;F2887</f>
        <v/>
      </c>
    </row>
    <row r="2888" spans="1:1">
      <c r="A2888" t="str">
        <f t="shared" si="46"/>
        <v/>
      </c>
    </row>
    <row r="2889" spans="1:1">
      <c r="A2889" t="str">
        <f t="shared" si="46"/>
        <v/>
      </c>
    </row>
    <row r="2890" spans="1:1">
      <c r="A2890" t="str">
        <f t="shared" si="46"/>
        <v/>
      </c>
    </row>
    <row r="2891" spans="1:1">
      <c r="A2891" t="str">
        <f t="shared" si="46"/>
        <v/>
      </c>
    </row>
    <row r="2892" spans="1:1">
      <c r="A2892" t="str">
        <f t="shared" si="46"/>
        <v/>
      </c>
    </row>
    <row r="2893" spans="1:1">
      <c r="A2893" t="str">
        <f t="shared" si="46"/>
        <v/>
      </c>
    </row>
    <row r="2894" spans="1:1">
      <c r="A2894" t="str">
        <f t="shared" si="46"/>
        <v/>
      </c>
    </row>
    <row r="2895" spans="1:1">
      <c r="A2895" t="str">
        <f t="shared" si="46"/>
        <v/>
      </c>
    </row>
    <row r="2896" spans="1:1">
      <c r="A2896" t="str">
        <f t="shared" si="46"/>
        <v/>
      </c>
    </row>
    <row r="2897" spans="1:1">
      <c r="A2897" t="str">
        <f t="shared" si="46"/>
        <v/>
      </c>
    </row>
    <row r="2898" spans="1:1">
      <c r="A2898" t="str">
        <f t="shared" si="46"/>
        <v/>
      </c>
    </row>
    <row r="2899" spans="1:1">
      <c r="A2899" t="str">
        <f t="shared" si="46"/>
        <v/>
      </c>
    </row>
    <row r="2900" spans="1:1">
      <c r="A2900" t="str">
        <f t="shared" si="46"/>
        <v/>
      </c>
    </row>
    <row r="2901" spans="1:1">
      <c r="A2901" t="str">
        <f t="shared" si="46"/>
        <v/>
      </c>
    </row>
    <row r="2902" spans="1:1">
      <c r="A2902" t="str">
        <f t="shared" si="46"/>
        <v/>
      </c>
    </row>
    <row r="2903" spans="1:1">
      <c r="A2903" t="str">
        <f t="shared" si="46"/>
        <v/>
      </c>
    </row>
    <row r="2904" spans="1:1">
      <c r="A2904" t="str">
        <f t="shared" si="46"/>
        <v/>
      </c>
    </row>
    <row r="2905" spans="1:1">
      <c r="A2905" t="str">
        <f t="shared" si="46"/>
        <v/>
      </c>
    </row>
    <row r="2906" spans="1:1">
      <c r="A2906" t="str">
        <f t="shared" si="46"/>
        <v/>
      </c>
    </row>
    <row r="2907" spans="1:1">
      <c r="A2907" t="str">
        <f t="shared" si="46"/>
        <v/>
      </c>
    </row>
    <row r="2908" spans="1:1">
      <c r="A2908" t="str">
        <f t="shared" si="46"/>
        <v/>
      </c>
    </row>
    <row r="2909" spans="1:1">
      <c r="A2909" t="str">
        <f t="shared" si="46"/>
        <v/>
      </c>
    </row>
    <row r="2910" spans="1:1">
      <c r="A2910" t="str">
        <f t="shared" si="46"/>
        <v/>
      </c>
    </row>
    <row r="2911" spans="1:1">
      <c r="A2911" t="str">
        <f t="shared" si="46"/>
        <v/>
      </c>
    </row>
    <row r="2912" spans="1:1">
      <c r="A2912" t="str">
        <f t="shared" si="46"/>
        <v/>
      </c>
    </row>
    <row r="2913" spans="1:1">
      <c r="A2913" t="str">
        <f t="shared" si="46"/>
        <v/>
      </c>
    </row>
    <row r="2914" spans="1:1">
      <c r="A2914" t="str">
        <f t="shared" si="46"/>
        <v/>
      </c>
    </row>
    <row r="2915" spans="1:1">
      <c r="A2915" t="str">
        <f t="shared" si="46"/>
        <v/>
      </c>
    </row>
    <row r="2916" spans="1:1">
      <c r="A2916" t="str">
        <f t="shared" si="46"/>
        <v/>
      </c>
    </row>
    <row r="2917" spans="1:1">
      <c r="A2917" t="str">
        <f t="shared" si="46"/>
        <v/>
      </c>
    </row>
    <row r="2918" spans="1:1">
      <c r="A2918" t="str">
        <f t="shared" si="46"/>
        <v/>
      </c>
    </row>
    <row r="2919" spans="1:1">
      <c r="A2919" t="str">
        <f t="shared" si="46"/>
        <v/>
      </c>
    </row>
    <row r="2920" spans="1:1">
      <c r="A2920" t="str">
        <f t="shared" si="46"/>
        <v/>
      </c>
    </row>
    <row r="2921" spans="1:1">
      <c r="A2921" t="str">
        <f t="shared" si="46"/>
        <v/>
      </c>
    </row>
    <row r="2922" spans="1:1">
      <c r="A2922" t="str">
        <f t="shared" si="46"/>
        <v/>
      </c>
    </row>
    <row r="2923" spans="1:1">
      <c r="A2923" t="str">
        <f t="shared" si="46"/>
        <v/>
      </c>
    </row>
    <row r="2924" spans="1:1">
      <c r="A2924" t="str">
        <f t="shared" si="46"/>
        <v/>
      </c>
    </row>
    <row r="2925" spans="1:1">
      <c r="A2925" t="str">
        <f t="shared" si="46"/>
        <v/>
      </c>
    </row>
    <row r="2926" spans="1:1">
      <c r="A2926" t="str">
        <f t="shared" si="46"/>
        <v/>
      </c>
    </row>
    <row r="2927" spans="1:1">
      <c r="A2927" t="str">
        <f t="shared" si="46"/>
        <v/>
      </c>
    </row>
    <row r="2928" spans="1:1">
      <c r="A2928" t="str">
        <f t="shared" si="46"/>
        <v/>
      </c>
    </row>
    <row r="2929" spans="1:1">
      <c r="A2929" t="str">
        <f t="shared" si="46"/>
        <v/>
      </c>
    </row>
    <row r="2930" spans="1:1">
      <c r="A2930" t="str">
        <f t="shared" si="46"/>
        <v/>
      </c>
    </row>
    <row r="2931" spans="1:1">
      <c r="A2931" t="str">
        <f t="shared" si="46"/>
        <v/>
      </c>
    </row>
    <row r="2932" spans="1:1">
      <c r="A2932" t="str">
        <f t="shared" si="46"/>
        <v/>
      </c>
    </row>
    <row r="2933" spans="1:1">
      <c r="A2933" t="str">
        <f t="shared" si="46"/>
        <v/>
      </c>
    </row>
    <row r="2934" spans="1:1">
      <c r="A2934" t="str">
        <f t="shared" si="46"/>
        <v/>
      </c>
    </row>
    <row r="2935" spans="1:1">
      <c r="A2935" t="str">
        <f t="shared" si="46"/>
        <v/>
      </c>
    </row>
    <row r="2936" spans="1:1">
      <c r="A2936" t="str">
        <f t="shared" si="46"/>
        <v/>
      </c>
    </row>
    <row r="2937" spans="1:1">
      <c r="A2937" t="str">
        <f t="shared" si="46"/>
        <v/>
      </c>
    </row>
    <row r="2938" spans="1:1">
      <c r="A2938" t="str">
        <f t="shared" si="46"/>
        <v/>
      </c>
    </row>
    <row r="2939" spans="1:1">
      <c r="A2939" t="str">
        <f t="shared" si="46"/>
        <v/>
      </c>
    </row>
    <row r="2940" spans="1:1">
      <c r="A2940" t="str">
        <f t="shared" si="46"/>
        <v/>
      </c>
    </row>
    <row r="2941" spans="1:1">
      <c r="A2941" t="str">
        <f t="shared" si="46"/>
        <v/>
      </c>
    </row>
    <row r="2942" spans="1:1">
      <c r="A2942" t="str">
        <f t="shared" si="46"/>
        <v/>
      </c>
    </row>
    <row r="2943" spans="1:1">
      <c r="A2943" t="str">
        <f t="shared" si="46"/>
        <v/>
      </c>
    </row>
    <row r="2944" spans="1:1">
      <c r="A2944" t="str">
        <f t="shared" si="46"/>
        <v/>
      </c>
    </row>
    <row r="2945" spans="1:1">
      <c r="A2945" t="str">
        <f t="shared" si="46"/>
        <v/>
      </c>
    </row>
    <row r="2946" spans="1:1">
      <c r="A2946" t="str">
        <f t="shared" si="46"/>
        <v/>
      </c>
    </row>
    <row r="2947" spans="1:1">
      <c r="A2947" t="str">
        <f t="shared" si="46"/>
        <v/>
      </c>
    </row>
    <row r="2948" spans="1:1">
      <c r="A2948" t="str">
        <f t="shared" si="46"/>
        <v/>
      </c>
    </row>
    <row r="2949" spans="1:1">
      <c r="A2949" t="str">
        <f t="shared" si="46"/>
        <v/>
      </c>
    </row>
    <row r="2950" spans="1:1">
      <c r="A2950" t="str">
        <f t="shared" si="46"/>
        <v/>
      </c>
    </row>
    <row r="2951" spans="1:1">
      <c r="A2951" t="str">
        <f t="shared" ref="A2951:A3014" si="47">G2951&amp;H2951&amp;I2951&amp;F2951</f>
        <v/>
      </c>
    </row>
    <row r="2952" spans="1:1">
      <c r="A2952" t="str">
        <f t="shared" si="47"/>
        <v/>
      </c>
    </row>
    <row r="2953" spans="1:1">
      <c r="A2953" t="str">
        <f t="shared" si="47"/>
        <v/>
      </c>
    </row>
    <row r="2954" spans="1:1">
      <c r="A2954" t="str">
        <f t="shared" si="47"/>
        <v/>
      </c>
    </row>
    <row r="2955" spans="1:1">
      <c r="A2955" t="str">
        <f t="shared" si="47"/>
        <v/>
      </c>
    </row>
    <row r="2956" spans="1:1">
      <c r="A2956" t="str">
        <f t="shared" si="47"/>
        <v/>
      </c>
    </row>
    <row r="2957" spans="1:1">
      <c r="A2957" t="str">
        <f t="shared" si="47"/>
        <v/>
      </c>
    </row>
    <row r="2958" spans="1:1">
      <c r="A2958" t="str">
        <f t="shared" si="47"/>
        <v/>
      </c>
    </row>
    <row r="2959" spans="1:1">
      <c r="A2959" t="str">
        <f t="shared" si="47"/>
        <v/>
      </c>
    </row>
    <row r="2960" spans="1:1">
      <c r="A2960" t="str">
        <f t="shared" si="47"/>
        <v/>
      </c>
    </row>
    <row r="2961" spans="1:1">
      <c r="A2961" t="str">
        <f t="shared" si="47"/>
        <v/>
      </c>
    </row>
    <row r="2962" spans="1:1">
      <c r="A2962" t="str">
        <f t="shared" si="47"/>
        <v/>
      </c>
    </row>
    <row r="2963" spans="1:1">
      <c r="A2963" t="str">
        <f t="shared" si="47"/>
        <v/>
      </c>
    </row>
    <row r="2964" spans="1:1">
      <c r="A2964" t="str">
        <f t="shared" si="47"/>
        <v/>
      </c>
    </row>
    <row r="2965" spans="1:1">
      <c r="A2965" t="str">
        <f t="shared" si="47"/>
        <v/>
      </c>
    </row>
    <row r="2966" spans="1:1">
      <c r="A2966" t="str">
        <f t="shared" si="47"/>
        <v/>
      </c>
    </row>
    <row r="2967" spans="1:1">
      <c r="A2967" t="str">
        <f t="shared" si="47"/>
        <v/>
      </c>
    </row>
    <row r="2968" spans="1:1">
      <c r="A2968" t="str">
        <f t="shared" si="47"/>
        <v/>
      </c>
    </row>
    <row r="2969" spans="1:1">
      <c r="A2969" t="str">
        <f t="shared" si="47"/>
        <v/>
      </c>
    </row>
    <row r="2970" spans="1:1">
      <c r="A2970" t="str">
        <f t="shared" si="47"/>
        <v/>
      </c>
    </row>
    <row r="2971" spans="1:1">
      <c r="A2971" t="str">
        <f t="shared" si="47"/>
        <v/>
      </c>
    </row>
    <row r="2972" spans="1:1">
      <c r="A2972" t="str">
        <f t="shared" si="47"/>
        <v/>
      </c>
    </row>
    <row r="2973" spans="1:1">
      <c r="A2973" t="str">
        <f t="shared" si="47"/>
        <v/>
      </c>
    </row>
    <row r="2974" spans="1:1">
      <c r="A2974" t="str">
        <f t="shared" si="47"/>
        <v/>
      </c>
    </row>
    <row r="2975" spans="1:1">
      <c r="A2975" t="str">
        <f t="shared" si="47"/>
        <v/>
      </c>
    </row>
    <row r="2976" spans="1:1">
      <c r="A2976" t="str">
        <f t="shared" si="47"/>
        <v/>
      </c>
    </row>
    <row r="2977" spans="1:1">
      <c r="A2977" t="str">
        <f t="shared" si="47"/>
        <v/>
      </c>
    </row>
    <row r="2978" spans="1:1">
      <c r="A2978" t="str">
        <f t="shared" si="47"/>
        <v/>
      </c>
    </row>
    <row r="2979" spans="1:1">
      <c r="A2979" t="str">
        <f t="shared" si="47"/>
        <v/>
      </c>
    </row>
    <row r="2980" spans="1:1">
      <c r="A2980" t="str">
        <f t="shared" si="47"/>
        <v/>
      </c>
    </row>
    <row r="2981" spans="1:1">
      <c r="A2981" t="str">
        <f t="shared" si="47"/>
        <v/>
      </c>
    </row>
    <row r="2982" spans="1:1">
      <c r="A2982" t="str">
        <f t="shared" si="47"/>
        <v/>
      </c>
    </row>
    <row r="2983" spans="1:1">
      <c r="A2983" t="str">
        <f t="shared" si="47"/>
        <v/>
      </c>
    </row>
    <row r="2984" spans="1:1">
      <c r="A2984" t="str">
        <f t="shared" si="47"/>
        <v/>
      </c>
    </row>
    <row r="2985" spans="1:1">
      <c r="A2985" t="str">
        <f t="shared" si="47"/>
        <v/>
      </c>
    </row>
    <row r="2986" spans="1:1">
      <c r="A2986" t="str">
        <f t="shared" si="47"/>
        <v/>
      </c>
    </row>
    <row r="2987" spans="1:1">
      <c r="A2987" t="str">
        <f t="shared" si="47"/>
        <v/>
      </c>
    </row>
    <row r="2988" spans="1:1">
      <c r="A2988" t="str">
        <f t="shared" si="47"/>
        <v/>
      </c>
    </row>
    <row r="2989" spans="1:1">
      <c r="A2989" t="str">
        <f t="shared" si="47"/>
        <v/>
      </c>
    </row>
    <row r="2990" spans="1:1">
      <c r="A2990" t="str">
        <f t="shared" si="47"/>
        <v/>
      </c>
    </row>
    <row r="2991" spans="1:1">
      <c r="A2991" t="str">
        <f t="shared" si="47"/>
        <v/>
      </c>
    </row>
    <row r="2992" spans="1:1">
      <c r="A2992" t="str">
        <f t="shared" si="47"/>
        <v/>
      </c>
    </row>
    <row r="2993" spans="1:1">
      <c r="A2993" t="str">
        <f t="shared" si="47"/>
        <v/>
      </c>
    </row>
    <row r="2994" spans="1:1">
      <c r="A2994" t="str">
        <f t="shared" si="47"/>
        <v/>
      </c>
    </row>
    <row r="2995" spans="1:1">
      <c r="A2995" t="str">
        <f t="shared" si="47"/>
        <v/>
      </c>
    </row>
    <row r="2996" spans="1:1">
      <c r="A2996" t="str">
        <f t="shared" si="47"/>
        <v/>
      </c>
    </row>
    <row r="2997" spans="1:1">
      <c r="A2997" t="str">
        <f t="shared" si="47"/>
        <v/>
      </c>
    </row>
    <row r="2998" spans="1:1">
      <c r="A2998" t="str">
        <f t="shared" si="47"/>
        <v/>
      </c>
    </row>
    <row r="2999" spans="1:1">
      <c r="A2999" t="str">
        <f t="shared" si="47"/>
        <v/>
      </c>
    </row>
    <row r="3000" spans="1:1">
      <c r="A3000" t="str">
        <f t="shared" si="47"/>
        <v/>
      </c>
    </row>
    <row r="3001" spans="1:1">
      <c r="A3001" t="str">
        <f t="shared" si="47"/>
        <v/>
      </c>
    </row>
    <row r="3002" spans="1:1">
      <c r="A3002" t="str">
        <f t="shared" si="47"/>
        <v/>
      </c>
    </row>
    <row r="3003" spans="1:1">
      <c r="A3003" t="str">
        <f t="shared" si="47"/>
        <v/>
      </c>
    </row>
    <row r="3004" spans="1:1">
      <c r="A3004" t="str">
        <f t="shared" si="47"/>
        <v/>
      </c>
    </row>
    <row r="3005" spans="1:1">
      <c r="A3005" t="str">
        <f t="shared" si="47"/>
        <v/>
      </c>
    </row>
    <row r="3006" spans="1:1">
      <c r="A3006" t="str">
        <f t="shared" si="47"/>
        <v/>
      </c>
    </row>
    <row r="3007" spans="1:1">
      <c r="A3007" t="str">
        <f t="shared" si="47"/>
        <v/>
      </c>
    </row>
    <row r="3008" spans="1:1">
      <c r="A3008" t="str">
        <f t="shared" si="47"/>
        <v/>
      </c>
    </row>
    <row r="3009" spans="1:1">
      <c r="A3009" t="str">
        <f t="shared" si="47"/>
        <v/>
      </c>
    </row>
    <row r="3010" spans="1:1">
      <c r="A3010" t="str">
        <f t="shared" si="47"/>
        <v/>
      </c>
    </row>
    <row r="3011" spans="1:1">
      <c r="A3011" t="str">
        <f t="shared" si="47"/>
        <v/>
      </c>
    </row>
    <row r="3012" spans="1:1">
      <c r="A3012" t="str">
        <f t="shared" si="47"/>
        <v/>
      </c>
    </row>
    <row r="3013" spans="1:1">
      <c r="A3013" t="str">
        <f t="shared" si="47"/>
        <v/>
      </c>
    </row>
    <row r="3014" spans="1:1">
      <c r="A3014" t="str">
        <f t="shared" si="47"/>
        <v/>
      </c>
    </row>
    <row r="3015" spans="1:1">
      <c r="A3015" t="str">
        <f t="shared" ref="A3015" si="48">G3015&amp;H3015&amp;I3015&amp;F3015</f>
        <v/>
      </c>
    </row>
  </sheetData>
  <autoFilter ref="F6:L156"/>
  <phoneticPr fontId="4" type="noConversion"/>
  <pageMargins left="0.7" right="0.7" top="0.75" bottom="0.75" header="0.3" footer="0.3"/>
  <customProperties>
    <customPr name="MatrixProperty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4:L3060"/>
  <sheetViews>
    <sheetView workbookViewId="0">
      <pane xSplit="5" ySplit="6" topLeftCell="F7" activePane="bottomRight" state="frozen"/>
      <selection pane="topRight" activeCell="C1" sqref="C1"/>
      <selection pane="bottomLeft" activeCell="A3" sqref="A3"/>
      <selection pane="bottomRight" activeCell="B7" sqref="B7:B106"/>
    </sheetView>
  </sheetViews>
  <sheetFormatPr defaultRowHeight="16.5"/>
  <cols>
    <col min="1" max="1" width="35.375" customWidth="1"/>
    <col min="2" max="2" width="14.375" customWidth="1"/>
    <col min="3" max="5" width="2.5" customWidth="1"/>
    <col min="6" max="6" width="11.375" bestFit="1" customWidth="1"/>
    <col min="7" max="7" width="5.25" bestFit="1" customWidth="1"/>
    <col min="8" max="8" width="14.375" bestFit="1" customWidth="1"/>
    <col min="9" max="9" width="7.5" bestFit="1" customWidth="1"/>
    <col min="10" max="10" width="12.75" bestFit="1" customWidth="1"/>
    <col min="11" max="11" width="3.5" bestFit="1" customWidth="1"/>
    <col min="12" max="12" width="11.375" bestFit="1" customWidth="1"/>
  </cols>
  <sheetData>
    <row r="4" spans="1:12">
      <c r="F4" s="74" t="s">
        <v>208</v>
      </c>
    </row>
    <row r="5" spans="1:12">
      <c r="F5" s="74">
        <v>4</v>
      </c>
      <c r="G5" s="74">
        <v>1</v>
      </c>
      <c r="H5" s="74">
        <v>2</v>
      </c>
      <c r="I5" s="74">
        <v>3</v>
      </c>
    </row>
    <row r="6" spans="1:12">
      <c r="A6" s="74" t="str">
        <f>G6&amp;H6&amp;I6&amp;F6</f>
        <v>NATION_NMKPI_CDBASE_YYYYMMCOL_INDEX</v>
      </c>
      <c r="B6" s="74" t="s">
        <v>211</v>
      </c>
      <c r="F6" s="69" t="s">
        <v>5</v>
      </c>
      <c r="G6" s="69" t="s">
        <v>206</v>
      </c>
      <c r="H6" s="69" t="s">
        <v>4</v>
      </c>
      <c r="I6" s="69" t="s">
        <v>160</v>
      </c>
      <c r="J6" s="69" t="s">
        <v>148</v>
      </c>
      <c r="K6" s="110" t="s">
        <v>227</v>
      </c>
      <c r="L6" s="110" t="s">
        <v>228</v>
      </c>
    </row>
    <row r="7" spans="1:12">
      <c r="A7" t="str">
        <f t="shared" ref="A7:A70" si="0">G7&amp;H7&amp;I7&amp;F7</f>
        <v>ALL매출(프로젝트)201312TV사이니지</v>
      </c>
      <c r="B7" t="s">
        <v>207</v>
      </c>
      <c r="F7" t="s">
        <v>231</v>
      </c>
      <c r="G7" t="s">
        <v>207</v>
      </c>
      <c r="H7" t="s">
        <v>165</v>
      </c>
      <c r="I7" t="s">
        <v>233</v>
      </c>
      <c r="J7">
        <v>26557.264820210785</v>
      </c>
      <c r="K7">
        <v>14</v>
      </c>
      <c r="L7" t="s">
        <v>240</v>
      </c>
    </row>
    <row r="8" spans="1:12">
      <c r="A8" t="str">
        <f t="shared" si="0"/>
        <v>ALL매출(프로젝트)201401TV사이니지</v>
      </c>
      <c r="B8" t="s">
        <v>725</v>
      </c>
      <c r="F8" t="s">
        <v>231</v>
      </c>
      <c r="G8" t="s">
        <v>207</v>
      </c>
      <c r="H8" t="s">
        <v>165</v>
      </c>
      <c r="I8" t="s">
        <v>166</v>
      </c>
      <c r="J8">
        <v>95172.1</v>
      </c>
      <c r="K8">
        <v>14</v>
      </c>
      <c r="L8" t="s">
        <v>240</v>
      </c>
    </row>
    <row r="9" spans="1:12">
      <c r="A9" t="str">
        <f t="shared" si="0"/>
        <v>ALL매출(프로젝트)201402TV사이니지</v>
      </c>
      <c r="F9" t="s">
        <v>231</v>
      </c>
      <c r="G9" t="s">
        <v>207</v>
      </c>
      <c r="H9" t="s">
        <v>165</v>
      </c>
      <c r="I9" t="s">
        <v>167</v>
      </c>
      <c r="J9">
        <v>160568.79000000004</v>
      </c>
      <c r="K9">
        <v>14</v>
      </c>
      <c r="L9" t="s">
        <v>240</v>
      </c>
    </row>
    <row r="10" spans="1:12">
      <c r="A10" t="str">
        <f t="shared" si="0"/>
        <v>ALL매출(프로젝트)201403TV사이니지</v>
      </c>
      <c r="F10" t="s">
        <v>231</v>
      </c>
      <c r="G10" t="s">
        <v>207</v>
      </c>
      <c r="H10" t="s">
        <v>165</v>
      </c>
      <c r="I10" t="s">
        <v>168</v>
      </c>
      <c r="J10">
        <v>106374.46</v>
      </c>
      <c r="K10">
        <v>14</v>
      </c>
      <c r="L10" t="s">
        <v>240</v>
      </c>
    </row>
    <row r="11" spans="1:12">
      <c r="A11" t="str">
        <f t="shared" si="0"/>
        <v>ALL매출(프로젝트)201404TV사이니지</v>
      </c>
      <c r="F11" t="s">
        <v>231</v>
      </c>
      <c r="G11" t="s">
        <v>207</v>
      </c>
      <c r="H11" t="s">
        <v>165</v>
      </c>
      <c r="I11" t="s">
        <v>169</v>
      </c>
      <c r="J11">
        <v>98603.420000000013</v>
      </c>
      <c r="K11">
        <v>14</v>
      </c>
      <c r="L11" t="s">
        <v>240</v>
      </c>
    </row>
    <row r="12" spans="1:12">
      <c r="A12" t="str">
        <f t="shared" si="0"/>
        <v>ALL매출(프로젝트)201405TV사이니지</v>
      </c>
      <c r="F12" t="s">
        <v>231</v>
      </c>
      <c r="G12" t="s">
        <v>207</v>
      </c>
      <c r="H12" t="s">
        <v>165</v>
      </c>
      <c r="I12" t="s">
        <v>170</v>
      </c>
      <c r="J12">
        <v>105513.28</v>
      </c>
      <c r="K12">
        <v>14</v>
      </c>
      <c r="L12" t="s">
        <v>240</v>
      </c>
    </row>
    <row r="13" spans="1:12">
      <c r="A13" t="str">
        <f t="shared" si="0"/>
        <v>ALL매출(프로젝트)201406TV사이니지</v>
      </c>
      <c r="F13" t="s">
        <v>231</v>
      </c>
      <c r="G13" t="s">
        <v>207</v>
      </c>
      <c r="H13" t="s">
        <v>165</v>
      </c>
      <c r="I13" t="s">
        <v>171</v>
      </c>
      <c r="J13">
        <v>378001.33000000007</v>
      </c>
      <c r="K13">
        <v>14</v>
      </c>
      <c r="L13" t="s">
        <v>240</v>
      </c>
    </row>
    <row r="14" spans="1:12">
      <c r="A14" t="str">
        <f t="shared" si="0"/>
        <v>ALL매출(프로젝트)201407TV사이니지</v>
      </c>
      <c r="F14" t="s">
        <v>231</v>
      </c>
      <c r="G14" t="s">
        <v>207</v>
      </c>
      <c r="H14" t="s">
        <v>165</v>
      </c>
      <c r="I14" t="s">
        <v>172</v>
      </c>
      <c r="J14">
        <v>582737.60000000009</v>
      </c>
      <c r="K14">
        <v>14</v>
      </c>
      <c r="L14" t="s">
        <v>240</v>
      </c>
    </row>
    <row r="15" spans="1:12">
      <c r="A15" t="str">
        <f t="shared" si="0"/>
        <v>ALL매출(프로젝트)201408TV사이니지</v>
      </c>
      <c r="F15" t="s">
        <v>231</v>
      </c>
      <c r="G15" t="s">
        <v>207</v>
      </c>
      <c r="H15" t="s">
        <v>165</v>
      </c>
      <c r="I15" t="s">
        <v>173</v>
      </c>
      <c r="J15">
        <v>573985.7300000001</v>
      </c>
      <c r="K15">
        <v>14</v>
      </c>
      <c r="L15" t="s">
        <v>240</v>
      </c>
    </row>
    <row r="16" spans="1:12">
      <c r="A16" t="str">
        <f t="shared" si="0"/>
        <v>ALL매출(프로젝트)201409TV사이니지</v>
      </c>
      <c r="F16" t="s">
        <v>231</v>
      </c>
      <c r="G16" t="s">
        <v>207</v>
      </c>
      <c r="H16" t="s">
        <v>165</v>
      </c>
      <c r="I16" t="s">
        <v>174</v>
      </c>
      <c r="J16">
        <v>351742.00000000006</v>
      </c>
      <c r="K16">
        <v>14</v>
      </c>
      <c r="L16" t="s">
        <v>240</v>
      </c>
    </row>
    <row r="17" spans="1:12">
      <c r="A17" t="str">
        <f t="shared" si="0"/>
        <v>ALL매출(프로젝트)201410TV사이니지</v>
      </c>
      <c r="F17" t="s">
        <v>231</v>
      </c>
      <c r="G17" t="s">
        <v>207</v>
      </c>
      <c r="H17" t="s">
        <v>165</v>
      </c>
      <c r="I17" t="s">
        <v>175</v>
      </c>
      <c r="J17">
        <v>398095.15</v>
      </c>
      <c r="K17">
        <v>14</v>
      </c>
      <c r="L17" t="s">
        <v>240</v>
      </c>
    </row>
    <row r="18" spans="1:12">
      <c r="A18" t="str">
        <f t="shared" si="0"/>
        <v>ALL매출(프로젝트)201411TV사이니지</v>
      </c>
      <c r="F18" t="s">
        <v>231</v>
      </c>
      <c r="G18" t="s">
        <v>207</v>
      </c>
      <c r="H18" t="s">
        <v>165</v>
      </c>
      <c r="I18" t="s">
        <v>176</v>
      </c>
      <c r="J18">
        <v>627936.92000000004</v>
      </c>
      <c r="K18">
        <v>14</v>
      </c>
      <c r="L18" t="s">
        <v>240</v>
      </c>
    </row>
    <row r="19" spans="1:12">
      <c r="A19" t="str">
        <f t="shared" si="0"/>
        <v>ALL매출(프로젝트)201412TV사이니지</v>
      </c>
      <c r="F19" t="s">
        <v>231</v>
      </c>
      <c r="G19" t="s">
        <v>207</v>
      </c>
      <c r="H19" t="s">
        <v>165</v>
      </c>
      <c r="I19" t="s">
        <v>177</v>
      </c>
      <c r="J19">
        <v>146436.44</v>
      </c>
      <c r="K19">
        <v>14</v>
      </c>
      <c r="L19" t="s">
        <v>240</v>
      </c>
    </row>
    <row r="20" spans="1:12">
      <c r="A20" t="str">
        <f t="shared" si="0"/>
        <v>ALL매출(프로젝트)201501TV사이니지</v>
      </c>
      <c r="F20" t="s">
        <v>231</v>
      </c>
      <c r="G20" t="s">
        <v>207</v>
      </c>
      <c r="H20" t="s">
        <v>165</v>
      </c>
      <c r="I20" t="s">
        <v>178</v>
      </c>
      <c r="J20">
        <v>450511.05000000005</v>
      </c>
      <c r="K20">
        <v>14</v>
      </c>
      <c r="L20" t="s">
        <v>240</v>
      </c>
    </row>
    <row r="21" spans="1:12">
      <c r="A21" t="str">
        <f t="shared" si="0"/>
        <v>ALL매출(프로젝트)201502TV사이니지</v>
      </c>
      <c r="F21" t="s">
        <v>231</v>
      </c>
      <c r="G21" t="s">
        <v>207</v>
      </c>
      <c r="H21" t="s">
        <v>165</v>
      </c>
      <c r="I21" t="s">
        <v>179</v>
      </c>
      <c r="J21">
        <v>574707.76</v>
      </c>
      <c r="K21">
        <v>14</v>
      </c>
      <c r="L21" t="s">
        <v>240</v>
      </c>
    </row>
    <row r="22" spans="1:12">
      <c r="A22" t="str">
        <f t="shared" si="0"/>
        <v>ALL매출(프로젝트)201503TV사이니지</v>
      </c>
      <c r="F22" t="s">
        <v>231</v>
      </c>
      <c r="G22" t="s">
        <v>207</v>
      </c>
      <c r="H22" t="s">
        <v>165</v>
      </c>
      <c r="I22" t="s">
        <v>180</v>
      </c>
      <c r="J22">
        <v>288283.80000000005</v>
      </c>
      <c r="K22">
        <v>14</v>
      </c>
      <c r="L22" t="s">
        <v>240</v>
      </c>
    </row>
    <row r="23" spans="1:12">
      <c r="A23" t="str">
        <f t="shared" si="0"/>
        <v>ALL매출(프로젝트)201504TV사이니지</v>
      </c>
      <c r="F23" t="s">
        <v>231</v>
      </c>
      <c r="G23" t="s">
        <v>207</v>
      </c>
      <c r="H23" t="s">
        <v>165</v>
      </c>
      <c r="I23" t="s">
        <v>181</v>
      </c>
      <c r="J23">
        <v>105050.84000000001</v>
      </c>
      <c r="K23">
        <v>14</v>
      </c>
      <c r="L23" t="s">
        <v>240</v>
      </c>
    </row>
    <row r="24" spans="1:12">
      <c r="A24" t="str">
        <f t="shared" si="0"/>
        <v>ALL매출(프로젝트)201505TV사이니지</v>
      </c>
      <c r="F24" t="s">
        <v>231</v>
      </c>
      <c r="G24" t="s">
        <v>207</v>
      </c>
      <c r="H24" t="s">
        <v>165</v>
      </c>
      <c r="I24" t="s">
        <v>182</v>
      </c>
      <c r="J24">
        <v>339006.51000000007</v>
      </c>
      <c r="K24">
        <v>14</v>
      </c>
      <c r="L24" t="s">
        <v>240</v>
      </c>
    </row>
    <row r="25" spans="1:12">
      <c r="A25" t="str">
        <f t="shared" si="0"/>
        <v>ALL매출(프로젝트)201506TV사이니지</v>
      </c>
      <c r="F25" t="s">
        <v>231</v>
      </c>
      <c r="G25" t="s">
        <v>207</v>
      </c>
      <c r="H25" t="s">
        <v>165</v>
      </c>
      <c r="I25" t="s">
        <v>183</v>
      </c>
      <c r="J25">
        <v>462395.24000000005</v>
      </c>
      <c r="K25">
        <v>14</v>
      </c>
      <c r="L25" t="s">
        <v>240</v>
      </c>
    </row>
    <row r="26" spans="1:12">
      <c r="A26" t="str">
        <f t="shared" si="0"/>
        <v>ALL매출(프로젝트)201507TV사이니지</v>
      </c>
      <c r="F26" t="s">
        <v>231</v>
      </c>
      <c r="G26" t="s">
        <v>207</v>
      </c>
      <c r="H26" t="s">
        <v>165</v>
      </c>
      <c r="I26" t="s">
        <v>184</v>
      </c>
      <c r="J26">
        <v>335075.48000000004</v>
      </c>
      <c r="K26">
        <v>14</v>
      </c>
      <c r="L26" t="s">
        <v>240</v>
      </c>
    </row>
    <row r="27" spans="1:12">
      <c r="A27" t="str">
        <f t="shared" si="0"/>
        <v>ALL매출(프로젝트)201508TV사이니지</v>
      </c>
      <c r="F27" t="s">
        <v>231</v>
      </c>
      <c r="G27" t="s">
        <v>207</v>
      </c>
      <c r="H27" t="s">
        <v>165</v>
      </c>
      <c r="I27" t="s">
        <v>185</v>
      </c>
      <c r="J27">
        <v>539638.16</v>
      </c>
      <c r="K27">
        <v>14</v>
      </c>
      <c r="L27" t="s">
        <v>240</v>
      </c>
    </row>
    <row r="28" spans="1:12">
      <c r="A28" t="str">
        <f t="shared" si="0"/>
        <v>ALL매출(프로젝트)201509TV사이니지</v>
      </c>
      <c r="F28" t="s">
        <v>231</v>
      </c>
      <c r="G28" t="s">
        <v>207</v>
      </c>
      <c r="H28" t="s">
        <v>165</v>
      </c>
      <c r="I28" t="s">
        <v>186</v>
      </c>
      <c r="J28">
        <v>1171483.9700000002</v>
      </c>
      <c r="K28">
        <v>14</v>
      </c>
      <c r="L28" t="s">
        <v>240</v>
      </c>
    </row>
    <row r="29" spans="1:12">
      <c r="A29" t="str">
        <f t="shared" si="0"/>
        <v>ALL매출(프로젝트)201510TV사이니지</v>
      </c>
      <c r="F29" t="s">
        <v>231</v>
      </c>
      <c r="G29" t="s">
        <v>207</v>
      </c>
      <c r="H29" t="s">
        <v>165</v>
      </c>
      <c r="I29" t="s">
        <v>0</v>
      </c>
      <c r="J29">
        <v>1126027.81</v>
      </c>
      <c r="K29">
        <v>14</v>
      </c>
      <c r="L29" t="s">
        <v>240</v>
      </c>
    </row>
    <row r="30" spans="1:12">
      <c r="A30" t="str">
        <f t="shared" si="0"/>
        <v>ALL매출(프로젝트)201511TV사이니지</v>
      </c>
      <c r="F30" t="s">
        <v>231</v>
      </c>
      <c r="G30" t="s">
        <v>207</v>
      </c>
      <c r="H30" t="s">
        <v>165</v>
      </c>
      <c r="I30" t="s">
        <v>1455</v>
      </c>
      <c r="J30">
        <v>685030.75000000012</v>
      </c>
      <c r="K30">
        <v>14</v>
      </c>
      <c r="L30" t="s">
        <v>240</v>
      </c>
    </row>
    <row r="31" spans="1:12">
      <c r="A31" t="str">
        <f t="shared" si="0"/>
        <v>ALL매출(프로젝트)201512TV사이니지</v>
      </c>
      <c r="F31" t="s">
        <v>231</v>
      </c>
      <c r="G31" t="s">
        <v>207</v>
      </c>
      <c r="H31" t="s">
        <v>165</v>
      </c>
      <c r="I31" t="s">
        <v>1456</v>
      </c>
      <c r="J31">
        <v>432629.97000000003</v>
      </c>
      <c r="K31">
        <v>14</v>
      </c>
      <c r="L31" t="s">
        <v>240</v>
      </c>
    </row>
    <row r="32" spans="1:12">
      <c r="A32" t="str">
        <f t="shared" si="0"/>
        <v>ALL수주잔고201312TV사이니지</v>
      </c>
      <c r="F32" t="s">
        <v>231</v>
      </c>
      <c r="G32" t="s">
        <v>207</v>
      </c>
      <c r="H32" t="s">
        <v>163</v>
      </c>
      <c r="I32" t="s">
        <v>233</v>
      </c>
      <c r="J32">
        <v>664.00022138179088</v>
      </c>
      <c r="K32">
        <v>14</v>
      </c>
      <c r="L32" t="s">
        <v>240</v>
      </c>
    </row>
    <row r="33" spans="1:12">
      <c r="A33" t="str">
        <f t="shared" si="0"/>
        <v>ALL수주잔고201401TV사이니지</v>
      </c>
      <c r="F33" t="s">
        <v>231</v>
      </c>
      <c r="G33" t="s">
        <v>207</v>
      </c>
      <c r="H33" t="s">
        <v>163</v>
      </c>
      <c r="I33" t="s">
        <v>166</v>
      </c>
      <c r="J33">
        <v>929433.4683850375</v>
      </c>
      <c r="K33">
        <v>14</v>
      </c>
      <c r="L33" t="s">
        <v>240</v>
      </c>
    </row>
    <row r="34" spans="1:12">
      <c r="A34" t="str">
        <f t="shared" si="0"/>
        <v>ALL수주잔고201402TV사이니지</v>
      </c>
      <c r="F34" t="s">
        <v>231</v>
      </c>
      <c r="G34" t="s">
        <v>207</v>
      </c>
      <c r="H34" t="s">
        <v>163</v>
      </c>
      <c r="I34" t="s">
        <v>167</v>
      </c>
      <c r="J34">
        <v>73268.430070362272</v>
      </c>
      <c r="K34">
        <v>14</v>
      </c>
      <c r="L34" t="s">
        <v>240</v>
      </c>
    </row>
    <row r="35" spans="1:12">
      <c r="A35" t="str">
        <f t="shared" si="0"/>
        <v>ALL수주잔고201403TV사이니지</v>
      </c>
      <c r="F35" t="s">
        <v>231</v>
      </c>
      <c r="G35" t="s">
        <v>207</v>
      </c>
      <c r="H35" t="s">
        <v>163</v>
      </c>
      <c r="I35" t="s">
        <v>168</v>
      </c>
      <c r="J35">
        <v>64804.750531415244</v>
      </c>
      <c r="K35">
        <v>14</v>
      </c>
      <c r="L35" t="s">
        <v>240</v>
      </c>
    </row>
    <row r="36" spans="1:12">
      <c r="A36" t="str">
        <f t="shared" si="0"/>
        <v>ALL수주잔고201404TV사이니지</v>
      </c>
      <c r="F36" t="s">
        <v>231</v>
      </c>
      <c r="G36" t="s">
        <v>207</v>
      </c>
      <c r="H36" t="s">
        <v>163</v>
      </c>
      <c r="I36" t="s">
        <v>169</v>
      </c>
      <c r="J36">
        <v>145264.7614345871</v>
      </c>
      <c r="K36">
        <v>14</v>
      </c>
      <c r="L36" t="s">
        <v>240</v>
      </c>
    </row>
    <row r="37" spans="1:12">
      <c r="A37" t="str">
        <f t="shared" si="0"/>
        <v>ALL수주잔고201405TV사이니지</v>
      </c>
      <c r="F37" t="s">
        <v>231</v>
      </c>
      <c r="G37" t="s">
        <v>207</v>
      </c>
      <c r="H37" t="s">
        <v>163</v>
      </c>
      <c r="I37" t="s">
        <v>170</v>
      </c>
      <c r="J37">
        <v>356185.63290598121</v>
      </c>
      <c r="K37">
        <v>14</v>
      </c>
      <c r="L37" t="s">
        <v>240</v>
      </c>
    </row>
    <row r="38" spans="1:12">
      <c r="A38" t="str">
        <f t="shared" si="0"/>
        <v>ALL수주잔고201406TV사이니지</v>
      </c>
      <c r="F38" t="s">
        <v>231</v>
      </c>
      <c r="G38" t="s">
        <v>207</v>
      </c>
      <c r="H38" t="s">
        <v>163</v>
      </c>
      <c r="I38" t="s">
        <v>171</v>
      </c>
      <c r="J38">
        <v>1644507.7549422625</v>
      </c>
      <c r="K38">
        <v>14</v>
      </c>
      <c r="L38" t="s">
        <v>240</v>
      </c>
    </row>
    <row r="39" spans="1:12">
      <c r="A39" t="str">
        <f t="shared" si="0"/>
        <v>ALL수주잔고201407TV사이니지</v>
      </c>
      <c r="F39" t="s">
        <v>231</v>
      </c>
      <c r="G39" t="s">
        <v>207</v>
      </c>
      <c r="H39" t="s">
        <v>163</v>
      </c>
      <c r="I39" t="s">
        <v>172</v>
      </c>
      <c r="J39">
        <v>853811.90816064866</v>
      </c>
      <c r="K39">
        <v>14</v>
      </c>
      <c r="L39" t="s">
        <v>240</v>
      </c>
    </row>
    <row r="40" spans="1:12">
      <c r="A40" t="str">
        <f t="shared" si="0"/>
        <v>ALL수주잔고201408TV사이니지</v>
      </c>
      <c r="F40" t="s">
        <v>231</v>
      </c>
      <c r="G40" t="s">
        <v>207</v>
      </c>
      <c r="H40" t="s">
        <v>163</v>
      </c>
      <c r="I40" t="s">
        <v>173</v>
      </c>
      <c r="J40">
        <v>1543766.6091818654</v>
      </c>
      <c r="K40">
        <v>14</v>
      </c>
      <c r="L40" t="s">
        <v>240</v>
      </c>
    </row>
    <row r="41" spans="1:12">
      <c r="A41" t="str">
        <f t="shared" si="0"/>
        <v>ALL수주잔고201409TV사이니지</v>
      </c>
      <c r="F41" t="s">
        <v>231</v>
      </c>
      <c r="G41" t="s">
        <v>207</v>
      </c>
      <c r="H41" t="s">
        <v>163</v>
      </c>
      <c r="I41" t="s">
        <v>174</v>
      </c>
      <c r="J41">
        <v>1082097.0449393722</v>
      </c>
      <c r="K41">
        <v>14</v>
      </c>
      <c r="L41" t="s">
        <v>240</v>
      </c>
    </row>
    <row r="42" spans="1:12">
      <c r="A42" t="str">
        <f t="shared" si="0"/>
        <v>ALL수주잔고201410TV사이니지</v>
      </c>
      <c r="F42" t="s">
        <v>231</v>
      </c>
      <c r="G42" t="s">
        <v>207</v>
      </c>
      <c r="H42" t="s">
        <v>163</v>
      </c>
      <c r="I42" t="s">
        <v>175</v>
      </c>
      <c r="J42">
        <v>964319.11512246798</v>
      </c>
      <c r="K42">
        <v>14</v>
      </c>
      <c r="L42" t="s">
        <v>240</v>
      </c>
    </row>
    <row r="43" spans="1:12">
      <c r="A43" t="str">
        <f t="shared" si="0"/>
        <v>ALL수주잔고201411TV사이니지</v>
      </c>
      <c r="F43" t="s">
        <v>231</v>
      </c>
      <c r="G43" t="s">
        <v>207</v>
      </c>
      <c r="H43" t="s">
        <v>163</v>
      </c>
      <c r="I43" t="s">
        <v>176</v>
      </c>
      <c r="J43">
        <v>2002407.5187539356</v>
      </c>
      <c r="K43">
        <v>14</v>
      </c>
      <c r="L43" t="s">
        <v>240</v>
      </c>
    </row>
    <row r="44" spans="1:12">
      <c r="A44" t="str">
        <f t="shared" si="0"/>
        <v>ALL수주잔고201412TV사이니지</v>
      </c>
      <c r="F44" t="s">
        <v>231</v>
      </c>
      <c r="G44" t="s">
        <v>207</v>
      </c>
      <c r="H44" t="s">
        <v>163</v>
      </c>
      <c r="I44" t="s">
        <v>177</v>
      </c>
      <c r="J44">
        <v>2304394.3313919045</v>
      </c>
      <c r="K44">
        <v>14</v>
      </c>
      <c r="L44" t="s">
        <v>240</v>
      </c>
    </row>
    <row r="45" spans="1:12">
      <c r="A45" t="str">
        <f t="shared" si="0"/>
        <v>ALL수주잔고201501TV사이니지</v>
      </c>
      <c r="F45" t="s">
        <v>231</v>
      </c>
      <c r="G45" t="s">
        <v>207</v>
      </c>
      <c r="H45" t="s">
        <v>163</v>
      </c>
      <c r="I45" t="s">
        <v>178</v>
      </c>
      <c r="J45">
        <v>1351665.1753165803</v>
      </c>
      <c r="K45">
        <v>14</v>
      </c>
      <c r="L45" t="s">
        <v>240</v>
      </c>
    </row>
    <row r="46" spans="1:12">
      <c r="A46" t="str">
        <f t="shared" si="0"/>
        <v>ALL수주잔고201502TV사이니지</v>
      </c>
      <c r="F46" t="s">
        <v>231</v>
      </c>
      <c r="G46" t="s">
        <v>207</v>
      </c>
      <c r="H46" t="s">
        <v>163</v>
      </c>
      <c r="I46" t="s">
        <v>179</v>
      </c>
      <c r="J46">
        <v>788519.65082238254</v>
      </c>
      <c r="K46">
        <v>14</v>
      </c>
      <c r="L46" t="s">
        <v>240</v>
      </c>
    </row>
    <row r="47" spans="1:12">
      <c r="A47" t="str">
        <f t="shared" si="0"/>
        <v>ALL수주잔고201503TV사이니지</v>
      </c>
      <c r="F47" t="s">
        <v>231</v>
      </c>
      <c r="G47" t="s">
        <v>207</v>
      </c>
      <c r="H47" t="s">
        <v>163</v>
      </c>
      <c r="I47" t="s">
        <v>180</v>
      </c>
      <c r="J47">
        <v>367363.36303325149</v>
      </c>
      <c r="K47">
        <v>14</v>
      </c>
      <c r="L47" t="s">
        <v>240</v>
      </c>
    </row>
    <row r="48" spans="1:12">
      <c r="A48" t="str">
        <f t="shared" si="0"/>
        <v>ALL수주잔고201504TV사이니지</v>
      </c>
      <c r="F48" t="s">
        <v>231</v>
      </c>
      <c r="G48" t="s">
        <v>207</v>
      </c>
      <c r="H48" t="s">
        <v>163</v>
      </c>
      <c r="I48" t="s">
        <v>181</v>
      </c>
      <c r="J48">
        <v>435180.20677372551</v>
      </c>
      <c r="K48">
        <v>14</v>
      </c>
      <c r="L48" t="s">
        <v>240</v>
      </c>
    </row>
    <row r="49" spans="1:12">
      <c r="A49" t="str">
        <f t="shared" si="0"/>
        <v>ALL수주잔고201505TV사이니지</v>
      </c>
      <c r="F49" t="s">
        <v>231</v>
      </c>
      <c r="G49" t="s">
        <v>207</v>
      </c>
      <c r="H49" t="s">
        <v>163</v>
      </c>
      <c r="I49" t="s">
        <v>182</v>
      </c>
      <c r="J49">
        <v>377660.65472149861</v>
      </c>
      <c r="K49">
        <v>14</v>
      </c>
      <c r="L49" t="s">
        <v>240</v>
      </c>
    </row>
    <row r="50" spans="1:12">
      <c r="A50" t="str">
        <f t="shared" si="0"/>
        <v>ALL수주잔고201506TV사이니지</v>
      </c>
      <c r="F50" t="s">
        <v>231</v>
      </c>
      <c r="G50" t="s">
        <v>207</v>
      </c>
      <c r="H50" t="s">
        <v>163</v>
      </c>
      <c r="I50" t="s">
        <v>183</v>
      </c>
      <c r="J50">
        <v>717029.25430365081</v>
      </c>
      <c r="K50">
        <v>14</v>
      </c>
      <c r="L50" t="s">
        <v>240</v>
      </c>
    </row>
    <row r="51" spans="1:12">
      <c r="A51" t="str">
        <f t="shared" si="0"/>
        <v>ALL수주잔고201507TV사이니지</v>
      </c>
      <c r="F51" t="s">
        <v>231</v>
      </c>
      <c r="G51" t="s">
        <v>207</v>
      </c>
      <c r="H51" t="s">
        <v>163</v>
      </c>
      <c r="I51" t="s">
        <v>184</v>
      </c>
      <c r="J51">
        <v>2410286.4450747659</v>
      </c>
      <c r="K51">
        <v>14</v>
      </c>
      <c r="L51" t="s">
        <v>240</v>
      </c>
    </row>
    <row r="52" spans="1:12">
      <c r="A52" t="str">
        <f t="shared" si="0"/>
        <v>ALL수주잔고201508TV사이니지</v>
      </c>
      <c r="F52" t="s">
        <v>231</v>
      </c>
      <c r="G52" t="s">
        <v>207</v>
      </c>
      <c r="H52" t="s">
        <v>163</v>
      </c>
      <c r="I52" t="s">
        <v>185</v>
      </c>
      <c r="J52">
        <v>2583776.8262066762</v>
      </c>
      <c r="K52">
        <v>14</v>
      </c>
      <c r="L52" t="s">
        <v>240</v>
      </c>
    </row>
    <row r="53" spans="1:12">
      <c r="A53" t="str">
        <f t="shared" si="0"/>
        <v>ALL수주잔고201509TV사이니지</v>
      </c>
      <c r="F53" t="s">
        <v>231</v>
      </c>
      <c r="G53" t="s">
        <v>207</v>
      </c>
      <c r="H53" t="s">
        <v>163</v>
      </c>
      <c r="I53" t="s">
        <v>186</v>
      </c>
      <c r="J53">
        <v>2465605.2851261813</v>
      </c>
      <c r="K53">
        <v>14</v>
      </c>
      <c r="L53" t="s">
        <v>240</v>
      </c>
    </row>
    <row r="54" spans="1:12">
      <c r="A54" t="str">
        <f t="shared" si="0"/>
        <v>ALL수주잔고201510TV사이니지</v>
      </c>
      <c r="F54" t="s">
        <v>231</v>
      </c>
      <c r="G54" t="s">
        <v>207</v>
      </c>
      <c r="H54" t="s">
        <v>163</v>
      </c>
      <c r="I54" t="s">
        <v>0</v>
      </c>
      <c r="J54">
        <v>3298868.3992829663</v>
      </c>
      <c r="K54">
        <v>14</v>
      </c>
      <c r="L54" t="s">
        <v>240</v>
      </c>
    </row>
    <row r="55" spans="1:12">
      <c r="A55" t="str">
        <f t="shared" si="0"/>
        <v>ALL수주잔고201511TV사이니지</v>
      </c>
      <c r="F55" t="s">
        <v>231</v>
      </c>
      <c r="G55" t="s">
        <v>207</v>
      </c>
      <c r="H55" t="s">
        <v>163</v>
      </c>
      <c r="I55" t="s">
        <v>1455</v>
      </c>
      <c r="J55">
        <v>2863340.3905720613</v>
      </c>
      <c r="K55">
        <v>14</v>
      </c>
      <c r="L55" t="s">
        <v>240</v>
      </c>
    </row>
    <row r="56" spans="1:12">
      <c r="A56" t="str">
        <f t="shared" si="0"/>
        <v>ALL수주잔고201512TV사이니지</v>
      </c>
      <c r="F56" t="s">
        <v>231</v>
      </c>
      <c r="G56" t="s">
        <v>207</v>
      </c>
      <c r="H56" t="s">
        <v>163</v>
      </c>
      <c r="I56" t="s">
        <v>1456</v>
      </c>
      <c r="J56">
        <v>2106107.9102071198</v>
      </c>
      <c r="K56">
        <v>14</v>
      </c>
      <c r="L56" t="s">
        <v>240</v>
      </c>
    </row>
    <row r="57" spans="1:12">
      <c r="A57" t="str">
        <f t="shared" si="0"/>
        <v>호주매출(프로젝트)201312TV사이니지</v>
      </c>
      <c r="F57" t="s">
        <v>231</v>
      </c>
      <c r="G57" t="s">
        <v>725</v>
      </c>
      <c r="H57" t="s">
        <v>165</v>
      </c>
      <c r="I57" t="s">
        <v>233</v>
      </c>
      <c r="J57">
        <v>26557.264820210785</v>
      </c>
      <c r="K57">
        <v>14</v>
      </c>
      <c r="L57" t="s">
        <v>240</v>
      </c>
    </row>
    <row r="58" spans="1:12">
      <c r="A58" t="str">
        <f t="shared" si="0"/>
        <v>호주매출(프로젝트)201401TV사이니지</v>
      </c>
      <c r="F58" t="s">
        <v>231</v>
      </c>
      <c r="G58" t="s">
        <v>725</v>
      </c>
      <c r="H58" t="s">
        <v>165</v>
      </c>
      <c r="I58" t="s">
        <v>166</v>
      </c>
      <c r="J58">
        <v>95172.1</v>
      </c>
      <c r="K58">
        <v>14</v>
      </c>
      <c r="L58" t="s">
        <v>240</v>
      </c>
    </row>
    <row r="59" spans="1:12">
      <c r="A59" t="str">
        <f t="shared" si="0"/>
        <v>호주매출(프로젝트)201402TV사이니지</v>
      </c>
      <c r="F59" t="s">
        <v>231</v>
      </c>
      <c r="G59" t="s">
        <v>725</v>
      </c>
      <c r="H59" t="s">
        <v>165</v>
      </c>
      <c r="I59" t="s">
        <v>167</v>
      </c>
      <c r="J59">
        <v>160568.79000000004</v>
      </c>
      <c r="K59">
        <v>14</v>
      </c>
      <c r="L59" t="s">
        <v>240</v>
      </c>
    </row>
    <row r="60" spans="1:12">
      <c r="A60" t="str">
        <f t="shared" si="0"/>
        <v>호주매출(프로젝트)201403TV사이니지</v>
      </c>
      <c r="F60" t="s">
        <v>231</v>
      </c>
      <c r="G60" t="s">
        <v>725</v>
      </c>
      <c r="H60" t="s">
        <v>165</v>
      </c>
      <c r="I60" t="s">
        <v>168</v>
      </c>
      <c r="J60">
        <v>106374.46</v>
      </c>
      <c r="K60">
        <v>14</v>
      </c>
      <c r="L60" t="s">
        <v>240</v>
      </c>
    </row>
    <row r="61" spans="1:12">
      <c r="A61" t="str">
        <f t="shared" si="0"/>
        <v>호주매출(프로젝트)201404TV사이니지</v>
      </c>
      <c r="F61" t="s">
        <v>231</v>
      </c>
      <c r="G61" t="s">
        <v>725</v>
      </c>
      <c r="H61" t="s">
        <v>165</v>
      </c>
      <c r="I61" t="s">
        <v>169</v>
      </c>
      <c r="J61">
        <v>98603.420000000013</v>
      </c>
      <c r="K61">
        <v>14</v>
      </c>
      <c r="L61" t="s">
        <v>240</v>
      </c>
    </row>
    <row r="62" spans="1:12">
      <c r="A62" t="str">
        <f t="shared" si="0"/>
        <v>호주매출(프로젝트)201405TV사이니지</v>
      </c>
      <c r="F62" t="s">
        <v>231</v>
      </c>
      <c r="G62" t="s">
        <v>725</v>
      </c>
      <c r="H62" t="s">
        <v>165</v>
      </c>
      <c r="I62" t="s">
        <v>170</v>
      </c>
      <c r="J62">
        <v>105513.28</v>
      </c>
      <c r="K62">
        <v>14</v>
      </c>
      <c r="L62" t="s">
        <v>240</v>
      </c>
    </row>
    <row r="63" spans="1:12">
      <c r="A63" t="str">
        <f t="shared" si="0"/>
        <v>호주매출(프로젝트)201406TV사이니지</v>
      </c>
      <c r="F63" t="s">
        <v>231</v>
      </c>
      <c r="G63" t="s">
        <v>725</v>
      </c>
      <c r="H63" t="s">
        <v>165</v>
      </c>
      <c r="I63" t="s">
        <v>171</v>
      </c>
      <c r="J63">
        <v>378001.33000000007</v>
      </c>
      <c r="K63">
        <v>14</v>
      </c>
      <c r="L63" t="s">
        <v>240</v>
      </c>
    </row>
    <row r="64" spans="1:12">
      <c r="A64" t="str">
        <f t="shared" si="0"/>
        <v>호주매출(프로젝트)201407TV사이니지</v>
      </c>
      <c r="F64" t="s">
        <v>231</v>
      </c>
      <c r="G64" t="s">
        <v>725</v>
      </c>
      <c r="H64" t="s">
        <v>165</v>
      </c>
      <c r="I64" t="s">
        <v>172</v>
      </c>
      <c r="J64">
        <v>582737.60000000009</v>
      </c>
      <c r="K64">
        <v>14</v>
      </c>
      <c r="L64" t="s">
        <v>240</v>
      </c>
    </row>
    <row r="65" spans="1:12">
      <c r="A65" t="str">
        <f t="shared" si="0"/>
        <v>호주매출(프로젝트)201408TV사이니지</v>
      </c>
      <c r="F65" t="s">
        <v>231</v>
      </c>
      <c r="G65" t="s">
        <v>725</v>
      </c>
      <c r="H65" t="s">
        <v>165</v>
      </c>
      <c r="I65" t="s">
        <v>173</v>
      </c>
      <c r="J65">
        <v>573985.7300000001</v>
      </c>
      <c r="K65">
        <v>14</v>
      </c>
      <c r="L65" t="s">
        <v>240</v>
      </c>
    </row>
    <row r="66" spans="1:12">
      <c r="A66" t="str">
        <f t="shared" si="0"/>
        <v>호주매출(프로젝트)201409TV사이니지</v>
      </c>
      <c r="F66" t="s">
        <v>231</v>
      </c>
      <c r="G66" t="s">
        <v>725</v>
      </c>
      <c r="H66" t="s">
        <v>165</v>
      </c>
      <c r="I66" t="s">
        <v>174</v>
      </c>
      <c r="J66">
        <v>351742.00000000006</v>
      </c>
      <c r="K66">
        <v>14</v>
      </c>
      <c r="L66" t="s">
        <v>240</v>
      </c>
    </row>
    <row r="67" spans="1:12">
      <c r="A67" t="str">
        <f t="shared" si="0"/>
        <v>호주매출(프로젝트)201410TV사이니지</v>
      </c>
      <c r="F67" t="s">
        <v>231</v>
      </c>
      <c r="G67" t="s">
        <v>725</v>
      </c>
      <c r="H67" t="s">
        <v>165</v>
      </c>
      <c r="I67" t="s">
        <v>175</v>
      </c>
      <c r="J67">
        <v>398095.15</v>
      </c>
      <c r="K67">
        <v>14</v>
      </c>
      <c r="L67" t="s">
        <v>240</v>
      </c>
    </row>
    <row r="68" spans="1:12">
      <c r="A68" t="str">
        <f t="shared" si="0"/>
        <v>호주매출(프로젝트)201411TV사이니지</v>
      </c>
      <c r="F68" t="s">
        <v>231</v>
      </c>
      <c r="G68" t="s">
        <v>725</v>
      </c>
      <c r="H68" t="s">
        <v>165</v>
      </c>
      <c r="I68" t="s">
        <v>176</v>
      </c>
      <c r="J68">
        <v>627936.92000000004</v>
      </c>
      <c r="K68">
        <v>14</v>
      </c>
      <c r="L68" t="s">
        <v>240</v>
      </c>
    </row>
    <row r="69" spans="1:12">
      <c r="A69" t="str">
        <f t="shared" si="0"/>
        <v>호주매출(프로젝트)201412TV사이니지</v>
      </c>
      <c r="F69" t="s">
        <v>231</v>
      </c>
      <c r="G69" t="s">
        <v>725</v>
      </c>
      <c r="H69" t="s">
        <v>165</v>
      </c>
      <c r="I69" t="s">
        <v>177</v>
      </c>
      <c r="J69">
        <v>146436.44</v>
      </c>
      <c r="K69">
        <v>14</v>
      </c>
      <c r="L69" t="s">
        <v>240</v>
      </c>
    </row>
    <row r="70" spans="1:12">
      <c r="A70" t="str">
        <f t="shared" si="0"/>
        <v>호주매출(프로젝트)201501TV사이니지</v>
      </c>
      <c r="F70" t="s">
        <v>231</v>
      </c>
      <c r="G70" t="s">
        <v>725</v>
      </c>
      <c r="H70" t="s">
        <v>165</v>
      </c>
      <c r="I70" t="s">
        <v>178</v>
      </c>
      <c r="J70">
        <v>450511.05000000005</v>
      </c>
      <c r="K70">
        <v>14</v>
      </c>
      <c r="L70" t="s">
        <v>240</v>
      </c>
    </row>
    <row r="71" spans="1:12">
      <c r="A71" t="str">
        <f t="shared" ref="A71:A106" si="1">G71&amp;H71&amp;I71&amp;F71</f>
        <v>호주매출(프로젝트)201502TV사이니지</v>
      </c>
      <c r="F71" t="s">
        <v>231</v>
      </c>
      <c r="G71" t="s">
        <v>725</v>
      </c>
      <c r="H71" t="s">
        <v>165</v>
      </c>
      <c r="I71" t="s">
        <v>179</v>
      </c>
      <c r="J71">
        <v>574707.76</v>
      </c>
      <c r="K71">
        <v>14</v>
      </c>
      <c r="L71" t="s">
        <v>240</v>
      </c>
    </row>
    <row r="72" spans="1:12">
      <c r="A72" t="str">
        <f t="shared" si="1"/>
        <v>호주매출(프로젝트)201503TV사이니지</v>
      </c>
      <c r="F72" t="s">
        <v>231</v>
      </c>
      <c r="G72" t="s">
        <v>725</v>
      </c>
      <c r="H72" t="s">
        <v>165</v>
      </c>
      <c r="I72" t="s">
        <v>180</v>
      </c>
      <c r="J72">
        <v>288283.80000000005</v>
      </c>
      <c r="K72">
        <v>14</v>
      </c>
      <c r="L72" t="s">
        <v>240</v>
      </c>
    </row>
    <row r="73" spans="1:12">
      <c r="A73" t="str">
        <f t="shared" si="1"/>
        <v>호주매출(프로젝트)201504TV사이니지</v>
      </c>
      <c r="F73" t="s">
        <v>231</v>
      </c>
      <c r="G73" t="s">
        <v>725</v>
      </c>
      <c r="H73" t="s">
        <v>165</v>
      </c>
      <c r="I73" t="s">
        <v>181</v>
      </c>
      <c r="J73">
        <v>105050.84000000001</v>
      </c>
      <c r="K73">
        <v>14</v>
      </c>
      <c r="L73" t="s">
        <v>240</v>
      </c>
    </row>
    <row r="74" spans="1:12">
      <c r="A74" t="str">
        <f t="shared" si="1"/>
        <v>호주매출(프로젝트)201505TV사이니지</v>
      </c>
      <c r="F74" t="s">
        <v>231</v>
      </c>
      <c r="G74" t="s">
        <v>725</v>
      </c>
      <c r="H74" t="s">
        <v>165</v>
      </c>
      <c r="I74" t="s">
        <v>182</v>
      </c>
      <c r="J74">
        <v>339006.51000000007</v>
      </c>
      <c r="K74">
        <v>14</v>
      </c>
      <c r="L74" t="s">
        <v>240</v>
      </c>
    </row>
    <row r="75" spans="1:12">
      <c r="A75" t="str">
        <f t="shared" si="1"/>
        <v>호주매출(프로젝트)201506TV사이니지</v>
      </c>
      <c r="F75" t="s">
        <v>231</v>
      </c>
      <c r="G75" t="s">
        <v>725</v>
      </c>
      <c r="H75" t="s">
        <v>165</v>
      </c>
      <c r="I75" t="s">
        <v>183</v>
      </c>
      <c r="J75">
        <v>462395.24000000005</v>
      </c>
      <c r="K75">
        <v>14</v>
      </c>
      <c r="L75" t="s">
        <v>240</v>
      </c>
    </row>
    <row r="76" spans="1:12">
      <c r="A76" t="str">
        <f t="shared" si="1"/>
        <v>호주매출(프로젝트)201507TV사이니지</v>
      </c>
      <c r="F76" t="s">
        <v>231</v>
      </c>
      <c r="G76" t="s">
        <v>725</v>
      </c>
      <c r="H76" t="s">
        <v>165</v>
      </c>
      <c r="I76" t="s">
        <v>184</v>
      </c>
      <c r="J76">
        <v>335075.48000000004</v>
      </c>
      <c r="K76">
        <v>14</v>
      </c>
      <c r="L76" t="s">
        <v>240</v>
      </c>
    </row>
    <row r="77" spans="1:12">
      <c r="A77" t="str">
        <f t="shared" si="1"/>
        <v>호주매출(프로젝트)201508TV사이니지</v>
      </c>
      <c r="F77" t="s">
        <v>231</v>
      </c>
      <c r="G77" t="s">
        <v>725</v>
      </c>
      <c r="H77" t="s">
        <v>165</v>
      </c>
      <c r="I77" t="s">
        <v>185</v>
      </c>
      <c r="J77">
        <v>539638.16</v>
      </c>
      <c r="K77">
        <v>14</v>
      </c>
      <c r="L77" t="s">
        <v>240</v>
      </c>
    </row>
    <row r="78" spans="1:12">
      <c r="A78" t="str">
        <f t="shared" si="1"/>
        <v>호주매출(프로젝트)201509TV사이니지</v>
      </c>
      <c r="F78" t="s">
        <v>231</v>
      </c>
      <c r="G78" t="s">
        <v>725</v>
      </c>
      <c r="H78" t="s">
        <v>165</v>
      </c>
      <c r="I78" t="s">
        <v>186</v>
      </c>
      <c r="J78">
        <v>1171483.9700000002</v>
      </c>
      <c r="K78">
        <v>14</v>
      </c>
      <c r="L78" t="s">
        <v>240</v>
      </c>
    </row>
    <row r="79" spans="1:12">
      <c r="A79" t="str">
        <f t="shared" si="1"/>
        <v>호주매출(프로젝트)201510TV사이니지</v>
      </c>
      <c r="F79" t="s">
        <v>231</v>
      </c>
      <c r="G79" t="s">
        <v>725</v>
      </c>
      <c r="H79" t="s">
        <v>165</v>
      </c>
      <c r="I79" t="s">
        <v>0</v>
      </c>
      <c r="J79">
        <v>1126027.81</v>
      </c>
      <c r="K79">
        <v>14</v>
      </c>
      <c r="L79" t="s">
        <v>240</v>
      </c>
    </row>
    <row r="80" spans="1:12">
      <c r="A80" t="str">
        <f t="shared" si="1"/>
        <v>호주매출(프로젝트)201511TV사이니지</v>
      </c>
      <c r="F80" t="s">
        <v>231</v>
      </c>
      <c r="G80" t="s">
        <v>725</v>
      </c>
      <c r="H80" t="s">
        <v>165</v>
      </c>
      <c r="I80" t="s">
        <v>1455</v>
      </c>
      <c r="J80">
        <v>685030.75000000012</v>
      </c>
      <c r="K80">
        <v>14</v>
      </c>
      <c r="L80" t="s">
        <v>240</v>
      </c>
    </row>
    <row r="81" spans="1:12">
      <c r="A81" t="str">
        <f t="shared" si="1"/>
        <v>호주매출(프로젝트)201512TV사이니지</v>
      </c>
      <c r="F81" t="s">
        <v>231</v>
      </c>
      <c r="G81" t="s">
        <v>725</v>
      </c>
      <c r="H81" t="s">
        <v>165</v>
      </c>
      <c r="I81" t="s">
        <v>1456</v>
      </c>
      <c r="J81">
        <v>432629.97000000003</v>
      </c>
      <c r="K81">
        <v>14</v>
      </c>
      <c r="L81" t="s">
        <v>240</v>
      </c>
    </row>
    <row r="82" spans="1:12">
      <c r="A82" t="str">
        <f t="shared" si="1"/>
        <v>호주수주잔고201312TV사이니지</v>
      </c>
      <c r="F82" t="s">
        <v>231</v>
      </c>
      <c r="G82" t="s">
        <v>725</v>
      </c>
      <c r="H82" t="s">
        <v>163</v>
      </c>
      <c r="I82" t="s">
        <v>233</v>
      </c>
      <c r="J82">
        <v>664.00022138179088</v>
      </c>
      <c r="K82">
        <v>14</v>
      </c>
      <c r="L82" t="s">
        <v>240</v>
      </c>
    </row>
    <row r="83" spans="1:12">
      <c r="A83" t="str">
        <f t="shared" si="1"/>
        <v>호주수주잔고201401TV사이니지</v>
      </c>
      <c r="F83" t="s">
        <v>231</v>
      </c>
      <c r="G83" t="s">
        <v>725</v>
      </c>
      <c r="H83" t="s">
        <v>163</v>
      </c>
      <c r="I83" t="s">
        <v>166</v>
      </c>
      <c r="J83">
        <v>929433.4683850375</v>
      </c>
      <c r="K83">
        <v>14</v>
      </c>
      <c r="L83" t="s">
        <v>240</v>
      </c>
    </row>
    <row r="84" spans="1:12">
      <c r="A84" t="str">
        <f t="shared" si="1"/>
        <v>호주수주잔고201402TV사이니지</v>
      </c>
      <c r="F84" t="s">
        <v>231</v>
      </c>
      <c r="G84" t="s">
        <v>725</v>
      </c>
      <c r="H84" t="s">
        <v>163</v>
      </c>
      <c r="I84" t="s">
        <v>167</v>
      </c>
      <c r="J84">
        <v>73268.430070362272</v>
      </c>
      <c r="K84">
        <v>14</v>
      </c>
      <c r="L84" t="s">
        <v>240</v>
      </c>
    </row>
    <row r="85" spans="1:12">
      <c r="A85" t="str">
        <f t="shared" si="1"/>
        <v>호주수주잔고201403TV사이니지</v>
      </c>
      <c r="F85" t="s">
        <v>231</v>
      </c>
      <c r="G85" t="s">
        <v>725</v>
      </c>
      <c r="H85" t="s">
        <v>163</v>
      </c>
      <c r="I85" t="s">
        <v>168</v>
      </c>
      <c r="J85">
        <v>64804.750531415244</v>
      </c>
      <c r="K85">
        <v>14</v>
      </c>
      <c r="L85" t="s">
        <v>240</v>
      </c>
    </row>
    <row r="86" spans="1:12">
      <c r="A86" t="str">
        <f t="shared" si="1"/>
        <v>호주수주잔고201404TV사이니지</v>
      </c>
      <c r="F86" t="s">
        <v>231</v>
      </c>
      <c r="G86" t="s">
        <v>725</v>
      </c>
      <c r="H86" t="s">
        <v>163</v>
      </c>
      <c r="I86" t="s">
        <v>169</v>
      </c>
      <c r="J86">
        <v>145264.7614345871</v>
      </c>
      <c r="K86">
        <v>14</v>
      </c>
      <c r="L86" t="s">
        <v>240</v>
      </c>
    </row>
    <row r="87" spans="1:12">
      <c r="A87" t="str">
        <f t="shared" si="1"/>
        <v>호주수주잔고201405TV사이니지</v>
      </c>
      <c r="F87" t="s">
        <v>231</v>
      </c>
      <c r="G87" t="s">
        <v>725</v>
      </c>
      <c r="H87" t="s">
        <v>163</v>
      </c>
      <c r="I87" t="s">
        <v>170</v>
      </c>
      <c r="J87">
        <v>356185.63290598121</v>
      </c>
      <c r="K87">
        <v>14</v>
      </c>
      <c r="L87" t="s">
        <v>240</v>
      </c>
    </row>
    <row r="88" spans="1:12">
      <c r="A88" t="str">
        <f t="shared" si="1"/>
        <v>호주수주잔고201406TV사이니지</v>
      </c>
      <c r="F88" t="s">
        <v>231</v>
      </c>
      <c r="G88" t="s">
        <v>725</v>
      </c>
      <c r="H88" t="s">
        <v>163</v>
      </c>
      <c r="I88" t="s">
        <v>171</v>
      </c>
      <c r="J88">
        <v>1644507.7549422625</v>
      </c>
      <c r="K88">
        <v>14</v>
      </c>
      <c r="L88" t="s">
        <v>240</v>
      </c>
    </row>
    <row r="89" spans="1:12">
      <c r="A89" t="str">
        <f t="shared" si="1"/>
        <v>호주수주잔고201407TV사이니지</v>
      </c>
      <c r="F89" t="s">
        <v>231</v>
      </c>
      <c r="G89" t="s">
        <v>725</v>
      </c>
      <c r="H89" t="s">
        <v>163</v>
      </c>
      <c r="I89" t="s">
        <v>172</v>
      </c>
      <c r="J89">
        <v>853811.90816064866</v>
      </c>
      <c r="K89">
        <v>14</v>
      </c>
      <c r="L89" t="s">
        <v>240</v>
      </c>
    </row>
    <row r="90" spans="1:12">
      <c r="A90" t="str">
        <f t="shared" si="1"/>
        <v>호주수주잔고201408TV사이니지</v>
      </c>
      <c r="F90" t="s">
        <v>231</v>
      </c>
      <c r="G90" t="s">
        <v>725</v>
      </c>
      <c r="H90" t="s">
        <v>163</v>
      </c>
      <c r="I90" t="s">
        <v>173</v>
      </c>
      <c r="J90">
        <v>1543766.6091818654</v>
      </c>
      <c r="K90">
        <v>14</v>
      </c>
      <c r="L90" t="s">
        <v>240</v>
      </c>
    </row>
    <row r="91" spans="1:12">
      <c r="A91" t="str">
        <f t="shared" si="1"/>
        <v>호주수주잔고201409TV사이니지</v>
      </c>
      <c r="F91" t="s">
        <v>231</v>
      </c>
      <c r="G91" t="s">
        <v>725</v>
      </c>
      <c r="H91" t="s">
        <v>163</v>
      </c>
      <c r="I91" t="s">
        <v>174</v>
      </c>
      <c r="J91">
        <v>1082097.0449393722</v>
      </c>
      <c r="K91">
        <v>14</v>
      </c>
      <c r="L91" t="s">
        <v>240</v>
      </c>
    </row>
    <row r="92" spans="1:12">
      <c r="A92" t="str">
        <f t="shared" si="1"/>
        <v>호주수주잔고201410TV사이니지</v>
      </c>
      <c r="F92" t="s">
        <v>231</v>
      </c>
      <c r="G92" t="s">
        <v>725</v>
      </c>
      <c r="H92" t="s">
        <v>163</v>
      </c>
      <c r="I92" t="s">
        <v>175</v>
      </c>
      <c r="J92">
        <v>964319.11512246798</v>
      </c>
      <c r="K92">
        <v>14</v>
      </c>
      <c r="L92" t="s">
        <v>240</v>
      </c>
    </row>
    <row r="93" spans="1:12">
      <c r="A93" t="str">
        <f t="shared" si="1"/>
        <v>호주수주잔고201411TV사이니지</v>
      </c>
      <c r="F93" t="s">
        <v>231</v>
      </c>
      <c r="G93" t="s">
        <v>725</v>
      </c>
      <c r="H93" t="s">
        <v>163</v>
      </c>
      <c r="I93" t="s">
        <v>176</v>
      </c>
      <c r="J93">
        <v>2002407.5187539356</v>
      </c>
      <c r="K93">
        <v>14</v>
      </c>
      <c r="L93" t="s">
        <v>240</v>
      </c>
    </row>
    <row r="94" spans="1:12">
      <c r="A94" t="str">
        <f t="shared" si="1"/>
        <v>호주수주잔고201412TV사이니지</v>
      </c>
      <c r="F94" t="s">
        <v>231</v>
      </c>
      <c r="G94" t="s">
        <v>725</v>
      </c>
      <c r="H94" t="s">
        <v>163</v>
      </c>
      <c r="I94" t="s">
        <v>177</v>
      </c>
      <c r="J94">
        <v>2304394.3313919045</v>
      </c>
      <c r="K94">
        <v>14</v>
      </c>
      <c r="L94" t="s">
        <v>240</v>
      </c>
    </row>
    <row r="95" spans="1:12">
      <c r="A95" t="str">
        <f t="shared" si="1"/>
        <v>호주수주잔고201501TV사이니지</v>
      </c>
      <c r="F95" t="s">
        <v>231</v>
      </c>
      <c r="G95" t="s">
        <v>725</v>
      </c>
      <c r="H95" t="s">
        <v>163</v>
      </c>
      <c r="I95" t="s">
        <v>178</v>
      </c>
      <c r="J95">
        <v>1351665.1753165803</v>
      </c>
      <c r="K95">
        <v>14</v>
      </c>
      <c r="L95" t="s">
        <v>240</v>
      </c>
    </row>
    <row r="96" spans="1:12">
      <c r="A96" t="str">
        <f t="shared" si="1"/>
        <v>호주수주잔고201502TV사이니지</v>
      </c>
      <c r="F96" t="s">
        <v>231</v>
      </c>
      <c r="G96" t="s">
        <v>725</v>
      </c>
      <c r="H96" t="s">
        <v>163</v>
      </c>
      <c r="I96" t="s">
        <v>179</v>
      </c>
      <c r="J96">
        <v>788519.65082238254</v>
      </c>
      <c r="K96">
        <v>14</v>
      </c>
      <c r="L96" t="s">
        <v>240</v>
      </c>
    </row>
    <row r="97" spans="1:12">
      <c r="A97" t="str">
        <f t="shared" si="1"/>
        <v>호주수주잔고201503TV사이니지</v>
      </c>
      <c r="F97" t="s">
        <v>231</v>
      </c>
      <c r="G97" t="s">
        <v>725</v>
      </c>
      <c r="H97" t="s">
        <v>163</v>
      </c>
      <c r="I97" t="s">
        <v>180</v>
      </c>
      <c r="J97">
        <v>367363.36303325149</v>
      </c>
      <c r="K97">
        <v>14</v>
      </c>
      <c r="L97" t="s">
        <v>240</v>
      </c>
    </row>
    <row r="98" spans="1:12">
      <c r="A98" t="str">
        <f t="shared" si="1"/>
        <v>호주수주잔고201504TV사이니지</v>
      </c>
      <c r="F98" t="s">
        <v>231</v>
      </c>
      <c r="G98" t="s">
        <v>725</v>
      </c>
      <c r="H98" t="s">
        <v>163</v>
      </c>
      <c r="I98" t="s">
        <v>181</v>
      </c>
      <c r="J98">
        <v>435180.20677372551</v>
      </c>
      <c r="K98">
        <v>14</v>
      </c>
      <c r="L98" t="s">
        <v>240</v>
      </c>
    </row>
    <row r="99" spans="1:12">
      <c r="A99" t="str">
        <f t="shared" si="1"/>
        <v>호주수주잔고201505TV사이니지</v>
      </c>
      <c r="F99" t="s">
        <v>231</v>
      </c>
      <c r="G99" t="s">
        <v>725</v>
      </c>
      <c r="H99" t="s">
        <v>163</v>
      </c>
      <c r="I99" t="s">
        <v>182</v>
      </c>
      <c r="J99">
        <v>377660.65472149861</v>
      </c>
      <c r="K99">
        <v>14</v>
      </c>
      <c r="L99" t="s">
        <v>240</v>
      </c>
    </row>
    <row r="100" spans="1:12">
      <c r="A100" t="str">
        <f t="shared" si="1"/>
        <v>호주수주잔고201506TV사이니지</v>
      </c>
      <c r="F100" t="s">
        <v>231</v>
      </c>
      <c r="G100" t="s">
        <v>725</v>
      </c>
      <c r="H100" t="s">
        <v>163</v>
      </c>
      <c r="I100" t="s">
        <v>183</v>
      </c>
      <c r="J100">
        <v>717029.25430365081</v>
      </c>
      <c r="K100">
        <v>14</v>
      </c>
      <c r="L100" t="s">
        <v>240</v>
      </c>
    </row>
    <row r="101" spans="1:12">
      <c r="A101" t="str">
        <f t="shared" si="1"/>
        <v>호주수주잔고201507TV사이니지</v>
      </c>
      <c r="F101" t="s">
        <v>231</v>
      </c>
      <c r="G101" t="s">
        <v>725</v>
      </c>
      <c r="H101" t="s">
        <v>163</v>
      </c>
      <c r="I101" t="s">
        <v>184</v>
      </c>
      <c r="J101">
        <v>2410286.4450747659</v>
      </c>
      <c r="K101">
        <v>14</v>
      </c>
      <c r="L101" t="s">
        <v>240</v>
      </c>
    </row>
    <row r="102" spans="1:12">
      <c r="A102" t="str">
        <f t="shared" si="1"/>
        <v>호주수주잔고201508TV사이니지</v>
      </c>
      <c r="F102" t="s">
        <v>231</v>
      </c>
      <c r="G102" t="s">
        <v>725</v>
      </c>
      <c r="H102" t="s">
        <v>163</v>
      </c>
      <c r="I102" t="s">
        <v>185</v>
      </c>
      <c r="J102">
        <v>2583776.8262066762</v>
      </c>
      <c r="K102">
        <v>14</v>
      </c>
      <c r="L102" t="s">
        <v>240</v>
      </c>
    </row>
    <row r="103" spans="1:12">
      <c r="A103" t="str">
        <f t="shared" si="1"/>
        <v>호주수주잔고201509TV사이니지</v>
      </c>
      <c r="F103" t="s">
        <v>231</v>
      </c>
      <c r="G103" t="s">
        <v>725</v>
      </c>
      <c r="H103" t="s">
        <v>163</v>
      </c>
      <c r="I103" t="s">
        <v>186</v>
      </c>
      <c r="J103">
        <v>2465605.2851261813</v>
      </c>
      <c r="K103">
        <v>14</v>
      </c>
      <c r="L103" t="s">
        <v>240</v>
      </c>
    </row>
    <row r="104" spans="1:12">
      <c r="A104" t="str">
        <f t="shared" si="1"/>
        <v>호주수주잔고201510TV사이니지</v>
      </c>
      <c r="F104" t="s">
        <v>231</v>
      </c>
      <c r="G104" t="s">
        <v>725</v>
      </c>
      <c r="H104" t="s">
        <v>163</v>
      </c>
      <c r="I104" t="s">
        <v>0</v>
      </c>
      <c r="J104">
        <v>3298868.3992829663</v>
      </c>
      <c r="K104">
        <v>14</v>
      </c>
      <c r="L104" t="s">
        <v>240</v>
      </c>
    </row>
    <row r="105" spans="1:12">
      <c r="A105" t="str">
        <f t="shared" si="1"/>
        <v>호주수주잔고201511TV사이니지</v>
      </c>
      <c r="F105" t="s">
        <v>231</v>
      </c>
      <c r="G105" t="s">
        <v>725</v>
      </c>
      <c r="H105" t="s">
        <v>163</v>
      </c>
      <c r="I105" t="s">
        <v>1455</v>
      </c>
      <c r="J105">
        <v>2863340.3905720613</v>
      </c>
      <c r="K105">
        <v>14</v>
      </c>
      <c r="L105" t="s">
        <v>240</v>
      </c>
    </row>
    <row r="106" spans="1:12">
      <c r="A106" t="str">
        <f t="shared" si="1"/>
        <v>호주수주잔고201512TV사이니지</v>
      </c>
      <c r="F106" t="s">
        <v>231</v>
      </c>
      <c r="G106" t="s">
        <v>725</v>
      </c>
      <c r="H106" t="s">
        <v>163</v>
      </c>
      <c r="I106" t="s">
        <v>1456</v>
      </c>
      <c r="J106">
        <v>2106107.9102071198</v>
      </c>
      <c r="K106">
        <v>14</v>
      </c>
      <c r="L106" t="s">
        <v>240</v>
      </c>
    </row>
    <row r="107" spans="1:12">
      <c r="A107" t="str">
        <f t="shared" ref="A107:A134" si="2">G107&amp;H107&amp;I107&amp;F107</f>
        <v/>
      </c>
    </row>
    <row r="108" spans="1:12">
      <c r="A108" t="str">
        <f t="shared" si="2"/>
        <v/>
      </c>
    </row>
    <row r="109" spans="1:12">
      <c r="A109" t="str">
        <f t="shared" si="2"/>
        <v/>
      </c>
    </row>
    <row r="110" spans="1:12">
      <c r="A110" t="str">
        <f t="shared" si="2"/>
        <v/>
      </c>
    </row>
    <row r="111" spans="1:12">
      <c r="A111" t="str">
        <f t="shared" si="2"/>
        <v/>
      </c>
    </row>
    <row r="112" spans="1:12">
      <c r="A112" t="str">
        <f t="shared" si="2"/>
        <v/>
      </c>
    </row>
    <row r="113" spans="1:1">
      <c r="A113" t="str">
        <f t="shared" si="2"/>
        <v/>
      </c>
    </row>
    <row r="114" spans="1:1">
      <c r="A114" t="str">
        <f t="shared" si="2"/>
        <v/>
      </c>
    </row>
    <row r="115" spans="1:1">
      <c r="A115" t="str">
        <f t="shared" si="2"/>
        <v/>
      </c>
    </row>
    <row r="116" spans="1:1">
      <c r="A116" t="str">
        <f t="shared" si="2"/>
        <v/>
      </c>
    </row>
    <row r="117" spans="1:1">
      <c r="A117" t="str">
        <f t="shared" si="2"/>
        <v/>
      </c>
    </row>
    <row r="118" spans="1:1">
      <c r="A118" t="str">
        <f t="shared" si="2"/>
        <v/>
      </c>
    </row>
    <row r="119" spans="1:1">
      <c r="A119" t="str">
        <f t="shared" si="2"/>
        <v/>
      </c>
    </row>
    <row r="120" spans="1:1">
      <c r="A120" t="str">
        <f t="shared" si="2"/>
        <v/>
      </c>
    </row>
    <row r="121" spans="1:1">
      <c r="A121" t="str">
        <f t="shared" si="2"/>
        <v/>
      </c>
    </row>
    <row r="122" spans="1:1">
      <c r="A122" t="str">
        <f t="shared" si="2"/>
        <v/>
      </c>
    </row>
    <row r="123" spans="1:1">
      <c r="A123" t="str">
        <f t="shared" si="2"/>
        <v/>
      </c>
    </row>
    <row r="124" spans="1:1">
      <c r="A124" t="str">
        <f t="shared" si="2"/>
        <v/>
      </c>
    </row>
    <row r="125" spans="1:1">
      <c r="A125" t="str">
        <f t="shared" si="2"/>
        <v/>
      </c>
    </row>
    <row r="126" spans="1:1">
      <c r="A126" t="str">
        <f t="shared" si="2"/>
        <v/>
      </c>
    </row>
    <row r="127" spans="1:1">
      <c r="A127" t="str">
        <f t="shared" si="2"/>
        <v/>
      </c>
    </row>
    <row r="128" spans="1:1">
      <c r="A128" t="str">
        <f t="shared" si="2"/>
        <v/>
      </c>
    </row>
    <row r="129" spans="1:1">
      <c r="A129" t="str">
        <f t="shared" si="2"/>
        <v/>
      </c>
    </row>
    <row r="130" spans="1:1">
      <c r="A130" t="str">
        <f t="shared" si="2"/>
        <v/>
      </c>
    </row>
    <row r="131" spans="1:1">
      <c r="A131" t="str">
        <f t="shared" si="2"/>
        <v/>
      </c>
    </row>
    <row r="132" spans="1:1">
      <c r="A132" t="str">
        <f t="shared" si="2"/>
        <v/>
      </c>
    </row>
    <row r="133" spans="1:1">
      <c r="A133" t="str">
        <f t="shared" si="2"/>
        <v/>
      </c>
    </row>
    <row r="134" spans="1:1">
      <c r="A134" t="str">
        <f t="shared" si="2"/>
        <v/>
      </c>
    </row>
    <row r="135" spans="1:1">
      <c r="A135" t="str">
        <f t="shared" ref="A135:A198" si="3">G135&amp;H135&amp;I135&amp;F135</f>
        <v/>
      </c>
    </row>
    <row r="136" spans="1:1">
      <c r="A136" t="str">
        <f t="shared" si="3"/>
        <v/>
      </c>
    </row>
    <row r="137" spans="1:1">
      <c r="A137" t="str">
        <f t="shared" si="3"/>
        <v/>
      </c>
    </row>
    <row r="138" spans="1:1">
      <c r="A138" t="str">
        <f t="shared" si="3"/>
        <v/>
      </c>
    </row>
    <row r="139" spans="1:1">
      <c r="A139" t="str">
        <f t="shared" si="3"/>
        <v/>
      </c>
    </row>
    <row r="140" spans="1:1">
      <c r="A140" t="str">
        <f t="shared" si="3"/>
        <v/>
      </c>
    </row>
    <row r="141" spans="1:1">
      <c r="A141" t="str">
        <f t="shared" si="3"/>
        <v/>
      </c>
    </row>
    <row r="142" spans="1:1">
      <c r="A142" t="str">
        <f t="shared" si="3"/>
        <v/>
      </c>
    </row>
    <row r="143" spans="1:1">
      <c r="A143" t="str">
        <f t="shared" si="3"/>
        <v/>
      </c>
    </row>
    <row r="144" spans="1:1">
      <c r="A144" t="str">
        <f t="shared" si="3"/>
        <v/>
      </c>
    </row>
    <row r="145" spans="1:1">
      <c r="A145" t="str">
        <f t="shared" si="3"/>
        <v/>
      </c>
    </row>
    <row r="146" spans="1:1">
      <c r="A146" t="str">
        <f t="shared" si="3"/>
        <v/>
      </c>
    </row>
    <row r="147" spans="1:1">
      <c r="A147" t="str">
        <f t="shared" si="3"/>
        <v/>
      </c>
    </row>
    <row r="148" spans="1:1">
      <c r="A148" t="str">
        <f t="shared" si="3"/>
        <v/>
      </c>
    </row>
    <row r="149" spans="1:1">
      <c r="A149" t="str">
        <f t="shared" si="3"/>
        <v/>
      </c>
    </row>
    <row r="150" spans="1:1">
      <c r="A150" t="str">
        <f t="shared" si="3"/>
        <v/>
      </c>
    </row>
    <row r="151" spans="1:1">
      <c r="A151" t="str">
        <f t="shared" si="3"/>
        <v/>
      </c>
    </row>
    <row r="152" spans="1:1">
      <c r="A152" t="str">
        <f t="shared" si="3"/>
        <v/>
      </c>
    </row>
    <row r="153" spans="1:1">
      <c r="A153" t="str">
        <f t="shared" si="3"/>
        <v/>
      </c>
    </row>
    <row r="154" spans="1:1">
      <c r="A154" t="str">
        <f t="shared" si="3"/>
        <v/>
      </c>
    </row>
    <row r="155" spans="1:1">
      <c r="A155" t="str">
        <f t="shared" si="3"/>
        <v/>
      </c>
    </row>
    <row r="156" spans="1:1">
      <c r="A156" t="str">
        <f t="shared" si="3"/>
        <v/>
      </c>
    </row>
    <row r="157" spans="1:1">
      <c r="A157" t="str">
        <f t="shared" si="3"/>
        <v/>
      </c>
    </row>
    <row r="158" spans="1:1">
      <c r="A158" t="str">
        <f t="shared" si="3"/>
        <v/>
      </c>
    </row>
    <row r="159" spans="1:1">
      <c r="A159" t="str">
        <f t="shared" si="3"/>
        <v/>
      </c>
    </row>
    <row r="160" spans="1:1">
      <c r="A160" t="str">
        <f t="shared" si="3"/>
        <v/>
      </c>
    </row>
    <row r="161" spans="1:1">
      <c r="A161" t="str">
        <f t="shared" si="3"/>
        <v/>
      </c>
    </row>
    <row r="162" spans="1:1">
      <c r="A162" t="str">
        <f t="shared" si="3"/>
        <v/>
      </c>
    </row>
    <row r="163" spans="1:1">
      <c r="A163" t="str">
        <f t="shared" si="3"/>
        <v/>
      </c>
    </row>
    <row r="164" spans="1:1">
      <c r="A164" t="str">
        <f t="shared" si="3"/>
        <v/>
      </c>
    </row>
    <row r="165" spans="1:1">
      <c r="A165" t="str">
        <f t="shared" si="3"/>
        <v/>
      </c>
    </row>
    <row r="166" spans="1:1">
      <c r="A166" t="str">
        <f t="shared" si="3"/>
        <v/>
      </c>
    </row>
    <row r="167" spans="1:1">
      <c r="A167" t="str">
        <f t="shared" si="3"/>
        <v/>
      </c>
    </row>
    <row r="168" spans="1:1">
      <c r="A168" t="str">
        <f t="shared" si="3"/>
        <v/>
      </c>
    </row>
    <row r="169" spans="1:1">
      <c r="A169" t="str">
        <f t="shared" si="3"/>
        <v/>
      </c>
    </row>
    <row r="170" spans="1:1">
      <c r="A170" t="str">
        <f t="shared" si="3"/>
        <v/>
      </c>
    </row>
    <row r="171" spans="1:1">
      <c r="A171" t="str">
        <f t="shared" si="3"/>
        <v/>
      </c>
    </row>
    <row r="172" spans="1:1">
      <c r="A172" t="str">
        <f t="shared" si="3"/>
        <v/>
      </c>
    </row>
    <row r="173" spans="1:1">
      <c r="A173" t="str">
        <f t="shared" si="3"/>
        <v/>
      </c>
    </row>
    <row r="174" spans="1:1">
      <c r="A174" t="str">
        <f t="shared" si="3"/>
        <v/>
      </c>
    </row>
    <row r="175" spans="1:1">
      <c r="A175" t="str">
        <f t="shared" si="3"/>
        <v/>
      </c>
    </row>
    <row r="176" spans="1:1">
      <c r="A176" t="str">
        <f t="shared" si="3"/>
        <v/>
      </c>
    </row>
    <row r="177" spans="1:1">
      <c r="A177" t="str">
        <f t="shared" si="3"/>
        <v/>
      </c>
    </row>
    <row r="178" spans="1:1">
      <c r="A178" t="str">
        <f t="shared" si="3"/>
        <v/>
      </c>
    </row>
    <row r="179" spans="1:1">
      <c r="A179" t="str">
        <f t="shared" si="3"/>
        <v/>
      </c>
    </row>
    <row r="180" spans="1:1">
      <c r="A180" t="str">
        <f t="shared" si="3"/>
        <v/>
      </c>
    </row>
    <row r="181" spans="1:1">
      <c r="A181" t="str">
        <f t="shared" si="3"/>
        <v/>
      </c>
    </row>
    <row r="182" spans="1:1">
      <c r="A182" t="str">
        <f t="shared" si="3"/>
        <v/>
      </c>
    </row>
    <row r="183" spans="1:1">
      <c r="A183" t="str">
        <f t="shared" si="3"/>
        <v/>
      </c>
    </row>
    <row r="184" spans="1:1">
      <c r="A184" t="str">
        <f t="shared" si="3"/>
        <v/>
      </c>
    </row>
    <row r="185" spans="1:1">
      <c r="A185" t="str">
        <f t="shared" si="3"/>
        <v/>
      </c>
    </row>
    <row r="186" spans="1:1">
      <c r="A186" t="str">
        <f t="shared" si="3"/>
        <v/>
      </c>
    </row>
    <row r="187" spans="1:1">
      <c r="A187" t="str">
        <f t="shared" si="3"/>
        <v/>
      </c>
    </row>
    <row r="188" spans="1:1">
      <c r="A188" t="str">
        <f t="shared" si="3"/>
        <v/>
      </c>
    </row>
    <row r="189" spans="1:1">
      <c r="A189" t="str">
        <f t="shared" si="3"/>
        <v/>
      </c>
    </row>
    <row r="190" spans="1:1">
      <c r="A190" t="str">
        <f t="shared" si="3"/>
        <v/>
      </c>
    </row>
    <row r="191" spans="1:1">
      <c r="A191" t="str">
        <f t="shared" si="3"/>
        <v/>
      </c>
    </row>
    <row r="192" spans="1:1">
      <c r="A192" t="str">
        <f t="shared" si="3"/>
        <v/>
      </c>
    </row>
    <row r="193" spans="1:1">
      <c r="A193" t="str">
        <f t="shared" si="3"/>
        <v/>
      </c>
    </row>
    <row r="194" spans="1:1">
      <c r="A194" t="str">
        <f t="shared" si="3"/>
        <v/>
      </c>
    </row>
    <row r="195" spans="1:1">
      <c r="A195" t="str">
        <f t="shared" si="3"/>
        <v/>
      </c>
    </row>
    <row r="196" spans="1:1">
      <c r="A196" t="str">
        <f t="shared" si="3"/>
        <v/>
      </c>
    </row>
    <row r="197" spans="1:1">
      <c r="A197" t="str">
        <f t="shared" si="3"/>
        <v/>
      </c>
    </row>
    <row r="198" spans="1:1">
      <c r="A198" t="str">
        <f t="shared" si="3"/>
        <v/>
      </c>
    </row>
    <row r="199" spans="1:1">
      <c r="A199" t="str">
        <f t="shared" ref="A199:A262" si="4">G199&amp;H199&amp;I199&amp;F199</f>
        <v/>
      </c>
    </row>
    <row r="200" spans="1:1">
      <c r="A200" t="str">
        <f t="shared" si="4"/>
        <v/>
      </c>
    </row>
    <row r="201" spans="1:1">
      <c r="A201" t="str">
        <f t="shared" si="4"/>
        <v/>
      </c>
    </row>
    <row r="202" spans="1:1">
      <c r="A202" t="str">
        <f t="shared" si="4"/>
        <v/>
      </c>
    </row>
    <row r="203" spans="1:1">
      <c r="A203" t="str">
        <f t="shared" si="4"/>
        <v/>
      </c>
    </row>
    <row r="204" spans="1:1">
      <c r="A204" t="str">
        <f t="shared" si="4"/>
        <v/>
      </c>
    </row>
    <row r="205" spans="1:1">
      <c r="A205" t="str">
        <f t="shared" si="4"/>
        <v/>
      </c>
    </row>
    <row r="206" spans="1:1">
      <c r="A206" t="str">
        <f t="shared" si="4"/>
        <v/>
      </c>
    </row>
    <row r="207" spans="1:1">
      <c r="A207" t="str">
        <f t="shared" si="4"/>
        <v/>
      </c>
    </row>
    <row r="208" spans="1:1">
      <c r="A208" t="str">
        <f t="shared" si="4"/>
        <v/>
      </c>
    </row>
    <row r="209" spans="1:1">
      <c r="A209" t="str">
        <f t="shared" si="4"/>
        <v/>
      </c>
    </row>
    <row r="210" spans="1:1">
      <c r="A210" t="str">
        <f t="shared" si="4"/>
        <v/>
      </c>
    </row>
    <row r="211" spans="1:1">
      <c r="A211" t="str">
        <f t="shared" si="4"/>
        <v/>
      </c>
    </row>
    <row r="212" spans="1:1">
      <c r="A212" t="str">
        <f t="shared" si="4"/>
        <v/>
      </c>
    </row>
    <row r="213" spans="1:1">
      <c r="A213" t="str">
        <f t="shared" si="4"/>
        <v/>
      </c>
    </row>
    <row r="214" spans="1:1">
      <c r="A214" t="str">
        <f t="shared" si="4"/>
        <v/>
      </c>
    </row>
    <row r="215" spans="1:1">
      <c r="A215" t="str">
        <f t="shared" si="4"/>
        <v/>
      </c>
    </row>
    <row r="216" spans="1:1">
      <c r="A216" t="str">
        <f t="shared" si="4"/>
        <v/>
      </c>
    </row>
    <row r="217" spans="1:1">
      <c r="A217" t="str">
        <f t="shared" si="4"/>
        <v/>
      </c>
    </row>
    <row r="218" spans="1:1">
      <c r="A218" t="str">
        <f t="shared" si="4"/>
        <v/>
      </c>
    </row>
    <row r="219" spans="1:1">
      <c r="A219" t="str">
        <f t="shared" si="4"/>
        <v/>
      </c>
    </row>
    <row r="220" spans="1:1">
      <c r="A220" t="str">
        <f t="shared" si="4"/>
        <v/>
      </c>
    </row>
    <row r="221" spans="1:1">
      <c r="A221" t="str">
        <f t="shared" si="4"/>
        <v/>
      </c>
    </row>
    <row r="222" spans="1:1">
      <c r="A222" t="str">
        <f t="shared" si="4"/>
        <v/>
      </c>
    </row>
    <row r="223" spans="1:1">
      <c r="A223" t="str">
        <f t="shared" si="4"/>
        <v/>
      </c>
    </row>
    <row r="224" spans="1:1">
      <c r="A224" t="str">
        <f t="shared" si="4"/>
        <v/>
      </c>
    </row>
    <row r="225" spans="1:1">
      <c r="A225" t="str">
        <f t="shared" si="4"/>
        <v/>
      </c>
    </row>
    <row r="226" spans="1:1">
      <c r="A226" t="str">
        <f t="shared" si="4"/>
        <v/>
      </c>
    </row>
    <row r="227" spans="1:1">
      <c r="A227" t="str">
        <f t="shared" si="4"/>
        <v/>
      </c>
    </row>
    <row r="228" spans="1:1">
      <c r="A228" t="str">
        <f t="shared" si="4"/>
        <v/>
      </c>
    </row>
    <row r="229" spans="1:1">
      <c r="A229" t="str">
        <f t="shared" si="4"/>
        <v/>
      </c>
    </row>
    <row r="230" spans="1:1">
      <c r="A230" t="str">
        <f t="shared" si="4"/>
        <v/>
      </c>
    </row>
    <row r="231" spans="1:1">
      <c r="A231" t="str">
        <f t="shared" si="4"/>
        <v/>
      </c>
    </row>
    <row r="232" spans="1:1">
      <c r="A232" t="str">
        <f t="shared" si="4"/>
        <v/>
      </c>
    </row>
    <row r="233" spans="1:1">
      <c r="A233" t="str">
        <f t="shared" si="4"/>
        <v/>
      </c>
    </row>
    <row r="234" spans="1:1">
      <c r="A234" t="str">
        <f t="shared" si="4"/>
        <v/>
      </c>
    </row>
    <row r="235" spans="1:1">
      <c r="A235" t="str">
        <f t="shared" si="4"/>
        <v/>
      </c>
    </row>
    <row r="236" spans="1:1">
      <c r="A236" t="str">
        <f t="shared" si="4"/>
        <v/>
      </c>
    </row>
    <row r="237" spans="1:1">
      <c r="A237" t="str">
        <f t="shared" si="4"/>
        <v/>
      </c>
    </row>
    <row r="238" spans="1:1">
      <c r="A238" t="str">
        <f t="shared" si="4"/>
        <v/>
      </c>
    </row>
    <row r="239" spans="1:1">
      <c r="A239" t="str">
        <f t="shared" si="4"/>
        <v/>
      </c>
    </row>
    <row r="240" spans="1:1">
      <c r="A240" t="str">
        <f t="shared" si="4"/>
        <v/>
      </c>
    </row>
    <row r="241" spans="1:1">
      <c r="A241" t="str">
        <f t="shared" si="4"/>
        <v/>
      </c>
    </row>
    <row r="242" spans="1:1">
      <c r="A242" t="str">
        <f t="shared" si="4"/>
        <v/>
      </c>
    </row>
    <row r="243" spans="1:1">
      <c r="A243" t="str">
        <f t="shared" si="4"/>
        <v/>
      </c>
    </row>
    <row r="244" spans="1:1">
      <c r="A244" t="str">
        <f t="shared" si="4"/>
        <v/>
      </c>
    </row>
    <row r="245" spans="1:1">
      <c r="A245" t="str">
        <f t="shared" si="4"/>
        <v/>
      </c>
    </row>
    <row r="246" spans="1:1">
      <c r="A246" t="str">
        <f t="shared" si="4"/>
        <v/>
      </c>
    </row>
    <row r="247" spans="1:1">
      <c r="A247" t="str">
        <f t="shared" si="4"/>
        <v/>
      </c>
    </row>
    <row r="248" spans="1:1">
      <c r="A248" t="str">
        <f t="shared" si="4"/>
        <v/>
      </c>
    </row>
    <row r="249" spans="1:1">
      <c r="A249" t="str">
        <f t="shared" si="4"/>
        <v/>
      </c>
    </row>
    <row r="250" spans="1:1">
      <c r="A250" t="str">
        <f t="shared" si="4"/>
        <v/>
      </c>
    </row>
    <row r="251" spans="1:1">
      <c r="A251" t="str">
        <f t="shared" si="4"/>
        <v/>
      </c>
    </row>
    <row r="252" spans="1:1">
      <c r="A252" t="str">
        <f t="shared" si="4"/>
        <v/>
      </c>
    </row>
    <row r="253" spans="1:1">
      <c r="A253" t="str">
        <f t="shared" si="4"/>
        <v/>
      </c>
    </row>
    <row r="254" spans="1:1">
      <c r="A254" t="str">
        <f t="shared" si="4"/>
        <v/>
      </c>
    </row>
    <row r="255" spans="1:1">
      <c r="A255" t="str">
        <f t="shared" si="4"/>
        <v/>
      </c>
    </row>
    <row r="256" spans="1:1">
      <c r="A256" t="str">
        <f t="shared" si="4"/>
        <v/>
      </c>
    </row>
    <row r="257" spans="1:1">
      <c r="A257" t="str">
        <f t="shared" si="4"/>
        <v/>
      </c>
    </row>
    <row r="258" spans="1:1">
      <c r="A258" t="str">
        <f t="shared" si="4"/>
        <v/>
      </c>
    </row>
    <row r="259" spans="1:1">
      <c r="A259" t="str">
        <f t="shared" si="4"/>
        <v/>
      </c>
    </row>
    <row r="260" spans="1:1">
      <c r="A260" t="str">
        <f t="shared" si="4"/>
        <v/>
      </c>
    </row>
    <row r="261" spans="1:1">
      <c r="A261" t="str">
        <f t="shared" si="4"/>
        <v/>
      </c>
    </row>
    <row r="262" spans="1:1">
      <c r="A262" t="str">
        <f t="shared" si="4"/>
        <v/>
      </c>
    </row>
    <row r="263" spans="1:1">
      <c r="A263" t="str">
        <f t="shared" ref="A263:A326" si="5">G263&amp;H263&amp;I263&amp;F263</f>
        <v/>
      </c>
    </row>
    <row r="264" spans="1:1">
      <c r="A264" t="str">
        <f t="shared" si="5"/>
        <v/>
      </c>
    </row>
    <row r="265" spans="1:1">
      <c r="A265" t="str">
        <f t="shared" si="5"/>
        <v/>
      </c>
    </row>
    <row r="266" spans="1:1">
      <c r="A266" t="str">
        <f t="shared" si="5"/>
        <v/>
      </c>
    </row>
    <row r="267" spans="1:1">
      <c r="A267" t="str">
        <f t="shared" si="5"/>
        <v/>
      </c>
    </row>
    <row r="268" spans="1:1">
      <c r="A268" t="str">
        <f t="shared" si="5"/>
        <v/>
      </c>
    </row>
    <row r="269" spans="1:1">
      <c r="A269" t="str">
        <f t="shared" si="5"/>
        <v/>
      </c>
    </row>
    <row r="270" spans="1:1">
      <c r="A270" t="str">
        <f t="shared" si="5"/>
        <v/>
      </c>
    </row>
    <row r="271" spans="1:1">
      <c r="A271" t="str">
        <f t="shared" si="5"/>
        <v/>
      </c>
    </row>
    <row r="272" spans="1:1">
      <c r="A272" t="str">
        <f t="shared" si="5"/>
        <v/>
      </c>
    </row>
    <row r="273" spans="1:1">
      <c r="A273" t="str">
        <f t="shared" si="5"/>
        <v/>
      </c>
    </row>
    <row r="274" spans="1:1">
      <c r="A274" t="str">
        <f t="shared" si="5"/>
        <v/>
      </c>
    </row>
    <row r="275" spans="1:1">
      <c r="A275" t="str">
        <f t="shared" si="5"/>
        <v/>
      </c>
    </row>
    <row r="276" spans="1:1">
      <c r="A276" t="str">
        <f t="shared" si="5"/>
        <v/>
      </c>
    </row>
    <row r="277" spans="1:1">
      <c r="A277" t="str">
        <f t="shared" si="5"/>
        <v/>
      </c>
    </row>
    <row r="278" spans="1:1">
      <c r="A278" t="str">
        <f t="shared" si="5"/>
        <v/>
      </c>
    </row>
    <row r="279" spans="1:1">
      <c r="A279" t="str">
        <f t="shared" si="5"/>
        <v/>
      </c>
    </row>
    <row r="280" spans="1:1">
      <c r="A280" t="str">
        <f t="shared" si="5"/>
        <v/>
      </c>
    </row>
    <row r="281" spans="1:1">
      <c r="A281" t="str">
        <f t="shared" si="5"/>
        <v/>
      </c>
    </row>
    <row r="282" spans="1:1">
      <c r="A282" t="str">
        <f t="shared" si="5"/>
        <v/>
      </c>
    </row>
    <row r="283" spans="1:1">
      <c r="A283" t="str">
        <f t="shared" si="5"/>
        <v/>
      </c>
    </row>
    <row r="284" spans="1:1">
      <c r="A284" t="str">
        <f t="shared" si="5"/>
        <v/>
      </c>
    </row>
    <row r="285" spans="1:1">
      <c r="A285" t="str">
        <f t="shared" si="5"/>
        <v/>
      </c>
    </row>
    <row r="286" spans="1:1">
      <c r="A286" t="str">
        <f t="shared" si="5"/>
        <v/>
      </c>
    </row>
    <row r="287" spans="1:1">
      <c r="A287" t="str">
        <f t="shared" si="5"/>
        <v/>
      </c>
    </row>
    <row r="288" spans="1:1">
      <c r="A288" t="str">
        <f t="shared" si="5"/>
        <v/>
      </c>
    </row>
    <row r="289" spans="1:1">
      <c r="A289" t="str">
        <f t="shared" si="5"/>
        <v/>
      </c>
    </row>
    <row r="290" spans="1:1">
      <c r="A290" t="str">
        <f t="shared" si="5"/>
        <v/>
      </c>
    </row>
    <row r="291" spans="1:1">
      <c r="A291" t="str">
        <f t="shared" si="5"/>
        <v/>
      </c>
    </row>
    <row r="292" spans="1:1">
      <c r="A292" t="str">
        <f t="shared" si="5"/>
        <v/>
      </c>
    </row>
    <row r="293" spans="1:1">
      <c r="A293" t="str">
        <f t="shared" si="5"/>
        <v/>
      </c>
    </row>
    <row r="294" spans="1:1">
      <c r="A294" t="str">
        <f t="shared" si="5"/>
        <v/>
      </c>
    </row>
    <row r="295" spans="1:1">
      <c r="A295" t="str">
        <f t="shared" si="5"/>
        <v/>
      </c>
    </row>
    <row r="296" spans="1:1">
      <c r="A296" t="str">
        <f t="shared" si="5"/>
        <v/>
      </c>
    </row>
    <row r="297" spans="1:1">
      <c r="A297" t="str">
        <f t="shared" si="5"/>
        <v/>
      </c>
    </row>
    <row r="298" spans="1:1">
      <c r="A298" t="str">
        <f t="shared" si="5"/>
        <v/>
      </c>
    </row>
    <row r="299" spans="1:1">
      <c r="A299" t="str">
        <f t="shared" si="5"/>
        <v/>
      </c>
    </row>
    <row r="300" spans="1:1">
      <c r="A300" t="str">
        <f t="shared" si="5"/>
        <v/>
      </c>
    </row>
    <row r="301" spans="1:1">
      <c r="A301" t="str">
        <f t="shared" si="5"/>
        <v/>
      </c>
    </row>
    <row r="302" spans="1:1">
      <c r="A302" t="str">
        <f t="shared" si="5"/>
        <v/>
      </c>
    </row>
    <row r="303" spans="1:1">
      <c r="A303" t="str">
        <f t="shared" si="5"/>
        <v/>
      </c>
    </row>
    <row r="304" spans="1:1">
      <c r="A304" t="str">
        <f t="shared" si="5"/>
        <v/>
      </c>
    </row>
    <row r="305" spans="1:1">
      <c r="A305" t="str">
        <f t="shared" si="5"/>
        <v/>
      </c>
    </row>
    <row r="306" spans="1:1">
      <c r="A306" t="str">
        <f t="shared" si="5"/>
        <v/>
      </c>
    </row>
    <row r="307" spans="1:1">
      <c r="A307" t="str">
        <f t="shared" si="5"/>
        <v/>
      </c>
    </row>
    <row r="308" spans="1:1">
      <c r="A308" t="str">
        <f t="shared" si="5"/>
        <v/>
      </c>
    </row>
    <row r="309" spans="1:1">
      <c r="A309" t="str">
        <f t="shared" si="5"/>
        <v/>
      </c>
    </row>
    <row r="310" spans="1:1">
      <c r="A310" t="str">
        <f t="shared" si="5"/>
        <v/>
      </c>
    </row>
    <row r="311" spans="1:1">
      <c r="A311" t="str">
        <f t="shared" si="5"/>
        <v/>
      </c>
    </row>
    <row r="312" spans="1:1">
      <c r="A312" t="str">
        <f t="shared" si="5"/>
        <v/>
      </c>
    </row>
    <row r="313" spans="1:1">
      <c r="A313" t="str">
        <f t="shared" si="5"/>
        <v/>
      </c>
    </row>
    <row r="314" spans="1:1">
      <c r="A314" t="str">
        <f t="shared" si="5"/>
        <v/>
      </c>
    </row>
    <row r="315" spans="1:1">
      <c r="A315" t="str">
        <f t="shared" si="5"/>
        <v/>
      </c>
    </row>
    <row r="316" spans="1:1">
      <c r="A316" t="str">
        <f t="shared" si="5"/>
        <v/>
      </c>
    </row>
    <row r="317" spans="1:1">
      <c r="A317" t="str">
        <f t="shared" si="5"/>
        <v/>
      </c>
    </row>
    <row r="318" spans="1:1">
      <c r="A318" t="str">
        <f t="shared" si="5"/>
        <v/>
      </c>
    </row>
    <row r="319" spans="1:1">
      <c r="A319" t="str">
        <f t="shared" si="5"/>
        <v/>
      </c>
    </row>
    <row r="320" spans="1:1">
      <c r="A320" t="str">
        <f t="shared" si="5"/>
        <v/>
      </c>
    </row>
    <row r="321" spans="1:1">
      <c r="A321" t="str">
        <f t="shared" si="5"/>
        <v/>
      </c>
    </row>
    <row r="322" spans="1:1">
      <c r="A322" t="str">
        <f t="shared" si="5"/>
        <v/>
      </c>
    </row>
    <row r="323" spans="1:1">
      <c r="A323" t="str">
        <f t="shared" si="5"/>
        <v/>
      </c>
    </row>
    <row r="324" spans="1:1">
      <c r="A324" t="str">
        <f t="shared" si="5"/>
        <v/>
      </c>
    </row>
    <row r="325" spans="1:1">
      <c r="A325" t="str">
        <f t="shared" si="5"/>
        <v/>
      </c>
    </row>
    <row r="326" spans="1:1">
      <c r="A326" t="str">
        <f t="shared" si="5"/>
        <v/>
      </c>
    </row>
    <row r="327" spans="1:1">
      <c r="A327" t="str">
        <f t="shared" ref="A327:A390" si="6">G327&amp;H327&amp;I327&amp;F327</f>
        <v/>
      </c>
    </row>
    <row r="328" spans="1:1">
      <c r="A328" t="str">
        <f t="shared" si="6"/>
        <v/>
      </c>
    </row>
    <row r="329" spans="1:1">
      <c r="A329" t="str">
        <f t="shared" si="6"/>
        <v/>
      </c>
    </row>
    <row r="330" spans="1:1">
      <c r="A330" t="str">
        <f t="shared" si="6"/>
        <v/>
      </c>
    </row>
    <row r="331" spans="1:1">
      <c r="A331" t="str">
        <f t="shared" si="6"/>
        <v/>
      </c>
    </row>
    <row r="332" spans="1:1">
      <c r="A332" t="str">
        <f t="shared" si="6"/>
        <v/>
      </c>
    </row>
    <row r="333" spans="1:1">
      <c r="A333" t="str">
        <f t="shared" si="6"/>
        <v/>
      </c>
    </row>
    <row r="334" spans="1:1">
      <c r="A334" t="str">
        <f t="shared" si="6"/>
        <v/>
      </c>
    </row>
    <row r="335" spans="1:1">
      <c r="A335" t="str">
        <f t="shared" si="6"/>
        <v/>
      </c>
    </row>
    <row r="336" spans="1:1">
      <c r="A336" t="str">
        <f t="shared" si="6"/>
        <v/>
      </c>
    </row>
    <row r="337" spans="1:1">
      <c r="A337" t="str">
        <f t="shared" si="6"/>
        <v/>
      </c>
    </row>
    <row r="338" spans="1:1">
      <c r="A338" t="str">
        <f t="shared" si="6"/>
        <v/>
      </c>
    </row>
    <row r="339" spans="1:1">
      <c r="A339" t="str">
        <f t="shared" si="6"/>
        <v/>
      </c>
    </row>
    <row r="340" spans="1:1">
      <c r="A340" t="str">
        <f t="shared" si="6"/>
        <v/>
      </c>
    </row>
    <row r="341" spans="1:1">
      <c r="A341" t="str">
        <f t="shared" si="6"/>
        <v/>
      </c>
    </row>
    <row r="342" spans="1:1">
      <c r="A342" t="str">
        <f t="shared" si="6"/>
        <v/>
      </c>
    </row>
    <row r="343" spans="1:1">
      <c r="A343" t="str">
        <f t="shared" si="6"/>
        <v/>
      </c>
    </row>
    <row r="344" spans="1:1">
      <c r="A344" t="str">
        <f t="shared" si="6"/>
        <v/>
      </c>
    </row>
    <row r="345" spans="1:1">
      <c r="A345" t="str">
        <f t="shared" si="6"/>
        <v/>
      </c>
    </row>
    <row r="346" spans="1:1">
      <c r="A346" t="str">
        <f t="shared" si="6"/>
        <v/>
      </c>
    </row>
    <row r="347" spans="1:1">
      <c r="A347" t="str">
        <f t="shared" si="6"/>
        <v/>
      </c>
    </row>
    <row r="348" spans="1:1">
      <c r="A348" t="str">
        <f t="shared" si="6"/>
        <v/>
      </c>
    </row>
    <row r="349" spans="1:1">
      <c r="A349" t="str">
        <f t="shared" si="6"/>
        <v/>
      </c>
    </row>
    <row r="350" spans="1:1">
      <c r="A350" t="str">
        <f t="shared" si="6"/>
        <v/>
      </c>
    </row>
    <row r="351" spans="1:1">
      <c r="A351" t="str">
        <f t="shared" si="6"/>
        <v/>
      </c>
    </row>
    <row r="352" spans="1:1">
      <c r="A352" t="str">
        <f t="shared" si="6"/>
        <v/>
      </c>
    </row>
    <row r="353" spans="1:1">
      <c r="A353" t="str">
        <f t="shared" si="6"/>
        <v/>
      </c>
    </row>
    <row r="354" spans="1:1">
      <c r="A354" t="str">
        <f t="shared" si="6"/>
        <v/>
      </c>
    </row>
    <row r="355" spans="1:1">
      <c r="A355" t="str">
        <f t="shared" si="6"/>
        <v/>
      </c>
    </row>
    <row r="356" spans="1:1">
      <c r="A356" t="str">
        <f t="shared" si="6"/>
        <v/>
      </c>
    </row>
    <row r="357" spans="1:1">
      <c r="A357" t="str">
        <f t="shared" si="6"/>
        <v/>
      </c>
    </row>
    <row r="358" spans="1:1">
      <c r="A358" t="str">
        <f t="shared" si="6"/>
        <v/>
      </c>
    </row>
    <row r="359" spans="1:1">
      <c r="A359" t="str">
        <f t="shared" si="6"/>
        <v/>
      </c>
    </row>
    <row r="360" spans="1:1">
      <c r="A360" t="str">
        <f t="shared" si="6"/>
        <v/>
      </c>
    </row>
    <row r="361" spans="1:1">
      <c r="A361" t="str">
        <f t="shared" si="6"/>
        <v/>
      </c>
    </row>
    <row r="362" spans="1:1">
      <c r="A362" t="str">
        <f t="shared" si="6"/>
        <v/>
      </c>
    </row>
    <row r="363" spans="1:1">
      <c r="A363" t="str">
        <f t="shared" si="6"/>
        <v/>
      </c>
    </row>
    <row r="364" spans="1:1">
      <c r="A364" t="str">
        <f t="shared" si="6"/>
        <v/>
      </c>
    </row>
    <row r="365" spans="1:1">
      <c r="A365" t="str">
        <f t="shared" si="6"/>
        <v/>
      </c>
    </row>
    <row r="366" spans="1:1">
      <c r="A366" t="str">
        <f t="shared" si="6"/>
        <v/>
      </c>
    </row>
    <row r="367" spans="1:1">
      <c r="A367" t="str">
        <f t="shared" si="6"/>
        <v/>
      </c>
    </row>
    <row r="368" spans="1:1">
      <c r="A368" t="str">
        <f t="shared" si="6"/>
        <v/>
      </c>
    </row>
    <row r="369" spans="1:1">
      <c r="A369" t="str">
        <f t="shared" si="6"/>
        <v/>
      </c>
    </row>
    <row r="370" spans="1:1">
      <c r="A370" t="str">
        <f t="shared" si="6"/>
        <v/>
      </c>
    </row>
    <row r="371" spans="1:1">
      <c r="A371" t="str">
        <f t="shared" si="6"/>
        <v/>
      </c>
    </row>
    <row r="372" spans="1:1">
      <c r="A372" t="str">
        <f t="shared" si="6"/>
        <v/>
      </c>
    </row>
    <row r="373" spans="1:1">
      <c r="A373" t="str">
        <f t="shared" si="6"/>
        <v/>
      </c>
    </row>
    <row r="374" spans="1:1">
      <c r="A374" t="str">
        <f t="shared" si="6"/>
        <v/>
      </c>
    </row>
    <row r="375" spans="1:1">
      <c r="A375" t="str">
        <f t="shared" si="6"/>
        <v/>
      </c>
    </row>
    <row r="376" spans="1:1">
      <c r="A376" t="str">
        <f t="shared" si="6"/>
        <v/>
      </c>
    </row>
    <row r="377" spans="1:1">
      <c r="A377" t="str">
        <f t="shared" si="6"/>
        <v/>
      </c>
    </row>
    <row r="378" spans="1:1">
      <c r="A378" t="str">
        <f t="shared" si="6"/>
        <v/>
      </c>
    </row>
    <row r="379" spans="1:1">
      <c r="A379" t="str">
        <f t="shared" si="6"/>
        <v/>
      </c>
    </row>
    <row r="380" spans="1:1">
      <c r="A380" t="str">
        <f t="shared" si="6"/>
        <v/>
      </c>
    </row>
    <row r="381" spans="1:1">
      <c r="A381" t="str">
        <f t="shared" si="6"/>
        <v/>
      </c>
    </row>
    <row r="382" spans="1:1">
      <c r="A382" t="str">
        <f t="shared" si="6"/>
        <v/>
      </c>
    </row>
    <row r="383" spans="1:1">
      <c r="A383" t="str">
        <f t="shared" si="6"/>
        <v/>
      </c>
    </row>
    <row r="384" spans="1:1">
      <c r="A384" t="str">
        <f t="shared" si="6"/>
        <v/>
      </c>
    </row>
    <row r="385" spans="1:1">
      <c r="A385" t="str">
        <f t="shared" si="6"/>
        <v/>
      </c>
    </row>
    <row r="386" spans="1:1">
      <c r="A386" t="str">
        <f t="shared" si="6"/>
        <v/>
      </c>
    </row>
    <row r="387" spans="1:1">
      <c r="A387" t="str">
        <f t="shared" si="6"/>
        <v/>
      </c>
    </row>
    <row r="388" spans="1:1">
      <c r="A388" t="str">
        <f t="shared" si="6"/>
        <v/>
      </c>
    </row>
    <row r="389" spans="1:1">
      <c r="A389" t="str">
        <f t="shared" si="6"/>
        <v/>
      </c>
    </row>
    <row r="390" spans="1:1">
      <c r="A390" t="str">
        <f t="shared" si="6"/>
        <v/>
      </c>
    </row>
    <row r="391" spans="1:1">
      <c r="A391" t="str">
        <f t="shared" ref="A391:A454" si="7">G391&amp;H391&amp;I391&amp;F391</f>
        <v/>
      </c>
    </row>
    <row r="392" spans="1:1">
      <c r="A392" t="str">
        <f t="shared" si="7"/>
        <v/>
      </c>
    </row>
    <row r="393" spans="1:1">
      <c r="A393" t="str">
        <f t="shared" si="7"/>
        <v/>
      </c>
    </row>
    <row r="394" spans="1:1">
      <c r="A394" t="str">
        <f t="shared" si="7"/>
        <v/>
      </c>
    </row>
    <row r="395" spans="1:1">
      <c r="A395" t="str">
        <f t="shared" si="7"/>
        <v/>
      </c>
    </row>
    <row r="396" spans="1:1">
      <c r="A396" t="str">
        <f t="shared" si="7"/>
        <v/>
      </c>
    </row>
    <row r="397" spans="1:1">
      <c r="A397" t="str">
        <f t="shared" si="7"/>
        <v/>
      </c>
    </row>
    <row r="398" spans="1:1">
      <c r="A398" t="str">
        <f t="shared" si="7"/>
        <v/>
      </c>
    </row>
    <row r="399" spans="1:1">
      <c r="A399" t="str">
        <f t="shared" si="7"/>
        <v/>
      </c>
    </row>
    <row r="400" spans="1:1">
      <c r="A400" t="str">
        <f t="shared" si="7"/>
        <v/>
      </c>
    </row>
    <row r="401" spans="1:1">
      <c r="A401" t="str">
        <f t="shared" si="7"/>
        <v/>
      </c>
    </row>
    <row r="402" spans="1:1">
      <c r="A402" t="str">
        <f t="shared" si="7"/>
        <v/>
      </c>
    </row>
    <row r="403" spans="1:1">
      <c r="A403" t="str">
        <f t="shared" si="7"/>
        <v/>
      </c>
    </row>
    <row r="404" spans="1:1">
      <c r="A404" t="str">
        <f t="shared" si="7"/>
        <v/>
      </c>
    </row>
    <row r="405" spans="1:1">
      <c r="A405" t="str">
        <f t="shared" si="7"/>
        <v/>
      </c>
    </row>
    <row r="406" spans="1:1">
      <c r="A406" t="str">
        <f t="shared" si="7"/>
        <v/>
      </c>
    </row>
    <row r="407" spans="1:1">
      <c r="A407" t="str">
        <f t="shared" si="7"/>
        <v/>
      </c>
    </row>
    <row r="408" spans="1:1">
      <c r="A408" t="str">
        <f t="shared" si="7"/>
        <v/>
      </c>
    </row>
    <row r="409" spans="1:1">
      <c r="A409" t="str">
        <f t="shared" si="7"/>
        <v/>
      </c>
    </row>
    <row r="410" spans="1:1">
      <c r="A410" t="str">
        <f t="shared" si="7"/>
        <v/>
      </c>
    </row>
    <row r="411" spans="1:1">
      <c r="A411" t="str">
        <f t="shared" si="7"/>
        <v/>
      </c>
    </row>
    <row r="412" spans="1:1">
      <c r="A412" t="str">
        <f t="shared" si="7"/>
        <v/>
      </c>
    </row>
    <row r="413" spans="1:1">
      <c r="A413" t="str">
        <f t="shared" si="7"/>
        <v/>
      </c>
    </row>
    <row r="414" spans="1:1">
      <c r="A414" t="str">
        <f t="shared" si="7"/>
        <v/>
      </c>
    </row>
    <row r="415" spans="1:1">
      <c r="A415" t="str">
        <f t="shared" si="7"/>
        <v/>
      </c>
    </row>
    <row r="416" spans="1:1">
      <c r="A416" t="str">
        <f t="shared" si="7"/>
        <v/>
      </c>
    </row>
    <row r="417" spans="1:1">
      <c r="A417" t="str">
        <f t="shared" si="7"/>
        <v/>
      </c>
    </row>
    <row r="418" spans="1:1">
      <c r="A418" t="str">
        <f t="shared" si="7"/>
        <v/>
      </c>
    </row>
    <row r="419" spans="1:1">
      <c r="A419" t="str">
        <f t="shared" si="7"/>
        <v/>
      </c>
    </row>
    <row r="420" spans="1:1">
      <c r="A420" t="str">
        <f t="shared" si="7"/>
        <v/>
      </c>
    </row>
    <row r="421" spans="1:1">
      <c r="A421" t="str">
        <f t="shared" si="7"/>
        <v/>
      </c>
    </row>
    <row r="422" spans="1:1">
      <c r="A422" t="str">
        <f t="shared" si="7"/>
        <v/>
      </c>
    </row>
    <row r="423" spans="1:1">
      <c r="A423" t="str">
        <f t="shared" si="7"/>
        <v/>
      </c>
    </row>
    <row r="424" spans="1:1">
      <c r="A424" t="str">
        <f t="shared" si="7"/>
        <v/>
      </c>
    </row>
    <row r="425" spans="1:1">
      <c r="A425" t="str">
        <f t="shared" si="7"/>
        <v/>
      </c>
    </row>
    <row r="426" spans="1:1">
      <c r="A426" t="str">
        <f t="shared" si="7"/>
        <v/>
      </c>
    </row>
    <row r="427" spans="1:1">
      <c r="A427" t="str">
        <f t="shared" si="7"/>
        <v/>
      </c>
    </row>
    <row r="428" spans="1:1">
      <c r="A428" t="str">
        <f t="shared" si="7"/>
        <v/>
      </c>
    </row>
    <row r="429" spans="1:1">
      <c r="A429" t="str">
        <f t="shared" si="7"/>
        <v/>
      </c>
    </row>
    <row r="430" spans="1:1">
      <c r="A430" t="str">
        <f t="shared" si="7"/>
        <v/>
      </c>
    </row>
    <row r="431" spans="1:1">
      <c r="A431" t="str">
        <f t="shared" si="7"/>
        <v/>
      </c>
    </row>
    <row r="432" spans="1:1">
      <c r="A432" t="str">
        <f t="shared" si="7"/>
        <v/>
      </c>
    </row>
    <row r="433" spans="1:1">
      <c r="A433" t="str">
        <f t="shared" si="7"/>
        <v/>
      </c>
    </row>
    <row r="434" spans="1:1">
      <c r="A434" t="str">
        <f t="shared" si="7"/>
        <v/>
      </c>
    </row>
    <row r="435" spans="1:1">
      <c r="A435" t="str">
        <f t="shared" si="7"/>
        <v/>
      </c>
    </row>
    <row r="436" spans="1:1">
      <c r="A436" t="str">
        <f t="shared" si="7"/>
        <v/>
      </c>
    </row>
    <row r="437" spans="1:1">
      <c r="A437" t="str">
        <f t="shared" si="7"/>
        <v/>
      </c>
    </row>
    <row r="438" spans="1:1">
      <c r="A438" t="str">
        <f t="shared" si="7"/>
        <v/>
      </c>
    </row>
    <row r="439" spans="1:1">
      <c r="A439" t="str">
        <f t="shared" si="7"/>
        <v/>
      </c>
    </row>
    <row r="440" spans="1:1">
      <c r="A440" t="str">
        <f t="shared" si="7"/>
        <v/>
      </c>
    </row>
    <row r="441" spans="1:1">
      <c r="A441" t="str">
        <f t="shared" si="7"/>
        <v/>
      </c>
    </row>
    <row r="442" spans="1:1">
      <c r="A442" t="str">
        <f t="shared" si="7"/>
        <v/>
      </c>
    </row>
    <row r="443" spans="1:1">
      <c r="A443" t="str">
        <f t="shared" si="7"/>
        <v/>
      </c>
    </row>
    <row r="444" spans="1:1">
      <c r="A444" t="str">
        <f t="shared" si="7"/>
        <v/>
      </c>
    </row>
    <row r="445" spans="1:1">
      <c r="A445" t="str">
        <f t="shared" si="7"/>
        <v/>
      </c>
    </row>
    <row r="446" spans="1:1">
      <c r="A446" t="str">
        <f t="shared" si="7"/>
        <v/>
      </c>
    </row>
    <row r="447" spans="1:1">
      <c r="A447" t="str">
        <f t="shared" si="7"/>
        <v/>
      </c>
    </row>
    <row r="448" spans="1:1">
      <c r="A448" t="str">
        <f t="shared" si="7"/>
        <v/>
      </c>
    </row>
    <row r="449" spans="1:1">
      <c r="A449" t="str">
        <f t="shared" si="7"/>
        <v/>
      </c>
    </row>
    <row r="450" spans="1:1">
      <c r="A450" t="str">
        <f t="shared" si="7"/>
        <v/>
      </c>
    </row>
    <row r="451" spans="1:1">
      <c r="A451" t="str">
        <f t="shared" si="7"/>
        <v/>
      </c>
    </row>
    <row r="452" spans="1:1">
      <c r="A452" t="str">
        <f t="shared" si="7"/>
        <v/>
      </c>
    </row>
    <row r="453" spans="1:1">
      <c r="A453" t="str">
        <f t="shared" si="7"/>
        <v/>
      </c>
    </row>
    <row r="454" spans="1:1">
      <c r="A454" t="str">
        <f t="shared" si="7"/>
        <v/>
      </c>
    </row>
    <row r="455" spans="1:1">
      <c r="A455" t="str">
        <f t="shared" ref="A455:A518" si="8">G455&amp;H455&amp;I455&amp;F455</f>
        <v/>
      </c>
    </row>
    <row r="456" spans="1:1">
      <c r="A456" t="str">
        <f t="shared" si="8"/>
        <v/>
      </c>
    </row>
    <row r="457" spans="1:1">
      <c r="A457" t="str">
        <f t="shared" si="8"/>
        <v/>
      </c>
    </row>
    <row r="458" spans="1:1">
      <c r="A458" t="str">
        <f t="shared" si="8"/>
        <v/>
      </c>
    </row>
    <row r="459" spans="1:1">
      <c r="A459" t="str">
        <f t="shared" si="8"/>
        <v/>
      </c>
    </row>
    <row r="460" spans="1:1">
      <c r="A460" t="str">
        <f t="shared" si="8"/>
        <v/>
      </c>
    </row>
    <row r="461" spans="1:1">
      <c r="A461" t="str">
        <f t="shared" si="8"/>
        <v/>
      </c>
    </row>
    <row r="462" spans="1:1">
      <c r="A462" t="str">
        <f t="shared" si="8"/>
        <v/>
      </c>
    </row>
    <row r="463" spans="1:1">
      <c r="A463" t="str">
        <f t="shared" si="8"/>
        <v/>
      </c>
    </row>
    <row r="464" spans="1:1">
      <c r="A464" t="str">
        <f t="shared" si="8"/>
        <v/>
      </c>
    </row>
    <row r="465" spans="1:1">
      <c r="A465" t="str">
        <f t="shared" si="8"/>
        <v/>
      </c>
    </row>
    <row r="466" spans="1:1">
      <c r="A466" t="str">
        <f t="shared" si="8"/>
        <v/>
      </c>
    </row>
    <row r="467" spans="1:1">
      <c r="A467" t="str">
        <f t="shared" si="8"/>
        <v/>
      </c>
    </row>
    <row r="468" spans="1:1">
      <c r="A468" t="str">
        <f t="shared" si="8"/>
        <v/>
      </c>
    </row>
    <row r="469" spans="1:1">
      <c r="A469" t="str">
        <f t="shared" si="8"/>
        <v/>
      </c>
    </row>
    <row r="470" spans="1:1">
      <c r="A470" t="str">
        <f t="shared" si="8"/>
        <v/>
      </c>
    </row>
    <row r="471" spans="1:1">
      <c r="A471" t="str">
        <f t="shared" si="8"/>
        <v/>
      </c>
    </row>
    <row r="472" spans="1:1">
      <c r="A472" t="str">
        <f t="shared" si="8"/>
        <v/>
      </c>
    </row>
    <row r="473" spans="1:1">
      <c r="A473" t="str">
        <f t="shared" si="8"/>
        <v/>
      </c>
    </row>
    <row r="474" spans="1:1">
      <c r="A474" t="str">
        <f t="shared" si="8"/>
        <v/>
      </c>
    </row>
    <row r="475" spans="1:1">
      <c r="A475" t="str">
        <f t="shared" si="8"/>
        <v/>
      </c>
    </row>
    <row r="476" spans="1:1">
      <c r="A476" t="str">
        <f t="shared" si="8"/>
        <v/>
      </c>
    </row>
    <row r="477" spans="1:1">
      <c r="A477" t="str">
        <f t="shared" si="8"/>
        <v/>
      </c>
    </row>
    <row r="478" spans="1:1">
      <c r="A478" t="str">
        <f t="shared" si="8"/>
        <v/>
      </c>
    </row>
    <row r="479" spans="1:1">
      <c r="A479" t="str">
        <f t="shared" si="8"/>
        <v/>
      </c>
    </row>
    <row r="480" spans="1:1">
      <c r="A480" t="str">
        <f t="shared" si="8"/>
        <v/>
      </c>
    </row>
    <row r="481" spans="1:1">
      <c r="A481" t="str">
        <f t="shared" si="8"/>
        <v/>
      </c>
    </row>
    <row r="482" spans="1:1">
      <c r="A482" t="str">
        <f t="shared" si="8"/>
        <v/>
      </c>
    </row>
    <row r="483" spans="1:1">
      <c r="A483" t="str">
        <f t="shared" si="8"/>
        <v/>
      </c>
    </row>
    <row r="484" spans="1:1">
      <c r="A484" t="str">
        <f t="shared" si="8"/>
        <v/>
      </c>
    </row>
    <row r="485" spans="1:1">
      <c r="A485" t="str">
        <f t="shared" si="8"/>
        <v/>
      </c>
    </row>
    <row r="486" spans="1:1">
      <c r="A486" t="str">
        <f t="shared" si="8"/>
        <v/>
      </c>
    </row>
    <row r="487" spans="1:1">
      <c r="A487" t="str">
        <f t="shared" si="8"/>
        <v/>
      </c>
    </row>
    <row r="488" spans="1:1">
      <c r="A488" t="str">
        <f t="shared" si="8"/>
        <v/>
      </c>
    </row>
    <row r="489" spans="1:1">
      <c r="A489" t="str">
        <f t="shared" si="8"/>
        <v/>
      </c>
    </row>
    <row r="490" spans="1:1">
      <c r="A490" t="str">
        <f t="shared" si="8"/>
        <v/>
      </c>
    </row>
    <row r="491" spans="1:1">
      <c r="A491" t="str">
        <f t="shared" si="8"/>
        <v/>
      </c>
    </row>
    <row r="492" spans="1:1">
      <c r="A492" t="str">
        <f t="shared" si="8"/>
        <v/>
      </c>
    </row>
    <row r="493" spans="1:1">
      <c r="A493" t="str">
        <f t="shared" si="8"/>
        <v/>
      </c>
    </row>
    <row r="494" spans="1:1">
      <c r="A494" t="str">
        <f t="shared" si="8"/>
        <v/>
      </c>
    </row>
    <row r="495" spans="1:1">
      <c r="A495" t="str">
        <f t="shared" si="8"/>
        <v/>
      </c>
    </row>
    <row r="496" spans="1:1">
      <c r="A496" t="str">
        <f t="shared" si="8"/>
        <v/>
      </c>
    </row>
    <row r="497" spans="1:1">
      <c r="A497" t="str">
        <f t="shared" si="8"/>
        <v/>
      </c>
    </row>
    <row r="498" spans="1:1">
      <c r="A498" t="str">
        <f t="shared" si="8"/>
        <v/>
      </c>
    </row>
    <row r="499" spans="1:1">
      <c r="A499" t="str">
        <f t="shared" si="8"/>
        <v/>
      </c>
    </row>
    <row r="500" spans="1:1">
      <c r="A500" t="str">
        <f t="shared" si="8"/>
        <v/>
      </c>
    </row>
    <row r="501" spans="1:1">
      <c r="A501" t="str">
        <f t="shared" si="8"/>
        <v/>
      </c>
    </row>
    <row r="502" spans="1:1">
      <c r="A502" t="str">
        <f t="shared" si="8"/>
        <v/>
      </c>
    </row>
    <row r="503" spans="1:1">
      <c r="A503" t="str">
        <f t="shared" si="8"/>
        <v/>
      </c>
    </row>
    <row r="504" spans="1:1">
      <c r="A504" t="str">
        <f t="shared" si="8"/>
        <v/>
      </c>
    </row>
    <row r="505" spans="1:1">
      <c r="A505" t="str">
        <f t="shared" si="8"/>
        <v/>
      </c>
    </row>
    <row r="506" spans="1:1">
      <c r="A506" t="str">
        <f t="shared" si="8"/>
        <v/>
      </c>
    </row>
    <row r="507" spans="1:1">
      <c r="A507" t="str">
        <f t="shared" si="8"/>
        <v/>
      </c>
    </row>
    <row r="508" spans="1:1">
      <c r="A508" t="str">
        <f t="shared" si="8"/>
        <v/>
      </c>
    </row>
    <row r="509" spans="1:1">
      <c r="A509" t="str">
        <f t="shared" si="8"/>
        <v/>
      </c>
    </row>
    <row r="510" spans="1:1">
      <c r="A510" t="str">
        <f t="shared" si="8"/>
        <v/>
      </c>
    </row>
    <row r="511" spans="1:1">
      <c r="A511" t="str">
        <f t="shared" si="8"/>
        <v/>
      </c>
    </row>
    <row r="512" spans="1:1">
      <c r="A512" t="str">
        <f t="shared" si="8"/>
        <v/>
      </c>
    </row>
    <row r="513" spans="1:1">
      <c r="A513" t="str">
        <f t="shared" si="8"/>
        <v/>
      </c>
    </row>
    <row r="514" spans="1:1">
      <c r="A514" t="str">
        <f t="shared" si="8"/>
        <v/>
      </c>
    </row>
    <row r="515" spans="1:1">
      <c r="A515" t="str">
        <f t="shared" si="8"/>
        <v/>
      </c>
    </row>
    <row r="516" spans="1:1">
      <c r="A516" t="str">
        <f t="shared" si="8"/>
        <v/>
      </c>
    </row>
    <row r="517" spans="1:1">
      <c r="A517" t="str">
        <f t="shared" si="8"/>
        <v/>
      </c>
    </row>
    <row r="518" spans="1:1">
      <c r="A518" t="str">
        <f t="shared" si="8"/>
        <v/>
      </c>
    </row>
    <row r="519" spans="1:1">
      <c r="A519" t="str">
        <f t="shared" ref="A519:A582" si="9">G519&amp;H519&amp;I519&amp;F519</f>
        <v/>
      </c>
    </row>
    <row r="520" spans="1:1">
      <c r="A520" t="str">
        <f t="shared" si="9"/>
        <v/>
      </c>
    </row>
    <row r="521" spans="1:1">
      <c r="A521" t="str">
        <f t="shared" si="9"/>
        <v/>
      </c>
    </row>
    <row r="522" spans="1:1">
      <c r="A522" t="str">
        <f t="shared" si="9"/>
        <v/>
      </c>
    </row>
    <row r="523" spans="1:1">
      <c r="A523" t="str">
        <f t="shared" si="9"/>
        <v/>
      </c>
    </row>
    <row r="524" spans="1:1">
      <c r="A524" t="str">
        <f t="shared" si="9"/>
        <v/>
      </c>
    </row>
    <row r="525" spans="1:1">
      <c r="A525" t="str">
        <f t="shared" si="9"/>
        <v/>
      </c>
    </row>
    <row r="526" spans="1:1">
      <c r="A526" t="str">
        <f t="shared" si="9"/>
        <v/>
      </c>
    </row>
    <row r="527" spans="1:1">
      <c r="A527" t="str">
        <f t="shared" si="9"/>
        <v/>
      </c>
    </row>
    <row r="528" spans="1:1">
      <c r="A528" t="str">
        <f t="shared" si="9"/>
        <v/>
      </c>
    </row>
    <row r="529" spans="1:1">
      <c r="A529" t="str">
        <f t="shared" si="9"/>
        <v/>
      </c>
    </row>
    <row r="530" spans="1:1">
      <c r="A530" t="str">
        <f t="shared" si="9"/>
        <v/>
      </c>
    </row>
    <row r="531" spans="1:1">
      <c r="A531" t="str">
        <f t="shared" si="9"/>
        <v/>
      </c>
    </row>
    <row r="532" spans="1:1">
      <c r="A532" t="str">
        <f t="shared" si="9"/>
        <v/>
      </c>
    </row>
    <row r="533" spans="1:1">
      <c r="A533" t="str">
        <f t="shared" si="9"/>
        <v/>
      </c>
    </row>
    <row r="534" spans="1:1">
      <c r="A534" t="str">
        <f t="shared" si="9"/>
        <v/>
      </c>
    </row>
    <row r="535" spans="1:1">
      <c r="A535" t="str">
        <f t="shared" si="9"/>
        <v/>
      </c>
    </row>
    <row r="536" spans="1:1">
      <c r="A536" t="str">
        <f t="shared" si="9"/>
        <v/>
      </c>
    </row>
    <row r="537" spans="1:1">
      <c r="A537" t="str">
        <f t="shared" si="9"/>
        <v/>
      </c>
    </row>
    <row r="538" spans="1:1">
      <c r="A538" t="str">
        <f t="shared" si="9"/>
        <v/>
      </c>
    </row>
    <row r="539" spans="1:1">
      <c r="A539" t="str">
        <f t="shared" si="9"/>
        <v/>
      </c>
    </row>
    <row r="540" spans="1:1">
      <c r="A540" t="str">
        <f t="shared" si="9"/>
        <v/>
      </c>
    </row>
    <row r="541" spans="1:1">
      <c r="A541" t="str">
        <f t="shared" si="9"/>
        <v/>
      </c>
    </row>
    <row r="542" spans="1:1">
      <c r="A542" t="str">
        <f t="shared" si="9"/>
        <v/>
      </c>
    </row>
    <row r="543" spans="1:1">
      <c r="A543" t="str">
        <f t="shared" si="9"/>
        <v/>
      </c>
    </row>
    <row r="544" spans="1:1">
      <c r="A544" t="str">
        <f t="shared" si="9"/>
        <v/>
      </c>
    </row>
    <row r="545" spans="1:1">
      <c r="A545" t="str">
        <f t="shared" si="9"/>
        <v/>
      </c>
    </row>
    <row r="546" spans="1:1">
      <c r="A546" t="str">
        <f t="shared" si="9"/>
        <v/>
      </c>
    </row>
    <row r="547" spans="1:1">
      <c r="A547" t="str">
        <f t="shared" si="9"/>
        <v/>
      </c>
    </row>
    <row r="548" spans="1:1">
      <c r="A548" t="str">
        <f t="shared" si="9"/>
        <v/>
      </c>
    </row>
    <row r="549" spans="1:1">
      <c r="A549" t="str">
        <f t="shared" si="9"/>
        <v/>
      </c>
    </row>
    <row r="550" spans="1:1">
      <c r="A550" t="str">
        <f t="shared" si="9"/>
        <v/>
      </c>
    </row>
    <row r="551" spans="1:1">
      <c r="A551" t="str">
        <f t="shared" si="9"/>
        <v/>
      </c>
    </row>
    <row r="552" spans="1:1">
      <c r="A552" t="str">
        <f t="shared" si="9"/>
        <v/>
      </c>
    </row>
    <row r="553" spans="1:1">
      <c r="A553" t="str">
        <f t="shared" si="9"/>
        <v/>
      </c>
    </row>
    <row r="554" spans="1:1">
      <c r="A554" t="str">
        <f t="shared" si="9"/>
        <v/>
      </c>
    </row>
    <row r="555" spans="1:1">
      <c r="A555" t="str">
        <f t="shared" si="9"/>
        <v/>
      </c>
    </row>
    <row r="556" spans="1:1">
      <c r="A556" t="str">
        <f t="shared" si="9"/>
        <v/>
      </c>
    </row>
    <row r="557" spans="1:1">
      <c r="A557" t="str">
        <f t="shared" si="9"/>
        <v/>
      </c>
    </row>
    <row r="558" spans="1:1">
      <c r="A558" t="str">
        <f t="shared" si="9"/>
        <v/>
      </c>
    </row>
    <row r="559" spans="1:1">
      <c r="A559" t="str">
        <f t="shared" si="9"/>
        <v/>
      </c>
    </row>
    <row r="560" spans="1:1">
      <c r="A560" t="str">
        <f t="shared" si="9"/>
        <v/>
      </c>
    </row>
    <row r="561" spans="1:1">
      <c r="A561" t="str">
        <f t="shared" si="9"/>
        <v/>
      </c>
    </row>
    <row r="562" spans="1:1">
      <c r="A562" t="str">
        <f t="shared" si="9"/>
        <v/>
      </c>
    </row>
    <row r="563" spans="1:1">
      <c r="A563" t="str">
        <f t="shared" si="9"/>
        <v/>
      </c>
    </row>
    <row r="564" spans="1:1">
      <c r="A564" t="str">
        <f t="shared" si="9"/>
        <v/>
      </c>
    </row>
    <row r="565" spans="1:1">
      <c r="A565" t="str">
        <f t="shared" si="9"/>
        <v/>
      </c>
    </row>
    <row r="566" spans="1:1">
      <c r="A566" t="str">
        <f t="shared" si="9"/>
        <v/>
      </c>
    </row>
    <row r="567" spans="1:1">
      <c r="A567" t="str">
        <f t="shared" si="9"/>
        <v/>
      </c>
    </row>
    <row r="568" spans="1:1">
      <c r="A568" t="str">
        <f t="shared" si="9"/>
        <v/>
      </c>
    </row>
    <row r="569" spans="1:1">
      <c r="A569" t="str">
        <f t="shared" si="9"/>
        <v/>
      </c>
    </row>
    <row r="570" spans="1:1">
      <c r="A570" t="str">
        <f t="shared" si="9"/>
        <v/>
      </c>
    </row>
    <row r="571" spans="1:1">
      <c r="A571" t="str">
        <f t="shared" si="9"/>
        <v/>
      </c>
    </row>
    <row r="572" spans="1:1">
      <c r="A572" t="str">
        <f t="shared" si="9"/>
        <v/>
      </c>
    </row>
    <row r="573" spans="1:1">
      <c r="A573" t="str">
        <f t="shared" si="9"/>
        <v/>
      </c>
    </row>
    <row r="574" spans="1:1">
      <c r="A574" t="str">
        <f t="shared" si="9"/>
        <v/>
      </c>
    </row>
    <row r="575" spans="1:1">
      <c r="A575" t="str">
        <f t="shared" si="9"/>
        <v/>
      </c>
    </row>
    <row r="576" spans="1:1">
      <c r="A576" t="str">
        <f t="shared" si="9"/>
        <v/>
      </c>
    </row>
    <row r="577" spans="1:1">
      <c r="A577" t="str">
        <f t="shared" si="9"/>
        <v/>
      </c>
    </row>
    <row r="578" spans="1:1">
      <c r="A578" t="str">
        <f t="shared" si="9"/>
        <v/>
      </c>
    </row>
    <row r="579" spans="1:1">
      <c r="A579" t="str">
        <f t="shared" si="9"/>
        <v/>
      </c>
    </row>
    <row r="580" spans="1:1">
      <c r="A580" t="str">
        <f t="shared" si="9"/>
        <v/>
      </c>
    </row>
    <row r="581" spans="1:1">
      <c r="A581" t="str">
        <f t="shared" si="9"/>
        <v/>
      </c>
    </row>
    <row r="582" spans="1:1">
      <c r="A582" t="str">
        <f t="shared" si="9"/>
        <v/>
      </c>
    </row>
    <row r="583" spans="1:1">
      <c r="A583" t="str">
        <f t="shared" ref="A583:A646" si="10">G583&amp;H583&amp;I583&amp;F583</f>
        <v/>
      </c>
    </row>
    <row r="584" spans="1:1">
      <c r="A584" t="str">
        <f t="shared" si="10"/>
        <v/>
      </c>
    </row>
    <row r="585" spans="1:1">
      <c r="A585" t="str">
        <f t="shared" si="10"/>
        <v/>
      </c>
    </row>
    <row r="586" spans="1:1">
      <c r="A586" t="str">
        <f t="shared" si="10"/>
        <v/>
      </c>
    </row>
    <row r="587" spans="1:1">
      <c r="A587" t="str">
        <f t="shared" si="10"/>
        <v/>
      </c>
    </row>
    <row r="588" spans="1:1">
      <c r="A588" t="str">
        <f t="shared" si="10"/>
        <v/>
      </c>
    </row>
    <row r="589" spans="1:1">
      <c r="A589" t="str">
        <f t="shared" si="10"/>
        <v/>
      </c>
    </row>
    <row r="590" spans="1:1">
      <c r="A590" t="str">
        <f t="shared" si="10"/>
        <v/>
      </c>
    </row>
    <row r="591" spans="1:1">
      <c r="A591" t="str">
        <f t="shared" si="10"/>
        <v/>
      </c>
    </row>
    <row r="592" spans="1:1">
      <c r="A592" t="str">
        <f t="shared" si="10"/>
        <v/>
      </c>
    </row>
    <row r="593" spans="1:1">
      <c r="A593" t="str">
        <f t="shared" si="10"/>
        <v/>
      </c>
    </row>
    <row r="594" spans="1:1">
      <c r="A594" t="str">
        <f t="shared" si="10"/>
        <v/>
      </c>
    </row>
    <row r="595" spans="1:1">
      <c r="A595" t="str">
        <f t="shared" si="10"/>
        <v/>
      </c>
    </row>
    <row r="596" spans="1:1">
      <c r="A596" t="str">
        <f t="shared" si="10"/>
        <v/>
      </c>
    </row>
    <row r="597" spans="1:1">
      <c r="A597" t="str">
        <f t="shared" si="10"/>
        <v/>
      </c>
    </row>
    <row r="598" spans="1:1">
      <c r="A598" t="str">
        <f t="shared" si="10"/>
        <v/>
      </c>
    </row>
    <row r="599" spans="1:1">
      <c r="A599" t="str">
        <f t="shared" si="10"/>
        <v/>
      </c>
    </row>
    <row r="600" spans="1:1">
      <c r="A600" t="str">
        <f t="shared" si="10"/>
        <v/>
      </c>
    </row>
    <row r="601" spans="1:1">
      <c r="A601" t="str">
        <f t="shared" si="10"/>
        <v/>
      </c>
    </row>
    <row r="602" spans="1:1">
      <c r="A602" t="str">
        <f t="shared" si="10"/>
        <v/>
      </c>
    </row>
    <row r="603" spans="1:1">
      <c r="A603" t="str">
        <f t="shared" si="10"/>
        <v/>
      </c>
    </row>
    <row r="604" spans="1:1">
      <c r="A604" t="str">
        <f t="shared" si="10"/>
        <v/>
      </c>
    </row>
    <row r="605" spans="1:1">
      <c r="A605" t="str">
        <f t="shared" si="10"/>
        <v/>
      </c>
    </row>
    <row r="606" spans="1:1">
      <c r="A606" t="str">
        <f t="shared" si="10"/>
        <v/>
      </c>
    </row>
    <row r="607" spans="1:1">
      <c r="A607" t="str">
        <f t="shared" si="10"/>
        <v/>
      </c>
    </row>
    <row r="608" spans="1:1">
      <c r="A608" t="str">
        <f t="shared" si="10"/>
        <v/>
      </c>
    </row>
    <row r="609" spans="1:1">
      <c r="A609" t="str">
        <f t="shared" si="10"/>
        <v/>
      </c>
    </row>
    <row r="610" spans="1:1">
      <c r="A610" t="str">
        <f t="shared" si="10"/>
        <v/>
      </c>
    </row>
    <row r="611" spans="1:1">
      <c r="A611" t="str">
        <f t="shared" si="10"/>
        <v/>
      </c>
    </row>
    <row r="612" spans="1:1">
      <c r="A612" t="str">
        <f t="shared" si="10"/>
        <v/>
      </c>
    </row>
    <row r="613" spans="1:1">
      <c r="A613" t="str">
        <f t="shared" si="10"/>
        <v/>
      </c>
    </row>
    <row r="614" spans="1:1">
      <c r="A614" t="str">
        <f t="shared" si="10"/>
        <v/>
      </c>
    </row>
    <row r="615" spans="1:1">
      <c r="A615" t="str">
        <f t="shared" si="10"/>
        <v/>
      </c>
    </row>
    <row r="616" spans="1:1">
      <c r="A616" t="str">
        <f t="shared" si="10"/>
        <v/>
      </c>
    </row>
    <row r="617" spans="1:1">
      <c r="A617" t="str">
        <f t="shared" si="10"/>
        <v/>
      </c>
    </row>
    <row r="618" spans="1:1">
      <c r="A618" t="str">
        <f t="shared" si="10"/>
        <v/>
      </c>
    </row>
    <row r="619" spans="1:1">
      <c r="A619" t="str">
        <f t="shared" si="10"/>
        <v/>
      </c>
    </row>
    <row r="620" spans="1:1">
      <c r="A620" t="str">
        <f t="shared" si="10"/>
        <v/>
      </c>
    </row>
    <row r="621" spans="1:1">
      <c r="A621" t="str">
        <f t="shared" si="10"/>
        <v/>
      </c>
    </row>
    <row r="622" spans="1:1">
      <c r="A622" t="str">
        <f t="shared" si="10"/>
        <v/>
      </c>
    </row>
    <row r="623" spans="1:1">
      <c r="A623" t="str">
        <f t="shared" si="10"/>
        <v/>
      </c>
    </row>
    <row r="624" spans="1:1">
      <c r="A624" t="str">
        <f t="shared" si="10"/>
        <v/>
      </c>
    </row>
    <row r="625" spans="1:1">
      <c r="A625" t="str">
        <f t="shared" si="10"/>
        <v/>
      </c>
    </row>
    <row r="626" spans="1:1">
      <c r="A626" t="str">
        <f t="shared" si="10"/>
        <v/>
      </c>
    </row>
    <row r="627" spans="1:1">
      <c r="A627" t="str">
        <f t="shared" si="10"/>
        <v/>
      </c>
    </row>
    <row r="628" spans="1:1">
      <c r="A628" t="str">
        <f t="shared" si="10"/>
        <v/>
      </c>
    </row>
    <row r="629" spans="1:1">
      <c r="A629" t="str">
        <f t="shared" si="10"/>
        <v/>
      </c>
    </row>
    <row r="630" spans="1:1">
      <c r="A630" t="str">
        <f t="shared" si="10"/>
        <v/>
      </c>
    </row>
    <row r="631" spans="1:1">
      <c r="A631" t="str">
        <f t="shared" si="10"/>
        <v/>
      </c>
    </row>
    <row r="632" spans="1:1">
      <c r="A632" t="str">
        <f t="shared" si="10"/>
        <v/>
      </c>
    </row>
    <row r="633" spans="1:1">
      <c r="A633" t="str">
        <f t="shared" si="10"/>
        <v/>
      </c>
    </row>
    <row r="634" spans="1:1">
      <c r="A634" t="str">
        <f t="shared" si="10"/>
        <v/>
      </c>
    </row>
    <row r="635" spans="1:1">
      <c r="A635" t="str">
        <f t="shared" si="10"/>
        <v/>
      </c>
    </row>
    <row r="636" spans="1:1">
      <c r="A636" t="str">
        <f t="shared" si="10"/>
        <v/>
      </c>
    </row>
    <row r="637" spans="1:1">
      <c r="A637" t="str">
        <f t="shared" si="10"/>
        <v/>
      </c>
    </row>
    <row r="638" spans="1:1">
      <c r="A638" t="str">
        <f t="shared" si="10"/>
        <v/>
      </c>
    </row>
    <row r="639" spans="1:1">
      <c r="A639" t="str">
        <f t="shared" si="10"/>
        <v/>
      </c>
    </row>
    <row r="640" spans="1:1">
      <c r="A640" t="str">
        <f t="shared" si="10"/>
        <v/>
      </c>
    </row>
    <row r="641" spans="1:1">
      <c r="A641" t="str">
        <f t="shared" si="10"/>
        <v/>
      </c>
    </row>
    <row r="642" spans="1:1">
      <c r="A642" t="str">
        <f t="shared" si="10"/>
        <v/>
      </c>
    </row>
    <row r="643" spans="1:1">
      <c r="A643" t="str">
        <f t="shared" si="10"/>
        <v/>
      </c>
    </row>
    <row r="644" spans="1:1">
      <c r="A644" t="str">
        <f t="shared" si="10"/>
        <v/>
      </c>
    </row>
    <row r="645" spans="1:1">
      <c r="A645" t="str">
        <f t="shared" si="10"/>
        <v/>
      </c>
    </row>
    <row r="646" spans="1:1">
      <c r="A646" t="str">
        <f t="shared" si="10"/>
        <v/>
      </c>
    </row>
    <row r="647" spans="1:1">
      <c r="A647" t="str">
        <f t="shared" ref="A647:A710" si="11">G647&amp;H647&amp;I647&amp;F647</f>
        <v/>
      </c>
    </row>
    <row r="648" spans="1:1">
      <c r="A648" t="str">
        <f t="shared" si="11"/>
        <v/>
      </c>
    </row>
    <row r="649" spans="1:1">
      <c r="A649" t="str">
        <f t="shared" si="11"/>
        <v/>
      </c>
    </row>
    <row r="650" spans="1:1">
      <c r="A650" t="str">
        <f t="shared" si="11"/>
        <v/>
      </c>
    </row>
    <row r="651" spans="1:1">
      <c r="A651" t="str">
        <f t="shared" si="11"/>
        <v/>
      </c>
    </row>
    <row r="652" spans="1:1">
      <c r="A652" t="str">
        <f t="shared" si="11"/>
        <v/>
      </c>
    </row>
    <row r="653" spans="1:1">
      <c r="A653" t="str">
        <f t="shared" si="11"/>
        <v/>
      </c>
    </row>
    <row r="654" spans="1:1">
      <c r="A654" t="str">
        <f t="shared" si="11"/>
        <v/>
      </c>
    </row>
    <row r="655" spans="1:1">
      <c r="A655" t="str">
        <f t="shared" si="11"/>
        <v/>
      </c>
    </row>
    <row r="656" spans="1:1">
      <c r="A656" t="str">
        <f t="shared" si="11"/>
        <v/>
      </c>
    </row>
    <row r="657" spans="1:1">
      <c r="A657" t="str">
        <f t="shared" si="11"/>
        <v/>
      </c>
    </row>
    <row r="658" spans="1:1">
      <c r="A658" t="str">
        <f t="shared" si="11"/>
        <v/>
      </c>
    </row>
    <row r="659" spans="1:1">
      <c r="A659" t="str">
        <f t="shared" si="11"/>
        <v/>
      </c>
    </row>
    <row r="660" spans="1:1">
      <c r="A660" t="str">
        <f t="shared" si="11"/>
        <v/>
      </c>
    </row>
    <row r="661" spans="1:1">
      <c r="A661" t="str">
        <f t="shared" si="11"/>
        <v/>
      </c>
    </row>
    <row r="662" spans="1:1">
      <c r="A662" t="str">
        <f t="shared" si="11"/>
        <v/>
      </c>
    </row>
    <row r="663" spans="1:1">
      <c r="A663" t="str">
        <f t="shared" si="11"/>
        <v/>
      </c>
    </row>
    <row r="664" spans="1:1">
      <c r="A664" t="str">
        <f t="shared" si="11"/>
        <v/>
      </c>
    </row>
    <row r="665" spans="1:1">
      <c r="A665" t="str">
        <f t="shared" si="11"/>
        <v/>
      </c>
    </row>
    <row r="666" spans="1:1">
      <c r="A666" t="str">
        <f t="shared" si="11"/>
        <v/>
      </c>
    </row>
    <row r="667" spans="1:1">
      <c r="A667" t="str">
        <f t="shared" si="11"/>
        <v/>
      </c>
    </row>
    <row r="668" spans="1:1">
      <c r="A668" t="str">
        <f t="shared" si="11"/>
        <v/>
      </c>
    </row>
    <row r="669" spans="1:1">
      <c r="A669" t="str">
        <f t="shared" si="11"/>
        <v/>
      </c>
    </row>
    <row r="670" spans="1:1">
      <c r="A670" t="str">
        <f t="shared" si="11"/>
        <v/>
      </c>
    </row>
    <row r="671" spans="1:1">
      <c r="A671" t="str">
        <f t="shared" si="11"/>
        <v/>
      </c>
    </row>
    <row r="672" spans="1:1">
      <c r="A672" t="str">
        <f t="shared" si="11"/>
        <v/>
      </c>
    </row>
    <row r="673" spans="1:1">
      <c r="A673" t="str">
        <f t="shared" si="11"/>
        <v/>
      </c>
    </row>
    <row r="674" spans="1:1">
      <c r="A674" t="str">
        <f t="shared" si="11"/>
        <v/>
      </c>
    </row>
    <row r="675" spans="1:1">
      <c r="A675" t="str">
        <f t="shared" si="11"/>
        <v/>
      </c>
    </row>
    <row r="676" spans="1:1">
      <c r="A676" t="str">
        <f t="shared" si="11"/>
        <v/>
      </c>
    </row>
    <row r="677" spans="1:1">
      <c r="A677" t="str">
        <f t="shared" si="11"/>
        <v/>
      </c>
    </row>
    <row r="678" spans="1:1">
      <c r="A678" t="str">
        <f t="shared" si="11"/>
        <v/>
      </c>
    </row>
    <row r="679" spans="1:1">
      <c r="A679" t="str">
        <f t="shared" si="11"/>
        <v/>
      </c>
    </row>
    <row r="680" spans="1:1">
      <c r="A680" t="str">
        <f t="shared" si="11"/>
        <v/>
      </c>
    </row>
    <row r="681" spans="1:1">
      <c r="A681" t="str">
        <f t="shared" si="11"/>
        <v/>
      </c>
    </row>
    <row r="682" spans="1:1">
      <c r="A682" t="str">
        <f t="shared" si="11"/>
        <v/>
      </c>
    </row>
    <row r="683" spans="1:1">
      <c r="A683" t="str">
        <f t="shared" si="11"/>
        <v/>
      </c>
    </row>
    <row r="684" spans="1:1">
      <c r="A684" t="str">
        <f t="shared" si="11"/>
        <v/>
      </c>
    </row>
    <row r="685" spans="1:1">
      <c r="A685" t="str">
        <f t="shared" si="11"/>
        <v/>
      </c>
    </row>
    <row r="686" spans="1:1">
      <c r="A686" t="str">
        <f t="shared" si="11"/>
        <v/>
      </c>
    </row>
    <row r="687" spans="1:1">
      <c r="A687" t="str">
        <f t="shared" si="11"/>
        <v/>
      </c>
    </row>
    <row r="688" spans="1:1">
      <c r="A688" t="str">
        <f t="shared" si="11"/>
        <v/>
      </c>
    </row>
    <row r="689" spans="1:1">
      <c r="A689" t="str">
        <f t="shared" si="11"/>
        <v/>
      </c>
    </row>
    <row r="690" spans="1:1">
      <c r="A690" t="str">
        <f t="shared" si="11"/>
        <v/>
      </c>
    </row>
    <row r="691" spans="1:1">
      <c r="A691" t="str">
        <f t="shared" si="11"/>
        <v/>
      </c>
    </row>
    <row r="692" spans="1:1">
      <c r="A692" t="str">
        <f t="shared" si="11"/>
        <v/>
      </c>
    </row>
    <row r="693" spans="1:1">
      <c r="A693" t="str">
        <f t="shared" si="11"/>
        <v/>
      </c>
    </row>
    <row r="694" spans="1:1">
      <c r="A694" t="str">
        <f t="shared" si="11"/>
        <v/>
      </c>
    </row>
    <row r="695" spans="1:1">
      <c r="A695" t="str">
        <f t="shared" si="11"/>
        <v/>
      </c>
    </row>
    <row r="696" spans="1:1">
      <c r="A696" t="str">
        <f t="shared" si="11"/>
        <v/>
      </c>
    </row>
    <row r="697" spans="1:1">
      <c r="A697" t="str">
        <f t="shared" si="11"/>
        <v/>
      </c>
    </row>
    <row r="698" spans="1:1">
      <c r="A698" t="str">
        <f t="shared" si="11"/>
        <v/>
      </c>
    </row>
    <row r="699" spans="1:1">
      <c r="A699" t="str">
        <f t="shared" si="11"/>
        <v/>
      </c>
    </row>
    <row r="700" spans="1:1">
      <c r="A700" t="str">
        <f t="shared" si="11"/>
        <v/>
      </c>
    </row>
    <row r="701" spans="1:1">
      <c r="A701" t="str">
        <f t="shared" si="11"/>
        <v/>
      </c>
    </row>
    <row r="702" spans="1:1">
      <c r="A702" t="str">
        <f t="shared" si="11"/>
        <v/>
      </c>
    </row>
    <row r="703" spans="1:1">
      <c r="A703" t="str">
        <f t="shared" si="11"/>
        <v/>
      </c>
    </row>
    <row r="704" spans="1:1">
      <c r="A704" t="str">
        <f t="shared" si="11"/>
        <v/>
      </c>
    </row>
    <row r="705" spans="1:1">
      <c r="A705" t="str">
        <f t="shared" si="11"/>
        <v/>
      </c>
    </row>
    <row r="706" spans="1:1">
      <c r="A706" t="str">
        <f t="shared" si="11"/>
        <v/>
      </c>
    </row>
    <row r="707" spans="1:1">
      <c r="A707" t="str">
        <f t="shared" si="11"/>
        <v/>
      </c>
    </row>
    <row r="708" spans="1:1">
      <c r="A708" t="str">
        <f t="shared" si="11"/>
        <v/>
      </c>
    </row>
    <row r="709" spans="1:1">
      <c r="A709" t="str">
        <f t="shared" si="11"/>
        <v/>
      </c>
    </row>
    <row r="710" spans="1:1">
      <c r="A710" t="str">
        <f t="shared" si="11"/>
        <v/>
      </c>
    </row>
    <row r="711" spans="1:1">
      <c r="A711" t="str">
        <f t="shared" ref="A711:A774" si="12">G711&amp;H711&amp;I711&amp;F711</f>
        <v/>
      </c>
    </row>
    <row r="712" spans="1:1">
      <c r="A712" t="str">
        <f t="shared" si="12"/>
        <v/>
      </c>
    </row>
    <row r="713" spans="1:1">
      <c r="A713" t="str">
        <f t="shared" si="12"/>
        <v/>
      </c>
    </row>
    <row r="714" spans="1:1">
      <c r="A714" t="str">
        <f t="shared" si="12"/>
        <v/>
      </c>
    </row>
    <row r="715" spans="1:1">
      <c r="A715" t="str">
        <f t="shared" si="12"/>
        <v/>
      </c>
    </row>
    <row r="716" spans="1:1">
      <c r="A716" t="str">
        <f t="shared" si="12"/>
        <v/>
      </c>
    </row>
    <row r="717" spans="1:1">
      <c r="A717" t="str">
        <f t="shared" si="12"/>
        <v/>
      </c>
    </row>
    <row r="718" spans="1:1">
      <c r="A718" t="str">
        <f t="shared" si="12"/>
        <v/>
      </c>
    </row>
    <row r="719" spans="1:1">
      <c r="A719" t="str">
        <f t="shared" si="12"/>
        <v/>
      </c>
    </row>
    <row r="720" spans="1:1">
      <c r="A720" t="str">
        <f t="shared" si="12"/>
        <v/>
      </c>
    </row>
    <row r="721" spans="1:1">
      <c r="A721" t="str">
        <f t="shared" si="12"/>
        <v/>
      </c>
    </row>
    <row r="722" spans="1:1">
      <c r="A722" t="str">
        <f t="shared" si="12"/>
        <v/>
      </c>
    </row>
    <row r="723" spans="1:1">
      <c r="A723" t="str">
        <f t="shared" si="12"/>
        <v/>
      </c>
    </row>
    <row r="724" spans="1:1">
      <c r="A724" t="str">
        <f t="shared" si="12"/>
        <v/>
      </c>
    </row>
    <row r="725" spans="1:1">
      <c r="A725" t="str">
        <f t="shared" si="12"/>
        <v/>
      </c>
    </row>
    <row r="726" spans="1:1">
      <c r="A726" t="str">
        <f t="shared" si="12"/>
        <v/>
      </c>
    </row>
    <row r="727" spans="1:1">
      <c r="A727" t="str">
        <f t="shared" si="12"/>
        <v/>
      </c>
    </row>
    <row r="728" spans="1:1">
      <c r="A728" t="str">
        <f t="shared" si="12"/>
        <v/>
      </c>
    </row>
    <row r="729" spans="1:1">
      <c r="A729" t="str">
        <f t="shared" si="12"/>
        <v/>
      </c>
    </row>
    <row r="730" spans="1:1">
      <c r="A730" t="str">
        <f t="shared" si="12"/>
        <v/>
      </c>
    </row>
    <row r="731" spans="1:1">
      <c r="A731" t="str">
        <f t="shared" si="12"/>
        <v/>
      </c>
    </row>
    <row r="732" spans="1:1">
      <c r="A732" t="str">
        <f t="shared" si="12"/>
        <v/>
      </c>
    </row>
    <row r="733" spans="1:1">
      <c r="A733" t="str">
        <f t="shared" si="12"/>
        <v/>
      </c>
    </row>
    <row r="734" spans="1:1">
      <c r="A734" t="str">
        <f t="shared" si="12"/>
        <v/>
      </c>
    </row>
    <row r="735" spans="1:1">
      <c r="A735" t="str">
        <f t="shared" si="12"/>
        <v/>
      </c>
    </row>
    <row r="736" spans="1:1">
      <c r="A736" t="str">
        <f t="shared" si="12"/>
        <v/>
      </c>
    </row>
    <row r="737" spans="1:1">
      <c r="A737" t="str">
        <f t="shared" si="12"/>
        <v/>
      </c>
    </row>
    <row r="738" spans="1:1">
      <c r="A738" t="str">
        <f t="shared" si="12"/>
        <v/>
      </c>
    </row>
    <row r="739" spans="1:1">
      <c r="A739" t="str">
        <f t="shared" si="12"/>
        <v/>
      </c>
    </row>
    <row r="740" spans="1:1">
      <c r="A740" t="str">
        <f t="shared" si="12"/>
        <v/>
      </c>
    </row>
    <row r="741" spans="1:1">
      <c r="A741" t="str">
        <f t="shared" si="12"/>
        <v/>
      </c>
    </row>
    <row r="742" spans="1:1">
      <c r="A742" t="str">
        <f t="shared" si="12"/>
        <v/>
      </c>
    </row>
    <row r="743" spans="1:1">
      <c r="A743" t="str">
        <f t="shared" si="12"/>
        <v/>
      </c>
    </row>
    <row r="744" spans="1:1">
      <c r="A744" t="str">
        <f t="shared" si="12"/>
        <v/>
      </c>
    </row>
    <row r="745" spans="1:1">
      <c r="A745" t="str">
        <f t="shared" si="12"/>
        <v/>
      </c>
    </row>
    <row r="746" spans="1:1">
      <c r="A746" t="str">
        <f t="shared" si="12"/>
        <v/>
      </c>
    </row>
    <row r="747" spans="1:1">
      <c r="A747" t="str">
        <f t="shared" si="12"/>
        <v/>
      </c>
    </row>
    <row r="748" spans="1:1">
      <c r="A748" t="str">
        <f t="shared" si="12"/>
        <v/>
      </c>
    </row>
    <row r="749" spans="1:1">
      <c r="A749" t="str">
        <f t="shared" si="12"/>
        <v/>
      </c>
    </row>
    <row r="750" spans="1:1">
      <c r="A750" t="str">
        <f t="shared" si="12"/>
        <v/>
      </c>
    </row>
    <row r="751" spans="1:1">
      <c r="A751" t="str">
        <f t="shared" si="12"/>
        <v/>
      </c>
    </row>
    <row r="752" spans="1:1">
      <c r="A752" t="str">
        <f t="shared" si="12"/>
        <v/>
      </c>
    </row>
    <row r="753" spans="1:1">
      <c r="A753" t="str">
        <f t="shared" si="12"/>
        <v/>
      </c>
    </row>
    <row r="754" spans="1:1">
      <c r="A754" t="str">
        <f t="shared" si="12"/>
        <v/>
      </c>
    </row>
    <row r="755" spans="1:1">
      <c r="A755" t="str">
        <f t="shared" si="12"/>
        <v/>
      </c>
    </row>
    <row r="756" spans="1:1">
      <c r="A756" t="str">
        <f t="shared" si="12"/>
        <v/>
      </c>
    </row>
    <row r="757" spans="1:1">
      <c r="A757" t="str">
        <f t="shared" si="12"/>
        <v/>
      </c>
    </row>
    <row r="758" spans="1:1">
      <c r="A758" t="str">
        <f t="shared" si="12"/>
        <v/>
      </c>
    </row>
    <row r="759" spans="1:1">
      <c r="A759" t="str">
        <f t="shared" si="12"/>
        <v/>
      </c>
    </row>
    <row r="760" spans="1:1">
      <c r="A760" t="str">
        <f t="shared" si="12"/>
        <v/>
      </c>
    </row>
    <row r="761" spans="1:1">
      <c r="A761" t="str">
        <f t="shared" si="12"/>
        <v/>
      </c>
    </row>
    <row r="762" spans="1:1">
      <c r="A762" t="str">
        <f t="shared" si="12"/>
        <v/>
      </c>
    </row>
    <row r="763" spans="1:1">
      <c r="A763" t="str">
        <f t="shared" si="12"/>
        <v/>
      </c>
    </row>
    <row r="764" spans="1:1">
      <c r="A764" t="str">
        <f t="shared" si="12"/>
        <v/>
      </c>
    </row>
    <row r="765" spans="1:1">
      <c r="A765" t="str">
        <f t="shared" si="12"/>
        <v/>
      </c>
    </row>
    <row r="766" spans="1:1">
      <c r="A766" t="str">
        <f t="shared" si="12"/>
        <v/>
      </c>
    </row>
    <row r="767" spans="1:1">
      <c r="A767" t="str">
        <f t="shared" si="12"/>
        <v/>
      </c>
    </row>
    <row r="768" spans="1:1">
      <c r="A768" t="str">
        <f t="shared" si="12"/>
        <v/>
      </c>
    </row>
    <row r="769" spans="1:1">
      <c r="A769" t="str">
        <f t="shared" si="12"/>
        <v/>
      </c>
    </row>
    <row r="770" spans="1:1">
      <c r="A770" t="str">
        <f t="shared" si="12"/>
        <v/>
      </c>
    </row>
    <row r="771" spans="1:1">
      <c r="A771" t="str">
        <f t="shared" si="12"/>
        <v/>
      </c>
    </row>
    <row r="772" spans="1:1">
      <c r="A772" t="str">
        <f t="shared" si="12"/>
        <v/>
      </c>
    </row>
    <row r="773" spans="1:1">
      <c r="A773" t="str">
        <f t="shared" si="12"/>
        <v/>
      </c>
    </row>
    <row r="774" spans="1:1">
      <c r="A774" t="str">
        <f t="shared" si="12"/>
        <v/>
      </c>
    </row>
    <row r="775" spans="1:1">
      <c r="A775" t="str">
        <f t="shared" ref="A775:A838" si="13">G775&amp;H775&amp;I775&amp;F775</f>
        <v/>
      </c>
    </row>
    <row r="776" spans="1:1">
      <c r="A776" t="str">
        <f t="shared" si="13"/>
        <v/>
      </c>
    </row>
    <row r="777" spans="1:1">
      <c r="A777" t="str">
        <f t="shared" si="13"/>
        <v/>
      </c>
    </row>
    <row r="778" spans="1:1">
      <c r="A778" t="str">
        <f t="shared" si="13"/>
        <v/>
      </c>
    </row>
    <row r="779" spans="1:1">
      <c r="A779" t="str">
        <f t="shared" si="13"/>
        <v/>
      </c>
    </row>
    <row r="780" spans="1:1">
      <c r="A780" t="str">
        <f t="shared" si="13"/>
        <v/>
      </c>
    </row>
    <row r="781" spans="1:1">
      <c r="A781" t="str">
        <f t="shared" si="13"/>
        <v/>
      </c>
    </row>
    <row r="782" spans="1:1">
      <c r="A782" t="str">
        <f t="shared" si="13"/>
        <v/>
      </c>
    </row>
    <row r="783" spans="1:1">
      <c r="A783" t="str">
        <f t="shared" si="13"/>
        <v/>
      </c>
    </row>
    <row r="784" spans="1:1">
      <c r="A784" t="str">
        <f t="shared" si="13"/>
        <v/>
      </c>
    </row>
    <row r="785" spans="1:1">
      <c r="A785" t="str">
        <f t="shared" si="13"/>
        <v/>
      </c>
    </row>
    <row r="786" spans="1:1">
      <c r="A786" t="str">
        <f t="shared" si="13"/>
        <v/>
      </c>
    </row>
    <row r="787" spans="1:1">
      <c r="A787" t="str">
        <f t="shared" si="13"/>
        <v/>
      </c>
    </row>
    <row r="788" spans="1:1">
      <c r="A788" t="str">
        <f t="shared" si="13"/>
        <v/>
      </c>
    </row>
    <row r="789" spans="1:1">
      <c r="A789" t="str">
        <f t="shared" si="13"/>
        <v/>
      </c>
    </row>
    <row r="790" spans="1:1">
      <c r="A790" t="str">
        <f t="shared" si="13"/>
        <v/>
      </c>
    </row>
    <row r="791" spans="1:1">
      <c r="A791" t="str">
        <f t="shared" si="13"/>
        <v/>
      </c>
    </row>
    <row r="792" spans="1:1">
      <c r="A792" t="str">
        <f t="shared" si="13"/>
        <v/>
      </c>
    </row>
    <row r="793" spans="1:1">
      <c r="A793" t="str">
        <f t="shared" si="13"/>
        <v/>
      </c>
    </row>
    <row r="794" spans="1:1">
      <c r="A794" t="str">
        <f t="shared" si="13"/>
        <v/>
      </c>
    </row>
    <row r="795" spans="1:1">
      <c r="A795" t="str">
        <f t="shared" si="13"/>
        <v/>
      </c>
    </row>
    <row r="796" spans="1:1">
      <c r="A796" t="str">
        <f t="shared" si="13"/>
        <v/>
      </c>
    </row>
    <row r="797" spans="1:1">
      <c r="A797" t="str">
        <f t="shared" si="13"/>
        <v/>
      </c>
    </row>
    <row r="798" spans="1:1">
      <c r="A798" t="str">
        <f t="shared" si="13"/>
        <v/>
      </c>
    </row>
    <row r="799" spans="1:1">
      <c r="A799" t="str">
        <f t="shared" si="13"/>
        <v/>
      </c>
    </row>
    <row r="800" spans="1:1">
      <c r="A800" t="str">
        <f t="shared" si="13"/>
        <v/>
      </c>
    </row>
    <row r="801" spans="1:1">
      <c r="A801" t="str">
        <f t="shared" si="13"/>
        <v/>
      </c>
    </row>
    <row r="802" spans="1:1">
      <c r="A802" t="str">
        <f t="shared" si="13"/>
        <v/>
      </c>
    </row>
    <row r="803" spans="1:1">
      <c r="A803" t="str">
        <f t="shared" si="13"/>
        <v/>
      </c>
    </row>
    <row r="804" spans="1:1">
      <c r="A804" t="str">
        <f t="shared" si="13"/>
        <v/>
      </c>
    </row>
    <row r="805" spans="1:1">
      <c r="A805" t="str">
        <f t="shared" si="13"/>
        <v/>
      </c>
    </row>
    <row r="806" spans="1:1">
      <c r="A806" t="str">
        <f t="shared" si="13"/>
        <v/>
      </c>
    </row>
    <row r="807" spans="1:1">
      <c r="A807" t="str">
        <f t="shared" si="13"/>
        <v/>
      </c>
    </row>
    <row r="808" spans="1:1">
      <c r="A808" t="str">
        <f t="shared" si="13"/>
        <v/>
      </c>
    </row>
    <row r="809" spans="1:1">
      <c r="A809" t="str">
        <f t="shared" si="13"/>
        <v/>
      </c>
    </row>
    <row r="810" spans="1:1">
      <c r="A810" t="str">
        <f t="shared" si="13"/>
        <v/>
      </c>
    </row>
    <row r="811" spans="1:1">
      <c r="A811" t="str">
        <f t="shared" si="13"/>
        <v/>
      </c>
    </row>
    <row r="812" spans="1:1">
      <c r="A812" t="str">
        <f t="shared" si="13"/>
        <v/>
      </c>
    </row>
    <row r="813" spans="1:1">
      <c r="A813" t="str">
        <f t="shared" si="13"/>
        <v/>
      </c>
    </row>
    <row r="814" spans="1:1">
      <c r="A814" t="str">
        <f t="shared" si="13"/>
        <v/>
      </c>
    </row>
    <row r="815" spans="1:1">
      <c r="A815" t="str">
        <f t="shared" si="13"/>
        <v/>
      </c>
    </row>
    <row r="816" spans="1:1">
      <c r="A816" t="str">
        <f t="shared" si="13"/>
        <v/>
      </c>
    </row>
    <row r="817" spans="1:1">
      <c r="A817" t="str">
        <f t="shared" si="13"/>
        <v/>
      </c>
    </row>
    <row r="818" spans="1:1">
      <c r="A818" t="str">
        <f t="shared" si="13"/>
        <v/>
      </c>
    </row>
    <row r="819" spans="1:1">
      <c r="A819" t="str">
        <f t="shared" si="13"/>
        <v/>
      </c>
    </row>
    <row r="820" spans="1:1">
      <c r="A820" t="str">
        <f t="shared" si="13"/>
        <v/>
      </c>
    </row>
    <row r="821" spans="1:1">
      <c r="A821" t="str">
        <f t="shared" si="13"/>
        <v/>
      </c>
    </row>
    <row r="822" spans="1:1">
      <c r="A822" t="str">
        <f t="shared" si="13"/>
        <v/>
      </c>
    </row>
    <row r="823" spans="1:1">
      <c r="A823" t="str">
        <f t="shared" si="13"/>
        <v/>
      </c>
    </row>
    <row r="824" spans="1:1">
      <c r="A824" t="str">
        <f t="shared" si="13"/>
        <v/>
      </c>
    </row>
    <row r="825" spans="1:1">
      <c r="A825" t="str">
        <f t="shared" si="13"/>
        <v/>
      </c>
    </row>
    <row r="826" spans="1:1">
      <c r="A826" t="str">
        <f t="shared" si="13"/>
        <v/>
      </c>
    </row>
    <row r="827" spans="1:1">
      <c r="A827" t="str">
        <f t="shared" si="13"/>
        <v/>
      </c>
    </row>
    <row r="828" spans="1:1">
      <c r="A828" t="str">
        <f t="shared" si="13"/>
        <v/>
      </c>
    </row>
    <row r="829" spans="1:1">
      <c r="A829" t="str">
        <f t="shared" si="13"/>
        <v/>
      </c>
    </row>
    <row r="830" spans="1:1">
      <c r="A830" t="str">
        <f t="shared" si="13"/>
        <v/>
      </c>
    </row>
    <row r="831" spans="1:1">
      <c r="A831" t="str">
        <f t="shared" si="13"/>
        <v/>
      </c>
    </row>
    <row r="832" spans="1:1">
      <c r="A832" t="str">
        <f t="shared" si="13"/>
        <v/>
      </c>
    </row>
    <row r="833" spans="1:1">
      <c r="A833" t="str">
        <f t="shared" si="13"/>
        <v/>
      </c>
    </row>
    <row r="834" spans="1:1">
      <c r="A834" t="str">
        <f t="shared" si="13"/>
        <v/>
      </c>
    </row>
    <row r="835" spans="1:1">
      <c r="A835" t="str">
        <f t="shared" si="13"/>
        <v/>
      </c>
    </row>
    <row r="836" spans="1:1">
      <c r="A836" t="str">
        <f t="shared" si="13"/>
        <v/>
      </c>
    </row>
    <row r="837" spans="1:1">
      <c r="A837" t="str">
        <f t="shared" si="13"/>
        <v/>
      </c>
    </row>
    <row r="838" spans="1:1">
      <c r="A838" t="str">
        <f t="shared" si="13"/>
        <v/>
      </c>
    </row>
    <row r="839" spans="1:1">
      <c r="A839" t="str">
        <f t="shared" ref="A839:A902" si="14">G839&amp;H839&amp;I839&amp;F839</f>
        <v/>
      </c>
    </row>
    <row r="840" spans="1:1">
      <c r="A840" t="str">
        <f t="shared" si="14"/>
        <v/>
      </c>
    </row>
    <row r="841" spans="1:1">
      <c r="A841" t="str">
        <f t="shared" si="14"/>
        <v/>
      </c>
    </row>
    <row r="842" spans="1:1">
      <c r="A842" t="str">
        <f t="shared" si="14"/>
        <v/>
      </c>
    </row>
    <row r="843" spans="1:1">
      <c r="A843" t="str">
        <f t="shared" si="14"/>
        <v/>
      </c>
    </row>
    <row r="844" spans="1:1">
      <c r="A844" t="str">
        <f t="shared" si="14"/>
        <v/>
      </c>
    </row>
    <row r="845" spans="1:1">
      <c r="A845" t="str">
        <f t="shared" si="14"/>
        <v/>
      </c>
    </row>
    <row r="846" spans="1:1">
      <c r="A846" t="str">
        <f t="shared" si="14"/>
        <v/>
      </c>
    </row>
    <row r="847" spans="1:1">
      <c r="A847" t="str">
        <f t="shared" si="14"/>
        <v/>
      </c>
    </row>
    <row r="848" spans="1:1">
      <c r="A848" t="str">
        <f t="shared" si="14"/>
        <v/>
      </c>
    </row>
    <row r="849" spans="1:1">
      <c r="A849" t="str">
        <f t="shared" si="14"/>
        <v/>
      </c>
    </row>
    <row r="850" spans="1:1">
      <c r="A850" t="str">
        <f t="shared" si="14"/>
        <v/>
      </c>
    </row>
    <row r="851" spans="1:1">
      <c r="A851" t="str">
        <f t="shared" si="14"/>
        <v/>
      </c>
    </row>
    <row r="852" spans="1:1">
      <c r="A852" t="str">
        <f t="shared" si="14"/>
        <v/>
      </c>
    </row>
    <row r="853" spans="1:1">
      <c r="A853" t="str">
        <f t="shared" si="14"/>
        <v/>
      </c>
    </row>
    <row r="854" spans="1:1">
      <c r="A854" t="str">
        <f t="shared" si="14"/>
        <v/>
      </c>
    </row>
    <row r="855" spans="1:1">
      <c r="A855" t="str">
        <f t="shared" si="14"/>
        <v/>
      </c>
    </row>
    <row r="856" spans="1:1">
      <c r="A856" t="str">
        <f t="shared" si="14"/>
        <v/>
      </c>
    </row>
    <row r="857" spans="1:1">
      <c r="A857" t="str">
        <f t="shared" si="14"/>
        <v/>
      </c>
    </row>
    <row r="858" spans="1:1">
      <c r="A858" t="str">
        <f t="shared" si="14"/>
        <v/>
      </c>
    </row>
    <row r="859" spans="1:1">
      <c r="A859" t="str">
        <f t="shared" si="14"/>
        <v/>
      </c>
    </row>
    <row r="860" spans="1:1">
      <c r="A860" t="str">
        <f t="shared" si="14"/>
        <v/>
      </c>
    </row>
    <row r="861" spans="1:1">
      <c r="A861" t="str">
        <f t="shared" si="14"/>
        <v/>
      </c>
    </row>
    <row r="862" spans="1:1">
      <c r="A862" t="str">
        <f t="shared" si="14"/>
        <v/>
      </c>
    </row>
    <row r="863" spans="1:1">
      <c r="A863" t="str">
        <f t="shared" si="14"/>
        <v/>
      </c>
    </row>
    <row r="864" spans="1:1">
      <c r="A864" t="str">
        <f t="shared" si="14"/>
        <v/>
      </c>
    </row>
    <row r="865" spans="1:1">
      <c r="A865" t="str">
        <f t="shared" si="14"/>
        <v/>
      </c>
    </row>
    <row r="866" spans="1:1">
      <c r="A866" t="str">
        <f t="shared" si="14"/>
        <v/>
      </c>
    </row>
    <row r="867" spans="1:1">
      <c r="A867" t="str">
        <f t="shared" si="14"/>
        <v/>
      </c>
    </row>
    <row r="868" spans="1:1">
      <c r="A868" t="str">
        <f t="shared" si="14"/>
        <v/>
      </c>
    </row>
    <row r="869" spans="1:1">
      <c r="A869" t="str">
        <f t="shared" si="14"/>
        <v/>
      </c>
    </row>
    <row r="870" spans="1:1">
      <c r="A870" t="str">
        <f t="shared" si="14"/>
        <v/>
      </c>
    </row>
    <row r="871" spans="1:1">
      <c r="A871" t="str">
        <f t="shared" si="14"/>
        <v/>
      </c>
    </row>
    <row r="872" spans="1:1">
      <c r="A872" t="str">
        <f t="shared" si="14"/>
        <v/>
      </c>
    </row>
    <row r="873" spans="1:1">
      <c r="A873" t="str">
        <f t="shared" si="14"/>
        <v/>
      </c>
    </row>
    <row r="874" spans="1:1">
      <c r="A874" t="str">
        <f t="shared" si="14"/>
        <v/>
      </c>
    </row>
    <row r="875" spans="1:1">
      <c r="A875" t="str">
        <f t="shared" si="14"/>
        <v/>
      </c>
    </row>
    <row r="876" spans="1:1">
      <c r="A876" t="str">
        <f t="shared" si="14"/>
        <v/>
      </c>
    </row>
    <row r="877" spans="1:1">
      <c r="A877" t="str">
        <f t="shared" si="14"/>
        <v/>
      </c>
    </row>
    <row r="878" spans="1:1">
      <c r="A878" t="str">
        <f t="shared" si="14"/>
        <v/>
      </c>
    </row>
    <row r="879" spans="1:1">
      <c r="A879" t="str">
        <f t="shared" si="14"/>
        <v/>
      </c>
    </row>
    <row r="880" spans="1:1">
      <c r="A880" t="str">
        <f t="shared" si="14"/>
        <v/>
      </c>
    </row>
    <row r="881" spans="1:1">
      <c r="A881" t="str">
        <f t="shared" si="14"/>
        <v/>
      </c>
    </row>
    <row r="882" spans="1:1">
      <c r="A882" t="str">
        <f t="shared" si="14"/>
        <v/>
      </c>
    </row>
    <row r="883" spans="1:1">
      <c r="A883" t="str">
        <f t="shared" si="14"/>
        <v/>
      </c>
    </row>
    <row r="884" spans="1:1">
      <c r="A884" t="str">
        <f t="shared" si="14"/>
        <v/>
      </c>
    </row>
    <row r="885" spans="1:1">
      <c r="A885" t="str">
        <f t="shared" si="14"/>
        <v/>
      </c>
    </row>
    <row r="886" spans="1:1">
      <c r="A886" t="str">
        <f t="shared" si="14"/>
        <v/>
      </c>
    </row>
    <row r="887" spans="1:1">
      <c r="A887" t="str">
        <f t="shared" si="14"/>
        <v/>
      </c>
    </row>
    <row r="888" spans="1:1">
      <c r="A888" t="str">
        <f t="shared" si="14"/>
        <v/>
      </c>
    </row>
    <row r="889" spans="1:1">
      <c r="A889" t="str">
        <f t="shared" si="14"/>
        <v/>
      </c>
    </row>
    <row r="890" spans="1:1">
      <c r="A890" t="str">
        <f t="shared" si="14"/>
        <v/>
      </c>
    </row>
    <row r="891" spans="1:1">
      <c r="A891" t="str">
        <f t="shared" si="14"/>
        <v/>
      </c>
    </row>
    <row r="892" spans="1:1">
      <c r="A892" t="str">
        <f t="shared" si="14"/>
        <v/>
      </c>
    </row>
    <row r="893" spans="1:1">
      <c r="A893" t="str">
        <f t="shared" si="14"/>
        <v/>
      </c>
    </row>
    <row r="894" spans="1:1">
      <c r="A894" t="str">
        <f t="shared" si="14"/>
        <v/>
      </c>
    </row>
    <row r="895" spans="1:1">
      <c r="A895" t="str">
        <f t="shared" si="14"/>
        <v/>
      </c>
    </row>
    <row r="896" spans="1:1">
      <c r="A896" t="str">
        <f t="shared" si="14"/>
        <v/>
      </c>
    </row>
    <row r="897" spans="1:1">
      <c r="A897" t="str">
        <f t="shared" si="14"/>
        <v/>
      </c>
    </row>
    <row r="898" spans="1:1">
      <c r="A898" t="str">
        <f t="shared" si="14"/>
        <v/>
      </c>
    </row>
    <row r="899" spans="1:1">
      <c r="A899" t="str">
        <f t="shared" si="14"/>
        <v/>
      </c>
    </row>
    <row r="900" spans="1:1">
      <c r="A900" t="str">
        <f t="shared" si="14"/>
        <v/>
      </c>
    </row>
    <row r="901" spans="1:1">
      <c r="A901" t="str">
        <f t="shared" si="14"/>
        <v/>
      </c>
    </row>
    <row r="902" spans="1:1">
      <c r="A902" t="str">
        <f t="shared" si="14"/>
        <v/>
      </c>
    </row>
    <row r="903" spans="1:1">
      <c r="A903" t="str">
        <f t="shared" ref="A903:A966" si="15">G903&amp;H903&amp;I903&amp;F903</f>
        <v/>
      </c>
    </row>
    <row r="904" spans="1:1">
      <c r="A904" t="str">
        <f t="shared" si="15"/>
        <v/>
      </c>
    </row>
    <row r="905" spans="1:1">
      <c r="A905" t="str">
        <f t="shared" si="15"/>
        <v/>
      </c>
    </row>
    <row r="906" spans="1:1">
      <c r="A906" t="str">
        <f t="shared" si="15"/>
        <v/>
      </c>
    </row>
    <row r="907" spans="1:1">
      <c r="A907" t="str">
        <f t="shared" si="15"/>
        <v/>
      </c>
    </row>
    <row r="908" spans="1:1">
      <c r="A908" t="str">
        <f t="shared" si="15"/>
        <v/>
      </c>
    </row>
    <row r="909" spans="1:1">
      <c r="A909" t="str">
        <f t="shared" si="15"/>
        <v/>
      </c>
    </row>
    <row r="910" spans="1:1">
      <c r="A910" t="str">
        <f t="shared" si="15"/>
        <v/>
      </c>
    </row>
    <row r="911" spans="1:1">
      <c r="A911" t="str">
        <f t="shared" si="15"/>
        <v/>
      </c>
    </row>
    <row r="912" spans="1:1">
      <c r="A912" t="str">
        <f t="shared" si="15"/>
        <v/>
      </c>
    </row>
    <row r="913" spans="1:1">
      <c r="A913" t="str">
        <f t="shared" si="15"/>
        <v/>
      </c>
    </row>
    <row r="914" spans="1:1">
      <c r="A914" t="str">
        <f t="shared" si="15"/>
        <v/>
      </c>
    </row>
    <row r="915" spans="1:1">
      <c r="A915" t="str">
        <f t="shared" si="15"/>
        <v/>
      </c>
    </row>
    <row r="916" spans="1:1">
      <c r="A916" t="str">
        <f t="shared" si="15"/>
        <v/>
      </c>
    </row>
    <row r="917" spans="1:1">
      <c r="A917" t="str">
        <f t="shared" si="15"/>
        <v/>
      </c>
    </row>
    <row r="918" spans="1:1">
      <c r="A918" t="str">
        <f t="shared" si="15"/>
        <v/>
      </c>
    </row>
    <row r="919" spans="1:1">
      <c r="A919" t="str">
        <f t="shared" si="15"/>
        <v/>
      </c>
    </row>
    <row r="920" spans="1:1">
      <c r="A920" t="str">
        <f t="shared" si="15"/>
        <v/>
      </c>
    </row>
    <row r="921" spans="1:1">
      <c r="A921" t="str">
        <f t="shared" si="15"/>
        <v/>
      </c>
    </row>
    <row r="922" spans="1:1">
      <c r="A922" t="str">
        <f t="shared" si="15"/>
        <v/>
      </c>
    </row>
    <row r="923" spans="1:1">
      <c r="A923" t="str">
        <f t="shared" si="15"/>
        <v/>
      </c>
    </row>
    <row r="924" spans="1:1">
      <c r="A924" t="str">
        <f t="shared" si="15"/>
        <v/>
      </c>
    </row>
    <row r="925" spans="1:1">
      <c r="A925" t="str">
        <f t="shared" si="15"/>
        <v/>
      </c>
    </row>
    <row r="926" spans="1:1">
      <c r="A926" t="str">
        <f t="shared" si="15"/>
        <v/>
      </c>
    </row>
    <row r="927" spans="1:1">
      <c r="A927" t="str">
        <f t="shared" si="15"/>
        <v/>
      </c>
    </row>
    <row r="928" spans="1:1">
      <c r="A928" t="str">
        <f t="shared" si="15"/>
        <v/>
      </c>
    </row>
    <row r="929" spans="1:1">
      <c r="A929" t="str">
        <f t="shared" si="15"/>
        <v/>
      </c>
    </row>
    <row r="930" spans="1:1">
      <c r="A930" t="str">
        <f t="shared" si="15"/>
        <v/>
      </c>
    </row>
    <row r="931" spans="1:1">
      <c r="A931" t="str">
        <f t="shared" si="15"/>
        <v/>
      </c>
    </row>
    <row r="932" spans="1:1">
      <c r="A932" t="str">
        <f t="shared" si="15"/>
        <v/>
      </c>
    </row>
    <row r="933" spans="1:1">
      <c r="A933" t="str">
        <f t="shared" si="15"/>
        <v/>
      </c>
    </row>
    <row r="934" spans="1:1">
      <c r="A934" t="str">
        <f t="shared" si="15"/>
        <v/>
      </c>
    </row>
    <row r="935" spans="1:1">
      <c r="A935" t="str">
        <f t="shared" si="15"/>
        <v/>
      </c>
    </row>
    <row r="936" spans="1:1">
      <c r="A936" t="str">
        <f t="shared" si="15"/>
        <v/>
      </c>
    </row>
    <row r="937" spans="1:1">
      <c r="A937" t="str">
        <f t="shared" si="15"/>
        <v/>
      </c>
    </row>
    <row r="938" spans="1:1">
      <c r="A938" t="str">
        <f t="shared" si="15"/>
        <v/>
      </c>
    </row>
    <row r="939" spans="1:1">
      <c r="A939" t="str">
        <f t="shared" si="15"/>
        <v/>
      </c>
    </row>
    <row r="940" spans="1:1">
      <c r="A940" t="str">
        <f t="shared" si="15"/>
        <v/>
      </c>
    </row>
    <row r="941" spans="1:1">
      <c r="A941" t="str">
        <f t="shared" si="15"/>
        <v/>
      </c>
    </row>
    <row r="942" spans="1:1">
      <c r="A942" t="str">
        <f t="shared" si="15"/>
        <v/>
      </c>
    </row>
    <row r="943" spans="1:1">
      <c r="A943" t="str">
        <f t="shared" si="15"/>
        <v/>
      </c>
    </row>
    <row r="944" spans="1:1">
      <c r="A944" t="str">
        <f t="shared" si="15"/>
        <v/>
      </c>
    </row>
    <row r="945" spans="1:1">
      <c r="A945" t="str">
        <f t="shared" si="15"/>
        <v/>
      </c>
    </row>
    <row r="946" spans="1:1">
      <c r="A946" t="str">
        <f t="shared" si="15"/>
        <v/>
      </c>
    </row>
    <row r="947" spans="1:1">
      <c r="A947" t="str">
        <f t="shared" si="15"/>
        <v/>
      </c>
    </row>
    <row r="948" spans="1:1">
      <c r="A948" t="str">
        <f t="shared" si="15"/>
        <v/>
      </c>
    </row>
    <row r="949" spans="1:1">
      <c r="A949" t="str">
        <f t="shared" si="15"/>
        <v/>
      </c>
    </row>
    <row r="950" spans="1:1">
      <c r="A950" t="str">
        <f t="shared" si="15"/>
        <v/>
      </c>
    </row>
    <row r="951" spans="1:1">
      <c r="A951" t="str">
        <f t="shared" si="15"/>
        <v/>
      </c>
    </row>
    <row r="952" spans="1:1">
      <c r="A952" t="str">
        <f t="shared" si="15"/>
        <v/>
      </c>
    </row>
    <row r="953" spans="1:1">
      <c r="A953" t="str">
        <f t="shared" si="15"/>
        <v/>
      </c>
    </row>
    <row r="954" spans="1:1">
      <c r="A954" t="str">
        <f t="shared" si="15"/>
        <v/>
      </c>
    </row>
    <row r="955" spans="1:1">
      <c r="A955" t="str">
        <f t="shared" si="15"/>
        <v/>
      </c>
    </row>
    <row r="956" spans="1:1">
      <c r="A956" t="str">
        <f t="shared" si="15"/>
        <v/>
      </c>
    </row>
    <row r="957" spans="1:1">
      <c r="A957" t="str">
        <f t="shared" si="15"/>
        <v/>
      </c>
    </row>
    <row r="958" spans="1:1">
      <c r="A958" t="str">
        <f t="shared" si="15"/>
        <v/>
      </c>
    </row>
    <row r="959" spans="1:1">
      <c r="A959" t="str">
        <f t="shared" si="15"/>
        <v/>
      </c>
    </row>
    <row r="960" spans="1:1">
      <c r="A960" t="str">
        <f t="shared" si="15"/>
        <v/>
      </c>
    </row>
    <row r="961" spans="1:1">
      <c r="A961" t="str">
        <f t="shared" si="15"/>
        <v/>
      </c>
    </row>
    <row r="962" spans="1:1">
      <c r="A962" t="str">
        <f t="shared" si="15"/>
        <v/>
      </c>
    </row>
    <row r="963" spans="1:1">
      <c r="A963" t="str">
        <f t="shared" si="15"/>
        <v/>
      </c>
    </row>
    <row r="964" spans="1:1">
      <c r="A964" t="str">
        <f t="shared" si="15"/>
        <v/>
      </c>
    </row>
    <row r="965" spans="1:1">
      <c r="A965" t="str">
        <f t="shared" si="15"/>
        <v/>
      </c>
    </row>
    <row r="966" spans="1:1">
      <c r="A966" t="str">
        <f t="shared" si="15"/>
        <v/>
      </c>
    </row>
    <row r="967" spans="1:1">
      <c r="A967" t="str">
        <f t="shared" ref="A967:A1030" si="16">G967&amp;H967&amp;I967&amp;F967</f>
        <v/>
      </c>
    </row>
    <row r="968" spans="1:1">
      <c r="A968" t="str">
        <f t="shared" si="16"/>
        <v/>
      </c>
    </row>
    <row r="969" spans="1:1">
      <c r="A969" t="str">
        <f t="shared" si="16"/>
        <v/>
      </c>
    </row>
    <row r="970" spans="1:1">
      <c r="A970" t="str">
        <f t="shared" si="16"/>
        <v/>
      </c>
    </row>
    <row r="971" spans="1:1">
      <c r="A971" t="str">
        <f t="shared" si="16"/>
        <v/>
      </c>
    </row>
    <row r="972" spans="1:1">
      <c r="A972" t="str">
        <f t="shared" si="16"/>
        <v/>
      </c>
    </row>
    <row r="973" spans="1:1">
      <c r="A973" t="str">
        <f t="shared" si="16"/>
        <v/>
      </c>
    </row>
    <row r="974" spans="1:1">
      <c r="A974" t="str">
        <f t="shared" si="16"/>
        <v/>
      </c>
    </row>
    <row r="975" spans="1:1">
      <c r="A975" t="str">
        <f t="shared" si="16"/>
        <v/>
      </c>
    </row>
    <row r="976" spans="1:1">
      <c r="A976" t="str">
        <f t="shared" si="16"/>
        <v/>
      </c>
    </row>
    <row r="977" spans="1:1">
      <c r="A977" t="str">
        <f t="shared" si="16"/>
        <v/>
      </c>
    </row>
    <row r="978" spans="1:1">
      <c r="A978" t="str">
        <f t="shared" si="16"/>
        <v/>
      </c>
    </row>
    <row r="979" spans="1:1">
      <c r="A979" t="str">
        <f t="shared" si="16"/>
        <v/>
      </c>
    </row>
    <row r="980" spans="1:1">
      <c r="A980" t="str">
        <f t="shared" si="16"/>
        <v/>
      </c>
    </row>
    <row r="981" spans="1:1">
      <c r="A981" t="str">
        <f t="shared" si="16"/>
        <v/>
      </c>
    </row>
    <row r="982" spans="1:1">
      <c r="A982" t="str">
        <f t="shared" si="16"/>
        <v/>
      </c>
    </row>
    <row r="983" spans="1:1">
      <c r="A983" t="str">
        <f t="shared" si="16"/>
        <v/>
      </c>
    </row>
    <row r="984" spans="1:1">
      <c r="A984" t="str">
        <f t="shared" si="16"/>
        <v/>
      </c>
    </row>
    <row r="985" spans="1:1">
      <c r="A985" t="str">
        <f t="shared" si="16"/>
        <v/>
      </c>
    </row>
    <row r="986" spans="1:1">
      <c r="A986" t="str">
        <f t="shared" si="16"/>
        <v/>
      </c>
    </row>
    <row r="987" spans="1:1">
      <c r="A987" t="str">
        <f t="shared" si="16"/>
        <v/>
      </c>
    </row>
    <row r="988" spans="1:1">
      <c r="A988" t="str">
        <f t="shared" si="16"/>
        <v/>
      </c>
    </row>
    <row r="989" spans="1:1">
      <c r="A989" t="str">
        <f t="shared" si="16"/>
        <v/>
      </c>
    </row>
    <row r="990" spans="1:1">
      <c r="A990" t="str">
        <f t="shared" si="16"/>
        <v/>
      </c>
    </row>
    <row r="991" spans="1:1">
      <c r="A991" t="str">
        <f t="shared" si="16"/>
        <v/>
      </c>
    </row>
    <row r="992" spans="1:1">
      <c r="A992" t="str">
        <f t="shared" si="16"/>
        <v/>
      </c>
    </row>
    <row r="993" spans="1:1">
      <c r="A993" t="str">
        <f t="shared" si="16"/>
        <v/>
      </c>
    </row>
    <row r="994" spans="1:1">
      <c r="A994" t="str">
        <f t="shared" si="16"/>
        <v/>
      </c>
    </row>
    <row r="995" spans="1:1">
      <c r="A995" t="str">
        <f t="shared" si="16"/>
        <v/>
      </c>
    </row>
    <row r="996" spans="1:1">
      <c r="A996" t="str">
        <f t="shared" si="16"/>
        <v/>
      </c>
    </row>
    <row r="997" spans="1:1">
      <c r="A997" t="str">
        <f t="shared" si="16"/>
        <v/>
      </c>
    </row>
    <row r="998" spans="1:1">
      <c r="A998" t="str">
        <f t="shared" si="16"/>
        <v/>
      </c>
    </row>
    <row r="999" spans="1:1">
      <c r="A999" t="str">
        <f t="shared" si="16"/>
        <v/>
      </c>
    </row>
    <row r="1000" spans="1:1">
      <c r="A1000" t="str">
        <f t="shared" si="16"/>
        <v/>
      </c>
    </row>
    <row r="1001" spans="1:1">
      <c r="A1001" t="str">
        <f t="shared" si="16"/>
        <v/>
      </c>
    </row>
    <row r="1002" spans="1:1">
      <c r="A1002" t="str">
        <f t="shared" si="16"/>
        <v/>
      </c>
    </row>
    <row r="1003" spans="1:1">
      <c r="A1003" t="str">
        <f t="shared" si="16"/>
        <v/>
      </c>
    </row>
    <row r="1004" spans="1:1">
      <c r="A1004" t="str">
        <f t="shared" si="16"/>
        <v/>
      </c>
    </row>
    <row r="1005" spans="1:1">
      <c r="A1005" t="str">
        <f t="shared" si="16"/>
        <v/>
      </c>
    </row>
    <row r="1006" spans="1:1">
      <c r="A1006" t="str">
        <f t="shared" si="16"/>
        <v/>
      </c>
    </row>
    <row r="1007" spans="1:1">
      <c r="A1007" t="str">
        <f t="shared" si="16"/>
        <v/>
      </c>
    </row>
    <row r="1008" spans="1:1">
      <c r="A1008" t="str">
        <f t="shared" si="16"/>
        <v/>
      </c>
    </row>
    <row r="1009" spans="1:1">
      <c r="A1009" t="str">
        <f t="shared" si="16"/>
        <v/>
      </c>
    </row>
    <row r="1010" spans="1:1">
      <c r="A1010" t="str">
        <f t="shared" si="16"/>
        <v/>
      </c>
    </row>
    <row r="1011" spans="1:1">
      <c r="A1011" t="str">
        <f t="shared" si="16"/>
        <v/>
      </c>
    </row>
    <row r="1012" spans="1:1">
      <c r="A1012" t="str">
        <f t="shared" si="16"/>
        <v/>
      </c>
    </row>
    <row r="1013" spans="1:1">
      <c r="A1013" t="str">
        <f t="shared" si="16"/>
        <v/>
      </c>
    </row>
    <row r="1014" spans="1:1">
      <c r="A1014" t="str">
        <f t="shared" si="16"/>
        <v/>
      </c>
    </row>
    <row r="1015" spans="1:1">
      <c r="A1015" t="str">
        <f t="shared" si="16"/>
        <v/>
      </c>
    </row>
    <row r="1016" spans="1:1">
      <c r="A1016" t="str">
        <f t="shared" si="16"/>
        <v/>
      </c>
    </row>
    <row r="1017" spans="1:1">
      <c r="A1017" t="str">
        <f t="shared" si="16"/>
        <v/>
      </c>
    </row>
    <row r="1018" spans="1:1">
      <c r="A1018" t="str">
        <f t="shared" si="16"/>
        <v/>
      </c>
    </row>
    <row r="1019" spans="1:1">
      <c r="A1019" t="str">
        <f t="shared" si="16"/>
        <v/>
      </c>
    </row>
    <row r="1020" spans="1:1">
      <c r="A1020" t="str">
        <f t="shared" si="16"/>
        <v/>
      </c>
    </row>
    <row r="1021" spans="1:1">
      <c r="A1021" t="str">
        <f t="shared" si="16"/>
        <v/>
      </c>
    </row>
    <row r="1022" spans="1:1">
      <c r="A1022" t="str">
        <f t="shared" si="16"/>
        <v/>
      </c>
    </row>
    <row r="1023" spans="1:1">
      <c r="A1023" t="str">
        <f t="shared" si="16"/>
        <v/>
      </c>
    </row>
    <row r="1024" spans="1:1">
      <c r="A1024" t="str">
        <f t="shared" si="16"/>
        <v/>
      </c>
    </row>
    <row r="1025" spans="1:1">
      <c r="A1025" t="str">
        <f t="shared" si="16"/>
        <v/>
      </c>
    </row>
    <row r="1026" spans="1:1">
      <c r="A1026" t="str">
        <f t="shared" si="16"/>
        <v/>
      </c>
    </row>
    <row r="1027" spans="1:1">
      <c r="A1027" t="str">
        <f t="shared" si="16"/>
        <v/>
      </c>
    </row>
    <row r="1028" spans="1:1">
      <c r="A1028" t="str">
        <f t="shared" si="16"/>
        <v/>
      </c>
    </row>
    <row r="1029" spans="1:1">
      <c r="A1029" t="str">
        <f t="shared" si="16"/>
        <v/>
      </c>
    </row>
    <row r="1030" spans="1:1">
      <c r="A1030" t="str">
        <f t="shared" si="16"/>
        <v/>
      </c>
    </row>
    <row r="1031" spans="1:1">
      <c r="A1031" t="str">
        <f t="shared" ref="A1031:A1094" si="17">G1031&amp;H1031&amp;I1031&amp;F1031</f>
        <v/>
      </c>
    </row>
    <row r="1032" spans="1:1">
      <c r="A1032" t="str">
        <f t="shared" si="17"/>
        <v/>
      </c>
    </row>
    <row r="1033" spans="1:1">
      <c r="A1033" t="str">
        <f t="shared" si="17"/>
        <v/>
      </c>
    </row>
    <row r="1034" spans="1:1">
      <c r="A1034" t="str">
        <f t="shared" si="17"/>
        <v/>
      </c>
    </row>
    <row r="1035" spans="1:1">
      <c r="A1035" t="str">
        <f t="shared" si="17"/>
        <v/>
      </c>
    </row>
    <row r="1036" spans="1:1">
      <c r="A1036" t="str">
        <f t="shared" si="17"/>
        <v/>
      </c>
    </row>
    <row r="1037" spans="1:1">
      <c r="A1037" t="str">
        <f t="shared" si="17"/>
        <v/>
      </c>
    </row>
    <row r="1038" spans="1:1">
      <c r="A1038" t="str">
        <f t="shared" si="17"/>
        <v/>
      </c>
    </row>
    <row r="1039" spans="1:1">
      <c r="A1039" t="str">
        <f t="shared" si="17"/>
        <v/>
      </c>
    </row>
    <row r="1040" spans="1:1">
      <c r="A1040" t="str">
        <f t="shared" si="17"/>
        <v/>
      </c>
    </row>
    <row r="1041" spans="1:1">
      <c r="A1041" t="str">
        <f t="shared" si="17"/>
        <v/>
      </c>
    </row>
    <row r="1042" spans="1:1">
      <c r="A1042" t="str">
        <f t="shared" si="17"/>
        <v/>
      </c>
    </row>
    <row r="1043" spans="1:1">
      <c r="A1043" t="str">
        <f t="shared" si="17"/>
        <v/>
      </c>
    </row>
    <row r="1044" spans="1:1">
      <c r="A1044" t="str">
        <f t="shared" si="17"/>
        <v/>
      </c>
    </row>
    <row r="1045" spans="1:1">
      <c r="A1045" t="str">
        <f t="shared" si="17"/>
        <v/>
      </c>
    </row>
    <row r="1046" spans="1:1">
      <c r="A1046" t="str">
        <f t="shared" si="17"/>
        <v/>
      </c>
    </row>
    <row r="1047" spans="1:1">
      <c r="A1047" t="str">
        <f t="shared" si="17"/>
        <v/>
      </c>
    </row>
    <row r="1048" spans="1:1">
      <c r="A1048" t="str">
        <f t="shared" si="17"/>
        <v/>
      </c>
    </row>
    <row r="1049" spans="1:1">
      <c r="A1049" t="str">
        <f t="shared" si="17"/>
        <v/>
      </c>
    </row>
    <row r="1050" spans="1:1">
      <c r="A1050" t="str">
        <f t="shared" si="17"/>
        <v/>
      </c>
    </row>
    <row r="1051" spans="1:1">
      <c r="A1051" t="str">
        <f t="shared" si="17"/>
        <v/>
      </c>
    </row>
    <row r="1052" spans="1:1">
      <c r="A1052" t="str">
        <f t="shared" si="17"/>
        <v/>
      </c>
    </row>
    <row r="1053" spans="1:1">
      <c r="A1053" t="str">
        <f t="shared" si="17"/>
        <v/>
      </c>
    </row>
    <row r="1054" spans="1:1">
      <c r="A1054" t="str">
        <f t="shared" si="17"/>
        <v/>
      </c>
    </row>
    <row r="1055" spans="1:1">
      <c r="A1055" t="str">
        <f t="shared" si="17"/>
        <v/>
      </c>
    </row>
    <row r="1056" spans="1:1">
      <c r="A1056" t="str">
        <f t="shared" si="17"/>
        <v/>
      </c>
    </row>
    <row r="1057" spans="1:1">
      <c r="A1057" t="str">
        <f t="shared" si="17"/>
        <v/>
      </c>
    </row>
    <row r="1058" spans="1:1">
      <c r="A1058" t="str">
        <f t="shared" si="17"/>
        <v/>
      </c>
    </row>
    <row r="1059" spans="1:1">
      <c r="A1059" t="str">
        <f t="shared" si="17"/>
        <v/>
      </c>
    </row>
    <row r="1060" spans="1:1">
      <c r="A1060" t="str">
        <f t="shared" si="17"/>
        <v/>
      </c>
    </row>
    <row r="1061" spans="1:1">
      <c r="A1061" t="str">
        <f t="shared" si="17"/>
        <v/>
      </c>
    </row>
    <row r="1062" spans="1:1">
      <c r="A1062" t="str">
        <f t="shared" si="17"/>
        <v/>
      </c>
    </row>
    <row r="1063" spans="1:1">
      <c r="A1063" t="str">
        <f t="shared" si="17"/>
        <v/>
      </c>
    </row>
    <row r="1064" spans="1:1">
      <c r="A1064" t="str">
        <f t="shared" si="17"/>
        <v/>
      </c>
    </row>
    <row r="1065" spans="1:1">
      <c r="A1065" t="str">
        <f t="shared" si="17"/>
        <v/>
      </c>
    </row>
    <row r="1066" spans="1:1">
      <c r="A1066" t="str">
        <f t="shared" si="17"/>
        <v/>
      </c>
    </row>
    <row r="1067" spans="1:1">
      <c r="A1067" t="str">
        <f t="shared" si="17"/>
        <v/>
      </c>
    </row>
    <row r="1068" spans="1:1">
      <c r="A1068" t="str">
        <f t="shared" si="17"/>
        <v/>
      </c>
    </row>
    <row r="1069" spans="1:1">
      <c r="A1069" t="str">
        <f t="shared" si="17"/>
        <v/>
      </c>
    </row>
    <row r="1070" spans="1:1">
      <c r="A1070" t="str">
        <f t="shared" si="17"/>
        <v/>
      </c>
    </row>
    <row r="1071" spans="1:1">
      <c r="A1071" t="str">
        <f t="shared" si="17"/>
        <v/>
      </c>
    </row>
    <row r="1072" spans="1:1">
      <c r="A1072" t="str">
        <f t="shared" si="17"/>
        <v/>
      </c>
    </row>
    <row r="1073" spans="1:1">
      <c r="A1073" t="str">
        <f t="shared" si="17"/>
        <v/>
      </c>
    </row>
    <row r="1074" spans="1:1">
      <c r="A1074" t="str">
        <f t="shared" si="17"/>
        <v/>
      </c>
    </row>
    <row r="1075" spans="1:1">
      <c r="A1075" t="str">
        <f t="shared" si="17"/>
        <v/>
      </c>
    </row>
    <row r="1076" spans="1:1">
      <c r="A1076" t="str">
        <f t="shared" si="17"/>
        <v/>
      </c>
    </row>
    <row r="1077" spans="1:1">
      <c r="A1077" t="str">
        <f t="shared" si="17"/>
        <v/>
      </c>
    </row>
    <row r="1078" spans="1:1">
      <c r="A1078" t="str">
        <f t="shared" si="17"/>
        <v/>
      </c>
    </row>
    <row r="1079" spans="1:1">
      <c r="A1079" t="str">
        <f t="shared" si="17"/>
        <v/>
      </c>
    </row>
    <row r="1080" spans="1:1">
      <c r="A1080" t="str">
        <f t="shared" si="17"/>
        <v/>
      </c>
    </row>
    <row r="1081" spans="1:1">
      <c r="A1081" t="str">
        <f t="shared" si="17"/>
        <v/>
      </c>
    </row>
    <row r="1082" spans="1:1">
      <c r="A1082" t="str">
        <f t="shared" si="17"/>
        <v/>
      </c>
    </row>
    <row r="1083" spans="1:1">
      <c r="A1083" t="str">
        <f t="shared" si="17"/>
        <v/>
      </c>
    </row>
    <row r="1084" spans="1:1">
      <c r="A1084" t="str">
        <f t="shared" si="17"/>
        <v/>
      </c>
    </row>
    <row r="1085" spans="1:1">
      <c r="A1085" t="str">
        <f t="shared" si="17"/>
        <v/>
      </c>
    </row>
    <row r="1086" spans="1:1">
      <c r="A1086" t="str">
        <f t="shared" si="17"/>
        <v/>
      </c>
    </row>
    <row r="1087" spans="1:1">
      <c r="A1087" t="str">
        <f t="shared" si="17"/>
        <v/>
      </c>
    </row>
    <row r="1088" spans="1:1">
      <c r="A1088" t="str">
        <f t="shared" si="17"/>
        <v/>
      </c>
    </row>
    <row r="1089" spans="1:1">
      <c r="A1089" t="str">
        <f t="shared" si="17"/>
        <v/>
      </c>
    </row>
    <row r="1090" spans="1:1">
      <c r="A1090" t="str">
        <f t="shared" si="17"/>
        <v/>
      </c>
    </row>
    <row r="1091" spans="1:1">
      <c r="A1091" t="str">
        <f t="shared" si="17"/>
        <v/>
      </c>
    </row>
    <row r="1092" spans="1:1">
      <c r="A1092" t="str">
        <f t="shared" si="17"/>
        <v/>
      </c>
    </row>
    <row r="1093" spans="1:1">
      <c r="A1093" t="str">
        <f t="shared" si="17"/>
        <v/>
      </c>
    </row>
    <row r="1094" spans="1:1">
      <c r="A1094" t="str">
        <f t="shared" si="17"/>
        <v/>
      </c>
    </row>
    <row r="1095" spans="1:1">
      <c r="A1095" t="str">
        <f t="shared" ref="A1095:A1158" si="18">G1095&amp;H1095&amp;I1095&amp;F1095</f>
        <v/>
      </c>
    </row>
    <row r="1096" spans="1:1">
      <c r="A1096" t="str">
        <f t="shared" si="18"/>
        <v/>
      </c>
    </row>
    <row r="1097" spans="1:1">
      <c r="A1097" t="str">
        <f t="shared" si="18"/>
        <v/>
      </c>
    </row>
    <row r="1098" spans="1:1">
      <c r="A1098" t="str">
        <f t="shared" si="18"/>
        <v/>
      </c>
    </row>
    <row r="1099" spans="1:1">
      <c r="A1099" t="str">
        <f t="shared" si="18"/>
        <v/>
      </c>
    </row>
    <row r="1100" spans="1:1">
      <c r="A1100" t="str">
        <f t="shared" si="18"/>
        <v/>
      </c>
    </row>
    <row r="1101" spans="1:1">
      <c r="A1101" t="str">
        <f t="shared" si="18"/>
        <v/>
      </c>
    </row>
    <row r="1102" spans="1:1">
      <c r="A1102" t="str">
        <f t="shared" si="18"/>
        <v/>
      </c>
    </row>
    <row r="1103" spans="1:1">
      <c r="A1103" t="str">
        <f t="shared" si="18"/>
        <v/>
      </c>
    </row>
    <row r="1104" spans="1:1">
      <c r="A1104" t="str">
        <f t="shared" si="18"/>
        <v/>
      </c>
    </row>
    <row r="1105" spans="1:1">
      <c r="A1105" t="str">
        <f t="shared" si="18"/>
        <v/>
      </c>
    </row>
    <row r="1106" spans="1:1">
      <c r="A1106" t="str">
        <f t="shared" si="18"/>
        <v/>
      </c>
    </row>
    <row r="1107" spans="1:1">
      <c r="A1107" t="str">
        <f t="shared" si="18"/>
        <v/>
      </c>
    </row>
    <row r="1108" spans="1:1">
      <c r="A1108" t="str">
        <f t="shared" si="18"/>
        <v/>
      </c>
    </row>
    <row r="1109" spans="1:1">
      <c r="A1109" t="str">
        <f t="shared" si="18"/>
        <v/>
      </c>
    </row>
    <row r="1110" spans="1:1">
      <c r="A1110" t="str">
        <f t="shared" si="18"/>
        <v/>
      </c>
    </row>
    <row r="1111" spans="1:1">
      <c r="A1111" t="str">
        <f t="shared" si="18"/>
        <v/>
      </c>
    </row>
    <row r="1112" spans="1:1">
      <c r="A1112" t="str">
        <f t="shared" si="18"/>
        <v/>
      </c>
    </row>
    <row r="1113" spans="1:1">
      <c r="A1113" t="str">
        <f t="shared" si="18"/>
        <v/>
      </c>
    </row>
    <row r="1114" spans="1:1">
      <c r="A1114" t="str">
        <f t="shared" si="18"/>
        <v/>
      </c>
    </row>
    <row r="1115" spans="1:1">
      <c r="A1115" t="str">
        <f t="shared" si="18"/>
        <v/>
      </c>
    </row>
    <row r="1116" spans="1:1">
      <c r="A1116" t="str">
        <f t="shared" si="18"/>
        <v/>
      </c>
    </row>
    <row r="1117" spans="1:1">
      <c r="A1117" t="str">
        <f t="shared" si="18"/>
        <v/>
      </c>
    </row>
    <row r="1118" spans="1:1">
      <c r="A1118" t="str">
        <f t="shared" si="18"/>
        <v/>
      </c>
    </row>
    <row r="1119" spans="1:1">
      <c r="A1119" t="str">
        <f t="shared" si="18"/>
        <v/>
      </c>
    </row>
    <row r="1120" spans="1:1">
      <c r="A1120" t="str">
        <f t="shared" si="18"/>
        <v/>
      </c>
    </row>
    <row r="1121" spans="1:1">
      <c r="A1121" t="str">
        <f t="shared" si="18"/>
        <v/>
      </c>
    </row>
    <row r="1122" spans="1:1">
      <c r="A1122" t="str">
        <f t="shared" si="18"/>
        <v/>
      </c>
    </row>
    <row r="1123" spans="1:1">
      <c r="A1123" t="str">
        <f t="shared" si="18"/>
        <v/>
      </c>
    </row>
    <row r="1124" spans="1:1">
      <c r="A1124" t="str">
        <f t="shared" si="18"/>
        <v/>
      </c>
    </row>
    <row r="1125" spans="1:1">
      <c r="A1125" t="str">
        <f t="shared" si="18"/>
        <v/>
      </c>
    </row>
    <row r="1126" spans="1:1">
      <c r="A1126" t="str">
        <f t="shared" si="18"/>
        <v/>
      </c>
    </row>
    <row r="1127" spans="1:1">
      <c r="A1127" t="str">
        <f t="shared" si="18"/>
        <v/>
      </c>
    </row>
    <row r="1128" spans="1:1">
      <c r="A1128" t="str">
        <f t="shared" si="18"/>
        <v/>
      </c>
    </row>
    <row r="1129" spans="1:1">
      <c r="A1129" t="str">
        <f t="shared" si="18"/>
        <v/>
      </c>
    </row>
    <row r="1130" spans="1:1">
      <c r="A1130" t="str">
        <f t="shared" si="18"/>
        <v/>
      </c>
    </row>
    <row r="1131" spans="1:1">
      <c r="A1131" t="str">
        <f t="shared" si="18"/>
        <v/>
      </c>
    </row>
    <row r="1132" spans="1:1">
      <c r="A1132" t="str">
        <f t="shared" si="18"/>
        <v/>
      </c>
    </row>
    <row r="1133" spans="1:1">
      <c r="A1133" t="str">
        <f t="shared" si="18"/>
        <v/>
      </c>
    </row>
    <row r="1134" spans="1:1">
      <c r="A1134" t="str">
        <f t="shared" si="18"/>
        <v/>
      </c>
    </row>
    <row r="1135" spans="1:1">
      <c r="A1135" t="str">
        <f t="shared" si="18"/>
        <v/>
      </c>
    </row>
    <row r="1136" spans="1:1">
      <c r="A1136" t="str">
        <f t="shared" si="18"/>
        <v/>
      </c>
    </row>
    <row r="1137" spans="1:1">
      <c r="A1137" t="str">
        <f t="shared" si="18"/>
        <v/>
      </c>
    </row>
    <row r="1138" spans="1:1">
      <c r="A1138" t="str">
        <f t="shared" si="18"/>
        <v/>
      </c>
    </row>
    <row r="1139" spans="1:1">
      <c r="A1139" t="str">
        <f t="shared" si="18"/>
        <v/>
      </c>
    </row>
    <row r="1140" spans="1:1">
      <c r="A1140" t="str">
        <f t="shared" si="18"/>
        <v/>
      </c>
    </row>
    <row r="1141" spans="1:1">
      <c r="A1141" t="str">
        <f t="shared" si="18"/>
        <v/>
      </c>
    </row>
    <row r="1142" spans="1:1">
      <c r="A1142" t="str">
        <f t="shared" si="18"/>
        <v/>
      </c>
    </row>
    <row r="1143" spans="1:1">
      <c r="A1143" t="str">
        <f t="shared" si="18"/>
        <v/>
      </c>
    </row>
    <row r="1144" spans="1:1">
      <c r="A1144" t="str">
        <f t="shared" si="18"/>
        <v/>
      </c>
    </row>
    <row r="1145" spans="1:1">
      <c r="A1145" t="str">
        <f t="shared" si="18"/>
        <v/>
      </c>
    </row>
    <row r="1146" spans="1:1">
      <c r="A1146" t="str">
        <f t="shared" si="18"/>
        <v/>
      </c>
    </row>
    <row r="1147" spans="1:1">
      <c r="A1147" t="str">
        <f t="shared" si="18"/>
        <v/>
      </c>
    </row>
    <row r="1148" spans="1:1">
      <c r="A1148" t="str">
        <f t="shared" si="18"/>
        <v/>
      </c>
    </row>
    <row r="1149" spans="1:1">
      <c r="A1149" t="str">
        <f t="shared" si="18"/>
        <v/>
      </c>
    </row>
    <row r="1150" spans="1:1">
      <c r="A1150" t="str">
        <f t="shared" si="18"/>
        <v/>
      </c>
    </row>
    <row r="1151" spans="1:1">
      <c r="A1151" t="str">
        <f t="shared" si="18"/>
        <v/>
      </c>
    </row>
    <row r="1152" spans="1:1">
      <c r="A1152" t="str">
        <f t="shared" si="18"/>
        <v/>
      </c>
    </row>
    <row r="1153" spans="1:1">
      <c r="A1153" t="str">
        <f t="shared" si="18"/>
        <v/>
      </c>
    </row>
    <row r="1154" spans="1:1">
      <c r="A1154" t="str">
        <f t="shared" si="18"/>
        <v/>
      </c>
    </row>
    <row r="1155" spans="1:1">
      <c r="A1155" t="str">
        <f t="shared" si="18"/>
        <v/>
      </c>
    </row>
    <row r="1156" spans="1:1">
      <c r="A1156" t="str">
        <f t="shared" si="18"/>
        <v/>
      </c>
    </row>
    <row r="1157" spans="1:1">
      <c r="A1157" t="str">
        <f t="shared" si="18"/>
        <v/>
      </c>
    </row>
    <row r="1158" spans="1:1">
      <c r="A1158" t="str">
        <f t="shared" si="18"/>
        <v/>
      </c>
    </row>
    <row r="1159" spans="1:1">
      <c r="A1159" t="str">
        <f t="shared" ref="A1159:A1222" si="19">G1159&amp;H1159&amp;I1159&amp;F1159</f>
        <v/>
      </c>
    </row>
    <row r="1160" spans="1:1">
      <c r="A1160" t="str">
        <f t="shared" si="19"/>
        <v/>
      </c>
    </row>
    <row r="1161" spans="1:1">
      <c r="A1161" t="str">
        <f t="shared" si="19"/>
        <v/>
      </c>
    </row>
    <row r="1162" spans="1:1">
      <c r="A1162" t="str">
        <f t="shared" si="19"/>
        <v/>
      </c>
    </row>
    <row r="1163" spans="1:1">
      <c r="A1163" t="str">
        <f t="shared" si="19"/>
        <v/>
      </c>
    </row>
    <row r="1164" spans="1:1">
      <c r="A1164" t="str">
        <f t="shared" si="19"/>
        <v/>
      </c>
    </row>
    <row r="1165" spans="1:1">
      <c r="A1165" t="str">
        <f t="shared" si="19"/>
        <v/>
      </c>
    </row>
    <row r="1166" spans="1:1">
      <c r="A1166" t="str">
        <f t="shared" si="19"/>
        <v/>
      </c>
    </row>
    <row r="1167" spans="1:1">
      <c r="A1167" t="str">
        <f t="shared" si="19"/>
        <v/>
      </c>
    </row>
    <row r="1168" spans="1:1">
      <c r="A1168" t="str">
        <f t="shared" si="19"/>
        <v/>
      </c>
    </row>
    <row r="1169" spans="1:1">
      <c r="A1169" t="str">
        <f t="shared" si="19"/>
        <v/>
      </c>
    </row>
    <row r="1170" spans="1:1">
      <c r="A1170" t="str">
        <f t="shared" si="19"/>
        <v/>
      </c>
    </row>
    <row r="1171" spans="1:1">
      <c r="A1171" t="str">
        <f t="shared" si="19"/>
        <v/>
      </c>
    </row>
    <row r="1172" spans="1:1">
      <c r="A1172" t="str">
        <f t="shared" si="19"/>
        <v/>
      </c>
    </row>
    <row r="1173" spans="1:1">
      <c r="A1173" t="str">
        <f t="shared" si="19"/>
        <v/>
      </c>
    </row>
    <row r="1174" spans="1:1">
      <c r="A1174" t="str">
        <f t="shared" si="19"/>
        <v/>
      </c>
    </row>
    <row r="1175" spans="1:1">
      <c r="A1175" t="str">
        <f t="shared" si="19"/>
        <v/>
      </c>
    </row>
    <row r="1176" spans="1:1">
      <c r="A1176" t="str">
        <f t="shared" si="19"/>
        <v/>
      </c>
    </row>
    <row r="1177" spans="1:1">
      <c r="A1177" t="str">
        <f t="shared" si="19"/>
        <v/>
      </c>
    </row>
    <row r="1178" spans="1:1">
      <c r="A1178" t="str">
        <f t="shared" si="19"/>
        <v/>
      </c>
    </row>
    <row r="1179" spans="1:1">
      <c r="A1179" t="str">
        <f t="shared" si="19"/>
        <v/>
      </c>
    </row>
    <row r="1180" spans="1:1">
      <c r="A1180" t="str">
        <f t="shared" si="19"/>
        <v/>
      </c>
    </row>
    <row r="1181" spans="1:1">
      <c r="A1181" t="str">
        <f t="shared" si="19"/>
        <v/>
      </c>
    </row>
    <row r="1182" spans="1:1">
      <c r="A1182" t="str">
        <f t="shared" si="19"/>
        <v/>
      </c>
    </row>
    <row r="1183" spans="1:1">
      <c r="A1183" t="str">
        <f t="shared" si="19"/>
        <v/>
      </c>
    </row>
    <row r="1184" spans="1:1">
      <c r="A1184" t="str">
        <f t="shared" si="19"/>
        <v/>
      </c>
    </row>
    <row r="1185" spans="1:1">
      <c r="A1185" t="str">
        <f t="shared" si="19"/>
        <v/>
      </c>
    </row>
    <row r="1186" spans="1:1">
      <c r="A1186" t="str">
        <f t="shared" si="19"/>
        <v/>
      </c>
    </row>
    <row r="1187" spans="1:1">
      <c r="A1187" t="str">
        <f t="shared" si="19"/>
        <v/>
      </c>
    </row>
    <row r="1188" spans="1:1">
      <c r="A1188" t="str">
        <f t="shared" si="19"/>
        <v/>
      </c>
    </row>
    <row r="1189" spans="1:1">
      <c r="A1189" t="str">
        <f t="shared" si="19"/>
        <v/>
      </c>
    </row>
    <row r="1190" spans="1:1">
      <c r="A1190" t="str">
        <f t="shared" si="19"/>
        <v/>
      </c>
    </row>
    <row r="1191" spans="1:1">
      <c r="A1191" t="str">
        <f t="shared" si="19"/>
        <v/>
      </c>
    </row>
    <row r="1192" spans="1:1">
      <c r="A1192" t="str">
        <f t="shared" si="19"/>
        <v/>
      </c>
    </row>
    <row r="1193" spans="1:1">
      <c r="A1193" t="str">
        <f t="shared" si="19"/>
        <v/>
      </c>
    </row>
    <row r="1194" spans="1:1">
      <c r="A1194" t="str">
        <f t="shared" si="19"/>
        <v/>
      </c>
    </row>
    <row r="1195" spans="1:1">
      <c r="A1195" t="str">
        <f t="shared" si="19"/>
        <v/>
      </c>
    </row>
    <row r="1196" spans="1:1">
      <c r="A1196" t="str">
        <f t="shared" si="19"/>
        <v/>
      </c>
    </row>
    <row r="1197" spans="1:1">
      <c r="A1197" t="str">
        <f t="shared" si="19"/>
        <v/>
      </c>
    </row>
    <row r="1198" spans="1:1">
      <c r="A1198" t="str">
        <f t="shared" si="19"/>
        <v/>
      </c>
    </row>
    <row r="1199" spans="1:1">
      <c r="A1199" t="str">
        <f t="shared" si="19"/>
        <v/>
      </c>
    </row>
    <row r="1200" spans="1:1">
      <c r="A1200" t="str">
        <f t="shared" si="19"/>
        <v/>
      </c>
    </row>
    <row r="1201" spans="1:1">
      <c r="A1201" t="str">
        <f t="shared" si="19"/>
        <v/>
      </c>
    </row>
    <row r="1202" spans="1:1">
      <c r="A1202" t="str">
        <f t="shared" si="19"/>
        <v/>
      </c>
    </row>
    <row r="1203" spans="1:1">
      <c r="A1203" t="str">
        <f t="shared" si="19"/>
        <v/>
      </c>
    </row>
    <row r="1204" spans="1:1">
      <c r="A1204" t="str">
        <f t="shared" si="19"/>
        <v/>
      </c>
    </row>
    <row r="1205" spans="1:1">
      <c r="A1205" t="str">
        <f t="shared" si="19"/>
        <v/>
      </c>
    </row>
    <row r="1206" spans="1:1">
      <c r="A1206" t="str">
        <f t="shared" si="19"/>
        <v/>
      </c>
    </row>
    <row r="1207" spans="1:1">
      <c r="A1207" t="str">
        <f t="shared" si="19"/>
        <v/>
      </c>
    </row>
    <row r="1208" spans="1:1">
      <c r="A1208" t="str">
        <f t="shared" si="19"/>
        <v/>
      </c>
    </row>
    <row r="1209" spans="1:1">
      <c r="A1209" t="str">
        <f t="shared" si="19"/>
        <v/>
      </c>
    </row>
    <row r="1210" spans="1:1">
      <c r="A1210" t="str">
        <f t="shared" si="19"/>
        <v/>
      </c>
    </row>
    <row r="1211" spans="1:1">
      <c r="A1211" t="str">
        <f t="shared" si="19"/>
        <v/>
      </c>
    </row>
    <row r="1212" spans="1:1">
      <c r="A1212" t="str">
        <f t="shared" si="19"/>
        <v/>
      </c>
    </row>
    <row r="1213" spans="1:1">
      <c r="A1213" t="str">
        <f t="shared" si="19"/>
        <v/>
      </c>
    </row>
    <row r="1214" spans="1:1">
      <c r="A1214" t="str">
        <f t="shared" si="19"/>
        <v/>
      </c>
    </row>
    <row r="1215" spans="1:1">
      <c r="A1215" t="str">
        <f t="shared" si="19"/>
        <v/>
      </c>
    </row>
    <row r="1216" spans="1:1">
      <c r="A1216" t="str">
        <f t="shared" si="19"/>
        <v/>
      </c>
    </row>
    <row r="1217" spans="1:1">
      <c r="A1217" t="str">
        <f t="shared" si="19"/>
        <v/>
      </c>
    </row>
    <row r="1218" spans="1:1">
      <c r="A1218" t="str">
        <f t="shared" si="19"/>
        <v/>
      </c>
    </row>
    <row r="1219" spans="1:1">
      <c r="A1219" t="str">
        <f t="shared" si="19"/>
        <v/>
      </c>
    </row>
    <row r="1220" spans="1:1">
      <c r="A1220" t="str">
        <f t="shared" si="19"/>
        <v/>
      </c>
    </row>
    <row r="1221" spans="1:1">
      <c r="A1221" t="str">
        <f t="shared" si="19"/>
        <v/>
      </c>
    </row>
    <row r="1222" spans="1:1">
      <c r="A1222" t="str">
        <f t="shared" si="19"/>
        <v/>
      </c>
    </row>
    <row r="1223" spans="1:1">
      <c r="A1223" t="str">
        <f t="shared" ref="A1223:A1286" si="20">G1223&amp;H1223&amp;I1223&amp;F1223</f>
        <v/>
      </c>
    </row>
    <row r="1224" spans="1:1">
      <c r="A1224" t="str">
        <f t="shared" si="20"/>
        <v/>
      </c>
    </row>
    <row r="1225" spans="1:1">
      <c r="A1225" t="str">
        <f t="shared" si="20"/>
        <v/>
      </c>
    </row>
    <row r="1226" spans="1:1">
      <c r="A1226" t="str">
        <f t="shared" si="20"/>
        <v/>
      </c>
    </row>
    <row r="1227" spans="1:1">
      <c r="A1227" t="str">
        <f t="shared" si="20"/>
        <v/>
      </c>
    </row>
    <row r="1228" spans="1:1">
      <c r="A1228" t="str">
        <f t="shared" si="20"/>
        <v/>
      </c>
    </row>
    <row r="1229" spans="1:1">
      <c r="A1229" t="str">
        <f t="shared" si="20"/>
        <v/>
      </c>
    </row>
    <row r="1230" spans="1:1">
      <c r="A1230" t="str">
        <f t="shared" si="20"/>
        <v/>
      </c>
    </row>
    <row r="1231" spans="1:1">
      <c r="A1231" t="str">
        <f t="shared" si="20"/>
        <v/>
      </c>
    </row>
    <row r="1232" spans="1:1">
      <c r="A1232" t="str">
        <f t="shared" si="20"/>
        <v/>
      </c>
    </row>
    <row r="1233" spans="1:1">
      <c r="A1233" t="str">
        <f t="shared" si="20"/>
        <v/>
      </c>
    </row>
    <row r="1234" spans="1:1">
      <c r="A1234" t="str">
        <f t="shared" si="20"/>
        <v/>
      </c>
    </row>
    <row r="1235" spans="1:1">
      <c r="A1235" t="str">
        <f t="shared" si="20"/>
        <v/>
      </c>
    </row>
    <row r="1236" spans="1:1">
      <c r="A1236" t="str">
        <f t="shared" si="20"/>
        <v/>
      </c>
    </row>
    <row r="1237" spans="1:1">
      <c r="A1237" t="str">
        <f t="shared" si="20"/>
        <v/>
      </c>
    </row>
    <row r="1238" spans="1:1">
      <c r="A1238" t="str">
        <f t="shared" si="20"/>
        <v/>
      </c>
    </row>
    <row r="1239" spans="1:1">
      <c r="A1239" t="str">
        <f t="shared" si="20"/>
        <v/>
      </c>
    </row>
    <row r="1240" spans="1:1">
      <c r="A1240" t="str">
        <f t="shared" si="20"/>
        <v/>
      </c>
    </row>
    <row r="1241" spans="1:1">
      <c r="A1241" t="str">
        <f t="shared" si="20"/>
        <v/>
      </c>
    </row>
    <row r="1242" spans="1:1">
      <c r="A1242" t="str">
        <f t="shared" si="20"/>
        <v/>
      </c>
    </row>
    <row r="1243" spans="1:1">
      <c r="A1243" t="str">
        <f t="shared" si="20"/>
        <v/>
      </c>
    </row>
    <row r="1244" spans="1:1">
      <c r="A1244" t="str">
        <f t="shared" si="20"/>
        <v/>
      </c>
    </row>
    <row r="1245" spans="1:1">
      <c r="A1245" t="str">
        <f t="shared" si="20"/>
        <v/>
      </c>
    </row>
    <row r="1246" spans="1:1">
      <c r="A1246" t="str">
        <f t="shared" si="20"/>
        <v/>
      </c>
    </row>
    <row r="1247" spans="1:1">
      <c r="A1247" t="str">
        <f t="shared" si="20"/>
        <v/>
      </c>
    </row>
    <row r="1248" spans="1:1">
      <c r="A1248" t="str">
        <f t="shared" si="20"/>
        <v/>
      </c>
    </row>
    <row r="1249" spans="1:1">
      <c r="A1249" t="str">
        <f t="shared" si="20"/>
        <v/>
      </c>
    </row>
    <row r="1250" spans="1:1">
      <c r="A1250" t="str">
        <f t="shared" si="20"/>
        <v/>
      </c>
    </row>
    <row r="1251" spans="1:1">
      <c r="A1251" t="str">
        <f t="shared" si="20"/>
        <v/>
      </c>
    </row>
    <row r="1252" spans="1:1">
      <c r="A1252" t="str">
        <f t="shared" si="20"/>
        <v/>
      </c>
    </row>
    <row r="1253" spans="1:1">
      <c r="A1253" t="str">
        <f t="shared" si="20"/>
        <v/>
      </c>
    </row>
    <row r="1254" spans="1:1">
      <c r="A1254" t="str">
        <f t="shared" si="20"/>
        <v/>
      </c>
    </row>
    <row r="1255" spans="1:1">
      <c r="A1255" t="str">
        <f t="shared" si="20"/>
        <v/>
      </c>
    </row>
    <row r="1256" spans="1:1">
      <c r="A1256" t="str">
        <f t="shared" si="20"/>
        <v/>
      </c>
    </row>
    <row r="1257" spans="1:1">
      <c r="A1257" t="str">
        <f t="shared" si="20"/>
        <v/>
      </c>
    </row>
    <row r="1258" spans="1:1">
      <c r="A1258" t="str">
        <f t="shared" si="20"/>
        <v/>
      </c>
    </row>
    <row r="1259" spans="1:1">
      <c r="A1259" t="str">
        <f t="shared" si="20"/>
        <v/>
      </c>
    </row>
    <row r="1260" spans="1:1">
      <c r="A1260" t="str">
        <f t="shared" si="20"/>
        <v/>
      </c>
    </row>
    <row r="1261" spans="1:1">
      <c r="A1261" t="str">
        <f t="shared" si="20"/>
        <v/>
      </c>
    </row>
    <row r="1262" spans="1:1">
      <c r="A1262" t="str">
        <f t="shared" si="20"/>
        <v/>
      </c>
    </row>
    <row r="1263" spans="1:1">
      <c r="A1263" t="str">
        <f t="shared" si="20"/>
        <v/>
      </c>
    </row>
    <row r="1264" spans="1:1">
      <c r="A1264" t="str">
        <f t="shared" si="20"/>
        <v/>
      </c>
    </row>
    <row r="1265" spans="1:1">
      <c r="A1265" t="str">
        <f t="shared" si="20"/>
        <v/>
      </c>
    </row>
    <row r="1266" spans="1:1">
      <c r="A1266" t="str">
        <f t="shared" si="20"/>
        <v/>
      </c>
    </row>
    <row r="1267" spans="1:1">
      <c r="A1267" t="str">
        <f t="shared" si="20"/>
        <v/>
      </c>
    </row>
    <row r="1268" spans="1:1">
      <c r="A1268" t="str">
        <f t="shared" si="20"/>
        <v/>
      </c>
    </row>
    <row r="1269" spans="1:1">
      <c r="A1269" t="str">
        <f t="shared" si="20"/>
        <v/>
      </c>
    </row>
    <row r="1270" spans="1:1">
      <c r="A1270" t="str">
        <f t="shared" si="20"/>
        <v/>
      </c>
    </row>
    <row r="1271" spans="1:1">
      <c r="A1271" t="str">
        <f t="shared" si="20"/>
        <v/>
      </c>
    </row>
    <row r="1272" spans="1:1">
      <c r="A1272" t="str">
        <f t="shared" si="20"/>
        <v/>
      </c>
    </row>
    <row r="1273" spans="1:1">
      <c r="A1273" t="str">
        <f t="shared" si="20"/>
        <v/>
      </c>
    </row>
    <row r="1274" spans="1:1">
      <c r="A1274" t="str">
        <f t="shared" si="20"/>
        <v/>
      </c>
    </row>
    <row r="1275" spans="1:1">
      <c r="A1275" t="str">
        <f t="shared" si="20"/>
        <v/>
      </c>
    </row>
    <row r="1276" spans="1:1">
      <c r="A1276" t="str">
        <f t="shared" si="20"/>
        <v/>
      </c>
    </row>
    <row r="1277" spans="1:1">
      <c r="A1277" t="str">
        <f t="shared" si="20"/>
        <v/>
      </c>
    </row>
    <row r="1278" spans="1:1">
      <c r="A1278" t="str">
        <f t="shared" si="20"/>
        <v/>
      </c>
    </row>
    <row r="1279" spans="1:1">
      <c r="A1279" t="str">
        <f t="shared" si="20"/>
        <v/>
      </c>
    </row>
    <row r="1280" spans="1:1">
      <c r="A1280" t="str">
        <f t="shared" si="20"/>
        <v/>
      </c>
    </row>
    <row r="1281" spans="1:1">
      <c r="A1281" t="str">
        <f t="shared" si="20"/>
        <v/>
      </c>
    </row>
    <row r="1282" spans="1:1">
      <c r="A1282" t="str">
        <f t="shared" si="20"/>
        <v/>
      </c>
    </row>
    <row r="1283" spans="1:1">
      <c r="A1283" t="str">
        <f t="shared" si="20"/>
        <v/>
      </c>
    </row>
    <row r="1284" spans="1:1">
      <c r="A1284" t="str">
        <f t="shared" si="20"/>
        <v/>
      </c>
    </row>
    <row r="1285" spans="1:1">
      <c r="A1285" t="str">
        <f t="shared" si="20"/>
        <v/>
      </c>
    </row>
    <row r="1286" spans="1:1">
      <c r="A1286" t="str">
        <f t="shared" si="20"/>
        <v/>
      </c>
    </row>
    <row r="1287" spans="1:1">
      <c r="A1287" t="str">
        <f t="shared" ref="A1287:A1350" si="21">G1287&amp;H1287&amp;I1287&amp;F1287</f>
        <v/>
      </c>
    </row>
    <row r="1288" spans="1:1">
      <c r="A1288" t="str">
        <f t="shared" si="21"/>
        <v/>
      </c>
    </row>
    <row r="1289" spans="1:1">
      <c r="A1289" t="str">
        <f t="shared" si="21"/>
        <v/>
      </c>
    </row>
    <row r="1290" spans="1:1">
      <c r="A1290" t="str">
        <f t="shared" si="21"/>
        <v/>
      </c>
    </row>
    <row r="1291" spans="1:1">
      <c r="A1291" t="str">
        <f t="shared" si="21"/>
        <v/>
      </c>
    </row>
    <row r="1292" spans="1:1">
      <c r="A1292" t="str">
        <f t="shared" si="21"/>
        <v/>
      </c>
    </row>
    <row r="1293" spans="1:1">
      <c r="A1293" t="str">
        <f t="shared" si="21"/>
        <v/>
      </c>
    </row>
    <row r="1294" spans="1:1">
      <c r="A1294" t="str">
        <f t="shared" si="21"/>
        <v/>
      </c>
    </row>
    <row r="1295" spans="1:1">
      <c r="A1295" t="str">
        <f t="shared" si="21"/>
        <v/>
      </c>
    </row>
    <row r="1296" spans="1:1">
      <c r="A1296" t="str">
        <f t="shared" si="21"/>
        <v/>
      </c>
    </row>
    <row r="1297" spans="1:1">
      <c r="A1297" t="str">
        <f t="shared" si="21"/>
        <v/>
      </c>
    </row>
    <row r="1298" spans="1:1">
      <c r="A1298" t="str">
        <f t="shared" si="21"/>
        <v/>
      </c>
    </row>
    <row r="1299" spans="1:1">
      <c r="A1299" t="str">
        <f t="shared" si="21"/>
        <v/>
      </c>
    </row>
    <row r="1300" spans="1:1">
      <c r="A1300" t="str">
        <f t="shared" si="21"/>
        <v/>
      </c>
    </row>
    <row r="1301" spans="1:1">
      <c r="A1301" t="str">
        <f t="shared" si="21"/>
        <v/>
      </c>
    </row>
    <row r="1302" spans="1:1">
      <c r="A1302" t="str">
        <f t="shared" si="21"/>
        <v/>
      </c>
    </row>
    <row r="1303" spans="1:1">
      <c r="A1303" t="str">
        <f t="shared" si="21"/>
        <v/>
      </c>
    </row>
    <row r="1304" spans="1:1">
      <c r="A1304" t="str">
        <f t="shared" si="21"/>
        <v/>
      </c>
    </row>
    <row r="1305" spans="1:1">
      <c r="A1305" t="str">
        <f t="shared" si="21"/>
        <v/>
      </c>
    </row>
    <row r="1306" spans="1:1">
      <c r="A1306" t="str">
        <f t="shared" si="21"/>
        <v/>
      </c>
    </row>
    <row r="1307" spans="1:1">
      <c r="A1307" t="str">
        <f t="shared" si="21"/>
        <v/>
      </c>
    </row>
    <row r="1308" spans="1:1">
      <c r="A1308" t="str">
        <f t="shared" si="21"/>
        <v/>
      </c>
    </row>
    <row r="1309" spans="1:1">
      <c r="A1309" t="str">
        <f t="shared" si="21"/>
        <v/>
      </c>
    </row>
    <row r="1310" spans="1:1">
      <c r="A1310" t="str">
        <f t="shared" si="21"/>
        <v/>
      </c>
    </row>
    <row r="1311" spans="1:1">
      <c r="A1311" t="str">
        <f t="shared" si="21"/>
        <v/>
      </c>
    </row>
    <row r="1312" spans="1:1">
      <c r="A1312" t="str">
        <f t="shared" si="21"/>
        <v/>
      </c>
    </row>
    <row r="1313" spans="1:1">
      <c r="A1313" t="str">
        <f t="shared" si="21"/>
        <v/>
      </c>
    </row>
    <row r="1314" spans="1:1">
      <c r="A1314" t="str">
        <f t="shared" si="21"/>
        <v/>
      </c>
    </row>
    <row r="1315" spans="1:1">
      <c r="A1315" t="str">
        <f t="shared" si="21"/>
        <v/>
      </c>
    </row>
    <row r="1316" spans="1:1">
      <c r="A1316" t="str">
        <f t="shared" si="21"/>
        <v/>
      </c>
    </row>
    <row r="1317" spans="1:1">
      <c r="A1317" t="str">
        <f t="shared" si="21"/>
        <v/>
      </c>
    </row>
    <row r="1318" spans="1:1">
      <c r="A1318" t="str">
        <f t="shared" si="21"/>
        <v/>
      </c>
    </row>
    <row r="1319" spans="1:1">
      <c r="A1319" t="str">
        <f t="shared" si="21"/>
        <v/>
      </c>
    </row>
    <row r="1320" spans="1:1">
      <c r="A1320" t="str">
        <f t="shared" si="21"/>
        <v/>
      </c>
    </row>
    <row r="1321" spans="1:1">
      <c r="A1321" t="str">
        <f t="shared" si="21"/>
        <v/>
      </c>
    </row>
    <row r="1322" spans="1:1">
      <c r="A1322" t="str">
        <f t="shared" si="21"/>
        <v/>
      </c>
    </row>
    <row r="1323" spans="1:1">
      <c r="A1323" t="str">
        <f t="shared" si="21"/>
        <v/>
      </c>
    </row>
    <row r="1324" spans="1:1">
      <c r="A1324" t="str">
        <f t="shared" si="21"/>
        <v/>
      </c>
    </row>
    <row r="1325" spans="1:1">
      <c r="A1325" t="str">
        <f t="shared" si="21"/>
        <v/>
      </c>
    </row>
    <row r="1326" spans="1:1">
      <c r="A1326" t="str">
        <f t="shared" si="21"/>
        <v/>
      </c>
    </row>
    <row r="1327" spans="1:1">
      <c r="A1327" t="str">
        <f t="shared" si="21"/>
        <v/>
      </c>
    </row>
    <row r="1328" spans="1:1">
      <c r="A1328" t="str">
        <f t="shared" si="21"/>
        <v/>
      </c>
    </row>
    <row r="1329" spans="1:1">
      <c r="A1329" t="str">
        <f t="shared" si="21"/>
        <v/>
      </c>
    </row>
    <row r="1330" spans="1:1">
      <c r="A1330" t="str">
        <f t="shared" si="21"/>
        <v/>
      </c>
    </row>
    <row r="1331" spans="1:1">
      <c r="A1331" t="str">
        <f t="shared" si="21"/>
        <v/>
      </c>
    </row>
    <row r="1332" spans="1:1">
      <c r="A1332" t="str">
        <f t="shared" si="21"/>
        <v/>
      </c>
    </row>
    <row r="1333" spans="1:1">
      <c r="A1333" t="str">
        <f t="shared" si="21"/>
        <v/>
      </c>
    </row>
    <row r="1334" spans="1:1">
      <c r="A1334" t="str">
        <f t="shared" si="21"/>
        <v/>
      </c>
    </row>
    <row r="1335" spans="1:1">
      <c r="A1335" t="str">
        <f t="shared" si="21"/>
        <v/>
      </c>
    </row>
    <row r="1336" spans="1:1">
      <c r="A1336" t="str">
        <f t="shared" si="21"/>
        <v/>
      </c>
    </row>
    <row r="1337" spans="1:1">
      <c r="A1337" t="str">
        <f t="shared" si="21"/>
        <v/>
      </c>
    </row>
    <row r="1338" spans="1:1">
      <c r="A1338" t="str">
        <f t="shared" si="21"/>
        <v/>
      </c>
    </row>
    <row r="1339" spans="1:1">
      <c r="A1339" t="str">
        <f t="shared" si="21"/>
        <v/>
      </c>
    </row>
    <row r="1340" spans="1:1">
      <c r="A1340" t="str">
        <f t="shared" si="21"/>
        <v/>
      </c>
    </row>
    <row r="1341" spans="1:1">
      <c r="A1341" t="str">
        <f t="shared" si="21"/>
        <v/>
      </c>
    </row>
    <row r="1342" spans="1:1">
      <c r="A1342" t="str">
        <f t="shared" si="21"/>
        <v/>
      </c>
    </row>
    <row r="1343" spans="1:1">
      <c r="A1343" t="str">
        <f t="shared" si="21"/>
        <v/>
      </c>
    </row>
    <row r="1344" spans="1:1">
      <c r="A1344" t="str">
        <f t="shared" si="21"/>
        <v/>
      </c>
    </row>
    <row r="1345" spans="1:1">
      <c r="A1345" t="str">
        <f t="shared" si="21"/>
        <v/>
      </c>
    </row>
    <row r="1346" spans="1:1">
      <c r="A1346" t="str">
        <f t="shared" si="21"/>
        <v/>
      </c>
    </row>
    <row r="1347" spans="1:1">
      <c r="A1347" t="str">
        <f t="shared" si="21"/>
        <v/>
      </c>
    </row>
    <row r="1348" spans="1:1">
      <c r="A1348" t="str">
        <f t="shared" si="21"/>
        <v/>
      </c>
    </row>
    <row r="1349" spans="1:1">
      <c r="A1349" t="str">
        <f t="shared" si="21"/>
        <v/>
      </c>
    </row>
    <row r="1350" spans="1:1">
      <c r="A1350" t="str">
        <f t="shared" si="21"/>
        <v/>
      </c>
    </row>
    <row r="1351" spans="1:1">
      <c r="A1351" t="str">
        <f t="shared" ref="A1351:A1414" si="22">G1351&amp;H1351&amp;I1351&amp;F1351</f>
        <v/>
      </c>
    </row>
    <row r="1352" spans="1:1">
      <c r="A1352" t="str">
        <f t="shared" si="22"/>
        <v/>
      </c>
    </row>
    <row r="1353" spans="1:1">
      <c r="A1353" t="str">
        <f t="shared" si="22"/>
        <v/>
      </c>
    </row>
    <row r="1354" spans="1:1">
      <c r="A1354" t="str">
        <f t="shared" si="22"/>
        <v/>
      </c>
    </row>
    <row r="1355" spans="1:1">
      <c r="A1355" t="str">
        <f t="shared" si="22"/>
        <v/>
      </c>
    </row>
    <row r="1356" spans="1:1">
      <c r="A1356" t="str">
        <f t="shared" si="22"/>
        <v/>
      </c>
    </row>
    <row r="1357" spans="1:1">
      <c r="A1357" t="str">
        <f t="shared" si="22"/>
        <v/>
      </c>
    </row>
    <row r="1358" spans="1:1">
      <c r="A1358" t="str">
        <f t="shared" si="22"/>
        <v/>
      </c>
    </row>
    <row r="1359" spans="1:1">
      <c r="A1359" t="str">
        <f t="shared" si="22"/>
        <v/>
      </c>
    </row>
    <row r="1360" spans="1:1">
      <c r="A1360" t="str">
        <f t="shared" si="22"/>
        <v/>
      </c>
    </row>
    <row r="1361" spans="1:1">
      <c r="A1361" t="str">
        <f t="shared" si="22"/>
        <v/>
      </c>
    </row>
    <row r="1362" spans="1:1">
      <c r="A1362" t="str">
        <f t="shared" si="22"/>
        <v/>
      </c>
    </row>
    <row r="1363" spans="1:1">
      <c r="A1363" t="str">
        <f t="shared" si="22"/>
        <v/>
      </c>
    </row>
    <row r="1364" spans="1:1">
      <c r="A1364" t="str">
        <f t="shared" si="22"/>
        <v/>
      </c>
    </row>
    <row r="1365" spans="1:1">
      <c r="A1365" t="str">
        <f t="shared" si="22"/>
        <v/>
      </c>
    </row>
    <row r="1366" spans="1:1">
      <c r="A1366" t="str">
        <f t="shared" si="22"/>
        <v/>
      </c>
    </row>
    <row r="1367" spans="1:1">
      <c r="A1367" t="str">
        <f t="shared" si="22"/>
        <v/>
      </c>
    </row>
    <row r="1368" spans="1:1">
      <c r="A1368" t="str">
        <f t="shared" si="22"/>
        <v/>
      </c>
    </row>
    <row r="1369" spans="1:1">
      <c r="A1369" t="str">
        <f t="shared" si="22"/>
        <v/>
      </c>
    </row>
    <row r="1370" spans="1:1">
      <c r="A1370" t="str">
        <f t="shared" si="22"/>
        <v/>
      </c>
    </row>
    <row r="1371" spans="1:1">
      <c r="A1371" t="str">
        <f t="shared" si="22"/>
        <v/>
      </c>
    </row>
    <row r="1372" spans="1:1">
      <c r="A1372" t="str">
        <f t="shared" si="22"/>
        <v/>
      </c>
    </row>
    <row r="1373" spans="1:1">
      <c r="A1373" t="str">
        <f t="shared" si="22"/>
        <v/>
      </c>
    </row>
    <row r="1374" spans="1:1">
      <c r="A1374" t="str">
        <f t="shared" si="22"/>
        <v/>
      </c>
    </row>
    <row r="1375" spans="1:1">
      <c r="A1375" t="str">
        <f t="shared" si="22"/>
        <v/>
      </c>
    </row>
    <row r="1376" spans="1:1">
      <c r="A1376" t="str">
        <f t="shared" si="22"/>
        <v/>
      </c>
    </row>
    <row r="1377" spans="1:1">
      <c r="A1377" t="str">
        <f t="shared" si="22"/>
        <v/>
      </c>
    </row>
    <row r="1378" spans="1:1">
      <c r="A1378" t="str">
        <f t="shared" si="22"/>
        <v/>
      </c>
    </row>
    <row r="1379" spans="1:1">
      <c r="A1379" t="str">
        <f t="shared" si="22"/>
        <v/>
      </c>
    </row>
    <row r="1380" spans="1:1">
      <c r="A1380" t="str">
        <f t="shared" si="22"/>
        <v/>
      </c>
    </row>
    <row r="1381" spans="1:1">
      <c r="A1381" t="str">
        <f t="shared" si="22"/>
        <v/>
      </c>
    </row>
    <row r="1382" spans="1:1">
      <c r="A1382" t="str">
        <f t="shared" si="22"/>
        <v/>
      </c>
    </row>
    <row r="1383" spans="1:1">
      <c r="A1383" t="str">
        <f t="shared" si="22"/>
        <v/>
      </c>
    </row>
    <row r="1384" spans="1:1">
      <c r="A1384" t="str">
        <f t="shared" si="22"/>
        <v/>
      </c>
    </row>
    <row r="1385" spans="1:1">
      <c r="A1385" t="str">
        <f t="shared" si="22"/>
        <v/>
      </c>
    </row>
    <row r="1386" spans="1:1">
      <c r="A1386" t="str">
        <f t="shared" si="22"/>
        <v/>
      </c>
    </row>
    <row r="1387" spans="1:1">
      <c r="A1387" t="str">
        <f t="shared" si="22"/>
        <v/>
      </c>
    </row>
    <row r="1388" spans="1:1">
      <c r="A1388" t="str">
        <f t="shared" si="22"/>
        <v/>
      </c>
    </row>
    <row r="1389" spans="1:1">
      <c r="A1389" t="str">
        <f t="shared" si="22"/>
        <v/>
      </c>
    </row>
    <row r="1390" spans="1:1">
      <c r="A1390" t="str">
        <f t="shared" si="22"/>
        <v/>
      </c>
    </row>
    <row r="1391" spans="1:1">
      <c r="A1391" t="str">
        <f t="shared" si="22"/>
        <v/>
      </c>
    </row>
    <row r="1392" spans="1:1">
      <c r="A1392" t="str">
        <f t="shared" si="22"/>
        <v/>
      </c>
    </row>
    <row r="1393" spans="1:1">
      <c r="A1393" t="str">
        <f t="shared" si="22"/>
        <v/>
      </c>
    </row>
    <row r="1394" spans="1:1">
      <c r="A1394" t="str">
        <f t="shared" si="22"/>
        <v/>
      </c>
    </row>
    <row r="1395" spans="1:1">
      <c r="A1395" t="str">
        <f t="shared" si="22"/>
        <v/>
      </c>
    </row>
    <row r="1396" spans="1:1">
      <c r="A1396" t="str">
        <f t="shared" si="22"/>
        <v/>
      </c>
    </row>
    <row r="1397" spans="1:1">
      <c r="A1397" t="str">
        <f t="shared" si="22"/>
        <v/>
      </c>
    </row>
    <row r="1398" spans="1:1">
      <c r="A1398" t="str">
        <f t="shared" si="22"/>
        <v/>
      </c>
    </row>
    <row r="1399" spans="1:1">
      <c r="A1399" t="str">
        <f t="shared" si="22"/>
        <v/>
      </c>
    </row>
    <row r="1400" spans="1:1">
      <c r="A1400" t="str">
        <f t="shared" si="22"/>
        <v/>
      </c>
    </row>
    <row r="1401" spans="1:1">
      <c r="A1401" t="str">
        <f t="shared" si="22"/>
        <v/>
      </c>
    </row>
    <row r="1402" spans="1:1">
      <c r="A1402" t="str">
        <f t="shared" si="22"/>
        <v/>
      </c>
    </row>
    <row r="1403" spans="1:1">
      <c r="A1403" t="str">
        <f t="shared" si="22"/>
        <v/>
      </c>
    </row>
    <row r="1404" spans="1:1">
      <c r="A1404" t="str">
        <f t="shared" si="22"/>
        <v/>
      </c>
    </row>
    <row r="1405" spans="1:1">
      <c r="A1405" t="str">
        <f t="shared" si="22"/>
        <v/>
      </c>
    </row>
    <row r="1406" spans="1:1">
      <c r="A1406" t="str">
        <f t="shared" si="22"/>
        <v/>
      </c>
    </row>
    <row r="1407" spans="1:1">
      <c r="A1407" t="str">
        <f t="shared" si="22"/>
        <v/>
      </c>
    </row>
    <row r="1408" spans="1:1">
      <c r="A1408" t="str">
        <f t="shared" si="22"/>
        <v/>
      </c>
    </row>
    <row r="1409" spans="1:1">
      <c r="A1409" t="str">
        <f t="shared" si="22"/>
        <v/>
      </c>
    </row>
    <row r="1410" spans="1:1">
      <c r="A1410" t="str">
        <f t="shared" si="22"/>
        <v/>
      </c>
    </row>
    <row r="1411" spans="1:1">
      <c r="A1411" t="str">
        <f t="shared" si="22"/>
        <v/>
      </c>
    </row>
    <row r="1412" spans="1:1">
      <c r="A1412" t="str">
        <f t="shared" si="22"/>
        <v/>
      </c>
    </row>
    <row r="1413" spans="1:1">
      <c r="A1413" t="str">
        <f t="shared" si="22"/>
        <v/>
      </c>
    </row>
    <row r="1414" spans="1:1">
      <c r="A1414" t="str">
        <f t="shared" si="22"/>
        <v/>
      </c>
    </row>
    <row r="1415" spans="1:1">
      <c r="A1415" t="str">
        <f t="shared" ref="A1415:A1478" si="23">G1415&amp;H1415&amp;I1415&amp;F1415</f>
        <v/>
      </c>
    </row>
    <row r="1416" spans="1:1">
      <c r="A1416" t="str">
        <f t="shared" si="23"/>
        <v/>
      </c>
    </row>
    <row r="1417" spans="1:1">
      <c r="A1417" t="str">
        <f t="shared" si="23"/>
        <v/>
      </c>
    </row>
    <row r="1418" spans="1:1">
      <c r="A1418" t="str">
        <f t="shared" si="23"/>
        <v/>
      </c>
    </row>
    <row r="1419" spans="1:1">
      <c r="A1419" t="str">
        <f t="shared" si="23"/>
        <v/>
      </c>
    </row>
    <row r="1420" spans="1:1">
      <c r="A1420" t="str">
        <f t="shared" si="23"/>
        <v/>
      </c>
    </row>
    <row r="1421" spans="1:1">
      <c r="A1421" t="str">
        <f t="shared" si="23"/>
        <v/>
      </c>
    </row>
    <row r="1422" spans="1:1">
      <c r="A1422" t="str">
        <f t="shared" si="23"/>
        <v/>
      </c>
    </row>
    <row r="1423" spans="1:1">
      <c r="A1423" t="str">
        <f t="shared" si="23"/>
        <v/>
      </c>
    </row>
    <row r="1424" spans="1:1">
      <c r="A1424" t="str">
        <f t="shared" si="23"/>
        <v/>
      </c>
    </row>
    <row r="1425" spans="1:1">
      <c r="A1425" t="str">
        <f t="shared" si="23"/>
        <v/>
      </c>
    </row>
    <row r="1426" spans="1:1">
      <c r="A1426" t="str">
        <f t="shared" si="23"/>
        <v/>
      </c>
    </row>
    <row r="1427" spans="1:1">
      <c r="A1427" t="str">
        <f t="shared" si="23"/>
        <v/>
      </c>
    </row>
    <row r="1428" spans="1:1">
      <c r="A1428" t="str">
        <f t="shared" si="23"/>
        <v/>
      </c>
    </row>
    <row r="1429" spans="1:1">
      <c r="A1429" t="str">
        <f t="shared" si="23"/>
        <v/>
      </c>
    </row>
    <row r="1430" spans="1:1">
      <c r="A1430" t="str">
        <f t="shared" si="23"/>
        <v/>
      </c>
    </row>
    <row r="1431" spans="1:1">
      <c r="A1431" t="str">
        <f t="shared" si="23"/>
        <v/>
      </c>
    </row>
    <row r="1432" spans="1:1">
      <c r="A1432" t="str">
        <f t="shared" si="23"/>
        <v/>
      </c>
    </row>
    <row r="1433" spans="1:1">
      <c r="A1433" t="str">
        <f t="shared" si="23"/>
        <v/>
      </c>
    </row>
    <row r="1434" spans="1:1">
      <c r="A1434" t="str">
        <f t="shared" si="23"/>
        <v/>
      </c>
    </row>
    <row r="1435" spans="1:1">
      <c r="A1435" t="str">
        <f t="shared" si="23"/>
        <v/>
      </c>
    </row>
    <row r="1436" spans="1:1">
      <c r="A1436" t="str">
        <f t="shared" si="23"/>
        <v/>
      </c>
    </row>
    <row r="1437" spans="1:1">
      <c r="A1437" t="str">
        <f t="shared" si="23"/>
        <v/>
      </c>
    </row>
    <row r="1438" spans="1:1">
      <c r="A1438" t="str">
        <f t="shared" si="23"/>
        <v/>
      </c>
    </row>
    <row r="1439" spans="1:1">
      <c r="A1439" t="str">
        <f t="shared" si="23"/>
        <v/>
      </c>
    </row>
    <row r="1440" spans="1:1">
      <c r="A1440" t="str">
        <f t="shared" si="23"/>
        <v/>
      </c>
    </row>
    <row r="1441" spans="1:1">
      <c r="A1441" t="str">
        <f t="shared" si="23"/>
        <v/>
      </c>
    </row>
    <row r="1442" spans="1:1">
      <c r="A1442" t="str">
        <f t="shared" si="23"/>
        <v/>
      </c>
    </row>
    <row r="1443" spans="1:1">
      <c r="A1443" t="str">
        <f t="shared" si="23"/>
        <v/>
      </c>
    </row>
    <row r="1444" spans="1:1">
      <c r="A1444" t="str">
        <f t="shared" si="23"/>
        <v/>
      </c>
    </row>
    <row r="1445" spans="1:1">
      <c r="A1445" t="str">
        <f t="shared" si="23"/>
        <v/>
      </c>
    </row>
    <row r="1446" spans="1:1">
      <c r="A1446" t="str">
        <f t="shared" si="23"/>
        <v/>
      </c>
    </row>
    <row r="1447" spans="1:1">
      <c r="A1447" t="str">
        <f t="shared" si="23"/>
        <v/>
      </c>
    </row>
    <row r="1448" spans="1:1">
      <c r="A1448" t="str">
        <f t="shared" si="23"/>
        <v/>
      </c>
    </row>
    <row r="1449" spans="1:1">
      <c r="A1449" t="str">
        <f t="shared" si="23"/>
        <v/>
      </c>
    </row>
    <row r="1450" spans="1:1">
      <c r="A1450" t="str">
        <f t="shared" si="23"/>
        <v/>
      </c>
    </row>
    <row r="1451" spans="1:1">
      <c r="A1451" t="str">
        <f t="shared" si="23"/>
        <v/>
      </c>
    </row>
    <row r="1452" spans="1:1">
      <c r="A1452" t="str">
        <f t="shared" si="23"/>
        <v/>
      </c>
    </row>
    <row r="1453" spans="1:1">
      <c r="A1453" t="str">
        <f t="shared" si="23"/>
        <v/>
      </c>
    </row>
    <row r="1454" spans="1:1">
      <c r="A1454" t="str">
        <f t="shared" si="23"/>
        <v/>
      </c>
    </row>
    <row r="1455" spans="1:1">
      <c r="A1455" t="str">
        <f t="shared" si="23"/>
        <v/>
      </c>
    </row>
    <row r="1456" spans="1:1">
      <c r="A1456" t="str">
        <f t="shared" si="23"/>
        <v/>
      </c>
    </row>
    <row r="1457" spans="1:1">
      <c r="A1457" t="str">
        <f t="shared" si="23"/>
        <v/>
      </c>
    </row>
    <row r="1458" spans="1:1">
      <c r="A1458" t="str">
        <f t="shared" si="23"/>
        <v/>
      </c>
    </row>
    <row r="1459" spans="1:1">
      <c r="A1459" t="str">
        <f t="shared" si="23"/>
        <v/>
      </c>
    </row>
    <row r="1460" spans="1:1">
      <c r="A1460" t="str">
        <f t="shared" si="23"/>
        <v/>
      </c>
    </row>
    <row r="1461" spans="1:1">
      <c r="A1461" t="str">
        <f t="shared" si="23"/>
        <v/>
      </c>
    </row>
    <row r="1462" spans="1:1">
      <c r="A1462" t="str">
        <f t="shared" si="23"/>
        <v/>
      </c>
    </row>
    <row r="1463" spans="1:1">
      <c r="A1463" t="str">
        <f t="shared" si="23"/>
        <v/>
      </c>
    </row>
    <row r="1464" spans="1:1">
      <c r="A1464" t="str">
        <f t="shared" si="23"/>
        <v/>
      </c>
    </row>
    <row r="1465" spans="1:1">
      <c r="A1465" t="str">
        <f t="shared" si="23"/>
        <v/>
      </c>
    </row>
    <row r="1466" spans="1:1">
      <c r="A1466" t="str">
        <f t="shared" si="23"/>
        <v/>
      </c>
    </row>
    <row r="1467" spans="1:1">
      <c r="A1467" t="str">
        <f t="shared" si="23"/>
        <v/>
      </c>
    </row>
    <row r="1468" spans="1:1">
      <c r="A1468" t="str">
        <f t="shared" si="23"/>
        <v/>
      </c>
    </row>
    <row r="1469" spans="1:1">
      <c r="A1469" t="str">
        <f t="shared" si="23"/>
        <v/>
      </c>
    </row>
    <row r="1470" spans="1:1">
      <c r="A1470" t="str">
        <f t="shared" si="23"/>
        <v/>
      </c>
    </row>
    <row r="1471" spans="1:1">
      <c r="A1471" t="str">
        <f t="shared" si="23"/>
        <v/>
      </c>
    </row>
    <row r="1472" spans="1:1">
      <c r="A1472" t="str">
        <f t="shared" si="23"/>
        <v/>
      </c>
    </row>
    <row r="1473" spans="1:1">
      <c r="A1473" t="str">
        <f t="shared" si="23"/>
        <v/>
      </c>
    </row>
    <row r="1474" spans="1:1">
      <c r="A1474" t="str">
        <f t="shared" si="23"/>
        <v/>
      </c>
    </row>
    <row r="1475" spans="1:1">
      <c r="A1475" t="str">
        <f t="shared" si="23"/>
        <v/>
      </c>
    </row>
    <row r="1476" spans="1:1">
      <c r="A1476" t="str">
        <f t="shared" si="23"/>
        <v/>
      </c>
    </row>
    <row r="1477" spans="1:1">
      <c r="A1477" t="str">
        <f t="shared" si="23"/>
        <v/>
      </c>
    </row>
    <row r="1478" spans="1:1">
      <c r="A1478" t="str">
        <f t="shared" si="23"/>
        <v/>
      </c>
    </row>
    <row r="1479" spans="1:1">
      <c r="A1479" t="str">
        <f t="shared" ref="A1479:A1542" si="24">G1479&amp;H1479&amp;I1479&amp;F1479</f>
        <v/>
      </c>
    </row>
    <row r="1480" spans="1:1">
      <c r="A1480" t="str">
        <f t="shared" si="24"/>
        <v/>
      </c>
    </row>
    <row r="1481" spans="1:1">
      <c r="A1481" t="str">
        <f t="shared" si="24"/>
        <v/>
      </c>
    </row>
    <row r="1482" spans="1:1">
      <c r="A1482" t="str">
        <f t="shared" si="24"/>
        <v/>
      </c>
    </row>
    <row r="1483" spans="1:1">
      <c r="A1483" t="str">
        <f t="shared" si="24"/>
        <v/>
      </c>
    </row>
    <row r="1484" spans="1:1">
      <c r="A1484" t="str">
        <f t="shared" si="24"/>
        <v/>
      </c>
    </row>
    <row r="1485" spans="1:1">
      <c r="A1485" t="str">
        <f t="shared" si="24"/>
        <v/>
      </c>
    </row>
    <row r="1486" spans="1:1">
      <c r="A1486" t="str">
        <f t="shared" si="24"/>
        <v/>
      </c>
    </row>
    <row r="1487" spans="1:1">
      <c r="A1487" t="str">
        <f t="shared" si="24"/>
        <v/>
      </c>
    </row>
    <row r="1488" spans="1:1">
      <c r="A1488" t="str">
        <f t="shared" si="24"/>
        <v/>
      </c>
    </row>
    <row r="1489" spans="1:1">
      <c r="A1489" t="str">
        <f t="shared" si="24"/>
        <v/>
      </c>
    </row>
    <row r="1490" spans="1:1">
      <c r="A1490" t="str">
        <f t="shared" si="24"/>
        <v/>
      </c>
    </row>
    <row r="1491" spans="1:1">
      <c r="A1491" t="str">
        <f t="shared" si="24"/>
        <v/>
      </c>
    </row>
    <row r="1492" spans="1:1">
      <c r="A1492" t="str">
        <f t="shared" si="24"/>
        <v/>
      </c>
    </row>
    <row r="1493" spans="1:1">
      <c r="A1493" t="str">
        <f t="shared" si="24"/>
        <v/>
      </c>
    </row>
    <row r="1494" spans="1:1">
      <c r="A1494" t="str">
        <f t="shared" si="24"/>
        <v/>
      </c>
    </row>
    <row r="1495" spans="1:1">
      <c r="A1495" t="str">
        <f t="shared" si="24"/>
        <v/>
      </c>
    </row>
    <row r="1496" spans="1:1">
      <c r="A1496" t="str">
        <f t="shared" si="24"/>
        <v/>
      </c>
    </row>
    <row r="1497" spans="1:1">
      <c r="A1497" t="str">
        <f t="shared" si="24"/>
        <v/>
      </c>
    </row>
    <row r="1498" spans="1:1">
      <c r="A1498" t="str">
        <f t="shared" si="24"/>
        <v/>
      </c>
    </row>
    <row r="1499" spans="1:1">
      <c r="A1499" t="str">
        <f t="shared" si="24"/>
        <v/>
      </c>
    </row>
    <row r="1500" spans="1:1">
      <c r="A1500" t="str">
        <f t="shared" si="24"/>
        <v/>
      </c>
    </row>
    <row r="1501" spans="1:1">
      <c r="A1501" t="str">
        <f t="shared" si="24"/>
        <v/>
      </c>
    </row>
    <row r="1502" spans="1:1">
      <c r="A1502" t="str">
        <f t="shared" si="24"/>
        <v/>
      </c>
    </row>
    <row r="1503" spans="1:1">
      <c r="A1503" t="str">
        <f t="shared" si="24"/>
        <v/>
      </c>
    </row>
    <row r="1504" spans="1:1">
      <c r="A1504" t="str">
        <f t="shared" si="24"/>
        <v/>
      </c>
    </row>
    <row r="1505" spans="1:1">
      <c r="A1505" t="str">
        <f t="shared" si="24"/>
        <v/>
      </c>
    </row>
    <row r="1506" spans="1:1">
      <c r="A1506" t="str">
        <f t="shared" si="24"/>
        <v/>
      </c>
    </row>
    <row r="1507" spans="1:1">
      <c r="A1507" t="str">
        <f t="shared" si="24"/>
        <v/>
      </c>
    </row>
    <row r="1508" spans="1:1">
      <c r="A1508" t="str">
        <f t="shared" si="24"/>
        <v/>
      </c>
    </row>
    <row r="1509" spans="1:1">
      <c r="A1509" t="str">
        <f t="shared" si="24"/>
        <v/>
      </c>
    </row>
    <row r="1510" spans="1:1">
      <c r="A1510" t="str">
        <f t="shared" si="24"/>
        <v/>
      </c>
    </row>
    <row r="1511" spans="1:1">
      <c r="A1511" t="str">
        <f t="shared" si="24"/>
        <v/>
      </c>
    </row>
    <row r="1512" spans="1:1">
      <c r="A1512" t="str">
        <f t="shared" si="24"/>
        <v/>
      </c>
    </row>
    <row r="1513" spans="1:1">
      <c r="A1513" t="str">
        <f t="shared" si="24"/>
        <v/>
      </c>
    </row>
    <row r="1514" spans="1:1">
      <c r="A1514" t="str">
        <f t="shared" si="24"/>
        <v/>
      </c>
    </row>
    <row r="1515" spans="1:1">
      <c r="A1515" t="str">
        <f t="shared" si="24"/>
        <v/>
      </c>
    </row>
    <row r="1516" spans="1:1">
      <c r="A1516" t="str">
        <f t="shared" si="24"/>
        <v/>
      </c>
    </row>
    <row r="1517" spans="1:1">
      <c r="A1517" t="str">
        <f t="shared" si="24"/>
        <v/>
      </c>
    </row>
    <row r="1518" spans="1:1">
      <c r="A1518" t="str">
        <f t="shared" si="24"/>
        <v/>
      </c>
    </row>
    <row r="1519" spans="1:1">
      <c r="A1519" t="str">
        <f t="shared" si="24"/>
        <v/>
      </c>
    </row>
    <row r="1520" spans="1:1">
      <c r="A1520" t="str">
        <f t="shared" si="24"/>
        <v/>
      </c>
    </row>
    <row r="1521" spans="1:1">
      <c r="A1521" t="str">
        <f t="shared" si="24"/>
        <v/>
      </c>
    </row>
    <row r="1522" spans="1:1">
      <c r="A1522" t="str">
        <f t="shared" si="24"/>
        <v/>
      </c>
    </row>
    <row r="1523" spans="1:1">
      <c r="A1523" t="str">
        <f t="shared" si="24"/>
        <v/>
      </c>
    </row>
    <row r="1524" spans="1:1">
      <c r="A1524" t="str">
        <f t="shared" si="24"/>
        <v/>
      </c>
    </row>
    <row r="1525" spans="1:1">
      <c r="A1525" t="str">
        <f t="shared" si="24"/>
        <v/>
      </c>
    </row>
    <row r="1526" spans="1:1">
      <c r="A1526" t="str">
        <f t="shared" si="24"/>
        <v/>
      </c>
    </row>
    <row r="1527" spans="1:1">
      <c r="A1527" t="str">
        <f t="shared" si="24"/>
        <v/>
      </c>
    </row>
    <row r="1528" spans="1:1">
      <c r="A1528" t="str">
        <f t="shared" si="24"/>
        <v/>
      </c>
    </row>
    <row r="1529" spans="1:1">
      <c r="A1529" t="str">
        <f t="shared" si="24"/>
        <v/>
      </c>
    </row>
    <row r="1530" spans="1:1">
      <c r="A1530" t="str">
        <f t="shared" si="24"/>
        <v/>
      </c>
    </row>
    <row r="1531" spans="1:1">
      <c r="A1531" t="str">
        <f t="shared" si="24"/>
        <v/>
      </c>
    </row>
    <row r="1532" spans="1:1">
      <c r="A1532" t="str">
        <f t="shared" si="24"/>
        <v/>
      </c>
    </row>
    <row r="1533" spans="1:1">
      <c r="A1533" t="str">
        <f t="shared" si="24"/>
        <v/>
      </c>
    </row>
    <row r="1534" spans="1:1">
      <c r="A1534" t="str">
        <f t="shared" si="24"/>
        <v/>
      </c>
    </row>
    <row r="1535" spans="1:1">
      <c r="A1535" t="str">
        <f t="shared" si="24"/>
        <v/>
      </c>
    </row>
    <row r="1536" spans="1:1">
      <c r="A1536" t="str">
        <f t="shared" si="24"/>
        <v/>
      </c>
    </row>
    <row r="1537" spans="1:1">
      <c r="A1537" t="str">
        <f t="shared" si="24"/>
        <v/>
      </c>
    </row>
    <row r="1538" spans="1:1">
      <c r="A1538" t="str">
        <f t="shared" si="24"/>
        <v/>
      </c>
    </row>
    <row r="1539" spans="1:1">
      <c r="A1539" t="str">
        <f t="shared" si="24"/>
        <v/>
      </c>
    </row>
    <row r="1540" spans="1:1">
      <c r="A1540" t="str">
        <f t="shared" si="24"/>
        <v/>
      </c>
    </row>
    <row r="1541" spans="1:1">
      <c r="A1541" t="str">
        <f t="shared" si="24"/>
        <v/>
      </c>
    </row>
    <row r="1542" spans="1:1">
      <c r="A1542" t="str">
        <f t="shared" si="24"/>
        <v/>
      </c>
    </row>
    <row r="1543" spans="1:1">
      <c r="A1543" t="str">
        <f t="shared" ref="A1543:A1606" si="25">G1543&amp;H1543&amp;I1543&amp;F1543</f>
        <v/>
      </c>
    </row>
    <row r="1544" spans="1:1">
      <c r="A1544" t="str">
        <f t="shared" si="25"/>
        <v/>
      </c>
    </row>
    <row r="1545" spans="1:1">
      <c r="A1545" t="str">
        <f t="shared" si="25"/>
        <v/>
      </c>
    </row>
    <row r="1546" spans="1:1">
      <c r="A1546" t="str">
        <f t="shared" si="25"/>
        <v/>
      </c>
    </row>
    <row r="1547" spans="1:1">
      <c r="A1547" t="str">
        <f t="shared" si="25"/>
        <v/>
      </c>
    </row>
    <row r="1548" spans="1:1">
      <c r="A1548" t="str">
        <f t="shared" si="25"/>
        <v/>
      </c>
    </row>
    <row r="1549" spans="1:1">
      <c r="A1549" t="str">
        <f t="shared" si="25"/>
        <v/>
      </c>
    </row>
    <row r="1550" spans="1:1">
      <c r="A1550" t="str">
        <f t="shared" si="25"/>
        <v/>
      </c>
    </row>
    <row r="1551" spans="1:1">
      <c r="A1551" t="str">
        <f t="shared" si="25"/>
        <v/>
      </c>
    </row>
    <row r="1552" spans="1:1">
      <c r="A1552" t="str">
        <f t="shared" si="25"/>
        <v/>
      </c>
    </row>
    <row r="1553" spans="1:1">
      <c r="A1553" t="str">
        <f t="shared" si="25"/>
        <v/>
      </c>
    </row>
    <row r="1554" spans="1:1">
      <c r="A1554" t="str">
        <f t="shared" si="25"/>
        <v/>
      </c>
    </row>
    <row r="1555" spans="1:1">
      <c r="A1555" t="str">
        <f t="shared" si="25"/>
        <v/>
      </c>
    </row>
    <row r="1556" spans="1:1">
      <c r="A1556" t="str">
        <f t="shared" si="25"/>
        <v/>
      </c>
    </row>
    <row r="1557" spans="1:1">
      <c r="A1557" t="str">
        <f t="shared" si="25"/>
        <v/>
      </c>
    </row>
    <row r="1558" spans="1:1">
      <c r="A1558" t="str">
        <f t="shared" si="25"/>
        <v/>
      </c>
    </row>
    <row r="1559" spans="1:1">
      <c r="A1559" t="str">
        <f t="shared" si="25"/>
        <v/>
      </c>
    </row>
    <row r="1560" spans="1:1">
      <c r="A1560" t="str">
        <f t="shared" si="25"/>
        <v/>
      </c>
    </row>
    <row r="1561" spans="1:1">
      <c r="A1561" t="str">
        <f t="shared" si="25"/>
        <v/>
      </c>
    </row>
    <row r="1562" spans="1:1">
      <c r="A1562" t="str">
        <f t="shared" si="25"/>
        <v/>
      </c>
    </row>
    <row r="1563" spans="1:1">
      <c r="A1563" t="str">
        <f t="shared" si="25"/>
        <v/>
      </c>
    </row>
    <row r="1564" spans="1:1">
      <c r="A1564" t="str">
        <f t="shared" si="25"/>
        <v/>
      </c>
    </row>
    <row r="1565" spans="1:1">
      <c r="A1565" t="str">
        <f t="shared" si="25"/>
        <v/>
      </c>
    </row>
    <row r="1566" spans="1:1">
      <c r="A1566" t="str">
        <f t="shared" si="25"/>
        <v/>
      </c>
    </row>
    <row r="1567" spans="1:1">
      <c r="A1567" t="str">
        <f t="shared" si="25"/>
        <v/>
      </c>
    </row>
    <row r="1568" spans="1:1">
      <c r="A1568" t="str">
        <f t="shared" si="25"/>
        <v/>
      </c>
    </row>
    <row r="1569" spans="1:1">
      <c r="A1569" t="str">
        <f t="shared" si="25"/>
        <v/>
      </c>
    </row>
    <row r="1570" spans="1:1">
      <c r="A1570" t="str">
        <f t="shared" si="25"/>
        <v/>
      </c>
    </row>
    <row r="1571" spans="1:1">
      <c r="A1571" t="str">
        <f t="shared" si="25"/>
        <v/>
      </c>
    </row>
    <row r="1572" spans="1:1">
      <c r="A1572" t="str">
        <f t="shared" si="25"/>
        <v/>
      </c>
    </row>
    <row r="1573" spans="1:1">
      <c r="A1573" t="str">
        <f t="shared" si="25"/>
        <v/>
      </c>
    </row>
    <row r="1574" spans="1:1">
      <c r="A1574" t="str">
        <f t="shared" si="25"/>
        <v/>
      </c>
    </row>
    <row r="1575" spans="1:1">
      <c r="A1575" t="str">
        <f t="shared" si="25"/>
        <v/>
      </c>
    </row>
    <row r="1576" spans="1:1">
      <c r="A1576" t="str">
        <f t="shared" si="25"/>
        <v/>
      </c>
    </row>
    <row r="1577" spans="1:1">
      <c r="A1577" t="str">
        <f t="shared" si="25"/>
        <v/>
      </c>
    </row>
    <row r="1578" spans="1:1">
      <c r="A1578" t="str">
        <f t="shared" si="25"/>
        <v/>
      </c>
    </row>
    <row r="1579" spans="1:1">
      <c r="A1579" t="str">
        <f t="shared" si="25"/>
        <v/>
      </c>
    </row>
    <row r="1580" spans="1:1">
      <c r="A1580" t="str">
        <f t="shared" si="25"/>
        <v/>
      </c>
    </row>
    <row r="1581" spans="1:1">
      <c r="A1581" t="str">
        <f t="shared" si="25"/>
        <v/>
      </c>
    </row>
    <row r="1582" spans="1:1">
      <c r="A1582" t="str">
        <f t="shared" si="25"/>
        <v/>
      </c>
    </row>
    <row r="1583" spans="1:1">
      <c r="A1583" t="str">
        <f t="shared" si="25"/>
        <v/>
      </c>
    </row>
    <row r="1584" spans="1:1">
      <c r="A1584" t="str">
        <f t="shared" si="25"/>
        <v/>
      </c>
    </row>
    <row r="1585" spans="1:1">
      <c r="A1585" t="str">
        <f t="shared" si="25"/>
        <v/>
      </c>
    </row>
    <row r="1586" spans="1:1">
      <c r="A1586" t="str">
        <f t="shared" si="25"/>
        <v/>
      </c>
    </row>
    <row r="1587" spans="1:1">
      <c r="A1587" t="str">
        <f t="shared" si="25"/>
        <v/>
      </c>
    </row>
    <row r="1588" spans="1:1">
      <c r="A1588" t="str">
        <f t="shared" si="25"/>
        <v/>
      </c>
    </row>
    <row r="1589" spans="1:1">
      <c r="A1589" t="str">
        <f t="shared" si="25"/>
        <v/>
      </c>
    </row>
    <row r="1590" spans="1:1">
      <c r="A1590" t="str">
        <f t="shared" si="25"/>
        <v/>
      </c>
    </row>
    <row r="1591" spans="1:1">
      <c r="A1591" t="str">
        <f t="shared" si="25"/>
        <v/>
      </c>
    </row>
    <row r="1592" spans="1:1">
      <c r="A1592" t="str">
        <f t="shared" si="25"/>
        <v/>
      </c>
    </row>
    <row r="1593" spans="1:1">
      <c r="A1593" t="str">
        <f t="shared" si="25"/>
        <v/>
      </c>
    </row>
    <row r="1594" spans="1:1">
      <c r="A1594" t="str">
        <f t="shared" si="25"/>
        <v/>
      </c>
    </row>
    <row r="1595" spans="1:1">
      <c r="A1595" t="str">
        <f t="shared" si="25"/>
        <v/>
      </c>
    </row>
    <row r="1596" spans="1:1">
      <c r="A1596" t="str">
        <f t="shared" si="25"/>
        <v/>
      </c>
    </row>
    <row r="1597" spans="1:1">
      <c r="A1597" t="str">
        <f t="shared" si="25"/>
        <v/>
      </c>
    </row>
    <row r="1598" spans="1:1">
      <c r="A1598" t="str">
        <f t="shared" si="25"/>
        <v/>
      </c>
    </row>
    <row r="1599" spans="1:1">
      <c r="A1599" t="str">
        <f t="shared" si="25"/>
        <v/>
      </c>
    </row>
    <row r="1600" spans="1:1">
      <c r="A1600" t="str">
        <f t="shared" si="25"/>
        <v/>
      </c>
    </row>
    <row r="1601" spans="1:1">
      <c r="A1601" t="str">
        <f t="shared" si="25"/>
        <v/>
      </c>
    </row>
    <row r="1602" spans="1:1">
      <c r="A1602" t="str">
        <f t="shared" si="25"/>
        <v/>
      </c>
    </row>
    <row r="1603" spans="1:1">
      <c r="A1603" t="str">
        <f t="shared" si="25"/>
        <v/>
      </c>
    </row>
    <row r="1604" spans="1:1">
      <c r="A1604" t="str">
        <f t="shared" si="25"/>
        <v/>
      </c>
    </row>
    <row r="1605" spans="1:1">
      <c r="A1605" t="str">
        <f t="shared" si="25"/>
        <v/>
      </c>
    </row>
    <row r="1606" spans="1:1">
      <c r="A1606" t="str">
        <f t="shared" si="25"/>
        <v/>
      </c>
    </row>
    <row r="1607" spans="1:1">
      <c r="A1607" t="str">
        <f t="shared" ref="A1607:A1670" si="26">G1607&amp;H1607&amp;I1607&amp;F1607</f>
        <v/>
      </c>
    </row>
    <row r="1608" spans="1:1">
      <c r="A1608" t="str">
        <f t="shared" si="26"/>
        <v/>
      </c>
    </row>
    <row r="1609" spans="1:1">
      <c r="A1609" t="str">
        <f t="shared" si="26"/>
        <v/>
      </c>
    </row>
    <row r="1610" spans="1:1">
      <c r="A1610" t="str">
        <f t="shared" si="26"/>
        <v/>
      </c>
    </row>
    <row r="1611" spans="1:1">
      <c r="A1611" t="str">
        <f t="shared" si="26"/>
        <v/>
      </c>
    </row>
    <row r="1612" spans="1:1">
      <c r="A1612" t="str">
        <f t="shared" si="26"/>
        <v/>
      </c>
    </row>
    <row r="1613" spans="1:1">
      <c r="A1613" t="str">
        <f t="shared" si="26"/>
        <v/>
      </c>
    </row>
    <row r="1614" spans="1:1">
      <c r="A1614" t="str">
        <f t="shared" si="26"/>
        <v/>
      </c>
    </row>
    <row r="1615" spans="1:1">
      <c r="A1615" t="str">
        <f t="shared" si="26"/>
        <v/>
      </c>
    </row>
    <row r="1616" spans="1:1">
      <c r="A1616" t="str">
        <f t="shared" si="26"/>
        <v/>
      </c>
    </row>
    <row r="1617" spans="1:1">
      <c r="A1617" t="str">
        <f t="shared" si="26"/>
        <v/>
      </c>
    </row>
    <row r="1618" spans="1:1">
      <c r="A1618" t="str">
        <f t="shared" si="26"/>
        <v/>
      </c>
    </row>
    <row r="1619" spans="1:1">
      <c r="A1619" t="str">
        <f t="shared" si="26"/>
        <v/>
      </c>
    </row>
    <row r="1620" spans="1:1">
      <c r="A1620" t="str">
        <f t="shared" si="26"/>
        <v/>
      </c>
    </row>
    <row r="1621" spans="1:1">
      <c r="A1621" t="str">
        <f t="shared" si="26"/>
        <v/>
      </c>
    </row>
    <row r="1622" spans="1:1">
      <c r="A1622" t="str">
        <f t="shared" si="26"/>
        <v/>
      </c>
    </row>
    <row r="1623" spans="1:1">
      <c r="A1623" t="str">
        <f t="shared" si="26"/>
        <v/>
      </c>
    </row>
    <row r="1624" spans="1:1">
      <c r="A1624" t="str">
        <f t="shared" si="26"/>
        <v/>
      </c>
    </row>
    <row r="1625" spans="1:1">
      <c r="A1625" t="str">
        <f t="shared" si="26"/>
        <v/>
      </c>
    </row>
    <row r="1626" spans="1:1">
      <c r="A1626" t="str">
        <f t="shared" si="26"/>
        <v/>
      </c>
    </row>
    <row r="1627" spans="1:1">
      <c r="A1627" t="str">
        <f t="shared" si="26"/>
        <v/>
      </c>
    </row>
    <row r="1628" spans="1:1">
      <c r="A1628" t="str">
        <f t="shared" si="26"/>
        <v/>
      </c>
    </row>
    <row r="1629" spans="1:1">
      <c r="A1629" t="str">
        <f t="shared" si="26"/>
        <v/>
      </c>
    </row>
    <row r="1630" spans="1:1">
      <c r="A1630" t="str">
        <f t="shared" si="26"/>
        <v/>
      </c>
    </row>
    <row r="1631" spans="1:1">
      <c r="A1631" t="str">
        <f t="shared" si="26"/>
        <v/>
      </c>
    </row>
    <row r="1632" spans="1:1">
      <c r="A1632" t="str">
        <f t="shared" si="26"/>
        <v/>
      </c>
    </row>
    <row r="1633" spans="1:1">
      <c r="A1633" t="str">
        <f t="shared" si="26"/>
        <v/>
      </c>
    </row>
    <row r="1634" spans="1:1">
      <c r="A1634" t="str">
        <f t="shared" si="26"/>
        <v/>
      </c>
    </row>
    <row r="1635" spans="1:1">
      <c r="A1635" t="str">
        <f t="shared" si="26"/>
        <v/>
      </c>
    </row>
    <row r="1636" spans="1:1">
      <c r="A1636" t="str">
        <f t="shared" si="26"/>
        <v/>
      </c>
    </row>
    <row r="1637" spans="1:1">
      <c r="A1637" t="str">
        <f t="shared" si="26"/>
        <v/>
      </c>
    </row>
    <row r="1638" spans="1:1">
      <c r="A1638" t="str">
        <f t="shared" si="26"/>
        <v/>
      </c>
    </row>
    <row r="1639" spans="1:1">
      <c r="A1639" t="str">
        <f t="shared" si="26"/>
        <v/>
      </c>
    </row>
    <row r="1640" spans="1:1">
      <c r="A1640" t="str">
        <f t="shared" si="26"/>
        <v/>
      </c>
    </row>
    <row r="1641" spans="1:1">
      <c r="A1641" t="str">
        <f t="shared" si="26"/>
        <v/>
      </c>
    </row>
    <row r="1642" spans="1:1">
      <c r="A1642" t="str">
        <f t="shared" si="26"/>
        <v/>
      </c>
    </row>
    <row r="1643" spans="1:1">
      <c r="A1643" t="str">
        <f t="shared" si="26"/>
        <v/>
      </c>
    </row>
    <row r="1644" spans="1:1">
      <c r="A1644" t="str">
        <f t="shared" si="26"/>
        <v/>
      </c>
    </row>
    <row r="1645" spans="1:1">
      <c r="A1645" t="str">
        <f t="shared" si="26"/>
        <v/>
      </c>
    </row>
    <row r="1646" spans="1:1">
      <c r="A1646" t="str">
        <f t="shared" si="26"/>
        <v/>
      </c>
    </row>
    <row r="1647" spans="1:1">
      <c r="A1647" t="str">
        <f t="shared" si="26"/>
        <v/>
      </c>
    </row>
    <row r="1648" spans="1:1">
      <c r="A1648" t="str">
        <f t="shared" si="26"/>
        <v/>
      </c>
    </row>
    <row r="1649" spans="1:1">
      <c r="A1649" t="str">
        <f t="shared" si="26"/>
        <v/>
      </c>
    </row>
    <row r="1650" spans="1:1">
      <c r="A1650" t="str">
        <f t="shared" si="26"/>
        <v/>
      </c>
    </row>
    <row r="1651" spans="1:1">
      <c r="A1651" t="str">
        <f t="shared" si="26"/>
        <v/>
      </c>
    </row>
    <row r="1652" spans="1:1">
      <c r="A1652" t="str">
        <f t="shared" si="26"/>
        <v/>
      </c>
    </row>
    <row r="1653" spans="1:1">
      <c r="A1653" t="str">
        <f t="shared" si="26"/>
        <v/>
      </c>
    </row>
    <row r="1654" spans="1:1">
      <c r="A1654" t="str">
        <f t="shared" si="26"/>
        <v/>
      </c>
    </row>
    <row r="1655" spans="1:1">
      <c r="A1655" t="str">
        <f t="shared" si="26"/>
        <v/>
      </c>
    </row>
    <row r="1656" spans="1:1">
      <c r="A1656" t="str">
        <f t="shared" si="26"/>
        <v/>
      </c>
    </row>
    <row r="1657" spans="1:1">
      <c r="A1657" t="str">
        <f t="shared" si="26"/>
        <v/>
      </c>
    </row>
    <row r="1658" spans="1:1">
      <c r="A1658" t="str">
        <f t="shared" si="26"/>
        <v/>
      </c>
    </row>
    <row r="1659" spans="1:1">
      <c r="A1659" t="str">
        <f t="shared" si="26"/>
        <v/>
      </c>
    </row>
    <row r="1660" spans="1:1">
      <c r="A1660" t="str">
        <f t="shared" si="26"/>
        <v/>
      </c>
    </row>
    <row r="1661" spans="1:1">
      <c r="A1661" t="str">
        <f t="shared" si="26"/>
        <v/>
      </c>
    </row>
    <row r="1662" spans="1:1">
      <c r="A1662" t="str">
        <f t="shared" si="26"/>
        <v/>
      </c>
    </row>
    <row r="1663" spans="1:1">
      <c r="A1663" t="str">
        <f t="shared" si="26"/>
        <v/>
      </c>
    </row>
    <row r="1664" spans="1:1">
      <c r="A1664" t="str">
        <f t="shared" si="26"/>
        <v/>
      </c>
    </row>
    <row r="1665" spans="1:1">
      <c r="A1665" t="str">
        <f t="shared" si="26"/>
        <v/>
      </c>
    </row>
    <row r="1666" spans="1:1">
      <c r="A1666" t="str">
        <f t="shared" si="26"/>
        <v/>
      </c>
    </row>
    <row r="1667" spans="1:1">
      <c r="A1667" t="str">
        <f t="shared" si="26"/>
        <v/>
      </c>
    </row>
    <row r="1668" spans="1:1">
      <c r="A1668" t="str">
        <f t="shared" si="26"/>
        <v/>
      </c>
    </row>
    <row r="1669" spans="1:1">
      <c r="A1669" t="str">
        <f t="shared" si="26"/>
        <v/>
      </c>
    </row>
    <row r="1670" spans="1:1">
      <c r="A1670" t="str">
        <f t="shared" si="26"/>
        <v/>
      </c>
    </row>
    <row r="1671" spans="1:1">
      <c r="A1671" t="str">
        <f t="shared" ref="A1671:A1734" si="27">G1671&amp;H1671&amp;I1671&amp;F1671</f>
        <v/>
      </c>
    </row>
    <row r="1672" spans="1:1">
      <c r="A1672" t="str">
        <f t="shared" si="27"/>
        <v/>
      </c>
    </row>
    <row r="1673" spans="1:1">
      <c r="A1673" t="str">
        <f t="shared" si="27"/>
        <v/>
      </c>
    </row>
    <row r="1674" spans="1:1">
      <c r="A1674" t="str">
        <f t="shared" si="27"/>
        <v/>
      </c>
    </row>
    <row r="1675" spans="1:1">
      <c r="A1675" t="str">
        <f t="shared" si="27"/>
        <v/>
      </c>
    </row>
    <row r="1676" spans="1:1">
      <c r="A1676" t="str">
        <f t="shared" si="27"/>
        <v/>
      </c>
    </row>
    <row r="1677" spans="1:1">
      <c r="A1677" t="str">
        <f t="shared" si="27"/>
        <v/>
      </c>
    </row>
    <row r="1678" spans="1:1">
      <c r="A1678" t="str">
        <f t="shared" si="27"/>
        <v/>
      </c>
    </row>
    <row r="1679" spans="1:1">
      <c r="A1679" t="str">
        <f t="shared" si="27"/>
        <v/>
      </c>
    </row>
    <row r="1680" spans="1:1">
      <c r="A1680" t="str">
        <f t="shared" si="27"/>
        <v/>
      </c>
    </row>
    <row r="1681" spans="1:1">
      <c r="A1681" t="str">
        <f t="shared" si="27"/>
        <v/>
      </c>
    </row>
    <row r="1682" spans="1:1">
      <c r="A1682" t="str">
        <f t="shared" si="27"/>
        <v/>
      </c>
    </row>
    <row r="1683" spans="1:1">
      <c r="A1683" t="str">
        <f t="shared" si="27"/>
        <v/>
      </c>
    </row>
    <row r="1684" spans="1:1">
      <c r="A1684" t="str">
        <f t="shared" si="27"/>
        <v/>
      </c>
    </row>
    <row r="1685" spans="1:1">
      <c r="A1685" t="str">
        <f t="shared" si="27"/>
        <v/>
      </c>
    </row>
    <row r="1686" spans="1:1">
      <c r="A1686" t="str">
        <f t="shared" si="27"/>
        <v/>
      </c>
    </row>
    <row r="1687" spans="1:1">
      <c r="A1687" t="str">
        <f t="shared" si="27"/>
        <v/>
      </c>
    </row>
    <row r="1688" spans="1:1">
      <c r="A1688" t="str">
        <f t="shared" si="27"/>
        <v/>
      </c>
    </row>
    <row r="1689" spans="1:1">
      <c r="A1689" t="str">
        <f t="shared" si="27"/>
        <v/>
      </c>
    </row>
    <row r="1690" spans="1:1">
      <c r="A1690" t="str">
        <f t="shared" si="27"/>
        <v/>
      </c>
    </row>
    <row r="1691" spans="1:1">
      <c r="A1691" t="str">
        <f t="shared" si="27"/>
        <v/>
      </c>
    </row>
    <row r="1692" spans="1:1">
      <c r="A1692" t="str">
        <f t="shared" si="27"/>
        <v/>
      </c>
    </row>
    <row r="1693" spans="1:1">
      <c r="A1693" t="str">
        <f t="shared" si="27"/>
        <v/>
      </c>
    </row>
    <row r="1694" spans="1:1">
      <c r="A1694" t="str">
        <f t="shared" si="27"/>
        <v/>
      </c>
    </row>
    <row r="1695" spans="1:1">
      <c r="A1695" t="str">
        <f t="shared" si="27"/>
        <v/>
      </c>
    </row>
    <row r="1696" spans="1:1">
      <c r="A1696" t="str">
        <f t="shared" si="27"/>
        <v/>
      </c>
    </row>
    <row r="1697" spans="1:1">
      <c r="A1697" t="str">
        <f t="shared" si="27"/>
        <v/>
      </c>
    </row>
    <row r="1698" spans="1:1">
      <c r="A1698" t="str">
        <f t="shared" si="27"/>
        <v/>
      </c>
    </row>
    <row r="1699" spans="1:1">
      <c r="A1699" t="str">
        <f t="shared" si="27"/>
        <v/>
      </c>
    </row>
    <row r="1700" spans="1:1">
      <c r="A1700" t="str">
        <f t="shared" si="27"/>
        <v/>
      </c>
    </row>
    <row r="1701" spans="1:1">
      <c r="A1701" t="str">
        <f t="shared" si="27"/>
        <v/>
      </c>
    </row>
    <row r="1702" spans="1:1">
      <c r="A1702" t="str">
        <f t="shared" si="27"/>
        <v/>
      </c>
    </row>
    <row r="1703" spans="1:1">
      <c r="A1703" t="str">
        <f t="shared" si="27"/>
        <v/>
      </c>
    </row>
    <row r="1704" spans="1:1">
      <c r="A1704" t="str">
        <f t="shared" si="27"/>
        <v/>
      </c>
    </row>
    <row r="1705" spans="1:1">
      <c r="A1705" t="str">
        <f t="shared" si="27"/>
        <v/>
      </c>
    </row>
    <row r="1706" spans="1:1">
      <c r="A1706" t="str">
        <f t="shared" si="27"/>
        <v/>
      </c>
    </row>
    <row r="1707" spans="1:1">
      <c r="A1707" t="str">
        <f t="shared" si="27"/>
        <v/>
      </c>
    </row>
    <row r="1708" spans="1:1">
      <c r="A1708" t="str">
        <f t="shared" si="27"/>
        <v/>
      </c>
    </row>
    <row r="1709" spans="1:1">
      <c r="A1709" t="str">
        <f t="shared" si="27"/>
        <v/>
      </c>
    </row>
    <row r="1710" spans="1:1">
      <c r="A1710" t="str">
        <f t="shared" si="27"/>
        <v/>
      </c>
    </row>
    <row r="1711" spans="1:1">
      <c r="A1711" t="str">
        <f t="shared" si="27"/>
        <v/>
      </c>
    </row>
    <row r="1712" spans="1:1">
      <c r="A1712" t="str">
        <f t="shared" si="27"/>
        <v/>
      </c>
    </row>
    <row r="1713" spans="1:1">
      <c r="A1713" t="str">
        <f t="shared" si="27"/>
        <v/>
      </c>
    </row>
    <row r="1714" spans="1:1">
      <c r="A1714" t="str">
        <f t="shared" si="27"/>
        <v/>
      </c>
    </row>
    <row r="1715" spans="1:1">
      <c r="A1715" t="str">
        <f t="shared" si="27"/>
        <v/>
      </c>
    </row>
    <row r="1716" spans="1:1">
      <c r="A1716" t="str">
        <f t="shared" si="27"/>
        <v/>
      </c>
    </row>
    <row r="1717" spans="1:1">
      <c r="A1717" t="str">
        <f t="shared" si="27"/>
        <v/>
      </c>
    </row>
    <row r="1718" spans="1:1">
      <c r="A1718" t="str">
        <f t="shared" si="27"/>
        <v/>
      </c>
    </row>
    <row r="1719" spans="1:1">
      <c r="A1719" t="str">
        <f t="shared" si="27"/>
        <v/>
      </c>
    </row>
    <row r="1720" spans="1:1">
      <c r="A1720" t="str">
        <f t="shared" si="27"/>
        <v/>
      </c>
    </row>
    <row r="1721" spans="1:1">
      <c r="A1721" t="str">
        <f t="shared" si="27"/>
        <v/>
      </c>
    </row>
    <row r="1722" spans="1:1">
      <c r="A1722" t="str">
        <f t="shared" si="27"/>
        <v/>
      </c>
    </row>
    <row r="1723" spans="1:1">
      <c r="A1723" t="str">
        <f t="shared" si="27"/>
        <v/>
      </c>
    </row>
    <row r="1724" spans="1:1">
      <c r="A1724" t="str">
        <f t="shared" si="27"/>
        <v/>
      </c>
    </row>
    <row r="1725" spans="1:1">
      <c r="A1725" t="str">
        <f t="shared" si="27"/>
        <v/>
      </c>
    </row>
    <row r="1726" spans="1:1">
      <c r="A1726" t="str">
        <f t="shared" si="27"/>
        <v/>
      </c>
    </row>
    <row r="1727" spans="1:1">
      <c r="A1727" t="str">
        <f t="shared" si="27"/>
        <v/>
      </c>
    </row>
    <row r="1728" spans="1:1">
      <c r="A1728" t="str">
        <f t="shared" si="27"/>
        <v/>
      </c>
    </row>
    <row r="1729" spans="1:1">
      <c r="A1729" t="str">
        <f t="shared" si="27"/>
        <v/>
      </c>
    </row>
    <row r="1730" spans="1:1">
      <c r="A1730" t="str">
        <f t="shared" si="27"/>
        <v/>
      </c>
    </row>
    <row r="1731" spans="1:1">
      <c r="A1731" t="str">
        <f t="shared" si="27"/>
        <v/>
      </c>
    </row>
    <row r="1732" spans="1:1">
      <c r="A1732" t="str">
        <f t="shared" si="27"/>
        <v/>
      </c>
    </row>
    <row r="1733" spans="1:1">
      <c r="A1733" t="str">
        <f t="shared" si="27"/>
        <v/>
      </c>
    </row>
    <row r="1734" spans="1:1">
      <c r="A1734" t="str">
        <f t="shared" si="27"/>
        <v/>
      </c>
    </row>
    <row r="1735" spans="1:1">
      <c r="A1735" t="str">
        <f t="shared" ref="A1735:A1764" si="28">G1735&amp;H1735&amp;I1735&amp;F1735</f>
        <v/>
      </c>
    </row>
    <row r="1736" spans="1:1">
      <c r="A1736" t="str">
        <f t="shared" si="28"/>
        <v/>
      </c>
    </row>
    <row r="1737" spans="1:1">
      <c r="A1737" t="str">
        <f t="shared" si="28"/>
        <v/>
      </c>
    </row>
    <row r="1738" spans="1:1">
      <c r="A1738" t="str">
        <f t="shared" si="28"/>
        <v/>
      </c>
    </row>
    <row r="1739" spans="1:1">
      <c r="A1739" t="str">
        <f t="shared" si="28"/>
        <v/>
      </c>
    </row>
    <row r="1740" spans="1:1">
      <c r="A1740" t="str">
        <f t="shared" si="28"/>
        <v/>
      </c>
    </row>
    <row r="1741" spans="1:1">
      <c r="A1741" t="str">
        <f t="shared" si="28"/>
        <v/>
      </c>
    </row>
    <row r="1742" spans="1:1">
      <c r="A1742" t="str">
        <f t="shared" si="28"/>
        <v/>
      </c>
    </row>
    <row r="1743" spans="1:1">
      <c r="A1743" t="str">
        <f t="shared" si="28"/>
        <v/>
      </c>
    </row>
    <row r="1744" spans="1:1">
      <c r="A1744" t="str">
        <f t="shared" si="28"/>
        <v/>
      </c>
    </row>
    <row r="1745" spans="1:1">
      <c r="A1745" t="str">
        <f t="shared" si="28"/>
        <v/>
      </c>
    </row>
    <row r="1746" spans="1:1">
      <c r="A1746" t="str">
        <f t="shared" si="28"/>
        <v/>
      </c>
    </row>
    <row r="1747" spans="1:1">
      <c r="A1747" t="str">
        <f t="shared" si="28"/>
        <v/>
      </c>
    </row>
    <row r="1748" spans="1:1">
      <c r="A1748" t="str">
        <f t="shared" si="28"/>
        <v/>
      </c>
    </row>
    <row r="1749" spans="1:1">
      <c r="A1749" t="str">
        <f t="shared" si="28"/>
        <v/>
      </c>
    </row>
    <row r="1750" spans="1:1">
      <c r="A1750" t="str">
        <f t="shared" si="28"/>
        <v/>
      </c>
    </row>
    <row r="1751" spans="1:1">
      <c r="A1751" t="str">
        <f t="shared" si="28"/>
        <v/>
      </c>
    </row>
    <row r="1752" spans="1:1">
      <c r="A1752" t="str">
        <f t="shared" si="28"/>
        <v/>
      </c>
    </row>
    <row r="1753" spans="1:1">
      <c r="A1753" t="str">
        <f t="shared" si="28"/>
        <v/>
      </c>
    </row>
    <row r="1754" spans="1:1">
      <c r="A1754" t="str">
        <f t="shared" si="28"/>
        <v/>
      </c>
    </row>
    <row r="1755" spans="1:1">
      <c r="A1755" t="str">
        <f t="shared" si="28"/>
        <v/>
      </c>
    </row>
    <row r="1756" spans="1:1">
      <c r="A1756" t="str">
        <f t="shared" si="28"/>
        <v/>
      </c>
    </row>
    <row r="1757" spans="1:1">
      <c r="A1757" t="str">
        <f t="shared" si="28"/>
        <v/>
      </c>
    </row>
    <row r="1758" spans="1:1">
      <c r="A1758" t="str">
        <f t="shared" si="28"/>
        <v/>
      </c>
    </row>
    <row r="1759" spans="1:1">
      <c r="A1759" t="str">
        <f t="shared" si="28"/>
        <v/>
      </c>
    </row>
    <row r="1760" spans="1:1">
      <c r="A1760" t="str">
        <f t="shared" si="28"/>
        <v/>
      </c>
    </row>
    <row r="1761" spans="1:1">
      <c r="A1761" t="str">
        <f t="shared" si="28"/>
        <v/>
      </c>
    </row>
    <row r="1762" spans="1:1">
      <c r="A1762" t="str">
        <f t="shared" si="28"/>
        <v/>
      </c>
    </row>
    <row r="1763" spans="1:1">
      <c r="A1763" t="str">
        <f t="shared" si="28"/>
        <v/>
      </c>
    </row>
    <row r="1764" spans="1:1">
      <c r="A1764" t="str">
        <f t="shared" si="28"/>
        <v/>
      </c>
    </row>
    <row r="1765" spans="1:1">
      <c r="A1765" t="str">
        <f t="shared" ref="A1765:A1798" si="29">G1765&amp;H1765&amp;I1765&amp;F1765</f>
        <v/>
      </c>
    </row>
    <row r="1766" spans="1:1">
      <c r="A1766" t="str">
        <f t="shared" si="29"/>
        <v/>
      </c>
    </row>
    <row r="1767" spans="1:1">
      <c r="A1767" t="str">
        <f t="shared" si="29"/>
        <v/>
      </c>
    </row>
    <row r="1768" spans="1:1">
      <c r="A1768" t="str">
        <f t="shared" si="29"/>
        <v/>
      </c>
    </row>
    <row r="1769" spans="1:1">
      <c r="A1769" t="str">
        <f t="shared" si="29"/>
        <v/>
      </c>
    </row>
    <row r="1770" spans="1:1">
      <c r="A1770" t="str">
        <f t="shared" si="29"/>
        <v/>
      </c>
    </row>
    <row r="1771" spans="1:1">
      <c r="A1771" t="str">
        <f t="shared" si="29"/>
        <v/>
      </c>
    </row>
    <row r="1772" spans="1:1">
      <c r="A1772" t="str">
        <f t="shared" si="29"/>
        <v/>
      </c>
    </row>
    <row r="1773" spans="1:1">
      <c r="A1773" t="str">
        <f t="shared" si="29"/>
        <v/>
      </c>
    </row>
    <row r="1774" spans="1:1">
      <c r="A1774" t="str">
        <f t="shared" si="29"/>
        <v/>
      </c>
    </row>
    <row r="1775" spans="1:1">
      <c r="A1775" t="str">
        <f t="shared" si="29"/>
        <v/>
      </c>
    </row>
    <row r="1776" spans="1:1">
      <c r="A1776" t="str">
        <f t="shared" si="29"/>
        <v/>
      </c>
    </row>
    <row r="1777" spans="1:1">
      <c r="A1777" t="str">
        <f t="shared" si="29"/>
        <v/>
      </c>
    </row>
    <row r="1778" spans="1:1">
      <c r="A1778" t="str">
        <f t="shared" si="29"/>
        <v/>
      </c>
    </row>
    <row r="1779" spans="1:1">
      <c r="A1779" t="str">
        <f t="shared" si="29"/>
        <v/>
      </c>
    </row>
    <row r="1780" spans="1:1">
      <c r="A1780" t="str">
        <f t="shared" si="29"/>
        <v/>
      </c>
    </row>
    <row r="1781" spans="1:1">
      <c r="A1781" t="str">
        <f t="shared" si="29"/>
        <v/>
      </c>
    </row>
    <row r="1782" spans="1:1">
      <c r="A1782" t="str">
        <f t="shared" si="29"/>
        <v/>
      </c>
    </row>
    <row r="1783" spans="1:1">
      <c r="A1783" t="str">
        <f t="shared" si="29"/>
        <v/>
      </c>
    </row>
    <row r="1784" spans="1:1">
      <c r="A1784" t="str">
        <f t="shared" si="29"/>
        <v/>
      </c>
    </row>
    <row r="1785" spans="1:1">
      <c r="A1785" t="str">
        <f t="shared" si="29"/>
        <v/>
      </c>
    </row>
    <row r="1786" spans="1:1">
      <c r="A1786" t="str">
        <f t="shared" si="29"/>
        <v/>
      </c>
    </row>
    <row r="1787" spans="1:1">
      <c r="A1787" t="str">
        <f t="shared" si="29"/>
        <v/>
      </c>
    </row>
    <row r="1788" spans="1:1">
      <c r="A1788" t="str">
        <f t="shared" si="29"/>
        <v/>
      </c>
    </row>
    <row r="1789" spans="1:1">
      <c r="A1789" t="str">
        <f t="shared" si="29"/>
        <v/>
      </c>
    </row>
    <row r="1790" spans="1:1">
      <c r="A1790" t="str">
        <f t="shared" si="29"/>
        <v/>
      </c>
    </row>
    <row r="1791" spans="1:1">
      <c r="A1791" t="str">
        <f t="shared" si="29"/>
        <v/>
      </c>
    </row>
    <row r="1792" spans="1:1">
      <c r="A1792" t="str">
        <f t="shared" si="29"/>
        <v/>
      </c>
    </row>
    <row r="1793" spans="1:1">
      <c r="A1793" t="str">
        <f t="shared" si="29"/>
        <v/>
      </c>
    </row>
    <row r="1794" spans="1:1">
      <c r="A1794" t="str">
        <f t="shared" si="29"/>
        <v/>
      </c>
    </row>
    <row r="1795" spans="1:1">
      <c r="A1795" t="str">
        <f t="shared" si="29"/>
        <v/>
      </c>
    </row>
    <row r="1796" spans="1:1">
      <c r="A1796" t="str">
        <f t="shared" si="29"/>
        <v/>
      </c>
    </row>
    <row r="1797" spans="1:1">
      <c r="A1797" t="str">
        <f t="shared" si="29"/>
        <v/>
      </c>
    </row>
    <row r="1798" spans="1:1">
      <c r="A1798" t="str">
        <f t="shared" si="29"/>
        <v/>
      </c>
    </row>
    <row r="1799" spans="1:1">
      <c r="A1799" t="str">
        <f t="shared" ref="A1799:A1862" si="30">G1799&amp;H1799&amp;I1799&amp;F1799</f>
        <v/>
      </c>
    </row>
    <row r="1800" spans="1:1">
      <c r="A1800" t="str">
        <f t="shared" si="30"/>
        <v/>
      </c>
    </row>
    <row r="1801" spans="1:1">
      <c r="A1801" t="str">
        <f t="shared" si="30"/>
        <v/>
      </c>
    </row>
    <row r="1802" spans="1:1">
      <c r="A1802" t="str">
        <f t="shared" si="30"/>
        <v/>
      </c>
    </row>
    <row r="1803" spans="1:1">
      <c r="A1803" t="str">
        <f t="shared" si="30"/>
        <v/>
      </c>
    </row>
    <row r="1804" spans="1:1">
      <c r="A1804" t="str">
        <f t="shared" si="30"/>
        <v/>
      </c>
    </row>
    <row r="1805" spans="1:1">
      <c r="A1805" t="str">
        <f t="shared" si="30"/>
        <v/>
      </c>
    </row>
    <row r="1806" spans="1:1">
      <c r="A1806" t="str">
        <f t="shared" si="30"/>
        <v/>
      </c>
    </row>
    <row r="1807" spans="1:1">
      <c r="A1807" t="str">
        <f t="shared" si="30"/>
        <v/>
      </c>
    </row>
    <row r="1808" spans="1:1">
      <c r="A1808" t="str">
        <f t="shared" si="30"/>
        <v/>
      </c>
    </row>
    <row r="1809" spans="1:1">
      <c r="A1809" t="str">
        <f t="shared" si="30"/>
        <v/>
      </c>
    </row>
    <row r="1810" spans="1:1">
      <c r="A1810" t="str">
        <f t="shared" si="30"/>
        <v/>
      </c>
    </row>
    <row r="1811" spans="1:1">
      <c r="A1811" t="str">
        <f t="shared" si="30"/>
        <v/>
      </c>
    </row>
    <row r="1812" spans="1:1">
      <c r="A1812" t="str">
        <f t="shared" si="30"/>
        <v/>
      </c>
    </row>
    <row r="1813" spans="1:1">
      <c r="A1813" t="str">
        <f t="shared" si="30"/>
        <v/>
      </c>
    </row>
    <row r="1814" spans="1:1">
      <c r="A1814" t="str">
        <f t="shared" si="30"/>
        <v/>
      </c>
    </row>
    <row r="1815" spans="1:1">
      <c r="A1815" t="str">
        <f t="shared" si="30"/>
        <v/>
      </c>
    </row>
    <row r="1816" spans="1:1">
      <c r="A1816" t="str">
        <f t="shared" si="30"/>
        <v/>
      </c>
    </row>
    <row r="1817" spans="1:1">
      <c r="A1817" t="str">
        <f t="shared" si="30"/>
        <v/>
      </c>
    </row>
    <row r="1818" spans="1:1">
      <c r="A1818" t="str">
        <f t="shared" si="30"/>
        <v/>
      </c>
    </row>
    <row r="1819" spans="1:1">
      <c r="A1819" t="str">
        <f t="shared" si="30"/>
        <v/>
      </c>
    </row>
    <row r="1820" spans="1:1">
      <c r="A1820" t="str">
        <f t="shared" si="30"/>
        <v/>
      </c>
    </row>
    <row r="1821" spans="1:1">
      <c r="A1821" t="str">
        <f t="shared" si="30"/>
        <v/>
      </c>
    </row>
    <row r="1822" spans="1:1">
      <c r="A1822" t="str">
        <f t="shared" si="30"/>
        <v/>
      </c>
    </row>
    <row r="1823" spans="1:1">
      <c r="A1823" t="str">
        <f t="shared" si="30"/>
        <v/>
      </c>
    </row>
    <row r="1824" spans="1:1">
      <c r="A1824" t="str">
        <f t="shared" si="30"/>
        <v/>
      </c>
    </row>
    <row r="1825" spans="1:1">
      <c r="A1825" t="str">
        <f t="shared" si="30"/>
        <v/>
      </c>
    </row>
    <row r="1826" spans="1:1">
      <c r="A1826" t="str">
        <f t="shared" si="30"/>
        <v/>
      </c>
    </row>
    <row r="1827" spans="1:1">
      <c r="A1827" t="str">
        <f t="shared" si="30"/>
        <v/>
      </c>
    </row>
    <row r="1828" spans="1:1">
      <c r="A1828" t="str">
        <f t="shared" si="30"/>
        <v/>
      </c>
    </row>
    <row r="1829" spans="1:1">
      <c r="A1829" t="str">
        <f t="shared" si="30"/>
        <v/>
      </c>
    </row>
    <row r="1830" spans="1:1">
      <c r="A1830" t="str">
        <f t="shared" si="30"/>
        <v/>
      </c>
    </row>
    <row r="1831" spans="1:1">
      <c r="A1831" t="str">
        <f t="shared" si="30"/>
        <v/>
      </c>
    </row>
    <row r="1832" spans="1:1">
      <c r="A1832" t="str">
        <f t="shared" si="30"/>
        <v/>
      </c>
    </row>
    <row r="1833" spans="1:1">
      <c r="A1833" t="str">
        <f t="shared" si="30"/>
        <v/>
      </c>
    </row>
    <row r="1834" spans="1:1">
      <c r="A1834" t="str">
        <f t="shared" si="30"/>
        <v/>
      </c>
    </row>
    <row r="1835" spans="1:1">
      <c r="A1835" t="str">
        <f t="shared" si="30"/>
        <v/>
      </c>
    </row>
    <row r="1836" spans="1:1">
      <c r="A1836" t="str">
        <f t="shared" si="30"/>
        <v/>
      </c>
    </row>
    <row r="1837" spans="1:1">
      <c r="A1837" t="str">
        <f t="shared" si="30"/>
        <v/>
      </c>
    </row>
    <row r="1838" spans="1:1">
      <c r="A1838" t="str">
        <f t="shared" si="30"/>
        <v/>
      </c>
    </row>
    <row r="1839" spans="1:1">
      <c r="A1839" t="str">
        <f t="shared" si="30"/>
        <v/>
      </c>
    </row>
    <row r="1840" spans="1:1">
      <c r="A1840" t="str">
        <f t="shared" si="30"/>
        <v/>
      </c>
    </row>
    <row r="1841" spans="1:1">
      <c r="A1841" t="str">
        <f t="shared" si="30"/>
        <v/>
      </c>
    </row>
    <row r="1842" spans="1:1">
      <c r="A1842" t="str">
        <f t="shared" si="30"/>
        <v/>
      </c>
    </row>
    <row r="1843" spans="1:1">
      <c r="A1843" t="str">
        <f t="shared" si="30"/>
        <v/>
      </c>
    </row>
    <row r="1844" spans="1:1">
      <c r="A1844" t="str">
        <f t="shared" si="30"/>
        <v/>
      </c>
    </row>
    <row r="1845" spans="1:1">
      <c r="A1845" t="str">
        <f t="shared" si="30"/>
        <v/>
      </c>
    </row>
    <row r="1846" spans="1:1">
      <c r="A1846" t="str">
        <f t="shared" si="30"/>
        <v/>
      </c>
    </row>
    <row r="1847" spans="1:1">
      <c r="A1847" t="str">
        <f t="shared" si="30"/>
        <v/>
      </c>
    </row>
    <row r="1848" spans="1:1">
      <c r="A1848" t="str">
        <f t="shared" si="30"/>
        <v/>
      </c>
    </row>
    <row r="1849" spans="1:1">
      <c r="A1849" t="str">
        <f t="shared" si="30"/>
        <v/>
      </c>
    </row>
    <row r="1850" spans="1:1">
      <c r="A1850" t="str">
        <f t="shared" si="30"/>
        <v/>
      </c>
    </row>
    <row r="1851" spans="1:1">
      <c r="A1851" t="str">
        <f t="shared" si="30"/>
        <v/>
      </c>
    </row>
    <row r="1852" spans="1:1">
      <c r="A1852" t="str">
        <f t="shared" si="30"/>
        <v/>
      </c>
    </row>
    <row r="1853" spans="1:1">
      <c r="A1853" t="str">
        <f t="shared" si="30"/>
        <v/>
      </c>
    </row>
    <row r="1854" spans="1:1">
      <c r="A1854" t="str">
        <f t="shared" si="30"/>
        <v/>
      </c>
    </row>
    <row r="1855" spans="1:1">
      <c r="A1855" t="str">
        <f t="shared" si="30"/>
        <v/>
      </c>
    </row>
    <row r="1856" spans="1:1">
      <c r="A1856" t="str">
        <f t="shared" si="30"/>
        <v/>
      </c>
    </row>
    <row r="1857" spans="1:1">
      <c r="A1857" t="str">
        <f t="shared" si="30"/>
        <v/>
      </c>
    </row>
    <row r="1858" spans="1:1">
      <c r="A1858" t="str">
        <f t="shared" si="30"/>
        <v/>
      </c>
    </row>
    <row r="1859" spans="1:1">
      <c r="A1859" t="str">
        <f t="shared" si="30"/>
        <v/>
      </c>
    </row>
    <row r="1860" spans="1:1">
      <c r="A1860" t="str">
        <f t="shared" si="30"/>
        <v/>
      </c>
    </row>
    <row r="1861" spans="1:1">
      <c r="A1861" t="str">
        <f t="shared" si="30"/>
        <v/>
      </c>
    </row>
    <row r="1862" spans="1:1">
      <c r="A1862" t="str">
        <f t="shared" si="30"/>
        <v/>
      </c>
    </row>
    <row r="1863" spans="1:1">
      <c r="A1863" t="str">
        <f t="shared" ref="A1863:A1926" si="31">G1863&amp;H1863&amp;I1863&amp;F1863</f>
        <v/>
      </c>
    </row>
    <row r="1864" spans="1:1">
      <c r="A1864" t="str">
        <f t="shared" si="31"/>
        <v/>
      </c>
    </row>
    <row r="1865" spans="1:1">
      <c r="A1865" t="str">
        <f t="shared" si="31"/>
        <v/>
      </c>
    </row>
    <row r="1866" spans="1:1">
      <c r="A1866" t="str">
        <f t="shared" si="31"/>
        <v/>
      </c>
    </row>
    <row r="1867" spans="1:1">
      <c r="A1867" t="str">
        <f t="shared" si="31"/>
        <v/>
      </c>
    </row>
    <row r="1868" spans="1:1">
      <c r="A1868" t="str">
        <f t="shared" si="31"/>
        <v/>
      </c>
    </row>
    <row r="1869" spans="1:1">
      <c r="A1869" t="str">
        <f t="shared" si="31"/>
        <v/>
      </c>
    </row>
    <row r="1870" spans="1:1">
      <c r="A1870" t="str">
        <f t="shared" si="31"/>
        <v/>
      </c>
    </row>
    <row r="1871" spans="1:1">
      <c r="A1871" t="str">
        <f t="shared" si="31"/>
        <v/>
      </c>
    </row>
    <row r="1872" spans="1:1">
      <c r="A1872" t="str">
        <f t="shared" si="31"/>
        <v/>
      </c>
    </row>
    <row r="1873" spans="1:1">
      <c r="A1873" t="str">
        <f t="shared" si="31"/>
        <v/>
      </c>
    </row>
    <row r="1874" spans="1:1">
      <c r="A1874" t="str">
        <f t="shared" si="31"/>
        <v/>
      </c>
    </row>
    <row r="1875" spans="1:1">
      <c r="A1875" t="str">
        <f t="shared" si="31"/>
        <v/>
      </c>
    </row>
    <row r="1876" spans="1:1">
      <c r="A1876" t="str">
        <f t="shared" si="31"/>
        <v/>
      </c>
    </row>
    <row r="1877" spans="1:1">
      <c r="A1877" t="str">
        <f t="shared" si="31"/>
        <v/>
      </c>
    </row>
    <row r="1878" spans="1:1">
      <c r="A1878" t="str">
        <f t="shared" si="31"/>
        <v/>
      </c>
    </row>
    <row r="1879" spans="1:1">
      <c r="A1879" t="str">
        <f t="shared" si="31"/>
        <v/>
      </c>
    </row>
    <row r="1880" spans="1:1">
      <c r="A1880" t="str">
        <f t="shared" si="31"/>
        <v/>
      </c>
    </row>
    <row r="1881" spans="1:1">
      <c r="A1881" t="str">
        <f t="shared" si="31"/>
        <v/>
      </c>
    </row>
    <row r="1882" spans="1:1">
      <c r="A1882" t="str">
        <f t="shared" si="31"/>
        <v/>
      </c>
    </row>
    <row r="1883" spans="1:1">
      <c r="A1883" t="str">
        <f t="shared" si="31"/>
        <v/>
      </c>
    </row>
    <row r="1884" spans="1:1">
      <c r="A1884" t="str">
        <f t="shared" si="31"/>
        <v/>
      </c>
    </row>
    <row r="1885" spans="1:1">
      <c r="A1885" t="str">
        <f t="shared" si="31"/>
        <v/>
      </c>
    </row>
    <row r="1886" spans="1:1">
      <c r="A1886" t="str">
        <f t="shared" si="31"/>
        <v/>
      </c>
    </row>
    <row r="1887" spans="1:1">
      <c r="A1887" t="str">
        <f t="shared" si="31"/>
        <v/>
      </c>
    </row>
    <row r="1888" spans="1:1">
      <c r="A1888" t="str">
        <f t="shared" si="31"/>
        <v/>
      </c>
    </row>
    <row r="1889" spans="1:1">
      <c r="A1889" t="str">
        <f t="shared" si="31"/>
        <v/>
      </c>
    </row>
    <row r="1890" spans="1:1">
      <c r="A1890" t="str">
        <f t="shared" si="31"/>
        <v/>
      </c>
    </row>
    <row r="1891" spans="1:1">
      <c r="A1891" t="str">
        <f t="shared" si="31"/>
        <v/>
      </c>
    </row>
    <row r="1892" spans="1:1">
      <c r="A1892" t="str">
        <f t="shared" si="31"/>
        <v/>
      </c>
    </row>
    <row r="1893" spans="1:1">
      <c r="A1893" t="str">
        <f t="shared" si="31"/>
        <v/>
      </c>
    </row>
    <row r="1894" spans="1:1">
      <c r="A1894" t="str">
        <f t="shared" si="31"/>
        <v/>
      </c>
    </row>
    <row r="1895" spans="1:1">
      <c r="A1895" t="str">
        <f t="shared" si="31"/>
        <v/>
      </c>
    </row>
    <row r="1896" spans="1:1">
      <c r="A1896" t="str">
        <f t="shared" si="31"/>
        <v/>
      </c>
    </row>
    <row r="1897" spans="1:1">
      <c r="A1897" t="str">
        <f t="shared" si="31"/>
        <v/>
      </c>
    </row>
    <row r="1898" spans="1:1">
      <c r="A1898" t="str">
        <f t="shared" si="31"/>
        <v/>
      </c>
    </row>
    <row r="1899" spans="1:1">
      <c r="A1899" t="str">
        <f t="shared" si="31"/>
        <v/>
      </c>
    </row>
    <row r="1900" spans="1:1">
      <c r="A1900" t="str">
        <f t="shared" si="31"/>
        <v/>
      </c>
    </row>
    <row r="1901" spans="1:1">
      <c r="A1901" t="str">
        <f t="shared" si="31"/>
        <v/>
      </c>
    </row>
    <row r="1902" spans="1:1">
      <c r="A1902" t="str">
        <f t="shared" si="31"/>
        <v/>
      </c>
    </row>
    <row r="1903" spans="1:1">
      <c r="A1903" t="str">
        <f t="shared" si="31"/>
        <v/>
      </c>
    </row>
    <row r="1904" spans="1:1">
      <c r="A1904" t="str">
        <f t="shared" si="31"/>
        <v/>
      </c>
    </row>
    <row r="1905" spans="1:1">
      <c r="A1905" t="str">
        <f t="shared" si="31"/>
        <v/>
      </c>
    </row>
    <row r="1906" spans="1:1">
      <c r="A1906" t="str">
        <f t="shared" si="31"/>
        <v/>
      </c>
    </row>
    <row r="1907" spans="1:1">
      <c r="A1907" t="str">
        <f t="shared" si="31"/>
        <v/>
      </c>
    </row>
    <row r="1908" spans="1:1">
      <c r="A1908" t="str">
        <f t="shared" si="31"/>
        <v/>
      </c>
    </row>
    <row r="1909" spans="1:1">
      <c r="A1909" t="str">
        <f t="shared" si="31"/>
        <v/>
      </c>
    </row>
    <row r="1910" spans="1:1">
      <c r="A1910" t="str">
        <f t="shared" si="31"/>
        <v/>
      </c>
    </row>
    <row r="1911" spans="1:1">
      <c r="A1911" t="str">
        <f t="shared" si="31"/>
        <v/>
      </c>
    </row>
    <row r="1912" spans="1:1">
      <c r="A1912" t="str">
        <f t="shared" si="31"/>
        <v/>
      </c>
    </row>
    <row r="1913" spans="1:1">
      <c r="A1913" t="str">
        <f t="shared" si="31"/>
        <v/>
      </c>
    </row>
    <row r="1914" spans="1:1">
      <c r="A1914" t="str">
        <f t="shared" si="31"/>
        <v/>
      </c>
    </row>
    <row r="1915" spans="1:1">
      <c r="A1915" t="str">
        <f t="shared" si="31"/>
        <v/>
      </c>
    </row>
    <row r="1916" spans="1:1">
      <c r="A1916" t="str">
        <f t="shared" si="31"/>
        <v/>
      </c>
    </row>
    <row r="1917" spans="1:1">
      <c r="A1917" t="str">
        <f t="shared" si="31"/>
        <v/>
      </c>
    </row>
    <row r="1918" spans="1:1">
      <c r="A1918" t="str">
        <f t="shared" si="31"/>
        <v/>
      </c>
    </row>
    <row r="1919" spans="1:1">
      <c r="A1919" t="str">
        <f t="shared" si="31"/>
        <v/>
      </c>
    </row>
    <row r="1920" spans="1:1">
      <c r="A1920" t="str">
        <f t="shared" si="31"/>
        <v/>
      </c>
    </row>
    <row r="1921" spans="1:1">
      <c r="A1921" t="str">
        <f t="shared" si="31"/>
        <v/>
      </c>
    </row>
    <row r="1922" spans="1:1">
      <c r="A1922" t="str">
        <f t="shared" si="31"/>
        <v/>
      </c>
    </row>
    <row r="1923" spans="1:1">
      <c r="A1923" t="str">
        <f t="shared" si="31"/>
        <v/>
      </c>
    </row>
    <row r="1924" spans="1:1">
      <c r="A1924" t="str">
        <f t="shared" si="31"/>
        <v/>
      </c>
    </row>
    <row r="1925" spans="1:1">
      <c r="A1925" t="str">
        <f t="shared" si="31"/>
        <v/>
      </c>
    </row>
    <row r="1926" spans="1:1">
      <c r="A1926" t="str">
        <f t="shared" si="31"/>
        <v/>
      </c>
    </row>
    <row r="1927" spans="1:1">
      <c r="A1927" t="str">
        <f t="shared" ref="A1927:A1990" si="32">G1927&amp;H1927&amp;I1927&amp;F1927</f>
        <v/>
      </c>
    </row>
    <row r="1928" spans="1:1">
      <c r="A1928" t="str">
        <f t="shared" si="32"/>
        <v/>
      </c>
    </row>
    <row r="1929" spans="1:1">
      <c r="A1929" t="str">
        <f t="shared" si="32"/>
        <v/>
      </c>
    </row>
    <row r="1930" spans="1:1">
      <c r="A1930" t="str">
        <f t="shared" si="32"/>
        <v/>
      </c>
    </row>
    <row r="1931" spans="1:1">
      <c r="A1931" t="str">
        <f t="shared" si="32"/>
        <v/>
      </c>
    </row>
    <row r="1932" spans="1:1">
      <c r="A1932" t="str">
        <f t="shared" si="32"/>
        <v/>
      </c>
    </row>
    <row r="1933" spans="1:1">
      <c r="A1933" t="str">
        <f t="shared" si="32"/>
        <v/>
      </c>
    </row>
    <row r="1934" spans="1:1">
      <c r="A1934" t="str">
        <f t="shared" si="32"/>
        <v/>
      </c>
    </row>
    <row r="1935" spans="1:1">
      <c r="A1935" t="str">
        <f t="shared" si="32"/>
        <v/>
      </c>
    </row>
    <row r="1936" spans="1:1">
      <c r="A1936" t="str">
        <f t="shared" si="32"/>
        <v/>
      </c>
    </row>
    <row r="1937" spans="1:1">
      <c r="A1937" t="str">
        <f t="shared" si="32"/>
        <v/>
      </c>
    </row>
    <row r="1938" spans="1:1">
      <c r="A1938" t="str">
        <f t="shared" si="32"/>
        <v/>
      </c>
    </row>
    <row r="1939" spans="1:1">
      <c r="A1939" t="str">
        <f t="shared" si="32"/>
        <v/>
      </c>
    </row>
    <row r="1940" spans="1:1">
      <c r="A1940" t="str">
        <f t="shared" si="32"/>
        <v/>
      </c>
    </row>
    <row r="1941" spans="1:1">
      <c r="A1941" t="str">
        <f t="shared" si="32"/>
        <v/>
      </c>
    </row>
    <row r="1942" spans="1:1">
      <c r="A1942" t="str">
        <f t="shared" si="32"/>
        <v/>
      </c>
    </row>
    <row r="1943" spans="1:1">
      <c r="A1943" t="str">
        <f t="shared" si="32"/>
        <v/>
      </c>
    </row>
    <row r="1944" spans="1:1">
      <c r="A1944" t="str">
        <f t="shared" si="32"/>
        <v/>
      </c>
    </row>
    <row r="1945" spans="1:1">
      <c r="A1945" t="str">
        <f t="shared" si="32"/>
        <v/>
      </c>
    </row>
    <row r="1946" spans="1:1">
      <c r="A1946" t="str">
        <f t="shared" si="32"/>
        <v/>
      </c>
    </row>
    <row r="1947" spans="1:1">
      <c r="A1947" t="str">
        <f t="shared" si="32"/>
        <v/>
      </c>
    </row>
    <row r="1948" spans="1:1">
      <c r="A1948" t="str">
        <f t="shared" si="32"/>
        <v/>
      </c>
    </row>
    <row r="1949" spans="1:1">
      <c r="A1949" t="str">
        <f t="shared" si="32"/>
        <v/>
      </c>
    </row>
    <row r="1950" spans="1:1">
      <c r="A1950" t="str">
        <f t="shared" si="32"/>
        <v/>
      </c>
    </row>
    <row r="1951" spans="1:1">
      <c r="A1951" t="str">
        <f t="shared" si="32"/>
        <v/>
      </c>
    </row>
    <row r="1952" spans="1:1">
      <c r="A1952" t="str">
        <f t="shared" si="32"/>
        <v/>
      </c>
    </row>
    <row r="1953" spans="1:1">
      <c r="A1953" t="str">
        <f t="shared" si="32"/>
        <v/>
      </c>
    </row>
    <row r="1954" spans="1:1">
      <c r="A1954" t="str">
        <f t="shared" si="32"/>
        <v/>
      </c>
    </row>
    <row r="1955" spans="1:1">
      <c r="A1955" t="str">
        <f t="shared" si="32"/>
        <v/>
      </c>
    </row>
    <row r="1956" spans="1:1">
      <c r="A1956" t="str">
        <f t="shared" si="32"/>
        <v/>
      </c>
    </row>
    <row r="1957" spans="1:1">
      <c r="A1957" t="str">
        <f t="shared" si="32"/>
        <v/>
      </c>
    </row>
    <row r="1958" spans="1:1">
      <c r="A1958" t="str">
        <f t="shared" si="32"/>
        <v/>
      </c>
    </row>
    <row r="1959" spans="1:1">
      <c r="A1959" t="str">
        <f t="shared" si="32"/>
        <v/>
      </c>
    </row>
    <row r="1960" spans="1:1">
      <c r="A1960" t="str">
        <f t="shared" si="32"/>
        <v/>
      </c>
    </row>
    <row r="1961" spans="1:1">
      <c r="A1961" t="str">
        <f t="shared" si="32"/>
        <v/>
      </c>
    </row>
    <row r="1962" spans="1:1">
      <c r="A1962" t="str">
        <f t="shared" si="32"/>
        <v/>
      </c>
    </row>
    <row r="1963" spans="1:1">
      <c r="A1963" t="str">
        <f t="shared" si="32"/>
        <v/>
      </c>
    </row>
    <row r="1964" spans="1:1">
      <c r="A1964" t="str">
        <f t="shared" si="32"/>
        <v/>
      </c>
    </row>
    <row r="1965" spans="1:1">
      <c r="A1965" t="str">
        <f t="shared" si="32"/>
        <v/>
      </c>
    </row>
    <row r="1966" spans="1:1">
      <c r="A1966" t="str">
        <f t="shared" si="32"/>
        <v/>
      </c>
    </row>
    <row r="1967" spans="1:1">
      <c r="A1967" t="str">
        <f t="shared" si="32"/>
        <v/>
      </c>
    </row>
    <row r="1968" spans="1:1">
      <c r="A1968" t="str">
        <f t="shared" si="32"/>
        <v/>
      </c>
    </row>
    <row r="1969" spans="1:1">
      <c r="A1969" t="str">
        <f t="shared" si="32"/>
        <v/>
      </c>
    </row>
    <row r="1970" spans="1:1">
      <c r="A1970" t="str">
        <f t="shared" si="32"/>
        <v/>
      </c>
    </row>
    <row r="1971" spans="1:1">
      <c r="A1971" t="str">
        <f t="shared" si="32"/>
        <v/>
      </c>
    </row>
    <row r="1972" spans="1:1">
      <c r="A1972" t="str">
        <f t="shared" si="32"/>
        <v/>
      </c>
    </row>
    <row r="1973" spans="1:1">
      <c r="A1973" t="str">
        <f t="shared" si="32"/>
        <v/>
      </c>
    </row>
    <row r="1974" spans="1:1">
      <c r="A1974" t="str">
        <f t="shared" si="32"/>
        <v/>
      </c>
    </row>
    <row r="1975" spans="1:1">
      <c r="A1975" t="str">
        <f t="shared" si="32"/>
        <v/>
      </c>
    </row>
    <row r="1976" spans="1:1">
      <c r="A1976" t="str">
        <f t="shared" si="32"/>
        <v/>
      </c>
    </row>
    <row r="1977" spans="1:1">
      <c r="A1977" t="str">
        <f t="shared" si="32"/>
        <v/>
      </c>
    </row>
    <row r="1978" spans="1:1">
      <c r="A1978" t="str">
        <f t="shared" si="32"/>
        <v/>
      </c>
    </row>
    <row r="1979" spans="1:1">
      <c r="A1979" t="str">
        <f t="shared" si="32"/>
        <v/>
      </c>
    </row>
    <row r="1980" spans="1:1">
      <c r="A1980" t="str">
        <f t="shared" si="32"/>
        <v/>
      </c>
    </row>
    <row r="1981" spans="1:1">
      <c r="A1981" t="str">
        <f t="shared" si="32"/>
        <v/>
      </c>
    </row>
    <row r="1982" spans="1:1">
      <c r="A1982" t="str">
        <f t="shared" si="32"/>
        <v/>
      </c>
    </row>
    <row r="1983" spans="1:1">
      <c r="A1983" t="str">
        <f t="shared" si="32"/>
        <v/>
      </c>
    </row>
    <row r="1984" spans="1:1">
      <c r="A1984" t="str">
        <f t="shared" si="32"/>
        <v/>
      </c>
    </row>
    <row r="1985" spans="1:1">
      <c r="A1985" t="str">
        <f t="shared" si="32"/>
        <v/>
      </c>
    </row>
    <row r="1986" spans="1:1">
      <c r="A1986" t="str">
        <f t="shared" si="32"/>
        <v/>
      </c>
    </row>
    <row r="1987" spans="1:1">
      <c r="A1987" t="str">
        <f t="shared" si="32"/>
        <v/>
      </c>
    </row>
    <row r="1988" spans="1:1">
      <c r="A1988" t="str">
        <f t="shared" si="32"/>
        <v/>
      </c>
    </row>
    <row r="1989" spans="1:1">
      <c r="A1989" t="str">
        <f t="shared" si="32"/>
        <v/>
      </c>
    </row>
    <row r="1990" spans="1:1">
      <c r="A1990" t="str">
        <f t="shared" si="32"/>
        <v/>
      </c>
    </row>
    <row r="1991" spans="1:1">
      <c r="A1991" t="str">
        <f t="shared" ref="A1991:A2054" si="33">G1991&amp;H1991&amp;I1991&amp;F1991</f>
        <v/>
      </c>
    </row>
    <row r="1992" spans="1:1">
      <c r="A1992" t="str">
        <f t="shared" si="33"/>
        <v/>
      </c>
    </row>
    <row r="1993" spans="1:1">
      <c r="A1993" t="str">
        <f t="shared" si="33"/>
        <v/>
      </c>
    </row>
    <row r="1994" spans="1:1">
      <c r="A1994" t="str">
        <f t="shared" si="33"/>
        <v/>
      </c>
    </row>
    <row r="1995" spans="1:1">
      <c r="A1995" t="str">
        <f t="shared" si="33"/>
        <v/>
      </c>
    </row>
    <row r="1996" spans="1:1">
      <c r="A1996" t="str">
        <f t="shared" si="33"/>
        <v/>
      </c>
    </row>
    <row r="1997" spans="1:1">
      <c r="A1997" t="str">
        <f t="shared" si="33"/>
        <v/>
      </c>
    </row>
    <row r="1998" spans="1:1">
      <c r="A1998" t="str">
        <f t="shared" si="33"/>
        <v/>
      </c>
    </row>
    <row r="1999" spans="1:1">
      <c r="A1999" t="str">
        <f t="shared" si="33"/>
        <v/>
      </c>
    </row>
    <row r="2000" spans="1:1">
      <c r="A2000" t="str">
        <f t="shared" si="33"/>
        <v/>
      </c>
    </row>
    <row r="2001" spans="1:1">
      <c r="A2001" t="str">
        <f t="shared" si="33"/>
        <v/>
      </c>
    </row>
    <row r="2002" spans="1:1">
      <c r="A2002" t="str">
        <f t="shared" si="33"/>
        <v/>
      </c>
    </row>
    <row r="2003" spans="1:1">
      <c r="A2003" t="str">
        <f t="shared" si="33"/>
        <v/>
      </c>
    </row>
    <row r="2004" spans="1:1">
      <c r="A2004" t="str">
        <f t="shared" si="33"/>
        <v/>
      </c>
    </row>
    <row r="2005" spans="1:1">
      <c r="A2005" t="str">
        <f t="shared" si="33"/>
        <v/>
      </c>
    </row>
    <row r="2006" spans="1:1">
      <c r="A2006" t="str">
        <f t="shared" si="33"/>
        <v/>
      </c>
    </row>
    <row r="2007" spans="1:1">
      <c r="A2007" t="str">
        <f t="shared" si="33"/>
        <v/>
      </c>
    </row>
    <row r="2008" spans="1:1">
      <c r="A2008" t="str">
        <f t="shared" si="33"/>
        <v/>
      </c>
    </row>
    <row r="2009" spans="1:1">
      <c r="A2009" t="str">
        <f t="shared" si="33"/>
        <v/>
      </c>
    </row>
    <row r="2010" spans="1:1">
      <c r="A2010" t="str">
        <f t="shared" si="33"/>
        <v/>
      </c>
    </row>
    <row r="2011" spans="1:1">
      <c r="A2011" t="str">
        <f t="shared" si="33"/>
        <v/>
      </c>
    </row>
    <row r="2012" spans="1:1">
      <c r="A2012" t="str">
        <f t="shared" si="33"/>
        <v/>
      </c>
    </row>
    <row r="2013" spans="1:1">
      <c r="A2013" t="str">
        <f t="shared" si="33"/>
        <v/>
      </c>
    </row>
    <row r="2014" spans="1:1">
      <c r="A2014" t="str">
        <f t="shared" si="33"/>
        <v/>
      </c>
    </row>
    <row r="2015" spans="1:1">
      <c r="A2015" t="str">
        <f t="shared" si="33"/>
        <v/>
      </c>
    </row>
    <row r="2016" spans="1:1">
      <c r="A2016" t="str">
        <f t="shared" si="33"/>
        <v/>
      </c>
    </row>
    <row r="2017" spans="1:1">
      <c r="A2017" t="str">
        <f t="shared" si="33"/>
        <v/>
      </c>
    </row>
    <row r="2018" spans="1:1">
      <c r="A2018" t="str">
        <f t="shared" si="33"/>
        <v/>
      </c>
    </row>
    <row r="2019" spans="1:1">
      <c r="A2019" t="str">
        <f t="shared" si="33"/>
        <v/>
      </c>
    </row>
    <row r="2020" spans="1:1">
      <c r="A2020" t="str">
        <f t="shared" si="33"/>
        <v/>
      </c>
    </row>
    <row r="2021" spans="1:1">
      <c r="A2021" t="str">
        <f t="shared" si="33"/>
        <v/>
      </c>
    </row>
    <row r="2022" spans="1:1">
      <c r="A2022" t="str">
        <f t="shared" si="33"/>
        <v/>
      </c>
    </row>
    <row r="2023" spans="1:1">
      <c r="A2023" t="str">
        <f t="shared" si="33"/>
        <v/>
      </c>
    </row>
    <row r="2024" spans="1:1">
      <c r="A2024" t="str">
        <f t="shared" si="33"/>
        <v/>
      </c>
    </row>
    <row r="2025" spans="1:1">
      <c r="A2025" t="str">
        <f t="shared" si="33"/>
        <v/>
      </c>
    </row>
    <row r="2026" spans="1:1">
      <c r="A2026" t="str">
        <f t="shared" si="33"/>
        <v/>
      </c>
    </row>
    <row r="2027" spans="1:1">
      <c r="A2027" t="str">
        <f t="shared" si="33"/>
        <v/>
      </c>
    </row>
    <row r="2028" spans="1:1">
      <c r="A2028" t="str">
        <f t="shared" si="33"/>
        <v/>
      </c>
    </row>
    <row r="2029" spans="1:1">
      <c r="A2029" t="str">
        <f t="shared" si="33"/>
        <v/>
      </c>
    </row>
    <row r="2030" spans="1:1">
      <c r="A2030" t="str">
        <f t="shared" si="33"/>
        <v/>
      </c>
    </row>
    <row r="2031" spans="1:1">
      <c r="A2031" t="str">
        <f t="shared" si="33"/>
        <v/>
      </c>
    </row>
    <row r="2032" spans="1:1">
      <c r="A2032" t="str">
        <f t="shared" si="33"/>
        <v/>
      </c>
    </row>
    <row r="2033" spans="1:1">
      <c r="A2033" t="str">
        <f t="shared" si="33"/>
        <v/>
      </c>
    </row>
    <row r="2034" spans="1:1">
      <c r="A2034" t="str">
        <f t="shared" si="33"/>
        <v/>
      </c>
    </row>
    <row r="2035" spans="1:1">
      <c r="A2035" t="str">
        <f t="shared" si="33"/>
        <v/>
      </c>
    </row>
    <row r="2036" spans="1:1">
      <c r="A2036" t="str">
        <f t="shared" si="33"/>
        <v/>
      </c>
    </row>
    <row r="2037" spans="1:1">
      <c r="A2037" t="str">
        <f t="shared" si="33"/>
        <v/>
      </c>
    </row>
    <row r="2038" spans="1:1">
      <c r="A2038" t="str">
        <f t="shared" si="33"/>
        <v/>
      </c>
    </row>
    <row r="2039" spans="1:1">
      <c r="A2039" t="str">
        <f t="shared" si="33"/>
        <v/>
      </c>
    </row>
    <row r="2040" spans="1:1">
      <c r="A2040" t="str">
        <f t="shared" si="33"/>
        <v/>
      </c>
    </row>
    <row r="2041" spans="1:1">
      <c r="A2041" t="str">
        <f t="shared" si="33"/>
        <v/>
      </c>
    </row>
    <row r="2042" spans="1:1">
      <c r="A2042" t="str">
        <f t="shared" si="33"/>
        <v/>
      </c>
    </row>
    <row r="2043" spans="1:1">
      <c r="A2043" t="str">
        <f t="shared" si="33"/>
        <v/>
      </c>
    </row>
    <row r="2044" spans="1:1">
      <c r="A2044" t="str">
        <f t="shared" si="33"/>
        <v/>
      </c>
    </row>
    <row r="2045" spans="1:1">
      <c r="A2045" t="str">
        <f t="shared" si="33"/>
        <v/>
      </c>
    </row>
    <row r="2046" spans="1:1">
      <c r="A2046" t="str">
        <f t="shared" si="33"/>
        <v/>
      </c>
    </row>
    <row r="2047" spans="1:1">
      <c r="A2047" t="str">
        <f t="shared" si="33"/>
        <v/>
      </c>
    </row>
    <row r="2048" spans="1:1">
      <c r="A2048" t="str">
        <f t="shared" si="33"/>
        <v/>
      </c>
    </row>
    <row r="2049" spans="1:1">
      <c r="A2049" t="str">
        <f t="shared" si="33"/>
        <v/>
      </c>
    </row>
    <row r="2050" spans="1:1">
      <c r="A2050" t="str">
        <f t="shared" si="33"/>
        <v/>
      </c>
    </row>
    <row r="2051" spans="1:1">
      <c r="A2051" t="str">
        <f t="shared" si="33"/>
        <v/>
      </c>
    </row>
    <row r="2052" spans="1:1">
      <c r="A2052" t="str">
        <f t="shared" si="33"/>
        <v/>
      </c>
    </row>
    <row r="2053" spans="1:1">
      <c r="A2053" t="str">
        <f t="shared" si="33"/>
        <v/>
      </c>
    </row>
    <row r="2054" spans="1:1">
      <c r="A2054" t="str">
        <f t="shared" si="33"/>
        <v/>
      </c>
    </row>
    <row r="2055" spans="1:1">
      <c r="A2055" t="str">
        <f t="shared" ref="A2055:A2118" si="34">G2055&amp;H2055&amp;I2055&amp;F2055</f>
        <v/>
      </c>
    </row>
    <row r="2056" spans="1:1">
      <c r="A2056" t="str">
        <f t="shared" si="34"/>
        <v/>
      </c>
    </row>
    <row r="2057" spans="1:1">
      <c r="A2057" t="str">
        <f t="shared" si="34"/>
        <v/>
      </c>
    </row>
    <row r="2058" spans="1:1">
      <c r="A2058" t="str">
        <f t="shared" si="34"/>
        <v/>
      </c>
    </row>
    <row r="2059" spans="1:1">
      <c r="A2059" t="str">
        <f t="shared" si="34"/>
        <v/>
      </c>
    </row>
    <row r="2060" spans="1:1">
      <c r="A2060" t="str">
        <f t="shared" si="34"/>
        <v/>
      </c>
    </row>
    <row r="2061" spans="1:1">
      <c r="A2061" t="str">
        <f t="shared" si="34"/>
        <v/>
      </c>
    </row>
    <row r="2062" spans="1:1">
      <c r="A2062" t="str">
        <f t="shared" si="34"/>
        <v/>
      </c>
    </row>
    <row r="2063" spans="1:1">
      <c r="A2063" t="str">
        <f t="shared" si="34"/>
        <v/>
      </c>
    </row>
    <row r="2064" spans="1:1">
      <c r="A2064" t="str">
        <f t="shared" si="34"/>
        <v/>
      </c>
    </row>
    <row r="2065" spans="1:1">
      <c r="A2065" t="str">
        <f t="shared" si="34"/>
        <v/>
      </c>
    </row>
    <row r="2066" spans="1:1">
      <c r="A2066" t="str">
        <f t="shared" si="34"/>
        <v/>
      </c>
    </row>
    <row r="2067" spans="1:1">
      <c r="A2067" t="str">
        <f t="shared" si="34"/>
        <v/>
      </c>
    </row>
    <row r="2068" spans="1:1">
      <c r="A2068" t="str">
        <f t="shared" si="34"/>
        <v/>
      </c>
    </row>
    <row r="2069" spans="1:1">
      <c r="A2069" t="str">
        <f t="shared" si="34"/>
        <v/>
      </c>
    </row>
    <row r="2070" spans="1:1">
      <c r="A2070" t="str">
        <f t="shared" si="34"/>
        <v/>
      </c>
    </row>
    <row r="2071" spans="1:1">
      <c r="A2071" t="str">
        <f t="shared" si="34"/>
        <v/>
      </c>
    </row>
    <row r="2072" spans="1:1">
      <c r="A2072" t="str">
        <f t="shared" si="34"/>
        <v/>
      </c>
    </row>
    <row r="2073" spans="1:1">
      <c r="A2073" t="str">
        <f t="shared" si="34"/>
        <v/>
      </c>
    </row>
    <row r="2074" spans="1:1">
      <c r="A2074" t="str">
        <f t="shared" si="34"/>
        <v/>
      </c>
    </row>
    <row r="2075" spans="1:1">
      <c r="A2075" t="str">
        <f t="shared" si="34"/>
        <v/>
      </c>
    </row>
    <row r="2076" spans="1:1">
      <c r="A2076" t="str">
        <f t="shared" si="34"/>
        <v/>
      </c>
    </row>
    <row r="2077" spans="1:1">
      <c r="A2077" t="str">
        <f t="shared" si="34"/>
        <v/>
      </c>
    </row>
    <row r="2078" spans="1:1">
      <c r="A2078" t="str">
        <f t="shared" si="34"/>
        <v/>
      </c>
    </row>
    <row r="2079" spans="1:1">
      <c r="A2079" t="str">
        <f t="shared" si="34"/>
        <v/>
      </c>
    </row>
    <row r="2080" spans="1:1">
      <c r="A2080" t="str">
        <f t="shared" si="34"/>
        <v/>
      </c>
    </row>
    <row r="2081" spans="1:1">
      <c r="A2081" t="str">
        <f t="shared" si="34"/>
        <v/>
      </c>
    </row>
    <row r="2082" spans="1:1">
      <c r="A2082" t="str">
        <f t="shared" si="34"/>
        <v/>
      </c>
    </row>
    <row r="2083" spans="1:1">
      <c r="A2083" t="str">
        <f t="shared" si="34"/>
        <v/>
      </c>
    </row>
    <row r="2084" spans="1:1">
      <c r="A2084" t="str">
        <f t="shared" si="34"/>
        <v/>
      </c>
    </row>
    <row r="2085" spans="1:1">
      <c r="A2085" t="str">
        <f t="shared" si="34"/>
        <v/>
      </c>
    </row>
    <row r="2086" spans="1:1">
      <c r="A2086" t="str">
        <f t="shared" si="34"/>
        <v/>
      </c>
    </row>
    <row r="2087" spans="1:1">
      <c r="A2087" t="str">
        <f t="shared" si="34"/>
        <v/>
      </c>
    </row>
    <row r="2088" spans="1:1">
      <c r="A2088" t="str">
        <f t="shared" si="34"/>
        <v/>
      </c>
    </row>
    <row r="2089" spans="1:1">
      <c r="A2089" t="str">
        <f t="shared" si="34"/>
        <v/>
      </c>
    </row>
    <row r="2090" spans="1:1">
      <c r="A2090" t="str">
        <f t="shared" si="34"/>
        <v/>
      </c>
    </row>
    <row r="2091" spans="1:1">
      <c r="A2091" t="str">
        <f t="shared" si="34"/>
        <v/>
      </c>
    </row>
    <row r="2092" spans="1:1">
      <c r="A2092" t="str">
        <f t="shared" si="34"/>
        <v/>
      </c>
    </row>
    <row r="2093" spans="1:1">
      <c r="A2093" t="str">
        <f t="shared" si="34"/>
        <v/>
      </c>
    </row>
    <row r="2094" spans="1:1">
      <c r="A2094" t="str">
        <f t="shared" si="34"/>
        <v/>
      </c>
    </row>
    <row r="2095" spans="1:1">
      <c r="A2095" t="str">
        <f t="shared" si="34"/>
        <v/>
      </c>
    </row>
    <row r="2096" spans="1:1">
      <c r="A2096" t="str">
        <f t="shared" si="34"/>
        <v/>
      </c>
    </row>
    <row r="2097" spans="1:1">
      <c r="A2097" t="str">
        <f t="shared" si="34"/>
        <v/>
      </c>
    </row>
    <row r="2098" spans="1:1">
      <c r="A2098" t="str">
        <f t="shared" si="34"/>
        <v/>
      </c>
    </row>
    <row r="2099" spans="1:1">
      <c r="A2099" t="str">
        <f t="shared" si="34"/>
        <v/>
      </c>
    </row>
    <row r="2100" spans="1:1">
      <c r="A2100" t="str">
        <f t="shared" si="34"/>
        <v/>
      </c>
    </row>
    <row r="2101" spans="1:1">
      <c r="A2101" t="str">
        <f t="shared" si="34"/>
        <v/>
      </c>
    </row>
    <row r="2102" spans="1:1">
      <c r="A2102" t="str">
        <f t="shared" si="34"/>
        <v/>
      </c>
    </row>
    <row r="2103" spans="1:1">
      <c r="A2103" t="str">
        <f t="shared" si="34"/>
        <v/>
      </c>
    </row>
    <row r="2104" spans="1:1">
      <c r="A2104" t="str">
        <f t="shared" si="34"/>
        <v/>
      </c>
    </row>
    <row r="2105" spans="1:1">
      <c r="A2105" t="str">
        <f t="shared" si="34"/>
        <v/>
      </c>
    </row>
    <row r="2106" spans="1:1">
      <c r="A2106" t="str">
        <f t="shared" si="34"/>
        <v/>
      </c>
    </row>
    <row r="2107" spans="1:1">
      <c r="A2107" t="str">
        <f t="shared" si="34"/>
        <v/>
      </c>
    </row>
    <row r="2108" spans="1:1">
      <c r="A2108" t="str">
        <f t="shared" si="34"/>
        <v/>
      </c>
    </row>
    <row r="2109" spans="1:1">
      <c r="A2109" t="str">
        <f t="shared" si="34"/>
        <v/>
      </c>
    </row>
    <row r="2110" spans="1:1">
      <c r="A2110" t="str">
        <f t="shared" si="34"/>
        <v/>
      </c>
    </row>
    <row r="2111" spans="1:1">
      <c r="A2111" t="str">
        <f t="shared" si="34"/>
        <v/>
      </c>
    </row>
    <row r="2112" spans="1:1">
      <c r="A2112" t="str">
        <f t="shared" si="34"/>
        <v/>
      </c>
    </row>
    <row r="2113" spans="1:1">
      <c r="A2113" t="str">
        <f t="shared" si="34"/>
        <v/>
      </c>
    </row>
    <row r="2114" spans="1:1">
      <c r="A2114" t="str">
        <f t="shared" si="34"/>
        <v/>
      </c>
    </row>
    <row r="2115" spans="1:1">
      <c r="A2115" t="str">
        <f t="shared" si="34"/>
        <v/>
      </c>
    </row>
    <row r="2116" spans="1:1">
      <c r="A2116" t="str">
        <f t="shared" si="34"/>
        <v/>
      </c>
    </row>
    <row r="2117" spans="1:1">
      <c r="A2117" t="str">
        <f t="shared" si="34"/>
        <v/>
      </c>
    </row>
    <row r="2118" spans="1:1">
      <c r="A2118" t="str">
        <f t="shared" si="34"/>
        <v/>
      </c>
    </row>
    <row r="2119" spans="1:1">
      <c r="A2119" t="str">
        <f t="shared" ref="A2119:A2182" si="35">G2119&amp;H2119&amp;I2119&amp;F2119</f>
        <v/>
      </c>
    </row>
    <row r="2120" spans="1:1">
      <c r="A2120" t="str">
        <f t="shared" si="35"/>
        <v/>
      </c>
    </row>
    <row r="2121" spans="1:1">
      <c r="A2121" t="str">
        <f t="shared" si="35"/>
        <v/>
      </c>
    </row>
    <row r="2122" spans="1:1">
      <c r="A2122" t="str">
        <f t="shared" si="35"/>
        <v/>
      </c>
    </row>
    <row r="2123" spans="1:1">
      <c r="A2123" t="str">
        <f t="shared" si="35"/>
        <v/>
      </c>
    </row>
    <row r="2124" spans="1:1">
      <c r="A2124" t="str">
        <f t="shared" si="35"/>
        <v/>
      </c>
    </row>
    <row r="2125" spans="1:1">
      <c r="A2125" t="str">
        <f t="shared" si="35"/>
        <v/>
      </c>
    </row>
    <row r="2126" spans="1:1">
      <c r="A2126" t="str">
        <f t="shared" si="35"/>
        <v/>
      </c>
    </row>
    <row r="2127" spans="1:1">
      <c r="A2127" t="str">
        <f t="shared" si="35"/>
        <v/>
      </c>
    </row>
    <row r="2128" spans="1:1">
      <c r="A2128" t="str">
        <f t="shared" si="35"/>
        <v/>
      </c>
    </row>
    <row r="2129" spans="1:1">
      <c r="A2129" t="str">
        <f t="shared" si="35"/>
        <v/>
      </c>
    </row>
    <row r="2130" spans="1:1">
      <c r="A2130" t="str">
        <f t="shared" si="35"/>
        <v/>
      </c>
    </row>
    <row r="2131" spans="1:1">
      <c r="A2131" t="str">
        <f t="shared" si="35"/>
        <v/>
      </c>
    </row>
    <row r="2132" spans="1:1">
      <c r="A2132" t="str">
        <f t="shared" si="35"/>
        <v/>
      </c>
    </row>
    <row r="2133" spans="1:1">
      <c r="A2133" t="str">
        <f t="shared" si="35"/>
        <v/>
      </c>
    </row>
    <row r="2134" spans="1:1">
      <c r="A2134" t="str">
        <f t="shared" si="35"/>
        <v/>
      </c>
    </row>
    <row r="2135" spans="1:1">
      <c r="A2135" t="str">
        <f t="shared" si="35"/>
        <v/>
      </c>
    </row>
    <row r="2136" spans="1:1">
      <c r="A2136" t="str">
        <f t="shared" si="35"/>
        <v/>
      </c>
    </row>
    <row r="2137" spans="1:1">
      <c r="A2137" t="str">
        <f t="shared" si="35"/>
        <v/>
      </c>
    </row>
    <row r="2138" spans="1:1">
      <c r="A2138" t="str">
        <f t="shared" si="35"/>
        <v/>
      </c>
    </row>
    <row r="2139" spans="1:1">
      <c r="A2139" t="str">
        <f t="shared" si="35"/>
        <v/>
      </c>
    </row>
    <row r="2140" spans="1:1">
      <c r="A2140" t="str">
        <f t="shared" si="35"/>
        <v/>
      </c>
    </row>
    <row r="2141" spans="1:1">
      <c r="A2141" t="str">
        <f t="shared" si="35"/>
        <v/>
      </c>
    </row>
    <row r="2142" spans="1:1">
      <c r="A2142" t="str">
        <f t="shared" si="35"/>
        <v/>
      </c>
    </row>
    <row r="2143" spans="1:1">
      <c r="A2143" t="str">
        <f t="shared" si="35"/>
        <v/>
      </c>
    </row>
    <row r="2144" spans="1:1">
      <c r="A2144" t="str">
        <f t="shared" si="35"/>
        <v/>
      </c>
    </row>
    <row r="2145" spans="1:1">
      <c r="A2145" t="str">
        <f t="shared" si="35"/>
        <v/>
      </c>
    </row>
    <row r="2146" spans="1:1">
      <c r="A2146" t="str">
        <f t="shared" si="35"/>
        <v/>
      </c>
    </row>
    <row r="2147" spans="1:1">
      <c r="A2147" t="str">
        <f t="shared" si="35"/>
        <v/>
      </c>
    </row>
    <row r="2148" spans="1:1">
      <c r="A2148" t="str">
        <f t="shared" si="35"/>
        <v/>
      </c>
    </row>
    <row r="2149" spans="1:1">
      <c r="A2149" t="str">
        <f t="shared" si="35"/>
        <v/>
      </c>
    </row>
    <row r="2150" spans="1:1">
      <c r="A2150" t="str">
        <f t="shared" si="35"/>
        <v/>
      </c>
    </row>
    <row r="2151" spans="1:1">
      <c r="A2151" t="str">
        <f t="shared" si="35"/>
        <v/>
      </c>
    </row>
    <row r="2152" spans="1:1">
      <c r="A2152" t="str">
        <f t="shared" si="35"/>
        <v/>
      </c>
    </row>
    <row r="2153" spans="1:1">
      <c r="A2153" t="str">
        <f t="shared" si="35"/>
        <v/>
      </c>
    </row>
    <row r="2154" spans="1:1">
      <c r="A2154" t="str">
        <f t="shared" si="35"/>
        <v/>
      </c>
    </row>
    <row r="2155" spans="1:1">
      <c r="A2155" t="str">
        <f t="shared" si="35"/>
        <v/>
      </c>
    </row>
    <row r="2156" spans="1:1">
      <c r="A2156" t="str">
        <f t="shared" si="35"/>
        <v/>
      </c>
    </row>
    <row r="2157" spans="1:1">
      <c r="A2157" t="str">
        <f t="shared" si="35"/>
        <v/>
      </c>
    </row>
    <row r="2158" spans="1:1">
      <c r="A2158" t="str">
        <f t="shared" si="35"/>
        <v/>
      </c>
    </row>
    <row r="2159" spans="1:1">
      <c r="A2159" t="str">
        <f t="shared" si="35"/>
        <v/>
      </c>
    </row>
    <row r="2160" spans="1:1">
      <c r="A2160" t="str">
        <f t="shared" si="35"/>
        <v/>
      </c>
    </row>
    <row r="2161" spans="1:1">
      <c r="A2161" t="str">
        <f t="shared" si="35"/>
        <v/>
      </c>
    </row>
    <row r="2162" spans="1:1">
      <c r="A2162" t="str">
        <f t="shared" si="35"/>
        <v/>
      </c>
    </row>
    <row r="2163" spans="1:1">
      <c r="A2163" t="str">
        <f t="shared" si="35"/>
        <v/>
      </c>
    </row>
    <row r="2164" spans="1:1">
      <c r="A2164" t="str">
        <f t="shared" si="35"/>
        <v/>
      </c>
    </row>
    <row r="2165" spans="1:1">
      <c r="A2165" t="str">
        <f t="shared" si="35"/>
        <v/>
      </c>
    </row>
    <row r="2166" spans="1:1">
      <c r="A2166" t="str">
        <f t="shared" si="35"/>
        <v/>
      </c>
    </row>
    <row r="2167" spans="1:1">
      <c r="A2167" t="str">
        <f t="shared" si="35"/>
        <v/>
      </c>
    </row>
    <row r="2168" spans="1:1">
      <c r="A2168" t="str">
        <f t="shared" si="35"/>
        <v/>
      </c>
    </row>
    <row r="2169" spans="1:1">
      <c r="A2169" t="str">
        <f t="shared" si="35"/>
        <v/>
      </c>
    </row>
    <row r="2170" spans="1:1">
      <c r="A2170" t="str">
        <f t="shared" si="35"/>
        <v/>
      </c>
    </row>
    <row r="2171" spans="1:1">
      <c r="A2171" t="str">
        <f t="shared" si="35"/>
        <v/>
      </c>
    </row>
    <row r="2172" spans="1:1">
      <c r="A2172" t="str">
        <f t="shared" si="35"/>
        <v/>
      </c>
    </row>
    <row r="2173" spans="1:1">
      <c r="A2173" t="str">
        <f t="shared" si="35"/>
        <v/>
      </c>
    </row>
    <row r="2174" spans="1:1">
      <c r="A2174" t="str">
        <f t="shared" si="35"/>
        <v/>
      </c>
    </row>
    <row r="2175" spans="1:1">
      <c r="A2175" t="str">
        <f t="shared" si="35"/>
        <v/>
      </c>
    </row>
    <row r="2176" spans="1:1">
      <c r="A2176" t="str">
        <f t="shared" si="35"/>
        <v/>
      </c>
    </row>
    <row r="2177" spans="1:1">
      <c r="A2177" t="str">
        <f t="shared" si="35"/>
        <v/>
      </c>
    </row>
    <row r="2178" spans="1:1">
      <c r="A2178" t="str">
        <f t="shared" si="35"/>
        <v/>
      </c>
    </row>
    <row r="2179" spans="1:1">
      <c r="A2179" t="str">
        <f t="shared" si="35"/>
        <v/>
      </c>
    </row>
    <row r="2180" spans="1:1">
      <c r="A2180" t="str">
        <f t="shared" si="35"/>
        <v/>
      </c>
    </row>
    <row r="2181" spans="1:1">
      <c r="A2181" t="str">
        <f t="shared" si="35"/>
        <v/>
      </c>
    </row>
    <row r="2182" spans="1:1">
      <c r="A2182" t="str">
        <f t="shared" si="35"/>
        <v/>
      </c>
    </row>
    <row r="2183" spans="1:1">
      <c r="A2183" t="str">
        <f t="shared" ref="A2183:A2246" si="36">G2183&amp;H2183&amp;I2183&amp;F2183</f>
        <v/>
      </c>
    </row>
    <row r="2184" spans="1:1">
      <c r="A2184" t="str">
        <f t="shared" si="36"/>
        <v/>
      </c>
    </row>
    <row r="2185" spans="1:1">
      <c r="A2185" t="str">
        <f t="shared" si="36"/>
        <v/>
      </c>
    </row>
    <row r="2186" spans="1:1">
      <c r="A2186" t="str">
        <f t="shared" si="36"/>
        <v/>
      </c>
    </row>
    <row r="2187" spans="1:1">
      <c r="A2187" t="str">
        <f t="shared" si="36"/>
        <v/>
      </c>
    </row>
    <row r="2188" spans="1:1">
      <c r="A2188" t="str">
        <f t="shared" si="36"/>
        <v/>
      </c>
    </row>
    <row r="2189" spans="1:1">
      <c r="A2189" t="str">
        <f t="shared" si="36"/>
        <v/>
      </c>
    </row>
    <row r="2190" spans="1:1">
      <c r="A2190" t="str">
        <f t="shared" si="36"/>
        <v/>
      </c>
    </row>
    <row r="2191" spans="1:1">
      <c r="A2191" t="str">
        <f t="shared" si="36"/>
        <v/>
      </c>
    </row>
    <row r="2192" spans="1:1">
      <c r="A2192" t="str">
        <f t="shared" si="36"/>
        <v/>
      </c>
    </row>
    <row r="2193" spans="1:1">
      <c r="A2193" t="str">
        <f t="shared" si="36"/>
        <v/>
      </c>
    </row>
    <row r="2194" spans="1:1">
      <c r="A2194" t="str">
        <f t="shared" si="36"/>
        <v/>
      </c>
    </row>
    <row r="2195" spans="1:1">
      <c r="A2195" t="str">
        <f t="shared" si="36"/>
        <v/>
      </c>
    </row>
    <row r="2196" spans="1:1">
      <c r="A2196" t="str">
        <f t="shared" si="36"/>
        <v/>
      </c>
    </row>
    <row r="2197" spans="1:1">
      <c r="A2197" t="str">
        <f t="shared" si="36"/>
        <v/>
      </c>
    </row>
    <row r="2198" spans="1:1">
      <c r="A2198" t="str">
        <f t="shared" si="36"/>
        <v/>
      </c>
    </row>
    <row r="2199" spans="1:1">
      <c r="A2199" t="str">
        <f t="shared" si="36"/>
        <v/>
      </c>
    </row>
    <row r="2200" spans="1:1">
      <c r="A2200" t="str">
        <f t="shared" si="36"/>
        <v/>
      </c>
    </row>
    <row r="2201" spans="1:1">
      <c r="A2201" t="str">
        <f t="shared" si="36"/>
        <v/>
      </c>
    </row>
    <row r="2202" spans="1:1">
      <c r="A2202" t="str">
        <f t="shared" si="36"/>
        <v/>
      </c>
    </row>
    <row r="2203" spans="1:1">
      <c r="A2203" t="str">
        <f t="shared" si="36"/>
        <v/>
      </c>
    </row>
    <row r="2204" spans="1:1">
      <c r="A2204" t="str">
        <f t="shared" si="36"/>
        <v/>
      </c>
    </row>
    <row r="2205" spans="1:1">
      <c r="A2205" t="str">
        <f t="shared" si="36"/>
        <v/>
      </c>
    </row>
    <row r="2206" spans="1:1">
      <c r="A2206" t="str">
        <f t="shared" si="36"/>
        <v/>
      </c>
    </row>
    <row r="2207" spans="1:1">
      <c r="A2207" t="str">
        <f t="shared" si="36"/>
        <v/>
      </c>
    </row>
    <row r="2208" spans="1:1">
      <c r="A2208" t="str">
        <f t="shared" si="36"/>
        <v/>
      </c>
    </row>
    <row r="2209" spans="1:1">
      <c r="A2209" t="str">
        <f t="shared" si="36"/>
        <v/>
      </c>
    </row>
    <row r="2210" spans="1:1">
      <c r="A2210" t="str">
        <f t="shared" si="36"/>
        <v/>
      </c>
    </row>
    <row r="2211" spans="1:1">
      <c r="A2211" t="str">
        <f t="shared" si="36"/>
        <v/>
      </c>
    </row>
    <row r="2212" spans="1:1">
      <c r="A2212" t="str">
        <f t="shared" si="36"/>
        <v/>
      </c>
    </row>
    <row r="2213" spans="1:1">
      <c r="A2213" t="str">
        <f t="shared" si="36"/>
        <v/>
      </c>
    </row>
    <row r="2214" spans="1:1">
      <c r="A2214" t="str">
        <f t="shared" si="36"/>
        <v/>
      </c>
    </row>
    <row r="2215" spans="1:1">
      <c r="A2215" t="str">
        <f t="shared" si="36"/>
        <v/>
      </c>
    </row>
    <row r="2216" spans="1:1">
      <c r="A2216" t="str">
        <f t="shared" si="36"/>
        <v/>
      </c>
    </row>
    <row r="2217" spans="1:1">
      <c r="A2217" t="str">
        <f t="shared" si="36"/>
        <v/>
      </c>
    </row>
    <row r="2218" spans="1:1">
      <c r="A2218" t="str">
        <f t="shared" si="36"/>
        <v/>
      </c>
    </row>
    <row r="2219" spans="1:1">
      <c r="A2219" t="str">
        <f t="shared" si="36"/>
        <v/>
      </c>
    </row>
    <row r="2220" spans="1:1">
      <c r="A2220" t="str">
        <f t="shared" si="36"/>
        <v/>
      </c>
    </row>
    <row r="2221" spans="1:1">
      <c r="A2221" t="str">
        <f t="shared" si="36"/>
        <v/>
      </c>
    </row>
    <row r="2222" spans="1:1">
      <c r="A2222" t="str">
        <f t="shared" si="36"/>
        <v/>
      </c>
    </row>
    <row r="2223" spans="1:1">
      <c r="A2223" t="str">
        <f t="shared" si="36"/>
        <v/>
      </c>
    </row>
    <row r="2224" spans="1:1">
      <c r="A2224" t="str">
        <f t="shared" si="36"/>
        <v/>
      </c>
    </row>
    <row r="2225" spans="1:1">
      <c r="A2225" t="str">
        <f t="shared" si="36"/>
        <v/>
      </c>
    </row>
    <row r="2226" spans="1:1">
      <c r="A2226" t="str">
        <f t="shared" si="36"/>
        <v/>
      </c>
    </row>
    <row r="2227" spans="1:1">
      <c r="A2227" t="str">
        <f t="shared" si="36"/>
        <v/>
      </c>
    </row>
    <row r="2228" spans="1:1">
      <c r="A2228" t="str">
        <f t="shared" si="36"/>
        <v/>
      </c>
    </row>
    <row r="2229" spans="1:1">
      <c r="A2229" t="str">
        <f t="shared" si="36"/>
        <v/>
      </c>
    </row>
    <row r="2230" spans="1:1">
      <c r="A2230" t="str">
        <f t="shared" si="36"/>
        <v/>
      </c>
    </row>
    <row r="2231" spans="1:1">
      <c r="A2231" t="str">
        <f t="shared" si="36"/>
        <v/>
      </c>
    </row>
    <row r="2232" spans="1:1">
      <c r="A2232" t="str">
        <f t="shared" si="36"/>
        <v/>
      </c>
    </row>
    <row r="2233" spans="1:1">
      <c r="A2233" t="str">
        <f t="shared" si="36"/>
        <v/>
      </c>
    </row>
    <row r="2234" spans="1:1">
      <c r="A2234" t="str">
        <f t="shared" si="36"/>
        <v/>
      </c>
    </row>
    <row r="2235" spans="1:1">
      <c r="A2235" t="str">
        <f t="shared" si="36"/>
        <v/>
      </c>
    </row>
    <row r="2236" spans="1:1">
      <c r="A2236" t="str">
        <f t="shared" si="36"/>
        <v/>
      </c>
    </row>
    <row r="2237" spans="1:1">
      <c r="A2237" t="str">
        <f t="shared" si="36"/>
        <v/>
      </c>
    </row>
    <row r="2238" spans="1:1">
      <c r="A2238" t="str">
        <f t="shared" si="36"/>
        <v/>
      </c>
    </row>
    <row r="2239" spans="1:1">
      <c r="A2239" t="str">
        <f t="shared" si="36"/>
        <v/>
      </c>
    </row>
    <row r="2240" spans="1:1">
      <c r="A2240" t="str">
        <f t="shared" si="36"/>
        <v/>
      </c>
    </row>
    <row r="2241" spans="1:1">
      <c r="A2241" t="str">
        <f t="shared" si="36"/>
        <v/>
      </c>
    </row>
    <row r="2242" spans="1:1">
      <c r="A2242" t="str">
        <f t="shared" si="36"/>
        <v/>
      </c>
    </row>
    <row r="2243" spans="1:1">
      <c r="A2243" t="str">
        <f t="shared" si="36"/>
        <v/>
      </c>
    </row>
    <row r="2244" spans="1:1">
      <c r="A2244" t="str">
        <f t="shared" si="36"/>
        <v/>
      </c>
    </row>
    <row r="2245" spans="1:1">
      <c r="A2245" t="str">
        <f t="shared" si="36"/>
        <v/>
      </c>
    </row>
    <row r="2246" spans="1:1">
      <c r="A2246" t="str">
        <f t="shared" si="36"/>
        <v/>
      </c>
    </row>
    <row r="2247" spans="1:1">
      <c r="A2247" t="str">
        <f t="shared" ref="A2247:A2310" si="37">G2247&amp;H2247&amp;I2247&amp;F2247</f>
        <v/>
      </c>
    </row>
    <row r="2248" spans="1:1">
      <c r="A2248" t="str">
        <f t="shared" si="37"/>
        <v/>
      </c>
    </row>
    <row r="2249" spans="1:1">
      <c r="A2249" t="str">
        <f t="shared" si="37"/>
        <v/>
      </c>
    </row>
    <row r="2250" spans="1:1">
      <c r="A2250" t="str">
        <f t="shared" si="37"/>
        <v/>
      </c>
    </row>
    <row r="2251" spans="1:1">
      <c r="A2251" t="str">
        <f t="shared" si="37"/>
        <v/>
      </c>
    </row>
    <row r="2252" spans="1:1">
      <c r="A2252" t="str">
        <f t="shared" si="37"/>
        <v/>
      </c>
    </row>
    <row r="2253" spans="1:1">
      <c r="A2253" t="str">
        <f t="shared" si="37"/>
        <v/>
      </c>
    </row>
    <row r="2254" spans="1:1">
      <c r="A2254" t="str">
        <f t="shared" si="37"/>
        <v/>
      </c>
    </row>
    <row r="2255" spans="1:1">
      <c r="A2255" t="str">
        <f t="shared" si="37"/>
        <v/>
      </c>
    </row>
    <row r="2256" spans="1:1">
      <c r="A2256" t="str">
        <f t="shared" si="37"/>
        <v/>
      </c>
    </row>
    <row r="2257" spans="1:1">
      <c r="A2257" t="str">
        <f t="shared" si="37"/>
        <v/>
      </c>
    </row>
    <row r="2258" spans="1:1">
      <c r="A2258" t="str">
        <f t="shared" si="37"/>
        <v/>
      </c>
    </row>
    <row r="2259" spans="1:1">
      <c r="A2259" t="str">
        <f t="shared" si="37"/>
        <v/>
      </c>
    </row>
    <row r="2260" spans="1:1">
      <c r="A2260" t="str">
        <f t="shared" si="37"/>
        <v/>
      </c>
    </row>
    <row r="2261" spans="1:1">
      <c r="A2261" t="str">
        <f t="shared" si="37"/>
        <v/>
      </c>
    </row>
    <row r="2262" spans="1:1">
      <c r="A2262" t="str">
        <f t="shared" si="37"/>
        <v/>
      </c>
    </row>
    <row r="2263" spans="1:1">
      <c r="A2263" t="str">
        <f t="shared" si="37"/>
        <v/>
      </c>
    </row>
    <row r="2264" spans="1:1">
      <c r="A2264" t="str">
        <f t="shared" si="37"/>
        <v/>
      </c>
    </row>
    <row r="2265" spans="1:1">
      <c r="A2265" t="str">
        <f t="shared" si="37"/>
        <v/>
      </c>
    </row>
    <row r="2266" spans="1:1">
      <c r="A2266" t="str">
        <f t="shared" si="37"/>
        <v/>
      </c>
    </row>
    <row r="2267" spans="1:1">
      <c r="A2267" t="str">
        <f t="shared" si="37"/>
        <v/>
      </c>
    </row>
    <row r="2268" spans="1:1">
      <c r="A2268" t="str">
        <f t="shared" si="37"/>
        <v/>
      </c>
    </row>
    <row r="2269" spans="1:1">
      <c r="A2269" t="str">
        <f t="shared" si="37"/>
        <v/>
      </c>
    </row>
    <row r="2270" spans="1:1">
      <c r="A2270" t="str">
        <f t="shared" si="37"/>
        <v/>
      </c>
    </row>
    <row r="2271" spans="1:1">
      <c r="A2271" t="str">
        <f t="shared" si="37"/>
        <v/>
      </c>
    </row>
    <row r="2272" spans="1:1">
      <c r="A2272" t="str">
        <f t="shared" si="37"/>
        <v/>
      </c>
    </row>
    <row r="2273" spans="1:1">
      <c r="A2273" t="str">
        <f t="shared" si="37"/>
        <v/>
      </c>
    </row>
    <row r="2274" spans="1:1">
      <c r="A2274" t="str">
        <f t="shared" si="37"/>
        <v/>
      </c>
    </row>
    <row r="2275" spans="1:1">
      <c r="A2275" t="str">
        <f t="shared" si="37"/>
        <v/>
      </c>
    </row>
    <row r="2276" spans="1:1">
      <c r="A2276" t="str">
        <f t="shared" si="37"/>
        <v/>
      </c>
    </row>
    <row r="2277" spans="1:1">
      <c r="A2277" t="str">
        <f t="shared" si="37"/>
        <v/>
      </c>
    </row>
    <row r="2278" spans="1:1">
      <c r="A2278" t="str">
        <f t="shared" si="37"/>
        <v/>
      </c>
    </row>
    <row r="2279" spans="1:1">
      <c r="A2279" t="str">
        <f t="shared" si="37"/>
        <v/>
      </c>
    </row>
    <row r="2280" spans="1:1">
      <c r="A2280" t="str">
        <f t="shared" si="37"/>
        <v/>
      </c>
    </row>
    <row r="2281" spans="1:1">
      <c r="A2281" t="str">
        <f t="shared" si="37"/>
        <v/>
      </c>
    </row>
    <row r="2282" spans="1:1">
      <c r="A2282" t="str">
        <f t="shared" si="37"/>
        <v/>
      </c>
    </row>
    <row r="2283" spans="1:1">
      <c r="A2283" t="str">
        <f t="shared" si="37"/>
        <v/>
      </c>
    </row>
    <row r="2284" spans="1:1">
      <c r="A2284" t="str">
        <f t="shared" si="37"/>
        <v/>
      </c>
    </row>
    <row r="2285" spans="1:1">
      <c r="A2285" t="str">
        <f t="shared" si="37"/>
        <v/>
      </c>
    </row>
    <row r="2286" spans="1:1">
      <c r="A2286" t="str">
        <f t="shared" si="37"/>
        <v/>
      </c>
    </row>
    <row r="2287" spans="1:1">
      <c r="A2287" t="str">
        <f t="shared" si="37"/>
        <v/>
      </c>
    </row>
    <row r="2288" spans="1:1">
      <c r="A2288" t="str">
        <f t="shared" si="37"/>
        <v/>
      </c>
    </row>
    <row r="2289" spans="1:1">
      <c r="A2289" t="str">
        <f t="shared" si="37"/>
        <v/>
      </c>
    </row>
    <row r="2290" spans="1:1">
      <c r="A2290" t="str">
        <f t="shared" si="37"/>
        <v/>
      </c>
    </row>
    <row r="2291" spans="1:1">
      <c r="A2291" t="str">
        <f t="shared" si="37"/>
        <v/>
      </c>
    </row>
    <row r="2292" spans="1:1">
      <c r="A2292" t="str">
        <f t="shared" si="37"/>
        <v/>
      </c>
    </row>
    <row r="2293" spans="1:1">
      <c r="A2293" t="str">
        <f t="shared" si="37"/>
        <v/>
      </c>
    </row>
    <row r="2294" spans="1:1">
      <c r="A2294" t="str">
        <f t="shared" si="37"/>
        <v/>
      </c>
    </row>
    <row r="2295" spans="1:1">
      <c r="A2295" t="str">
        <f t="shared" si="37"/>
        <v/>
      </c>
    </row>
    <row r="2296" spans="1:1">
      <c r="A2296" t="str">
        <f t="shared" si="37"/>
        <v/>
      </c>
    </row>
    <row r="2297" spans="1:1">
      <c r="A2297" t="str">
        <f t="shared" si="37"/>
        <v/>
      </c>
    </row>
    <row r="2298" spans="1:1">
      <c r="A2298" t="str">
        <f t="shared" si="37"/>
        <v/>
      </c>
    </row>
    <row r="2299" spans="1:1">
      <c r="A2299" t="str">
        <f t="shared" si="37"/>
        <v/>
      </c>
    </row>
    <row r="2300" spans="1:1">
      <c r="A2300" t="str">
        <f t="shared" si="37"/>
        <v/>
      </c>
    </row>
    <row r="2301" spans="1:1">
      <c r="A2301" t="str">
        <f t="shared" si="37"/>
        <v/>
      </c>
    </row>
    <row r="2302" spans="1:1">
      <c r="A2302" t="str">
        <f t="shared" si="37"/>
        <v/>
      </c>
    </row>
    <row r="2303" spans="1:1">
      <c r="A2303" t="str">
        <f t="shared" si="37"/>
        <v/>
      </c>
    </row>
    <row r="2304" spans="1:1">
      <c r="A2304" t="str">
        <f t="shared" si="37"/>
        <v/>
      </c>
    </row>
    <row r="2305" spans="1:1">
      <c r="A2305" t="str">
        <f t="shared" si="37"/>
        <v/>
      </c>
    </row>
    <row r="2306" spans="1:1">
      <c r="A2306" t="str">
        <f t="shared" si="37"/>
        <v/>
      </c>
    </row>
    <row r="2307" spans="1:1">
      <c r="A2307" t="str">
        <f t="shared" si="37"/>
        <v/>
      </c>
    </row>
    <row r="2308" spans="1:1">
      <c r="A2308" t="str">
        <f t="shared" si="37"/>
        <v/>
      </c>
    </row>
    <row r="2309" spans="1:1">
      <c r="A2309" t="str">
        <f t="shared" si="37"/>
        <v/>
      </c>
    </row>
    <row r="2310" spans="1:1">
      <c r="A2310" t="str">
        <f t="shared" si="37"/>
        <v/>
      </c>
    </row>
    <row r="2311" spans="1:1">
      <c r="A2311" t="str">
        <f t="shared" ref="A2311:A2374" si="38">G2311&amp;H2311&amp;I2311&amp;F2311</f>
        <v/>
      </c>
    </row>
    <row r="2312" spans="1:1">
      <c r="A2312" t="str">
        <f t="shared" si="38"/>
        <v/>
      </c>
    </row>
    <row r="2313" spans="1:1">
      <c r="A2313" t="str">
        <f t="shared" si="38"/>
        <v/>
      </c>
    </row>
    <row r="2314" spans="1:1">
      <c r="A2314" t="str">
        <f t="shared" si="38"/>
        <v/>
      </c>
    </row>
    <row r="2315" spans="1:1">
      <c r="A2315" t="str">
        <f t="shared" si="38"/>
        <v/>
      </c>
    </row>
    <row r="2316" spans="1:1">
      <c r="A2316" t="str">
        <f t="shared" si="38"/>
        <v/>
      </c>
    </row>
    <row r="2317" spans="1:1">
      <c r="A2317" t="str">
        <f t="shared" si="38"/>
        <v/>
      </c>
    </row>
    <row r="2318" spans="1:1">
      <c r="A2318" t="str">
        <f t="shared" si="38"/>
        <v/>
      </c>
    </row>
    <row r="2319" spans="1:1">
      <c r="A2319" t="str">
        <f t="shared" si="38"/>
        <v/>
      </c>
    </row>
    <row r="2320" spans="1:1">
      <c r="A2320" t="str">
        <f t="shared" si="38"/>
        <v/>
      </c>
    </row>
    <row r="2321" spans="1:1">
      <c r="A2321" t="str">
        <f t="shared" si="38"/>
        <v/>
      </c>
    </row>
    <row r="2322" spans="1:1">
      <c r="A2322" t="str">
        <f t="shared" si="38"/>
        <v/>
      </c>
    </row>
    <row r="2323" spans="1:1">
      <c r="A2323" t="str">
        <f t="shared" si="38"/>
        <v/>
      </c>
    </row>
    <row r="2324" spans="1:1">
      <c r="A2324" t="str">
        <f t="shared" si="38"/>
        <v/>
      </c>
    </row>
    <row r="2325" spans="1:1">
      <c r="A2325" t="str">
        <f t="shared" si="38"/>
        <v/>
      </c>
    </row>
    <row r="2326" spans="1:1">
      <c r="A2326" t="str">
        <f t="shared" si="38"/>
        <v/>
      </c>
    </row>
    <row r="2327" spans="1:1">
      <c r="A2327" t="str">
        <f t="shared" si="38"/>
        <v/>
      </c>
    </row>
    <row r="2328" spans="1:1">
      <c r="A2328" t="str">
        <f t="shared" si="38"/>
        <v/>
      </c>
    </row>
    <row r="2329" spans="1:1">
      <c r="A2329" t="str">
        <f t="shared" si="38"/>
        <v/>
      </c>
    </row>
    <row r="2330" spans="1:1">
      <c r="A2330" t="str">
        <f t="shared" si="38"/>
        <v/>
      </c>
    </row>
    <row r="2331" spans="1:1">
      <c r="A2331" t="str">
        <f t="shared" si="38"/>
        <v/>
      </c>
    </row>
    <row r="2332" spans="1:1">
      <c r="A2332" t="str">
        <f t="shared" si="38"/>
        <v/>
      </c>
    </row>
    <row r="2333" spans="1:1">
      <c r="A2333" t="str">
        <f t="shared" si="38"/>
        <v/>
      </c>
    </row>
    <row r="2334" spans="1:1">
      <c r="A2334" t="str">
        <f t="shared" si="38"/>
        <v/>
      </c>
    </row>
    <row r="2335" spans="1:1">
      <c r="A2335" t="str">
        <f t="shared" si="38"/>
        <v/>
      </c>
    </row>
    <row r="2336" spans="1:1">
      <c r="A2336" t="str">
        <f t="shared" si="38"/>
        <v/>
      </c>
    </row>
    <row r="2337" spans="1:1">
      <c r="A2337" t="str">
        <f t="shared" si="38"/>
        <v/>
      </c>
    </row>
    <row r="2338" spans="1:1">
      <c r="A2338" t="str">
        <f t="shared" si="38"/>
        <v/>
      </c>
    </row>
    <row r="2339" spans="1:1">
      <c r="A2339" t="str">
        <f t="shared" si="38"/>
        <v/>
      </c>
    </row>
    <row r="2340" spans="1:1">
      <c r="A2340" t="str">
        <f t="shared" si="38"/>
        <v/>
      </c>
    </row>
    <row r="2341" spans="1:1">
      <c r="A2341" t="str">
        <f t="shared" si="38"/>
        <v/>
      </c>
    </row>
    <row r="2342" spans="1:1">
      <c r="A2342" t="str">
        <f t="shared" si="38"/>
        <v/>
      </c>
    </row>
    <row r="2343" spans="1:1">
      <c r="A2343" t="str">
        <f t="shared" si="38"/>
        <v/>
      </c>
    </row>
    <row r="2344" spans="1:1">
      <c r="A2344" t="str">
        <f t="shared" si="38"/>
        <v/>
      </c>
    </row>
    <row r="2345" spans="1:1">
      <c r="A2345" t="str">
        <f t="shared" si="38"/>
        <v/>
      </c>
    </row>
    <row r="2346" spans="1:1">
      <c r="A2346" t="str">
        <f t="shared" si="38"/>
        <v/>
      </c>
    </row>
    <row r="2347" spans="1:1">
      <c r="A2347" t="str">
        <f t="shared" si="38"/>
        <v/>
      </c>
    </row>
    <row r="2348" spans="1:1">
      <c r="A2348" t="str">
        <f t="shared" si="38"/>
        <v/>
      </c>
    </row>
    <row r="2349" spans="1:1">
      <c r="A2349" t="str">
        <f t="shared" si="38"/>
        <v/>
      </c>
    </row>
    <row r="2350" spans="1:1">
      <c r="A2350" t="str">
        <f t="shared" si="38"/>
        <v/>
      </c>
    </row>
    <row r="2351" spans="1:1">
      <c r="A2351" t="str">
        <f t="shared" si="38"/>
        <v/>
      </c>
    </row>
    <row r="2352" spans="1:1">
      <c r="A2352" t="str">
        <f t="shared" si="38"/>
        <v/>
      </c>
    </row>
    <row r="2353" spans="1:1">
      <c r="A2353" t="str">
        <f t="shared" si="38"/>
        <v/>
      </c>
    </row>
    <row r="2354" spans="1:1">
      <c r="A2354" t="str">
        <f t="shared" si="38"/>
        <v/>
      </c>
    </row>
    <row r="2355" spans="1:1">
      <c r="A2355" t="str">
        <f t="shared" si="38"/>
        <v/>
      </c>
    </row>
    <row r="2356" spans="1:1">
      <c r="A2356" t="str">
        <f t="shared" si="38"/>
        <v/>
      </c>
    </row>
    <row r="2357" spans="1:1">
      <c r="A2357" t="str">
        <f t="shared" si="38"/>
        <v/>
      </c>
    </row>
    <row r="2358" spans="1:1">
      <c r="A2358" t="str">
        <f t="shared" si="38"/>
        <v/>
      </c>
    </row>
    <row r="2359" spans="1:1">
      <c r="A2359" t="str">
        <f t="shared" si="38"/>
        <v/>
      </c>
    </row>
    <row r="2360" spans="1:1">
      <c r="A2360" t="str">
        <f t="shared" si="38"/>
        <v/>
      </c>
    </row>
    <row r="2361" spans="1:1">
      <c r="A2361" t="str">
        <f t="shared" si="38"/>
        <v/>
      </c>
    </row>
    <row r="2362" spans="1:1">
      <c r="A2362" t="str">
        <f t="shared" si="38"/>
        <v/>
      </c>
    </row>
    <row r="2363" spans="1:1">
      <c r="A2363" t="str">
        <f t="shared" si="38"/>
        <v/>
      </c>
    </row>
    <row r="2364" spans="1:1">
      <c r="A2364" t="str">
        <f t="shared" si="38"/>
        <v/>
      </c>
    </row>
    <row r="2365" spans="1:1">
      <c r="A2365" t="str">
        <f t="shared" si="38"/>
        <v/>
      </c>
    </row>
    <row r="2366" spans="1:1">
      <c r="A2366" t="str">
        <f t="shared" si="38"/>
        <v/>
      </c>
    </row>
    <row r="2367" spans="1:1">
      <c r="A2367" t="str">
        <f t="shared" si="38"/>
        <v/>
      </c>
    </row>
    <row r="2368" spans="1:1">
      <c r="A2368" t="str">
        <f t="shared" si="38"/>
        <v/>
      </c>
    </row>
    <row r="2369" spans="1:1">
      <c r="A2369" t="str">
        <f t="shared" si="38"/>
        <v/>
      </c>
    </row>
    <row r="2370" spans="1:1">
      <c r="A2370" t="str">
        <f t="shared" si="38"/>
        <v/>
      </c>
    </row>
    <row r="2371" spans="1:1">
      <c r="A2371" t="str">
        <f t="shared" si="38"/>
        <v/>
      </c>
    </row>
    <row r="2372" spans="1:1">
      <c r="A2372" t="str">
        <f t="shared" si="38"/>
        <v/>
      </c>
    </row>
    <row r="2373" spans="1:1">
      <c r="A2373" t="str">
        <f t="shared" si="38"/>
        <v/>
      </c>
    </row>
    <row r="2374" spans="1:1">
      <c r="A2374" t="str">
        <f t="shared" si="38"/>
        <v/>
      </c>
    </row>
    <row r="2375" spans="1:1">
      <c r="A2375" t="str">
        <f t="shared" ref="A2375:A2438" si="39">G2375&amp;H2375&amp;I2375&amp;F2375</f>
        <v/>
      </c>
    </row>
    <row r="2376" spans="1:1">
      <c r="A2376" t="str">
        <f t="shared" si="39"/>
        <v/>
      </c>
    </row>
    <row r="2377" spans="1:1">
      <c r="A2377" t="str">
        <f t="shared" si="39"/>
        <v/>
      </c>
    </row>
    <row r="2378" spans="1:1">
      <c r="A2378" t="str">
        <f t="shared" si="39"/>
        <v/>
      </c>
    </row>
    <row r="2379" spans="1:1">
      <c r="A2379" t="str">
        <f t="shared" si="39"/>
        <v/>
      </c>
    </row>
    <row r="2380" spans="1:1">
      <c r="A2380" t="str">
        <f t="shared" si="39"/>
        <v/>
      </c>
    </row>
    <row r="2381" spans="1:1">
      <c r="A2381" t="str">
        <f t="shared" si="39"/>
        <v/>
      </c>
    </row>
    <row r="2382" spans="1:1">
      <c r="A2382" t="str">
        <f t="shared" si="39"/>
        <v/>
      </c>
    </row>
    <row r="2383" spans="1:1">
      <c r="A2383" t="str">
        <f t="shared" si="39"/>
        <v/>
      </c>
    </row>
    <row r="2384" spans="1:1">
      <c r="A2384" t="str">
        <f t="shared" si="39"/>
        <v/>
      </c>
    </row>
    <row r="2385" spans="1:1">
      <c r="A2385" t="str">
        <f t="shared" si="39"/>
        <v/>
      </c>
    </row>
    <row r="2386" spans="1:1">
      <c r="A2386" t="str">
        <f t="shared" si="39"/>
        <v/>
      </c>
    </row>
    <row r="2387" spans="1:1">
      <c r="A2387" t="str">
        <f t="shared" si="39"/>
        <v/>
      </c>
    </row>
    <row r="2388" spans="1:1">
      <c r="A2388" t="str">
        <f t="shared" si="39"/>
        <v/>
      </c>
    </row>
    <row r="2389" spans="1:1">
      <c r="A2389" t="str">
        <f t="shared" si="39"/>
        <v/>
      </c>
    </row>
    <row r="2390" spans="1:1">
      <c r="A2390" t="str">
        <f t="shared" si="39"/>
        <v/>
      </c>
    </row>
    <row r="2391" spans="1:1">
      <c r="A2391" t="str">
        <f t="shared" si="39"/>
        <v/>
      </c>
    </row>
    <row r="2392" spans="1:1">
      <c r="A2392" t="str">
        <f t="shared" si="39"/>
        <v/>
      </c>
    </row>
    <row r="2393" spans="1:1">
      <c r="A2393" t="str">
        <f t="shared" si="39"/>
        <v/>
      </c>
    </row>
    <row r="2394" spans="1:1">
      <c r="A2394" t="str">
        <f t="shared" si="39"/>
        <v/>
      </c>
    </row>
    <row r="2395" spans="1:1">
      <c r="A2395" t="str">
        <f t="shared" si="39"/>
        <v/>
      </c>
    </row>
    <row r="2396" spans="1:1">
      <c r="A2396" t="str">
        <f t="shared" si="39"/>
        <v/>
      </c>
    </row>
    <row r="2397" spans="1:1">
      <c r="A2397" t="str">
        <f t="shared" si="39"/>
        <v/>
      </c>
    </row>
    <row r="2398" spans="1:1">
      <c r="A2398" t="str">
        <f t="shared" si="39"/>
        <v/>
      </c>
    </row>
    <row r="2399" spans="1:1">
      <c r="A2399" t="str">
        <f t="shared" si="39"/>
        <v/>
      </c>
    </row>
    <row r="2400" spans="1:1">
      <c r="A2400" t="str">
        <f t="shared" si="39"/>
        <v/>
      </c>
    </row>
    <row r="2401" spans="1:1">
      <c r="A2401" t="str">
        <f t="shared" si="39"/>
        <v/>
      </c>
    </row>
    <row r="2402" spans="1:1">
      <c r="A2402" t="str">
        <f t="shared" si="39"/>
        <v/>
      </c>
    </row>
    <row r="2403" spans="1:1">
      <c r="A2403" t="str">
        <f t="shared" si="39"/>
        <v/>
      </c>
    </row>
    <row r="2404" spans="1:1">
      <c r="A2404" t="str">
        <f t="shared" si="39"/>
        <v/>
      </c>
    </row>
    <row r="2405" spans="1:1">
      <c r="A2405" t="str">
        <f t="shared" si="39"/>
        <v/>
      </c>
    </row>
    <row r="2406" spans="1:1">
      <c r="A2406" t="str">
        <f t="shared" si="39"/>
        <v/>
      </c>
    </row>
    <row r="2407" spans="1:1">
      <c r="A2407" t="str">
        <f t="shared" si="39"/>
        <v/>
      </c>
    </row>
    <row r="2408" spans="1:1">
      <c r="A2408" t="str">
        <f t="shared" si="39"/>
        <v/>
      </c>
    </row>
    <row r="2409" spans="1:1">
      <c r="A2409" t="str">
        <f t="shared" si="39"/>
        <v/>
      </c>
    </row>
    <row r="2410" spans="1:1">
      <c r="A2410" t="str">
        <f t="shared" si="39"/>
        <v/>
      </c>
    </row>
    <row r="2411" spans="1:1">
      <c r="A2411" t="str">
        <f t="shared" si="39"/>
        <v/>
      </c>
    </row>
    <row r="2412" spans="1:1">
      <c r="A2412" t="str">
        <f t="shared" si="39"/>
        <v/>
      </c>
    </row>
    <row r="2413" spans="1:1">
      <c r="A2413" t="str">
        <f t="shared" si="39"/>
        <v/>
      </c>
    </row>
    <row r="2414" spans="1:1">
      <c r="A2414" t="str">
        <f t="shared" si="39"/>
        <v/>
      </c>
    </row>
    <row r="2415" spans="1:1">
      <c r="A2415" t="str">
        <f t="shared" si="39"/>
        <v/>
      </c>
    </row>
    <row r="2416" spans="1:1">
      <c r="A2416" t="str">
        <f t="shared" si="39"/>
        <v/>
      </c>
    </row>
    <row r="2417" spans="1:1">
      <c r="A2417" t="str">
        <f t="shared" si="39"/>
        <v/>
      </c>
    </row>
    <row r="2418" spans="1:1">
      <c r="A2418" t="str">
        <f t="shared" si="39"/>
        <v/>
      </c>
    </row>
    <row r="2419" spans="1:1">
      <c r="A2419" t="str">
        <f t="shared" si="39"/>
        <v/>
      </c>
    </row>
    <row r="2420" spans="1:1">
      <c r="A2420" t="str">
        <f t="shared" si="39"/>
        <v/>
      </c>
    </row>
    <row r="2421" spans="1:1">
      <c r="A2421" t="str">
        <f t="shared" si="39"/>
        <v/>
      </c>
    </row>
    <row r="2422" spans="1:1">
      <c r="A2422" t="str">
        <f t="shared" si="39"/>
        <v/>
      </c>
    </row>
    <row r="2423" spans="1:1">
      <c r="A2423" t="str">
        <f t="shared" si="39"/>
        <v/>
      </c>
    </row>
    <row r="2424" spans="1:1">
      <c r="A2424" t="str">
        <f t="shared" si="39"/>
        <v/>
      </c>
    </row>
    <row r="2425" spans="1:1">
      <c r="A2425" t="str">
        <f t="shared" si="39"/>
        <v/>
      </c>
    </row>
    <row r="2426" spans="1:1">
      <c r="A2426" t="str">
        <f t="shared" si="39"/>
        <v/>
      </c>
    </row>
    <row r="2427" spans="1:1">
      <c r="A2427" t="str">
        <f t="shared" si="39"/>
        <v/>
      </c>
    </row>
    <row r="2428" spans="1:1">
      <c r="A2428" t="str">
        <f t="shared" si="39"/>
        <v/>
      </c>
    </row>
    <row r="2429" spans="1:1">
      <c r="A2429" t="str">
        <f t="shared" si="39"/>
        <v/>
      </c>
    </row>
    <row r="2430" spans="1:1">
      <c r="A2430" t="str">
        <f t="shared" si="39"/>
        <v/>
      </c>
    </row>
    <row r="2431" spans="1:1">
      <c r="A2431" t="str">
        <f t="shared" si="39"/>
        <v/>
      </c>
    </row>
    <row r="2432" spans="1:1">
      <c r="A2432" t="str">
        <f t="shared" si="39"/>
        <v/>
      </c>
    </row>
    <row r="2433" spans="1:1">
      <c r="A2433" t="str">
        <f t="shared" si="39"/>
        <v/>
      </c>
    </row>
    <row r="2434" spans="1:1">
      <c r="A2434" t="str">
        <f t="shared" si="39"/>
        <v/>
      </c>
    </row>
    <row r="2435" spans="1:1">
      <c r="A2435" t="str">
        <f t="shared" si="39"/>
        <v/>
      </c>
    </row>
    <row r="2436" spans="1:1">
      <c r="A2436" t="str">
        <f t="shared" si="39"/>
        <v/>
      </c>
    </row>
    <row r="2437" spans="1:1">
      <c r="A2437" t="str">
        <f t="shared" si="39"/>
        <v/>
      </c>
    </row>
    <row r="2438" spans="1:1">
      <c r="A2438" t="str">
        <f t="shared" si="39"/>
        <v/>
      </c>
    </row>
    <row r="2439" spans="1:1">
      <c r="A2439" t="str">
        <f t="shared" ref="A2439:A2502" si="40">G2439&amp;H2439&amp;I2439&amp;F2439</f>
        <v/>
      </c>
    </row>
    <row r="2440" spans="1:1">
      <c r="A2440" t="str">
        <f t="shared" si="40"/>
        <v/>
      </c>
    </row>
    <row r="2441" spans="1:1">
      <c r="A2441" t="str">
        <f t="shared" si="40"/>
        <v/>
      </c>
    </row>
    <row r="2442" spans="1:1">
      <c r="A2442" t="str">
        <f t="shared" si="40"/>
        <v/>
      </c>
    </row>
    <row r="2443" spans="1:1">
      <c r="A2443" t="str">
        <f t="shared" si="40"/>
        <v/>
      </c>
    </row>
    <row r="2444" spans="1:1">
      <c r="A2444" t="str">
        <f t="shared" si="40"/>
        <v/>
      </c>
    </row>
    <row r="2445" spans="1:1">
      <c r="A2445" t="str">
        <f t="shared" si="40"/>
        <v/>
      </c>
    </row>
    <row r="2446" spans="1:1">
      <c r="A2446" t="str">
        <f t="shared" si="40"/>
        <v/>
      </c>
    </row>
    <row r="2447" spans="1:1">
      <c r="A2447" t="str">
        <f t="shared" si="40"/>
        <v/>
      </c>
    </row>
    <row r="2448" spans="1:1">
      <c r="A2448" t="str">
        <f t="shared" si="40"/>
        <v/>
      </c>
    </row>
    <row r="2449" spans="1:1">
      <c r="A2449" t="str">
        <f t="shared" si="40"/>
        <v/>
      </c>
    </row>
    <row r="2450" spans="1:1">
      <c r="A2450" t="str">
        <f t="shared" si="40"/>
        <v/>
      </c>
    </row>
    <row r="2451" spans="1:1">
      <c r="A2451" t="str">
        <f t="shared" si="40"/>
        <v/>
      </c>
    </row>
    <row r="2452" spans="1:1">
      <c r="A2452" t="str">
        <f t="shared" si="40"/>
        <v/>
      </c>
    </row>
    <row r="2453" spans="1:1">
      <c r="A2453" t="str">
        <f t="shared" si="40"/>
        <v/>
      </c>
    </row>
    <row r="2454" spans="1:1">
      <c r="A2454" t="str">
        <f t="shared" si="40"/>
        <v/>
      </c>
    </row>
    <row r="2455" spans="1:1">
      <c r="A2455" t="str">
        <f t="shared" si="40"/>
        <v/>
      </c>
    </row>
    <row r="2456" spans="1:1">
      <c r="A2456" t="str">
        <f t="shared" si="40"/>
        <v/>
      </c>
    </row>
    <row r="2457" spans="1:1">
      <c r="A2457" t="str">
        <f t="shared" si="40"/>
        <v/>
      </c>
    </row>
    <row r="2458" spans="1:1">
      <c r="A2458" t="str">
        <f t="shared" si="40"/>
        <v/>
      </c>
    </row>
    <row r="2459" spans="1:1">
      <c r="A2459" t="str">
        <f t="shared" si="40"/>
        <v/>
      </c>
    </row>
    <row r="2460" spans="1:1">
      <c r="A2460" t="str">
        <f t="shared" si="40"/>
        <v/>
      </c>
    </row>
    <row r="2461" spans="1:1">
      <c r="A2461" t="str">
        <f t="shared" si="40"/>
        <v/>
      </c>
    </row>
    <row r="2462" spans="1:1">
      <c r="A2462" t="str">
        <f t="shared" si="40"/>
        <v/>
      </c>
    </row>
    <row r="2463" spans="1:1">
      <c r="A2463" t="str">
        <f t="shared" si="40"/>
        <v/>
      </c>
    </row>
    <row r="2464" spans="1:1">
      <c r="A2464" t="str">
        <f t="shared" si="40"/>
        <v/>
      </c>
    </row>
    <row r="2465" spans="1:1">
      <c r="A2465" t="str">
        <f t="shared" si="40"/>
        <v/>
      </c>
    </row>
    <row r="2466" spans="1:1">
      <c r="A2466" t="str">
        <f t="shared" si="40"/>
        <v/>
      </c>
    </row>
    <row r="2467" spans="1:1">
      <c r="A2467" t="str">
        <f t="shared" si="40"/>
        <v/>
      </c>
    </row>
    <row r="2468" spans="1:1">
      <c r="A2468" t="str">
        <f t="shared" si="40"/>
        <v/>
      </c>
    </row>
    <row r="2469" spans="1:1">
      <c r="A2469" t="str">
        <f t="shared" si="40"/>
        <v/>
      </c>
    </row>
    <row r="2470" spans="1:1">
      <c r="A2470" t="str">
        <f t="shared" si="40"/>
        <v/>
      </c>
    </row>
    <row r="2471" spans="1:1">
      <c r="A2471" t="str">
        <f t="shared" si="40"/>
        <v/>
      </c>
    </row>
    <row r="2472" spans="1:1">
      <c r="A2472" t="str">
        <f t="shared" si="40"/>
        <v/>
      </c>
    </row>
    <row r="2473" spans="1:1">
      <c r="A2473" t="str">
        <f t="shared" si="40"/>
        <v/>
      </c>
    </row>
    <row r="2474" spans="1:1">
      <c r="A2474" t="str">
        <f t="shared" si="40"/>
        <v/>
      </c>
    </row>
    <row r="2475" spans="1:1">
      <c r="A2475" t="str">
        <f t="shared" si="40"/>
        <v/>
      </c>
    </row>
    <row r="2476" spans="1:1">
      <c r="A2476" t="str">
        <f t="shared" si="40"/>
        <v/>
      </c>
    </row>
    <row r="2477" spans="1:1">
      <c r="A2477" t="str">
        <f t="shared" si="40"/>
        <v/>
      </c>
    </row>
    <row r="2478" spans="1:1">
      <c r="A2478" t="str">
        <f t="shared" si="40"/>
        <v/>
      </c>
    </row>
    <row r="2479" spans="1:1">
      <c r="A2479" t="str">
        <f t="shared" si="40"/>
        <v/>
      </c>
    </row>
    <row r="2480" spans="1:1">
      <c r="A2480" t="str">
        <f t="shared" si="40"/>
        <v/>
      </c>
    </row>
    <row r="2481" spans="1:1">
      <c r="A2481" t="str">
        <f t="shared" si="40"/>
        <v/>
      </c>
    </row>
    <row r="2482" spans="1:1">
      <c r="A2482" t="str">
        <f t="shared" si="40"/>
        <v/>
      </c>
    </row>
    <row r="2483" spans="1:1">
      <c r="A2483" t="str">
        <f t="shared" si="40"/>
        <v/>
      </c>
    </row>
    <row r="2484" spans="1:1">
      <c r="A2484" t="str">
        <f t="shared" si="40"/>
        <v/>
      </c>
    </row>
    <row r="2485" spans="1:1">
      <c r="A2485" t="str">
        <f t="shared" si="40"/>
        <v/>
      </c>
    </row>
    <row r="2486" spans="1:1">
      <c r="A2486" t="str">
        <f t="shared" si="40"/>
        <v/>
      </c>
    </row>
    <row r="2487" spans="1:1">
      <c r="A2487" t="str">
        <f t="shared" si="40"/>
        <v/>
      </c>
    </row>
    <row r="2488" spans="1:1">
      <c r="A2488" t="str">
        <f t="shared" si="40"/>
        <v/>
      </c>
    </row>
    <row r="2489" spans="1:1">
      <c r="A2489" t="str">
        <f t="shared" si="40"/>
        <v/>
      </c>
    </row>
    <row r="2490" spans="1:1">
      <c r="A2490" t="str">
        <f t="shared" si="40"/>
        <v/>
      </c>
    </row>
    <row r="2491" spans="1:1">
      <c r="A2491" t="str">
        <f t="shared" si="40"/>
        <v/>
      </c>
    </row>
    <row r="2492" spans="1:1">
      <c r="A2492" t="str">
        <f t="shared" si="40"/>
        <v/>
      </c>
    </row>
    <row r="2493" spans="1:1">
      <c r="A2493" t="str">
        <f t="shared" si="40"/>
        <v/>
      </c>
    </row>
    <row r="2494" spans="1:1">
      <c r="A2494" t="str">
        <f t="shared" si="40"/>
        <v/>
      </c>
    </row>
    <row r="2495" spans="1:1">
      <c r="A2495" t="str">
        <f t="shared" si="40"/>
        <v/>
      </c>
    </row>
    <row r="2496" spans="1:1">
      <c r="A2496" t="str">
        <f t="shared" si="40"/>
        <v/>
      </c>
    </row>
    <row r="2497" spans="1:1">
      <c r="A2497" t="str">
        <f t="shared" si="40"/>
        <v/>
      </c>
    </row>
    <row r="2498" spans="1:1">
      <c r="A2498" t="str">
        <f t="shared" si="40"/>
        <v/>
      </c>
    </row>
    <row r="2499" spans="1:1">
      <c r="A2499" t="str">
        <f t="shared" si="40"/>
        <v/>
      </c>
    </row>
    <row r="2500" spans="1:1">
      <c r="A2500" t="str">
        <f t="shared" si="40"/>
        <v/>
      </c>
    </row>
    <row r="2501" spans="1:1">
      <c r="A2501" t="str">
        <f t="shared" si="40"/>
        <v/>
      </c>
    </row>
    <row r="2502" spans="1:1">
      <c r="A2502" t="str">
        <f t="shared" si="40"/>
        <v/>
      </c>
    </row>
    <row r="2503" spans="1:1">
      <c r="A2503" t="str">
        <f t="shared" ref="A2503:A2566" si="41">G2503&amp;H2503&amp;I2503&amp;F2503</f>
        <v/>
      </c>
    </row>
    <row r="2504" spans="1:1">
      <c r="A2504" t="str">
        <f t="shared" si="41"/>
        <v/>
      </c>
    </row>
    <row r="2505" spans="1:1">
      <c r="A2505" t="str">
        <f t="shared" si="41"/>
        <v/>
      </c>
    </row>
    <row r="2506" spans="1:1">
      <c r="A2506" t="str">
        <f t="shared" si="41"/>
        <v/>
      </c>
    </row>
    <row r="2507" spans="1:1">
      <c r="A2507" t="str">
        <f t="shared" si="41"/>
        <v/>
      </c>
    </row>
    <row r="2508" spans="1:1">
      <c r="A2508" t="str">
        <f t="shared" si="41"/>
        <v/>
      </c>
    </row>
    <row r="2509" spans="1:1">
      <c r="A2509" t="str">
        <f t="shared" si="41"/>
        <v/>
      </c>
    </row>
    <row r="2510" spans="1:1">
      <c r="A2510" t="str">
        <f t="shared" si="41"/>
        <v/>
      </c>
    </row>
    <row r="2511" spans="1:1">
      <c r="A2511" t="str">
        <f t="shared" si="41"/>
        <v/>
      </c>
    </row>
    <row r="2512" spans="1:1">
      <c r="A2512" t="str">
        <f t="shared" si="41"/>
        <v/>
      </c>
    </row>
    <row r="2513" spans="1:1">
      <c r="A2513" t="str">
        <f t="shared" si="41"/>
        <v/>
      </c>
    </row>
    <row r="2514" spans="1:1">
      <c r="A2514" t="str">
        <f t="shared" si="41"/>
        <v/>
      </c>
    </row>
    <row r="2515" spans="1:1">
      <c r="A2515" t="str">
        <f t="shared" si="41"/>
        <v/>
      </c>
    </row>
    <row r="2516" spans="1:1">
      <c r="A2516" t="str">
        <f t="shared" si="41"/>
        <v/>
      </c>
    </row>
    <row r="2517" spans="1:1">
      <c r="A2517" t="str">
        <f t="shared" si="41"/>
        <v/>
      </c>
    </row>
    <row r="2518" spans="1:1">
      <c r="A2518" t="str">
        <f t="shared" si="41"/>
        <v/>
      </c>
    </row>
    <row r="2519" spans="1:1">
      <c r="A2519" t="str">
        <f t="shared" si="41"/>
        <v/>
      </c>
    </row>
    <row r="2520" spans="1:1">
      <c r="A2520" t="str">
        <f t="shared" si="41"/>
        <v/>
      </c>
    </row>
    <row r="2521" spans="1:1">
      <c r="A2521" t="str">
        <f t="shared" si="41"/>
        <v/>
      </c>
    </row>
    <row r="2522" spans="1:1">
      <c r="A2522" t="str">
        <f t="shared" si="41"/>
        <v/>
      </c>
    </row>
    <row r="2523" spans="1:1">
      <c r="A2523" t="str">
        <f t="shared" si="41"/>
        <v/>
      </c>
    </row>
    <row r="2524" spans="1:1">
      <c r="A2524" t="str">
        <f t="shared" si="41"/>
        <v/>
      </c>
    </row>
    <row r="2525" spans="1:1">
      <c r="A2525" t="str">
        <f t="shared" si="41"/>
        <v/>
      </c>
    </row>
    <row r="2526" spans="1:1">
      <c r="A2526" t="str">
        <f t="shared" si="41"/>
        <v/>
      </c>
    </row>
    <row r="2527" spans="1:1">
      <c r="A2527" t="str">
        <f t="shared" si="41"/>
        <v/>
      </c>
    </row>
    <row r="2528" spans="1:1">
      <c r="A2528" t="str">
        <f t="shared" si="41"/>
        <v/>
      </c>
    </row>
    <row r="2529" spans="1:1">
      <c r="A2529" t="str">
        <f t="shared" si="41"/>
        <v/>
      </c>
    </row>
    <row r="2530" spans="1:1">
      <c r="A2530" t="str">
        <f t="shared" si="41"/>
        <v/>
      </c>
    </row>
    <row r="2531" spans="1:1">
      <c r="A2531" t="str">
        <f t="shared" si="41"/>
        <v/>
      </c>
    </row>
    <row r="2532" spans="1:1">
      <c r="A2532" t="str">
        <f t="shared" si="41"/>
        <v/>
      </c>
    </row>
    <row r="2533" spans="1:1">
      <c r="A2533" t="str">
        <f t="shared" si="41"/>
        <v/>
      </c>
    </row>
    <row r="2534" spans="1:1">
      <c r="A2534" t="str">
        <f t="shared" si="41"/>
        <v/>
      </c>
    </row>
    <row r="2535" spans="1:1">
      <c r="A2535" t="str">
        <f t="shared" si="41"/>
        <v/>
      </c>
    </row>
    <row r="2536" spans="1:1">
      <c r="A2536" t="str">
        <f t="shared" si="41"/>
        <v/>
      </c>
    </row>
    <row r="2537" spans="1:1">
      <c r="A2537" t="str">
        <f t="shared" si="41"/>
        <v/>
      </c>
    </row>
    <row r="2538" spans="1:1">
      <c r="A2538" t="str">
        <f t="shared" si="41"/>
        <v/>
      </c>
    </row>
    <row r="2539" spans="1:1">
      <c r="A2539" t="str">
        <f t="shared" si="41"/>
        <v/>
      </c>
    </row>
    <row r="2540" spans="1:1">
      <c r="A2540" t="str">
        <f t="shared" si="41"/>
        <v/>
      </c>
    </row>
    <row r="2541" spans="1:1">
      <c r="A2541" t="str">
        <f t="shared" si="41"/>
        <v/>
      </c>
    </row>
    <row r="2542" spans="1:1">
      <c r="A2542" t="str">
        <f t="shared" si="41"/>
        <v/>
      </c>
    </row>
    <row r="2543" spans="1:1">
      <c r="A2543" t="str">
        <f t="shared" si="41"/>
        <v/>
      </c>
    </row>
    <row r="2544" spans="1:1">
      <c r="A2544" t="str">
        <f t="shared" si="41"/>
        <v/>
      </c>
    </row>
    <row r="2545" spans="1:1">
      <c r="A2545" t="str">
        <f t="shared" si="41"/>
        <v/>
      </c>
    </row>
    <row r="2546" spans="1:1">
      <c r="A2546" t="str">
        <f t="shared" si="41"/>
        <v/>
      </c>
    </row>
    <row r="2547" spans="1:1">
      <c r="A2547" t="str">
        <f t="shared" si="41"/>
        <v/>
      </c>
    </row>
    <row r="2548" spans="1:1">
      <c r="A2548" t="str">
        <f t="shared" si="41"/>
        <v/>
      </c>
    </row>
    <row r="2549" spans="1:1">
      <c r="A2549" t="str">
        <f t="shared" si="41"/>
        <v/>
      </c>
    </row>
    <row r="2550" spans="1:1">
      <c r="A2550" t="str">
        <f t="shared" si="41"/>
        <v/>
      </c>
    </row>
    <row r="2551" spans="1:1">
      <c r="A2551" t="str">
        <f t="shared" si="41"/>
        <v/>
      </c>
    </row>
    <row r="2552" spans="1:1">
      <c r="A2552" t="str">
        <f t="shared" si="41"/>
        <v/>
      </c>
    </row>
    <row r="2553" spans="1:1">
      <c r="A2553" t="str">
        <f t="shared" si="41"/>
        <v/>
      </c>
    </row>
    <row r="2554" spans="1:1">
      <c r="A2554" t="str">
        <f t="shared" si="41"/>
        <v/>
      </c>
    </row>
    <row r="2555" spans="1:1">
      <c r="A2555" t="str">
        <f t="shared" si="41"/>
        <v/>
      </c>
    </row>
    <row r="2556" spans="1:1">
      <c r="A2556" t="str">
        <f t="shared" si="41"/>
        <v/>
      </c>
    </row>
    <row r="2557" spans="1:1">
      <c r="A2557" t="str">
        <f t="shared" si="41"/>
        <v/>
      </c>
    </row>
    <row r="2558" spans="1:1">
      <c r="A2558" t="str">
        <f t="shared" si="41"/>
        <v/>
      </c>
    </row>
    <row r="2559" spans="1:1">
      <c r="A2559" t="str">
        <f t="shared" si="41"/>
        <v/>
      </c>
    </row>
    <row r="2560" spans="1:1">
      <c r="A2560" t="str">
        <f t="shared" si="41"/>
        <v/>
      </c>
    </row>
    <row r="2561" spans="1:1">
      <c r="A2561" t="str">
        <f t="shared" si="41"/>
        <v/>
      </c>
    </row>
    <row r="2562" spans="1:1">
      <c r="A2562" t="str">
        <f t="shared" si="41"/>
        <v/>
      </c>
    </row>
    <row r="2563" spans="1:1">
      <c r="A2563" t="str">
        <f t="shared" si="41"/>
        <v/>
      </c>
    </row>
    <row r="2564" spans="1:1">
      <c r="A2564" t="str">
        <f t="shared" si="41"/>
        <v/>
      </c>
    </row>
    <row r="2565" spans="1:1">
      <c r="A2565" t="str">
        <f t="shared" si="41"/>
        <v/>
      </c>
    </row>
    <row r="2566" spans="1:1">
      <c r="A2566" t="str">
        <f t="shared" si="41"/>
        <v/>
      </c>
    </row>
    <row r="2567" spans="1:1">
      <c r="A2567" t="str">
        <f t="shared" ref="A2567:A2630" si="42">G2567&amp;H2567&amp;I2567&amp;F2567</f>
        <v/>
      </c>
    </row>
    <row r="2568" spans="1:1">
      <c r="A2568" t="str">
        <f t="shared" si="42"/>
        <v/>
      </c>
    </row>
    <row r="2569" spans="1:1">
      <c r="A2569" t="str">
        <f t="shared" si="42"/>
        <v/>
      </c>
    </row>
    <row r="2570" spans="1:1">
      <c r="A2570" t="str">
        <f t="shared" si="42"/>
        <v/>
      </c>
    </row>
    <row r="2571" spans="1:1">
      <c r="A2571" t="str">
        <f t="shared" si="42"/>
        <v/>
      </c>
    </row>
    <row r="2572" spans="1:1">
      <c r="A2572" t="str">
        <f t="shared" si="42"/>
        <v/>
      </c>
    </row>
    <row r="2573" spans="1:1">
      <c r="A2573" t="str">
        <f t="shared" si="42"/>
        <v/>
      </c>
    </row>
    <row r="2574" spans="1:1">
      <c r="A2574" t="str">
        <f t="shared" si="42"/>
        <v/>
      </c>
    </row>
    <row r="2575" spans="1:1">
      <c r="A2575" t="str">
        <f t="shared" si="42"/>
        <v/>
      </c>
    </row>
    <row r="2576" spans="1:1">
      <c r="A2576" t="str">
        <f t="shared" si="42"/>
        <v/>
      </c>
    </row>
    <row r="2577" spans="1:1">
      <c r="A2577" t="str">
        <f t="shared" si="42"/>
        <v/>
      </c>
    </row>
    <row r="2578" spans="1:1">
      <c r="A2578" t="str">
        <f t="shared" si="42"/>
        <v/>
      </c>
    </row>
    <row r="2579" spans="1:1">
      <c r="A2579" t="str">
        <f t="shared" si="42"/>
        <v/>
      </c>
    </row>
    <row r="2580" spans="1:1">
      <c r="A2580" t="str">
        <f t="shared" si="42"/>
        <v/>
      </c>
    </row>
    <row r="2581" spans="1:1">
      <c r="A2581" t="str">
        <f t="shared" si="42"/>
        <v/>
      </c>
    </row>
    <row r="2582" spans="1:1">
      <c r="A2582" t="str">
        <f t="shared" si="42"/>
        <v/>
      </c>
    </row>
    <row r="2583" spans="1:1">
      <c r="A2583" t="str">
        <f t="shared" si="42"/>
        <v/>
      </c>
    </row>
    <row r="2584" spans="1:1">
      <c r="A2584" t="str">
        <f t="shared" si="42"/>
        <v/>
      </c>
    </row>
    <row r="2585" spans="1:1">
      <c r="A2585" t="str">
        <f t="shared" si="42"/>
        <v/>
      </c>
    </row>
    <row r="2586" spans="1:1">
      <c r="A2586" t="str">
        <f t="shared" si="42"/>
        <v/>
      </c>
    </row>
    <row r="2587" spans="1:1">
      <c r="A2587" t="str">
        <f t="shared" si="42"/>
        <v/>
      </c>
    </row>
    <row r="2588" spans="1:1">
      <c r="A2588" t="str">
        <f t="shared" si="42"/>
        <v/>
      </c>
    </row>
    <row r="2589" spans="1:1">
      <c r="A2589" t="str">
        <f t="shared" si="42"/>
        <v/>
      </c>
    </row>
    <row r="2590" spans="1:1">
      <c r="A2590" t="str">
        <f t="shared" si="42"/>
        <v/>
      </c>
    </row>
    <row r="2591" spans="1:1">
      <c r="A2591" t="str">
        <f t="shared" si="42"/>
        <v/>
      </c>
    </row>
    <row r="2592" spans="1:1">
      <c r="A2592" t="str">
        <f t="shared" si="42"/>
        <v/>
      </c>
    </row>
    <row r="2593" spans="1:1">
      <c r="A2593" t="str">
        <f t="shared" si="42"/>
        <v/>
      </c>
    </row>
    <row r="2594" spans="1:1">
      <c r="A2594" t="str">
        <f t="shared" si="42"/>
        <v/>
      </c>
    </row>
    <row r="2595" spans="1:1">
      <c r="A2595" t="str">
        <f t="shared" si="42"/>
        <v/>
      </c>
    </row>
    <row r="2596" spans="1:1">
      <c r="A2596" t="str">
        <f t="shared" si="42"/>
        <v/>
      </c>
    </row>
    <row r="2597" spans="1:1">
      <c r="A2597" t="str">
        <f t="shared" si="42"/>
        <v/>
      </c>
    </row>
    <row r="2598" spans="1:1">
      <c r="A2598" t="str">
        <f t="shared" si="42"/>
        <v/>
      </c>
    </row>
    <row r="2599" spans="1:1">
      <c r="A2599" t="str">
        <f t="shared" si="42"/>
        <v/>
      </c>
    </row>
    <row r="2600" spans="1:1">
      <c r="A2600" t="str">
        <f t="shared" si="42"/>
        <v/>
      </c>
    </row>
    <row r="2601" spans="1:1">
      <c r="A2601" t="str">
        <f t="shared" si="42"/>
        <v/>
      </c>
    </row>
    <row r="2602" spans="1:1">
      <c r="A2602" t="str">
        <f t="shared" si="42"/>
        <v/>
      </c>
    </row>
    <row r="2603" spans="1:1">
      <c r="A2603" t="str">
        <f t="shared" si="42"/>
        <v/>
      </c>
    </row>
    <row r="2604" spans="1:1">
      <c r="A2604" t="str">
        <f t="shared" si="42"/>
        <v/>
      </c>
    </row>
    <row r="2605" spans="1:1">
      <c r="A2605" t="str">
        <f t="shared" si="42"/>
        <v/>
      </c>
    </row>
    <row r="2606" spans="1:1">
      <c r="A2606" t="str">
        <f t="shared" si="42"/>
        <v/>
      </c>
    </row>
    <row r="2607" spans="1:1">
      <c r="A2607" t="str">
        <f t="shared" si="42"/>
        <v/>
      </c>
    </row>
    <row r="2608" spans="1:1">
      <c r="A2608" t="str">
        <f t="shared" si="42"/>
        <v/>
      </c>
    </row>
    <row r="2609" spans="1:1">
      <c r="A2609" t="str">
        <f t="shared" si="42"/>
        <v/>
      </c>
    </row>
    <row r="2610" spans="1:1">
      <c r="A2610" t="str">
        <f t="shared" si="42"/>
        <v/>
      </c>
    </row>
    <row r="2611" spans="1:1">
      <c r="A2611" t="str">
        <f t="shared" si="42"/>
        <v/>
      </c>
    </row>
    <row r="2612" spans="1:1">
      <c r="A2612" t="str">
        <f t="shared" si="42"/>
        <v/>
      </c>
    </row>
    <row r="2613" spans="1:1">
      <c r="A2613" t="str">
        <f t="shared" si="42"/>
        <v/>
      </c>
    </row>
    <row r="2614" spans="1:1">
      <c r="A2614" t="str">
        <f t="shared" si="42"/>
        <v/>
      </c>
    </row>
    <row r="2615" spans="1:1">
      <c r="A2615" t="str">
        <f t="shared" si="42"/>
        <v/>
      </c>
    </row>
    <row r="2616" spans="1:1">
      <c r="A2616" t="str">
        <f t="shared" si="42"/>
        <v/>
      </c>
    </row>
    <row r="2617" spans="1:1">
      <c r="A2617" t="str">
        <f t="shared" si="42"/>
        <v/>
      </c>
    </row>
    <row r="2618" spans="1:1">
      <c r="A2618" t="str">
        <f t="shared" si="42"/>
        <v/>
      </c>
    </row>
    <row r="2619" spans="1:1">
      <c r="A2619" t="str">
        <f t="shared" si="42"/>
        <v/>
      </c>
    </row>
    <row r="2620" spans="1:1">
      <c r="A2620" t="str">
        <f t="shared" si="42"/>
        <v/>
      </c>
    </row>
    <row r="2621" spans="1:1">
      <c r="A2621" t="str">
        <f t="shared" si="42"/>
        <v/>
      </c>
    </row>
    <row r="2622" spans="1:1">
      <c r="A2622" t="str">
        <f t="shared" si="42"/>
        <v/>
      </c>
    </row>
    <row r="2623" spans="1:1">
      <c r="A2623" t="str">
        <f t="shared" si="42"/>
        <v/>
      </c>
    </row>
    <row r="2624" spans="1:1">
      <c r="A2624" t="str">
        <f t="shared" si="42"/>
        <v/>
      </c>
    </row>
    <row r="2625" spans="1:1">
      <c r="A2625" t="str">
        <f t="shared" si="42"/>
        <v/>
      </c>
    </row>
    <row r="2626" spans="1:1">
      <c r="A2626" t="str">
        <f t="shared" si="42"/>
        <v/>
      </c>
    </row>
    <row r="2627" spans="1:1">
      <c r="A2627" t="str">
        <f t="shared" si="42"/>
        <v/>
      </c>
    </row>
    <row r="2628" spans="1:1">
      <c r="A2628" t="str">
        <f t="shared" si="42"/>
        <v/>
      </c>
    </row>
    <row r="2629" spans="1:1">
      <c r="A2629" t="str">
        <f t="shared" si="42"/>
        <v/>
      </c>
    </row>
    <row r="2630" spans="1:1">
      <c r="A2630" t="str">
        <f t="shared" si="42"/>
        <v/>
      </c>
    </row>
    <row r="2631" spans="1:1">
      <c r="A2631" t="str">
        <f t="shared" ref="A2631:A2694" si="43">G2631&amp;H2631&amp;I2631&amp;F2631</f>
        <v/>
      </c>
    </row>
    <row r="2632" spans="1:1">
      <c r="A2632" t="str">
        <f t="shared" si="43"/>
        <v/>
      </c>
    </row>
    <row r="2633" spans="1:1">
      <c r="A2633" t="str">
        <f t="shared" si="43"/>
        <v/>
      </c>
    </row>
    <row r="2634" spans="1:1">
      <c r="A2634" t="str">
        <f t="shared" si="43"/>
        <v/>
      </c>
    </row>
    <row r="2635" spans="1:1">
      <c r="A2635" t="str">
        <f t="shared" si="43"/>
        <v/>
      </c>
    </row>
    <row r="2636" spans="1:1">
      <c r="A2636" t="str">
        <f t="shared" si="43"/>
        <v/>
      </c>
    </row>
    <row r="2637" spans="1:1">
      <c r="A2637" t="str">
        <f t="shared" si="43"/>
        <v/>
      </c>
    </row>
    <row r="2638" spans="1:1">
      <c r="A2638" t="str">
        <f t="shared" si="43"/>
        <v/>
      </c>
    </row>
    <row r="2639" spans="1:1">
      <c r="A2639" t="str">
        <f t="shared" si="43"/>
        <v/>
      </c>
    </row>
    <row r="2640" spans="1:1">
      <c r="A2640" t="str">
        <f t="shared" si="43"/>
        <v/>
      </c>
    </row>
    <row r="2641" spans="1:1">
      <c r="A2641" t="str">
        <f t="shared" si="43"/>
        <v/>
      </c>
    </row>
    <row r="2642" spans="1:1">
      <c r="A2642" t="str">
        <f t="shared" si="43"/>
        <v/>
      </c>
    </row>
    <row r="2643" spans="1:1">
      <c r="A2643" t="str">
        <f t="shared" si="43"/>
        <v/>
      </c>
    </row>
    <row r="2644" spans="1:1">
      <c r="A2644" t="str">
        <f t="shared" si="43"/>
        <v/>
      </c>
    </row>
    <row r="2645" spans="1:1">
      <c r="A2645" t="str">
        <f t="shared" si="43"/>
        <v/>
      </c>
    </row>
    <row r="2646" spans="1:1">
      <c r="A2646" t="str">
        <f t="shared" si="43"/>
        <v/>
      </c>
    </row>
    <row r="2647" spans="1:1">
      <c r="A2647" t="str">
        <f t="shared" si="43"/>
        <v/>
      </c>
    </row>
    <row r="2648" spans="1:1">
      <c r="A2648" t="str">
        <f t="shared" si="43"/>
        <v/>
      </c>
    </row>
    <row r="2649" spans="1:1">
      <c r="A2649" t="str">
        <f t="shared" si="43"/>
        <v/>
      </c>
    </row>
    <row r="2650" spans="1:1">
      <c r="A2650" t="str">
        <f t="shared" si="43"/>
        <v/>
      </c>
    </row>
    <row r="2651" spans="1:1">
      <c r="A2651" t="str">
        <f t="shared" si="43"/>
        <v/>
      </c>
    </row>
    <row r="2652" spans="1:1">
      <c r="A2652" t="str">
        <f t="shared" si="43"/>
        <v/>
      </c>
    </row>
    <row r="2653" spans="1:1">
      <c r="A2653" t="str">
        <f t="shared" si="43"/>
        <v/>
      </c>
    </row>
    <row r="2654" spans="1:1">
      <c r="A2654" t="str">
        <f t="shared" si="43"/>
        <v/>
      </c>
    </row>
    <row r="2655" spans="1:1">
      <c r="A2655" t="str">
        <f t="shared" si="43"/>
        <v/>
      </c>
    </row>
    <row r="2656" spans="1:1">
      <c r="A2656" t="str">
        <f t="shared" si="43"/>
        <v/>
      </c>
    </row>
    <row r="2657" spans="1:1">
      <c r="A2657" t="str">
        <f t="shared" si="43"/>
        <v/>
      </c>
    </row>
    <row r="2658" spans="1:1">
      <c r="A2658" t="str">
        <f t="shared" si="43"/>
        <v/>
      </c>
    </row>
    <row r="2659" spans="1:1">
      <c r="A2659" t="str">
        <f t="shared" si="43"/>
        <v/>
      </c>
    </row>
    <row r="2660" spans="1:1">
      <c r="A2660" t="str">
        <f t="shared" si="43"/>
        <v/>
      </c>
    </row>
    <row r="2661" spans="1:1">
      <c r="A2661" t="str">
        <f t="shared" si="43"/>
        <v/>
      </c>
    </row>
    <row r="2662" spans="1:1">
      <c r="A2662" t="str">
        <f t="shared" si="43"/>
        <v/>
      </c>
    </row>
    <row r="2663" spans="1:1">
      <c r="A2663" t="str">
        <f t="shared" si="43"/>
        <v/>
      </c>
    </row>
    <row r="2664" spans="1:1">
      <c r="A2664" t="str">
        <f t="shared" si="43"/>
        <v/>
      </c>
    </row>
    <row r="2665" spans="1:1">
      <c r="A2665" t="str">
        <f t="shared" si="43"/>
        <v/>
      </c>
    </row>
    <row r="2666" spans="1:1">
      <c r="A2666" t="str">
        <f t="shared" si="43"/>
        <v/>
      </c>
    </row>
    <row r="2667" spans="1:1">
      <c r="A2667" t="str">
        <f t="shared" si="43"/>
        <v/>
      </c>
    </row>
    <row r="2668" spans="1:1">
      <c r="A2668" t="str">
        <f t="shared" si="43"/>
        <v/>
      </c>
    </row>
    <row r="2669" spans="1:1">
      <c r="A2669" t="str">
        <f t="shared" si="43"/>
        <v/>
      </c>
    </row>
    <row r="2670" spans="1:1">
      <c r="A2670" t="str">
        <f t="shared" si="43"/>
        <v/>
      </c>
    </row>
    <row r="2671" spans="1:1">
      <c r="A2671" t="str">
        <f t="shared" si="43"/>
        <v/>
      </c>
    </row>
    <row r="2672" spans="1:1">
      <c r="A2672" t="str">
        <f t="shared" si="43"/>
        <v/>
      </c>
    </row>
    <row r="2673" spans="1:1">
      <c r="A2673" t="str">
        <f t="shared" si="43"/>
        <v/>
      </c>
    </row>
    <row r="2674" spans="1:1">
      <c r="A2674" t="str">
        <f t="shared" si="43"/>
        <v/>
      </c>
    </row>
    <row r="2675" spans="1:1">
      <c r="A2675" t="str">
        <f t="shared" si="43"/>
        <v/>
      </c>
    </row>
    <row r="2676" spans="1:1">
      <c r="A2676" t="str">
        <f t="shared" si="43"/>
        <v/>
      </c>
    </row>
    <row r="2677" spans="1:1">
      <c r="A2677" t="str">
        <f t="shared" si="43"/>
        <v/>
      </c>
    </row>
    <row r="2678" spans="1:1">
      <c r="A2678" t="str">
        <f t="shared" si="43"/>
        <v/>
      </c>
    </row>
    <row r="2679" spans="1:1">
      <c r="A2679" t="str">
        <f t="shared" si="43"/>
        <v/>
      </c>
    </row>
    <row r="2680" spans="1:1">
      <c r="A2680" t="str">
        <f t="shared" si="43"/>
        <v/>
      </c>
    </row>
    <row r="2681" spans="1:1">
      <c r="A2681" t="str">
        <f t="shared" si="43"/>
        <v/>
      </c>
    </row>
    <row r="2682" spans="1:1">
      <c r="A2682" t="str">
        <f t="shared" si="43"/>
        <v/>
      </c>
    </row>
    <row r="2683" spans="1:1">
      <c r="A2683" t="str">
        <f t="shared" si="43"/>
        <v/>
      </c>
    </row>
    <row r="2684" spans="1:1">
      <c r="A2684" t="str">
        <f t="shared" si="43"/>
        <v/>
      </c>
    </row>
    <row r="2685" spans="1:1">
      <c r="A2685" t="str">
        <f t="shared" si="43"/>
        <v/>
      </c>
    </row>
    <row r="2686" spans="1:1">
      <c r="A2686" t="str">
        <f t="shared" si="43"/>
        <v/>
      </c>
    </row>
    <row r="2687" spans="1:1">
      <c r="A2687" t="str">
        <f t="shared" si="43"/>
        <v/>
      </c>
    </row>
    <row r="2688" spans="1:1">
      <c r="A2688" t="str">
        <f t="shared" si="43"/>
        <v/>
      </c>
    </row>
    <row r="2689" spans="1:1">
      <c r="A2689" t="str">
        <f t="shared" si="43"/>
        <v/>
      </c>
    </row>
    <row r="2690" spans="1:1">
      <c r="A2690" t="str">
        <f t="shared" si="43"/>
        <v/>
      </c>
    </row>
    <row r="2691" spans="1:1">
      <c r="A2691" t="str">
        <f t="shared" si="43"/>
        <v/>
      </c>
    </row>
    <row r="2692" spans="1:1">
      <c r="A2692" t="str">
        <f t="shared" si="43"/>
        <v/>
      </c>
    </row>
    <row r="2693" spans="1:1">
      <c r="A2693" t="str">
        <f t="shared" si="43"/>
        <v/>
      </c>
    </row>
    <row r="2694" spans="1:1">
      <c r="A2694" t="str">
        <f t="shared" si="43"/>
        <v/>
      </c>
    </row>
    <row r="2695" spans="1:1">
      <c r="A2695" t="str">
        <f t="shared" ref="A2695:A2758" si="44">G2695&amp;H2695&amp;I2695&amp;F2695</f>
        <v/>
      </c>
    </row>
    <row r="2696" spans="1:1">
      <c r="A2696" t="str">
        <f t="shared" si="44"/>
        <v/>
      </c>
    </row>
    <row r="2697" spans="1:1">
      <c r="A2697" t="str">
        <f t="shared" si="44"/>
        <v/>
      </c>
    </row>
    <row r="2698" spans="1:1">
      <c r="A2698" t="str">
        <f t="shared" si="44"/>
        <v/>
      </c>
    </row>
    <row r="2699" spans="1:1">
      <c r="A2699" t="str">
        <f t="shared" si="44"/>
        <v/>
      </c>
    </row>
    <row r="2700" spans="1:1">
      <c r="A2700" t="str">
        <f t="shared" si="44"/>
        <v/>
      </c>
    </row>
    <row r="2701" spans="1:1">
      <c r="A2701" t="str">
        <f t="shared" si="44"/>
        <v/>
      </c>
    </row>
    <row r="2702" spans="1:1">
      <c r="A2702" t="str">
        <f t="shared" si="44"/>
        <v/>
      </c>
    </row>
    <row r="2703" spans="1:1">
      <c r="A2703" t="str">
        <f t="shared" si="44"/>
        <v/>
      </c>
    </row>
    <row r="2704" spans="1:1">
      <c r="A2704" t="str">
        <f t="shared" si="44"/>
        <v/>
      </c>
    </row>
    <row r="2705" spans="1:1">
      <c r="A2705" t="str">
        <f t="shared" si="44"/>
        <v/>
      </c>
    </row>
    <row r="2706" spans="1:1">
      <c r="A2706" t="str">
        <f t="shared" si="44"/>
        <v/>
      </c>
    </row>
    <row r="2707" spans="1:1">
      <c r="A2707" t="str">
        <f t="shared" si="44"/>
        <v/>
      </c>
    </row>
    <row r="2708" spans="1:1">
      <c r="A2708" t="str">
        <f t="shared" si="44"/>
        <v/>
      </c>
    </row>
    <row r="2709" spans="1:1">
      <c r="A2709" t="str">
        <f t="shared" si="44"/>
        <v/>
      </c>
    </row>
    <row r="2710" spans="1:1">
      <c r="A2710" t="str">
        <f t="shared" si="44"/>
        <v/>
      </c>
    </row>
    <row r="2711" spans="1:1">
      <c r="A2711" t="str">
        <f t="shared" si="44"/>
        <v/>
      </c>
    </row>
    <row r="2712" spans="1:1">
      <c r="A2712" t="str">
        <f t="shared" si="44"/>
        <v/>
      </c>
    </row>
    <row r="2713" spans="1:1">
      <c r="A2713" t="str">
        <f t="shared" si="44"/>
        <v/>
      </c>
    </row>
    <row r="2714" spans="1:1">
      <c r="A2714" t="str">
        <f t="shared" si="44"/>
        <v/>
      </c>
    </row>
    <row r="2715" spans="1:1">
      <c r="A2715" t="str">
        <f t="shared" si="44"/>
        <v/>
      </c>
    </row>
    <row r="2716" spans="1:1">
      <c r="A2716" t="str">
        <f t="shared" si="44"/>
        <v/>
      </c>
    </row>
    <row r="2717" spans="1:1">
      <c r="A2717" t="str">
        <f t="shared" si="44"/>
        <v/>
      </c>
    </row>
    <row r="2718" spans="1:1">
      <c r="A2718" t="str">
        <f t="shared" si="44"/>
        <v/>
      </c>
    </row>
    <row r="2719" spans="1:1">
      <c r="A2719" t="str">
        <f t="shared" si="44"/>
        <v/>
      </c>
    </row>
    <row r="2720" spans="1:1">
      <c r="A2720" t="str">
        <f t="shared" si="44"/>
        <v/>
      </c>
    </row>
    <row r="2721" spans="1:1">
      <c r="A2721" t="str">
        <f t="shared" si="44"/>
        <v/>
      </c>
    </row>
    <row r="2722" spans="1:1">
      <c r="A2722" t="str">
        <f t="shared" si="44"/>
        <v/>
      </c>
    </row>
    <row r="2723" spans="1:1">
      <c r="A2723" t="str">
        <f t="shared" si="44"/>
        <v/>
      </c>
    </row>
    <row r="2724" spans="1:1">
      <c r="A2724" t="str">
        <f t="shared" si="44"/>
        <v/>
      </c>
    </row>
    <row r="2725" spans="1:1">
      <c r="A2725" t="str">
        <f t="shared" si="44"/>
        <v/>
      </c>
    </row>
    <row r="2726" spans="1:1">
      <c r="A2726" t="str">
        <f t="shared" si="44"/>
        <v/>
      </c>
    </row>
    <row r="2727" spans="1:1">
      <c r="A2727" t="str">
        <f t="shared" si="44"/>
        <v/>
      </c>
    </row>
    <row r="2728" spans="1:1">
      <c r="A2728" t="str">
        <f t="shared" si="44"/>
        <v/>
      </c>
    </row>
    <row r="2729" spans="1:1">
      <c r="A2729" t="str">
        <f t="shared" si="44"/>
        <v/>
      </c>
    </row>
    <row r="2730" spans="1:1">
      <c r="A2730" t="str">
        <f t="shared" si="44"/>
        <v/>
      </c>
    </row>
    <row r="2731" spans="1:1">
      <c r="A2731" t="str">
        <f t="shared" si="44"/>
        <v/>
      </c>
    </row>
    <row r="2732" spans="1:1">
      <c r="A2732" t="str">
        <f t="shared" si="44"/>
        <v/>
      </c>
    </row>
    <row r="2733" spans="1:1">
      <c r="A2733" t="str">
        <f t="shared" si="44"/>
        <v/>
      </c>
    </row>
    <row r="2734" spans="1:1">
      <c r="A2734" t="str">
        <f t="shared" si="44"/>
        <v/>
      </c>
    </row>
    <row r="2735" spans="1:1">
      <c r="A2735" t="str">
        <f t="shared" si="44"/>
        <v/>
      </c>
    </row>
    <row r="2736" spans="1:1">
      <c r="A2736" t="str">
        <f t="shared" si="44"/>
        <v/>
      </c>
    </row>
    <row r="2737" spans="1:1">
      <c r="A2737" t="str">
        <f t="shared" si="44"/>
        <v/>
      </c>
    </row>
    <row r="2738" spans="1:1">
      <c r="A2738" t="str">
        <f t="shared" si="44"/>
        <v/>
      </c>
    </row>
    <row r="2739" spans="1:1">
      <c r="A2739" t="str">
        <f t="shared" si="44"/>
        <v/>
      </c>
    </row>
    <row r="2740" spans="1:1">
      <c r="A2740" t="str">
        <f t="shared" si="44"/>
        <v/>
      </c>
    </row>
    <row r="2741" spans="1:1">
      <c r="A2741" t="str">
        <f t="shared" si="44"/>
        <v/>
      </c>
    </row>
    <row r="2742" spans="1:1">
      <c r="A2742" t="str">
        <f t="shared" si="44"/>
        <v/>
      </c>
    </row>
    <row r="2743" spans="1:1">
      <c r="A2743" t="str">
        <f t="shared" si="44"/>
        <v/>
      </c>
    </row>
    <row r="2744" spans="1:1">
      <c r="A2744" t="str">
        <f t="shared" si="44"/>
        <v/>
      </c>
    </row>
    <row r="2745" spans="1:1">
      <c r="A2745" t="str">
        <f t="shared" si="44"/>
        <v/>
      </c>
    </row>
    <row r="2746" spans="1:1">
      <c r="A2746" t="str">
        <f t="shared" si="44"/>
        <v/>
      </c>
    </row>
    <row r="2747" spans="1:1">
      <c r="A2747" t="str">
        <f t="shared" si="44"/>
        <v/>
      </c>
    </row>
    <row r="2748" spans="1:1">
      <c r="A2748" t="str">
        <f t="shared" si="44"/>
        <v/>
      </c>
    </row>
    <row r="2749" spans="1:1">
      <c r="A2749" t="str">
        <f t="shared" si="44"/>
        <v/>
      </c>
    </row>
    <row r="2750" spans="1:1">
      <c r="A2750" t="str">
        <f t="shared" si="44"/>
        <v/>
      </c>
    </row>
    <row r="2751" spans="1:1">
      <c r="A2751" t="str">
        <f t="shared" si="44"/>
        <v/>
      </c>
    </row>
    <row r="2752" spans="1:1">
      <c r="A2752" t="str">
        <f t="shared" si="44"/>
        <v/>
      </c>
    </row>
    <row r="2753" spans="1:1">
      <c r="A2753" t="str">
        <f t="shared" si="44"/>
        <v/>
      </c>
    </row>
    <row r="2754" spans="1:1">
      <c r="A2754" t="str">
        <f t="shared" si="44"/>
        <v/>
      </c>
    </row>
    <row r="2755" spans="1:1">
      <c r="A2755" t="str">
        <f t="shared" si="44"/>
        <v/>
      </c>
    </row>
    <row r="2756" spans="1:1">
      <c r="A2756" t="str">
        <f t="shared" si="44"/>
        <v/>
      </c>
    </row>
    <row r="2757" spans="1:1">
      <c r="A2757" t="str">
        <f t="shared" si="44"/>
        <v/>
      </c>
    </row>
    <row r="2758" spans="1:1">
      <c r="A2758" t="str">
        <f t="shared" si="44"/>
        <v/>
      </c>
    </row>
    <row r="2759" spans="1:1">
      <c r="A2759" t="str">
        <f t="shared" ref="A2759:A2822" si="45">G2759&amp;H2759&amp;I2759&amp;F2759</f>
        <v/>
      </c>
    </row>
    <row r="2760" spans="1:1">
      <c r="A2760" t="str">
        <f t="shared" si="45"/>
        <v/>
      </c>
    </row>
    <row r="2761" spans="1:1">
      <c r="A2761" t="str">
        <f t="shared" si="45"/>
        <v/>
      </c>
    </row>
    <row r="2762" spans="1:1">
      <c r="A2762" t="str">
        <f t="shared" si="45"/>
        <v/>
      </c>
    </row>
    <row r="2763" spans="1:1">
      <c r="A2763" t="str">
        <f t="shared" si="45"/>
        <v/>
      </c>
    </row>
    <row r="2764" spans="1:1">
      <c r="A2764" t="str">
        <f t="shared" si="45"/>
        <v/>
      </c>
    </row>
    <row r="2765" spans="1:1">
      <c r="A2765" t="str">
        <f t="shared" si="45"/>
        <v/>
      </c>
    </row>
    <row r="2766" spans="1:1">
      <c r="A2766" t="str">
        <f t="shared" si="45"/>
        <v/>
      </c>
    </row>
    <row r="2767" spans="1:1">
      <c r="A2767" t="str">
        <f t="shared" si="45"/>
        <v/>
      </c>
    </row>
    <row r="2768" spans="1:1">
      <c r="A2768" t="str">
        <f t="shared" si="45"/>
        <v/>
      </c>
    </row>
    <row r="2769" spans="1:1">
      <c r="A2769" t="str">
        <f t="shared" si="45"/>
        <v/>
      </c>
    </row>
    <row r="2770" spans="1:1">
      <c r="A2770" t="str">
        <f t="shared" si="45"/>
        <v/>
      </c>
    </row>
    <row r="2771" spans="1:1">
      <c r="A2771" t="str">
        <f t="shared" si="45"/>
        <v/>
      </c>
    </row>
    <row r="2772" spans="1:1">
      <c r="A2772" t="str">
        <f t="shared" si="45"/>
        <v/>
      </c>
    </row>
    <row r="2773" spans="1:1">
      <c r="A2773" t="str">
        <f t="shared" si="45"/>
        <v/>
      </c>
    </row>
    <row r="2774" spans="1:1">
      <c r="A2774" t="str">
        <f t="shared" si="45"/>
        <v/>
      </c>
    </row>
    <row r="2775" spans="1:1">
      <c r="A2775" t="str">
        <f t="shared" si="45"/>
        <v/>
      </c>
    </row>
    <row r="2776" spans="1:1">
      <c r="A2776" t="str">
        <f t="shared" si="45"/>
        <v/>
      </c>
    </row>
    <row r="2777" spans="1:1">
      <c r="A2777" t="str">
        <f t="shared" si="45"/>
        <v/>
      </c>
    </row>
    <row r="2778" spans="1:1">
      <c r="A2778" t="str">
        <f t="shared" si="45"/>
        <v/>
      </c>
    </row>
    <row r="2779" spans="1:1">
      <c r="A2779" t="str">
        <f t="shared" si="45"/>
        <v/>
      </c>
    </row>
    <row r="2780" spans="1:1">
      <c r="A2780" t="str">
        <f t="shared" si="45"/>
        <v/>
      </c>
    </row>
    <row r="2781" spans="1:1">
      <c r="A2781" t="str">
        <f t="shared" si="45"/>
        <v/>
      </c>
    </row>
    <row r="2782" spans="1:1">
      <c r="A2782" t="str">
        <f t="shared" si="45"/>
        <v/>
      </c>
    </row>
    <row r="2783" spans="1:1">
      <c r="A2783" t="str">
        <f t="shared" si="45"/>
        <v/>
      </c>
    </row>
    <row r="2784" spans="1:1">
      <c r="A2784" t="str">
        <f t="shared" si="45"/>
        <v/>
      </c>
    </row>
    <row r="2785" spans="1:1">
      <c r="A2785" t="str">
        <f t="shared" si="45"/>
        <v/>
      </c>
    </row>
    <row r="2786" spans="1:1">
      <c r="A2786" t="str">
        <f t="shared" si="45"/>
        <v/>
      </c>
    </row>
    <row r="2787" spans="1:1">
      <c r="A2787" t="str">
        <f t="shared" si="45"/>
        <v/>
      </c>
    </row>
    <row r="2788" spans="1:1">
      <c r="A2788" t="str">
        <f t="shared" si="45"/>
        <v/>
      </c>
    </row>
    <row r="2789" spans="1:1">
      <c r="A2789" t="str">
        <f t="shared" si="45"/>
        <v/>
      </c>
    </row>
    <row r="2790" spans="1:1">
      <c r="A2790" t="str">
        <f t="shared" si="45"/>
        <v/>
      </c>
    </row>
    <row r="2791" spans="1:1">
      <c r="A2791" t="str">
        <f t="shared" si="45"/>
        <v/>
      </c>
    </row>
    <row r="2792" spans="1:1">
      <c r="A2792" t="str">
        <f t="shared" si="45"/>
        <v/>
      </c>
    </row>
    <row r="2793" spans="1:1">
      <c r="A2793" t="str">
        <f t="shared" si="45"/>
        <v/>
      </c>
    </row>
    <row r="2794" spans="1:1">
      <c r="A2794" t="str">
        <f t="shared" si="45"/>
        <v/>
      </c>
    </row>
    <row r="2795" spans="1:1">
      <c r="A2795" t="str">
        <f t="shared" si="45"/>
        <v/>
      </c>
    </row>
    <row r="2796" spans="1:1">
      <c r="A2796" t="str">
        <f t="shared" si="45"/>
        <v/>
      </c>
    </row>
    <row r="2797" spans="1:1">
      <c r="A2797" t="str">
        <f t="shared" si="45"/>
        <v/>
      </c>
    </row>
    <row r="2798" spans="1:1">
      <c r="A2798" t="str">
        <f t="shared" si="45"/>
        <v/>
      </c>
    </row>
    <row r="2799" spans="1:1">
      <c r="A2799" t="str">
        <f t="shared" si="45"/>
        <v/>
      </c>
    </row>
    <row r="2800" spans="1:1">
      <c r="A2800" t="str">
        <f t="shared" si="45"/>
        <v/>
      </c>
    </row>
    <row r="2801" spans="1:1">
      <c r="A2801" t="str">
        <f t="shared" si="45"/>
        <v/>
      </c>
    </row>
    <row r="2802" spans="1:1">
      <c r="A2802" t="str">
        <f t="shared" si="45"/>
        <v/>
      </c>
    </row>
    <row r="2803" spans="1:1">
      <c r="A2803" t="str">
        <f t="shared" si="45"/>
        <v/>
      </c>
    </row>
    <row r="2804" spans="1:1">
      <c r="A2804" t="str">
        <f t="shared" si="45"/>
        <v/>
      </c>
    </row>
    <row r="2805" spans="1:1">
      <c r="A2805" t="str">
        <f t="shared" si="45"/>
        <v/>
      </c>
    </row>
    <row r="2806" spans="1:1">
      <c r="A2806" t="str">
        <f t="shared" si="45"/>
        <v/>
      </c>
    </row>
    <row r="2807" spans="1:1">
      <c r="A2807" t="str">
        <f t="shared" si="45"/>
        <v/>
      </c>
    </row>
    <row r="2808" spans="1:1">
      <c r="A2808" t="str">
        <f t="shared" si="45"/>
        <v/>
      </c>
    </row>
    <row r="2809" spans="1:1">
      <c r="A2809" t="str">
        <f t="shared" si="45"/>
        <v/>
      </c>
    </row>
    <row r="2810" spans="1:1">
      <c r="A2810" t="str">
        <f t="shared" si="45"/>
        <v/>
      </c>
    </row>
    <row r="2811" spans="1:1">
      <c r="A2811" t="str">
        <f t="shared" si="45"/>
        <v/>
      </c>
    </row>
    <row r="2812" spans="1:1">
      <c r="A2812" t="str">
        <f t="shared" si="45"/>
        <v/>
      </c>
    </row>
    <row r="2813" spans="1:1">
      <c r="A2813" t="str">
        <f t="shared" si="45"/>
        <v/>
      </c>
    </row>
    <row r="2814" spans="1:1">
      <c r="A2814" t="str">
        <f t="shared" si="45"/>
        <v/>
      </c>
    </row>
    <row r="2815" spans="1:1">
      <c r="A2815" t="str">
        <f t="shared" si="45"/>
        <v/>
      </c>
    </row>
    <row r="2816" spans="1:1">
      <c r="A2816" t="str">
        <f t="shared" si="45"/>
        <v/>
      </c>
    </row>
    <row r="2817" spans="1:1">
      <c r="A2817" t="str">
        <f t="shared" si="45"/>
        <v/>
      </c>
    </row>
    <row r="2818" spans="1:1">
      <c r="A2818" t="str">
        <f t="shared" si="45"/>
        <v/>
      </c>
    </row>
    <row r="2819" spans="1:1">
      <c r="A2819" t="str">
        <f t="shared" si="45"/>
        <v/>
      </c>
    </row>
    <row r="2820" spans="1:1">
      <c r="A2820" t="str">
        <f t="shared" si="45"/>
        <v/>
      </c>
    </row>
    <row r="2821" spans="1:1">
      <c r="A2821" t="str">
        <f t="shared" si="45"/>
        <v/>
      </c>
    </row>
    <row r="2822" spans="1:1">
      <c r="A2822" t="str">
        <f t="shared" si="45"/>
        <v/>
      </c>
    </row>
    <row r="2823" spans="1:1">
      <c r="A2823" t="str">
        <f t="shared" ref="A2823:A2886" si="46">G2823&amp;H2823&amp;I2823&amp;F2823</f>
        <v/>
      </c>
    </row>
    <row r="2824" spans="1:1">
      <c r="A2824" t="str">
        <f t="shared" si="46"/>
        <v/>
      </c>
    </row>
    <row r="2825" spans="1:1">
      <c r="A2825" t="str">
        <f t="shared" si="46"/>
        <v/>
      </c>
    </row>
    <row r="2826" spans="1:1">
      <c r="A2826" t="str">
        <f t="shared" si="46"/>
        <v/>
      </c>
    </row>
    <row r="2827" spans="1:1">
      <c r="A2827" t="str">
        <f t="shared" si="46"/>
        <v/>
      </c>
    </row>
    <row r="2828" spans="1:1">
      <c r="A2828" t="str">
        <f t="shared" si="46"/>
        <v/>
      </c>
    </row>
    <row r="2829" spans="1:1">
      <c r="A2829" t="str">
        <f t="shared" si="46"/>
        <v/>
      </c>
    </row>
    <row r="2830" spans="1:1">
      <c r="A2830" t="str">
        <f t="shared" si="46"/>
        <v/>
      </c>
    </row>
    <row r="2831" spans="1:1">
      <c r="A2831" t="str">
        <f t="shared" si="46"/>
        <v/>
      </c>
    </row>
    <row r="2832" spans="1:1">
      <c r="A2832" t="str">
        <f t="shared" si="46"/>
        <v/>
      </c>
    </row>
    <row r="2833" spans="1:1">
      <c r="A2833" t="str">
        <f t="shared" si="46"/>
        <v/>
      </c>
    </row>
    <row r="2834" spans="1:1">
      <c r="A2834" t="str">
        <f t="shared" si="46"/>
        <v/>
      </c>
    </row>
    <row r="2835" spans="1:1">
      <c r="A2835" t="str">
        <f t="shared" si="46"/>
        <v/>
      </c>
    </row>
    <row r="2836" spans="1:1">
      <c r="A2836" t="str">
        <f t="shared" si="46"/>
        <v/>
      </c>
    </row>
    <row r="2837" spans="1:1">
      <c r="A2837" t="str">
        <f t="shared" si="46"/>
        <v/>
      </c>
    </row>
    <row r="2838" spans="1:1">
      <c r="A2838" t="str">
        <f t="shared" si="46"/>
        <v/>
      </c>
    </row>
    <row r="2839" spans="1:1">
      <c r="A2839" t="str">
        <f t="shared" si="46"/>
        <v/>
      </c>
    </row>
    <row r="2840" spans="1:1">
      <c r="A2840" t="str">
        <f t="shared" si="46"/>
        <v/>
      </c>
    </row>
    <row r="2841" spans="1:1">
      <c r="A2841" t="str">
        <f t="shared" si="46"/>
        <v/>
      </c>
    </row>
    <row r="2842" spans="1:1">
      <c r="A2842" t="str">
        <f t="shared" si="46"/>
        <v/>
      </c>
    </row>
    <row r="2843" spans="1:1">
      <c r="A2843" t="str">
        <f t="shared" si="46"/>
        <v/>
      </c>
    </row>
    <row r="2844" spans="1:1">
      <c r="A2844" t="str">
        <f t="shared" si="46"/>
        <v/>
      </c>
    </row>
    <row r="2845" spans="1:1">
      <c r="A2845" t="str">
        <f t="shared" si="46"/>
        <v/>
      </c>
    </row>
    <row r="2846" spans="1:1">
      <c r="A2846" t="str">
        <f t="shared" si="46"/>
        <v/>
      </c>
    </row>
    <row r="2847" spans="1:1">
      <c r="A2847" t="str">
        <f t="shared" si="46"/>
        <v/>
      </c>
    </row>
    <row r="2848" spans="1:1">
      <c r="A2848" t="str">
        <f t="shared" si="46"/>
        <v/>
      </c>
    </row>
    <row r="2849" spans="1:1">
      <c r="A2849" t="str">
        <f t="shared" si="46"/>
        <v/>
      </c>
    </row>
    <row r="2850" spans="1:1">
      <c r="A2850" t="str">
        <f t="shared" si="46"/>
        <v/>
      </c>
    </row>
    <row r="2851" spans="1:1">
      <c r="A2851" t="str">
        <f t="shared" si="46"/>
        <v/>
      </c>
    </row>
    <row r="2852" spans="1:1">
      <c r="A2852" t="str">
        <f t="shared" si="46"/>
        <v/>
      </c>
    </row>
    <row r="2853" spans="1:1">
      <c r="A2853" t="str">
        <f t="shared" si="46"/>
        <v/>
      </c>
    </row>
    <row r="2854" spans="1:1">
      <c r="A2854" t="str">
        <f t="shared" si="46"/>
        <v/>
      </c>
    </row>
    <row r="2855" spans="1:1">
      <c r="A2855" t="str">
        <f t="shared" si="46"/>
        <v/>
      </c>
    </row>
    <row r="2856" spans="1:1">
      <c r="A2856" t="str">
        <f t="shared" si="46"/>
        <v/>
      </c>
    </row>
    <row r="2857" spans="1:1">
      <c r="A2857" t="str">
        <f t="shared" si="46"/>
        <v/>
      </c>
    </row>
    <row r="2858" spans="1:1">
      <c r="A2858" t="str">
        <f t="shared" si="46"/>
        <v/>
      </c>
    </row>
    <row r="2859" spans="1:1">
      <c r="A2859" t="str">
        <f t="shared" si="46"/>
        <v/>
      </c>
    </row>
    <row r="2860" spans="1:1">
      <c r="A2860" t="str">
        <f t="shared" si="46"/>
        <v/>
      </c>
    </row>
    <row r="2861" spans="1:1">
      <c r="A2861" t="str">
        <f t="shared" si="46"/>
        <v/>
      </c>
    </row>
    <row r="2862" spans="1:1">
      <c r="A2862" t="str">
        <f t="shared" si="46"/>
        <v/>
      </c>
    </row>
    <row r="2863" spans="1:1">
      <c r="A2863" t="str">
        <f t="shared" si="46"/>
        <v/>
      </c>
    </row>
    <row r="2864" spans="1:1">
      <c r="A2864" t="str">
        <f t="shared" si="46"/>
        <v/>
      </c>
    </row>
    <row r="2865" spans="1:1">
      <c r="A2865" t="str">
        <f t="shared" si="46"/>
        <v/>
      </c>
    </row>
    <row r="2866" spans="1:1">
      <c r="A2866" t="str">
        <f t="shared" si="46"/>
        <v/>
      </c>
    </row>
    <row r="2867" spans="1:1">
      <c r="A2867" t="str">
        <f t="shared" si="46"/>
        <v/>
      </c>
    </row>
    <row r="2868" spans="1:1">
      <c r="A2868" t="str">
        <f t="shared" si="46"/>
        <v/>
      </c>
    </row>
    <row r="2869" spans="1:1">
      <c r="A2869" t="str">
        <f t="shared" si="46"/>
        <v/>
      </c>
    </row>
    <row r="2870" spans="1:1">
      <c r="A2870" t="str">
        <f t="shared" si="46"/>
        <v/>
      </c>
    </row>
    <row r="2871" spans="1:1">
      <c r="A2871" t="str">
        <f t="shared" si="46"/>
        <v/>
      </c>
    </row>
    <row r="2872" spans="1:1">
      <c r="A2872" t="str">
        <f t="shared" si="46"/>
        <v/>
      </c>
    </row>
    <row r="2873" spans="1:1">
      <c r="A2873" t="str">
        <f t="shared" si="46"/>
        <v/>
      </c>
    </row>
    <row r="2874" spans="1:1">
      <c r="A2874" t="str">
        <f t="shared" si="46"/>
        <v/>
      </c>
    </row>
    <row r="2875" spans="1:1">
      <c r="A2875" t="str">
        <f t="shared" si="46"/>
        <v/>
      </c>
    </row>
    <row r="2876" spans="1:1">
      <c r="A2876" t="str">
        <f t="shared" si="46"/>
        <v/>
      </c>
    </row>
    <row r="2877" spans="1:1">
      <c r="A2877" t="str">
        <f t="shared" si="46"/>
        <v/>
      </c>
    </row>
    <row r="2878" spans="1:1">
      <c r="A2878" t="str">
        <f t="shared" si="46"/>
        <v/>
      </c>
    </row>
    <row r="2879" spans="1:1">
      <c r="A2879" t="str">
        <f t="shared" si="46"/>
        <v/>
      </c>
    </row>
    <row r="2880" spans="1:1">
      <c r="A2880" t="str">
        <f t="shared" si="46"/>
        <v/>
      </c>
    </row>
    <row r="2881" spans="1:1">
      <c r="A2881" t="str">
        <f t="shared" si="46"/>
        <v/>
      </c>
    </row>
    <row r="2882" spans="1:1">
      <c r="A2882" t="str">
        <f t="shared" si="46"/>
        <v/>
      </c>
    </row>
    <row r="2883" spans="1:1">
      <c r="A2883" t="str">
        <f t="shared" si="46"/>
        <v/>
      </c>
    </row>
    <row r="2884" spans="1:1">
      <c r="A2884" t="str">
        <f t="shared" si="46"/>
        <v/>
      </c>
    </row>
    <row r="2885" spans="1:1">
      <c r="A2885" t="str">
        <f t="shared" si="46"/>
        <v/>
      </c>
    </row>
    <row r="2886" spans="1:1">
      <c r="A2886" t="str">
        <f t="shared" si="46"/>
        <v/>
      </c>
    </row>
    <row r="2887" spans="1:1">
      <c r="A2887" t="str">
        <f t="shared" ref="A2887:A2950" si="47">G2887&amp;H2887&amp;I2887&amp;F2887</f>
        <v/>
      </c>
    </row>
    <row r="2888" spans="1:1">
      <c r="A2888" t="str">
        <f t="shared" si="47"/>
        <v/>
      </c>
    </row>
    <row r="2889" spans="1:1">
      <c r="A2889" t="str">
        <f t="shared" si="47"/>
        <v/>
      </c>
    </row>
    <row r="2890" spans="1:1">
      <c r="A2890" t="str">
        <f t="shared" si="47"/>
        <v/>
      </c>
    </row>
    <row r="2891" spans="1:1">
      <c r="A2891" t="str">
        <f t="shared" si="47"/>
        <v/>
      </c>
    </row>
    <row r="2892" spans="1:1">
      <c r="A2892" t="str">
        <f t="shared" si="47"/>
        <v/>
      </c>
    </row>
    <row r="2893" spans="1:1">
      <c r="A2893" t="str">
        <f t="shared" si="47"/>
        <v/>
      </c>
    </row>
    <row r="2894" spans="1:1">
      <c r="A2894" t="str">
        <f t="shared" si="47"/>
        <v/>
      </c>
    </row>
    <row r="2895" spans="1:1">
      <c r="A2895" t="str">
        <f t="shared" si="47"/>
        <v/>
      </c>
    </row>
    <row r="2896" spans="1:1">
      <c r="A2896" t="str">
        <f t="shared" si="47"/>
        <v/>
      </c>
    </row>
    <row r="2897" spans="1:1">
      <c r="A2897" t="str">
        <f t="shared" si="47"/>
        <v/>
      </c>
    </row>
    <row r="2898" spans="1:1">
      <c r="A2898" t="str">
        <f t="shared" si="47"/>
        <v/>
      </c>
    </row>
    <row r="2899" spans="1:1">
      <c r="A2899" t="str">
        <f t="shared" si="47"/>
        <v/>
      </c>
    </row>
    <row r="2900" spans="1:1">
      <c r="A2900" t="str">
        <f t="shared" si="47"/>
        <v/>
      </c>
    </row>
    <row r="2901" spans="1:1">
      <c r="A2901" t="str">
        <f t="shared" si="47"/>
        <v/>
      </c>
    </row>
    <row r="2902" spans="1:1">
      <c r="A2902" t="str">
        <f t="shared" si="47"/>
        <v/>
      </c>
    </row>
    <row r="2903" spans="1:1">
      <c r="A2903" t="str">
        <f t="shared" si="47"/>
        <v/>
      </c>
    </row>
    <row r="2904" spans="1:1">
      <c r="A2904" t="str">
        <f t="shared" si="47"/>
        <v/>
      </c>
    </row>
    <row r="2905" spans="1:1">
      <c r="A2905" t="str">
        <f t="shared" si="47"/>
        <v/>
      </c>
    </row>
    <row r="2906" spans="1:1">
      <c r="A2906" t="str">
        <f t="shared" si="47"/>
        <v/>
      </c>
    </row>
    <row r="2907" spans="1:1">
      <c r="A2907" t="str">
        <f t="shared" si="47"/>
        <v/>
      </c>
    </row>
    <row r="2908" spans="1:1">
      <c r="A2908" t="str">
        <f t="shared" si="47"/>
        <v/>
      </c>
    </row>
    <row r="2909" spans="1:1">
      <c r="A2909" t="str">
        <f t="shared" si="47"/>
        <v/>
      </c>
    </row>
    <row r="2910" spans="1:1">
      <c r="A2910" t="str">
        <f t="shared" si="47"/>
        <v/>
      </c>
    </row>
    <row r="2911" spans="1:1">
      <c r="A2911" t="str">
        <f t="shared" si="47"/>
        <v/>
      </c>
    </row>
    <row r="2912" spans="1:1">
      <c r="A2912" t="str">
        <f t="shared" si="47"/>
        <v/>
      </c>
    </row>
    <row r="2913" spans="1:1">
      <c r="A2913" t="str">
        <f t="shared" si="47"/>
        <v/>
      </c>
    </row>
    <row r="2914" spans="1:1">
      <c r="A2914" t="str">
        <f t="shared" si="47"/>
        <v/>
      </c>
    </row>
    <row r="2915" spans="1:1">
      <c r="A2915" t="str">
        <f t="shared" si="47"/>
        <v/>
      </c>
    </row>
    <row r="2916" spans="1:1">
      <c r="A2916" t="str">
        <f t="shared" si="47"/>
        <v/>
      </c>
    </row>
    <row r="2917" spans="1:1">
      <c r="A2917" t="str">
        <f t="shared" si="47"/>
        <v/>
      </c>
    </row>
    <row r="2918" spans="1:1">
      <c r="A2918" t="str">
        <f t="shared" si="47"/>
        <v/>
      </c>
    </row>
    <row r="2919" spans="1:1">
      <c r="A2919" t="str">
        <f t="shared" si="47"/>
        <v/>
      </c>
    </row>
    <row r="2920" spans="1:1">
      <c r="A2920" t="str">
        <f t="shared" si="47"/>
        <v/>
      </c>
    </row>
    <row r="2921" spans="1:1">
      <c r="A2921" t="str">
        <f t="shared" si="47"/>
        <v/>
      </c>
    </row>
    <row r="2922" spans="1:1">
      <c r="A2922" t="str">
        <f t="shared" si="47"/>
        <v/>
      </c>
    </row>
    <row r="2923" spans="1:1">
      <c r="A2923" t="str">
        <f t="shared" si="47"/>
        <v/>
      </c>
    </row>
    <row r="2924" spans="1:1">
      <c r="A2924" t="str">
        <f t="shared" si="47"/>
        <v/>
      </c>
    </row>
    <row r="2925" spans="1:1">
      <c r="A2925" t="str">
        <f t="shared" si="47"/>
        <v/>
      </c>
    </row>
    <row r="2926" spans="1:1">
      <c r="A2926" t="str">
        <f t="shared" si="47"/>
        <v/>
      </c>
    </row>
    <row r="2927" spans="1:1">
      <c r="A2927" t="str">
        <f t="shared" si="47"/>
        <v/>
      </c>
    </row>
    <row r="2928" spans="1:1">
      <c r="A2928" t="str">
        <f t="shared" si="47"/>
        <v/>
      </c>
    </row>
    <row r="2929" spans="1:1">
      <c r="A2929" t="str">
        <f t="shared" si="47"/>
        <v/>
      </c>
    </row>
    <row r="2930" spans="1:1">
      <c r="A2930" t="str">
        <f t="shared" si="47"/>
        <v/>
      </c>
    </row>
    <row r="2931" spans="1:1">
      <c r="A2931" t="str">
        <f t="shared" si="47"/>
        <v/>
      </c>
    </row>
    <row r="2932" spans="1:1">
      <c r="A2932" t="str">
        <f t="shared" si="47"/>
        <v/>
      </c>
    </row>
    <row r="2933" spans="1:1">
      <c r="A2933" t="str">
        <f t="shared" si="47"/>
        <v/>
      </c>
    </row>
    <row r="2934" spans="1:1">
      <c r="A2934" t="str">
        <f t="shared" si="47"/>
        <v/>
      </c>
    </row>
    <row r="2935" spans="1:1">
      <c r="A2935" t="str">
        <f t="shared" si="47"/>
        <v/>
      </c>
    </row>
    <row r="2936" spans="1:1">
      <c r="A2936" t="str">
        <f t="shared" si="47"/>
        <v/>
      </c>
    </row>
    <row r="2937" spans="1:1">
      <c r="A2937" t="str">
        <f t="shared" si="47"/>
        <v/>
      </c>
    </row>
    <row r="2938" spans="1:1">
      <c r="A2938" t="str">
        <f t="shared" si="47"/>
        <v/>
      </c>
    </row>
    <row r="2939" spans="1:1">
      <c r="A2939" t="str">
        <f t="shared" si="47"/>
        <v/>
      </c>
    </row>
    <row r="2940" spans="1:1">
      <c r="A2940" t="str">
        <f t="shared" si="47"/>
        <v/>
      </c>
    </row>
    <row r="2941" spans="1:1">
      <c r="A2941" t="str">
        <f t="shared" si="47"/>
        <v/>
      </c>
    </row>
    <row r="2942" spans="1:1">
      <c r="A2942" t="str">
        <f t="shared" si="47"/>
        <v/>
      </c>
    </row>
    <row r="2943" spans="1:1">
      <c r="A2943" t="str">
        <f t="shared" si="47"/>
        <v/>
      </c>
    </row>
    <row r="2944" spans="1:1">
      <c r="A2944" t="str">
        <f t="shared" si="47"/>
        <v/>
      </c>
    </row>
    <row r="2945" spans="1:1">
      <c r="A2945" t="str">
        <f t="shared" si="47"/>
        <v/>
      </c>
    </row>
    <row r="2946" spans="1:1">
      <c r="A2946" t="str">
        <f t="shared" si="47"/>
        <v/>
      </c>
    </row>
    <row r="2947" spans="1:1">
      <c r="A2947" t="str">
        <f t="shared" si="47"/>
        <v/>
      </c>
    </row>
    <row r="2948" spans="1:1">
      <c r="A2948" t="str">
        <f t="shared" si="47"/>
        <v/>
      </c>
    </row>
    <row r="2949" spans="1:1">
      <c r="A2949" t="str">
        <f t="shared" si="47"/>
        <v/>
      </c>
    </row>
    <row r="2950" spans="1:1">
      <c r="A2950" t="str">
        <f t="shared" si="47"/>
        <v/>
      </c>
    </row>
    <row r="2951" spans="1:1">
      <c r="A2951" t="str">
        <f t="shared" ref="A2951:A2972" si="48">G2951&amp;H2951&amp;I2951&amp;F2951</f>
        <v/>
      </c>
    </row>
    <row r="2952" spans="1:1">
      <c r="A2952" t="str">
        <f t="shared" si="48"/>
        <v/>
      </c>
    </row>
    <row r="2953" spans="1:1">
      <c r="A2953" t="str">
        <f t="shared" si="48"/>
        <v/>
      </c>
    </row>
    <row r="2954" spans="1:1">
      <c r="A2954" t="str">
        <f t="shared" si="48"/>
        <v/>
      </c>
    </row>
    <row r="2955" spans="1:1">
      <c r="A2955" t="str">
        <f t="shared" si="48"/>
        <v/>
      </c>
    </row>
    <row r="2956" spans="1:1">
      <c r="A2956" t="str">
        <f t="shared" si="48"/>
        <v/>
      </c>
    </row>
    <row r="2957" spans="1:1">
      <c r="A2957" t="str">
        <f t="shared" si="48"/>
        <v/>
      </c>
    </row>
    <row r="2958" spans="1:1">
      <c r="A2958" t="str">
        <f t="shared" si="48"/>
        <v/>
      </c>
    </row>
    <row r="2959" spans="1:1">
      <c r="A2959" t="str">
        <f t="shared" si="48"/>
        <v/>
      </c>
    </row>
    <row r="2960" spans="1:1">
      <c r="A2960" t="str">
        <f t="shared" si="48"/>
        <v/>
      </c>
    </row>
    <row r="2961" spans="1:1">
      <c r="A2961" t="str">
        <f t="shared" si="48"/>
        <v/>
      </c>
    </row>
    <row r="2962" spans="1:1">
      <c r="A2962" t="str">
        <f t="shared" si="48"/>
        <v/>
      </c>
    </row>
    <row r="2963" spans="1:1">
      <c r="A2963" t="str">
        <f t="shared" si="48"/>
        <v/>
      </c>
    </row>
    <row r="2964" spans="1:1">
      <c r="A2964" t="str">
        <f t="shared" si="48"/>
        <v/>
      </c>
    </row>
    <row r="2965" spans="1:1">
      <c r="A2965" t="str">
        <f t="shared" si="48"/>
        <v/>
      </c>
    </row>
    <row r="2966" spans="1:1">
      <c r="A2966" t="str">
        <f t="shared" si="48"/>
        <v/>
      </c>
    </row>
    <row r="2967" spans="1:1">
      <c r="A2967" t="str">
        <f t="shared" si="48"/>
        <v/>
      </c>
    </row>
    <row r="2968" spans="1:1">
      <c r="A2968" t="str">
        <f t="shared" si="48"/>
        <v/>
      </c>
    </row>
    <row r="2969" spans="1:1">
      <c r="A2969" t="str">
        <f t="shared" si="48"/>
        <v/>
      </c>
    </row>
    <row r="2970" spans="1:1">
      <c r="A2970" t="str">
        <f t="shared" si="48"/>
        <v/>
      </c>
    </row>
    <row r="2971" spans="1:1">
      <c r="A2971" t="str">
        <f t="shared" si="48"/>
        <v/>
      </c>
    </row>
    <row r="2972" spans="1:1">
      <c r="A2972" t="str">
        <f t="shared" si="48"/>
        <v/>
      </c>
    </row>
    <row r="2973" spans="1:1">
      <c r="A2973" t="str">
        <f t="shared" ref="A2973:A3014" si="49">G2973&amp;H2973&amp;I2973&amp;F2973</f>
        <v/>
      </c>
    </row>
    <row r="2974" spans="1:1">
      <c r="A2974" t="str">
        <f t="shared" si="49"/>
        <v/>
      </c>
    </row>
    <row r="2975" spans="1:1">
      <c r="A2975" t="str">
        <f t="shared" si="49"/>
        <v/>
      </c>
    </row>
    <row r="2976" spans="1:1">
      <c r="A2976" t="str">
        <f t="shared" si="49"/>
        <v/>
      </c>
    </row>
    <row r="2977" spans="1:1">
      <c r="A2977" t="str">
        <f t="shared" si="49"/>
        <v/>
      </c>
    </row>
    <row r="2978" spans="1:1">
      <c r="A2978" t="str">
        <f t="shared" si="49"/>
        <v/>
      </c>
    </row>
    <row r="2979" spans="1:1">
      <c r="A2979" t="str">
        <f t="shared" si="49"/>
        <v/>
      </c>
    </row>
    <row r="2980" spans="1:1">
      <c r="A2980" t="str">
        <f t="shared" si="49"/>
        <v/>
      </c>
    </row>
    <row r="2981" spans="1:1">
      <c r="A2981" t="str">
        <f t="shared" si="49"/>
        <v/>
      </c>
    </row>
    <row r="2982" spans="1:1">
      <c r="A2982" t="str">
        <f t="shared" si="49"/>
        <v/>
      </c>
    </row>
    <row r="2983" spans="1:1">
      <c r="A2983" t="str">
        <f t="shared" si="49"/>
        <v/>
      </c>
    </row>
    <row r="2984" spans="1:1">
      <c r="A2984" t="str">
        <f t="shared" si="49"/>
        <v/>
      </c>
    </row>
    <row r="2985" spans="1:1">
      <c r="A2985" t="str">
        <f t="shared" si="49"/>
        <v/>
      </c>
    </row>
    <row r="2986" spans="1:1">
      <c r="A2986" t="str">
        <f t="shared" si="49"/>
        <v/>
      </c>
    </row>
    <row r="2987" spans="1:1">
      <c r="A2987" t="str">
        <f t="shared" si="49"/>
        <v/>
      </c>
    </row>
    <row r="2988" spans="1:1">
      <c r="A2988" t="str">
        <f t="shared" si="49"/>
        <v/>
      </c>
    </row>
    <row r="2989" spans="1:1">
      <c r="A2989" t="str">
        <f t="shared" si="49"/>
        <v/>
      </c>
    </row>
    <row r="2990" spans="1:1">
      <c r="A2990" t="str">
        <f t="shared" si="49"/>
        <v/>
      </c>
    </row>
    <row r="2991" spans="1:1">
      <c r="A2991" t="str">
        <f t="shared" si="49"/>
        <v/>
      </c>
    </row>
    <row r="2992" spans="1:1">
      <c r="A2992" t="str">
        <f t="shared" si="49"/>
        <v/>
      </c>
    </row>
    <row r="2993" spans="1:1">
      <c r="A2993" t="str">
        <f t="shared" si="49"/>
        <v/>
      </c>
    </row>
    <row r="2994" spans="1:1">
      <c r="A2994" t="str">
        <f t="shared" si="49"/>
        <v/>
      </c>
    </row>
    <row r="2995" spans="1:1">
      <c r="A2995" t="str">
        <f t="shared" si="49"/>
        <v/>
      </c>
    </row>
    <row r="2996" spans="1:1">
      <c r="A2996" t="str">
        <f t="shared" si="49"/>
        <v/>
      </c>
    </row>
    <row r="2997" spans="1:1">
      <c r="A2997" t="str">
        <f t="shared" si="49"/>
        <v/>
      </c>
    </row>
    <row r="2998" spans="1:1">
      <c r="A2998" t="str">
        <f t="shared" si="49"/>
        <v/>
      </c>
    </row>
    <row r="2999" spans="1:1">
      <c r="A2999" t="str">
        <f t="shared" si="49"/>
        <v/>
      </c>
    </row>
    <row r="3000" spans="1:1">
      <c r="A3000" t="str">
        <f t="shared" si="49"/>
        <v/>
      </c>
    </row>
    <row r="3001" spans="1:1">
      <c r="A3001" t="str">
        <f t="shared" si="49"/>
        <v/>
      </c>
    </row>
    <row r="3002" spans="1:1">
      <c r="A3002" t="str">
        <f t="shared" si="49"/>
        <v/>
      </c>
    </row>
    <row r="3003" spans="1:1">
      <c r="A3003" t="str">
        <f t="shared" si="49"/>
        <v/>
      </c>
    </row>
    <row r="3004" spans="1:1">
      <c r="A3004" t="str">
        <f t="shared" si="49"/>
        <v/>
      </c>
    </row>
    <row r="3005" spans="1:1">
      <c r="A3005" t="str">
        <f t="shared" si="49"/>
        <v/>
      </c>
    </row>
    <row r="3006" spans="1:1">
      <c r="A3006" t="str">
        <f t="shared" si="49"/>
        <v/>
      </c>
    </row>
    <row r="3007" spans="1:1">
      <c r="A3007" t="str">
        <f t="shared" si="49"/>
        <v/>
      </c>
    </row>
    <row r="3008" spans="1:1">
      <c r="A3008" t="str">
        <f t="shared" si="49"/>
        <v/>
      </c>
    </row>
    <row r="3009" spans="1:1">
      <c r="A3009" t="str">
        <f t="shared" si="49"/>
        <v/>
      </c>
    </row>
    <row r="3010" spans="1:1">
      <c r="A3010" t="str">
        <f t="shared" si="49"/>
        <v/>
      </c>
    </row>
    <row r="3011" spans="1:1">
      <c r="A3011" t="str">
        <f t="shared" si="49"/>
        <v/>
      </c>
    </row>
    <row r="3012" spans="1:1">
      <c r="A3012" t="str">
        <f t="shared" si="49"/>
        <v/>
      </c>
    </row>
    <row r="3013" spans="1:1">
      <c r="A3013" t="str">
        <f t="shared" si="49"/>
        <v/>
      </c>
    </row>
    <row r="3014" spans="1:1">
      <c r="A3014" t="str">
        <f t="shared" si="49"/>
        <v/>
      </c>
    </row>
    <row r="3015" spans="1:1">
      <c r="A3015" t="str">
        <f t="shared" ref="A3015:A3060" si="50">G3015&amp;H3015&amp;I3015&amp;F3015</f>
        <v/>
      </c>
    </row>
    <row r="3016" spans="1:1">
      <c r="A3016" t="str">
        <f t="shared" si="50"/>
        <v/>
      </c>
    </row>
    <row r="3017" spans="1:1">
      <c r="A3017" t="str">
        <f t="shared" si="50"/>
        <v/>
      </c>
    </row>
    <row r="3018" spans="1:1">
      <c r="A3018" t="str">
        <f t="shared" si="50"/>
        <v/>
      </c>
    </row>
    <row r="3019" spans="1:1">
      <c r="A3019" t="str">
        <f t="shared" si="50"/>
        <v/>
      </c>
    </row>
    <row r="3020" spans="1:1">
      <c r="A3020" t="str">
        <f t="shared" si="50"/>
        <v/>
      </c>
    </row>
    <row r="3021" spans="1:1">
      <c r="A3021" t="str">
        <f t="shared" si="50"/>
        <v/>
      </c>
    </row>
    <row r="3022" spans="1:1">
      <c r="A3022" t="str">
        <f t="shared" si="50"/>
        <v/>
      </c>
    </row>
    <row r="3023" spans="1:1">
      <c r="A3023" t="str">
        <f t="shared" si="50"/>
        <v/>
      </c>
    </row>
    <row r="3024" spans="1:1">
      <c r="A3024" t="str">
        <f t="shared" si="50"/>
        <v/>
      </c>
    </row>
    <row r="3025" spans="1:1">
      <c r="A3025" t="str">
        <f t="shared" si="50"/>
        <v/>
      </c>
    </row>
    <row r="3026" spans="1:1">
      <c r="A3026" t="str">
        <f t="shared" si="50"/>
        <v/>
      </c>
    </row>
    <row r="3027" spans="1:1">
      <c r="A3027" t="str">
        <f t="shared" si="50"/>
        <v/>
      </c>
    </row>
    <row r="3028" spans="1:1">
      <c r="A3028" t="str">
        <f t="shared" si="50"/>
        <v/>
      </c>
    </row>
    <row r="3029" spans="1:1">
      <c r="A3029" t="str">
        <f t="shared" si="50"/>
        <v/>
      </c>
    </row>
    <row r="3030" spans="1:1">
      <c r="A3030" t="str">
        <f t="shared" si="50"/>
        <v/>
      </c>
    </row>
    <row r="3031" spans="1:1">
      <c r="A3031" t="str">
        <f t="shared" si="50"/>
        <v/>
      </c>
    </row>
    <row r="3032" spans="1:1">
      <c r="A3032" t="str">
        <f t="shared" si="50"/>
        <v/>
      </c>
    </row>
    <row r="3033" spans="1:1">
      <c r="A3033" t="str">
        <f t="shared" si="50"/>
        <v/>
      </c>
    </row>
    <row r="3034" spans="1:1">
      <c r="A3034" t="str">
        <f t="shared" si="50"/>
        <v/>
      </c>
    </row>
    <row r="3035" spans="1:1">
      <c r="A3035" t="str">
        <f t="shared" si="50"/>
        <v/>
      </c>
    </row>
    <row r="3036" spans="1:1">
      <c r="A3036" t="str">
        <f t="shared" si="50"/>
        <v/>
      </c>
    </row>
    <row r="3037" spans="1:1">
      <c r="A3037" t="str">
        <f t="shared" si="50"/>
        <v/>
      </c>
    </row>
    <row r="3038" spans="1:1">
      <c r="A3038" t="str">
        <f t="shared" si="50"/>
        <v/>
      </c>
    </row>
    <row r="3039" spans="1:1">
      <c r="A3039" t="str">
        <f t="shared" si="50"/>
        <v/>
      </c>
    </row>
    <row r="3040" spans="1:1">
      <c r="A3040" t="str">
        <f t="shared" si="50"/>
        <v/>
      </c>
    </row>
    <row r="3041" spans="1:1">
      <c r="A3041" t="str">
        <f t="shared" si="50"/>
        <v/>
      </c>
    </row>
    <row r="3042" spans="1:1">
      <c r="A3042" t="str">
        <f t="shared" si="50"/>
        <v/>
      </c>
    </row>
    <row r="3043" spans="1:1">
      <c r="A3043" t="str">
        <f t="shared" si="50"/>
        <v/>
      </c>
    </row>
    <row r="3044" spans="1:1">
      <c r="A3044" t="str">
        <f t="shared" si="50"/>
        <v/>
      </c>
    </row>
    <row r="3045" spans="1:1">
      <c r="A3045" t="str">
        <f t="shared" si="50"/>
        <v/>
      </c>
    </row>
    <row r="3046" spans="1:1">
      <c r="A3046" t="str">
        <f t="shared" si="50"/>
        <v/>
      </c>
    </row>
    <row r="3047" spans="1:1">
      <c r="A3047" t="str">
        <f t="shared" si="50"/>
        <v/>
      </c>
    </row>
    <row r="3048" spans="1:1">
      <c r="A3048" t="str">
        <f t="shared" si="50"/>
        <v/>
      </c>
    </row>
    <row r="3049" spans="1:1">
      <c r="A3049" t="str">
        <f t="shared" si="50"/>
        <v/>
      </c>
    </row>
    <row r="3050" spans="1:1">
      <c r="A3050" t="str">
        <f t="shared" si="50"/>
        <v/>
      </c>
    </row>
    <row r="3051" spans="1:1">
      <c r="A3051" t="str">
        <f t="shared" si="50"/>
        <v/>
      </c>
    </row>
    <row r="3052" spans="1:1">
      <c r="A3052" t="str">
        <f t="shared" si="50"/>
        <v/>
      </c>
    </row>
    <row r="3053" spans="1:1">
      <c r="A3053" t="str">
        <f t="shared" si="50"/>
        <v/>
      </c>
    </row>
    <row r="3054" spans="1:1">
      <c r="A3054" t="str">
        <f t="shared" si="50"/>
        <v/>
      </c>
    </row>
    <row r="3055" spans="1:1">
      <c r="A3055" t="str">
        <f t="shared" si="50"/>
        <v/>
      </c>
    </row>
    <row r="3056" spans="1:1">
      <c r="A3056" t="str">
        <f t="shared" si="50"/>
        <v/>
      </c>
    </row>
    <row r="3057" spans="1:1">
      <c r="A3057" t="str">
        <f t="shared" si="50"/>
        <v/>
      </c>
    </row>
    <row r="3058" spans="1:1">
      <c r="A3058" t="str">
        <f t="shared" si="50"/>
        <v/>
      </c>
    </row>
    <row r="3059" spans="1:1">
      <c r="A3059" t="str">
        <f t="shared" si="50"/>
        <v/>
      </c>
    </row>
    <row r="3060" spans="1:1">
      <c r="A3060" t="str">
        <f t="shared" si="50"/>
        <v/>
      </c>
    </row>
  </sheetData>
  <autoFilter ref="F6:L106"/>
  <phoneticPr fontId="4" type="noConversion"/>
  <pageMargins left="0.7" right="0.7" top="0.75" bottom="0.75" header="0.3" footer="0.3"/>
  <customProperties>
    <customPr name="MatrixProperty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F6:I12"/>
  <sheetViews>
    <sheetView workbookViewId="0">
      <pane xSplit="5" ySplit="6" topLeftCell="F7" activePane="bottomRight" state="frozen"/>
      <selection pane="topRight" activeCell="C1" sqref="C1"/>
      <selection pane="bottomLeft" activeCell="A3" sqref="A3"/>
      <selection pane="bottomRight" activeCell="F6" sqref="F6:I6"/>
    </sheetView>
  </sheetViews>
  <sheetFormatPr defaultRowHeight="16.5"/>
  <cols>
    <col min="6" max="6" width="7.625" bestFit="1" customWidth="1"/>
    <col min="7" max="7" width="15.125" bestFit="1" customWidth="1"/>
    <col min="8" max="8" width="13.5" bestFit="1" customWidth="1"/>
    <col min="9" max="9" width="3.5" bestFit="1" customWidth="1"/>
  </cols>
  <sheetData>
    <row r="6" spans="6:9">
      <c r="F6" s="69" t="s">
        <v>195</v>
      </c>
      <c r="G6" s="69" t="s">
        <v>196</v>
      </c>
      <c r="H6" s="69" t="s">
        <v>238</v>
      </c>
      <c r="I6" s="69" t="s">
        <v>227</v>
      </c>
    </row>
    <row r="7" spans="6:9">
      <c r="F7" t="s">
        <v>11</v>
      </c>
      <c r="G7" t="s">
        <v>229</v>
      </c>
      <c r="H7" t="s">
        <v>232</v>
      </c>
      <c r="I7">
        <v>13</v>
      </c>
    </row>
    <row r="8" spans="6:9">
      <c r="F8" t="s">
        <v>239</v>
      </c>
      <c r="G8" t="s">
        <v>231</v>
      </c>
      <c r="H8" t="s">
        <v>240</v>
      </c>
      <c r="I8">
        <v>14</v>
      </c>
    </row>
    <row r="9" spans="6:9">
      <c r="F9" t="s">
        <v>241</v>
      </c>
      <c r="G9" t="s">
        <v>242</v>
      </c>
      <c r="H9" t="s">
        <v>242</v>
      </c>
      <c r="I9">
        <v>15</v>
      </c>
    </row>
    <row r="10" spans="6:9">
      <c r="F10" t="s">
        <v>9</v>
      </c>
      <c r="G10" t="s">
        <v>187</v>
      </c>
      <c r="H10" t="s">
        <v>187</v>
      </c>
      <c r="I10">
        <v>32</v>
      </c>
    </row>
    <row r="11" spans="6:9">
      <c r="F11" t="s">
        <v>202</v>
      </c>
      <c r="G11" t="s">
        <v>194</v>
      </c>
      <c r="H11" t="s">
        <v>194</v>
      </c>
      <c r="I11">
        <v>51</v>
      </c>
    </row>
    <row r="12" spans="6:9">
      <c r="F12" t="s">
        <v>197</v>
      </c>
      <c r="G12" t="s">
        <v>192</v>
      </c>
      <c r="H12" t="s">
        <v>192</v>
      </c>
      <c r="I12">
        <v>52</v>
      </c>
    </row>
  </sheetData>
  <autoFilter ref="F6:I6"/>
  <phoneticPr fontId="4" type="noConversion"/>
  <pageMargins left="0.7" right="0.7" top="0.75" bottom="0.75" header="0.3" footer="0.3"/>
  <customProperties>
    <customPr name="MatrixProperty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2"/>
  <dimension ref="F6:K791"/>
  <sheetViews>
    <sheetView workbookViewId="0">
      <pane xSplit="5" ySplit="6" topLeftCell="F7" activePane="bottomRight" state="frozen"/>
      <selection pane="topRight" activeCell="C1" sqref="C1"/>
      <selection pane="bottomLeft" activeCell="A3" sqref="A3"/>
      <selection pane="bottomRight" activeCell="L15" sqref="L15"/>
    </sheetView>
  </sheetViews>
  <sheetFormatPr defaultRowHeight="16.5"/>
  <cols>
    <col min="6" max="6" width="8.5" bestFit="1" customWidth="1"/>
    <col min="7" max="7" width="10.5" bestFit="1" customWidth="1"/>
    <col min="8" max="8" width="10.625" bestFit="1" customWidth="1"/>
    <col min="9" max="9" width="40.625" bestFit="1" customWidth="1"/>
    <col min="10" max="10" width="49.75" bestFit="1" customWidth="1"/>
    <col min="11" max="11" width="11.375" bestFit="1" customWidth="1"/>
  </cols>
  <sheetData>
    <row r="6" spans="6:11">
      <c r="F6" s="69" t="s">
        <v>244</v>
      </c>
      <c r="G6" s="69" t="s">
        <v>227</v>
      </c>
      <c r="H6" s="69" t="s">
        <v>245</v>
      </c>
      <c r="I6" s="69" t="s">
        <v>196</v>
      </c>
      <c r="J6" s="69" t="s">
        <v>238</v>
      </c>
      <c r="K6" s="69" t="s">
        <v>246</v>
      </c>
    </row>
    <row r="7" spans="6:11">
      <c r="F7" t="s">
        <v>247</v>
      </c>
      <c r="G7">
        <v>411010300</v>
      </c>
      <c r="H7" t="s">
        <v>12</v>
      </c>
      <c r="I7" t="s">
        <v>248</v>
      </c>
      <c r="J7" t="s">
        <v>248</v>
      </c>
      <c r="K7" t="s">
        <v>249</v>
      </c>
    </row>
    <row r="8" spans="6:11">
      <c r="F8" t="s">
        <v>247</v>
      </c>
      <c r="G8">
        <v>411010700</v>
      </c>
      <c r="H8" t="s">
        <v>250</v>
      </c>
      <c r="I8" t="s">
        <v>251</v>
      </c>
      <c r="J8" t="s">
        <v>251</v>
      </c>
      <c r="K8" t="s">
        <v>249</v>
      </c>
    </row>
    <row r="9" spans="6:11">
      <c r="F9" t="s">
        <v>247</v>
      </c>
      <c r="G9">
        <v>411011300</v>
      </c>
      <c r="H9" t="s">
        <v>19</v>
      </c>
      <c r="I9" t="s">
        <v>42</v>
      </c>
      <c r="J9" t="s">
        <v>42</v>
      </c>
      <c r="K9" t="s">
        <v>249</v>
      </c>
    </row>
    <row r="10" spans="6:11">
      <c r="F10" t="s">
        <v>247</v>
      </c>
      <c r="G10">
        <v>411010200</v>
      </c>
      <c r="H10" t="s">
        <v>252</v>
      </c>
      <c r="I10" t="s">
        <v>35</v>
      </c>
      <c r="J10" t="s">
        <v>35</v>
      </c>
      <c r="K10" t="s">
        <v>249</v>
      </c>
    </row>
    <row r="11" spans="6:11">
      <c r="F11" t="s">
        <v>247</v>
      </c>
      <c r="G11">
        <v>411010400</v>
      </c>
      <c r="H11" t="s">
        <v>253</v>
      </c>
      <c r="I11" t="s">
        <v>254</v>
      </c>
      <c r="J11" t="s">
        <v>254</v>
      </c>
      <c r="K11" t="s">
        <v>249</v>
      </c>
    </row>
    <row r="12" spans="6:11">
      <c r="F12" t="s">
        <v>247</v>
      </c>
      <c r="G12">
        <v>411010500</v>
      </c>
      <c r="H12" t="s">
        <v>255</v>
      </c>
      <c r="I12" t="s">
        <v>256</v>
      </c>
      <c r="J12" t="s">
        <v>256</v>
      </c>
      <c r="K12" t="s">
        <v>249</v>
      </c>
    </row>
    <row r="13" spans="6:11">
      <c r="F13" t="s">
        <v>247</v>
      </c>
      <c r="G13">
        <v>411010600</v>
      </c>
      <c r="H13" t="s">
        <v>257</v>
      </c>
      <c r="I13" t="s">
        <v>258</v>
      </c>
      <c r="J13" t="s">
        <v>258</v>
      </c>
      <c r="K13" t="s">
        <v>249</v>
      </c>
    </row>
    <row r="14" spans="6:11">
      <c r="F14" t="s">
        <v>247</v>
      </c>
      <c r="G14">
        <v>411010800</v>
      </c>
      <c r="H14" t="s">
        <v>259</v>
      </c>
      <c r="I14" t="s">
        <v>260</v>
      </c>
      <c r="J14" t="s">
        <v>260</v>
      </c>
      <c r="K14" t="s">
        <v>249</v>
      </c>
    </row>
    <row r="15" spans="6:11">
      <c r="F15" t="s">
        <v>247</v>
      </c>
      <c r="G15">
        <v>411010900</v>
      </c>
      <c r="H15" t="s">
        <v>261</v>
      </c>
      <c r="I15" t="s">
        <v>262</v>
      </c>
      <c r="J15" t="s">
        <v>262</v>
      </c>
      <c r="K15" t="s">
        <v>249</v>
      </c>
    </row>
    <row r="16" spans="6:11">
      <c r="F16" t="s">
        <v>247</v>
      </c>
      <c r="G16">
        <v>411011000</v>
      </c>
      <c r="H16" t="s">
        <v>263</v>
      </c>
      <c r="I16" t="s">
        <v>264</v>
      </c>
      <c r="J16" t="s">
        <v>265</v>
      </c>
      <c r="K16" t="s">
        <v>249</v>
      </c>
    </row>
    <row r="17" spans="6:11">
      <c r="F17" t="s">
        <v>247</v>
      </c>
      <c r="G17">
        <v>411011100</v>
      </c>
      <c r="H17" t="s">
        <v>266</v>
      </c>
      <c r="I17" t="s">
        <v>267</v>
      </c>
      <c r="J17" t="s">
        <v>268</v>
      </c>
      <c r="K17" t="s">
        <v>249</v>
      </c>
    </row>
    <row r="18" spans="6:11">
      <c r="F18" t="s">
        <v>247</v>
      </c>
      <c r="G18">
        <v>411011200</v>
      </c>
      <c r="H18" t="s">
        <v>14</v>
      </c>
      <c r="I18" t="s">
        <v>269</v>
      </c>
      <c r="J18" t="s">
        <v>270</v>
      </c>
      <c r="K18" t="s">
        <v>249</v>
      </c>
    </row>
    <row r="19" spans="6:11">
      <c r="F19" t="s">
        <v>247</v>
      </c>
      <c r="G19">
        <v>411011400</v>
      </c>
      <c r="H19" t="s">
        <v>17</v>
      </c>
      <c r="I19" t="s">
        <v>49</v>
      </c>
      <c r="J19" t="s">
        <v>43</v>
      </c>
      <c r="K19" t="s">
        <v>249</v>
      </c>
    </row>
    <row r="20" spans="6:11">
      <c r="F20" t="s">
        <v>247</v>
      </c>
      <c r="G20">
        <v>411011500</v>
      </c>
      <c r="H20" t="s">
        <v>271</v>
      </c>
      <c r="J20" t="s">
        <v>272</v>
      </c>
      <c r="K20" t="s">
        <v>249</v>
      </c>
    </row>
    <row r="21" spans="6:11">
      <c r="F21" t="s">
        <v>247</v>
      </c>
      <c r="G21">
        <v>411011600</v>
      </c>
      <c r="H21" t="s">
        <v>273</v>
      </c>
      <c r="I21" t="s">
        <v>274</v>
      </c>
      <c r="J21" t="s">
        <v>275</v>
      </c>
      <c r="K21" t="s">
        <v>249</v>
      </c>
    </row>
    <row r="22" spans="6:11">
      <c r="F22" t="s">
        <v>247</v>
      </c>
      <c r="G22">
        <v>411011700</v>
      </c>
      <c r="H22" t="s">
        <v>276</v>
      </c>
      <c r="J22" t="s">
        <v>277</v>
      </c>
      <c r="K22" t="s">
        <v>249</v>
      </c>
    </row>
    <row r="23" spans="6:11">
      <c r="F23" t="s">
        <v>247</v>
      </c>
      <c r="G23">
        <v>411020000</v>
      </c>
      <c r="H23" t="s">
        <v>278</v>
      </c>
      <c r="I23" t="s">
        <v>279</v>
      </c>
      <c r="J23" t="s">
        <v>279</v>
      </c>
      <c r="K23" t="s">
        <v>249</v>
      </c>
    </row>
    <row r="24" spans="6:11">
      <c r="F24" t="s">
        <v>247</v>
      </c>
      <c r="G24">
        <v>411020100</v>
      </c>
      <c r="H24" t="s">
        <v>16</v>
      </c>
      <c r="I24" t="s">
        <v>37</v>
      </c>
      <c r="J24" t="s">
        <v>37</v>
      </c>
      <c r="K24" t="s">
        <v>249</v>
      </c>
    </row>
    <row r="25" spans="6:11">
      <c r="F25" t="s">
        <v>247</v>
      </c>
      <c r="G25">
        <v>411020200</v>
      </c>
      <c r="H25" t="s">
        <v>82</v>
      </c>
      <c r="I25" t="s">
        <v>193</v>
      </c>
      <c r="J25" t="s">
        <v>193</v>
      </c>
      <c r="K25" t="s">
        <v>249</v>
      </c>
    </row>
    <row r="26" spans="6:11">
      <c r="F26" t="s">
        <v>247</v>
      </c>
      <c r="G26">
        <v>411020300</v>
      </c>
      <c r="H26" t="s">
        <v>280</v>
      </c>
      <c r="I26" t="s">
        <v>281</v>
      </c>
      <c r="J26" t="s">
        <v>282</v>
      </c>
      <c r="K26" t="s">
        <v>249</v>
      </c>
    </row>
    <row r="27" spans="6:11">
      <c r="F27" t="s">
        <v>247</v>
      </c>
      <c r="G27">
        <v>411020400</v>
      </c>
      <c r="H27" t="s">
        <v>283</v>
      </c>
      <c r="I27" t="s">
        <v>284</v>
      </c>
      <c r="J27" t="s">
        <v>284</v>
      </c>
      <c r="K27" t="s">
        <v>249</v>
      </c>
    </row>
    <row r="28" spans="6:11">
      <c r="F28" t="s">
        <v>247</v>
      </c>
      <c r="G28">
        <v>411030000</v>
      </c>
      <c r="H28" t="s">
        <v>285</v>
      </c>
      <c r="I28" t="s">
        <v>286</v>
      </c>
      <c r="J28" t="s">
        <v>286</v>
      </c>
      <c r="K28" t="s">
        <v>249</v>
      </c>
    </row>
    <row r="29" spans="6:11">
      <c r="F29" t="s">
        <v>247</v>
      </c>
      <c r="G29">
        <v>411030100</v>
      </c>
      <c r="H29" t="s">
        <v>11</v>
      </c>
      <c r="I29" t="s">
        <v>287</v>
      </c>
      <c r="J29" t="s">
        <v>232</v>
      </c>
      <c r="K29" t="s">
        <v>249</v>
      </c>
    </row>
    <row r="30" spans="6:11">
      <c r="F30" t="s">
        <v>247</v>
      </c>
      <c r="G30">
        <v>411030200</v>
      </c>
      <c r="H30" t="s">
        <v>13</v>
      </c>
      <c r="I30" t="s">
        <v>288</v>
      </c>
      <c r="J30" t="s">
        <v>288</v>
      </c>
      <c r="K30" t="s">
        <v>249</v>
      </c>
    </row>
    <row r="31" spans="6:11">
      <c r="F31" t="s">
        <v>247</v>
      </c>
      <c r="G31">
        <v>411030300</v>
      </c>
      <c r="H31" t="s">
        <v>94</v>
      </c>
      <c r="I31" t="s">
        <v>190</v>
      </c>
      <c r="J31" t="s">
        <v>190</v>
      </c>
      <c r="K31" t="s">
        <v>249</v>
      </c>
    </row>
    <row r="32" spans="6:11">
      <c r="F32" t="s">
        <v>247</v>
      </c>
      <c r="G32">
        <v>411030400</v>
      </c>
      <c r="H32" t="s">
        <v>289</v>
      </c>
      <c r="I32" t="s">
        <v>290</v>
      </c>
      <c r="J32" t="s">
        <v>290</v>
      </c>
      <c r="K32" t="s">
        <v>249</v>
      </c>
    </row>
    <row r="33" spans="6:11">
      <c r="F33" t="s">
        <v>247</v>
      </c>
      <c r="G33">
        <v>411030500</v>
      </c>
      <c r="H33" t="s">
        <v>291</v>
      </c>
      <c r="I33" t="s">
        <v>292</v>
      </c>
      <c r="J33" t="s">
        <v>293</v>
      </c>
      <c r="K33" t="s">
        <v>249</v>
      </c>
    </row>
    <row r="34" spans="6:11">
      <c r="F34" t="s">
        <v>247</v>
      </c>
      <c r="G34">
        <v>411040000</v>
      </c>
      <c r="H34" t="s">
        <v>294</v>
      </c>
      <c r="I34" t="s">
        <v>295</v>
      </c>
      <c r="J34" t="s">
        <v>295</v>
      </c>
      <c r="K34" t="s">
        <v>249</v>
      </c>
    </row>
    <row r="35" spans="6:11">
      <c r="F35" t="s">
        <v>247</v>
      </c>
      <c r="G35">
        <v>411050000</v>
      </c>
      <c r="H35" t="s">
        <v>296</v>
      </c>
      <c r="I35" t="s">
        <v>297</v>
      </c>
      <c r="J35" t="s">
        <v>297</v>
      </c>
      <c r="K35" t="s">
        <v>249</v>
      </c>
    </row>
    <row r="36" spans="6:11">
      <c r="F36" t="s">
        <v>247</v>
      </c>
      <c r="G36">
        <v>411060000</v>
      </c>
      <c r="H36" t="s">
        <v>298</v>
      </c>
      <c r="I36" t="s">
        <v>299</v>
      </c>
      <c r="J36" t="s">
        <v>299</v>
      </c>
      <c r="K36" t="s">
        <v>249</v>
      </c>
    </row>
    <row r="37" spans="6:11">
      <c r="F37" t="s">
        <v>247</v>
      </c>
      <c r="G37">
        <v>411070000</v>
      </c>
      <c r="H37" t="s">
        <v>300</v>
      </c>
      <c r="I37" t="s">
        <v>301</v>
      </c>
      <c r="J37" t="s">
        <v>301</v>
      </c>
      <c r="K37" t="s">
        <v>249</v>
      </c>
    </row>
    <row r="38" spans="6:11">
      <c r="F38" t="s">
        <v>247</v>
      </c>
      <c r="G38">
        <v>412010000</v>
      </c>
      <c r="H38" t="s">
        <v>15</v>
      </c>
      <c r="I38" t="s">
        <v>46</v>
      </c>
      <c r="J38" t="s">
        <v>302</v>
      </c>
      <c r="K38" t="s">
        <v>38</v>
      </c>
    </row>
    <row r="39" spans="6:11">
      <c r="F39" t="s">
        <v>247</v>
      </c>
      <c r="G39">
        <v>412020000</v>
      </c>
      <c r="H39" t="s">
        <v>303</v>
      </c>
      <c r="I39" t="s">
        <v>304</v>
      </c>
      <c r="J39" t="s">
        <v>304</v>
      </c>
      <c r="K39" t="s">
        <v>38</v>
      </c>
    </row>
    <row r="40" spans="6:11">
      <c r="F40" t="s">
        <v>247</v>
      </c>
      <c r="G40">
        <v>412030000</v>
      </c>
      <c r="H40" t="s">
        <v>305</v>
      </c>
      <c r="I40" t="s">
        <v>306</v>
      </c>
      <c r="J40" t="s">
        <v>306</v>
      </c>
      <c r="K40" t="s">
        <v>38</v>
      </c>
    </row>
    <row r="41" spans="6:11">
      <c r="F41" t="s">
        <v>247</v>
      </c>
      <c r="G41">
        <v>412040000</v>
      </c>
      <c r="H41" t="s">
        <v>307</v>
      </c>
      <c r="I41" t="s">
        <v>308</v>
      </c>
      <c r="J41" t="s">
        <v>308</v>
      </c>
      <c r="K41" t="s">
        <v>38</v>
      </c>
    </row>
    <row r="42" spans="6:11">
      <c r="F42" t="s">
        <v>247</v>
      </c>
      <c r="G42">
        <v>413010000</v>
      </c>
      <c r="H42" t="s">
        <v>309</v>
      </c>
      <c r="I42" t="s">
        <v>310</v>
      </c>
      <c r="J42" t="s">
        <v>311</v>
      </c>
      <c r="K42" t="s">
        <v>312</v>
      </c>
    </row>
    <row r="43" spans="6:11">
      <c r="F43" t="s">
        <v>247</v>
      </c>
      <c r="G43">
        <v>413010100</v>
      </c>
      <c r="H43" t="s">
        <v>6</v>
      </c>
      <c r="I43" t="s">
        <v>47</v>
      </c>
      <c r="J43" t="s">
        <v>39</v>
      </c>
      <c r="K43" t="s">
        <v>312</v>
      </c>
    </row>
    <row r="44" spans="6:11">
      <c r="F44" t="s">
        <v>247</v>
      </c>
      <c r="G44">
        <v>413010200</v>
      </c>
      <c r="H44" t="s">
        <v>313</v>
      </c>
      <c r="I44" t="s">
        <v>314</v>
      </c>
      <c r="J44" t="s">
        <v>314</v>
      </c>
      <c r="K44" t="s">
        <v>312</v>
      </c>
    </row>
    <row r="45" spans="6:11">
      <c r="F45" t="s">
        <v>247</v>
      </c>
      <c r="G45">
        <v>413010300</v>
      </c>
      <c r="H45" t="s">
        <v>315</v>
      </c>
      <c r="I45" t="s">
        <v>316</v>
      </c>
      <c r="J45" t="s">
        <v>317</v>
      </c>
      <c r="K45" t="s">
        <v>312</v>
      </c>
    </row>
    <row r="46" spans="6:11">
      <c r="F46" t="s">
        <v>247</v>
      </c>
      <c r="G46">
        <v>413010400</v>
      </c>
      <c r="H46" t="s">
        <v>318</v>
      </c>
      <c r="I46" t="s">
        <v>319</v>
      </c>
      <c r="J46" t="s">
        <v>319</v>
      </c>
      <c r="K46" t="s">
        <v>312</v>
      </c>
    </row>
    <row r="47" spans="6:11">
      <c r="F47" t="s">
        <v>247</v>
      </c>
      <c r="G47">
        <v>413010500</v>
      </c>
      <c r="H47" t="s">
        <v>320</v>
      </c>
      <c r="I47" t="s">
        <v>321</v>
      </c>
      <c r="J47" t="s">
        <v>322</v>
      </c>
      <c r="K47" t="s">
        <v>312</v>
      </c>
    </row>
    <row r="48" spans="6:11">
      <c r="F48" t="s">
        <v>247</v>
      </c>
      <c r="G48">
        <v>413020000</v>
      </c>
      <c r="H48" t="s">
        <v>323</v>
      </c>
      <c r="I48" t="s">
        <v>324</v>
      </c>
      <c r="J48" t="s">
        <v>325</v>
      </c>
      <c r="K48" t="s">
        <v>312</v>
      </c>
    </row>
    <row r="49" spans="6:11">
      <c r="F49" t="s">
        <v>247</v>
      </c>
      <c r="G49">
        <v>413020100</v>
      </c>
      <c r="H49" t="s">
        <v>7</v>
      </c>
      <c r="I49" t="s">
        <v>48</v>
      </c>
      <c r="J49" t="s">
        <v>40</v>
      </c>
      <c r="K49" t="s">
        <v>312</v>
      </c>
    </row>
    <row r="50" spans="6:11">
      <c r="F50" t="s">
        <v>247</v>
      </c>
      <c r="G50">
        <v>413020200</v>
      </c>
      <c r="H50" t="s">
        <v>10</v>
      </c>
      <c r="I50" t="s">
        <v>326</v>
      </c>
      <c r="J50" t="s">
        <v>44</v>
      </c>
      <c r="K50" t="s">
        <v>312</v>
      </c>
    </row>
    <row r="51" spans="6:11">
      <c r="F51" t="s">
        <v>247</v>
      </c>
      <c r="G51">
        <v>413020300</v>
      </c>
      <c r="H51" t="s">
        <v>327</v>
      </c>
      <c r="I51" t="s">
        <v>328</v>
      </c>
      <c r="J51" t="s">
        <v>329</v>
      </c>
      <c r="K51" t="s">
        <v>312</v>
      </c>
    </row>
    <row r="52" spans="6:11">
      <c r="F52" t="s">
        <v>247</v>
      </c>
      <c r="G52">
        <v>413030000</v>
      </c>
      <c r="H52" t="s">
        <v>330</v>
      </c>
      <c r="I52" t="s">
        <v>331</v>
      </c>
      <c r="J52" t="s">
        <v>332</v>
      </c>
      <c r="K52" t="s">
        <v>312</v>
      </c>
    </row>
    <row r="53" spans="6:11">
      <c r="F53" t="s">
        <v>247</v>
      </c>
      <c r="G53">
        <v>413030100</v>
      </c>
      <c r="H53" t="s">
        <v>333</v>
      </c>
      <c r="I53" t="s">
        <v>334</v>
      </c>
      <c r="J53" t="s">
        <v>335</v>
      </c>
      <c r="K53" t="s">
        <v>312</v>
      </c>
    </row>
    <row r="54" spans="6:11">
      <c r="F54" t="s">
        <v>247</v>
      </c>
      <c r="G54">
        <v>413030200</v>
      </c>
      <c r="H54" t="s">
        <v>336</v>
      </c>
      <c r="I54" t="s">
        <v>337</v>
      </c>
      <c r="J54" t="s">
        <v>338</v>
      </c>
      <c r="K54" t="s">
        <v>312</v>
      </c>
    </row>
    <row r="55" spans="6:11">
      <c r="F55" t="s">
        <v>247</v>
      </c>
      <c r="G55">
        <v>414020300</v>
      </c>
      <c r="H55" t="s">
        <v>339</v>
      </c>
      <c r="I55" t="s">
        <v>340</v>
      </c>
      <c r="J55" t="s">
        <v>340</v>
      </c>
      <c r="K55" t="s">
        <v>341</v>
      </c>
    </row>
    <row r="56" spans="6:11">
      <c r="F56" t="s">
        <v>247</v>
      </c>
      <c r="G56">
        <v>413030300</v>
      </c>
      <c r="H56" t="s">
        <v>342</v>
      </c>
      <c r="I56" t="s">
        <v>343</v>
      </c>
      <c r="J56" t="s">
        <v>343</v>
      </c>
      <c r="K56" t="s">
        <v>312</v>
      </c>
    </row>
    <row r="57" spans="6:11">
      <c r="F57" t="s">
        <v>247</v>
      </c>
      <c r="G57">
        <v>413030400</v>
      </c>
      <c r="H57" t="s">
        <v>8</v>
      </c>
      <c r="I57" t="s">
        <v>41</v>
      </c>
      <c r="J57" t="s">
        <v>41</v>
      </c>
      <c r="K57" t="s">
        <v>312</v>
      </c>
    </row>
    <row r="58" spans="6:11">
      <c r="F58" t="s">
        <v>247</v>
      </c>
      <c r="G58">
        <v>413040100</v>
      </c>
      <c r="H58" t="s">
        <v>344</v>
      </c>
      <c r="I58" t="s">
        <v>345</v>
      </c>
      <c r="J58" t="s">
        <v>346</v>
      </c>
      <c r="K58" t="s">
        <v>312</v>
      </c>
    </row>
    <row r="59" spans="6:11">
      <c r="F59" t="s">
        <v>247</v>
      </c>
      <c r="G59">
        <v>414030100</v>
      </c>
      <c r="H59" t="s">
        <v>347</v>
      </c>
      <c r="I59" t="s">
        <v>348</v>
      </c>
      <c r="J59" t="s">
        <v>348</v>
      </c>
      <c r="K59" t="s">
        <v>341</v>
      </c>
    </row>
    <row r="60" spans="6:11">
      <c r="F60" t="s">
        <v>247</v>
      </c>
      <c r="G60">
        <v>414030400</v>
      </c>
      <c r="H60" t="s">
        <v>349</v>
      </c>
      <c r="I60" t="s">
        <v>350</v>
      </c>
      <c r="J60" t="s">
        <v>350</v>
      </c>
      <c r="K60" t="s">
        <v>341</v>
      </c>
    </row>
    <row r="61" spans="6:11">
      <c r="F61" t="s">
        <v>247</v>
      </c>
      <c r="G61">
        <v>413040200</v>
      </c>
      <c r="H61" t="s">
        <v>351</v>
      </c>
      <c r="I61" t="s">
        <v>352</v>
      </c>
      <c r="J61" t="s">
        <v>353</v>
      </c>
      <c r="K61" t="s">
        <v>312</v>
      </c>
    </row>
    <row r="62" spans="6:11">
      <c r="F62" t="s">
        <v>247</v>
      </c>
      <c r="G62">
        <v>413040300</v>
      </c>
      <c r="H62" t="s">
        <v>354</v>
      </c>
      <c r="I62" t="s">
        <v>355</v>
      </c>
      <c r="J62" t="s">
        <v>356</v>
      </c>
      <c r="K62" t="s">
        <v>312</v>
      </c>
    </row>
    <row r="63" spans="6:11">
      <c r="F63" t="s">
        <v>247</v>
      </c>
      <c r="G63">
        <v>413040400</v>
      </c>
      <c r="H63" t="s">
        <v>357</v>
      </c>
      <c r="I63" t="s">
        <v>358</v>
      </c>
      <c r="J63" t="s">
        <v>358</v>
      </c>
      <c r="K63" t="s">
        <v>312</v>
      </c>
    </row>
    <row r="64" spans="6:11">
      <c r="F64" t="s">
        <v>247</v>
      </c>
      <c r="G64">
        <v>413040500</v>
      </c>
      <c r="H64" t="s">
        <v>359</v>
      </c>
      <c r="I64" t="s">
        <v>360</v>
      </c>
      <c r="J64" t="s">
        <v>361</v>
      </c>
      <c r="K64" t="s">
        <v>312</v>
      </c>
    </row>
    <row r="65" spans="6:11">
      <c r="F65" t="s">
        <v>247</v>
      </c>
      <c r="G65">
        <v>413040600</v>
      </c>
      <c r="H65" t="s">
        <v>362</v>
      </c>
      <c r="I65" t="s">
        <v>363</v>
      </c>
      <c r="J65" t="s">
        <v>364</v>
      </c>
      <c r="K65" t="s">
        <v>312</v>
      </c>
    </row>
    <row r="66" spans="6:11">
      <c r="F66" t="s">
        <v>247</v>
      </c>
      <c r="G66">
        <v>413040700</v>
      </c>
      <c r="H66" t="s">
        <v>365</v>
      </c>
      <c r="I66" t="s">
        <v>366</v>
      </c>
      <c r="J66" t="s">
        <v>366</v>
      </c>
      <c r="K66" t="s">
        <v>312</v>
      </c>
    </row>
    <row r="67" spans="6:11">
      <c r="F67" t="s">
        <v>247</v>
      </c>
      <c r="G67">
        <v>413040800</v>
      </c>
      <c r="H67" t="s">
        <v>367</v>
      </c>
      <c r="I67" t="s">
        <v>368</v>
      </c>
      <c r="J67" t="s">
        <v>368</v>
      </c>
      <c r="K67" t="s">
        <v>312</v>
      </c>
    </row>
    <row r="68" spans="6:11">
      <c r="F68" t="s">
        <v>247</v>
      </c>
      <c r="G68">
        <v>413050000</v>
      </c>
      <c r="H68" t="s">
        <v>369</v>
      </c>
      <c r="I68" t="s">
        <v>370</v>
      </c>
      <c r="J68" t="s">
        <v>370</v>
      </c>
      <c r="K68" t="s">
        <v>371</v>
      </c>
    </row>
    <row r="69" spans="6:11">
      <c r="F69" t="s">
        <v>247</v>
      </c>
      <c r="G69">
        <v>413050100</v>
      </c>
      <c r="H69" t="s">
        <v>372</v>
      </c>
      <c r="I69" t="s">
        <v>373</v>
      </c>
      <c r="J69" t="s">
        <v>373</v>
      </c>
      <c r="K69" t="s">
        <v>371</v>
      </c>
    </row>
    <row r="70" spans="6:11">
      <c r="F70" t="s">
        <v>247</v>
      </c>
      <c r="G70">
        <v>413050200</v>
      </c>
      <c r="H70" t="s">
        <v>9</v>
      </c>
      <c r="I70" t="s">
        <v>187</v>
      </c>
      <c r="J70" t="s">
        <v>187</v>
      </c>
      <c r="K70" t="s">
        <v>371</v>
      </c>
    </row>
    <row r="71" spans="6:11">
      <c r="F71" t="s">
        <v>247</v>
      </c>
      <c r="G71">
        <v>413050300</v>
      </c>
      <c r="H71" t="s">
        <v>374</v>
      </c>
      <c r="I71" t="s">
        <v>375</v>
      </c>
      <c r="J71" t="s">
        <v>375</v>
      </c>
      <c r="K71" t="s">
        <v>371</v>
      </c>
    </row>
    <row r="72" spans="6:11">
      <c r="F72" t="s">
        <v>247</v>
      </c>
      <c r="G72">
        <v>413050400</v>
      </c>
      <c r="H72" t="s">
        <v>376</v>
      </c>
      <c r="I72" t="s">
        <v>377</v>
      </c>
      <c r="J72" t="s">
        <v>377</v>
      </c>
      <c r="K72" t="s">
        <v>371</v>
      </c>
    </row>
    <row r="73" spans="6:11">
      <c r="F73" t="s">
        <v>247</v>
      </c>
      <c r="G73">
        <v>413050500</v>
      </c>
      <c r="H73" t="s">
        <v>95</v>
      </c>
      <c r="I73" t="s">
        <v>378</v>
      </c>
      <c r="J73" t="s">
        <v>188</v>
      </c>
      <c r="K73" t="s">
        <v>371</v>
      </c>
    </row>
    <row r="74" spans="6:11">
      <c r="F74" t="s">
        <v>247</v>
      </c>
      <c r="G74">
        <v>413050600</v>
      </c>
      <c r="H74" t="s">
        <v>379</v>
      </c>
      <c r="I74" t="s">
        <v>380</v>
      </c>
      <c r="J74" t="s">
        <v>380</v>
      </c>
      <c r="K74" t="s">
        <v>371</v>
      </c>
    </row>
    <row r="75" spans="6:11">
      <c r="F75" t="s">
        <v>247</v>
      </c>
      <c r="G75">
        <v>413050700</v>
      </c>
      <c r="H75" t="s">
        <v>381</v>
      </c>
      <c r="I75" t="s">
        <v>382</v>
      </c>
      <c r="J75" t="s">
        <v>382</v>
      </c>
      <c r="K75" t="s">
        <v>371</v>
      </c>
    </row>
    <row r="76" spans="6:11">
      <c r="F76" t="s">
        <v>247</v>
      </c>
      <c r="G76">
        <v>413051100</v>
      </c>
      <c r="H76" t="s">
        <v>383</v>
      </c>
      <c r="I76" t="s">
        <v>384</v>
      </c>
      <c r="J76" t="s">
        <v>384</v>
      </c>
      <c r="K76" t="s">
        <v>371</v>
      </c>
    </row>
    <row r="77" spans="6:11">
      <c r="F77" t="s">
        <v>247</v>
      </c>
      <c r="G77">
        <v>413060000</v>
      </c>
      <c r="H77" t="s">
        <v>385</v>
      </c>
      <c r="I77" t="s">
        <v>386</v>
      </c>
      <c r="J77" t="s">
        <v>386</v>
      </c>
      <c r="K77" t="s">
        <v>371</v>
      </c>
    </row>
    <row r="78" spans="6:11">
      <c r="F78" t="s">
        <v>247</v>
      </c>
      <c r="G78">
        <v>413070000</v>
      </c>
      <c r="H78" t="s">
        <v>387</v>
      </c>
      <c r="J78" t="s">
        <v>388</v>
      </c>
      <c r="K78" t="s">
        <v>312</v>
      </c>
    </row>
    <row r="79" spans="6:11">
      <c r="F79" t="s">
        <v>247</v>
      </c>
      <c r="G79">
        <v>413080000</v>
      </c>
      <c r="H79" t="s">
        <v>389</v>
      </c>
      <c r="J79" t="s">
        <v>390</v>
      </c>
      <c r="K79" t="s">
        <v>312</v>
      </c>
    </row>
    <row r="80" spans="6:11">
      <c r="F80" t="s">
        <v>247</v>
      </c>
      <c r="G80">
        <v>414010000</v>
      </c>
      <c r="H80" t="s">
        <v>18</v>
      </c>
      <c r="I80" t="s">
        <v>191</v>
      </c>
      <c r="J80" t="s">
        <v>191</v>
      </c>
      <c r="K80" t="s">
        <v>341</v>
      </c>
    </row>
    <row r="81" spans="6:11">
      <c r="F81" t="s">
        <v>247</v>
      </c>
      <c r="G81">
        <v>414020000</v>
      </c>
      <c r="H81" t="s">
        <v>204</v>
      </c>
      <c r="I81" t="s">
        <v>391</v>
      </c>
      <c r="J81" t="s">
        <v>205</v>
      </c>
      <c r="K81" t="s">
        <v>341</v>
      </c>
    </row>
    <row r="82" spans="6:11">
      <c r="F82" t="s">
        <v>247</v>
      </c>
      <c r="G82">
        <v>414020100</v>
      </c>
      <c r="H82" t="s">
        <v>392</v>
      </c>
      <c r="I82" t="s">
        <v>393</v>
      </c>
      <c r="J82" t="s">
        <v>394</v>
      </c>
      <c r="K82" t="s">
        <v>341</v>
      </c>
    </row>
    <row r="83" spans="6:11">
      <c r="F83" t="s">
        <v>247</v>
      </c>
      <c r="G83">
        <v>414020200</v>
      </c>
      <c r="H83" t="s">
        <v>395</v>
      </c>
      <c r="I83" t="s">
        <v>396</v>
      </c>
      <c r="J83" t="s">
        <v>397</v>
      </c>
      <c r="K83" t="s">
        <v>341</v>
      </c>
    </row>
    <row r="84" spans="6:11">
      <c r="F84" t="s">
        <v>247</v>
      </c>
      <c r="G84">
        <v>414020400</v>
      </c>
      <c r="H84" t="s">
        <v>398</v>
      </c>
      <c r="I84" t="s">
        <v>399</v>
      </c>
      <c r="J84" t="s">
        <v>399</v>
      </c>
      <c r="K84" t="s">
        <v>341</v>
      </c>
    </row>
    <row r="85" spans="6:11">
      <c r="F85" t="s">
        <v>247</v>
      </c>
      <c r="G85">
        <v>414030000</v>
      </c>
      <c r="H85" t="s">
        <v>400</v>
      </c>
      <c r="I85" t="s">
        <v>401</v>
      </c>
      <c r="J85" t="s">
        <v>401</v>
      </c>
      <c r="K85" t="s">
        <v>341</v>
      </c>
    </row>
    <row r="86" spans="6:11">
      <c r="F86" t="s">
        <v>247</v>
      </c>
      <c r="G86">
        <v>414030200</v>
      </c>
      <c r="H86" t="s">
        <v>402</v>
      </c>
      <c r="I86" t="s">
        <v>403</v>
      </c>
      <c r="J86" t="s">
        <v>403</v>
      </c>
      <c r="K86" t="s">
        <v>341</v>
      </c>
    </row>
    <row r="87" spans="6:11">
      <c r="F87" t="s">
        <v>247</v>
      </c>
      <c r="G87">
        <v>414030300</v>
      </c>
      <c r="H87" t="s">
        <v>404</v>
      </c>
      <c r="I87" t="s">
        <v>405</v>
      </c>
      <c r="J87" t="s">
        <v>405</v>
      </c>
      <c r="K87" t="s">
        <v>341</v>
      </c>
    </row>
    <row r="88" spans="6:11">
      <c r="F88" t="s">
        <v>247</v>
      </c>
      <c r="G88">
        <v>414040000</v>
      </c>
      <c r="H88" t="s">
        <v>406</v>
      </c>
      <c r="I88" t="s">
        <v>407</v>
      </c>
      <c r="J88" t="s">
        <v>407</v>
      </c>
      <c r="K88" t="s">
        <v>341</v>
      </c>
    </row>
    <row r="89" spans="6:11">
      <c r="F89" t="s">
        <v>247</v>
      </c>
      <c r="G89">
        <v>414050000</v>
      </c>
      <c r="H89" t="s">
        <v>408</v>
      </c>
      <c r="I89" t="s">
        <v>409</v>
      </c>
      <c r="J89" t="s">
        <v>409</v>
      </c>
      <c r="K89" t="s">
        <v>341</v>
      </c>
    </row>
    <row r="90" spans="6:11">
      <c r="F90" t="s">
        <v>247</v>
      </c>
      <c r="G90">
        <v>415010000</v>
      </c>
      <c r="H90" t="s">
        <v>410</v>
      </c>
      <c r="I90" t="s">
        <v>411</v>
      </c>
      <c r="J90" t="s">
        <v>411</v>
      </c>
      <c r="K90" t="s">
        <v>412</v>
      </c>
    </row>
    <row r="91" spans="6:11">
      <c r="F91" t="s">
        <v>247</v>
      </c>
      <c r="G91">
        <v>415010100</v>
      </c>
      <c r="H91" t="s">
        <v>202</v>
      </c>
      <c r="I91" t="s">
        <v>194</v>
      </c>
      <c r="J91" t="s">
        <v>413</v>
      </c>
      <c r="K91" t="s">
        <v>412</v>
      </c>
    </row>
    <row r="92" spans="6:11">
      <c r="F92" t="s">
        <v>247</v>
      </c>
      <c r="G92">
        <v>416010000</v>
      </c>
      <c r="H92" t="s">
        <v>414</v>
      </c>
      <c r="I92" t="s">
        <v>415</v>
      </c>
      <c r="J92" t="s">
        <v>415</v>
      </c>
      <c r="K92" t="s">
        <v>198</v>
      </c>
    </row>
    <row r="93" spans="6:11">
      <c r="F93" t="s">
        <v>247</v>
      </c>
      <c r="G93">
        <v>419000300</v>
      </c>
      <c r="H93" t="s">
        <v>416</v>
      </c>
      <c r="I93" t="s">
        <v>417</v>
      </c>
      <c r="J93" t="s">
        <v>417</v>
      </c>
      <c r="K93" t="s">
        <v>418</v>
      </c>
    </row>
    <row r="94" spans="6:11">
      <c r="F94" t="s">
        <v>247</v>
      </c>
      <c r="G94">
        <v>415010200</v>
      </c>
      <c r="H94" t="s">
        <v>419</v>
      </c>
      <c r="I94" t="s">
        <v>420</v>
      </c>
      <c r="J94" t="s">
        <v>420</v>
      </c>
      <c r="K94" t="s">
        <v>412</v>
      </c>
    </row>
    <row r="95" spans="6:11">
      <c r="F95" t="s">
        <v>247</v>
      </c>
      <c r="G95">
        <v>415010300</v>
      </c>
      <c r="H95" t="s">
        <v>197</v>
      </c>
      <c r="I95" t="s">
        <v>192</v>
      </c>
      <c r="J95" t="s">
        <v>192</v>
      </c>
      <c r="K95" t="s">
        <v>412</v>
      </c>
    </row>
    <row r="96" spans="6:11">
      <c r="F96" t="s">
        <v>247</v>
      </c>
      <c r="G96">
        <v>415010400</v>
      </c>
      <c r="H96" t="s">
        <v>421</v>
      </c>
      <c r="I96" t="s">
        <v>422</v>
      </c>
      <c r="J96" t="s">
        <v>422</v>
      </c>
      <c r="K96" t="s">
        <v>412</v>
      </c>
    </row>
    <row r="97" spans="6:11">
      <c r="F97" t="s">
        <v>247</v>
      </c>
      <c r="G97">
        <v>415010500</v>
      </c>
      <c r="H97" t="s">
        <v>423</v>
      </c>
      <c r="I97" t="s">
        <v>424</v>
      </c>
      <c r="J97" t="s">
        <v>424</v>
      </c>
      <c r="K97" t="s">
        <v>412</v>
      </c>
    </row>
    <row r="98" spans="6:11">
      <c r="F98" t="s">
        <v>247</v>
      </c>
      <c r="G98">
        <v>415010600</v>
      </c>
      <c r="H98" t="s">
        <v>203</v>
      </c>
      <c r="I98" t="s">
        <v>189</v>
      </c>
      <c r="J98" t="s">
        <v>189</v>
      </c>
      <c r="K98" t="s">
        <v>412</v>
      </c>
    </row>
    <row r="99" spans="6:11">
      <c r="F99" t="s">
        <v>247</v>
      </c>
      <c r="G99">
        <v>419000500</v>
      </c>
      <c r="H99" t="s">
        <v>425</v>
      </c>
      <c r="I99" t="s">
        <v>426</v>
      </c>
      <c r="J99" t="s">
        <v>426</v>
      </c>
      <c r="K99" t="s">
        <v>418</v>
      </c>
    </row>
    <row r="100" spans="6:11">
      <c r="F100" t="s">
        <v>247</v>
      </c>
      <c r="G100">
        <v>415010700</v>
      </c>
      <c r="H100" t="s">
        <v>427</v>
      </c>
      <c r="I100" t="s">
        <v>428</v>
      </c>
      <c r="J100" t="s">
        <v>428</v>
      </c>
      <c r="K100" t="s">
        <v>412</v>
      </c>
    </row>
    <row r="101" spans="6:11">
      <c r="F101" t="s">
        <v>247</v>
      </c>
      <c r="G101">
        <v>415010800</v>
      </c>
      <c r="H101" t="s">
        <v>429</v>
      </c>
      <c r="I101" t="s">
        <v>430</v>
      </c>
      <c r="J101" t="s">
        <v>430</v>
      </c>
      <c r="K101" t="s">
        <v>412</v>
      </c>
    </row>
    <row r="102" spans="6:11">
      <c r="F102" t="s">
        <v>247</v>
      </c>
      <c r="G102">
        <v>415010900</v>
      </c>
      <c r="H102" t="s">
        <v>431</v>
      </c>
      <c r="I102" t="s">
        <v>432</v>
      </c>
      <c r="J102" t="s">
        <v>432</v>
      </c>
      <c r="K102" t="s">
        <v>412</v>
      </c>
    </row>
    <row r="103" spans="6:11">
      <c r="F103" t="s">
        <v>247</v>
      </c>
      <c r="G103">
        <v>416020000</v>
      </c>
      <c r="H103" t="s">
        <v>433</v>
      </c>
      <c r="I103" t="s">
        <v>434</v>
      </c>
      <c r="J103" t="s">
        <v>434</v>
      </c>
      <c r="K103" t="s">
        <v>198</v>
      </c>
    </row>
    <row r="104" spans="6:11">
      <c r="F104" t="s">
        <v>247</v>
      </c>
      <c r="G104">
        <v>416030000</v>
      </c>
      <c r="H104" t="s">
        <v>435</v>
      </c>
      <c r="I104" t="s">
        <v>436</v>
      </c>
      <c r="J104" t="s">
        <v>436</v>
      </c>
      <c r="K104" t="s">
        <v>198</v>
      </c>
    </row>
    <row r="105" spans="6:11">
      <c r="F105" t="s">
        <v>247</v>
      </c>
      <c r="G105">
        <v>417010000</v>
      </c>
      <c r="H105" t="s">
        <v>437</v>
      </c>
      <c r="I105" t="s">
        <v>438</v>
      </c>
      <c r="J105" t="s">
        <v>439</v>
      </c>
      <c r="K105" t="s">
        <v>440</v>
      </c>
    </row>
    <row r="106" spans="6:11">
      <c r="F106" t="s">
        <v>247</v>
      </c>
      <c r="G106">
        <v>418010000</v>
      </c>
      <c r="H106" t="s">
        <v>441</v>
      </c>
      <c r="I106" t="s">
        <v>442</v>
      </c>
      <c r="J106" t="s">
        <v>442</v>
      </c>
      <c r="K106" t="s">
        <v>443</v>
      </c>
    </row>
    <row r="107" spans="6:11">
      <c r="F107" t="s">
        <v>247</v>
      </c>
      <c r="G107">
        <v>419000100</v>
      </c>
      <c r="H107" t="s">
        <v>444</v>
      </c>
      <c r="I107" t="s">
        <v>445</v>
      </c>
      <c r="J107" t="s">
        <v>445</v>
      </c>
      <c r="K107" t="s">
        <v>418</v>
      </c>
    </row>
    <row r="108" spans="6:11">
      <c r="F108" t="s">
        <v>247</v>
      </c>
      <c r="G108">
        <v>419000200</v>
      </c>
      <c r="H108" t="s">
        <v>446</v>
      </c>
      <c r="I108" t="s">
        <v>447</v>
      </c>
      <c r="J108" t="s">
        <v>447</v>
      </c>
      <c r="K108" t="s">
        <v>418</v>
      </c>
    </row>
    <row r="109" spans="6:11">
      <c r="F109" t="s">
        <v>247</v>
      </c>
      <c r="G109">
        <v>419000400</v>
      </c>
      <c r="H109" t="s">
        <v>448</v>
      </c>
      <c r="I109" t="s">
        <v>449</v>
      </c>
      <c r="J109" t="s">
        <v>449</v>
      </c>
      <c r="K109" t="s">
        <v>418</v>
      </c>
    </row>
    <row r="110" spans="6:11">
      <c r="F110" t="s">
        <v>247</v>
      </c>
      <c r="G110">
        <v>419000600</v>
      </c>
      <c r="H110" t="s">
        <v>450</v>
      </c>
      <c r="I110" t="s">
        <v>451</v>
      </c>
      <c r="J110" t="s">
        <v>451</v>
      </c>
      <c r="K110" t="s">
        <v>418</v>
      </c>
    </row>
    <row r="111" spans="6:11">
      <c r="F111" t="s">
        <v>247</v>
      </c>
      <c r="G111">
        <v>419000700</v>
      </c>
      <c r="H111" t="s">
        <v>452</v>
      </c>
      <c r="I111" t="s">
        <v>453</v>
      </c>
      <c r="J111" t="s">
        <v>453</v>
      </c>
      <c r="K111" t="s">
        <v>418</v>
      </c>
    </row>
    <row r="112" spans="6:11">
      <c r="F112" t="s">
        <v>247</v>
      </c>
      <c r="G112">
        <v>419000800</v>
      </c>
      <c r="H112" t="s">
        <v>454</v>
      </c>
      <c r="I112" t="s">
        <v>455</v>
      </c>
      <c r="J112" t="s">
        <v>455</v>
      </c>
      <c r="K112" t="s">
        <v>418</v>
      </c>
    </row>
    <row r="113" spans="6:11">
      <c r="F113" t="s">
        <v>247</v>
      </c>
      <c r="G113">
        <v>419000900</v>
      </c>
      <c r="H113" t="s">
        <v>456</v>
      </c>
      <c r="I113" t="s">
        <v>457</v>
      </c>
      <c r="J113" t="s">
        <v>457</v>
      </c>
      <c r="K113" t="s">
        <v>418</v>
      </c>
    </row>
    <row r="114" spans="6:11">
      <c r="F114" t="s">
        <v>247</v>
      </c>
      <c r="G114">
        <v>419001000</v>
      </c>
      <c r="H114" t="s">
        <v>458</v>
      </c>
      <c r="I114" t="s">
        <v>459</v>
      </c>
      <c r="J114" t="s">
        <v>459</v>
      </c>
      <c r="K114" t="s">
        <v>418</v>
      </c>
    </row>
    <row r="115" spans="6:11">
      <c r="F115" t="s">
        <v>247</v>
      </c>
      <c r="G115">
        <v>419001100</v>
      </c>
      <c r="H115" t="s">
        <v>460</v>
      </c>
      <c r="I115" t="s">
        <v>461</v>
      </c>
      <c r="J115" t="s">
        <v>461</v>
      </c>
      <c r="K115" t="s">
        <v>418</v>
      </c>
    </row>
    <row r="116" spans="6:11">
      <c r="F116" t="s">
        <v>247</v>
      </c>
      <c r="G116">
        <v>419001200</v>
      </c>
      <c r="H116" t="s">
        <v>462</v>
      </c>
      <c r="I116" t="s">
        <v>463</v>
      </c>
      <c r="J116" t="s">
        <v>463</v>
      </c>
      <c r="K116" t="s">
        <v>418</v>
      </c>
    </row>
    <row r="117" spans="6:11">
      <c r="F117" t="s">
        <v>247</v>
      </c>
      <c r="G117">
        <v>419001300</v>
      </c>
      <c r="H117" t="s">
        <v>464</v>
      </c>
      <c r="I117" t="s">
        <v>465</v>
      </c>
      <c r="J117" t="s">
        <v>465</v>
      </c>
      <c r="K117" t="s">
        <v>418</v>
      </c>
    </row>
    <row r="118" spans="6:11">
      <c r="F118" t="s">
        <v>247</v>
      </c>
      <c r="G118">
        <v>419001400</v>
      </c>
      <c r="H118" t="s">
        <v>466</v>
      </c>
      <c r="I118" t="s">
        <v>467</v>
      </c>
      <c r="J118" t="s">
        <v>467</v>
      </c>
      <c r="K118" t="s">
        <v>418</v>
      </c>
    </row>
    <row r="119" spans="6:11">
      <c r="F119" t="s">
        <v>247</v>
      </c>
      <c r="G119">
        <v>419001500</v>
      </c>
      <c r="H119" t="s">
        <v>468</v>
      </c>
      <c r="I119" t="s">
        <v>469</v>
      </c>
      <c r="J119" t="s">
        <v>469</v>
      </c>
      <c r="K119" t="s">
        <v>418</v>
      </c>
    </row>
    <row r="120" spans="6:11">
      <c r="F120" t="s">
        <v>247</v>
      </c>
      <c r="G120">
        <v>419001600</v>
      </c>
      <c r="H120" t="s">
        <v>470</v>
      </c>
      <c r="I120" t="s">
        <v>471</v>
      </c>
      <c r="J120" t="s">
        <v>471</v>
      </c>
      <c r="K120" t="s">
        <v>418</v>
      </c>
    </row>
    <row r="121" spans="6:11">
      <c r="F121" t="s">
        <v>247</v>
      </c>
      <c r="G121">
        <v>419001700</v>
      </c>
      <c r="H121" t="s">
        <v>472</v>
      </c>
      <c r="I121" t="s">
        <v>473</v>
      </c>
      <c r="J121" t="s">
        <v>473</v>
      </c>
      <c r="K121" t="s">
        <v>418</v>
      </c>
    </row>
    <row r="122" spans="6:11">
      <c r="F122" t="s">
        <v>247</v>
      </c>
      <c r="G122">
        <v>419001800</v>
      </c>
      <c r="H122" t="s">
        <v>474</v>
      </c>
      <c r="I122" t="s">
        <v>475</v>
      </c>
      <c r="J122" t="s">
        <v>475</v>
      </c>
      <c r="K122" t="s">
        <v>418</v>
      </c>
    </row>
    <row r="123" spans="6:11">
      <c r="F123" t="s">
        <v>247</v>
      </c>
      <c r="G123">
        <v>419001900</v>
      </c>
      <c r="H123" t="s">
        <v>476</v>
      </c>
      <c r="I123" t="s">
        <v>477</v>
      </c>
      <c r="J123" t="s">
        <v>477</v>
      </c>
      <c r="K123" t="s">
        <v>418</v>
      </c>
    </row>
    <row r="124" spans="6:11">
      <c r="F124" t="s">
        <v>247</v>
      </c>
      <c r="G124">
        <v>419002000</v>
      </c>
      <c r="H124" t="s">
        <v>478</v>
      </c>
      <c r="I124" t="s">
        <v>479</v>
      </c>
      <c r="J124" t="s">
        <v>479</v>
      </c>
      <c r="K124" t="s">
        <v>418</v>
      </c>
    </row>
    <row r="125" spans="6:11">
      <c r="F125" t="s">
        <v>247</v>
      </c>
      <c r="G125">
        <v>419002100</v>
      </c>
      <c r="H125" t="s">
        <v>480</v>
      </c>
      <c r="I125" t="s">
        <v>481</v>
      </c>
      <c r="J125" t="s">
        <v>481</v>
      </c>
      <c r="K125" t="s">
        <v>418</v>
      </c>
    </row>
    <row r="126" spans="6:11">
      <c r="F126" t="s">
        <v>247</v>
      </c>
      <c r="G126">
        <v>419002200</v>
      </c>
      <c r="H126" t="s">
        <v>482</v>
      </c>
      <c r="I126" t="s">
        <v>483</v>
      </c>
      <c r="J126" t="s">
        <v>483</v>
      </c>
      <c r="K126" t="s">
        <v>418</v>
      </c>
    </row>
    <row r="127" spans="6:11">
      <c r="F127" t="s">
        <v>247</v>
      </c>
      <c r="G127">
        <v>419002300</v>
      </c>
      <c r="H127" t="s">
        <v>484</v>
      </c>
      <c r="I127" t="s">
        <v>485</v>
      </c>
      <c r="J127" t="s">
        <v>485</v>
      </c>
      <c r="K127" t="s">
        <v>418</v>
      </c>
    </row>
    <row r="128" spans="6:11">
      <c r="F128" t="s">
        <v>247</v>
      </c>
      <c r="G128">
        <v>419002400</v>
      </c>
      <c r="H128" t="s">
        <v>486</v>
      </c>
      <c r="I128" t="s">
        <v>487</v>
      </c>
      <c r="J128" t="s">
        <v>487</v>
      </c>
      <c r="K128" t="s">
        <v>418</v>
      </c>
    </row>
    <row r="129" spans="6:11">
      <c r="F129" t="s">
        <v>247</v>
      </c>
      <c r="G129">
        <v>419002500</v>
      </c>
      <c r="H129" t="s">
        <v>488</v>
      </c>
      <c r="I129" t="s">
        <v>489</v>
      </c>
      <c r="J129" t="s">
        <v>489</v>
      </c>
      <c r="K129" t="s">
        <v>418</v>
      </c>
    </row>
    <row r="130" spans="6:11">
      <c r="F130" t="s">
        <v>247</v>
      </c>
      <c r="G130">
        <v>419002600</v>
      </c>
      <c r="H130" t="s">
        <v>490</v>
      </c>
      <c r="I130" t="s">
        <v>491</v>
      </c>
      <c r="J130" t="s">
        <v>491</v>
      </c>
      <c r="K130" t="s">
        <v>418</v>
      </c>
    </row>
    <row r="131" spans="6:11">
      <c r="F131" t="s">
        <v>247</v>
      </c>
      <c r="G131">
        <v>419002700</v>
      </c>
      <c r="H131" t="s">
        <v>492</v>
      </c>
      <c r="I131" t="s">
        <v>493</v>
      </c>
      <c r="J131" t="s">
        <v>493</v>
      </c>
      <c r="K131" t="s">
        <v>418</v>
      </c>
    </row>
    <row r="132" spans="6:11">
      <c r="F132" t="s">
        <v>247</v>
      </c>
      <c r="G132">
        <v>419002800</v>
      </c>
      <c r="H132" t="s">
        <v>494</v>
      </c>
      <c r="I132" t="s">
        <v>495</v>
      </c>
      <c r="J132" t="s">
        <v>495</v>
      </c>
      <c r="K132" t="s">
        <v>418</v>
      </c>
    </row>
    <row r="133" spans="6:11">
      <c r="F133" t="s">
        <v>247</v>
      </c>
      <c r="G133">
        <v>419002900</v>
      </c>
      <c r="H133" t="s">
        <v>496</v>
      </c>
      <c r="I133" t="s">
        <v>497</v>
      </c>
      <c r="J133" t="s">
        <v>497</v>
      </c>
      <c r="K133" t="s">
        <v>418</v>
      </c>
    </row>
    <row r="134" spans="6:11">
      <c r="F134" t="s">
        <v>247</v>
      </c>
      <c r="G134">
        <v>419003000</v>
      </c>
      <c r="H134" t="s">
        <v>498</v>
      </c>
      <c r="I134" t="s">
        <v>499</v>
      </c>
      <c r="J134" t="s">
        <v>500</v>
      </c>
      <c r="K134" t="s">
        <v>418</v>
      </c>
    </row>
    <row r="135" spans="6:11">
      <c r="F135" t="s">
        <v>247</v>
      </c>
      <c r="G135">
        <v>419003100</v>
      </c>
      <c r="H135" t="s">
        <v>501</v>
      </c>
      <c r="I135" t="s">
        <v>502</v>
      </c>
      <c r="J135" t="s">
        <v>502</v>
      </c>
      <c r="K135" t="s">
        <v>418</v>
      </c>
    </row>
    <row r="136" spans="6:11">
      <c r="F136" t="s">
        <v>247</v>
      </c>
      <c r="G136">
        <v>419003200</v>
      </c>
      <c r="H136" t="s">
        <v>503</v>
      </c>
      <c r="I136" t="s">
        <v>504</v>
      </c>
      <c r="J136" t="s">
        <v>504</v>
      </c>
      <c r="K136" t="s">
        <v>418</v>
      </c>
    </row>
    <row r="137" spans="6:11">
      <c r="F137" t="s">
        <v>247</v>
      </c>
      <c r="G137">
        <v>419003300</v>
      </c>
      <c r="H137" t="s">
        <v>505</v>
      </c>
      <c r="I137" t="s">
        <v>506</v>
      </c>
      <c r="J137" t="s">
        <v>506</v>
      </c>
      <c r="K137" t="s">
        <v>418</v>
      </c>
    </row>
    <row r="138" spans="6:11">
      <c r="F138" t="s">
        <v>247</v>
      </c>
      <c r="G138">
        <v>419003400</v>
      </c>
      <c r="H138" t="s">
        <v>507</v>
      </c>
      <c r="I138" t="s">
        <v>508</v>
      </c>
      <c r="J138" t="s">
        <v>508</v>
      </c>
      <c r="K138" t="s">
        <v>418</v>
      </c>
    </row>
    <row r="139" spans="6:11">
      <c r="F139" t="s">
        <v>247</v>
      </c>
      <c r="G139">
        <v>419003500</v>
      </c>
      <c r="H139" t="s">
        <v>509</v>
      </c>
      <c r="I139" t="s">
        <v>510</v>
      </c>
      <c r="J139" t="s">
        <v>510</v>
      </c>
      <c r="K139" t="s">
        <v>418</v>
      </c>
    </row>
    <row r="140" spans="6:11">
      <c r="F140" t="s">
        <v>247</v>
      </c>
      <c r="G140">
        <v>419003600</v>
      </c>
      <c r="H140" t="s">
        <v>511</v>
      </c>
      <c r="I140" t="s">
        <v>512</v>
      </c>
      <c r="J140" t="s">
        <v>512</v>
      </c>
      <c r="K140" t="s">
        <v>418</v>
      </c>
    </row>
    <row r="141" spans="6:11">
      <c r="F141" t="s">
        <v>247</v>
      </c>
      <c r="G141">
        <v>419003700</v>
      </c>
      <c r="H141" t="s">
        <v>513</v>
      </c>
      <c r="I141" t="s">
        <v>514</v>
      </c>
      <c r="J141" t="s">
        <v>514</v>
      </c>
      <c r="K141" t="s">
        <v>418</v>
      </c>
    </row>
    <row r="142" spans="6:11">
      <c r="F142" t="s">
        <v>247</v>
      </c>
      <c r="G142">
        <v>420000100</v>
      </c>
      <c r="H142" t="s">
        <v>515</v>
      </c>
      <c r="I142" t="s">
        <v>516</v>
      </c>
      <c r="J142" t="s">
        <v>516</v>
      </c>
      <c r="K142" t="s">
        <v>517</v>
      </c>
    </row>
    <row r="143" spans="6:11">
      <c r="F143" t="s">
        <v>247</v>
      </c>
      <c r="G143">
        <v>420000200</v>
      </c>
      <c r="H143" t="s">
        <v>518</v>
      </c>
      <c r="I143" t="s">
        <v>519</v>
      </c>
      <c r="J143" t="s">
        <v>519</v>
      </c>
      <c r="K143" t="s">
        <v>517</v>
      </c>
    </row>
    <row r="144" spans="6:11">
      <c r="F144" t="s">
        <v>247</v>
      </c>
      <c r="G144">
        <v>420000300</v>
      </c>
      <c r="H144" t="s">
        <v>520</v>
      </c>
      <c r="I144" t="s">
        <v>521</v>
      </c>
      <c r="J144" t="s">
        <v>521</v>
      </c>
      <c r="K144" t="s">
        <v>517</v>
      </c>
    </row>
    <row r="145" spans="6:11">
      <c r="F145" t="s">
        <v>247</v>
      </c>
      <c r="G145">
        <v>420000400</v>
      </c>
      <c r="H145" t="s">
        <v>522</v>
      </c>
      <c r="I145" t="s">
        <v>523</v>
      </c>
      <c r="J145" t="s">
        <v>523</v>
      </c>
      <c r="K145" t="s">
        <v>517</v>
      </c>
    </row>
    <row r="146" spans="6:11">
      <c r="F146" t="s">
        <v>247</v>
      </c>
      <c r="G146">
        <v>420000500</v>
      </c>
      <c r="H146" t="s">
        <v>524</v>
      </c>
      <c r="I146" t="s">
        <v>525</v>
      </c>
      <c r="J146" t="s">
        <v>525</v>
      </c>
      <c r="K146" t="s">
        <v>517</v>
      </c>
    </row>
    <row r="147" spans="6:11">
      <c r="F147" t="s">
        <v>247</v>
      </c>
      <c r="G147">
        <v>420000600</v>
      </c>
      <c r="H147" t="s">
        <v>526</v>
      </c>
      <c r="I147" t="s">
        <v>527</v>
      </c>
      <c r="J147" t="s">
        <v>527</v>
      </c>
      <c r="K147" t="s">
        <v>517</v>
      </c>
    </row>
    <row r="148" spans="6:11">
      <c r="F148" t="s">
        <v>247</v>
      </c>
      <c r="G148">
        <v>421000100</v>
      </c>
      <c r="H148" t="s">
        <v>528</v>
      </c>
      <c r="I148" t="s">
        <v>529</v>
      </c>
      <c r="J148" t="s">
        <v>529</v>
      </c>
      <c r="K148" t="s">
        <v>530</v>
      </c>
    </row>
    <row r="149" spans="6:11">
      <c r="F149" t="s">
        <v>247</v>
      </c>
      <c r="G149">
        <v>423000000</v>
      </c>
      <c r="H149" t="s">
        <v>531</v>
      </c>
      <c r="I149" t="s">
        <v>532</v>
      </c>
      <c r="J149" t="s">
        <v>532</v>
      </c>
      <c r="K149" t="s">
        <v>531</v>
      </c>
    </row>
    <row r="150" spans="6:11">
      <c r="F150" t="s">
        <v>247</v>
      </c>
      <c r="G150">
        <v>413051200</v>
      </c>
      <c r="H150" t="s">
        <v>533</v>
      </c>
      <c r="I150" t="s">
        <v>534</v>
      </c>
      <c r="J150" t="s">
        <v>535</v>
      </c>
      <c r="K150" t="s">
        <v>371</v>
      </c>
    </row>
    <row r="151" spans="6:11">
      <c r="F151" t="s">
        <v>536</v>
      </c>
      <c r="G151">
        <v>1</v>
      </c>
      <c r="H151" t="s">
        <v>537</v>
      </c>
      <c r="I151" t="s">
        <v>538</v>
      </c>
      <c r="J151" t="s">
        <v>538</v>
      </c>
      <c r="K151" t="s">
        <v>537</v>
      </c>
    </row>
    <row r="152" spans="6:11">
      <c r="F152" t="s">
        <v>536</v>
      </c>
      <c r="G152">
        <v>1</v>
      </c>
      <c r="H152" t="s">
        <v>539</v>
      </c>
      <c r="I152" t="s">
        <v>540</v>
      </c>
      <c r="J152" t="s">
        <v>540</v>
      </c>
      <c r="K152" t="s">
        <v>539</v>
      </c>
    </row>
    <row r="153" spans="6:11">
      <c r="F153" t="s">
        <v>536</v>
      </c>
      <c r="G153">
        <v>1</v>
      </c>
      <c r="H153" t="s">
        <v>541</v>
      </c>
      <c r="I153" t="s">
        <v>23</v>
      </c>
      <c r="J153" t="s">
        <v>23</v>
      </c>
      <c r="K153" t="s">
        <v>541</v>
      </c>
    </row>
    <row r="154" spans="6:11">
      <c r="F154" t="s">
        <v>536</v>
      </c>
      <c r="G154">
        <v>1</v>
      </c>
      <c r="H154" t="s">
        <v>542</v>
      </c>
      <c r="I154" t="s">
        <v>543</v>
      </c>
      <c r="J154" t="s">
        <v>543</v>
      </c>
      <c r="K154" t="s">
        <v>542</v>
      </c>
    </row>
    <row r="155" spans="6:11">
      <c r="F155" t="s">
        <v>536</v>
      </c>
      <c r="G155">
        <v>18</v>
      </c>
      <c r="H155" t="s">
        <v>544</v>
      </c>
      <c r="I155" t="s">
        <v>242</v>
      </c>
      <c r="J155" t="s">
        <v>242</v>
      </c>
      <c r="K155" t="s">
        <v>544</v>
      </c>
    </row>
    <row r="156" spans="6:11">
      <c r="F156" t="s">
        <v>536</v>
      </c>
      <c r="G156">
        <v>18</v>
      </c>
      <c r="H156" t="s">
        <v>545</v>
      </c>
      <c r="I156" t="s">
        <v>546</v>
      </c>
      <c r="J156" t="s">
        <v>240</v>
      </c>
      <c r="K156" t="s">
        <v>545</v>
      </c>
    </row>
    <row r="157" spans="6:11">
      <c r="F157" t="s">
        <v>536</v>
      </c>
      <c r="G157">
        <v>20</v>
      </c>
      <c r="H157" t="s">
        <v>547</v>
      </c>
      <c r="I157" t="s">
        <v>548</v>
      </c>
      <c r="J157" t="s">
        <v>548</v>
      </c>
      <c r="K157" t="s">
        <v>547</v>
      </c>
    </row>
    <row r="158" spans="6:11">
      <c r="F158" t="s">
        <v>536</v>
      </c>
      <c r="G158">
        <v>20</v>
      </c>
      <c r="H158" t="s">
        <v>549</v>
      </c>
      <c r="I158" t="s">
        <v>550</v>
      </c>
      <c r="J158" t="s">
        <v>550</v>
      </c>
      <c r="K158" t="s">
        <v>549</v>
      </c>
    </row>
    <row r="159" spans="6:11">
      <c r="F159" t="s">
        <v>536</v>
      </c>
      <c r="G159">
        <v>27</v>
      </c>
      <c r="H159" t="s">
        <v>551</v>
      </c>
      <c r="I159" t="s">
        <v>552</v>
      </c>
      <c r="J159" t="s">
        <v>552</v>
      </c>
      <c r="K159" t="s">
        <v>551</v>
      </c>
    </row>
    <row r="160" spans="6:11">
      <c r="F160" t="s">
        <v>536</v>
      </c>
      <c r="G160">
        <v>27</v>
      </c>
      <c r="H160" t="s">
        <v>553</v>
      </c>
      <c r="I160" t="s">
        <v>554</v>
      </c>
      <c r="J160" t="s">
        <v>554</v>
      </c>
      <c r="K160" t="s">
        <v>553</v>
      </c>
    </row>
    <row r="161" spans="6:11">
      <c r="F161" t="s">
        <v>536</v>
      </c>
      <c r="G161">
        <v>27</v>
      </c>
      <c r="H161" t="s">
        <v>555</v>
      </c>
      <c r="I161" t="s">
        <v>556</v>
      </c>
      <c r="J161" t="s">
        <v>556</v>
      </c>
      <c r="K161" t="s">
        <v>555</v>
      </c>
    </row>
    <row r="162" spans="6:11">
      <c r="F162" t="s">
        <v>536</v>
      </c>
      <c r="G162">
        <v>32</v>
      </c>
      <c r="H162" t="s">
        <v>557</v>
      </c>
      <c r="I162" t="s">
        <v>558</v>
      </c>
      <c r="J162" t="s">
        <v>558</v>
      </c>
      <c r="K162" t="s">
        <v>557</v>
      </c>
    </row>
    <row r="163" spans="6:11">
      <c r="F163" t="s">
        <v>536</v>
      </c>
      <c r="G163">
        <v>32</v>
      </c>
      <c r="H163" t="s">
        <v>559</v>
      </c>
      <c r="I163" t="s">
        <v>560</v>
      </c>
      <c r="J163" t="s">
        <v>560</v>
      </c>
      <c r="K163" t="s">
        <v>559</v>
      </c>
    </row>
    <row r="164" spans="6:11">
      <c r="F164" t="s">
        <v>536</v>
      </c>
      <c r="G164">
        <v>52</v>
      </c>
      <c r="H164" t="s">
        <v>561</v>
      </c>
      <c r="I164" t="s">
        <v>562</v>
      </c>
      <c r="J164" t="s">
        <v>563</v>
      </c>
      <c r="K164" t="s">
        <v>561</v>
      </c>
    </row>
    <row r="165" spans="6:11">
      <c r="F165" t="s">
        <v>536</v>
      </c>
      <c r="G165">
        <v>52</v>
      </c>
      <c r="H165" t="s">
        <v>564</v>
      </c>
      <c r="I165" t="s">
        <v>565</v>
      </c>
      <c r="J165" t="s">
        <v>565</v>
      </c>
      <c r="K165" t="s">
        <v>564</v>
      </c>
    </row>
    <row r="166" spans="6:11">
      <c r="F166" t="s">
        <v>536</v>
      </c>
      <c r="G166">
        <v>59</v>
      </c>
      <c r="H166" t="s">
        <v>566</v>
      </c>
      <c r="I166" t="s">
        <v>567</v>
      </c>
      <c r="J166" t="s">
        <v>568</v>
      </c>
      <c r="K166" t="s">
        <v>566</v>
      </c>
    </row>
    <row r="167" spans="6:11">
      <c r="F167" t="s">
        <v>536</v>
      </c>
      <c r="G167">
        <v>66</v>
      </c>
      <c r="H167" t="s">
        <v>569</v>
      </c>
      <c r="I167" t="s">
        <v>570</v>
      </c>
      <c r="J167" t="s">
        <v>340</v>
      </c>
      <c r="K167" t="s">
        <v>569</v>
      </c>
    </row>
    <row r="168" spans="6:11">
      <c r="F168" t="s">
        <v>536</v>
      </c>
      <c r="G168">
        <v>1</v>
      </c>
      <c r="H168" t="s">
        <v>571</v>
      </c>
      <c r="I168" t="s">
        <v>187</v>
      </c>
      <c r="J168" t="s">
        <v>187</v>
      </c>
      <c r="K168" t="s">
        <v>571</v>
      </c>
    </row>
    <row r="169" spans="6:11">
      <c r="F169" t="s">
        <v>536</v>
      </c>
      <c r="G169">
        <v>1</v>
      </c>
      <c r="H169" t="s">
        <v>572</v>
      </c>
      <c r="I169" t="s">
        <v>188</v>
      </c>
      <c r="J169" t="s">
        <v>188</v>
      </c>
      <c r="K169" t="s">
        <v>572</v>
      </c>
    </row>
    <row r="170" spans="6:11">
      <c r="F170" t="s">
        <v>536</v>
      </c>
      <c r="G170">
        <v>1</v>
      </c>
      <c r="H170" t="s">
        <v>573</v>
      </c>
      <c r="I170" t="s">
        <v>192</v>
      </c>
      <c r="J170" t="s">
        <v>192</v>
      </c>
      <c r="K170" t="s">
        <v>573</v>
      </c>
    </row>
    <row r="171" spans="6:11">
      <c r="F171" t="s">
        <v>536</v>
      </c>
      <c r="G171">
        <v>1</v>
      </c>
      <c r="H171" t="s">
        <v>574</v>
      </c>
      <c r="I171" t="s">
        <v>287</v>
      </c>
      <c r="J171" t="s">
        <v>575</v>
      </c>
      <c r="K171" t="s">
        <v>574</v>
      </c>
    </row>
    <row r="172" spans="6:11">
      <c r="F172" t="s">
        <v>576</v>
      </c>
      <c r="G172">
        <v>10</v>
      </c>
      <c r="H172" t="s">
        <v>577</v>
      </c>
      <c r="I172" t="s">
        <v>578</v>
      </c>
      <c r="J172" t="s">
        <v>579</v>
      </c>
      <c r="K172" t="s">
        <v>580</v>
      </c>
    </row>
    <row r="173" spans="6:11">
      <c r="F173" t="s">
        <v>576</v>
      </c>
      <c r="G173">
        <v>20</v>
      </c>
      <c r="H173" t="s">
        <v>581</v>
      </c>
      <c r="I173" t="s">
        <v>582</v>
      </c>
      <c r="J173" t="s">
        <v>583</v>
      </c>
      <c r="K173" t="s">
        <v>584</v>
      </c>
    </row>
    <row r="174" spans="6:11">
      <c r="F174" t="s">
        <v>576</v>
      </c>
      <c r="G174">
        <v>30</v>
      </c>
      <c r="H174" t="s">
        <v>585</v>
      </c>
      <c r="I174" t="s">
        <v>586</v>
      </c>
      <c r="J174" t="s">
        <v>587</v>
      </c>
      <c r="K174" t="s">
        <v>588</v>
      </c>
    </row>
    <row r="175" spans="6:11">
      <c r="F175" t="s">
        <v>576</v>
      </c>
      <c r="G175">
        <v>40</v>
      </c>
      <c r="H175" t="s">
        <v>589</v>
      </c>
      <c r="I175" t="s">
        <v>590</v>
      </c>
      <c r="J175" t="s">
        <v>591</v>
      </c>
      <c r="K175" t="s">
        <v>592</v>
      </c>
    </row>
    <row r="176" spans="6:11">
      <c r="F176" t="s">
        <v>576</v>
      </c>
      <c r="G176">
        <v>50</v>
      </c>
      <c r="H176" t="s">
        <v>593</v>
      </c>
      <c r="I176" t="s">
        <v>594</v>
      </c>
      <c r="J176" t="s">
        <v>595</v>
      </c>
      <c r="K176" t="s">
        <v>596</v>
      </c>
    </row>
    <row r="177" spans="6:11">
      <c r="F177" t="s">
        <v>576</v>
      </c>
      <c r="G177">
        <v>70</v>
      </c>
      <c r="H177" t="s">
        <v>597</v>
      </c>
      <c r="I177" t="s">
        <v>243</v>
      </c>
      <c r="J177" t="s">
        <v>598</v>
      </c>
      <c r="K177" t="s">
        <v>599</v>
      </c>
    </row>
    <row r="178" spans="6:11">
      <c r="F178" t="s">
        <v>576</v>
      </c>
      <c r="G178">
        <v>80</v>
      </c>
      <c r="H178" t="s">
        <v>600</v>
      </c>
      <c r="I178" t="s">
        <v>601</v>
      </c>
      <c r="J178" t="s">
        <v>602</v>
      </c>
      <c r="K178" t="s">
        <v>603</v>
      </c>
    </row>
    <row r="179" spans="6:11">
      <c r="F179" t="s">
        <v>576</v>
      </c>
      <c r="G179">
        <v>100</v>
      </c>
      <c r="H179" t="s">
        <v>604</v>
      </c>
      <c r="I179" t="s">
        <v>605</v>
      </c>
      <c r="J179" t="s">
        <v>606</v>
      </c>
      <c r="K179" t="s">
        <v>607</v>
      </c>
    </row>
    <row r="180" spans="6:11">
      <c r="F180" t="s">
        <v>576</v>
      </c>
      <c r="G180">
        <v>110</v>
      </c>
      <c r="H180" t="s">
        <v>608</v>
      </c>
      <c r="I180" t="s">
        <v>609</v>
      </c>
      <c r="J180" t="s">
        <v>610</v>
      </c>
      <c r="K180" t="s">
        <v>611</v>
      </c>
    </row>
    <row r="181" spans="6:11">
      <c r="F181" t="s">
        <v>576</v>
      </c>
      <c r="G181">
        <v>120</v>
      </c>
      <c r="H181" t="s">
        <v>612</v>
      </c>
      <c r="I181" t="s">
        <v>613</v>
      </c>
      <c r="J181" t="s">
        <v>614</v>
      </c>
      <c r="K181" t="s">
        <v>615</v>
      </c>
    </row>
    <row r="182" spans="6:11">
      <c r="F182" t="s">
        <v>576</v>
      </c>
      <c r="G182">
        <v>140</v>
      </c>
      <c r="H182" t="s">
        <v>616</v>
      </c>
      <c r="I182" t="s">
        <v>617</v>
      </c>
      <c r="J182" t="s">
        <v>618</v>
      </c>
      <c r="K182" t="s">
        <v>619</v>
      </c>
    </row>
    <row r="183" spans="6:11">
      <c r="F183" t="s">
        <v>576</v>
      </c>
      <c r="G183">
        <v>150</v>
      </c>
      <c r="H183" t="s">
        <v>620</v>
      </c>
      <c r="I183" t="s">
        <v>621</v>
      </c>
      <c r="J183" t="s">
        <v>622</v>
      </c>
      <c r="K183" t="s">
        <v>623</v>
      </c>
    </row>
    <row r="184" spans="6:11">
      <c r="F184" t="s">
        <v>576</v>
      </c>
      <c r="G184">
        <v>160</v>
      </c>
      <c r="H184" t="s">
        <v>624</v>
      </c>
      <c r="I184" t="s">
        <v>625</v>
      </c>
      <c r="J184" t="s">
        <v>626</v>
      </c>
      <c r="K184" t="s">
        <v>627</v>
      </c>
    </row>
    <row r="185" spans="6:11">
      <c r="F185" t="s">
        <v>576</v>
      </c>
      <c r="G185">
        <v>170</v>
      </c>
      <c r="H185" t="s">
        <v>628</v>
      </c>
      <c r="I185" t="s">
        <v>629</v>
      </c>
      <c r="J185" t="s">
        <v>630</v>
      </c>
      <c r="K185" t="s">
        <v>631</v>
      </c>
    </row>
    <row r="186" spans="6:11">
      <c r="F186" t="s">
        <v>576</v>
      </c>
      <c r="G186">
        <v>180</v>
      </c>
      <c r="H186" t="s">
        <v>632</v>
      </c>
      <c r="I186" t="s">
        <v>633</v>
      </c>
      <c r="J186" t="s">
        <v>634</v>
      </c>
      <c r="K186" t="s">
        <v>635</v>
      </c>
    </row>
    <row r="187" spans="6:11">
      <c r="F187" t="s">
        <v>576</v>
      </c>
      <c r="G187">
        <v>190</v>
      </c>
      <c r="H187" t="s">
        <v>636</v>
      </c>
      <c r="I187" t="s">
        <v>637</v>
      </c>
      <c r="J187" t="s">
        <v>638</v>
      </c>
      <c r="K187" t="s">
        <v>639</v>
      </c>
    </row>
    <row r="188" spans="6:11">
      <c r="F188" t="s">
        <v>576</v>
      </c>
      <c r="G188">
        <v>200</v>
      </c>
      <c r="H188" t="s">
        <v>640</v>
      </c>
      <c r="I188" t="s">
        <v>641</v>
      </c>
      <c r="J188" t="s">
        <v>642</v>
      </c>
      <c r="K188" t="s">
        <v>643</v>
      </c>
    </row>
    <row r="189" spans="6:11">
      <c r="F189" t="s">
        <v>576</v>
      </c>
      <c r="G189">
        <v>210</v>
      </c>
      <c r="H189" t="s">
        <v>644</v>
      </c>
      <c r="I189" t="s">
        <v>645</v>
      </c>
      <c r="J189" t="s">
        <v>646</v>
      </c>
      <c r="K189" t="s">
        <v>647</v>
      </c>
    </row>
    <row r="190" spans="6:11">
      <c r="F190" t="s">
        <v>576</v>
      </c>
      <c r="G190">
        <v>220</v>
      </c>
      <c r="H190" t="s">
        <v>648</v>
      </c>
      <c r="I190" t="s">
        <v>649</v>
      </c>
      <c r="J190" t="s">
        <v>650</v>
      </c>
      <c r="K190" t="s">
        <v>651</v>
      </c>
    </row>
    <row r="191" spans="6:11">
      <c r="F191" t="s">
        <v>576</v>
      </c>
      <c r="G191">
        <v>230</v>
      </c>
      <c r="H191" t="s">
        <v>652</v>
      </c>
      <c r="I191" t="s">
        <v>653</v>
      </c>
      <c r="J191" t="s">
        <v>654</v>
      </c>
      <c r="K191" t="s">
        <v>655</v>
      </c>
    </row>
    <row r="192" spans="6:11">
      <c r="F192" t="s">
        <v>576</v>
      </c>
      <c r="G192">
        <v>240</v>
      </c>
      <c r="H192" t="s">
        <v>656</v>
      </c>
      <c r="I192" t="s">
        <v>657</v>
      </c>
      <c r="J192" t="s">
        <v>658</v>
      </c>
      <c r="K192" t="s">
        <v>659</v>
      </c>
    </row>
    <row r="193" spans="6:11">
      <c r="F193" t="s">
        <v>576</v>
      </c>
      <c r="G193">
        <v>250</v>
      </c>
      <c r="H193" t="s">
        <v>660</v>
      </c>
      <c r="I193" t="s">
        <v>661</v>
      </c>
      <c r="J193" t="s">
        <v>662</v>
      </c>
      <c r="K193" t="s">
        <v>663</v>
      </c>
    </row>
    <row r="194" spans="6:11">
      <c r="F194" t="s">
        <v>576</v>
      </c>
      <c r="G194">
        <v>260</v>
      </c>
      <c r="H194" t="s">
        <v>664</v>
      </c>
      <c r="I194" t="s">
        <v>665</v>
      </c>
      <c r="J194" t="s">
        <v>666</v>
      </c>
      <c r="K194" t="s">
        <v>667</v>
      </c>
    </row>
    <row r="195" spans="6:11">
      <c r="F195" t="s">
        <v>576</v>
      </c>
      <c r="G195">
        <v>270</v>
      </c>
      <c r="H195" t="s">
        <v>668</v>
      </c>
      <c r="I195" t="s">
        <v>669</v>
      </c>
      <c r="J195" t="s">
        <v>670</v>
      </c>
      <c r="K195" t="s">
        <v>671</v>
      </c>
    </row>
    <row r="196" spans="6:11">
      <c r="F196" t="s">
        <v>576</v>
      </c>
      <c r="G196">
        <v>280</v>
      </c>
      <c r="H196" t="s">
        <v>672</v>
      </c>
      <c r="I196" t="s">
        <v>673</v>
      </c>
      <c r="J196" t="s">
        <v>674</v>
      </c>
      <c r="K196" t="s">
        <v>675</v>
      </c>
    </row>
    <row r="197" spans="6:11">
      <c r="F197" t="s">
        <v>576</v>
      </c>
      <c r="G197">
        <v>290</v>
      </c>
      <c r="H197" t="s">
        <v>676</v>
      </c>
      <c r="I197" t="s">
        <v>677</v>
      </c>
      <c r="J197" t="s">
        <v>678</v>
      </c>
      <c r="K197" t="s">
        <v>679</v>
      </c>
    </row>
    <row r="198" spans="6:11">
      <c r="F198" t="s">
        <v>576</v>
      </c>
      <c r="G198">
        <v>300</v>
      </c>
      <c r="H198" t="s">
        <v>680</v>
      </c>
      <c r="I198" t="s">
        <v>681</v>
      </c>
      <c r="J198" t="s">
        <v>682</v>
      </c>
      <c r="K198" t="s">
        <v>683</v>
      </c>
    </row>
    <row r="199" spans="6:11">
      <c r="F199" t="s">
        <v>576</v>
      </c>
      <c r="G199">
        <v>310</v>
      </c>
      <c r="H199" t="s">
        <v>684</v>
      </c>
      <c r="I199" t="s">
        <v>685</v>
      </c>
      <c r="J199" t="s">
        <v>686</v>
      </c>
      <c r="K199" t="s">
        <v>687</v>
      </c>
    </row>
    <row r="200" spans="6:11">
      <c r="F200" t="s">
        <v>576</v>
      </c>
      <c r="G200">
        <v>320</v>
      </c>
      <c r="H200" t="s">
        <v>688</v>
      </c>
      <c r="I200" t="s">
        <v>689</v>
      </c>
      <c r="J200" t="s">
        <v>690</v>
      </c>
      <c r="K200" t="s">
        <v>691</v>
      </c>
    </row>
    <row r="201" spans="6:11">
      <c r="F201" t="s">
        <v>576</v>
      </c>
      <c r="G201">
        <v>330</v>
      </c>
      <c r="H201" t="s">
        <v>692</v>
      </c>
      <c r="I201" t="s">
        <v>693</v>
      </c>
      <c r="J201" t="s">
        <v>694</v>
      </c>
      <c r="K201" t="s">
        <v>695</v>
      </c>
    </row>
    <row r="202" spans="6:11">
      <c r="F202" t="s">
        <v>576</v>
      </c>
      <c r="G202">
        <v>350</v>
      </c>
      <c r="H202" t="s">
        <v>696</v>
      </c>
      <c r="I202" t="s">
        <v>697</v>
      </c>
      <c r="J202" t="s">
        <v>698</v>
      </c>
      <c r="K202" t="s">
        <v>699</v>
      </c>
    </row>
    <row r="203" spans="6:11">
      <c r="F203" t="s">
        <v>576</v>
      </c>
      <c r="G203">
        <v>360</v>
      </c>
      <c r="H203" t="s">
        <v>700</v>
      </c>
      <c r="I203" t="s">
        <v>701</v>
      </c>
      <c r="J203" t="s">
        <v>702</v>
      </c>
      <c r="K203" t="s">
        <v>703</v>
      </c>
    </row>
    <row r="204" spans="6:11">
      <c r="F204" t="s">
        <v>576</v>
      </c>
      <c r="G204">
        <v>370</v>
      </c>
      <c r="H204" t="s">
        <v>704</v>
      </c>
      <c r="I204" t="s">
        <v>705</v>
      </c>
      <c r="J204" t="s">
        <v>706</v>
      </c>
      <c r="K204" t="s">
        <v>707</v>
      </c>
    </row>
    <row r="205" spans="6:11">
      <c r="F205" t="s">
        <v>576</v>
      </c>
      <c r="G205">
        <v>380</v>
      </c>
      <c r="H205" t="s">
        <v>708</v>
      </c>
      <c r="I205" t="s">
        <v>709</v>
      </c>
      <c r="J205" t="s">
        <v>710</v>
      </c>
      <c r="K205" t="s">
        <v>711</v>
      </c>
    </row>
    <row r="206" spans="6:11">
      <c r="F206" t="s">
        <v>576</v>
      </c>
      <c r="G206">
        <v>390</v>
      </c>
      <c r="H206" t="s">
        <v>712</v>
      </c>
      <c r="I206" t="s">
        <v>713</v>
      </c>
      <c r="J206" t="s">
        <v>714</v>
      </c>
      <c r="K206" t="s">
        <v>715</v>
      </c>
    </row>
    <row r="207" spans="6:11">
      <c r="F207" t="s">
        <v>576</v>
      </c>
      <c r="G207">
        <v>400</v>
      </c>
      <c r="H207" t="s">
        <v>716</v>
      </c>
      <c r="I207" t="s">
        <v>717</v>
      </c>
      <c r="J207" t="s">
        <v>718</v>
      </c>
      <c r="K207" t="s">
        <v>719</v>
      </c>
    </row>
    <row r="208" spans="6:11">
      <c r="F208" t="s">
        <v>576</v>
      </c>
      <c r="G208">
        <v>410</v>
      </c>
      <c r="H208" t="s">
        <v>720</v>
      </c>
      <c r="I208" t="s">
        <v>721</v>
      </c>
      <c r="J208" t="s">
        <v>722</v>
      </c>
      <c r="K208" t="s">
        <v>723</v>
      </c>
    </row>
    <row r="209" spans="6:11">
      <c r="F209" t="s">
        <v>576</v>
      </c>
      <c r="G209">
        <v>420</v>
      </c>
      <c r="H209" t="s">
        <v>724</v>
      </c>
      <c r="I209" t="s">
        <v>725</v>
      </c>
      <c r="J209" t="s">
        <v>726</v>
      </c>
      <c r="K209" t="s">
        <v>727</v>
      </c>
    </row>
    <row r="210" spans="6:11">
      <c r="F210" t="s">
        <v>576</v>
      </c>
      <c r="G210">
        <v>430</v>
      </c>
      <c r="H210" t="s">
        <v>728</v>
      </c>
      <c r="I210" t="s">
        <v>729</v>
      </c>
      <c r="J210" t="s">
        <v>730</v>
      </c>
      <c r="K210" t="s">
        <v>731</v>
      </c>
    </row>
    <row r="211" spans="6:11">
      <c r="F211" t="s">
        <v>576</v>
      </c>
      <c r="G211">
        <v>440</v>
      </c>
      <c r="H211" t="s">
        <v>732</v>
      </c>
      <c r="I211" t="s">
        <v>733</v>
      </c>
      <c r="J211" t="s">
        <v>734</v>
      </c>
      <c r="K211" t="s">
        <v>735</v>
      </c>
    </row>
    <row r="212" spans="6:11">
      <c r="F212" t="s">
        <v>576</v>
      </c>
      <c r="G212">
        <v>450</v>
      </c>
      <c r="H212" t="s">
        <v>736</v>
      </c>
      <c r="I212" t="s">
        <v>737</v>
      </c>
      <c r="J212" t="s">
        <v>738</v>
      </c>
      <c r="K212" t="s">
        <v>739</v>
      </c>
    </row>
    <row r="213" spans="6:11">
      <c r="F213" t="s">
        <v>576</v>
      </c>
      <c r="G213">
        <v>460</v>
      </c>
      <c r="H213" t="s">
        <v>740</v>
      </c>
      <c r="I213" t="s">
        <v>741</v>
      </c>
      <c r="J213" t="s">
        <v>742</v>
      </c>
      <c r="K213" t="s">
        <v>743</v>
      </c>
    </row>
    <row r="214" spans="6:11">
      <c r="F214" t="s">
        <v>576</v>
      </c>
      <c r="G214">
        <v>470</v>
      </c>
      <c r="H214" t="s">
        <v>744</v>
      </c>
      <c r="I214" t="s">
        <v>745</v>
      </c>
      <c r="J214" t="s">
        <v>746</v>
      </c>
      <c r="K214" t="s">
        <v>747</v>
      </c>
    </row>
    <row r="215" spans="6:11">
      <c r="F215" t="s">
        <v>576</v>
      </c>
      <c r="G215">
        <v>480</v>
      </c>
      <c r="H215" t="s">
        <v>748</v>
      </c>
      <c r="I215" t="s">
        <v>749</v>
      </c>
      <c r="J215" t="s">
        <v>750</v>
      </c>
      <c r="K215" t="s">
        <v>751</v>
      </c>
    </row>
    <row r="216" spans="6:11">
      <c r="F216" t="s">
        <v>576</v>
      </c>
      <c r="G216">
        <v>490</v>
      </c>
      <c r="H216" t="s">
        <v>752</v>
      </c>
      <c r="I216" t="s">
        <v>753</v>
      </c>
      <c r="J216" t="s">
        <v>754</v>
      </c>
      <c r="K216" t="s">
        <v>755</v>
      </c>
    </row>
    <row r="217" spans="6:11">
      <c r="F217" t="s">
        <v>576</v>
      </c>
      <c r="G217">
        <v>500</v>
      </c>
      <c r="H217" t="s">
        <v>756</v>
      </c>
      <c r="I217" t="s">
        <v>757</v>
      </c>
      <c r="J217" t="s">
        <v>758</v>
      </c>
      <c r="K217" t="s">
        <v>759</v>
      </c>
    </row>
    <row r="218" spans="6:11">
      <c r="F218" t="s">
        <v>576</v>
      </c>
      <c r="G218">
        <v>520</v>
      </c>
      <c r="H218" t="s">
        <v>760</v>
      </c>
      <c r="I218" t="s">
        <v>761</v>
      </c>
      <c r="J218" t="s">
        <v>762</v>
      </c>
      <c r="K218" t="s">
        <v>763</v>
      </c>
    </row>
    <row r="219" spans="6:11">
      <c r="F219" t="s">
        <v>576</v>
      </c>
      <c r="G219">
        <v>530</v>
      </c>
      <c r="H219" t="s">
        <v>764</v>
      </c>
      <c r="I219" t="s">
        <v>765</v>
      </c>
      <c r="J219" t="s">
        <v>766</v>
      </c>
      <c r="K219" t="s">
        <v>767</v>
      </c>
    </row>
    <row r="220" spans="6:11">
      <c r="F220" t="s">
        <v>576</v>
      </c>
      <c r="G220">
        <v>550</v>
      </c>
      <c r="H220" t="s">
        <v>768</v>
      </c>
      <c r="I220" t="s">
        <v>769</v>
      </c>
      <c r="J220" t="s">
        <v>770</v>
      </c>
      <c r="K220" t="s">
        <v>771</v>
      </c>
    </row>
    <row r="221" spans="6:11">
      <c r="F221" t="s">
        <v>576</v>
      </c>
      <c r="G221">
        <v>560</v>
      </c>
      <c r="H221" t="s">
        <v>772</v>
      </c>
      <c r="I221" t="s">
        <v>769</v>
      </c>
      <c r="J221" t="s">
        <v>770</v>
      </c>
      <c r="K221" t="s">
        <v>773</v>
      </c>
    </row>
    <row r="222" spans="6:11">
      <c r="F222" t="s">
        <v>576</v>
      </c>
      <c r="G222">
        <v>570</v>
      </c>
      <c r="H222" t="s">
        <v>774</v>
      </c>
      <c r="I222" t="s">
        <v>775</v>
      </c>
      <c r="J222" t="s">
        <v>776</v>
      </c>
      <c r="K222" t="s">
        <v>777</v>
      </c>
    </row>
    <row r="223" spans="6:11">
      <c r="F223" t="s">
        <v>576</v>
      </c>
      <c r="G223">
        <v>580</v>
      </c>
      <c r="H223" t="s">
        <v>778</v>
      </c>
      <c r="I223" t="s">
        <v>779</v>
      </c>
      <c r="J223" t="s">
        <v>780</v>
      </c>
      <c r="K223" t="s">
        <v>781</v>
      </c>
    </row>
    <row r="224" spans="6:11">
      <c r="F224" t="s">
        <v>576</v>
      </c>
      <c r="G224">
        <v>590</v>
      </c>
      <c r="H224" t="s">
        <v>782</v>
      </c>
      <c r="I224" t="s">
        <v>783</v>
      </c>
      <c r="J224" t="s">
        <v>784</v>
      </c>
      <c r="K224" t="s">
        <v>785</v>
      </c>
    </row>
    <row r="225" spans="6:11">
      <c r="F225" t="s">
        <v>786</v>
      </c>
      <c r="G225">
        <v>9999</v>
      </c>
      <c r="H225" t="s">
        <v>531</v>
      </c>
      <c r="I225" t="s">
        <v>787</v>
      </c>
      <c r="J225" t="s">
        <v>787</v>
      </c>
      <c r="K225" t="s">
        <v>531</v>
      </c>
    </row>
    <row r="226" spans="6:11">
      <c r="F226" t="s">
        <v>786</v>
      </c>
      <c r="G226">
        <v>9999</v>
      </c>
      <c r="H226" t="s">
        <v>788</v>
      </c>
      <c r="I226" t="s">
        <v>789</v>
      </c>
      <c r="J226" t="s">
        <v>790</v>
      </c>
      <c r="K226" t="s">
        <v>791</v>
      </c>
    </row>
    <row r="227" spans="6:11">
      <c r="F227" t="s">
        <v>786</v>
      </c>
      <c r="G227">
        <v>9999</v>
      </c>
      <c r="H227" t="s">
        <v>792</v>
      </c>
      <c r="I227" t="s">
        <v>793</v>
      </c>
      <c r="J227" t="s">
        <v>794</v>
      </c>
      <c r="K227" t="s">
        <v>795</v>
      </c>
    </row>
    <row r="228" spans="6:11">
      <c r="F228" t="s">
        <v>786</v>
      </c>
      <c r="G228">
        <v>405</v>
      </c>
      <c r="H228" t="s">
        <v>796</v>
      </c>
      <c r="I228" t="s">
        <v>797</v>
      </c>
      <c r="J228" t="s">
        <v>798</v>
      </c>
      <c r="K228" t="s">
        <v>799</v>
      </c>
    </row>
    <row r="229" spans="6:11">
      <c r="F229" t="s">
        <v>786</v>
      </c>
      <c r="H229" t="s">
        <v>205</v>
      </c>
      <c r="I229" t="s">
        <v>800</v>
      </c>
      <c r="J229" t="s">
        <v>801</v>
      </c>
      <c r="K229" t="s">
        <v>802</v>
      </c>
    </row>
    <row r="230" spans="6:11">
      <c r="F230" t="s">
        <v>786</v>
      </c>
      <c r="H230" t="s">
        <v>803</v>
      </c>
      <c r="I230" t="s">
        <v>804</v>
      </c>
      <c r="J230" t="s">
        <v>805</v>
      </c>
      <c r="K230" t="s">
        <v>806</v>
      </c>
    </row>
    <row r="231" spans="6:11">
      <c r="F231" t="s">
        <v>786</v>
      </c>
      <c r="H231" t="s">
        <v>803</v>
      </c>
      <c r="I231" t="s">
        <v>804</v>
      </c>
      <c r="J231" t="s">
        <v>805</v>
      </c>
      <c r="K231" t="s">
        <v>807</v>
      </c>
    </row>
    <row r="232" spans="6:11">
      <c r="F232" t="s">
        <v>786</v>
      </c>
      <c r="G232">
        <v>420</v>
      </c>
      <c r="H232" t="s">
        <v>796</v>
      </c>
      <c r="I232" t="s">
        <v>797</v>
      </c>
      <c r="J232" t="s">
        <v>798</v>
      </c>
      <c r="K232" t="s">
        <v>808</v>
      </c>
    </row>
    <row r="233" spans="6:11">
      <c r="F233" t="s">
        <v>786</v>
      </c>
      <c r="G233">
        <v>419</v>
      </c>
      <c r="H233" t="s">
        <v>796</v>
      </c>
      <c r="I233" t="s">
        <v>797</v>
      </c>
      <c r="J233" t="s">
        <v>798</v>
      </c>
      <c r="K233" t="s">
        <v>809</v>
      </c>
    </row>
    <row r="234" spans="6:11">
      <c r="F234" t="s">
        <v>786</v>
      </c>
      <c r="H234" t="s">
        <v>810</v>
      </c>
      <c r="I234" t="s">
        <v>749</v>
      </c>
      <c r="J234" t="s">
        <v>811</v>
      </c>
      <c r="K234" t="s">
        <v>812</v>
      </c>
    </row>
    <row r="235" spans="6:11">
      <c r="F235" t="s">
        <v>786</v>
      </c>
      <c r="H235" t="s">
        <v>792</v>
      </c>
      <c r="I235" t="s">
        <v>793</v>
      </c>
      <c r="J235" t="s">
        <v>794</v>
      </c>
      <c r="K235" t="s">
        <v>813</v>
      </c>
    </row>
    <row r="236" spans="6:11">
      <c r="F236" t="s">
        <v>786</v>
      </c>
      <c r="G236">
        <v>9999</v>
      </c>
      <c r="H236" t="s">
        <v>814</v>
      </c>
      <c r="I236" t="s">
        <v>815</v>
      </c>
      <c r="J236" t="s">
        <v>734</v>
      </c>
      <c r="K236" t="s">
        <v>816</v>
      </c>
    </row>
    <row r="237" spans="6:11">
      <c r="F237" t="s">
        <v>786</v>
      </c>
      <c r="G237">
        <v>9999</v>
      </c>
      <c r="H237" t="s">
        <v>792</v>
      </c>
      <c r="I237" t="s">
        <v>793</v>
      </c>
      <c r="J237" t="s">
        <v>794</v>
      </c>
      <c r="K237" t="s">
        <v>817</v>
      </c>
    </row>
    <row r="238" spans="6:11">
      <c r="F238" t="s">
        <v>786</v>
      </c>
      <c r="G238">
        <v>9999</v>
      </c>
      <c r="H238" t="s">
        <v>818</v>
      </c>
      <c r="I238" t="s">
        <v>775</v>
      </c>
      <c r="J238" t="s">
        <v>776</v>
      </c>
      <c r="K238" t="s">
        <v>819</v>
      </c>
    </row>
    <row r="239" spans="6:11">
      <c r="F239" t="s">
        <v>786</v>
      </c>
      <c r="G239">
        <v>9999</v>
      </c>
      <c r="H239" t="s">
        <v>820</v>
      </c>
      <c r="I239" t="s">
        <v>821</v>
      </c>
      <c r="J239" t="s">
        <v>650</v>
      </c>
      <c r="K239" t="s">
        <v>822</v>
      </c>
    </row>
    <row r="240" spans="6:11">
      <c r="F240" t="s">
        <v>786</v>
      </c>
      <c r="H240" t="s">
        <v>818</v>
      </c>
      <c r="I240" t="s">
        <v>775</v>
      </c>
      <c r="J240" t="s">
        <v>776</v>
      </c>
      <c r="K240" t="s">
        <v>823</v>
      </c>
    </row>
    <row r="241" spans="6:11">
      <c r="F241" t="s">
        <v>786</v>
      </c>
      <c r="G241">
        <v>9999</v>
      </c>
      <c r="H241" t="s">
        <v>818</v>
      </c>
      <c r="I241" t="s">
        <v>775</v>
      </c>
      <c r="J241" t="s">
        <v>776</v>
      </c>
      <c r="K241" t="s">
        <v>824</v>
      </c>
    </row>
    <row r="242" spans="6:11">
      <c r="F242" t="s">
        <v>786</v>
      </c>
      <c r="G242">
        <v>9999</v>
      </c>
      <c r="H242" t="s">
        <v>825</v>
      </c>
      <c r="I242" t="s">
        <v>590</v>
      </c>
      <c r="J242" t="s">
        <v>591</v>
      </c>
      <c r="K242" t="s">
        <v>826</v>
      </c>
    </row>
    <row r="243" spans="6:11">
      <c r="F243" t="s">
        <v>786</v>
      </c>
      <c r="G243">
        <v>9999</v>
      </c>
      <c r="H243" t="s">
        <v>818</v>
      </c>
      <c r="I243" t="s">
        <v>775</v>
      </c>
      <c r="J243" t="s">
        <v>776</v>
      </c>
      <c r="K243" t="s">
        <v>827</v>
      </c>
    </row>
    <row r="244" spans="6:11">
      <c r="F244" t="s">
        <v>786</v>
      </c>
      <c r="G244">
        <v>9999</v>
      </c>
      <c r="H244" t="s">
        <v>792</v>
      </c>
      <c r="I244" t="s">
        <v>793</v>
      </c>
      <c r="J244" t="s">
        <v>794</v>
      </c>
      <c r="K244" t="s">
        <v>828</v>
      </c>
    </row>
    <row r="245" spans="6:11">
      <c r="F245" t="s">
        <v>786</v>
      </c>
      <c r="G245">
        <v>2</v>
      </c>
      <c r="H245" t="s">
        <v>792</v>
      </c>
      <c r="I245" t="s">
        <v>793</v>
      </c>
      <c r="J245" t="s">
        <v>794</v>
      </c>
      <c r="K245" t="s">
        <v>829</v>
      </c>
    </row>
    <row r="246" spans="6:11">
      <c r="F246" t="s">
        <v>786</v>
      </c>
      <c r="G246">
        <v>9999</v>
      </c>
      <c r="H246" t="s">
        <v>818</v>
      </c>
      <c r="I246" t="s">
        <v>775</v>
      </c>
      <c r="J246" t="s">
        <v>776</v>
      </c>
      <c r="K246" t="s">
        <v>830</v>
      </c>
    </row>
    <row r="247" spans="6:11">
      <c r="F247" t="s">
        <v>786</v>
      </c>
      <c r="G247">
        <v>9999</v>
      </c>
      <c r="H247" t="s">
        <v>831</v>
      </c>
      <c r="I247" t="s">
        <v>737</v>
      </c>
      <c r="J247" t="s">
        <v>832</v>
      </c>
      <c r="K247" t="s">
        <v>833</v>
      </c>
    </row>
    <row r="248" spans="6:11">
      <c r="F248" t="s">
        <v>786</v>
      </c>
      <c r="G248">
        <v>9999</v>
      </c>
      <c r="H248" t="s">
        <v>834</v>
      </c>
      <c r="I248" t="s">
        <v>757</v>
      </c>
      <c r="J248" t="s">
        <v>758</v>
      </c>
      <c r="K248" t="s">
        <v>835</v>
      </c>
    </row>
    <row r="249" spans="6:11">
      <c r="F249" t="s">
        <v>786</v>
      </c>
      <c r="G249">
        <v>905</v>
      </c>
      <c r="H249" t="s">
        <v>818</v>
      </c>
      <c r="I249" t="s">
        <v>775</v>
      </c>
      <c r="J249" t="s">
        <v>776</v>
      </c>
      <c r="K249" t="s">
        <v>836</v>
      </c>
    </row>
    <row r="250" spans="6:11">
      <c r="F250" t="s">
        <v>786</v>
      </c>
      <c r="G250">
        <v>9999</v>
      </c>
      <c r="H250" t="s">
        <v>792</v>
      </c>
      <c r="I250" t="s">
        <v>793</v>
      </c>
      <c r="J250" t="s">
        <v>794</v>
      </c>
      <c r="K250" t="s">
        <v>837</v>
      </c>
    </row>
    <row r="251" spans="6:11">
      <c r="F251" t="s">
        <v>786</v>
      </c>
      <c r="G251">
        <v>907</v>
      </c>
      <c r="H251" t="s">
        <v>818</v>
      </c>
      <c r="I251" t="s">
        <v>775</v>
      </c>
      <c r="J251" t="s">
        <v>776</v>
      </c>
      <c r="K251" t="s">
        <v>838</v>
      </c>
    </row>
    <row r="252" spans="6:11">
      <c r="F252" t="s">
        <v>786</v>
      </c>
      <c r="G252">
        <v>411</v>
      </c>
      <c r="H252" t="s">
        <v>839</v>
      </c>
      <c r="I252" t="s">
        <v>637</v>
      </c>
      <c r="J252" t="s">
        <v>638</v>
      </c>
      <c r="K252" t="s">
        <v>840</v>
      </c>
    </row>
    <row r="253" spans="6:11">
      <c r="F253" t="s">
        <v>786</v>
      </c>
      <c r="G253">
        <v>107</v>
      </c>
      <c r="H253" t="s">
        <v>820</v>
      </c>
      <c r="I253" t="s">
        <v>821</v>
      </c>
      <c r="J253" t="s">
        <v>650</v>
      </c>
      <c r="K253" t="s">
        <v>841</v>
      </c>
    </row>
    <row r="254" spans="6:11">
      <c r="F254" t="s">
        <v>786</v>
      </c>
      <c r="G254">
        <v>909</v>
      </c>
      <c r="H254" t="s">
        <v>818</v>
      </c>
      <c r="I254" t="s">
        <v>775</v>
      </c>
      <c r="J254" t="s">
        <v>776</v>
      </c>
      <c r="K254" t="s">
        <v>842</v>
      </c>
    </row>
    <row r="255" spans="6:11">
      <c r="F255" t="s">
        <v>786</v>
      </c>
      <c r="G255">
        <v>414</v>
      </c>
      <c r="H255" t="s">
        <v>843</v>
      </c>
      <c r="I255" t="s">
        <v>844</v>
      </c>
      <c r="J255" t="s">
        <v>598</v>
      </c>
      <c r="K255" t="s">
        <v>845</v>
      </c>
    </row>
    <row r="256" spans="6:11">
      <c r="F256" t="s">
        <v>786</v>
      </c>
      <c r="G256">
        <v>910</v>
      </c>
      <c r="H256" t="s">
        <v>818</v>
      </c>
      <c r="I256" t="s">
        <v>775</v>
      </c>
      <c r="J256" t="s">
        <v>776</v>
      </c>
      <c r="K256" t="s">
        <v>846</v>
      </c>
    </row>
    <row r="257" spans="6:11">
      <c r="F257" t="s">
        <v>786</v>
      </c>
      <c r="H257" t="s">
        <v>818</v>
      </c>
      <c r="I257" t="s">
        <v>775</v>
      </c>
      <c r="J257" t="s">
        <v>776</v>
      </c>
      <c r="K257" t="s">
        <v>847</v>
      </c>
    </row>
    <row r="258" spans="6:11">
      <c r="F258" t="s">
        <v>786</v>
      </c>
      <c r="G258">
        <v>912</v>
      </c>
      <c r="H258" t="s">
        <v>818</v>
      </c>
      <c r="I258" t="s">
        <v>775</v>
      </c>
      <c r="J258" t="s">
        <v>776</v>
      </c>
      <c r="K258" t="s">
        <v>848</v>
      </c>
    </row>
    <row r="259" spans="6:11">
      <c r="F259" t="s">
        <v>786</v>
      </c>
      <c r="G259">
        <v>108</v>
      </c>
      <c r="H259" t="s">
        <v>820</v>
      </c>
      <c r="I259" t="s">
        <v>821</v>
      </c>
      <c r="J259" t="s">
        <v>650</v>
      </c>
      <c r="K259" t="s">
        <v>849</v>
      </c>
    </row>
    <row r="260" spans="6:11">
      <c r="F260" t="s">
        <v>786</v>
      </c>
      <c r="G260">
        <v>914</v>
      </c>
      <c r="H260" t="s">
        <v>818</v>
      </c>
      <c r="I260" t="s">
        <v>775</v>
      </c>
      <c r="J260" t="s">
        <v>776</v>
      </c>
      <c r="K260" t="s">
        <v>850</v>
      </c>
    </row>
    <row r="261" spans="6:11">
      <c r="F261" t="s">
        <v>786</v>
      </c>
      <c r="G261">
        <v>915</v>
      </c>
      <c r="H261" t="s">
        <v>818</v>
      </c>
      <c r="I261" t="s">
        <v>775</v>
      </c>
      <c r="J261" t="s">
        <v>776</v>
      </c>
      <c r="K261" t="s">
        <v>851</v>
      </c>
    </row>
    <row r="262" spans="6:11">
      <c r="F262" t="s">
        <v>786</v>
      </c>
      <c r="G262">
        <v>916</v>
      </c>
      <c r="H262" t="s">
        <v>818</v>
      </c>
      <c r="I262" t="s">
        <v>775</v>
      </c>
      <c r="J262" t="s">
        <v>776</v>
      </c>
      <c r="K262" t="s">
        <v>852</v>
      </c>
    </row>
    <row r="263" spans="6:11">
      <c r="F263" t="s">
        <v>786</v>
      </c>
      <c r="H263" t="s">
        <v>818</v>
      </c>
      <c r="I263" t="s">
        <v>775</v>
      </c>
      <c r="J263" t="s">
        <v>776</v>
      </c>
      <c r="K263" t="s">
        <v>853</v>
      </c>
    </row>
    <row r="264" spans="6:11">
      <c r="F264" t="s">
        <v>786</v>
      </c>
      <c r="G264">
        <v>903</v>
      </c>
      <c r="H264" t="s">
        <v>818</v>
      </c>
      <c r="I264" t="s">
        <v>775</v>
      </c>
      <c r="J264" t="s">
        <v>776</v>
      </c>
      <c r="K264" t="s">
        <v>854</v>
      </c>
    </row>
    <row r="265" spans="6:11">
      <c r="F265" t="s">
        <v>786</v>
      </c>
      <c r="G265">
        <v>423</v>
      </c>
      <c r="H265" t="s">
        <v>843</v>
      </c>
      <c r="I265" t="s">
        <v>844</v>
      </c>
      <c r="J265" t="s">
        <v>598</v>
      </c>
      <c r="K265" t="s">
        <v>855</v>
      </c>
    </row>
    <row r="266" spans="6:11">
      <c r="F266" t="s">
        <v>786</v>
      </c>
      <c r="G266">
        <v>9999</v>
      </c>
      <c r="H266" t="s">
        <v>839</v>
      </c>
      <c r="I266" t="s">
        <v>637</v>
      </c>
      <c r="J266" t="s">
        <v>638</v>
      </c>
      <c r="K266" t="s">
        <v>856</v>
      </c>
    </row>
    <row r="267" spans="6:11">
      <c r="F267" t="s">
        <v>786</v>
      </c>
      <c r="G267">
        <v>917</v>
      </c>
      <c r="H267" t="s">
        <v>818</v>
      </c>
      <c r="I267" t="s">
        <v>775</v>
      </c>
      <c r="J267" t="s">
        <v>776</v>
      </c>
      <c r="K267" t="s">
        <v>857</v>
      </c>
    </row>
    <row r="268" spans="6:11">
      <c r="F268" t="s">
        <v>786</v>
      </c>
      <c r="G268">
        <v>704</v>
      </c>
      <c r="H268" t="s">
        <v>858</v>
      </c>
      <c r="I268" t="s">
        <v>745</v>
      </c>
      <c r="J268" t="s">
        <v>746</v>
      </c>
      <c r="K268" t="s">
        <v>859</v>
      </c>
    </row>
    <row r="269" spans="6:11">
      <c r="F269" t="s">
        <v>786</v>
      </c>
      <c r="G269">
        <v>9999</v>
      </c>
      <c r="H269" t="s">
        <v>286</v>
      </c>
      <c r="I269" t="s">
        <v>860</v>
      </c>
      <c r="J269" t="s">
        <v>730</v>
      </c>
      <c r="K269" t="s">
        <v>861</v>
      </c>
    </row>
    <row r="270" spans="6:11">
      <c r="F270" t="s">
        <v>786</v>
      </c>
      <c r="G270">
        <v>9999</v>
      </c>
      <c r="H270" t="s">
        <v>818</v>
      </c>
      <c r="I270" t="s">
        <v>775</v>
      </c>
      <c r="J270" t="s">
        <v>776</v>
      </c>
      <c r="K270" t="s">
        <v>862</v>
      </c>
    </row>
    <row r="271" spans="6:11">
      <c r="F271" t="s">
        <v>786</v>
      </c>
      <c r="G271">
        <v>801</v>
      </c>
      <c r="H271" t="s">
        <v>834</v>
      </c>
      <c r="I271" t="s">
        <v>757</v>
      </c>
      <c r="J271" t="s">
        <v>758</v>
      </c>
      <c r="K271" t="s">
        <v>863</v>
      </c>
    </row>
    <row r="272" spans="6:11">
      <c r="F272" t="s">
        <v>786</v>
      </c>
      <c r="G272">
        <v>9999</v>
      </c>
      <c r="H272" t="s">
        <v>820</v>
      </c>
      <c r="I272" t="s">
        <v>821</v>
      </c>
      <c r="J272" t="s">
        <v>650</v>
      </c>
      <c r="K272" t="s">
        <v>864</v>
      </c>
    </row>
    <row r="273" spans="6:11">
      <c r="F273" t="s">
        <v>786</v>
      </c>
      <c r="G273">
        <v>9999</v>
      </c>
      <c r="H273" t="s">
        <v>865</v>
      </c>
      <c r="I273" t="s">
        <v>866</v>
      </c>
      <c r="J273" t="s">
        <v>867</v>
      </c>
      <c r="K273" t="s">
        <v>868</v>
      </c>
    </row>
    <row r="274" spans="6:11">
      <c r="F274" t="s">
        <v>786</v>
      </c>
      <c r="G274">
        <v>9999</v>
      </c>
      <c r="H274" t="s">
        <v>792</v>
      </c>
      <c r="I274" t="s">
        <v>793</v>
      </c>
      <c r="J274" t="s">
        <v>794</v>
      </c>
      <c r="K274" t="s">
        <v>869</v>
      </c>
    </row>
    <row r="275" spans="6:11">
      <c r="F275" t="s">
        <v>786</v>
      </c>
      <c r="G275">
        <v>9999</v>
      </c>
      <c r="H275" t="s">
        <v>792</v>
      </c>
      <c r="I275" t="s">
        <v>793</v>
      </c>
      <c r="J275" t="s">
        <v>794</v>
      </c>
      <c r="K275" t="s">
        <v>870</v>
      </c>
    </row>
    <row r="276" spans="6:11">
      <c r="F276" t="s">
        <v>786</v>
      </c>
      <c r="G276">
        <v>9999</v>
      </c>
      <c r="H276" t="s">
        <v>792</v>
      </c>
      <c r="I276" t="s">
        <v>793</v>
      </c>
      <c r="J276" t="s">
        <v>794</v>
      </c>
      <c r="K276" t="s">
        <v>871</v>
      </c>
    </row>
    <row r="277" spans="6:11">
      <c r="F277" t="s">
        <v>786</v>
      </c>
      <c r="G277">
        <v>9999</v>
      </c>
      <c r="H277" t="s">
        <v>286</v>
      </c>
      <c r="I277" t="s">
        <v>860</v>
      </c>
      <c r="J277" t="s">
        <v>730</v>
      </c>
      <c r="K277" t="s">
        <v>872</v>
      </c>
    </row>
    <row r="278" spans="6:11">
      <c r="F278" t="s">
        <v>786</v>
      </c>
      <c r="G278">
        <v>705</v>
      </c>
      <c r="H278" t="s">
        <v>810</v>
      </c>
      <c r="I278" t="s">
        <v>749</v>
      </c>
      <c r="J278" t="s">
        <v>811</v>
      </c>
      <c r="K278" t="s">
        <v>873</v>
      </c>
    </row>
    <row r="279" spans="6:11">
      <c r="F279" t="s">
        <v>786</v>
      </c>
      <c r="G279">
        <v>908</v>
      </c>
      <c r="H279" t="s">
        <v>818</v>
      </c>
      <c r="I279" t="s">
        <v>775</v>
      </c>
      <c r="J279" t="s">
        <v>776</v>
      </c>
      <c r="K279" t="s">
        <v>874</v>
      </c>
    </row>
    <row r="280" spans="6:11">
      <c r="F280" t="s">
        <v>786</v>
      </c>
      <c r="G280">
        <v>904</v>
      </c>
      <c r="H280" t="s">
        <v>818</v>
      </c>
      <c r="I280" t="s">
        <v>775</v>
      </c>
      <c r="J280" t="s">
        <v>776</v>
      </c>
      <c r="K280" t="s">
        <v>875</v>
      </c>
    </row>
    <row r="281" spans="6:11">
      <c r="F281" t="s">
        <v>786</v>
      </c>
      <c r="G281">
        <v>9999</v>
      </c>
      <c r="H281" t="s">
        <v>792</v>
      </c>
      <c r="I281" t="s">
        <v>793</v>
      </c>
      <c r="J281" t="s">
        <v>794</v>
      </c>
      <c r="K281" t="s">
        <v>876</v>
      </c>
    </row>
    <row r="282" spans="6:11">
      <c r="F282" t="s">
        <v>786</v>
      </c>
      <c r="G282">
        <v>104</v>
      </c>
      <c r="H282" t="s">
        <v>820</v>
      </c>
      <c r="I282" t="s">
        <v>821</v>
      </c>
      <c r="J282" t="s">
        <v>650</v>
      </c>
      <c r="K282" t="s">
        <v>877</v>
      </c>
    </row>
    <row r="283" spans="6:11">
      <c r="F283" t="s">
        <v>786</v>
      </c>
      <c r="H283" t="s">
        <v>878</v>
      </c>
      <c r="I283" t="s">
        <v>879</v>
      </c>
      <c r="J283" t="s">
        <v>880</v>
      </c>
      <c r="K283" t="s">
        <v>881</v>
      </c>
    </row>
    <row r="284" spans="6:11">
      <c r="F284" t="s">
        <v>786</v>
      </c>
      <c r="G284">
        <v>9999</v>
      </c>
      <c r="H284" t="s">
        <v>818</v>
      </c>
      <c r="I284" t="s">
        <v>775</v>
      </c>
      <c r="J284" t="s">
        <v>776</v>
      </c>
      <c r="K284" t="s">
        <v>882</v>
      </c>
    </row>
    <row r="285" spans="6:11">
      <c r="F285" t="s">
        <v>786</v>
      </c>
      <c r="G285">
        <v>911</v>
      </c>
      <c r="H285" t="s">
        <v>818</v>
      </c>
      <c r="I285" t="s">
        <v>775</v>
      </c>
      <c r="J285" t="s">
        <v>776</v>
      </c>
      <c r="K285" t="s">
        <v>883</v>
      </c>
    </row>
    <row r="286" spans="6:11">
      <c r="F286" t="s">
        <v>786</v>
      </c>
      <c r="H286" t="s">
        <v>810</v>
      </c>
      <c r="I286" t="s">
        <v>749</v>
      </c>
      <c r="J286" t="s">
        <v>811</v>
      </c>
      <c r="K286" t="s">
        <v>748</v>
      </c>
    </row>
    <row r="287" spans="6:11">
      <c r="F287" t="s">
        <v>786</v>
      </c>
      <c r="G287">
        <v>9999</v>
      </c>
      <c r="H287" t="s">
        <v>792</v>
      </c>
      <c r="I287" t="s">
        <v>793</v>
      </c>
      <c r="J287" t="s">
        <v>794</v>
      </c>
      <c r="K287" t="s">
        <v>884</v>
      </c>
    </row>
    <row r="288" spans="6:11">
      <c r="F288" t="s">
        <v>786</v>
      </c>
      <c r="G288">
        <v>9999</v>
      </c>
      <c r="H288" t="s">
        <v>792</v>
      </c>
      <c r="I288" t="s">
        <v>793</v>
      </c>
      <c r="J288" t="s">
        <v>794</v>
      </c>
      <c r="K288" t="s">
        <v>885</v>
      </c>
    </row>
    <row r="289" spans="6:11">
      <c r="F289" t="s">
        <v>786</v>
      </c>
      <c r="G289">
        <v>9999</v>
      </c>
      <c r="H289" t="s">
        <v>792</v>
      </c>
      <c r="I289" t="s">
        <v>793</v>
      </c>
      <c r="J289" t="s">
        <v>794</v>
      </c>
      <c r="K289" t="s">
        <v>886</v>
      </c>
    </row>
    <row r="290" spans="6:11">
      <c r="F290" t="s">
        <v>786</v>
      </c>
      <c r="H290" t="s">
        <v>818</v>
      </c>
      <c r="I290" t="s">
        <v>775</v>
      </c>
      <c r="J290" t="s">
        <v>776</v>
      </c>
      <c r="K290" t="s">
        <v>887</v>
      </c>
    </row>
    <row r="291" spans="6:11">
      <c r="F291" t="s">
        <v>786</v>
      </c>
      <c r="G291">
        <v>9999</v>
      </c>
      <c r="H291" t="s">
        <v>888</v>
      </c>
      <c r="I291" t="s">
        <v>741</v>
      </c>
      <c r="J291" t="s">
        <v>742</v>
      </c>
      <c r="K291" t="s">
        <v>889</v>
      </c>
    </row>
    <row r="292" spans="6:11">
      <c r="F292" t="s">
        <v>786</v>
      </c>
      <c r="G292">
        <v>412</v>
      </c>
      <c r="H292" t="s">
        <v>890</v>
      </c>
      <c r="I292" t="s">
        <v>613</v>
      </c>
      <c r="J292" t="s">
        <v>614</v>
      </c>
      <c r="K292" t="s">
        <v>891</v>
      </c>
    </row>
    <row r="293" spans="6:11">
      <c r="F293" t="s">
        <v>786</v>
      </c>
      <c r="G293">
        <v>105</v>
      </c>
      <c r="H293" t="s">
        <v>865</v>
      </c>
      <c r="I293" t="s">
        <v>866</v>
      </c>
      <c r="J293" t="s">
        <v>867</v>
      </c>
      <c r="K293" t="s">
        <v>892</v>
      </c>
    </row>
    <row r="294" spans="6:11">
      <c r="F294" t="s">
        <v>786</v>
      </c>
      <c r="G294">
        <v>9999</v>
      </c>
      <c r="H294" t="s">
        <v>865</v>
      </c>
      <c r="I294" t="s">
        <v>866</v>
      </c>
      <c r="J294" t="s">
        <v>867</v>
      </c>
      <c r="K294" t="s">
        <v>893</v>
      </c>
    </row>
    <row r="295" spans="6:11">
      <c r="F295" t="s">
        <v>786</v>
      </c>
      <c r="G295">
        <v>9999</v>
      </c>
      <c r="H295" t="s">
        <v>818</v>
      </c>
      <c r="I295" t="s">
        <v>775</v>
      </c>
      <c r="J295" t="s">
        <v>776</v>
      </c>
      <c r="K295" t="s">
        <v>894</v>
      </c>
    </row>
    <row r="296" spans="6:11">
      <c r="F296" t="s">
        <v>786</v>
      </c>
      <c r="G296">
        <v>803</v>
      </c>
      <c r="H296" t="s">
        <v>834</v>
      </c>
      <c r="I296" t="s">
        <v>757</v>
      </c>
      <c r="J296" t="s">
        <v>758</v>
      </c>
      <c r="K296" t="s">
        <v>895</v>
      </c>
    </row>
    <row r="297" spans="6:11">
      <c r="F297" t="s">
        <v>786</v>
      </c>
      <c r="G297">
        <v>9999</v>
      </c>
      <c r="H297" t="s">
        <v>865</v>
      </c>
      <c r="I297" t="s">
        <v>866</v>
      </c>
      <c r="J297" t="s">
        <v>867</v>
      </c>
      <c r="K297" t="s">
        <v>896</v>
      </c>
    </row>
    <row r="298" spans="6:11">
      <c r="F298" t="s">
        <v>786</v>
      </c>
      <c r="H298" t="s">
        <v>865</v>
      </c>
      <c r="I298" t="s">
        <v>866</v>
      </c>
      <c r="J298" t="s">
        <v>867</v>
      </c>
      <c r="K298" t="s">
        <v>897</v>
      </c>
    </row>
    <row r="299" spans="6:11">
      <c r="F299" t="s">
        <v>786</v>
      </c>
      <c r="G299">
        <v>9999</v>
      </c>
      <c r="H299" t="s">
        <v>865</v>
      </c>
      <c r="I299" t="s">
        <v>866</v>
      </c>
      <c r="J299" t="s">
        <v>867</v>
      </c>
      <c r="K299" t="s">
        <v>898</v>
      </c>
    </row>
    <row r="300" spans="6:11">
      <c r="F300" t="s">
        <v>786</v>
      </c>
      <c r="G300">
        <v>9999</v>
      </c>
      <c r="H300" t="s">
        <v>818</v>
      </c>
      <c r="I300" t="s">
        <v>775</v>
      </c>
      <c r="J300" t="s">
        <v>776</v>
      </c>
      <c r="K300" t="s">
        <v>899</v>
      </c>
    </row>
    <row r="301" spans="6:11">
      <c r="F301" t="s">
        <v>786</v>
      </c>
      <c r="G301">
        <v>110</v>
      </c>
      <c r="H301" t="s">
        <v>865</v>
      </c>
      <c r="I301" t="s">
        <v>866</v>
      </c>
      <c r="J301" t="s">
        <v>867</v>
      </c>
      <c r="K301" t="s">
        <v>900</v>
      </c>
    </row>
    <row r="302" spans="6:11">
      <c r="F302" t="s">
        <v>786</v>
      </c>
      <c r="H302" t="s">
        <v>792</v>
      </c>
      <c r="I302" t="s">
        <v>793</v>
      </c>
      <c r="J302" t="s">
        <v>794</v>
      </c>
      <c r="K302" t="s">
        <v>901</v>
      </c>
    </row>
    <row r="303" spans="6:11">
      <c r="F303" t="s">
        <v>786</v>
      </c>
      <c r="G303">
        <v>913</v>
      </c>
      <c r="H303" t="s">
        <v>818</v>
      </c>
      <c r="I303" t="s">
        <v>775</v>
      </c>
      <c r="J303" t="s">
        <v>776</v>
      </c>
      <c r="K303" t="s">
        <v>902</v>
      </c>
    </row>
    <row r="304" spans="6:11">
      <c r="F304" t="s">
        <v>786</v>
      </c>
      <c r="H304" t="s">
        <v>865</v>
      </c>
      <c r="I304" t="s">
        <v>866</v>
      </c>
      <c r="J304" t="s">
        <v>867</v>
      </c>
      <c r="K304" t="s">
        <v>903</v>
      </c>
    </row>
    <row r="305" spans="6:11">
      <c r="F305" t="s">
        <v>786</v>
      </c>
      <c r="G305">
        <v>9999</v>
      </c>
      <c r="H305" t="s">
        <v>418</v>
      </c>
      <c r="I305" t="s">
        <v>709</v>
      </c>
      <c r="J305" t="s">
        <v>710</v>
      </c>
      <c r="K305" t="s">
        <v>904</v>
      </c>
    </row>
    <row r="306" spans="6:11">
      <c r="F306" t="s">
        <v>786</v>
      </c>
      <c r="G306">
        <v>9999</v>
      </c>
      <c r="H306" t="s">
        <v>905</v>
      </c>
      <c r="I306" t="s">
        <v>906</v>
      </c>
      <c r="J306" t="s">
        <v>907</v>
      </c>
      <c r="K306" t="s">
        <v>908</v>
      </c>
    </row>
    <row r="307" spans="6:11">
      <c r="F307" t="s">
        <v>786</v>
      </c>
      <c r="G307">
        <v>9999</v>
      </c>
      <c r="H307" t="s">
        <v>909</v>
      </c>
      <c r="I307" t="s">
        <v>910</v>
      </c>
      <c r="J307" t="s">
        <v>911</v>
      </c>
      <c r="K307" t="s">
        <v>912</v>
      </c>
    </row>
    <row r="308" spans="6:11">
      <c r="F308" t="s">
        <v>786</v>
      </c>
      <c r="G308">
        <v>9999</v>
      </c>
      <c r="H308" t="s">
        <v>205</v>
      </c>
      <c r="I308" t="s">
        <v>800</v>
      </c>
      <c r="J308" t="s">
        <v>801</v>
      </c>
      <c r="K308" t="s">
        <v>913</v>
      </c>
    </row>
    <row r="309" spans="6:11">
      <c r="F309" t="s">
        <v>786</v>
      </c>
      <c r="G309">
        <v>9999</v>
      </c>
      <c r="H309" t="s">
        <v>286</v>
      </c>
      <c r="I309" t="s">
        <v>860</v>
      </c>
      <c r="J309" t="s">
        <v>730</v>
      </c>
      <c r="K309" t="s">
        <v>914</v>
      </c>
    </row>
    <row r="310" spans="6:11">
      <c r="F310" t="s">
        <v>786</v>
      </c>
      <c r="G310">
        <v>9999</v>
      </c>
      <c r="H310" t="s">
        <v>792</v>
      </c>
      <c r="I310" t="s">
        <v>793</v>
      </c>
      <c r="J310" t="s">
        <v>794</v>
      </c>
      <c r="K310" t="s">
        <v>915</v>
      </c>
    </row>
    <row r="311" spans="6:11">
      <c r="F311" t="s">
        <v>786</v>
      </c>
      <c r="G311">
        <v>9999</v>
      </c>
      <c r="H311" t="s">
        <v>858</v>
      </c>
      <c r="I311" t="s">
        <v>745</v>
      </c>
      <c r="J311" t="s">
        <v>746</v>
      </c>
      <c r="K311" t="s">
        <v>916</v>
      </c>
    </row>
    <row r="312" spans="6:11">
      <c r="F312" t="s">
        <v>786</v>
      </c>
      <c r="G312">
        <v>9999</v>
      </c>
      <c r="H312" t="s">
        <v>818</v>
      </c>
      <c r="I312" t="s">
        <v>775</v>
      </c>
      <c r="J312" t="s">
        <v>776</v>
      </c>
      <c r="K312" t="s">
        <v>917</v>
      </c>
    </row>
    <row r="313" spans="6:11">
      <c r="F313" t="s">
        <v>786</v>
      </c>
      <c r="G313">
        <v>9999</v>
      </c>
      <c r="H313" t="s">
        <v>918</v>
      </c>
      <c r="I313" t="s">
        <v>783</v>
      </c>
      <c r="J313" t="s">
        <v>784</v>
      </c>
      <c r="K313" t="s">
        <v>919</v>
      </c>
    </row>
    <row r="314" spans="6:11">
      <c r="F314" t="s">
        <v>786</v>
      </c>
      <c r="G314">
        <v>9999</v>
      </c>
      <c r="H314" t="s">
        <v>792</v>
      </c>
      <c r="I314" t="s">
        <v>793</v>
      </c>
      <c r="J314" t="s">
        <v>794</v>
      </c>
      <c r="K314" t="s">
        <v>920</v>
      </c>
    </row>
    <row r="315" spans="6:11">
      <c r="F315" t="s">
        <v>786</v>
      </c>
      <c r="G315">
        <v>9999</v>
      </c>
      <c r="H315" t="s">
        <v>905</v>
      </c>
      <c r="I315" t="s">
        <v>906</v>
      </c>
      <c r="J315" t="s">
        <v>907</v>
      </c>
      <c r="K315" t="s">
        <v>921</v>
      </c>
    </row>
    <row r="316" spans="6:11">
      <c r="F316" t="s">
        <v>786</v>
      </c>
      <c r="G316">
        <v>9999</v>
      </c>
      <c r="H316" t="s">
        <v>818</v>
      </c>
      <c r="I316" t="s">
        <v>775</v>
      </c>
      <c r="J316" t="s">
        <v>776</v>
      </c>
      <c r="K316" t="s">
        <v>922</v>
      </c>
    </row>
    <row r="317" spans="6:11">
      <c r="F317" t="s">
        <v>786</v>
      </c>
      <c r="G317">
        <v>9999</v>
      </c>
      <c r="H317" t="s">
        <v>792</v>
      </c>
      <c r="I317" t="s">
        <v>793</v>
      </c>
      <c r="J317" t="s">
        <v>794</v>
      </c>
      <c r="K317" t="s">
        <v>923</v>
      </c>
    </row>
    <row r="318" spans="6:11">
      <c r="F318" t="s">
        <v>786</v>
      </c>
      <c r="G318">
        <v>9999</v>
      </c>
      <c r="H318" t="s">
        <v>792</v>
      </c>
      <c r="I318" t="s">
        <v>793</v>
      </c>
      <c r="J318" t="s">
        <v>794</v>
      </c>
      <c r="K318" t="s">
        <v>924</v>
      </c>
    </row>
    <row r="319" spans="6:11">
      <c r="F319" t="s">
        <v>786</v>
      </c>
      <c r="G319">
        <v>9999</v>
      </c>
      <c r="H319" t="s">
        <v>925</v>
      </c>
      <c r="I319" t="s">
        <v>926</v>
      </c>
      <c r="J319" t="s">
        <v>927</v>
      </c>
      <c r="K319" t="s">
        <v>928</v>
      </c>
    </row>
    <row r="320" spans="6:11">
      <c r="F320" t="s">
        <v>786</v>
      </c>
      <c r="G320">
        <v>9999</v>
      </c>
      <c r="H320" t="s">
        <v>796</v>
      </c>
      <c r="I320" t="s">
        <v>797</v>
      </c>
      <c r="J320" t="s">
        <v>798</v>
      </c>
      <c r="K320" t="s">
        <v>929</v>
      </c>
    </row>
    <row r="321" spans="6:11">
      <c r="F321" t="s">
        <v>786</v>
      </c>
      <c r="G321">
        <v>9999</v>
      </c>
      <c r="H321" t="s">
        <v>792</v>
      </c>
      <c r="I321" t="s">
        <v>793</v>
      </c>
      <c r="J321" t="s">
        <v>794</v>
      </c>
      <c r="K321" t="s">
        <v>930</v>
      </c>
    </row>
    <row r="322" spans="6:11">
      <c r="F322" t="s">
        <v>786</v>
      </c>
      <c r="G322">
        <v>9999</v>
      </c>
      <c r="H322" t="s">
        <v>918</v>
      </c>
      <c r="I322" t="s">
        <v>783</v>
      </c>
      <c r="J322" t="s">
        <v>784</v>
      </c>
      <c r="K322" t="s">
        <v>931</v>
      </c>
    </row>
    <row r="323" spans="6:11">
      <c r="F323" t="s">
        <v>786</v>
      </c>
      <c r="G323">
        <v>9999</v>
      </c>
      <c r="H323" t="s">
        <v>932</v>
      </c>
      <c r="I323" t="s">
        <v>753</v>
      </c>
      <c r="J323" t="s">
        <v>933</v>
      </c>
      <c r="K323" t="s">
        <v>934</v>
      </c>
    </row>
    <row r="324" spans="6:11">
      <c r="F324" t="s">
        <v>786</v>
      </c>
      <c r="H324" t="s">
        <v>935</v>
      </c>
      <c r="I324" t="s">
        <v>936</v>
      </c>
      <c r="J324" t="s">
        <v>937</v>
      </c>
      <c r="K324" t="s">
        <v>716</v>
      </c>
    </row>
    <row r="325" spans="6:11">
      <c r="F325" t="s">
        <v>786</v>
      </c>
      <c r="G325">
        <v>401</v>
      </c>
      <c r="H325" t="s">
        <v>938</v>
      </c>
      <c r="I325" t="s">
        <v>594</v>
      </c>
      <c r="J325" t="s">
        <v>595</v>
      </c>
      <c r="K325" t="s">
        <v>593</v>
      </c>
    </row>
    <row r="326" spans="6:11">
      <c r="F326" t="s">
        <v>786</v>
      </c>
      <c r="G326">
        <v>601</v>
      </c>
      <c r="H326" t="s">
        <v>939</v>
      </c>
      <c r="I326" t="s">
        <v>940</v>
      </c>
      <c r="J326" t="s">
        <v>941</v>
      </c>
      <c r="K326" t="s">
        <v>942</v>
      </c>
    </row>
    <row r="327" spans="6:11">
      <c r="F327" t="s">
        <v>786</v>
      </c>
      <c r="G327">
        <v>712</v>
      </c>
      <c r="H327" t="s">
        <v>943</v>
      </c>
      <c r="I327" t="s">
        <v>944</v>
      </c>
      <c r="J327" t="s">
        <v>726</v>
      </c>
      <c r="K327" t="s">
        <v>724</v>
      </c>
    </row>
    <row r="328" spans="6:11">
      <c r="F328" t="s">
        <v>786</v>
      </c>
      <c r="G328">
        <v>9999</v>
      </c>
      <c r="H328" t="s">
        <v>945</v>
      </c>
      <c r="I328" t="s">
        <v>669</v>
      </c>
      <c r="J328" t="s">
        <v>670</v>
      </c>
      <c r="K328" t="s">
        <v>668</v>
      </c>
    </row>
    <row r="329" spans="6:11">
      <c r="F329" t="s">
        <v>786</v>
      </c>
      <c r="H329" t="s">
        <v>418</v>
      </c>
      <c r="I329" t="s">
        <v>709</v>
      </c>
      <c r="J329" t="s">
        <v>710</v>
      </c>
      <c r="K329" t="s">
        <v>708</v>
      </c>
    </row>
    <row r="330" spans="6:11">
      <c r="F330" t="s">
        <v>786</v>
      </c>
      <c r="G330">
        <v>9999</v>
      </c>
      <c r="H330" t="s">
        <v>834</v>
      </c>
      <c r="I330" t="s">
        <v>757</v>
      </c>
      <c r="J330" t="s">
        <v>758</v>
      </c>
      <c r="K330" t="s">
        <v>946</v>
      </c>
    </row>
    <row r="331" spans="6:11">
      <c r="F331" t="s">
        <v>786</v>
      </c>
      <c r="G331">
        <v>9999</v>
      </c>
      <c r="H331" t="s">
        <v>286</v>
      </c>
      <c r="I331" t="s">
        <v>860</v>
      </c>
      <c r="J331" t="s">
        <v>730</v>
      </c>
      <c r="K331" t="s">
        <v>947</v>
      </c>
    </row>
    <row r="332" spans="6:11">
      <c r="F332" t="s">
        <v>786</v>
      </c>
      <c r="G332">
        <v>402</v>
      </c>
      <c r="H332" t="s">
        <v>796</v>
      </c>
      <c r="I332" t="s">
        <v>797</v>
      </c>
      <c r="J332" t="s">
        <v>798</v>
      </c>
      <c r="K332" t="s">
        <v>585</v>
      </c>
    </row>
    <row r="333" spans="6:11">
      <c r="F333" t="s">
        <v>786</v>
      </c>
      <c r="G333">
        <v>201</v>
      </c>
      <c r="H333" t="s">
        <v>948</v>
      </c>
      <c r="I333" t="s">
        <v>653</v>
      </c>
      <c r="J333" t="s">
        <v>654</v>
      </c>
      <c r="K333" t="s">
        <v>652</v>
      </c>
    </row>
    <row r="334" spans="6:11">
      <c r="F334" t="s">
        <v>786</v>
      </c>
      <c r="G334">
        <v>902</v>
      </c>
      <c r="H334" t="s">
        <v>818</v>
      </c>
      <c r="I334" t="s">
        <v>775</v>
      </c>
      <c r="J334" t="s">
        <v>776</v>
      </c>
      <c r="K334" t="s">
        <v>774</v>
      </c>
    </row>
    <row r="335" spans="6:11">
      <c r="F335" t="s">
        <v>786</v>
      </c>
      <c r="G335">
        <v>102</v>
      </c>
      <c r="H335" t="s">
        <v>949</v>
      </c>
      <c r="I335" t="s">
        <v>582</v>
      </c>
      <c r="J335" t="s">
        <v>583</v>
      </c>
      <c r="K335" t="s">
        <v>581</v>
      </c>
    </row>
    <row r="336" spans="6:11">
      <c r="F336" t="s">
        <v>786</v>
      </c>
      <c r="G336">
        <v>202</v>
      </c>
      <c r="H336" t="s">
        <v>950</v>
      </c>
      <c r="I336" t="s">
        <v>661</v>
      </c>
      <c r="J336" t="s">
        <v>662</v>
      </c>
      <c r="K336" t="s">
        <v>660</v>
      </c>
    </row>
    <row r="337" spans="6:11">
      <c r="F337" t="s">
        <v>786</v>
      </c>
      <c r="H337" t="s">
        <v>935</v>
      </c>
      <c r="I337" t="s">
        <v>936</v>
      </c>
      <c r="J337" t="s">
        <v>937</v>
      </c>
      <c r="K337" t="s">
        <v>951</v>
      </c>
    </row>
    <row r="338" spans="6:11">
      <c r="F338" t="s">
        <v>786</v>
      </c>
      <c r="G338">
        <v>404</v>
      </c>
      <c r="H338" t="s">
        <v>825</v>
      </c>
      <c r="I338" t="s">
        <v>590</v>
      </c>
      <c r="J338" t="s">
        <v>591</v>
      </c>
      <c r="K338" t="s">
        <v>589</v>
      </c>
    </row>
    <row r="339" spans="6:11">
      <c r="F339" t="s">
        <v>786</v>
      </c>
      <c r="G339">
        <v>603</v>
      </c>
      <c r="H339" t="s">
        <v>952</v>
      </c>
      <c r="I339" t="s">
        <v>697</v>
      </c>
      <c r="J339" t="s">
        <v>698</v>
      </c>
      <c r="K339" t="s">
        <v>953</v>
      </c>
    </row>
    <row r="340" spans="6:11">
      <c r="F340" t="s">
        <v>786</v>
      </c>
      <c r="G340">
        <v>9999</v>
      </c>
      <c r="H340" t="s">
        <v>954</v>
      </c>
      <c r="I340" t="s">
        <v>721</v>
      </c>
      <c r="J340" t="s">
        <v>722</v>
      </c>
      <c r="K340" t="s">
        <v>955</v>
      </c>
    </row>
    <row r="341" spans="6:11">
      <c r="F341" t="s">
        <v>786</v>
      </c>
      <c r="G341">
        <v>9999</v>
      </c>
      <c r="H341" t="s">
        <v>803</v>
      </c>
      <c r="I341" t="s">
        <v>804</v>
      </c>
      <c r="J341" t="s">
        <v>805</v>
      </c>
      <c r="K341" t="s">
        <v>956</v>
      </c>
    </row>
    <row r="342" spans="6:11">
      <c r="F342" t="s">
        <v>786</v>
      </c>
      <c r="G342">
        <v>407</v>
      </c>
      <c r="H342" t="s">
        <v>890</v>
      </c>
      <c r="I342" t="s">
        <v>613</v>
      </c>
      <c r="J342" t="s">
        <v>614</v>
      </c>
      <c r="K342" t="s">
        <v>612</v>
      </c>
    </row>
    <row r="343" spans="6:11">
      <c r="F343" t="s">
        <v>786</v>
      </c>
      <c r="G343">
        <v>607</v>
      </c>
      <c r="H343" t="s">
        <v>935</v>
      </c>
      <c r="I343" t="s">
        <v>936</v>
      </c>
      <c r="J343" t="s">
        <v>937</v>
      </c>
      <c r="K343" t="s">
        <v>672</v>
      </c>
    </row>
    <row r="344" spans="6:11">
      <c r="F344" t="s">
        <v>786</v>
      </c>
      <c r="G344">
        <v>918</v>
      </c>
      <c r="H344" t="s">
        <v>957</v>
      </c>
      <c r="I344" t="s">
        <v>779</v>
      </c>
      <c r="J344" t="s">
        <v>958</v>
      </c>
      <c r="K344" t="s">
        <v>778</v>
      </c>
    </row>
    <row r="345" spans="6:11">
      <c r="F345" t="s">
        <v>786</v>
      </c>
      <c r="G345">
        <v>9999</v>
      </c>
      <c r="H345" t="s">
        <v>950</v>
      </c>
      <c r="I345" t="s">
        <v>661</v>
      </c>
      <c r="J345" t="s">
        <v>662</v>
      </c>
      <c r="K345" t="s">
        <v>959</v>
      </c>
    </row>
    <row r="346" spans="6:11">
      <c r="F346" t="s">
        <v>786</v>
      </c>
      <c r="G346">
        <v>9999</v>
      </c>
      <c r="H346" t="s">
        <v>960</v>
      </c>
      <c r="I346" t="s">
        <v>693</v>
      </c>
      <c r="J346" t="s">
        <v>961</v>
      </c>
      <c r="K346" t="s">
        <v>962</v>
      </c>
    </row>
    <row r="347" spans="6:11">
      <c r="F347" t="s">
        <v>786</v>
      </c>
      <c r="G347">
        <v>409</v>
      </c>
      <c r="H347" t="s">
        <v>963</v>
      </c>
      <c r="I347" t="s">
        <v>964</v>
      </c>
      <c r="J347" t="s">
        <v>618</v>
      </c>
      <c r="K347" t="s">
        <v>616</v>
      </c>
    </row>
    <row r="348" spans="6:11">
      <c r="F348" t="s">
        <v>786</v>
      </c>
      <c r="G348">
        <v>1002</v>
      </c>
      <c r="H348" t="s">
        <v>918</v>
      </c>
      <c r="I348" t="s">
        <v>783</v>
      </c>
      <c r="J348" t="s">
        <v>784</v>
      </c>
      <c r="K348" t="s">
        <v>782</v>
      </c>
    </row>
    <row r="349" spans="6:11">
      <c r="F349" t="s">
        <v>786</v>
      </c>
      <c r="H349" t="s">
        <v>965</v>
      </c>
      <c r="I349" t="s">
        <v>966</v>
      </c>
      <c r="J349" t="s">
        <v>967</v>
      </c>
      <c r="K349" t="s">
        <v>684</v>
      </c>
    </row>
    <row r="350" spans="6:11">
      <c r="F350" t="s">
        <v>786</v>
      </c>
      <c r="G350">
        <v>9999</v>
      </c>
      <c r="H350" t="s">
        <v>796</v>
      </c>
      <c r="I350" t="s">
        <v>797</v>
      </c>
      <c r="J350" t="s">
        <v>798</v>
      </c>
      <c r="K350" t="s">
        <v>968</v>
      </c>
    </row>
    <row r="351" spans="6:11">
      <c r="F351" t="s">
        <v>786</v>
      </c>
      <c r="G351">
        <v>508</v>
      </c>
      <c r="H351" t="s">
        <v>969</v>
      </c>
      <c r="I351" t="s">
        <v>970</v>
      </c>
      <c r="J351" t="s">
        <v>630</v>
      </c>
      <c r="K351" t="s">
        <v>971</v>
      </c>
    </row>
    <row r="352" spans="6:11">
      <c r="F352" t="s">
        <v>786</v>
      </c>
      <c r="G352">
        <v>605</v>
      </c>
      <c r="H352" t="s">
        <v>972</v>
      </c>
      <c r="I352" t="s">
        <v>705</v>
      </c>
      <c r="J352" t="s">
        <v>706</v>
      </c>
      <c r="K352" t="s">
        <v>704</v>
      </c>
    </row>
    <row r="353" spans="6:11">
      <c r="F353" t="s">
        <v>786</v>
      </c>
      <c r="H353" t="s">
        <v>865</v>
      </c>
      <c r="I353" t="s">
        <v>866</v>
      </c>
      <c r="J353" t="s">
        <v>867</v>
      </c>
      <c r="K353" t="s">
        <v>973</v>
      </c>
    </row>
    <row r="354" spans="6:11">
      <c r="F354" t="s">
        <v>786</v>
      </c>
      <c r="G354">
        <v>413</v>
      </c>
      <c r="H354" t="s">
        <v>974</v>
      </c>
      <c r="I354" t="s">
        <v>633</v>
      </c>
      <c r="J354" t="s">
        <v>634</v>
      </c>
      <c r="K354" t="s">
        <v>632</v>
      </c>
    </row>
    <row r="355" spans="6:11">
      <c r="F355" t="s">
        <v>786</v>
      </c>
      <c r="G355">
        <v>106</v>
      </c>
      <c r="H355" t="s">
        <v>820</v>
      </c>
      <c r="I355" t="s">
        <v>821</v>
      </c>
      <c r="J355" t="s">
        <v>650</v>
      </c>
      <c r="K355" t="s">
        <v>648</v>
      </c>
    </row>
    <row r="356" spans="6:11">
      <c r="F356" t="s">
        <v>786</v>
      </c>
      <c r="H356" t="s">
        <v>975</v>
      </c>
      <c r="I356" t="s">
        <v>976</v>
      </c>
      <c r="J356" t="s">
        <v>770</v>
      </c>
      <c r="K356" t="s">
        <v>772</v>
      </c>
    </row>
    <row r="357" spans="6:11">
      <c r="F357" t="s">
        <v>786</v>
      </c>
      <c r="G357">
        <v>415</v>
      </c>
      <c r="H357" t="s">
        <v>977</v>
      </c>
      <c r="I357" t="s">
        <v>609</v>
      </c>
      <c r="J357" t="s">
        <v>610</v>
      </c>
      <c r="K357" t="s">
        <v>978</v>
      </c>
    </row>
    <row r="358" spans="6:11">
      <c r="F358" t="s">
        <v>786</v>
      </c>
      <c r="G358">
        <v>701</v>
      </c>
      <c r="H358" t="s">
        <v>831</v>
      </c>
      <c r="I358" t="s">
        <v>737</v>
      </c>
      <c r="J358" t="s">
        <v>832</v>
      </c>
      <c r="K358" t="s">
        <v>736</v>
      </c>
    </row>
    <row r="359" spans="6:11">
      <c r="F359" t="s">
        <v>786</v>
      </c>
      <c r="G359">
        <v>9999</v>
      </c>
      <c r="H359" t="s">
        <v>979</v>
      </c>
      <c r="I359" t="s">
        <v>980</v>
      </c>
      <c r="J359" t="s">
        <v>981</v>
      </c>
      <c r="K359" t="s">
        <v>982</v>
      </c>
    </row>
    <row r="360" spans="6:11">
      <c r="F360" t="s">
        <v>786</v>
      </c>
      <c r="G360">
        <v>416</v>
      </c>
      <c r="H360" t="s">
        <v>839</v>
      </c>
      <c r="I360" t="s">
        <v>637</v>
      </c>
      <c r="J360" t="s">
        <v>638</v>
      </c>
      <c r="K360" t="s">
        <v>636</v>
      </c>
    </row>
    <row r="361" spans="6:11">
      <c r="F361" t="s">
        <v>786</v>
      </c>
      <c r="G361">
        <v>203</v>
      </c>
      <c r="H361" t="s">
        <v>983</v>
      </c>
      <c r="I361" t="s">
        <v>665</v>
      </c>
      <c r="J361" t="s">
        <v>666</v>
      </c>
      <c r="K361" t="s">
        <v>664</v>
      </c>
    </row>
    <row r="362" spans="6:11">
      <c r="F362" t="s">
        <v>786</v>
      </c>
      <c r="G362">
        <v>204</v>
      </c>
      <c r="H362" t="s">
        <v>984</v>
      </c>
      <c r="I362" t="s">
        <v>985</v>
      </c>
      <c r="J362" t="s">
        <v>658</v>
      </c>
      <c r="K362" t="s">
        <v>656</v>
      </c>
    </row>
    <row r="363" spans="6:11">
      <c r="F363" t="s">
        <v>786</v>
      </c>
      <c r="G363">
        <v>417</v>
      </c>
      <c r="H363" t="s">
        <v>977</v>
      </c>
      <c r="I363" t="s">
        <v>609</v>
      </c>
      <c r="J363" t="s">
        <v>610</v>
      </c>
      <c r="K363" t="s">
        <v>608</v>
      </c>
    </row>
    <row r="364" spans="6:11">
      <c r="F364" t="s">
        <v>786</v>
      </c>
      <c r="G364">
        <v>9999</v>
      </c>
      <c r="H364" t="s">
        <v>818</v>
      </c>
      <c r="I364" t="s">
        <v>775</v>
      </c>
      <c r="J364" t="s">
        <v>776</v>
      </c>
      <c r="K364" t="s">
        <v>986</v>
      </c>
    </row>
    <row r="365" spans="6:11">
      <c r="F365" t="s">
        <v>786</v>
      </c>
      <c r="G365">
        <v>418</v>
      </c>
      <c r="H365" t="s">
        <v>987</v>
      </c>
      <c r="I365" t="s">
        <v>641</v>
      </c>
      <c r="J365" t="s">
        <v>642</v>
      </c>
      <c r="K365" t="s">
        <v>640</v>
      </c>
    </row>
    <row r="366" spans="6:11">
      <c r="F366" t="s">
        <v>786</v>
      </c>
      <c r="G366">
        <v>506</v>
      </c>
      <c r="H366" t="s">
        <v>988</v>
      </c>
      <c r="I366" t="s">
        <v>989</v>
      </c>
      <c r="J366" t="s">
        <v>990</v>
      </c>
      <c r="K366" t="s">
        <v>991</v>
      </c>
    </row>
    <row r="367" spans="6:11">
      <c r="F367" t="s">
        <v>786</v>
      </c>
      <c r="G367">
        <v>9999</v>
      </c>
      <c r="H367" t="s">
        <v>878</v>
      </c>
      <c r="I367" t="s">
        <v>879</v>
      </c>
      <c r="J367" t="s">
        <v>880</v>
      </c>
      <c r="K367" t="s">
        <v>992</v>
      </c>
    </row>
    <row r="368" spans="6:11">
      <c r="F368" t="s">
        <v>786</v>
      </c>
      <c r="G368">
        <v>709</v>
      </c>
      <c r="H368" t="s">
        <v>888</v>
      </c>
      <c r="I368" t="s">
        <v>741</v>
      </c>
      <c r="J368" t="s">
        <v>742</v>
      </c>
      <c r="K368" t="s">
        <v>740</v>
      </c>
    </row>
    <row r="369" spans="6:11">
      <c r="F369" t="s">
        <v>786</v>
      </c>
      <c r="G369">
        <v>421</v>
      </c>
      <c r="H369" t="s">
        <v>993</v>
      </c>
      <c r="I369" t="s">
        <v>994</v>
      </c>
      <c r="J369" t="s">
        <v>995</v>
      </c>
      <c r="K369" t="s">
        <v>600</v>
      </c>
    </row>
    <row r="370" spans="6:11">
      <c r="F370" t="s">
        <v>786</v>
      </c>
      <c r="G370">
        <v>9999</v>
      </c>
      <c r="H370" t="s">
        <v>818</v>
      </c>
      <c r="I370" t="s">
        <v>775</v>
      </c>
      <c r="J370" t="s">
        <v>776</v>
      </c>
      <c r="K370" t="s">
        <v>996</v>
      </c>
    </row>
    <row r="371" spans="6:11">
      <c r="F371" t="s">
        <v>786</v>
      </c>
      <c r="H371" t="s">
        <v>997</v>
      </c>
      <c r="I371" t="s">
        <v>681</v>
      </c>
      <c r="J371" t="s">
        <v>682</v>
      </c>
      <c r="K371" t="s">
        <v>680</v>
      </c>
    </row>
    <row r="372" spans="6:11">
      <c r="F372" t="s">
        <v>786</v>
      </c>
      <c r="G372">
        <v>9999</v>
      </c>
      <c r="H372" t="s">
        <v>983</v>
      </c>
      <c r="I372" t="s">
        <v>665</v>
      </c>
      <c r="J372" t="s">
        <v>666</v>
      </c>
      <c r="K372" t="s">
        <v>998</v>
      </c>
    </row>
    <row r="373" spans="6:11">
      <c r="F373" t="s">
        <v>786</v>
      </c>
      <c r="G373">
        <v>901</v>
      </c>
      <c r="H373" t="s">
        <v>932</v>
      </c>
      <c r="I373" t="s">
        <v>753</v>
      </c>
      <c r="J373" t="s">
        <v>933</v>
      </c>
      <c r="K373" t="s">
        <v>752</v>
      </c>
    </row>
    <row r="374" spans="6:11">
      <c r="F374" t="s">
        <v>786</v>
      </c>
      <c r="G374">
        <v>9999</v>
      </c>
      <c r="H374" t="s">
        <v>999</v>
      </c>
      <c r="I374" t="s">
        <v>701</v>
      </c>
      <c r="J374" t="s">
        <v>702</v>
      </c>
      <c r="K374" t="s">
        <v>1000</v>
      </c>
    </row>
    <row r="375" spans="6:11">
      <c r="F375" t="s">
        <v>786</v>
      </c>
      <c r="G375">
        <v>422</v>
      </c>
      <c r="H375" t="s">
        <v>843</v>
      </c>
      <c r="I375" t="s">
        <v>844</v>
      </c>
      <c r="J375" t="s">
        <v>598</v>
      </c>
      <c r="K375" t="s">
        <v>597</v>
      </c>
    </row>
    <row r="376" spans="6:11">
      <c r="F376" t="s">
        <v>786</v>
      </c>
      <c r="G376">
        <v>502</v>
      </c>
      <c r="H376" t="s">
        <v>1001</v>
      </c>
      <c r="I376" t="s">
        <v>765</v>
      </c>
      <c r="J376" t="s">
        <v>766</v>
      </c>
      <c r="K376" t="s">
        <v>764</v>
      </c>
    </row>
    <row r="377" spans="6:11">
      <c r="F377" t="s">
        <v>786</v>
      </c>
      <c r="G377">
        <v>109</v>
      </c>
      <c r="H377" t="s">
        <v>865</v>
      </c>
      <c r="I377" t="s">
        <v>866</v>
      </c>
      <c r="J377" t="s">
        <v>867</v>
      </c>
      <c r="K377" t="s">
        <v>577</v>
      </c>
    </row>
    <row r="378" spans="6:11">
      <c r="F378" t="s">
        <v>786</v>
      </c>
      <c r="H378" t="s">
        <v>205</v>
      </c>
      <c r="I378" t="s">
        <v>800</v>
      </c>
      <c r="J378" t="s">
        <v>801</v>
      </c>
      <c r="K378" t="s">
        <v>1002</v>
      </c>
    </row>
    <row r="379" spans="6:11">
      <c r="F379" t="s">
        <v>786</v>
      </c>
      <c r="G379">
        <v>9999</v>
      </c>
      <c r="H379" t="s">
        <v>825</v>
      </c>
      <c r="I379" t="s">
        <v>590</v>
      </c>
      <c r="J379" t="s">
        <v>591</v>
      </c>
      <c r="K379" t="s">
        <v>1003</v>
      </c>
    </row>
    <row r="380" spans="6:11">
      <c r="F380" t="s">
        <v>786</v>
      </c>
      <c r="H380" t="s">
        <v>1004</v>
      </c>
      <c r="I380" t="s">
        <v>1005</v>
      </c>
      <c r="J380" t="s">
        <v>690</v>
      </c>
      <c r="K380" t="s">
        <v>1006</v>
      </c>
    </row>
    <row r="381" spans="6:11">
      <c r="F381" t="s">
        <v>786</v>
      </c>
      <c r="G381">
        <v>9999</v>
      </c>
      <c r="H381" t="s">
        <v>792</v>
      </c>
      <c r="I381" t="s">
        <v>793</v>
      </c>
      <c r="J381" t="s">
        <v>794</v>
      </c>
      <c r="K381" t="s">
        <v>1007</v>
      </c>
    </row>
    <row r="382" spans="6:11">
      <c r="F382" t="s">
        <v>786</v>
      </c>
      <c r="G382">
        <v>9999</v>
      </c>
      <c r="H382" t="s">
        <v>988</v>
      </c>
      <c r="I382" t="s">
        <v>989</v>
      </c>
      <c r="J382" t="s">
        <v>990</v>
      </c>
      <c r="K382" t="s">
        <v>1008</v>
      </c>
    </row>
    <row r="383" spans="6:11">
      <c r="F383" t="s">
        <v>786</v>
      </c>
      <c r="G383">
        <v>9999</v>
      </c>
      <c r="H383" t="s">
        <v>796</v>
      </c>
      <c r="I383" t="s">
        <v>797</v>
      </c>
      <c r="J383" t="s">
        <v>798</v>
      </c>
      <c r="K383" t="s">
        <v>1009</v>
      </c>
    </row>
    <row r="384" spans="6:11">
      <c r="F384" t="s">
        <v>786</v>
      </c>
      <c r="G384">
        <v>9999</v>
      </c>
      <c r="H384" t="s">
        <v>1010</v>
      </c>
      <c r="I384" t="s">
        <v>717</v>
      </c>
      <c r="J384" t="s">
        <v>718</v>
      </c>
      <c r="K384" t="s">
        <v>1011</v>
      </c>
    </row>
    <row r="385" spans="6:11">
      <c r="F385" t="s">
        <v>786</v>
      </c>
      <c r="H385" t="s">
        <v>834</v>
      </c>
      <c r="I385" t="s">
        <v>757</v>
      </c>
      <c r="J385" t="s">
        <v>758</v>
      </c>
      <c r="K385" t="s">
        <v>1012</v>
      </c>
    </row>
    <row r="386" spans="6:11">
      <c r="F386" t="s">
        <v>786</v>
      </c>
      <c r="G386">
        <v>9999</v>
      </c>
      <c r="H386" t="s">
        <v>818</v>
      </c>
      <c r="I386" t="s">
        <v>775</v>
      </c>
      <c r="J386" t="s">
        <v>776</v>
      </c>
      <c r="K386" t="s">
        <v>1013</v>
      </c>
    </row>
    <row r="387" spans="6:11">
      <c r="F387" t="s">
        <v>786</v>
      </c>
      <c r="G387">
        <v>9999</v>
      </c>
      <c r="H387" t="s">
        <v>792</v>
      </c>
      <c r="I387" t="s">
        <v>793</v>
      </c>
      <c r="J387" t="s">
        <v>794</v>
      </c>
      <c r="K387" t="s">
        <v>1014</v>
      </c>
    </row>
    <row r="388" spans="6:11">
      <c r="F388" t="s">
        <v>786</v>
      </c>
      <c r="G388">
        <v>9999</v>
      </c>
      <c r="H388" t="s">
        <v>865</v>
      </c>
      <c r="I388" t="s">
        <v>866</v>
      </c>
      <c r="J388" t="s">
        <v>867</v>
      </c>
      <c r="K388" t="s">
        <v>1015</v>
      </c>
    </row>
    <row r="389" spans="6:11">
      <c r="F389" t="s">
        <v>786</v>
      </c>
      <c r="G389">
        <v>9999</v>
      </c>
      <c r="H389" t="s">
        <v>792</v>
      </c>
      <c r="I389" t="s">
        <v>793</v>
      </c>
      <c r="J389" t="s">
        <v>794</v>
      </c>
      <c r="K389" t="s">
        <v>1016</v>
      </c>
    </row>
    <row r="390" spans="6:11">
      <c r="F390" t="s">
        <v>786</v>
      </c>
      <c r="G390">
        <v>9999</v>
      </c>
      <c r="H390" t="s">
        <v>810</v>
      </c>
      <c r="I390" t="s">
        <v>749</v>
      </c>
      <c r="J390" t="s">
        <v>811</v>
      </c>
      <c r="K390" t="s">
        <v>1017</v>
      </c>
    </row>
    <row r="391" spans="6:11">
      <c r="F391" t="s">
        <v>786</v>
      </c>
      <c r="G391">
        <v>9999</v>
      </c>
      <c r="H391" t="s">
        <v>792</v>
      </c>
      <c r="I391" t="s">
        <v>793</v>
      </c>
      <c r="J391" t="s">
        <v>794</v>
      </c>
      <c r="K391" t="s">
        <v>1018</v>
      </c>
    </row>
    <row r="392" spans="6:11">
      <c r="F392" t="s">
        <v>786</v>
      </c>
      <c r="G392">
        <v>9999</v>
      </c>
      <c r="H392" t="s">
        <v>792</v>
      </c>
      <c r="I392" t="s">
        <v>793</v>
      </c>
      <c r="J392" t="s">
        <v>794</v>
      </c>
      <c r="K392" t="s">
        <v>1019</v>
      </c>
    </row>
    <row r="393" spans="6:11">
      <c r="F393" t="s">
        <v>786</v>
      </c>
      <c r="G393">
        <v>9999</v>
      </c>
      <c r="H393" t="s">
        <v>792</v>
      </c>
      <c r="I393" t="s">
        <v>793</v>
      </c>
      <c r="J393" t="s">
        <v>794</v>
      </c>
      <c r="K393" t="s">
        <v>1020</v>
      </c>
    </row>
    <row r="394" spans="6:11">
      <c r="F394" t="s">
        <v>786</v>
      </c>
      <c r="G394">
        <v>9999</v>
      </c>
      <c r="H394" t="s">
        <v>977</v>
      </c>
      <c r="I394" t="s">
        <v>609</v>
      </c>
      <c r="J394" t="s">
        <v>610</v>
      </c>
      <c r="K394" t="s">
        <v>1021</v>
      </c>
    </row>
    <row r="395" spans="6:11">
      <c r="F395" t="s">
        <v>786</v>
      </c>
      <c r="G395">
        <v>9999</v>
      </c>
      <c r="H395" t="s">
        <v>818</v>
      </c>
      <c r="I395" t="s">
        <v>775</v>
      </c>
      <c r="J395" t="s">
        <v>776</v>
      </c>
      <c r="K395" t="s">
        <v>1022</v>
      </c>
    </row>
    <row r="396" spans="6:11">
      <c r="F396" t="s">
        <v>786</v>
      </c>
      <c r="G396">
        <v>9999</v>
      </c>
      <c r="H396" t="s">
        <v>792</v>
      </c>
      <c r="I396" t="s">
        <v>793</v>
      </c>
      <c r="J396" t="s">
        <v>794</v>
      </c>
      <c r="K396" t="s">
        <v>1023</v>
      </c>
    </row>
    <row r="397" spans="6:11">
      <c r="F397" t="s">
        <v>786</v>
      </c>
      <c r="G397">
        <v>406</v>
      </c>
      <c r="H397" t="s">
        <v>1024</v>
      </c>
      <c r="I397" t="s">
        <v>605</v>
      </c>
      <c r="J397" t="s">
        <v>606</v>
      </c>
      <c r="K397" t="s">
        <v>604</v>
      </c>
    </row>
    <row r="398" spans="6:11">
      <c r="F398" t="s">
        <v>786</v>
      </c>
      <c r="H398" t="s">
        <v>792</v>
      </c>
      <c r="I398" t="s">
        <v>793</v>
      </c>
      <c r="J398" t="s">
        <v>794</v>
      </c>
      <c r="K398" t="s">
        <v>1025</v>
      </c>
    </row>
    <row r="399" spans="6:11">
      <c r="F399" t="s">
        <v>786</v>
      </c>
      <c r="H399" t="s">
        <v>984</v>
      </c>
      <c r="I399" t="s">
        <v>985</v>
      </c>
      <c r="J399" t="s">
        <v>658</v>
      </c>
      <c r="K399" t="s">
        <v>1026</v>
      </c>
    </row>
    <row r="400" spans="6:11">
      <c r="F400" t="s">
        <v>786</v>
      </c>
      <c r="G400">
        <v>9999</v>
      </c>
      <c r="H400" t="s">
        <v>796</v>
      </c>
      <c r="I400" t="s">
        <v>797</v>
      </c>
      <c r="J400" t="s">
        <v>798</v>
      </c>
      <c r="K400" t="s">
        <v>1027</v>
      </c>
    </row>
    <row r="401" spans="6:11">
      <c r="F401" t="s">
        <v>786</v>
      </c>
      <c r="G401">
        <v>9999</v>
      </c>
      <c r="H401" t="s">
        <v>818</v>
      </c>
      <c r="I401" t="s">
        <v>775</v>
      </c>
      <c r="J401" t="s">
        <v>776</v>
      </c>
      <c r="K401" t="s">
        <v>1028</v>
      </c>
    </row>
    <row r="402" spans="6:11">
      <c r="F402" t="s">
        <v>786</v>
      </c>
      <c r="G402">
        <v>408</v>
      </c>
      <c r="H402" t="s">
        <v>1029</v>
      </c>
      <c r="I402" t="s">
        <v>621</v>
      </c>
      <c r="J402" t="s">
        <v>622</v>
      </c>
      <c r="K402" t="s">
        <v>620</v>
      </c>
    </row>
    <row r="403" spans="6:11">
      <c r="F403" t="s">
        <v>786</v>
      </c>
      <c r="H403" t="s">
        <v>286</v>
      </c>
      <c r="I403" t="s">
        <v>860</v>
      </c>
      <c r="J403" t="s">
        <v>730</v>
      </c>
      <c r="K403" t="s">
        <v>1030</v>
      </c>
    </row>
    <row r="404" spans="6:11">
      <c r="F404" t="s">
        <v>786</v>
      </c>
      <c r="G404">
        <v>9999</v>
      </c>
      <c r="H404" t="s">
        <v>792</v>
      </c>
      <c r="I404" t="s">
        <v>793</v>
      </c>
      <c r="J404" t="s">
        <v>794</v>
      </c>
      <c r="K404" t="s">
        <v>1031</v>
      </c>
    </row>
    <row r="405" spans="6:11">
      <c r="F405" t="s">
        <v>786</v>
      </c>
      <c r="H405" t="s">
        <v>1032</v>
      </c>
      <c r="I405" t="s">
        <v>1033</v>
      </c>
      <c r="J405" t="s">
        <v>1034</v>
      </c>
      <c r="K405" t="s">
        <v>1035</v>
      </c>
    </row>
    <row r="406" spans="6:11">
      <c r="F406" t="s">
        <v>786</v>
      </c>
      <c r="H406" t="s">
        <v>969</v>
      </c>
      <c r="I406" t="s">
        <v>970</v>
      </c>
      <c r="J406" t="s">
        <v>630</v>
      </c>
      <c r="K406" t="s">
        <v>628</v>
      </c>
    </row>
    <row r="407" spans="6:11">
      <c r="F407" t="s">
        <v>786</v>
      </c>
      <c r="G407">
        <v>707</v>
      </c>
      <c r="H407" t="s">
        <v>814</v>
      </c>
      <c r="I407" t="s">
        <v>815</v>
      </c>
      <c r="J407" t="s">
        <v>734</v>
      </c>
      <c r="K407" t="s">
        <v>732</v>
      </c>
    </row>
    <row r="408" spans="6:11">
      <c r="F408" t="s">
        <v>786</v>
      </c>
      <c r="G408">
        <v>403</v>
      </c>
      <c r="H408" t="s">
        <v>1036</v>
      </c>
      <c r="I408" t="s">
        <v>1037</v>
      </c>
      <c r="J408" t="s">
        <v>1038</v>
      </c>
      <c r="K408" t="s">
        <v>624</v>
      </c>
    </row>
    <row r="409" spans="6:11">
      <c r="F409" t="s">
        <v>786</v>
      </c>
      <c r="G409">
        <v>507</v>
      </c>
      <c r="H409" t="s">
        <v>1001</v>
      </c>
      <c r="I409" t="s">
        <v>765</v>
      </c>
      <c r="J409" t="s">
        <v>766</v>
      </c>
      <c r="K409" t="s">
        <v>1039</v>
      </c>
    </row>
    <row r="410" spans="6:11">
      <c r="F410" t="s">
        <v>786</v>
      </c>
      <c r="G410">
        <v>9999</v>
      </c>
      <c r="H410" t="s">
        <v>1040</v>
      </c>
      <c r="I410" t="s">
        <v>1041</v>
      </c>
      <c r="J410" t="s">
        <v>1042</v>
      </c>
      <c r="K410" t="s">
        <v>1043</v>
      </c>
    </row>
    <row r="411" spans="6:11">
      <c r="F411" t="s">
        <v>786</v>
      </c>
      <c r="G411">
        <v>9999</v>
      </c>
      <c r="H411" t="s">
        <v>792</v>
      </c>
      <c r="I411" t="s">
        <v>793</v>
      </c>
      <c r="J411" t="s">
        <v>794</v>
      </c>
      <c r="K411" t="s">
        <v>1044</v>
      </c>
    </row>
    <row r="412" spans="6:11">
      <c r="F412" t="s">
        <v>786</v>
      </c>
      <c r="G412">
        <v>9999</v>
      </c>
      <c r="H412" t="s">
        <v>818</v>
      </c>
      <c r="I412" t="s">
        <v>775</v>
      </c>
      <c r="J412" t="s">
        <v>776</v>
      </c>
      <c r="K412" t="s">
        <v>1045</v>
      </c>
    </row>
    <row r="413" spans="6:11">
      <c r="F413" t="s">
        <v>786</v>
      </c>
      <c r="G413">
        <v>9999</v>
      </c>
      <c r="H413" t="s">
        <v>818</v>
      </c>
      <c r="I413" t="s">
        <v>775</v>
      </c>
      <c r="J413" t="s">
        <v>776</v>
      </c>
      <c r="K413" t="s">
        <v>1046</v>
      </c>
    </row>
    <row r="414" spans="6:11">
      <c r="F414" t="s">
        <v>786</v>
      </c>
      <c r="G414">
        <v>9999</v>
      </c>
      <c r="H414" t="s">
        <v>818</v>
      </c>
      <c r="I414" t="s">
        <v>775</v>
      </c>
      <c r="J414" t="s">
        <v>776</v>
      </c>
      <c r="K414" t="s">
        <v>1047</v>
      </c>
    </row>
    <row r="415" spans="6:11">
      <c r="F415" t="s">
        <v>786</v>
      </c>
      <c r="G415">
        <v>501</v>
      </c>
      <c r="H415" t="s">
        <v>975</v>
      </c>
      <c r="I415" t="s">
        <v>976</v>
      </c>
      <c r="J415" t="s">
        <v>770</v>
      </c>
      <c r="K415" t="s">
        <v>768</v>
      </c>
    </row>
    <row r="416" spans="6:11">
      <c r="F416" t="s">
        <v>786</v>
      </c>
      <c r="G416">
        <v>301</v>
      </c>
      <c r="H416" t="s">
        <v>1048</v>
      </c>
      <c r="I416" t="s">
        <v>645</v>
      </c>
      <c r="J416" t="s">
        <v>646</v>
      </c>
      <c r="K416" t="s">
        <v>1049</v>
      </c>
    </row>
    <row r="417" spans="6:11">
      <c r="F417" t="s">
        <v>786</v>
      </c>
      <c r="G417">
        <v>702</v>
      </c>
      <c r="H417" t="s">
        <v>286</v>
      </c>
      <c r="I417" t="s">
        <v>860</v>
      </c>
      <c r="J417" t="s">
        <v>730</v>
      </c>
      <c r="K417" t="s">
        <v>1050</v>
      </c>
    </row>
    <row r="418" spans="6:11">
      <c r="F418" t="s">
        <v>786</v>
      </c>
      <c r="G418">
        <v>604</v>
      </c>
      <c r="H418" t="s">
        <v>952</v>
      </c>
      <c r="I418" t="s">
        <v>697</v>
      </c>
      <c r="J418" t="s">
        <v>698</v>
      </c>
      <c r="K418" t="s">
        <v>696</v>
      </c>
    </row>
    <row r="419" spans="6:11">
      <c r="F419" t="s">
        <v>786</v>
      </c>
      <c r="G419">
        <v>802</v>
      </c>
      <c r="H419" t="s">
        <v>834</v>
      </c>
      <c r="I419" t="s">
        <v>757</v>
      </c>
      <c r="J419" t="s">
        <v>758</v>
      </c>
      <c r="K419" t="s">
        <v>756</v>
      </c>
    </row>
    <row r="420" spans="6:11">
      <c r="F420" t="s">
        <v>786</v>
      </c>
      <c r="G420">
        <v>1</v>
      </c>
      <c r="H420" t="s">
        <v>792</v>
      </c>
      <c r="I420" t="s">
        <v>793</v>
      </c>
      <c r="J420" t="s">
        <v>794</v>
      </c>
      <c r="K420" t="s">
        <v>1051</v>
      </c>
    </row>
    <row r="421" spans="6:11">
      <c r="F421" t="s">
        <v>786</v>
      </c>
      <c r="G421">
        <v>706</v>
      </c>
      <c r="H421" t="s">
        <v>810</v>
      </c>
      <c r="I421" t="s">
        <v>749</v>
      </c>
      <c r="J421" t="s">
        <v>811</v>
      </c>
      <c r="K421" t="s">
        <v>1052</v>
      </c>
    </row>
    <row r="422" spans="6:11">
      <c r="F422" t="s">
        <v>786</v>
      </c>
      <c r="G422">
        <v>708</v>
      </c>
      <c r="H422" t="s">
        <v>858</v>
      </c>
      <c r="I422" t="s">
        <v>745</v>
      </c>
      <c r="J422" t="s">
        <v>746</v>
      </c>
      <c r="K422" t="s">
        <v>1053</v>
      </c>
    </row>
    <row r="423" spans="6:11">
      <c r="F423" t="s">
        <v>786</v>
      </c>
      <c r="G423">
        <v>103</v>
      </c>
      <c r="H423" t="s">
        <v>865</v>
      </c>
      <c r="I423" t="s">
        <v>866</v>
      </c>
      <c r="J423" t="s">
        <v>867</v>
      </c>
      <c r="K423" t="s">
        <v>1054</v>
      </c>
    </row>
    <row r="424" spans="6:11">
      <c r="F424" t="s">
        <v>786</v>
      </c>
      <c r="G424">
        <v>606</v>
      </c>
      <c r="H424" t="s">
        <v>530</v>
      </c>
      <c r="I424" t="s">
        <v>1055</v>
      </c>
      <c r="J424" t="s">
        <v>714</v>
      </c>
      <c r="K424" t="s">
        <v>712</v>
      </c>
    </row>
    <row r="425" spans="6:11">
      <c r="F425" t="s">
        <v>786</v>
      </c>
      <c r="G425">
        <v>302</v>
      </c>
      <c r="H425" t="s">
        <v>1048</v>
      </c>
      <c r="I425" t="s">
        <v>645</v>
      </c>
      <c r="J425" t="s">
        <v>646</v>
      </c>
      <c r="K425" t="s">
        <v>644</v>
      </c>
    </row>
    <row r="426" spans="6:11">
      <c r="F426" t="s">
        <v>786</v>
      </c>
      <c r="G426">
        <v>9999</v>
      </c>
      <c r="H426" t="s">
        <v>932</v>
      </c>
      <c r="I426" t="s">
        <v>753</v>
      </c>
      <c r="J426" t="s">
        <v>933</v>
      </c>
      <c r="K426" t="s">
        <v>1056</v>
      </c>
    </row>
    <row r="427" spans="6:11">
      <c r="F427" t="s">
        <v>786</v>
      </c>
      <c r="G427">
        <v>9999</v>
      </c>
      <c r="H427" t="s">
        <v>792</v>
      </c>
      <c r="I427" t="s">
        <v>793</v>
      </c>
      <c r="J427" t="s">
        <v>794</v>
      </c>
      <c r="K427" t="s">
        <v>1057</v>
      </c>
    </row>
    <row r="428" spans="6:11">
      <c r="F428" t="s">
        <v>786</v>
      </c>
      <c r="G428">
        <v>9999</v>
      </c>
      <c r="H428" t="s">
        <v>286</v>
      </c>
      <c r="I428" t="s">
        <v>860</v>
      </c>
      <c r="J428" t="s">
        <v>730</v>
      </c>
      <c r="K428" t="s">
        <v>1058</v>
      </c>
    </row>
    <row r="429" spans="6:11">
      <c r="F429" t="s">
        <v>786</v>
      </c>
      <c r="G429">
        <v>9999</v>
      </c>
      <c r="H429" t="s">
        <v>865</v>
      </c>
      <c r="I429" t="s">
        <v>866</v>
      </c>
      <c r="J429" t="s">
        <v>867</v>
      </c>
      <c r="K429" t="s">
        <v>1059</v>
      </c>
    </row>
    <row r="430" spans="6:11">
      <c r="F430" t="s">
        <v>786</v>
      </c>
      <c r="G430">
        <v>9999</v>
      </c>
      <c r="H430" t="s">
        <v>810</v>
      </c>
      <c r="I430" t="s">
        <v>749</v>
      </c>
      <c r="J430" t="s">
        <v>811</v>
      </c>
      <c r="K430" t="s">
        <v>1060</v>
      </c>
    </row>
    <row r="431" spans="6:11">
      <c r="F431" t="s">
        <v>786</v>
      </c>
      <c r="G431">
        <v>703</v>
      </c>
      <c r="H431" t="s">
        <v>286</v>
      </c>
      <c r="I431" t="s">
        <v>860</v>
      </c>
      <c r="J431" t="s">
        <v>730</v>
      </c>
      <c r="K431" t="s">
        <v>728</v>
      </c>
    </row>
    <row r="432" spans="6:11">
      <c r="F432" t="s">
        <v>786</v>
      </c>
      <c r="G432">
        <v>503</v>
      </c>
      <c r="H432" t="s">
        <v>988</v>
      </c>
      <c r="I432" t="s">
        <v>989</v>
      </c>
      <c r="J432" t="s">
        <v>990</v>
      </c>
      <c r="K432" t="s">
        <v>760</v>
      </c>
    </row>
    <row r="433" spans="6:11">
      <c r="F433" t="s">
        <v>786</v>
      </c>
      <c r="G433">
        <v>9999</v>
      </c>
      <c r="H433" t="s">
        <v>987</v>
      </c>
      <c r="I433" t="s">
        <v>641</v>
      </c>
      <c r="J433" t="s">
        <v>642</v>
      </c>
      <c r="K433" t="s">
        <v>1061</v>
      </c>
    </row>
    <row r="434" spans="6:11">
      <c r="F434" t="s">
        <v>786</v>
      </c>
      <c r="G434">
        <v>711</v>
      </c>
      <c r="H434" t="s">
        <v>858</v>
      </c>
      <c r="I434" t="s">
        <v>745</v>
      </c>
      <c r="J434" t="s">
        <v>746</v>
      </c>
      <c r="K434" t="s">
        <v>744</v>
      </c>
    </row>
    <row r="435" spans="6:11">
      <c r="F435" t="s">
        <v>786</v>
      </c>
      <c r="G435">
        <v>602</v>
      </c>
      <c r="H435" t="s">
        <v>997</v>
      </c>
      <c r="I435" t="s">
        <v>681</v>
      </c>
      <c r="J435" t="s">
        <v>682</v>
      </c>
      <c r="K435" t="s">
        <v>1062</v>
      </c>
    </row>
    <row r="436" spans="6:11">
      <c r="F436" t="s">
        <v>786</v>
      </c>
      <c r="G436">
        <v>9999</v>
      </c>
      <c r="H436" t="s">
        <v>987</v>
      </c>
      <c r="I436" t="s">
        <v>641</v>
      </c>
      <c r="J436" t="s">
        <v>642</v>
      </c>
      <c r="K436" t="s">
        <v>1063</v>
      </c>
    </row>
    <row r="437" spans="6:11">
      <c r="F437" t="s">
        <v>786</v>
      </c>
      <c r="G437">
        <v>710</v>
      </c>
      <c r="H437" t="s">
        <v>810</v>
      </c>
      <c r="I437" t="s">
        <v>749</v>
      </c>
      <c r="J437" t="s">
        <v>811</v>
      </c>
      <c r="K437" t="s">
        <v>1064</v>
      </c>
    </row>
    <row r="438" spans="6:11">
      <c r="F438" t="s">
        <v>786</v>
      </c>
      <c r="G438">
        <v>9999</v>
      </c>
      <c r="H438" t="s">
        <v>918</v>
      </c>
      <c r="I438" t="s">
        <v>783</v>
      </c>
      <c r="J438" t="s">
        <v>784</v>
      </c>
      <c r="K438" t="s">
        <v>1065</v>
      </c>
    </row>
    <row r="439" spans="6:11">
      <c r="F439" t="s">
        <v>786</v>
      </c>
      <c r="G439">
        <v>9999</v>
      </c>
      <c r="H439" t="s">
        <v>818</v>
      </c>
      <c r="I439" t="s">
        <v>775</v>
      </c>
      <c r="J439" t="s">
        <v>776</v>
      </c>
      <c r="K439" t="s">
        <v>1066</v>
      </c>
    </row>
    <row r="440" spans="6:11">
      <c r="F440" t="s">
        <v>786</v>
      </c>
      <c r="G440">
        <v>9999</v>
      </c>
      <c r="H440" t="s">
        <v>888</v>
      </c>
      <c r="I440" t="s">
        <v>741</v>
      </c>
      <c r="J440" t="s">
        <v>742</v>
      </c>
      <c r="K440" t="s">
        <v>1067</v>
      </c>
    </row>
    <row r="441" spans="6:11">
      <c r="F441" t="s">
        <v>786</v>
      </c>
      <c r="G441">
        <v>9999</v>
      </c>
      <c r="H441" t="s">
        <v>818</v>
      </c>
      <c r="I441" t="s">
        <v>775</v>
      </c>
      <c r="J441" t="s">
        <v>776</v>
      </c>
      <c r="K441" t="s">
        <v>1068</v>
      </c>
    </row>
    <row r="442" spans="6:11">
      <c r="F442" t="s">
        <v>786</v>
      </c>
      <c r="G442">
        <v>9999</v>
      </c>
      <c r="H442" t="s">
        <v>957</v>
      </c>
      <c r="I442" t="s">
        <v>779</v>
      </c>
      <c r="J442" t="s">
        <v>958</v>
      </c>
      <c r="K442" t="s">
        <v>1069</v>
      </c>
    </row>
    <row r="443" spans="6:11">
      <c r="F443" t="s">
        <v>786</v>
      </c>
      <c r="G443">
        <v>9999</v>
      </c>
      <c r="H443" t="s">
        <v>839</v>
      </c>
      <c r="I443" t="s">
        <v>637</v>
      </c>
      <c r="J443" t="s">
        <v>638</v>
      </c>
      <c r="K443" t="s">
        <v>1070</v>
      </c>
    </row>
    <row r="444" spans="6:11">
      <c r="F444" t="s">
        <v>786</v>
      </c>
      <c r="G444">
        <v>9999</v>
      </c>
      <c r="H444" t="s">
        <v>818</v>
      </c>
      <c r="I444" t="s">
        <v>775</v>
      </c>
      <c r="J444" t="s">
        <v>776</v>
      </c>
      <c r="K444" t="s">
        <v>1071</v>
      </c>
    </row>
    <row r="445" spans="6:11">
      <c r="F445" t="s">
        <v>786</v>
      </c>
      <c r="G445">
        <v>9999</v>
      </c>
      <c r="H445" t="s">
        <v>818</v>
      </c>
      <c r="I445" t="s">
        <v>775</v>
      </c>
      <c r="J445" t="s">
        <v>776</v>
      </c>
      <c r="K445" t="s">
        <v>1072</v>
      </c>
    </row>
    <row r="446" spans="6:11">
      <c r="F446" t="s">
        <v>786</v>
      </c>
      <c r="H446" t="s">
        <v>865</v>
      </c>
      <c r="I446" t="s">
        <v>866</v>
      </c>
      <c r="J446" t="s">
        <v>867</v>
      </c>
      <c r="K446" t="s">
        <v>1073</v>
      </c>
    </row>
    <row r="447" spans="6:11">
      <c r="F447" t="s">
        <v>786</v>
      </c>
      <c r="G447">
        <v>9999</v>
      </c>
      <c r="H447" t="s">
        <v>810</v>
      </c>
      <c r="I447" t="s">
        <v>749</v>
      </c>
      <c r="J447" t="s">
        <v>811</v>
      </c>
      <c r="K447" t="s">
        <v>1074</v>
      </c>
    </row>
    <row r="448" spans="6:11">
      <c r="F448" t="s">
        <v>786</v>
      </c>
      <c r="G448">
        <v>101</v>
      </c>
      <c r="H448" t="s">
        <v>865</v>
      </c>
      <c r="I448" t="s">
        <v>866</v>
      </c>
      <c r="J448" t="s">
        <v>867</v>
      </c>
      <c r="K448" t="s">
        <v>1075</v>
      </c>
    </row>
    <row r="449" spans="6:11">
      <c r="F449" t="s">
        <v>786</v>
      </c>
      <c r="G449">
        <v>608</v>
      </c>
      <c r="H449" t="s">
        <v>935</v>
      </c>
      <c r="I449" t="s">
        <v>936</v>
      </c>
      <c r="J449" t="s">
        <v>937</v>
      </c>
      <c r="K449" t="s">
        <v>1076</v>
      </c>
    </row>
    <row r="450" spans="6:11">
      <c r="F450" t="s">
        <v>786</v>
      </c>
      <c r="G450">
        <v>504</v>
      </c>
      <c r="H450" t="s">
        <v>988</v>
      </c>
      <c r="I450" t="s">
        <v>989</v>
      </c>
      <c r="J450" t="s">
        <v>990</v>
      </c>
      <c r="K450" t="s">
        <v>1077</v>
      </c>
    </row>
    <row r="451" spans="6:11">
      <c r="F451" t="s">
        <v>786</v>
      </c>
      <c r="H451" t="s">
        <v>954</v>
      </c>
      <c r="I451" t="s">
        <v>721</v>
      </c>
      <c r="J451" t="s">
        <v>722</v>
      </c>
      <c r="K451" t="s">
        <v>1078</v>
      </c>
    </row>
    <row r="452" spans="6:11">
      <c r="F452" t="s">
        <v>786</v>
      </c>
      <c r="G452">
        <v>9999</v>
      </c>
      <c r="H452" t="s">
        <v>792</v>
      </c>
      <c r="I452" t="s">
        <v>793</v>
      </c>
      <c r="J452" t="s">
        <v>794</v>
      </c>
      <c r="K452" t="s">
        <v>1079</v>
      </c>
    </row>
    <row r="453" spans="6:11">
      <c r="F453" t="s">
        <v>786</v>
      </c>
      <c r="G453">
        <v>9999</v>
      </c>
      <c r="H453" t="s">
        <v>796</v>
      </c>
      <c r="I453" t="s">
        <v>797</v>
      </c>
      <c r="J453" t="s">
        <v>798</v>
      </c>
      <c r="K453" t="s">
        <v>1080</v>
      </c>
    </row>
    <row r="454" spans="6:11">
      <c r="F454" t="s">
        <v>786</v>
      </c>
      <c r="G454">
        <v>9999</v>
      </c>
      <c r="H454" t="s">
        <v>865</v>
      </c>
      <c r="I454" t="s">
        <v>866</v>
      </c>
      <c r="J454" t="s">
        <v>867</v>
      </c>
      <c r="K454" t="s">
        <v>1081</v>
      </c>
    </row>
    <row r="455" spans="6:11">
      <c r="F455" t="s">
        <v>786</v>
      </c>
      <c r="H455" t="s">
        <v>286</v>
      </c>
      <c r="I455" t="s">
        <v>860</v>
      </c>
      <c r="J455" t="s">
        <v>730</v>
      </c>
      <c r="K455" t="s">
        <v>1082</v>
      </c>
    </row>
    <row r="456" spans="6:11">
      <c r="F456" t="s">
        <v>786</v>
      </c>
      <c r="G456">
        <v>9999</v>
      </c>
      <c r="H456" t="s">
        <v>792</v>
      </c>
      <c r="I456" t="s">
        <v>793</v>
      </c>
      <c r="J456" t="s">
        <v>794</v>
      </c>
      <c r="K456" t="s">
        <v>1083</v>
      </c>
    </row>
    <row r="457" spans="6:11">
      <c r="F457" t="s">
        <v>786</v>
      </c>
      <c r="G457">
        <v>9999</v>
      </c>
      <c r="H457" t="s">
        <v>1084</v>
      </c>
      <c r="I457" t="s">
        <v>1085</v>
      </c>
      <c r="J457" t="s">
        <v>1086</v>
      </c>
      <c r="K457" t="s">
        <v>1087</v>
      </c>
    </row>
    <row r="458" spans="6:11">
      <c r="F458" t="s">
        <v>786</v>
      </c>
      <c r="G458">
        <v>9999</v>
      </c>
      <c r="H458" t="s">
        <v>792</v>
      </c>
      <c r="I458" t="s">
        <v>793</v>
      </c>
      <c r="J458" t="s">
        <v>794</v>
      </c>
      <c r="K458" t="s">
        <v>1088</v>
      </c>
    </row>
    <row r="459" spans="6:11">
      <c r="F459" t="s">
        <v>786</v>
      </c>
      <c r="G459">
        <v>9999</v>
      </c>
      <c r="H459" t="s">
        <v>418</v>
      </c>
      <c r="I459" t="s">
        <v>709</v>
      </c>
      <c r="J459" t="s">
        <v>710</v>
      </c>
      <c r="K459" t="s">
        <v>1089</v>
      </c>
    </row>
    <row r="460" spans="6:11">
      <c r="F460" t="s">
        <v>786</v>
      </c>
      <c r="G460">
        <v>9999</v>
      </c>
      <c r="H460" t="s">
        <v>975</v>
      </c>
      <c r="I460" t="s">
        <v>976</v>
      </c>
      <c r="J460" t="s">
        <v>770</v>
      </c>
      <c r="K460" t="s">
        <v>1090</v>
      </c>
    </row>
    <row r="461" spans="6:11">
      <c r="F461" t="s">
        <v>786</v>
      </c>
      <c r="G461">
        <v>9999</v>
      </c>
      <c r="H461" t="s">
        <v>965</v>
      </c>
      <c r="I461" t="s">
        <v>966</v>
      </c>
      <c r="J461" t="s">
        <v>967</v>
      </c>
      <c r="K461" t="s">
        <v>1091</v>
      </c>
    </row>
    <row r="462" spans="6:11">
      <c r="F462" t="s">
        <v>786</v>
      </c>
      <c r="G462">
        <v>9999</v>
      </c>
      <c r="H462" t="s">
        <v>796</v>
      </c>
      <c r="I462" t="s">
        <v>797</v>
      </c>
      <c r="J462" t="s">
        <v>798</v>
      </c>
      <c r="K462" t="s">
        <v>1092</v>
      </c>
    </row>
    <row r="463" spans="6:11">
      <c r="F463" t="s">
        <v>786</v>
      </c>
      <c r="G463">
        <v>9999</v>
      </c>
      <c r="H463" t="s">
        <v>945</v>
      </c>
      <c r="I463" t="s">
        <v>669</v>
      </c>
      <c r="J463" t="s">
        <v>670</v>
      </c>
      <c r="K463" t="s">
        <v>1093</v>
      </c>
    </row>
    <row r="464" spans="6:11">
      <c r="F464" t="s">
        <v>786</v>
      </c>
      <c r="G464">
        <v>9999</v>
      </c>
      <c r="H464" t="s">
        <v>938</v>
      </c>
      <c r="I464" t="s">
        <v>594</v>
      </c>
      <c r="J464" t="s">
        <v>595</v>
      </c>
      <c r="K464" t="s">
        <v>1094</v>
      </c>
    </row>
    <row r="465" spans="6:11">
      <c r="F465" t="s">
        <v>786</v>
      </c>
      <c r="G465">
        <v>9999</v>
      </c>
      <c r="H465" t="s">
        <v>943</v>
      </c>
      <c r="I465" t="s">
        <v>944</v>
      </c>
      <c r="J465" t="s">
        <v>726</v>
      </c>
      <c r="K465" t="s">
        <v>1095</v>
      </c>
    </row>
    <row r="466" spans="6:11">
      <c r="F466" t="s">
        <v>786</v>
      </c>
      <c r="G466">
        <v>9999</v>
      </c>
      <c r="H466" t="s">
        <v>938</v>
      </c>
      <c r="I466" t="s">
        <v>594</v>
      </c>
      <c r="J466" t="s">
        <v>595</v>
      </c>
      <c r="K466" t="s">
        <v>1096</v>
      </c>
    </row>
    <row r="467" spans="6:11">
      <c r="F467" t="s">
        <v>786</v>
      </c>
      <c r="G467">
        <v>9999</v>
      </c>
      <c r="H467" t="s">
        <v>1048</v>
      </c>
      <c r="I467" t="s">
        <v>645</v>
      </c>
      <c r="J467" t="s">
        <v>646</v>
      </c>
      <c r="K467" t="s">
        <v>1097</v>
      </c>
    </row>
    <row r="468" spans="6:11">
      <c r="F468" t="s">
        <v>786</v>
      </c>
      <c r="H468" t="s">
        <v>792</v>
      </c>
      <c r="I468" t="s">
        <v>793</v>
      </c>
      <c r="J468" t="s">
        <v>794</v>
      </c>
      <c r="K468" t="s">
        <v>1098</v>
      </c>
    </row>
    <row r="469" spans="6:11">
      <c r="F469" t="s">
        <v>786</v>
      </c>
      <c r="G469">
        <v>9999</v>
      </c>
      <c r="H469" t="s">
        <v>1029</v>
      </c>
      <c r="I469" t="s">
        <v>621</v>
      </c>
      <c r="J469" t="s">
        <v>622</v>
      </c>
      <c r="K469" t="s">
        <v>1099</v>
      </c>
    </row>
    <row r="470" spans="6:11">
      <c r="F470" t="s">
        <v>786</v>
      </c>
      <c r="G470">
        <v>9999</v>
      </c>
      <c r="H470" t="s">
        <v>1100</v>
      </c>
      <c r="I470" t="s">
        <v>1101</v>
      </c>
      <c r="J470" t="s">
        <v>1102</v>
      </c>
      <c r="K470" t="s">
        <v>1103</v>
      </c>
    </row>
    <row r="471" spans="6:11">
      <c r="F471" t="s">
        <v>786</v>
      </c>
      <c r="G471">
        <v>9999</v>
      </c>
      <c r="H471" t="s">
        <v>948</v>
      </c>
      <c r="I471" t="s">
        <v>653</v>
      </c>
      <c r="J471" t="s">
        <v>654</v>
      </c>
      <c r="K471" t="s">
        <v>1104</v>
      </c>
    </row>
    <row r="472" spans="6:11">
      <c r="F472" t="s">
        <v>786</v>
      </c>
      <c r="G472">
        <v>9999</v>
      </c>
      <c r="H472" t="s">
        <v>945</v>
      </c>
      <c r="I472" t="s">
        <v>669</v>
      </c>
      <c r="J472" t="s">
        <v>670</v>
      </c>
      <c r="K472" t="s">
        <v>1105</v>
      </c>
    </row>
    <row r="473" spans="6:11">
      <c r="F473" t="s">
        <v>786</v>
      </c>
      <c r="G473">
        <v>9999</v>
      </c>
      <c r="H473" t="s">
        <v>987</v>
      </c>
      <c r="I473" t="s">
        <v>641</v>
      </c>
      <c r="J473" t="s">
        <v>642</v>
      </c>
      <c r="K473" t="s">
        <v>1106</v>
      </c>
    </row>
    <row r="474" spans="6:11">
      <c r="F474" t="s">
        <v>786</v>
      </c>
      <c r="G474">
        <v>9999</v>
      </c>
      <c r="H474" t="s">
        <v>974</v>
      </c>
      <c r="I474" t="s">
        <v>633</v>
      </c>
      <c r="J474" t="s">
        <v>634</v>
      </c>
      <c r="K474" t="s">
        <v>1107</v>
      </c>
    </row>
    <row r="475" spans="6:11">
      <c r="F475" t="s">
        <v>786</v>
      </c>
      <c r="G475">
        <v>9999</v>
      </c>
      <c r="H475" t="s">
        <v>858</v>
      </c>
      <c r="I475" t="s">
        <v>745</v>
      </c>
      <c r="J475" t="s">
        <v>746</v>
      </c>
      <c r="K475" t="s">
        <v>1108</v>
      </c>
    </row>
    <row r="476" spans="6:11">
      <c r="F476" t="s">
        <v>786</v>
      </c>
      <c r="G476">
        <v>9999</v>
      </c>
      <c r="H476" t="s">
        <v>792</v>
      </c>
      <c r="I476" t="s">
        <v>793</v>
      </c>
      <c r="J476" t="s">
        <v>794</v>
      </c>
      <c r="K476" t="s">
        <v>1109</v>
      </c>
    </row>
    <row r="477" spans="6:11">
      <c r="F477" t="s">
        <v>786</v>
      </c>
      <c r="G477">
        <v>9999</v>
      </c>
      <c r="H477" t="s">
        <v>792</v>
      </c>
      <c r="I477" t="s">
        <v>793</v>
      </c>
      <c r="J477" t="s">
        <v>794</v>
      </c>
      <c r="K477" t="s">
        <v>1110</v>
      </c>
    </row>
    <row r="478" spans="6:11">
      <c r="F478" t="s">
        <v>786</v>
      </c>
      <c r="G478">
        <v>9999</v>
      </c>
      <c r="H478" t="s">
        <v>948</v>
      </c>
      <c r="I478" t="s">
        <v>653</v>
      </c>
      <c r="J478" t="s">
        <v>654</v>
      </c>
      <c r="K478" t="s">
        <v>1111</v>
      </c>
    </row>
    <row r="479" spans="6:11">
      <c r="F479" t="s">
        <v>786</v>
      </c>
      <c r="G479">
        <v>9999</v>
      </c>
      <c r="H479" t="s">
        <v>865</v>
      </c>
      <c r="I479" t="s">
        <v>866</v>
      </c>
      <c r="J479" t="s">
        <v>867</v>
      </c>
      <c r="K479" t="s">
        <v>1112</v>
      </c>
    </row>
    <row r="480" spans="6:11">
      <c r="F480" t="s">
        <v>786</v>
      </c>
      <c r="G480">
        <v>9999</v>
      </c>
      <c r="H480" t="s">
        <v>818</v>
      </c>
      <c r="I480" t="s">
        <v>775</v>
      </c>
      <c r="J480" t="s">
        <v>776</v>
      </c>
      <c r="K480" t="s">
        <v>1113</v>
      </c>
    </row>
    <row r="481" spans="6:11">
      <c r="F481" t="s">
        <v>786</v>
      </c>
      <c r="G481">
        <v>9999</v>
      </c>
      <c r="H481" t="s">
        <v>818</v>
      </c>
      <c r="I481" t="s">
        <v>775</v>
      </c>
      <c r="J481" t="s">
        <v>776</v>
      </c>
      <c r="K481" t="s">
        <v>1114</v>
      </c>
    </row>
    <row r="482" spans="6:11">
      <c r="F482" t="s">
        <v>786</v>
      </c>
      <c r="G482">
        <v>9999</v>
      </c>
      <c r="H482" t="s">
        <v>865</v>
      </c>
      <c r="I482" t="s">
        <v>866</v>
      </c>
      <c r="J482" t="s">
        <v>867</v>
      </c>
      <c r="K482" t="s">
        <v>1115</v>
      </c>
    </row>
    <row r="483" spans="6:11">
      <c r="F483" t="s">
        <v>786</v>
      </c>
      <c r="G483">
        <v>9999</v>
      </c>
      <c r="H483" t="s">
        <v>818</v>
      </c>
      <c r="I483" t="s">
        <v>775</v>
      </c>
      <c r="J483" t="s">
        <v>776</v>
      </c>
      <c r="K483" t="s">
        <v>1116</v>
      </c>
    </row>
    <row r="484" spans="6:11">
      <c r="F484" t="s">
        <v>786</v>
      </c>
      <c r="G484">
        <v>9999</v>
      </c>
      <c r="H484" t="s">
        <v>818</v>
      </c>
      <c r="I484" t="s">
        <v>775</v>
      </c>
      <c r="J484" t="s">
        <v>776</v>
      </c>
      <c r="K484" t="s">
        <v>1117</v>
      </c>
    </row>
    <row r="485" spans="6:11">
      <c r="F485" t="s">
        <v>786</v>
      </c>
      <c r="G485">
        <v>9999</v>
      </c>
      <c r="H485" t="s">
        <v>792</v>
      </c>
      <c r="I485" t="s">
        <v>793</v>
      </c>
      <c r="J485" t="s">
        <v>794</v>
      </c>
      <c r="K485" t="s">
        <v>1118</v>
      </c>
    </row>
    <row r="486" spans="6:11">
      <c r="F486" t="s">
        <v>786</v>
      </c>
      <c r="G486">
        <v>9999</v>
      </c>
      <c r="H486" t="s">
        <v>792</v>
      </c>
      <c r="I486" t="s">
        <v>793</v>
      </c>
      <c r="J486" t="s">
        <v>794</v>
      </c>
      <c r="K486" t="s">
        <v>1119</v>
      </c>
    </row>
    <row r="487" spans="6:11">
      <c r="F487" t="s">
        <v>786</v>
      </c>
      <c r="G487">
        <v>9999</v>
      </c>
      <c r="H487" t="s">
        <v>950</v>
      </c>
      <c r="I487" t="s">
        <v>661</v>
      </c>
      <c r="J487" t="s">
        <v>662</v>
      </c>
      <c r="K487" t="s">
        <v>1120</v>
      </c>
    </row>
    <row r="488" spans="6:11">
      <c r="F488" t="s">
        <v>786</v>
      </c>
      <c r="G488">
        <v>9999</v>
      </c>
      <c r="H488" t="s">
        <v>865</v>
      </c>
      <c r="I488" t="s">
        <v>866</v>
      </c>
      <c r="J488" t="s">
        <v>867</v>
      </c>
      <c r="K488" t="s">
        <v>1121</v>
      </c>
    </row>
    <row r="489" spans="6:11">
      <c r="F489" t="s">
        <v>786</v>
      </c>
      <c r="G489">
        <v>9999</v>
      </c>
      <c r="H489" t="s">
        <v>818</v>
      </c>
      <c r="I489" t="s">
        <v>775</v>
      </c>
      <c r="J489" t="s">
        <v>776</v>
      </c>
      <c r="K489" t="s">
        <v>1122</v>
      </c>
    </row>
    <row r="490" spans="6:11">
      <c r="F490" t="s">
        <v>786</v>
      </c>
      <c r="G490">
        <v>9999</v>
      </c>
      <c r="H490" t="s">
        <v>792</v>
      </c>
      <c r="I490" t="s">
        <v>793</v>
      </c>
      <c r="J490" t="s">
        <v>794</v>
      </c>
      <c r="K490" t="s">
        <v>1123</v>
      </c>
    </row>
    <row r="491" spans="6:11">
      <c r="F491" t="s">
        <v>786</v>
      </c>
      <c r="H491" t="s">
        <v>865</v>
      </c>
      <c r="I491" t="s">
        <v>866</v>
      </c>
      <c r="J491" t="s">
        <v>867</v>
      </c>
      <c r="K491" t="s">
        <v>1124</v>
      </c>
    </row>
    <row r="492" spans="6:11">
      <c r="F492" t="s">
        <v>786</v>
      </c>
      <c r="G492">
        <v>9999</v>
      </c>
      <c r="H492" t="s">
        <v>818</v>
      </c>
      <c r="I492" t="s">
        <v>775</v>
      </c>
      <c r="J492" t="s">
        <v>776</v>
      </c>
      <c r="K492" t="s">
        <v>1125</v>
      </c>
    </row>
    <row r="493" spans="6:11">
      <c r="F493" t="s">
        <v>786</v>
      </c>
      <c r="H493" t="s">
        <v>792</v>
      </c>
      <c r="I493" t="s">
        <v>793</v>
      </c>
      <c r="J493" t="s">
        <v>794</v>
      </c>
      <c r="K493" t="s">
        <v>1126</v>
      </c>
    </row>
    <row r="494" spans="6:11">
      <c r="F494" t="s">
        <v>786</v>
      </c>
      <c r="G494">
        <v>9999</v>
      </c>
      <c r="H494" t="s">
        <v>1036</v>
      </c>
      <c r="I494" t="s">
        <v>1037</v>
      </c>
      <c r="J494" t="s">
        <v>1038</v>
      </c>
      <c r="K494" t="s">
        <v>1127</v>
      </c>
    </row>
    <row r="495" spans="6:11">
      <c r="F495" t="s">
        <v>786</v>
      </c>
      <c r="G495">
        <v>9999</v>
      </c>
      <c r="H495" t="s">
        <v>949</v>
      </c>
      <c r="I495" t="s">
        <v>582</v>
      </c>
      <c r="J495" t="s">
        <v>583</v>
      </c>
      <c r="K495" t="s">
        <v>1128</v>
      </c>
    </row>
    <row r="496" spans="6:11">
      <c r="F496" t="s">
        <v>786</v>
      </c>
      <c r="G496">
        <v>9999</v>
      </c>
      <c r="H496" t="s">
        <v>818</v>
      </c>
      <c r="I496" t="s">
        <v>775</v>
      </c>
      <c r="J496" t="s">
        <v>776</v>
      </c>
      <c r="K496" t="s">
        <v>1129</v>
      </c>
    </row>
    <row r="497" spans="6:11">
      <c r="F497" t="s">
        <v>786</v>
      </c>
      <c r="H497" t="s">
        <v>865</v>
      </c>
      <c r="I497" t="s">
        <v>866</v>
      </c>
      <c r="J497" t="s">
        <v>867</v>
      </c>
      <c r="K497" t="s">
        <v>1130</v>
      </c>
    </row>
    <row r="498" spans="6:11">
      <c r="F498" t="s">
        <v>786</v>
      </c>
      <c r="G498">
        <v>9999</v>
      </c>
      <c r="H498" t="s">
        <v>865</v>
      </c>
      <c r="I498" t="s">
        <v>866</v>
      </c>
      <c r="J498" t="s">
        <v>867</v>
      </c>
      <c r="K498" t="s">
        <v>1131</v>
      </c>
    </row>
    <row r="499" spans="6:11">
      <c r="F499" t="s">
        <v>786</v>
      </c>
      <c r="G499">
        <v>9999</v>
      </c>
      <c r="H499" t="s">
        <v>792</v>
      </c>
      <c r="I499" t="s">
        <v>793</v>
      </c>
      <c r="J499" t="s">
        <v>794</v>
      </c>
      <c r="K499" t="s">
        <v>1132</v>
      </c>
    </row>
    <row r="500" spans="6:11">
      <c r="F500" t="s">
        <v>786</v>
      </c>
      <c r="G500">
        <v>9999</v>
      </c>
      <c r="H500" t="s">
        <v>792</v>
      </c>
      <c r="I500" t="s">
        <v>793</v>
      </c>
      <c r="J500" t="s">
        <v>794</v>
      </c>
      <c r="K500" t="s">
        <v>1133</v>
      </c>
    </row>
    <row r="501" spans="6:11">
      <c r="F501" t="s">
        <v>786</v>
      </c>
      <c r="G501">
        <v>9999</v>
      </c>
      <c r="H501" t="s">
        <v>792</v>
      </c>
      <c r="I501" t="s">
        <v>793</v>
      </c>
      <c r="J501" t="s">
        <v>794</v>
      </c>
      <c r="K501" t="s">
        <v>1134</v>
      </c>
    </row>
    <row r="502" spans="6:11">
      <c r="F502" t="s">
        <v>786</v>
      </c>
      <c r="G502">
        <v>9999</v>
      </c>
      <c r="H502" t="s">
        <v>825</v>
      </c>
      <c r="I502" t="s">
        <v>590</v>
      </c>
      <c r="J502" t="s">
        <v>591</v>
      </c>
      <c r="K502" t="s">
        <v>1135</v>
      </c>
    </row>
    <row r="503" spans="6:11">
      <c r="F503" t="s">
        <v>786</v>
      </c>
      <c r="G503">
        <v>9999</v>
      </c>
      <c r="H503" t="s">
        <v>1136</v>
      </c>
      <c r="I503" t="s">
        <v>1137</v>
      </c>
      <c r="J503" t="s">
        <v>1138</v>
      </c>
      <c r="K503" t="s">
        <v>1139</v>
      </c>
    </row>
    <row r="504" spans="6:11">
      <c r="F504" t="s">
        <v>786</v>
      </c>
      <c r="G504">
        <v>9999</v>
      </c>
      <c r="H504" t="s">
        <v>935</v>
      </c>
      <c r="I504" t="s">
        <v>936</v>
      </c>
      <c r="J504" t="s">
        <v>937</v>
      </c>
      <c r="K504" t="s">
        <v>1140</v>
      </c>
    </row>
    <row r="505" spans="6:11">
      <c r="F505" t="s">
        <v>786</v>
      </c>
      <c r="G505">
        <v>9999</v>
      </c>
      <c r="H505" t="s">
        <v>935</v>
      </c>
      <c r="I505" t="s">
        <v>936</v>
      </c>
      <c r="J505" t="s">
        <v>937</v>
      </c>
      <c r="K505" t="s">
        <v>1141</v>
      </c>
    </row>
    <row r="506" spans="6:11">
      <c r="F506" t="s">
        <v>786</v>
      </c>
      <c r="G506">
        <v>9999</v>
      </c>
      <c r="H506" t="s">
        <v>825</v>
      </c>
      <c r="I506" t="s">
        <v>590</v>
      </c>
      <c r="J506" t="s">
        <v>591</v>
      </c>
      <c r="K506" t="s">
        <v>1142</v>
      </c>
    </row>
    <row r="507" spans="6:11">
      <c r="F507" t="s">
        <v>786</v>
      </c>
      <c r="G507">
        <v>9999</v>
      </c>
      <c r="H507" t="s">
        <v>792</v>
      </c>
      <c r="I507" t="s">
        <v>793</v>
      </c>
      <c r="J507" t="s">
        <v>794</v>
      </c>
      <c r="K507" t="s">
        <v>1143</v>
      </c>
    </row>
    <row r="508" spans="6:11">
      <c r="F508" t="s">
        <v>786</v>
      </c>
      <c r="G508">
        <v>9999</v>
      </c>
      <c r="H508" t="s">
        <v>792</v>
      </c>
      <c r="I508" t="s">
        <v>793</v>
      </c>
      <c r="J508" t="s">
        <v>794</v>
      </c>
      <c r="K508" t="s">
        <v>1144</v>
      </c>
    </row>
    <row r="509" spans="6:11">
      <c r="F509" t="s">
        <v>786</v>
      </c>
      <c r="G509">
        <v>9999</v>
      </c>
      <c r="H509" t="s">
        <v>792</v>
      </c>
      <c r="I509" t="s">
        <v>793</v>
      </c>
      <c r="J509" t="s">
        <v>794</v>
      </c>
      <c r="K509" t="s">
        <v>1145</v>
      </c>
    </row>
    <row r="510" spans="6:11">
      <c r="F510" t="s">
        <v>786</v>
      </c>
      <c r="G510">
        <v>9999</v>
      </c>
      <c r="H510" t="s">
        <v>792</v>
      </c>
      <c r="I510" t="s">
        <v>793</v>
      </c>
      <c r="J510" t="s">
        <v>794</v>
      </c>
      <c r="K510" t="s">
        <v>1146</v>
      </c>
    </row>
    <row r="511" spans="6:11">
      <c r="F511" t="s">
        <v>786</v>
      </c>
      <c r="G511">
        <v>9999</v>
      </c>
      <c r="H511" t="s">
        <v>952</v>
      </c>
      <c r="I511" t="s">
        <v>697</v>
      </c>
      <c r="J511" t="s">
        <v>698</v>
      </c>
      <c r="K511" t="s">
        <v>1147</v>
      </c>
    </row>
    <row r="512" spans="6:11">
      <c r="F512" t="s">
        <v>786</v>
      </c>
      <c r="G512">
        <v>9999</v>
      </c>
      <c r="H512" t="s">
        <v>952</v>
      </c>
      <c r="I512" t="s">
        <v>697</v>
      </c>
      <c r="J512" t="s">
        <v>698</v>
      </c>
      <c r="K512" t="s">
        <v>1148</v>
      </c>
    </row>
    <row r="513" spans="6:11">
      <c r="F513" t="s">
        <v>786</v>
      </c>
      <c r="G513">
        <v>9999</v>
      </c>
      <c r="H513" t="s">
        <v>890</v>
      </c>
      <c r="I513" t="s">
        <v>613</v>
      </c>
      <c r="J513" t="s">
        <v>614</v>
      </c>
      <c r="K513" t="s">
        <v>1149</v>
      </c>
    </row>
    <row r="514" spans="6:11">
      <c r="F514" t="s">
        <v>786</v>
      </c>
      <c r="G514">
        <v>9999</v>
      </c>
      <c r="H514" t="s">
        <v>918</v>
      </c>
      <c r="I514" t="s">
        <v>783</v>
      </c>
      <c r="J514" t="s">
        <v>784</v>
      </c>
      <c r="K514" t="s">
        <v>1150</v>
      </c>
    </row>
    <row r="515" spans="6:11">
      <c r="F515" t="s">
        <v>786</v>
      </c>
      <c r="H515" t="s">
        <v>796</v>
      </c>
      <c r="I515" t="s">
        <v>797</v>
      </c>
      <c r="J515" t="s">
        <v>798</v>
      </c>
      <c r="K515" t="s">
        <v>1151</v>
      </c>
    </row>
    <row r="516" spans="6:11">
      <c r="F516" t="s">
        <v>786</v>
      </c>
      <c r="G516">
        <v>9999</v>
      </c>
      <c r="H516" t="s">
        <v>935</v>
      </c>
      <c r="I516" t="s">
        <v>936</v>
      </c>
      <c r="J516" t="s">
        <v>937</v>
      </c>
      <c r="K516" t="s">
        <v>1152</v>
      </c>
    </row>
    <row r="517" spans="6:11">
      <c r="F517" t="s">
        <v>786</v>
      </c>
      <c r="G517">
        <v>9999</v>
      </c>
      <c r="H517" t="s">
        <v>858</v>
      </c>
      <c r="I517" t="s">
        <v>745</v>
      </c>
      <c r="J517" t="s">
        <v>746</v>
      </c>
      <c r="K517" t="s">
        <v>1153</v>
      </c>
    </row>
    <row r="518" spans="6:11">
      <c r="F518" t="s">
        <v>786</v>
      </c>
      <c r="G518">
        <v>9999</v>
      </c>
      <c r="H518" t="s">
        <v>818</v>
      </c>
      <c r="I518" t="s">
        <v>775</v>
      </c>
      <c r="J518" t="s">
        <v>776</v>
      </c>
      <c r="K518" t="s">
        <v>1154</v>
      </c>
    </row>
    <row r="519" spans="6:11">
      <c r="F519" t="s">
        <v>786</v>
      </c>
      <c r="G519">
        <v>9999</v>
      </c>
      <c r="H519" t="s">
        <v>818</v>
      </c>
      <c r="I519" t="s">
        <v>775</v>
      </c>
      <c r="J519" t="s">
        <v>776</v>
      </c>
      <c r="K519" t="s">
        <v>1155</v>
      </c>
    </row>
    <row r="520" spans="6:11">
      <c r="F520" t="s">
        <v>786</v>
      </c>
      <c r="G520">
        <v>9999</v>
      </c>
      <c r="H520" t="s">
        <v>792</v>
      </c>
      <c r="I520" t="s">
        <v>793</v>
      </c>
      <c r="J520" t="s">
        <v>794</v>
      </c>
      <c r="K520" t="s">
        <v>1156</v>
      </c>
    </row>
    <row r="521" spans="6:11">
      <c r="F521" t="s">
        <v>786</v>
      </c>
      <c r="G521">
        <v>9999</v>
      </c>
      <c r="H521" t="s">
        <v>792</v>
      </c>
      <c r="I521" t="s">
        <v>793</v>
      </c>
      <c r="J521" t="s">
        <v>794</v>
      </c>
      <c r="K521" t="s">
        <v>1157</v>
      </c>
    </row>
    <row r="522" spans="6:11">
      <c r="F522" t="s">
        <v>786</v>
      </c>
      <c r="G522">
        <v>9999</v>
      </c>
      <c r="H522" t="s">
        <v>792</v>
      </c>
      <c r="I522" t="s">
        <v>793</v>
      </c>
      <c r="J522" t="s">
        <v>794</v>
      </c>
      <c r="K522" t="s">
        <v>1158</v>
      </c>
    </row>
    <row r="523" spans="6:11">
      <c r="F523" t="s">
        <v>786</v>
      </c>
      <c r="G523">
        <v>9999</v>
      </c>
      <c r="H523" t="s">
        <v>957</v>
      </c>
      <c r="I523" t="s">
        <v>779</v>
      </c>
      <c r="J523" t="s">
        <v>958</v>
      </c>
      <c r="K523" t="s">
        <v>1159</v>
      </c>
    </row>
    <row r="524" spans="6:11">
      <c r="F524" t="s">
        <v>786</v>
      </c>
      <c r="H524" t="s">
        <v>1160</v>
      </c>
      <c r="I524" t="s">
        <v>1161</v>
      </c>
      <c r="J524" t="s">
        <v>1162</v>
      </c>
      <c r="K524" t="s">
        <v>1163</v>
      </c>
    </row>
    <row r="525" spans="6:11">
      <c r="F525" t="s">
        <v>786</v>
      </c>
      <c r="G525">
        <v>9999</v>
      </c>
      <c r="H525" t="s">
        <v>810</v>
      </c>
      <c r="I525" t="s">
        <v>749</v>
      </c>
      <c r="J525" t="s">
        <v>811</v>
      </c>
      <c r="K525" t="s">
        <v>1164</v>
      </c>
    </row>
    <row r="526" spans="6:11">
      <c r="F526" t="s">
        <v>786</v>
      </c>
      <c r="G526">
        <v>9999</v>
      </c>
      <c r="H526" t="s">
        <v>792</v>
      </c>
      <c r="I526" t="s">
        <v>793</v>
      </c>
      <c r="J526" t="s">
        <v>794</v>
      </c>
      <c r="K526" t="s">
        <v>1165</v>
      </c>
    </row>
    <row r="527" spans="6:11">
      <c r="F527" t="s">
        <v>786</v>
      </c>
      <c r="H527" t="s">
        <v>792</v>
      </c>
      <c r="I527" t="s">
        <v>793</v>
      </c>
      <c r="J527" t="s">
        <v>794</v>
      </c>
      <c r="K527" t="s">
        <v>1166</v>
      </c>
    </row>
    <row r="528" spans="6:11">
      <c r="F528" t="s">
        <v>786</v>
      </c>
      <c r="G528">
        <v>9999</v>
      </c>
      <c r="H528" t="s">
        <v>1029</v>
      </c>
      <c r="I528" t="s">
        <v>621</v>
      </c>
      <c r="J528" t="s">
        <v>622</v>
      </c>
      <c r="K528" t="s">
        <v>1167</v>
      </c>
    </row>
    <row r="529" spans="6:11">
      <c r="F529" t="s">
        <v>786</v>
      </c>
      <c r="H529" t="s">
        <v>796</v>
      </c>
      <c r="I529" t="s">
        <v>797</v>
      </c>
      <c r="J529" t="s">
        <v>798</v>
      </c>
      <c r="K529" t="s">
        <v>1168</v>
      </c>
    </row>
    <row r="530" spans="6:11">
      <c r="F530" t="s">
        <v>786</v>
      </c>
      <c r="H530" t="s">
        <v>834</v>
      </c>
      <c r="I530" t="s">
        <v>757</v>
      </c>
      <c r="J530" t="s">
        <v>758</v>
      </c>
      <c r="K530" t="s">
        <v>1169</v>
      </c>
    </row>
    <row r="531" spans="6:11">
      <c r="F531" t="s">
        <v>786</v>
      </c>
      <c r="G531">
        <v>9999</v>
      </c>
      <c r="H531" t="s">
        <v>792</v>
      </c>
      <c r="I531" t="s">
        <v>793</v>
      </c>
      <c r="J531" t="s">
        <v>794</v>
      </c>
      <c r="K531" t="s">
        <v>1170</v>
      </c>
    </row>
    <row r="532" spans="6:11">
      <c r="F532" t="s">
        <v>786</v>
      </c>
      <c r="H532" t="s">
        <v>530</v>
      </c>
      <c r="I532" t="s">
        <v>1055</v>
      </c>
      <c r="J532" t="s">
        <v>714</v>
      </c>
      <c r="K532" t="s">
        <v>1171</v>
      </c>
    </row>
    <row r="533" spans="6:11">
      <c r="F533" t="s">
        <v>786</v>
      </c>
      <c r="G533">
        <v>9999</v>
      </c>
      <c r="H533" t="s">
        <v>792</v>
      </c>
      <c r="I533" t="s">
        <v>793</v>
      </c>
      <c r="J533" t="s">
        <v>794</v>
      </c>
      <c r="K533" t="s">
        <v>1172</v>
      </c>
    </row>
    <row r="534" spans="6:11">
      <c r="F534" t="s">
        <v>786</v>
      </c>
      <c r="G534">
        <v>9999</v>
      </c>
      <c r="H534" t="s">
        <v>792</v>
      </c>
      <c r="I534" t="s">
        <v>793</v>
      </c>
      <c r="J534" t="s">
        <v>794</v>
      </c>
      <c r="K534" t="s">
        <v>1173</v>
      </c>
    </row>
    <row r="535" spans="6:11">
      <c r="F535" t="s">
        <v>786</v>
      </c>
      <c r="G535">
        <v>9999</v>
      </c>
      <c r="H535" t="s">
        <v>792</v>
      </c>
      <c r="I535" t="s">
        <v>793</v>
      </c>
      <c r="J535" t="s">
        <v>794</v>
      </c>
      <c r="K535" t="s">
        <v>1174</v>
      </c>
    </row>
    <row r="536" spans="6:11">
      <c r="F536" t="s">
        <v>786</v>
      </c>
      <c r="G536">
        <v>9999</v>
      </c>
      <c r="H536" t="s">
        <v>890</v>
      </c>
      <c r="I536" t="s">
        <v>613</v>
      </c>
      <c r="J536" t="s">
        <v>614</v>
      </c>
      <c r="K536" t="s">
        <v>1175</v>
      </c>
    </row>
    <row r="537" spans="6:11">
      <c r="F537" t="s">
        <v>786</v>
      </c>
      <c r="G537">
        <v>9999</v>
      </c>
      <c r="H537" t="s">
        <v>997</v>
      </c>
      <c r="I537" t="s">
        <v>681</v>
      </c>
      <c r="J537" t="s">
        <v>682</v>
      </c>
      <c r="K537" t="s">
        <v>1176</v>
      </c>
    </row>
    <row r="538" spans="6:11">
      <c r="F538" t="s">
        <v>786</v>
      </c>
      <c r="G538">
        <v>9999</v>
      </c>
      <c r="H538" t="s">
        <v>834</v>
      </c>
      <c r="I538" t="s">
        <v>757</v>
      </c>
      <c r="J538" t="s">
        <v>758</v>
      </c>
      <c r="K538" t="s">
        <v>1177</v>
      </c>
    </row>
    <row r="539" spans="6:11">
      <c r="F539" t="s">
        <v>786</v>
      </c>
      <c r="G539">
        <v>9999</v>
      </c>
      <c r="H539" t="s">
        <v>963</v>
      </c>
      <c r="I539" t="s">
        <v>964</v>
      </c>
      <c r="J539" t="s">
        <v>618</v>
      </c>
      <c r="K539" t="s">
        <v>1178</v>
      </c>
    </row>
    <row r="540" spans="6:11">
      <c r="F540" t="s">
        <v>786</v>
      </c>
      <c r="G540">
        <v>9999</v>
      </c>
      <c r="H540" t="s">
        <v>286</v>
      </c>
      <c r="I540" t="s">
        <v>860</v>
      </c>
      <c r="J540" t="s">
        <v>730</v>
      </c>
      <c r="K540" t="s">
        <v>1179</v>
      </c>
    </row>
    <row r="541" spans="6:11">
      <c r="F541" t="s">
        <v>786</v>
      </c>
      <c r="G541">
        <v>9999</v>
      </c>
      <c r="H541" t="s">
        <v>918</v>
      </c>
      <c r="I541" t="s">
        <v>783</v>
      </c>
      <c r="J541" t="s">
        <v>784</v>
      </c>
      <c r="K541" t="s">
        <v>1180</v>
      </c>
    </row>
    <row r="542" spans="6:11">
      <c r="F542" t="s">
        <v>786</v>
      </c>
      <c r="H542" t="s">
        <v>796</v>
      </c>
      <c r="I542" t="s">
        <v>797</v>
      </c>
      <c r="J542" t="s">
        <v>798</v>
      </c>
      <c r="K542" t="s">
        <v>1181</v>
      </c>
    </row>
    <row r="543" spans="6:11">
      <c r="F543" t="s">
        <v>786</v>
      </c>
      <c r="G543">
        <v>9999</v>
      </c>
      <c r="H543" t="s">
        <v>918</v>
      </c>
      <c r="I543" t="s">
        <v>783</v>
      </c>
      <c r="J543" t="s">
        <v>784</v>
      </c>
      <c r="K543" t="s">
        <v>1182</v>
      </c>
    </row>
    <row r="544" spans="6:11">
      <c r="F544" t="s">
        <v>786</v>
      </c>
      <c r="G544">
        <v>9999</v>
      </c>
      <c r="H544" t="s">
        <v>1001</v>
      </c>
      <c r="I544" t="s">
        <v>765</v>
      </c>
      <c r="J544" t="s">
        <v>766</v>
      </c>
      <c r="K544" t="s">
        <v>1183</v>
      </c>
    </row>
    <row r="545" spans="6:11">
      <c r="F545" t="s">
        <v>786</v>
      </c>
      <c r="G545">
        <v>9999</v>
      </c>
      <c r="H545" t="s">
        <v>792</v>
      </c>
      <c r="I545" t="s">
        <v>793</v>
      </c>
      <c r="J545" t="s">
        <v>794</v>
      </c>
      <c r="K545" t="s">
        <v>1184</v>
      </c>
    </row>
    <row r="546" spans="6:11">
      <c r="F546" t="s">
        <v>786</v>
      </c>
      <c r="H546" t="s">
        <v>792</v>
      </c>
      <c r="I546" t="s">
        <v>793</v>
      </c>
      <c r="J546" t="s">
        <v>794</v>
      </c>
      <c r="K546" t="s">
        <v>1185</v>
      </c>
    </row>
    <row r="547" spans="6:11">
      <c r="F547" t="s">
        <v>786</v>
      </c>
      <c r="H547" t="s">
        <v>792</v>
      </c>
      <c r="I547" t="s">
        <v>793</v>
      </c>
      <c r="J547" t="s">
        <v>794</v>
      </c>
      <c r="K547" t="s">
        <v>1186</v>
      </c>
    </row>
    <row r="548" spans="6:11">
      <c r="F548" t="s">
        <v>786</v>
      </c>
      <c r="G548">
        <v>9999</v>
      </c>
      <c r="H548" t="s">
        <v>814</v>
      </c>
      <c r="I548" t="s">
        <v>815</v>
      </c>
      <c r="J548" t="s">
        <v>734</v>
      </c>
      <c r="K548" t="s">
        <v>1187</v>
      </c>
    </row>
    <row r="549" spans="6:11">
      <c r="F549" t="s">
        <v>786</v>
      </c>
      <c r="G549">
        <v>9999</v>
      </c>
      <c r="H549" t="s">
        <v>1188</v>
      </c>
      <c r="I549" t="s">
        <v>1189</v>
      </c>
      <c r="J549" t="s">
        <v>1190</v>
      </c>
      <c r="K549" t="s">
        <v>1191</v>
      </c>
    </row>
    <row r="550" spans="6:11">
      <c r="F550" t="s">
        <v>786</v>
      </c>
      <c r="H550" t="s">
        <v>792</v>
      </c>
      <c r="I550" t="s">
        <v>793</v>
      </c>
      <c r="J550" t="s">
        <v>794</v>
      </c>
      <c r="K550" t="s">
        <v>1192</v>
      </c>
    </row>
    <row r="551" spans="6:11">
      <c r="F551" t="s">
        <v>786</v>
      </c>
      <c r="G551">
        <v>9999</v>
      </c>
      <c r="H551" t="s">
        <v>818</v>
      </c>
      <c r="I551" t="s">
        <v>775</v>
      </c>
      <c r="J551" t="s">
        <v>776</v>
      </c>
      <c r="K551" t="s">
        <v>1193</v>
      </c>
    </row>
    <row r="552" spans="6:11">
      <c r="F552" t="s">
        <v>786</v>
      </c>
      <c r="G552">
        <v>9999</v>
      </c>
      <c r="H552" t="s">
        <v>792</v>
      </c>
      <c r="I552" t="s">
        <v>793</v>
      </c>
      <c r="J552" t="s">
        <v>794</v>
      </c>
      <c r="K552" t="s">
        <v>1194</v>
      </c>
    </row>
    <row r="553" spans="6:11">
      <c r="F553" t="s">
        <v>786</v>
      </c>
      <c r="G553">
        <v>9999</v>
      </c>
      <c r="H553" t="s">
        <v>1195</v>
      </c>
      <c r="I553" t="s">
        <v>1196</v>
      </c>
      <c r="J553" t="s">
        <v>1197</v>
      </c>
      <c r="K553" t="s">
        <v>1198</v>
      </c>
    </row>
    <row r="554" spans="6:11">
      <c r="F554" t="s">
        <v>786</v>
      </c>
      <c r="H554" t="s">
        <v>1048</v>
      </c>
      <c r="I554" t="s">
        <v>645</v>
      </c>
      <c r="J554" t="s">
        <v>646</v>
      </c>
      <c r="K554" t="s">
        <v>1199</v>
      </c>
    </row>
    <row r="555" spans="6:11">
      <c r="F555" t="s">
        <v>786</v>
      </c>
      <c r="H555" t="s">
        <v>814</v>
      </c>
      <c r="I555" t="s">
        <v>815</v>
      </c>
      <c r="J555" t="s">
        <v>734</v>
      </c>
      <c r="K555" t="s">
        <v>1200</v>
      </c>
    </row>
    <row r="556" spans="6:11">
      <c r="F556" t="s">
        <v>786</v>
      </c>
      <c r="H556" t="s">
        <v>831</v>
      </c>
      <c r="I556" t="s">
        <v>737</v>
      </c>
      <c r="J556" t="s">
        <v>832</v>
      </c>
      <c r="K556" t="s">
        <v>1201</v>
      </c>
    </row>
    <row r="557" spans="6:11">
      <c r="F557" t="s">
        <v>786</v>
      </c>
      <c r="G557">
        <v>9999</v>
      </c>
      <c r="H557" t="s">
        <v>792</v>
      </c>
      <c r="I557" t="s">
        <v>793</v>
      </c>
      <c r="J557" t="s">
        <v>794</v>
      </c>
      <c r="K557" t="s">
        <v>1202</v>
      </c>
    </row>
    <row r="558" spans="6:11">
      <c r="F558" t="s">
        <v>786</v>
      </c>
      <c r="G558">
        <v>9999</v>
      </c>
      <c r="H558" t="s">
        <v>888</v>
      </c>
      <c r="I558" t="s">
        <v>741</v>
      </c>
      <c r="J558" t="s">
        <v>742</v>
      </c>
      <c r="K558" t="s">
        <v>1203</v>
      </c>
    </row>
    <row r="559" spans="6:11">
      <c r="F559" t="s">
        <v>786</v>
      </c>
      <c r="H559" t="s">
        <v>1048</v>
      </c>
      <c r="I559" t="s">
        <v>645</v>
      </c>
      <c r="J559" t="s">
        <v>646</v>
      </c>
      <c r="K559" t="s">
        <v>1204</v>
      </c>
    </row>
    <row r="560" spans="6:11">
      <c r="F560" t="s">
        <v>786</v>
      </c>
      <c r="H560" t="s">
        <v>825</v>
      </c>
      <c r="I560" t="s">
        <v>590</v>
      </c>
      <c r="J560" t="s">
        <v>591</v>
      </c>
      <c r="K560" t="s">
        <v>1205</v>
      </c>
    </row>
    <row r="561" spans="6:11">
      <c r="F561" t="s">
        <v>786</v>
      </c>
      <c r="H561" t="s">
        <v>865</v>
      </c>
      <c r="I561" t="s">
        <v>866</v>
      </c>
      <c r="J561" t="s">
        <v>867</v>
      </c>
      <c r="K561" t="s">
        <v>1206</v>
      </c>
    </row>
    <row r="562" spans="6:11">
      <c r="F562" t="s">
        <v>786</v>
      </c>
      <c r="H562" t="s">
        <v>839</v>
      </c>
      <c r="I562" t="s">
        <v>637</v>
      </c>
      <c r="J562" t="s">
        <v>638</v>
      </c>
      <c r="K562" t="s">
        <v>1207</v>
      </c>
    </row>
    <row r="563" spans="6:11">
      <c r="F563" t="s">
        <v>786</v>
      </c>
      <c r="H563" t="s">
        <v>932</v>
      </c>
      <c r="I563" t="s">
        <v>753</v>
      </c>
      <c r="J563" t="s">
        <v>933</v>
      </c>
      <c r="K563" t="s">
        <v>1208</v>
      </c>
    </row>
    <row r="564" spans="6:11">
      <c r="F564" t="s">
        <v>786</v>
      </c>
      <c r="H564" t="s">
        <v>818</v>
      </c>
      <c r="I564" t="s">
        <v>775</v>
      </c>
      <c r="J564" t="s">
        <v>776</v>
      </c>
      <c r="K564" t="s">
        <v>1209</v>
      </c>
    </row>
    <row r="565" spans="6:11">
      <c r="F565" t="s">
        <v>786</v>
      </c>
      <c r="H565" t="s">
        <v>818</v>
      </c>
      <c r="I565" t="s">
        <v>775</v>
      </c>
      <c r="J565" t="s">
        <v>776</v>
      </c>
      <c r="K565" t="s">
        <v>1210</v>
      </c>
    </row>
    <row r="566" spans="6:11">
      <c r="F566" t="s">
        <v>786</v>
      </c>
      <c r="G566">
        <v>9999</v>
      </c>
      <c r="H566" t="s">
        <v>792</v>
      </c>
      <c r="I566" t="s">
        <v>793</v>
      </c>
      <c r="J566" t="s">
        <v>794</v>
      </c>
      <c r="K566" t="s">
        <v>1211</v>
      </c>
    </row>
    <row r="567" spans="6:11">
      <c r="F567" t="s">
        <v>786</v>
      </c>
      <c r="G567">
        <v>9999</v>
      </c>
      <c r="H567" t="s">
        <v>792</v>
      </c>
      <c r="I567" t="s">
        <v>793</v>
      </c>
      <c r="J567" t="s">
        <v>794</v>
      </c>
      <c r="K567" t="s">
        <v>1212</v>
      </c>
    </row>
    <row r="568" spans="6:11">
      <c r="F568" t="s">
        <v>786</v>
      </c>
      <c r="G568">
        <v>9999</v>
      </c>
      <c r="H568" t="s">
        <v>792</v>
      </c>
      <c r="I568" t="s">
        <v>793</v>
      </c>
      <c r="J568" t="s">
        <v>794</v>
      </c>
      <c r="K568" t="s">
        <v>1213</v>
      </c>
    </row>
    <row r="569" spans="6:11">
      <c r="F569" t="s">
        <v>786</v>
      </c>
      <c r="G569">
        <v>9999</v>
      </c>
      <c r="H569" t="s">
        <v>792</v>
      </c>
      <c r="I569" t="s">
        <v>793</v>
      </c>
      <c r="J569" t="s">
        <v>794</v>
      </c>
      <c r="K569" t="s">
        <v>1214</v>
      </c>
    </row>
    <row r="570" spans="6:11">
      <c r="F570" t="s">
        <v>786</v>
      </c>
      <c r="H570" t="s">
        <v>825</v>
      </c>
      <c r="I570" t="s">
        <v>590</v>
      </c>
      <c r="J570" t="s">
        <v>591</v>
      </c>
      <c r="K570" t="s">
        <v>1215</v>
      </c>
    </row>
    <row r="571" spans="6:11">
      <c r="F571" t="s">
        <v>786</v>
      </c>
      <c r="H571" t="s">
        <v>792</v>
      </c>
      <c r="I571" t="s">
        <v>793</v>
      </c>
      <c r="J571" t="s">
        <v>794</v>
      </c>
      <c r="K571" t="s">
        <v>1216</v>
      </c>
    </row>
    <row r="572" spans="6:11">
      <c r="F572" t="s">
        <v>786</v>
      </c>
      <c r="H572" t="s">
        <v>865</v>
      </c>
      <c r="I572" t="s">
        <v>866</v>
      </c>
      <c r="J572" t="s">
        <v>867</v>
      </c>
      <c r="K572" t="s">
        <v>1217</v>
      </c>
    </row>
    <row r="573" spans="6:11">
      <c r="F573" t="s">
        <v>786</v>
      </c>
      <c r="G573">
        <v>9999</v>
      </c>
      <c r="H573" t="s">
        <v>792</v>
      </c>
      <c r="I573" t="s">
        <v>793</v>
      </c>
      <c r="J573" t="s">
        <v>794</v>
      </c>
      <c r="K573" t="s">
        <v>1218</v>
      </c>
    </row>
    <row r="574" spans="6:11">
      <c r="F574" t="s">
        <v>786</v>
      </c>
      <c r="G574">
        <v>9999</v>
      </c>
      <c r="H574" t="s">
        <v>796</v>
      </c>
      <c r="I574" t="s">
        <v>797</v>
      </c>
      <c r="J574" t="s">
        <v>798</v>
      </c>
      <c r="K574" t="s">
        <v>1219</v>
      </c>
    </row>
    <row r="575" spans="6:11">
      <c r="F575" t="s">
        <v>786</v>
      </c>
      <c r="G575">
        <v>9999</v>
      </c>
      <c r="H575" t="s">
        <v>792</v>
      </c>
      <c r="I575" t="s">
        <v>793</v>
      </c>
      <c r="J575" t="s">
        <v>794</v>
      </c>
      <c r="K575" t="s">
        <v>1220</v>
      </c>
    </row>
    <row r="576" spans="6:11">
      <c r="F576" t="s">
        <v>786</v>
      </c>
      <c r="G576">
        <v>9999</v>
      </c>
      <c r="H576" t="s">
        <v>865</v>
      </c>
      <c r="I576" t="s">
        <v>866</v>
      </c>
      <c r="J576" t="s">
        <v>867</v>
      </c>
      <c r="K576" t="s">
        <v>1221</v>
      </c>
    </row>
    <row r="577" spans="6:11">
      <c r="F577" t="s">
        <v>786</v>
      </c>
      <c r="G577">
        <v>9999</v>
      </c>
      <c r="H577" t="s">
        <v>792</v>
      </c>
      <c r="I577" t="s">
        <v>793</v>
      </c>
      <c r="J577" t="s">
        <v>794</v>
      </c>
      <c r="K577" t="s">
        <v>1222</v>
      </c>
    </row>
    <row r="578" spans="6:11">
      <c r="F578" t="s">
        <v>786</v>
      </c>
      <c r="G578">
        <v>9999</v>
      </c>
      <c r="H578" t="s">
        <v>792</v>
      </c>
      <c r="I578" t="s">
        <v>793</v>
      </c>
      <c r="J578" t="s">
        <v>794</v>
      </c>
      <c r="K578" t="s">
        <v>1223</v>
      </c>
    </row>
    <row r="579" spans="6:11">
      <c r="F579" t="s">
        <v>786</v>
      </c>
      <c r="G579">
        <v>9999</v>
      </c>
      <c r="H579" t="s">
        <v>792</v>
      </c>
      <c r="I579" t="s">
        <v>793</v>
      </c>
      <c r="J579" t="s">
        <v>794</v>
      </c>
      <c r="K579" t="s">
        <v>1224</v>
      </c>
    </row>
    <row r="580" spans="6:11">
      <c r="F580" t="s">
        <v>786</v>
      </c>
      <c r="G580">
        <v>9999</v>
      </c>
      <c r="H580" t="s">
        <v>792</v>
      </c>
      <c r="I580" t="s">
        <v>793</v>
      </c>
      <c r="J580" t="s">
        <v>794</v>
      </c>
      <c r="K580" t="s">
        <v>1225</v>
      </c>
    </row>
    <row r="581" spans="6:11">
      <c r="F581" t="s">
        <v>786</v>
      </c>
      <c r="G581">
        <v>9999</v>
      </c>
      <c r="H581" t="s">
        <v>792</v>
      </c>
      <c r="I581" t="s">
        <v>793</v>
      </c>
      <c r="J581" t="s">
        <v>794</v>
      </c>
      <c r="K581" t="s">
        <v>1226</v>
      </c>
    </row>
    <row r="582" spans="6:11">
      <c r="F582" t="s">
        <v>786</v>
      </c>
      <c r="G582">
        <v>9999</v>
      </c>
      <c r="H582" t="s">
        <v>792</v>
      </c>
      <c r="I582" t="s">
        <v>793</v>
      </c>
      <c r="J582" t="s">
        <v>794</v>
      </c>
      <c r="K582" t="s">
        <v>1227</v>
      </c>
    </row>
    <row r="583" spans="6:11">
      <c r="F583" t="s">
        <v>786</v>
      </c>
      <c r="G583">
        <v>9999</v>
      </c>
      <c r="H583" t="s">
        <v>792</v>
      </c>
      <c r="I583" t="s">
        <v>793</v>
      </c>
      <c r="J583" t="s">
        <v>794</v>
      </c>
      <c r="K583" t="s">
        <v>1228</v>
      </c>
    </row>
    <row r="584" spans="6:11">
      <c r="F584" t="s">
        <v>786</v>
      </c>
      <c r="G584">
        <v>9999</v>
      </c>
      <c r="H584" t="s">
        <v>792</v>
      </c>
      <c r="I584" t="s">
        <v>793</v>
      </c>
      <c r="J584" t="s">
        <v>794</v>
      </c>
      <c r="K584" t="s">
        <v>1229</v>
      </c>
    </row>
    <row r="585" spans="6:11">
      <c r="F585" t="s">
        <v>786</v>
      </c>
      <c r="G585">
        <v>9999</v>
      </c>
      <c r="H585" t="s">
        <v>792</v>
      </c>
      <c r="I585" t="s">
        <v>793</v>
      </c>
      <c r="J585" t="s">
        <v>794</v>
      </c>
      <c r="K585" t="s">
        <v>1230</v>
      </c>
    </row>
    <row r="586" spans="6:11">
      <c r="F586" t="s">
        <v>786</v>
      </c>
      <c r="H586" t="s">
        <v>865</v>
      </c>
      <c r="I586" t="s">
        <v>866</v>
      </c>
      <c r="J586" t="s">
        <v>867</v>
      </c>
      <c r="K586" t="s">
        <v>1231</v>
      </c>
    </row>
    <row r="587" spans="6:11">
      <c r="F587" t="s">
        <v>786</v>
      </c>
      <c r="G587">
        <v>9999</v>
      </c>
      <c r="H587" t="s">
        <v>792</v>
      </c>
      <c r="I587" t="s">
        <v>793</v>
      </c>
      <c r="J587" t="s">
        <v>794</v>
      </c>
      <c r="K587" t="s">
        <v>1232</v>
      </c>
    </row>
    <row r="588" spans="6:11">
      <c r="F588" t="s">
        <v>786</v>
      </c>
      <c r="G588">
        <v>9999</v>
      </c>
      <c r="H588" t="s">
        <v>792</v>
      </c>
      <c r="I588" t="s">
        <v>793</v>
      </c>
      <c r="J588" t="s">
        <v>794</v>
      </c>
      <c r="K588" t="s">
        <v>1233</v>
      </c>
    </row>
    <row r="589" spans="6:11">
      <c r="F589" t="s">
        <v>786</v>
      </c>
      <c r="G589">
        <v>9999</v>
      </c>
      <c r="H589" t="s">
        <v>792</v>
      </c>
      <c r="I589" t="s">
        <v>793</v>
      </c>
      <c r="J589" t="s">
        <v>794</v>
      </c>
      <c r="K589" t="s">
        <v>1234</v>
      </c>
    </row>
    <row r="590" spans="6:11">
      <c r="F590" t="s">
        <v>786</v>
      </c>
      <c r="G590">
        <v>9999</v>
      </c>
      <c r="H590" t="s">
        <v>792</v>
      </c>
      <c r="I590" t="s">
        <v>793</v>
      </c>
      <c r="J590" t="s">
        <v>794</v>
      </c>
      <c r="K590" t="s">
        <v>1235</v>
      </c>
    </row>
    <row r="591" spans="6:11">
      <c r="F591" t="s">
        <v>786</v>
      </c>
      <c r="G591">
        <v>9999</v>
      </c>
      <c r="H591" t="s">
        <v>865</v>
      </c>
      <c r="I591" t="s">
        <v>866</v>
      </c>
      <c r="J591" t="s">
        <v>867</v>
      </c>
      <c r="K591" t="s">
        <v>1236</v>
      </c>
    </row>
    <row r="592" spans="6:11">
      <c r="F592" t="s">
        <v>786</v>
      </c>
      <c r="G592">
        <v>9999</v>
      </c>
      <c r="H592" t="s">
        <v>792</v>
      </c>
      <c r="I592" t="s">
        <v>793</v>
      </c>
      <c r="J592" t="s">
        <v>794</v>
      </c>
      <c r="K592" t="s">
        <v>1237</v>
      </c>
    </row>
    <row r="593" spans="6:11">
      <c r="F593" t="s">
        <v>786</v>
      </c>
      <c r="G593">
        <v>9999</v>
      </c>
      <c r="H593" t="s">
        <v>865</v>
      </c>
      <c r="I593" t="s">
        <v>866</v>
      </c>
      <c r="J593" t="s">
        <v>867</v>
      </c>
      <c r="K593" t="s">
        <v>1238</v>
      </c>
    </row>
    <row r="594" spans="6:11">
      <c r="F594" t="s">
        <v>786</v>
      </c>
      <c r="G594">
        <v>9999</v>
      </c>
      <c r="H594" t="s">
        <v>818</v>
      </c>
      <c r="I594" t="s">
        <v>775</v>
      </c>
      <c r="J594" t="s">
        <v>776</v>
      </c>
      <c r="K594" t="s">
        <v>1239</v>
      </c>
    </row>
    <row r="595" spans="6:11">
      <c r="F595" t="s">
        <v>786</v>
      </c>
      <c r="G595">
        <v>9999</v>
      </c>
      <c r="H595" t="s">
        <v>818</v>
      </c>
      <c r="I595" t="s">
        <v>775</v>
      </c>
      <c r="J595" t="s">
        <v>776</v>
      </c>
      <c r="K595" t="s">
        <v>1240</v>
      </c>
    </row>
    <row r="596" spans="6:11">
      <c r="F596" t="s">
        <v>786</v>
      </c>
      <c r="G596">
        <v>9999</v>
      </c>
      <c r="H596" t="s">
        <v>834</v>
      </c>
      <c r="I596" t="s">
        <v>757</v>
      </c>
      <c r="J596" t="s">
        <v>758</v>
      </c>
      <c r="K596" t="s">
        <v>1241</v>
      </c>
    </row>
    <row r="597" spans="6:11">
      <c r="F597" t="s">
        <v>786</v>
      </c>
      <c r="G597">
        <v>9999</v>
      </c>
      <c r="H597" t="s">
        <v>818</v>
      </c>
      <c r="I597" t="s">
        <v>775</v>
      </c>
      <c r="J597" t="s">
        <v>776</v>
      </c>
      <c r="K597" t="s">
        <v>1242</v>
      </c>
    </row>
    <row r="598" spans="6:11">
      <c r="F598" t="s">
        <v>786</v>
      </c>
      <c r="G598">
        <v>9999</v>
      </c>
      <c r="H598" t="s">
        <v>810</v>
      </c>
      <c r="I598" t="s">
        <v>749</v>
      </c>
      <c r="J598" t="s">
        <v>811</v>
      </c>
      <c r="K598" t="s">
        <v>1243</v>
      </c>
    </row>
    <row r="599" spans="6:11">
      <c r="F599" t="s">
        <v>786</v>
      </c>
      <c r="G599">
        <v>9999</v>
      </c>
      <c r="H599" t="s">
        <v>818</v>
      </c>
      <c r="I599" t="s">
        <v>775</v>
      </c>
      <c r="J599" t="s">
        <v>776</v>
      </c>
      <c r="K599" t="s">
        <v>1244</v>
      </c>
    </row>
    <row r="600" spans="6:11">
      <c r="F600" t="s">
        <v>786</v>
      </c>
      <c r="H600" t="s">
        <v>820</v>
      </c>
      <c r="I600" t="s">
        <v>821</v>
      </c>
      <c r="J600" t="s">
        <v>650</v>
      </c>
      <c r="K600" t="s">
        <v>1245</v>
      </c>
    </row>
    <row r="601" spans="6:11">
      <c r="F601" t="s">
        <v>786</v>
      </c>
      <c r="H601" t="s">
        <v>888</v>
      </c>
      <c r="I601" t="s">
        <v>741</v>
      </c>
      <c r="J601" t="s">
        <v>742</v>
      </c>
      <c r="K601" t="s">
        <v>1246</v>
      </c>
    </row>
    <row r="602" spans="6:11">
      <c r="F602" t="s">
        <v>786</v>
      </c>
      <c r="H602" t="s">
        <v>818</v>
      </c>
      <c r="I602" t="s">
        <v>775</v>
      </c>
      <c r="J602" t="s">
        <v>776</v>
      </c>
      <c r="K602" t="s">
        <v>1247</v>
      </c>
    </row>
    <row r="603" spans="6:11">
      <c r="F603" t="s">
        <v>786</v>
      </c>
      <c r="G603">
        <v>9999</v>
      </c>
      <c r="H603" t="s">
        <v>839</v>
      </c>
      <c r="I603" t="s">
        <v>637</v>
      </c>
      <c r="J603" t="s">
        <v>638</v>
      </c>
      <c r="K603" t="s">
        <v>1248</v>
      </c>
    </row>
    <row r="604" spans="6:11">
      <c r="F604" t="s">
        <v>786</v>
      </c>
      <c r="H604" t="s">
        <v>935</v>
      </c>
      <c r="I604" t="s">
        <v>936</v>
      </c>
      <c r="J604" t="s">
        <v>937</v>
      </c>
      <c r="K604" t="s">
        <v>1249</v>
      </c>
    </row>
    <row r="605" spans="6:11">
      <c r="F605" t="s">
        <v>786</v>
      </c>
      <c r="H605" t="s">
        <v>792</v>
      </c>
      <c r="I605" t="s">
        <v>793</v>
      </c>
      <c r="J605" t="s">
        <v>794</v>
      </c>
      <c r="K605" t="s">
        <v>1250</v>
      </c>
    </row>
    <row r="606" spans="6:11">
      <c r="F606" t="s">
        <v>786</v>
      </c>
      <c r="H606" t="s">
        <v>988</v>
      </c>
      <c r="I606" t="s">
        <v>989</v>
      </c>
      <c r="J606" t="s">
        <v>990</v>
      </c>
      <c r="K606" t="s">
        <v>1251</v>
      </c>
    </row>
    <row r="607" spans="6:11">
      <c r="F607" t="s">
        <v>786</v>
      </c>
      <c r="H607" t="s">
        <v>1252</v>
      </c>
      <c r="I607" t="s">
        <v>1253</v>
      </c>
      <c r="J607" t="s">
        <v>1254</v>
      </c>
      <c r="K607" t="s">
        <v>1255</v>
      </c>
    </row>
    <row r="608" spans="6:11">
      <c r="F608" t="s">
        <v>786</v>
      </c>
      <c r="G608">
        <v>9999</v>
      </c>
      <c r="H608" t="s">
        <v>286</v>
      </c>
      <c r="I608" t="s">
        <v>860</v>
      </c>
      <c r="J608" t="s">
        <v>730</v>
      </c>
      <c r="K608" t="s">
        <v>1256</v>
      </c>
    </row>
    <row r="609" spans="6:11">
      <c r="F609" t="s">
        <v>786</v>
      </c>
      <c r="H609" t="s">
        <v>818</v>
      </c>
      <c r="I609" t="s">
        <v>775</v>
      </c>
      <c r="J609" t="s">
        <v>776</v>
      </c>
      <c r="K609" t="s">
        <v>1257</v>
      </c>
    </row>
    <row r="610" spans="6:11">
      <c r="F610" t="s">
        <v>786</v>
      </c>
      <c r="H610" t="s">
        <v>818</v>
      </c>
      <c r="I610" t="s">
        <v>775</v>
      </c>
      <c r="J610" t="s">
        <v>776</v>
      </c>
      <c r="K610" t="s">
        <v>1258</v>
      </c>
    </row>
    <row r="611" spans="6:11">
      <c r="F611" t="s">
        <v>786</v>
      </c>
      <c r="H611" t="s">
        <v>818</v>
      </c>
      <c r="I611" t="s">
        <v>775</v>
      </c>
      <c r="J611" t="s">
        <v>776</v>
      </c>
      <c r="K611" t="s">
        <v>1259</v>
      </c>
    </row>
    <row r="612" spans="6:11">
      <c r="F612" t="s">
        <v>786</v>
      </c>
      <c r="H612" t="s">
        <v>818</v>
      </c>
      <c r="I612" t="s">
        <v>775</v>
      </c>
      <c r="J612" t="s">
        <v>776</v>
      </c>
      <c r="K612" t="s">
        <v>1260</v>
      </c>
    </row>
    <row r="613" spans="6:11">
      <c r="F613" t="s">
        <v>786</v>
      </c>
      <c r="H613" t="s">
        <v>818</v>
      </c>
      <c r="I613" t="s">
        <v>775</v>
      </c>
      <c r="J613" t="s">
        <v>776</v>
      </c>
      <c r="K613" t="s">
        <v>1261</v>
      </c>
    </row>
    <row r="614" spans="6:11">
      <c r="F614" t="s">
        <v>786</v>
      </c>
      <c r="H614" t="s">
        <v>935</v>
      </c>
      <c r="I614" t="s">
        <v>936</v>
      </c>
      <c r="J614" t="s">
        <v>937</v>
      </c>
      <c r="K614" t="s">
        <v>1262</v>
      </c>
    </row>
    <row r="615" spans="6:11">
      <c r="F615" t="s">
        <v>786</v>
      </c>
      <c r="H615" t="s">
        <v>935</v>
      </c>
      <c r="I615" t="s">
        <v>936</v>
      </c>
      <c r="J615" t="s">
        <v>937</v>
      </c>
      <c r="K615" t="s">
        <v>1263</v>
      </c>
    </row>
    <row r="616" spans="6:11">
      <c r="F616" t="s">
        <v>786</v>
      </c>
      <c r="G616">
        <v>9999</v>
      </c>
      <c r="H616" t="s">
        <v>1264</v>
      </c>
      <c r="I616" t="s">
        <v>1265</v>
      </c>
      <c r="J616" t="s">
        <v>1266</v>
      </c>
      <c r="K616" t="s">
        <v>1267</v>
      </c>
    </row>
    <row r="617" spans="6:11">
      <c r="F617" t="s">
        <v>786</v>
      </c>
      <c r="G617">
        <v>9999</v>
      </c>
      <c r="H617" t="s">
        <v>952</v>
      </c>
      <c r="I617" t="s">
        <v>697</v>
      </c>
      <c r="J617" t="s">
        <v>698</v>
      </c>
      <c r="K617" t="s">
        <v>1268</v>
      </c>
    </row>
    <row r="618" spans="6:11">
      <c r="F618" t="s">
        <v>786</v>
      </c>
      <c r="G618">
        <v>9999</v>
      </c>
      <c r="H618" t="s">
        <v>803</v>
      </c>
      <c r="I618" t="s">
        <v>804</v>
      </c>
      <c r="J618" t="s">
        <v>805</v>
      </c>
      <c r="K618" t="s">
        <v>1269</v>
      </c>
    </row>
    <row r="619" spans="6:11">
      <c r="F619" t="s">
        <v>786</v>
      </c>
      <c r="H619" t="s">
        <v>935</v>
      </c>
      <c r="I619" t="s">
        <v>936</v>
      </c>
      <c r="J619" t="s">
        <v>937</v>
      </c>
      <c r="K619" t="s">
        <v>1270</v>
      </c>
    </row>
    <row r="620" spans="6:11">
      <c r="F620" t="s">
        <v>786</v>
      </c>
      <c r="H620" t="s">
        <v>935</v>
      </c>
      <c r="I620" t="s">
        <v>936</v>
      </c>
      <c r="J620" t="s">
        <v>937</v>
      </c>
      <c r="K620" t="s">
        <v>1271</v>
      </c>
    </row>
    <row r="621" spans="6:11">
      <c r="F621" t="s">
        <v>786</v>
      </c>
      <c r="G621">
        <v>410</v>
      </c>
      <c r="H621" t="s">
        <v>796</v>
      </c>
      <c r="I621" t="s">
        <v>797</v>
      </c>
      <c r="J621" t="s">
        <v>798</v>
      </c>
      <c r="K621" t="s">
        <v>1272</v>
      </c>
    </row>
    <row r="622" spans="6:11">
      <c r="F622" t="s">
        <v>786</v>
      </c>
      <c r="G622">
        <v>9999</v>
      </c>
      <c r="H622" t="s">
        <v>792</v>
      </c>
      <c r="I622" t="s">
        <v>793</v>
      </c>
      <c r="J622" t="s">
        <v>794</v>
      </c>
      <c r="K622" t="s">
        <v>1273</v>
      </c>
    </row>
    <row r="623" spans="6:11">
      <c r="F623" t="s">
        <v>786</v>
      </c>
      <c r="H623" t="s">
        <v>965</v>
      </c>
      <c r="I623" t="s">
        <v>966</v>
      </c>
      <c r="J623" t="s">
        <v>967</v>
      </c>
      <c r="K623" t="s">
        <v>1274</v>
      </c>
    </row>
    <row r="624" spans="6:11">
      <c r="F624" t="s">
        <v>786</v>
      </c>
      <c r="H624" t="s">
        <v>965</v>
      </c>
      <c r="I624" t="s">
        <v>966</v>
      </c>
      <c r="J624" t="s">
        <v>967</v>
      </c>
      <c r="K624" t="s">
        <v>1275</v>
      </c>
    </row>
    <row r="625" spans="6:11">
      <c r="F625" t="s">
        <v>786</v>
      </c>
      <c r="G625">
        <v>505</v>
      </c>
      <c r="H625" t="s">
        <v>988</v>
      </c>
      <c r="I625" t="s">
        <v>989</v>
      </c>
      <c r="J625" t="s">
        <v>990</v>
      </c>
      <c r="K625" t="s">
        <v>1276</v>
      </c>
    </row>
    <row r="626" spans="6:11">
      <c r="F626" t="s">
        <v>786</v>
      </c>
      <c r="H626" t="s">
        <v>792</v>
      </c>
      <c r="I626" t="s">
        <v>793</v>
      </c>
      <c r="J626" t="s">
        <v>794</v>
      </c>
      <c r="K626" t="s">
        <v>1277</v>
      </c>
    </row>
    <row r="627" spans="6:11">
      <c r="F627" t="s">
        <v>786</v>
      </c>
      <c r="H627" t="s">
        <v>834</v>
      </c>
      <c r="I627" t="s">
        <v>757</v>
      </c>
      <c r="J627" t="s">
        <v>758</v>
      </c>
      <c r="K627" t="s">
        <v>1278</v>
      </c>
    </row>
    <row r="628" spans="6:11">
      <c r="F628" t="s">
        <v>786</v>
      </c>
      <c r="G628">
        <v>9999</v>
      </c>
      <c r="H628" t="s">
        <v>818</v>
      </c>
      <c r="I628" t="s">
        <v>775</v>
      </c>
      <c r="J628" t="s">
        <v>776</v>
      </c>
      <c r="K628" t="s">
        <v>1279</v>
      </c>
    </row>
    <row r="629" spans="6:11">
      <c r="F629" t="s">
        <v>786</v>
      </c>
      <c r="H629" t="s">
        <v>792</v>
      </c>
      <c r="I629" t="s">
        <v>793</v>
      </c>
      <c r="J629" t="s">
        <v>794</v>
      </c>
      <c r="K629" t="s">
        <v>1280</v>
      </c>
    </row>
    <row r="630" spans="6:11">
      <c r="F630" t="s">
        <v>786</v>
      </c>
      <c r="G630">
        <v>9999</v>
      </c>
      <c r="H630" t="s">
        <v>792</v>
      </c>
      <c r="I630" t="s">
        <v>793</v>
      </c>
      <c r="J630" t="s">
        <v>794</v>
      </c>
      <c r="K630" t="s">
        <v>1281</v>
      </c>
    </row>
    <row r="631" spans="6:11">
      <c r="F631" t="s">
        <v>786</v>
      </c>
      <c r="G631">
        <v>9999</v>
      </c>
      <c r="H631" t="s">
        <v>818</v>
      </c>
      <c r="I631" t="s">
        <v>775</v>
      </c>
      <c r="J631" t="s">
        <v>776</v>
      </c>
      <c r="K631" t="s">
        <v>1282</v>
      </c>
    </row>
    <row r="632" spans="6:11">
      <c r="F632" t="s">
        <v>786</v>
      </c>
      <c r="G632">
        <v>9999</v>
      </c>
      <c r="H632" t="s">
        <v>792</v>
      </c>
      <c r="I632" t="s">
        <v>793</v>
      </c>
      <c r="J632" t="s">
        <v>794</v>
      </c>
      <c r="K632" t="s">
        <v>1283</v>
      </c>
    </row>
    <row r="633" spans="6:11">
      <c r="F633" t="s">
        <v>786</v>
      </c>
      <c r="G633">
        <v>9999</v>
      </c>
      <c r="H633" t="s">
        <v>865</v>
      </c>
      <c r="I633" t="s">
        <v>866</v>
      </c>
      <c r="J633" t="s">
        <v>867</v>
      </c>
      <c r="K633" t="s">
        <v>1284</v>
      </c>
    </row>
    <row r="634" spans="6:11">
      <c r="F634" t="s">
        <v>786</v>
      </c>
      <c r="G634">
        <v>9999</v>
      </c>
      <c r="H634" t="s">
        <v>943</v>
      </c>
      <c r="I634" t="s">
        <v>944</v>
      </c>
      <c r="J634" t="s">
        <v>726</v>
      </c>
      <c r="K634" t="s">
        <v>1285</v>
      </c>
    </row>
    <row r="635" spans="6:11">
      <c r="F635" t="s">
        <v>786</v>
      </c>
      <c r="G635">
        <v>9999</v>
      </c>
      <c r="H635" t="s">
        <v>825</v>
      </c>
      <c r="I635" t="s">
        <v>590</v>
      </c>
      <c r="J635" t="s">
        <v>591</v>
      </c>
      <c r="K635" t="s">
        <v>1286</v>
      </c>
    </row>
    <row r="636" spans="6:11">
      <c r="F636" t="s">
        <v>786</v>
      </c>
      <c r="G636">
        <v>9999</v>
      </c>
      <c r="H636" t="s">
        <v>818</v>
      </c>
      <c r="I636" t="s">
        <v>775</v>
      </c>
      <c r="J636" t="s">
        <v>776</v>
      </c>
      <c r="K636" t="s">
        <v>1287</v>
      </c>
    </row>
    <row r="637" spans="6:11">
      <c r="F637" t="s">
        <v>786</v>
      </c>
      <c r="G637">
        <v>9999</v>
      </c>
      <c r="H637" t="s">
        <v>918</v>
      </c>
      <c r="I637" t="s">
        <v>783</v>
      </c>
      <c r="J637" t="s">
        <v>784</v>
      </c>
      <c r="K637" t="s">
        <v>1288</v>
      </c>
    </row>
    <row r="638" spans="6:11">
      <c r="F638" t="s">
        <v>786</v>
      </c>
      <c r="G638">
        <v>9999</v>
      </c>
      <c r="H638" t="s">
        <v>888</v>
      </c>
      <c r="I638" t="s">
        <v>741</v>
      </c>
      <c r="J638" t="s">
        <v>742</v>
      </c>
      <c r="K638" t="s">
        <v>1289</v>
      </c>
    </row>
    <row r="639" spans="6:11">
      <c r="F639" t="s">
        <v>786</v>
      </c>
      <c r="G639">
        <v>9999</v>
      </c>
      <c r="H639" t="s">
        <v>843</v>
      </c>
      <c r="I639" t="s">
        <v>844</v>
      </c>
      <c r="J639" t="s">
        <v>598</v>
      </c>
      <c r="K639" t="s">
        <v>1290</v>
      </c>
    </row>
    <row r="640" spans="6:11">
      <c r="F640" t="s">
        <v>786</v>
      </c>
      <c r="G640">
        <v>9999</v>
      </c>
      <c r="H640" t="s">
        <v>818</v>
      </c>
      <c r="I640" t="s">
        <v>775</v>
      </c>
      <c r="J640" t="s">
        <v>776</v>
      </c>
      <c r="K640" t="s">
        <v>1291</v>
      </c>
    </row>
    <row r="641" spans="6:11">
      <c r="F641" t="s">
        <v>786</v>
      </c>
      <c r="G641">
        <v>9999</v>
      </c>
      <c r="H641" t="s">
        <v>818</v>
      </c>
      <c r="I641" t="s">
        <v>775</v>
      </c>
      <c r="J641" t="s">
        <v>776</v>
      </c>
      <c r="K641" t="s">
        <v>1292</v>
      </c>
    </row>
    <row r="642" spans="6:11">
      <c r="F642" t="s">
        <v>786</v>
      </c>
      <c r="G642">
        <v>9999</v>
      </c>
      <c r="H642" t="s">
        <v>814</v>
      </c>
      <c r="I642" t="s">
        <v>815</v>
      </c>
      <c r="J642" t="s">
        <v>734</v>
      </c>
      <c r="K642" t="s">
        <v>1293</v>
      </c>
    </row>
    <row r="643" spans="6:11">
      <c r="F643" t="s">
        <v>786</v>
      </c>
      <c r="G643">
        <v>9999</v>
      </c>
      <c r="H643" t="s">
        <v>888</v>
      </c>
      <c r="I643" t="s">
        <v>741</v>
      </c>
      <c r="J643" t="s">
        <v>742</v>
      </c>
      <c r="K643" t="s">
        <v>1294</v>
      </c>
    </row>
    <row r="644" spans="6:11">
      <c r="F644" t="s">
        <v>786</v>
      </c>
      <c r="G644">
        <v>9999</v>
      </c>
      <c r="H644" t="s">
        <v>858</v>
      </c>
      <c r="I644" t="s">
        <v>745</v>
      </c>
      <c r="J644" t="s">
        <v>746</v>
      </c>
      <c r="K644" t="s">
        <v>1295</v>
      </c>
    </row>
    <row r="645" spans="6:11">
      <c r="F645" t="s">
        <v>786</v>
      </c>
      <c r="G645">
        <v>9999</v>
      </c>
      <c r="H645" t="s">
        <v>865</v>
      </c>
      <c r="I645" t="s">
        <v>866</v>
      </c>
      <c r="J645" t="s">
        <v>867</v>
      </c>
      <c r="K645" t="s">
        <v>1296</v>
      </c>
    </row>
    <row r="646" spans="6:11">
      <c r="F646" t="s">
        <v>786</v>
      </c>
      <c r="G646">
        <v>9999</v>
      </c>
      <c r="H646" t="s">
        <v>818</v>
      </c>
      <c r="I646" t="s">
        <v>775</v>
      </c>
      <c r="J646" t="s">
        <v>776</v>
      </c>
      <c r="K646" t="s">
        <v>1297</v>
      </c>
    </row>
    <row r="647" spans="6:11">
      <c r="F647" t="s">
        <v>786</v>
      </c>
      <c r="G647">
        <v>9999</v>
      </c>
      <c r="H647" t="s">
        <v>839</v>
      </c>
      <c r="I647" t="s">
        <v>637</v>
      </c>
      <c r="J647" t="s">
        <v>638</v>
      </c>
      <c r="K647" t="s">
        <v>1298</v>
      </c>
    </row>
    <row r="648" spans="6:11">
      <c r="F648" t="s">
        <v>786</v>
      </c>
      <c r="G648">
        <v>9999</v>
      </c>
      <c r="H648" t="s">
        <v>818</v>
      </c>
      <c r="I648" t="s">
        <v>775</v>
      </c>
      <c r="J648" t="s">
        <v>776</v>
      </c>
      <c r="K648" t="s">
        <v>1299</v>
      </c>
    </row>
    <row r="649" spans="6:11">
      <c r="F649" t="s">
        <v>786</v>
      </c>
      <c r="G649">
        <v>9999</v>
      </c>
      <c r="H649" t="s">
        <v>818</v>
      </c>
      <c r="I649" t="s">
        <v>775</v>
      </c>
      <c r="J649" t="s">
        <v>776</v>
      </c>
      <c r="K649" t="s">
        <v>1300</v>
      </c>
    </row>
    <row r="650" spans="6:11">
      <c r="F650" t="s">
        <v>786</v>
      </c>
      <c r="G650">
        <v>9999</v>
      </c>
      <c r="H650" t="s">
        <v>792</v>
      </c>
      <c r="I650" t="s">
        <v>793</v>
      </c>
      <c r="J650" t="s">
        <v>794</v>
      </c>
      <c r="K650" t="s">
        <v>1301</v>
      </c>
    </row>
    <row r="651" spans="6:11">
      <c r="F651" t="s">
        <v>786</v>
      </c>
      <c r="G651">
        <v>9999</v>
      </c>
      <c r="H651" t="s">
        <v>818</v>
      </c>
      <c r="I651" t="s">
        <v>775</v>
      </c>
      <c r="J651" t="s">
        <v>776</v>
      </c>
      <c r="K651" t="s">
        <v>1302</v>
      </c>
    </row>
    <row r="652" spans="6:11">
      <c r="F652" t="s">
        <v>786</v>
      </c>
      <c r="G652">
        <v>9999</v>
      </c>
      <c r="H652" t="s">
        <v>865</v>
      </c>
      <c r="I652" t="s">
        <v>866</v>
      </c>
      <c r="J652" t="s">
        <v>867</v>
      </c>
      <c r="K652" t="s">
        <v>1303</v>
      </c>
    </row>
    <row r="653" spans="6:11">
      <c r="F653" t="s">
        <v>786</v>
      </c>
      <c r="G653">
        <v>9999</v>
      </c>
      <c r="H653" t="s">
        <v>888</v>
      </c>
      <c r="I653" t="s">
        <v>741</v>
      </c>
      <c r="J653" t="s">
        <v>742</v>
      </c>
      <c r="K653" t="s">
        <v>1304</v>
      </c>
    </row>
    <row r="654" spans="6:11">
      <c r="F654" t="s">
        <v>786</v>
      </c>
      <c r="G654">
        <v>9999</v>
      </c>
      <c r="H654" t="s">
        <v>818</v>
      </c>
      <c r="I654" t="s">
        <v>775</v>
      </c>
      <c r="J654" t="s">
        <v>776</v>
      </c>
      <c r="K654" t="s">
        <v>1305</v>
      </c>
    </row>
    <row r="655" spans="6:11">
      <c r="F655" t="s">
        <v>786</v>
      </c>
      <c r="G655">
        <v>9999</v>
      </c>
      <c r="H655" t="s">
        <v>818</v>
      </c>
      <c r="I655" t="s">
        <v>775</v>
      </c>
      <c r="J655" t="s">
        <v>776</v>
      </c>
      <c r="K655" t="s">
        <v>1306</v>
      </c>
    </row>
    <row r="656" spans="6:11">
      <c r="F656" t="s">
        <v>786</v>
      </c>
      <c r="H656" t="s">
        <v>792</v>
      </c>
      <c r="I656" t="s">
        <v>793</v>
      </c>
      <c r="J656" t="s">
        <v>794</v>
      </c>
      <c r="K656" t="s">
        <v>1307</v>
      </c>
    </row>
    <row r="657" spans="6:11">
      <c r="F657" t="s">
        <v>786</v>
      </c>
      <c r="G657">
        <v>9999</v>
      </c>
      <c r="H657" t="s">
        <v>834</v>
      </c>
      <c r="I657" t="s">
        <v>757</v>
      </c>
      <c r="J657" t="s">
        <v>758</v>
      </c>
      <c r="K657" t="s">
        <v>1308</v>
      </c>
    </row>
    <row r="658" spans="6:11">
      <c r="F658" t="s">
        <v>786</v>
      </c>
      <c r="G658">
        <v>9999</v>
      </c>
      <c r="H658" t="s">
        <v>818</v>
      </c>
      <c r="I658" t="s">
        <v>775</v>
      </c>
      <c r="J658" t="s">
        <v>776</v>
      </c>
      <c r="K658" t="s">
        <v>1309</v>
      </c>
    </row>
    <row r="659" spans="6:11">
      <c r="F659" t="s">
        <v>786</v>
      </c>
      <c r="G659">
        <v>9999</v>
      </c>
      <c r="H659" t="s">
        <v>818</v>
      </c>
      <c r="I659" t="s">
        <v>775</v>
      </c>
      <c r="J659" t="s">
        <v>776</v>
      </c>
      <c r="K659" t="s">
        <v>1310</v>
      </c>
    </row>
    <row r="660" spans="6:11">
      <c r="F660" t="s">
        <v>786</v>
      </c>
      <c r="H660" t="s">
        <v>792</v>
      </c>
      <c r="I660" t="s">
        <v>793</v>
      </c>
      <c r="J660" t="s">
        <v>794</v>
      </c>
      <c r="K660" t="s">
        <v>1311</v>
      </c>
    </row>
    <row r="661" spans="6:11">
      <c r="F661" t="s">
        <v>786</v>
      </c>
      <c r="G661">
        <v>9999</v>
      </c>
      <c r="H661" t="s">
        <v>1024</v>
      </c>
      <c r="I661" t="s">
        <v>605</v>
      </c>
      <c r="J661" t="s">
        <v>606</v>
      </c>
      <c r="K661" t="s">
        <v>1312</v>
      </c>
    </row>
    <row r="662" spans="6:11">
      <c r="F662" t="s">
        <v>786</v>
      </c>
      <c r="G662">
        <v>9999</v>
      </c>
      <c r="H662" t="s">
        <v>858</v>
      </c>
      <c r="I662" t="s">
        <v>745</v>
      </c>
      <c r="J662" t="s">
        <v>746</v>
      </c>
      <c r="K662" t="s">
        <v>1313</v>
      </c>
    </row>
    <row r="663" spans="6:11">
      <c r="F663" t="s">
        <v>786</v>
      </c>
      <c r="G663">
        <v>9999</v>
      </c>
      <c r="H663" t="s">
        <v>972</v>
      </c>
      <c r="I663" t="s">
        <v>705</v>
      </c>
      <c r="J663" t="s">
        <v>706</v>
      </c>
      <c r="K663" t="s">
        <v>1314</v>
      </c>
    </row>
    <row r="664" spans="6:11">
      <c r="F664" t="s">
        <v>786</v>
      </c>
      <c r="G664">
        <v>9999</v>
      </c>
      <c r="H664" t="s">
        <v>963</v>
      </c>
      <c r="I664" t="s">
        <v>964</v>
      </c>
      <c r="J664" t="s">
        <v>618</v>
      </c>
      <c r="K664" t="s">
        <v>1315</v>
      </c>
    </row>
    <row r="665" spans="6:11">
      <c r="F665" t="s">
        <v>786</v>
      </c>
      <c r="G665">
        <v>9999</v>
      </c>
      <c r="H665" t="s">
        <v>988</v>
      </c>
      <c r="I665" t="s">
        <v>989</v>
      </c>
      <c r="J665" t="s">
        <v>990</v>
      </c>
      <c r="K665" t="s">
        <v>1316</v>
      </c>
    </row>
    <row r="666" spans="6:11">
      <c r="F666" t="s">
        <v>786</v>
      </c>
      <c r="G666">
        <v>9999</v>
      </c>
      <c r="H666" t="s">
        <v>820</v>
      </c>
      <c r="I666" t="s">
        <v>821</v>
      </c>
      <c r="J666" t="s">
        <v>650</v>
      </c>
      <c r="K666" t="s">
        <v>1317</v>
      </c>
    </row>
    <row r="667" spans="6:11">
      <c r="F667" t="s">
        <v>786</v>
      </c>
      <c r="G667">
        <v>9999</v>
      </c>
      <c r="H667" t="s">
        <v>792</v>
      </c>
      <c r="I667" t="s">
        <v>793</v>
      </c>
      <c r="J667" t="s">
        <v>794</v>
      </c>
      <c r="K667" t="s">
        <v>1318</v>
      </c>
    </row>
    <row r="668" spans="6:11">
      <c r="F668" t="s">
        <v>786</v>
      </c>
      <c r="G668">
        <v>9999</v>
      </c>
      <c r="H668" t="s">
        <v>865</v>
      </c>
      <c r="I668" t="s">
        <v>866</v>
      </c>
      <c r="J668" t="s">
        <v>867</v>
      </c>
      <c r="K668" t="s">
        <v>1319</v>
      </c>
    </row>
    <row r="669" spans="6:11">
      <c r="F669" t="s">
        <v>786</v>
      </c>
      <c r="G669">
        <v>9999</v>
      </c>
      <c r="H669" t="s">
        <v>530</v>
      </c>
      <c r="I669" t="s">
        <v>1055</v>
      </c>
      <c r="J669" t="s">
        <v>714</v>
      </c>
      <c r="K669" t="s">
        <v>1320</v>
      </c>
    </row>
    <row r="670" spans="6:11">
      <c r="F670" t="s">
        <v>786</v>
      </c>
      <c r="G670">
        <v>9999</v>
      </c>
      <c r="H670" t="s">
        <v>1321</v>
      </c>
      <c r="I670" t="s">
        <v>1322</v>
      </c>
      <c r="J670" t="s">
        <v>1323</v>
      </c>
      <c r="K670" t="s">
        <v>1324</v>
      </c>
    </row>
    <row r="671" spans="6:11">
      <c r="F671" t="s">
        <v>786</v>
      </c>
      <c r="G671">
        <v>9999</v>
      </c>
      <c r="H671" t="s">
        <v>988</v>
      </c>
      <c r="I671" t="s">
        <v>989</v>
      </c>
      <c r="J671" t="s">
        <v>990</v>
      </c>
      <c r="K671" t="s">
        <v>1325</v>
      </c>
    </row>
    <row r="672" spans="6:11">
      <c r="F672" t="s">
        <v>786</v>
      </c>
      <c r="H672" t="s">
        <v>818</v>
      </c>
      <c r="I672" t="s">
        <v>775</v>
      </c>
      <c r="J672" t="s">
        <v>776</v>
      </c>
      <c r="K672" t="s">
        <v>1326</v>
      </c>
    </row>
    <row r="673" spans="6:11">
      <c r="F673" t="s">
        <v>786</v>
      </c>
      <c r="G673">
        <v>9999</v>
      </c>
      <c r="H673" t="s">
        <v>792</v>
      </c>
      <c r="I673" t="s">
        <v>793</v>
      </c>
      <c r="J673" t="s">
        <v>794</v>
      </c>
      <c r="K673" t="s">
        <v>1327</v>
      </c>
    </row>
    <row r="674" spans="6:11">
      <c r="F674" t="s">
        <v>786</v>
      </c>
      <c r="H674" t="s">
        <v>865</v>
      </c>
      <c r="I674" t="s">
        <v>866</v>
      </c>
      <c r="J674" t="s">
        <v>867</v>
      </c>
      <c r="K674" t="s">
        <v>1328</v>
      </c>
    </row>
    <row r="675" spans="6:11">
      <c r="F675" t="s">
        <v>786</v>
      </c>
      <c r="G675">
        <v>9999</v>
      </c>
      <c r="H675" t="s">
        <v>918</v>
      </c>
      <c r="I675" t="s">
        <v>783</v>
      </c>
      <c r="J675" t="s">
        <v>784</v>
      </c>
      <c r="K675" t="s">
        <v>1329</v>
      </c>
    </row>
    <row r="676" spans="6:11">
      <c r="F676" t="s">
        <v>786</v>
      </c>
      <c r="G676">
        <v>9999</v>
      </c>
      <c r="H676" t="s">
        <v>890</v>
      </c>
      <c r="I676" t="s">
        <v>613</v>
      </c>
      <c r="J676" t="s">
        <v>614</v>
      </c>
      <c r="K676" t="s">
        <v>1330</v>
      </c>
    </row>
    <row r="677" spans="6:11">
      <c r="F677" t="s">
        <v>786</v>
      </c>
      <c r="G677">
        <v>9999</v>
      </c>
      <c r="H677" t="s">
        <v>831</v>
      </c>
      <c r="I677" t="s">
        <v>737</v>
      </c>
      <c r="J677" t="s">
        <v>832</v>
      </c>
      <c r="K677" t="s">
        <v>1331</v>
      </c>
    </row>
    <row r="678" spans="6:11">
      <c r="F678" t="s">
        <v>786</v>
      </c>
      <c r="G678">
        <v>9999</v>
      </c>
      <c r="H678" t="s">
        <v>831</v>
      </c>
      <c r="I678" t="s">
        <v>737</v>
      </c>
      <c r="J678" t="s">
        <v>832</v>
      </c>
      <c r="K678" t="s">
        <v>1332</v>
      </c>
    </row>
    <row r="679" spans="6:11">
      <c r="F679" t="s">
        <v>786</v>
      </c>
      <c r="G679">
        <v>9999</v>
      </c>
      <c r="H679" t="s">
        <v>839</v>
      </c>
      <c r="I679" t="s">
        <v>637</v>
      </c>
      <c r="J679" t="s">
        <v>638</v>
      </c>
      <c r="K679" t="s">
        <v>1333</v>
      </c>
    </row>
    <row r="680" spans="6:11">
      <c r="F680" t="s">
        <v>786</v>
      </c>
      <c r="G680">
        <v>9999</v>
      </c>
      <c r="H680" t="s">
        <v>1036</v>
      </c>
      <c r="I680" t="s">
        <v>1037</v>
      </c>
      <c r="J680" t="s">
        <v>1038</v>
      </c>
      <c r="K680" t="s">
        <v>1334</v>
      </c>
    </row>
    <row r="681" spans="6:11">
      <c r="F681" t="s">
        <v>786</v>
      </c>
      <c r="G681">
        <v>9999</v>
      </c>
      <c r="H681" t="s">
        <v>984</v>
      </c>
      <c r="I681" t="s">
        <v>985</v>
      </c>
      <c r="J681" t="s">
        <v>658</v>
      </c>
      <c r="K681" t="s">
        <v>1335</v>
      </c>
    </row>
    <row r="682" spans="6:11">
      <c r="F682" t="s">
        <v>786</v>
      </c>
      <c r="H682" t="s">
        <v>792</v>
      </c>
      <c r="I682" t="s">
        <v>793</v>
      </c>
      <c r="J682" t="s">
        <v>794</v>
      </c>
      <c r="K682" t="s">
        <v>1336</v>
      </c>
    </row>
    <row r="683" spans="6:11">
      <c r="F683" t="s">
        <v>786</v>
      </c>
      <c r="G683">
        <v>9999</v>
      </c>
      <c r="H683" t="s">
        <v>987</v>
      </c>
      <c r="I683" t="s">
        <v>641</v>
      </c>
      <c r="J683" t="s">
        <v>642</v>
      </c>
      <c r="K683" t="s">
        <v>1337</v>
      </c>
    </row>
    <row r="684" spans="6:11">
      <c r="F684" t="s">
        <v>786</v>
      </c>
      <c r="G684">
        <v>9999</v>
      </c>
      <c r="H684" t="s">
        <v>988</v>
      </c>
      <c r="I684" t="s">
        <v>989</v>
      </c>
      <c r="J684" t="s">
        <v>990</v>
      </c>
      <c r="K684" t="s">
        <v>1338</v>
      </c>
    </row>
    <row r="685" spans="6:11">
      <c r="F685" t="s">
        <v>786</v>
      </c>
      <c r="G685">
        <v>9999</v>
      </c>
      <c r="H685" t="s">
        <v>530</v>
      </c>
      <c r="I685" t="s">
        <v>1055</v>
      </c>
      <c r="J685" t="s">
        <v>714</v>
      </c>
      <c r="K685" t="s">
        <v>1339</v>
      </c>
    </row>
    <row r="686" spans="6:11">
      <c r="F686" t="s">
        <v>786</v>
      </c>
      <c r="G686">
        <v>9999</v>
      </c>
      <c r="H686" t="s">
        <v>950</v>
      </c>
      <c r="I686" t="s">
        <v>661</v>
      </c>
      <c r="J686" t="s">
        <v>662</v>
      </c>
      <c r="K686" t="s">
        <v>1340</v>
      </c>
    </row>
    <row r="687" spans="6:11">
      <c r="F687" t="s">
        <v>786</v>
      </c>
      <c r="G687">
        <v>9999</v>
      </c>
      <c r="H687" t="s">
        <v>1048</v>
      </c>
      <c r="I687" t="s">
        <v>645</v>
      </c>
      <c r="J687" t="s">
        <v>646</v>
      </c>
      <c r="K687" t="s">
        <v>1341</v>
      </c>
    </row>
    <row r="688" spans="6:11">
      <c r="F688" t="s">
        <v>786</v>
      </c>
      <c r="G688">
        <v>9999</v>
      </c>
      <c r="H688" t="s">
        <v>792</v>
      </c>
      <c r="I688" t="s">
        <v>793</v>
      </c>
      <c r="J688" t="s">
        <v>794</v>
      </c>
      <c r="K688" t="s">
        <v>1342</v>
      </c>
    </row>
    <row r="689" spans="6:11">
      <c r="F689" t="s">
        <v>786</v>
      </c>
      <c r="G689">
        <v>9999</v>
      </c>
      <c r="H689" t="s">
        <v>792</v>
      </c>
      <c r="I689" t="s">
        <v>793</v>
      </c>
      <c r="J689" t="s">
        <v>794</v>
      </c>
      <c r="K689" t="s">
        <v>1343</v>
      </c>
    </row>
    <row r="690" spans="6:11">
      <c r="F690" t="s">
        <v>786</v>
      </c>
      <c r="G690">
        <v>9999</v>
      </c>
      <c r="H690" t="s">
        <v>792</v>
      </c>
      <c r="I690" t="s">
        <v>793</v>
      </c>
      <c r="J690" t="s">
        <v>794</v>
      </c>
      <c r="K690" t="s">
        <v>1344</v>
      </c>
    </row>
    <row r="691" spans="6:11">
      <c r="F691" t="s">
        <v>786</v>
      </c>
      <c r="G691">
        <v>9999</v>
      </c>
      <c r="H691" t="s">
        <v>792</v>
      </c>
      <c r="I691" t="s">
        <v>793</v>
      </c>
      <c r="J691" t="s">
        <v>794</v>
      </c>
      <c r="K691" t="s">
        <v>1345</v>
      </c>
    </row>
    <row r="692" spans="6:11">
      <c r="F692" t="s">
        <v>786</v>
      </c>
      <c r="G692">
        <v>9999</v>
      </c>
      <c r="H692" t="s">
        <v>818</v>
      </c>
      <c r="I692" t="s">
        <v>775</v>
      </c>
      <c r="J692" t="s">
        <v>776</v>
      </c>
      <c r="K692" t="s">
        <v>1346</v>
      </c>
    </row>
    <row r="693" spans="6:11">
      <c r="F693" t="s">
        <v>786</v>
      </c>
      <c r="G693">
        <v>9999</v>
      </c>
      <c r="H693" t="s">
        <v>792</v>
      </c>
      <c r="I693" t="s">
        <v>793</v>
      </c>
      <c r="J693" t="s">
        <v>794</v>
      </c>
      <c r="K693" t="s">
        <v>1347</v>
      </c>
    </row>
    <row r="694" spans="6:11">
      <c r="F694" t="s">
        <v>786</v>
      </c>
      <c r="G694">
        <v>9999</v>
      </c>
      <c r="H694" t="s">
        <v>1048</v>
      </c>
      <c r="I694" t="s">
        <v>645</v>
      </c>
      <c r="J694" t="s">
        <v>646</v>
      </c>
      <c r="K694" t="s">
        <v>1348</v>
      </c>
    </row>
    <row r="695" spans="6:11">
      <c r="F695" t="s">
        <v>786</v>
      </c>
      <c r="G695">
        <v>9999</v>
      </c>
      <c r="H695" t="s">
        <v>988</v>
      </c>
      <c r="I695" t="s">
        <v>989</v>
      </c>
      <c r="J695" t="s">
        <v>990</v>
      </c>
      <c r="K695" t="s">
        <v>1349</v>
      </c>
    </row>
    <row r="696" spans="6:11">
      <c r="F696" t="s">
        <v>786</v>
      </c>
      <c r="G696">
        <v>9999</v>
      </c>
      <c r="H696" t="s">
        <v>993</v>
      </c>
      <c r="I696" t="s">
        <v>994</v>
      </c>
      <c r="J696" t="s">
        <v>995</v>
      </c>
      <c r="K696" t="s">
        <v>1350</v>
      </c>
    </row>
    <row r="697" spans="6:11">
      <c r="F697" t="s">
        <v>786</v>
      </c>
      <c r="G697">
        <v>9999</v>
      </c>
      <c r="H697" t="s">
        <v>792</v>
      </c>
      <c r="I697" t="s">
        <v>793</v>
      </c>
      <c r="J697" t="s">
        <v>794</v>
      </c>
      <c r="K697" t="s">
        <v>1351</v>
      </c>
    </row>
    <row r="698" spans="6:11">
      <c r="F698" t="s">
        <v>786</v>
      </c>
      <c r="G698">
        <v>9999</v>
      </c>
      <c r="H698" t="s">
        <v>865</v>
      </c>
      <c r="I698" t="s">
        <v>866</v>
      </c>
      <c r="J698" t="s">
        <v>867</v>
      </c>
      <c r="K698" t="s">
        <v>1352</v>
      </c>
    </row>
    <row r="699" spans="6:11">
      <c r="F699" t="s">
        <v>786</v>
      </c>
      <c r="G699">
        <v>9999</v>
      </c>
      <c r="H699" t="s">
        <v>1024</v>
      </c>
      <c r="I699" t="s">
        <v>605</v>
      </c>
      <c r="J699" t="s">
        <v>606</v>
      </c>
      <c r="K699" t="s">
        <v>1353</v>
      </c>
    </row>
    <row r="700" spans="6:11">
      <c r="F700" t="s">
        <v>786</v>
      </c>
      <c r="G700">
        <v>9999</v>
      </c>
      <c r="H700" t="s">
        <v>993</v>
      </c>
      <c r="I700" t="s">
        <v>994</v>
      </c>
      <c r="J700" t="s">
        <v>995</v>
      </c>
      <c r="K700" t="s">
        <v>1354</v>
      </c>
    </row>
    <row r="701" spans="6:11">
      <c r="F701" t="s">
        <v>786</v>
      </c>
      <c r="G701">
        <v>9999</v>
      </c>
      <c r="H701" t="s">
        <v>1355</v>
      </c>
      <c r="I701" t="s">
        <v>1356</v>
      </c>
      <c r="J701" t="s">
        <v>1357</v>
      </c>
      <c r="K701" t="s">
        <v>1358</v>
      </c>
    </row>
    <row r="702" spans="6:11">
      <c r="F702" t="s">
        <v>786</v>
      </c>
      <c r="G702">
        <v>9999</v>
      </c>
      <c r="H702" t="s">
        <v>818</v>
      </c>
      <c r="I702" t="s">
        <v>775</v>
      </c>
      <c r="J702" t="s">
        <v>776</v>
      </c>
      <c r="K702" t="s">
        <v>1359</v>
      </c>
    </row>
    <row r="703" spans="6:11">
      <c r="F703" t="s">
        <v>786</v>
      </c>
      <c r="G703">
        <v>9999</v>
      </c>
      <c r="H703" t="s">
        <v>792</v>
      </c>
      <c r="I703" t="s">
        <v>793</v>
      </c>
      <c r="J703" t="s">
        <v>794</v>
      </c>
      <c r="K703" t="s">
        <v>1360</v>
      </c>
    </row>
    <row r="704" spans="6:11">
      <c r="F704" t="s">
        <v>786</v>
      </c>
      <c r="G704">
        <v>9999</v>
      </c>
      <c r="H704" t="s">
        <v>932</v>
      </c>
      <c r="I704" t="s">
        <v>753</v>
      </c>
      <c r="J704" t="s">
        <v>933</v>
      </c>
      <c r="K704" t="s">
        <v>1361</v>
      </c>
    </row>
    <row r="705" spans="6:11">
      <c r="F705" t="s">
        <v>786</v>
      </c>
      <c r="H705" t="s">
        <v>818</v>
      </c>
      <c r="I705" t="s">
        <v>775</v>
      </c>
      <c r="J705" t="s">
        <v>776</v>
      </c>
      <c r="K705" t="s">
        <v>1362</v>
      </c>
    </row>
    <row r="706" spans="6:11">
      <c r="F706" t="s">
        <v>786</v>
      </c>
      <c r="G706">
        <v>9999</v>
      </c>
      <c r="H706" t="s">
        <v>918</v>
      </c>
      <c r="I706" t="s">
        <v>783</v>
      </c>
      <c r="J706" t="s">
        <v>784</v>
      </c>
      <c r="K706" t="s">
        <v>1363</v>
      </c>
    </row>
    <row r="707" spans="6:11">
      <c r="F707" t="s">
        <v>786</v>
      </c>
      <c r="G707">
        <v>9999</v>
      </c>
      <c r="H707" t="s">
        <v>918</v>
      </c>
      <c r="I707" t="s">
        <v>783</v>
      </c>
      <c r="J707" t="s">
        <v>784</v>
      </c>
      <c r="K707" t="s">
        <v>1364</v>
      </c>
    </row>
    <row r="708" spans="6:11">
      <c r="F708" t="s">
        <v>786</v>
      </c>
      <c r="G708">
        <v>9999</v>
      </c>
      <c r="H708" t="s">
        <v>843</v>
      </c>
      <c r="I708" t="s">
        <v>844</v>
      </c>
      <c r="J708" t="s">
        <v>598</v>
      </c>
      <c r="K708" t="s">
        <v>1365</v>
      </c>
    </row>
    <row r="709" spans="6:11">
      <c r="F709" t="s">
        <v>786</v>
      </c>
      <c r="G709">
        <v>9999</v>
      </c>
      <c r="H709" t="s">
        <v>865</v>
      </c>
      <c r="I709" t="s">
        <v>866</v>
      </c>
      <c r="J709" t="s">
        <v>867</v>
      </c>
      <c r="K709" t="s">
        <v>1366</v>
      </c>
    </row>
    <row r="710" spans="6:11">
      <c r="F710" t="s">
        <v>786</v>
      </c>
      <c r="G710">
        <v>9999</v>
      </c>
      <c r="H710" t="s">
        <v>938</v>
      </c>
      <c r="I710" t="s">
        <v>594</v>
      </c>
      <c r="J710" t="s">
        <v>595</v>
      </c>
      <c r="K710" t="s">
        <v>1367</v>
      </c>
    </row>
    <row r="711" spans="6:11">
      <c r="F711" t="s">
        <v>786</v>
      </c>
      <c r="H711" t="s">
        <v>810</v>
      </c>
      <c r="I711" t="s">
        <v>749</v>
      </c>
      <c r="J711" t="s">
        <v>811</v>
      </c>
      <c r="K711" t="s">
        <v>1368</v>
      </c>
    </row>
    <row r="712" spans="6:11">
      <c r="F712" t="s">
        <v>786</v>
      </c>
      <c r="G712">
        <v>9999</v>
      </c>
      <c r="H712" t="s">
        <v>839</v>
      </c>
      <c r="I712" t="s">
        <v>637</v>
      </c>
      <c r="J712" t="s">
        <v>638</v>
      </c>
      <c r="K712" t="s">
        <v>1369</v>
      </c>
    </row>
    <row r="713" spans="6:11">
      <c r="F713" t="s">
        <v>786</v>
      </c>
      <c r="G713">
        <v>9999</v>
      </c>
      <c r="H713" t="s">
        <v>818</v>
      </c>
      <c r="I713" t="s">
        <v>775</v>
      </c>
      <c r="J713" t="s">
        <v>776</v>
      </c>
      <c r="K713" t="s">
        <v>1370</v>
      </c>
    </row>
    <row r="714" spans="6:11">
      <c r="F714" t="s">
        <v>786</v>
      </c>
      <c r="G714">
        <v>9999</v>
      </c>
      <c r="H714" t="s">
        <v>1371</v>
      </c>
      <c r="I714" t="s">
        <v>1372</v>
      </c>
      <c r="J714" t="s">
        <v>1373</v>
      </c>
      <c r="K714" t="s">
        <v>1374</v>
      </c>
    </row>
    <row r="715" spans="6:11">
      <c r="F715" t="s">
        <v>786</v>
      </c>
      <c r="G715">
        <v>9999</v>
      </c>
      <c r="H715" t="s">
        <v>865</v>
      </c>
      <c r="I715" t="s">
        <v>866</v>
      </c>
      <c r="J715" t="s">
        <v>867</v>
      </c>
      <c r="K715" t="s">
        <v>1375</v>
      </c>
    </row>
    <row r="716" spans="6:11">
      <c r="F716" t="s">
        <v>786</v>
      </c>
      <c r="G716">
        <v>9999</v>
      </c>
      <c r="H716" t="s">
        <v>963</v>
      </c>
      <c r="I716" t="s">
        <v>964</v>
      </c>
      <c r="J716" t="s">
        <v>618</v>
      </c>
      <c r="K716" t="s">
        <v>1376</v>
      </c>
    </row>
    <row r="717" spans="6:11">
      <c r="F717" t="s">
        <v>786</v>
      </c>
      <c r="G717">
        <v>9999</v>
      </c>
      <c r="H717" t="s">
        <v>530</v>
      </c>
      <c r="I717" t="s">
        <v>1055</v>
      </c>
      <c r="J717" t="s">
        <v>714</v>
      </c>
      <c r="K717" t="s">
        <v>1377</v>
      </c>
    </row>
    <row r="718" spans="6:11">
      <c r="F718" t="s">
        <v>786</v>
      </c>
      <c r="G718">
        <v>9999</v>
      </c>
      <c r="H718" t="s">
        <v>939</v>
      </c>
      <c r="I718" t="s">
        <v>940</v>
      </c>
      <c r="J718" t="s">
        <v>941</v>
      </c>
      <c r="K718" t="s">
        <v>1378</v>
      </c>
    </row>
    <row r="719" spans="6:11">
      <c r="F719" t="s">
        <v>786</v>
      </c>
      <c r="G719">
        <v>9999</v>
      </c>
      <c r="H719" t="s">
        <v>818</v>
      </c>
      <c r="I719" t="s">
        <v>775</v>
      </c>
      <c r="J719" t="s">
        <v>776</v>
      </c>
      <c r="K719" t="s">
        <v>1379</v>
      </c>
    </row>
    <row r="720" spans="6:11">
      <c r="F720" t="s">
        <v>786</v>
      </c>
      <c r="G720">
        <v>9999</v>
      </c>
      <c r="H720" t="s">
        <v>818</v>
      </c>
      <c r="I720" t="s">
        <v>775</v>
      </c>
      <c r="J720" t="s">
        <v>776</v>
      </c>
      <c r="K720" t="s">
        <v>1380</v>
      </c>
    </row>
    <row r="721" spans="6:11">
      <c r="F721" t="s">
        <v>786</v>
      </c>
      <c r="G721">
        <v>9999</v>
      </c>
      <c r="H721" t="s">
        <v>818</v>
      </c>
      <c r="I721" t="s">
        <v>775</v>
      </c>
      <c r="J721" t="s">
        <v>776</v>
      </c>
      <c r="K721" t="s">
        <v>1381</v>
      </c>
    </row>
    <row r="722" spans="6:11">
      <c r="F722" t="s">
        <v>786</v>
      </c>
      <c r="G722">
        <v>9999</v>
      </c>
      <c r="H722" t="s">
        <v>818</v>
      </c>
      <c r="I722" t="s">
        <v>775</v>
      </c>
      <c r="J722" t="s">
        <v>776</v>
      </c>
      <c r="K722" t="s">
        <v>1382</v>
      </c>
    </row>
    <row r="723" spans="6:11">
      <c r="F723" t="s">
        <v>786</v>
      </c>
      <c r="G723">
        <v>9999</v>
      </c>
      <c r="H723" t="s">
        <v>818</v>
      </c>
      <c r="I723" t="s">
        <v>775</v>
      </c>
      <c r="J723" t="s">
        <v>776</v>
      </c>
      <c r="K723" t="s">
        <v>1383</v>
      </c>
    </row>
    <row r="724" spans="6:11">
      <c r="F724" t="s">
        <v>786</v>
      </c>
      <c r="G724">
        <v>9999</v>
      </c>
      <c r="H724" t="s">
        <v>818</v>
      </c>
      <c r="I724" t="s">
        <v>775</v>
      </c>
      <c r="J724" t="s">
        <v>776</v>
      </c>
      <c r="K724" t="s">
        <v>1384</v>
      </c>
    </row>
    <row r="725" spans="6:11">
      <c r="F725" t="s">
        <v>786</v>
      </c>
      <c r="G725">
        <v>9999</v>
      </c>
      <c r="H725" t="s">
        <v>818</v>
      </c>
      <c r="I725" t="s">
        <v>775</v>
      </c>
      <c r="J725" t="s">
        <v>776</v>
      </c>
      <c r="K725" t="s">
        <v>1385</v>
      </c>
    </row>
    <row r="726" spans="6:11">
      <c r="F726" t="s">
        <v>786</v>
      </c>
      <c r="G726">
        <v>9999</v>
      </c>
      <c r="H726" t="s">
        <v>974</v>
      </c>
      <c r="I726" t="s">
        <v>633</v>
      </c>
      <c r="J726" t="s">
        <v>634</v>
      </c>
      <c r="K726" t="s">
        <v>1386</v>
      </c>
    </row>
    <row r="727" spans="6:11">
      <c r="F727" t="s">
        <v>786</v>
      </c>
      <c r="G727">
        <v>9999</v>
      </c>
      <c r="H727" t="s">
        <v>957</v>
      </c>
      <c r="I727" t="s">
        <v>779</v>
      </c>
      <c r="J727" t="s">
        <v>958</v>
      </c>
      <c r="K727" t="s">
        <v>1387</v>
      </c>
    </row>
    <row r="728" spans="6:11">
      <c r="F728" t="s">
        <v>786</v>
      </c>
      <c r="G728">
        <v>9999</v>
      </c>
      <c r="H728" t="s">
        <v>792</v>
      </c>
      <c r="I728" t="s">
        <v>793</v>
      </c>
      <c r="J728" t="s">
        <v>794</v>
      </c>
      <c r="K728" t="s">
        <v>1388</v>
      </c>
    </row>
    <row r="729" spans="6:11">
      <c r="F729" t="s">
        <v>786</v>
      </c>
      <c r="G729">
        <v>9999</v>
      </c>
      <c r="H729" t="s">
        <v>792</v>
      </c>
      <c r="I729" t="s">
        <v>793</v>
      </c>
      <c r="J729" t="s">
        <v>794</v>
      </c>
      <c r="K729" t="s">
        <v>1389</v>
      </c>
    </row>
    <row r="730" spans="6:11">
      <c r="F730" t="s">
        <v>786</v>
      </c>
      <c r="G730">
        <v>9999</v>
      </c>
      <c r="H730" t="s">
        <v>792</v>
      </c>
      <c r="I730" t="s">
        <v>793</v>
      </c>
      <c r="J730" t="s">
        <v>794</v>
      </c>
      <c r="K730" t="s">
        <v>1390</v>
      </c>
    </row>
    <row r="731" spans="6:11">
      <c r="F731" t="s">
        <v>786</v>
      </c>
      <c r="G731">
        <v>9999</v>
      </c>
      <c r="H731" t="s">
        <v>792</v>
      </c>
      <c r="I731" t="s">
        <v>793</v>
      </c>
      <c r="J731" t="s">
        <v>794</v>
      </c>
      <c r="K731" t="s">
        <v>1391</v>
      </c>
    </row>
    <row r="732" spans="6:11">
      <c r="F732" t="s">
        <v>786</v>
      </c>
      <c r="G732">
        <v>9999</v>
      </c>
      <c r="H732" t="s">
        <v>792</v>
      </c>
      <c r="I732" t="s">
        <v>793</v>
      </c>
      <c r="J732" t="s">
        <v>794</v>
      </c>
      <c r="K732" t="s">
        <v>1392</v>
      </c>
    </row>
    <row r="733" spans="6:11">
      <c r="F733" t="s">
        <v>786</v>
      </c>
      <c r="G733">
        <v>9999</v>
      </c>
      <c r="H733" t="s">
        <v>792</v>
      </c>
      <c r="I733" t="s">
        <v>793</v>
      </c>
      <c r="J733" t="s">
        <v>794</v>
      </c>
      <c r="K733" t="s">
        <v>1393</v>
      </c>
    </row>
    <row r="734" spans="6:11">
      <c r="F734" t="s">
        <v>786</v>
      </c>
      <c r="G734">
        <v>9999</v>
      </c>
      <c r="H734" t="s">
        <v>792</v>
      </c>
      <c r="I734" t="s">
        <v>793</v>
      </c>
      <c r="J734" t="s">
        <v>794</v>
      </c>
      <c r="K734" t="s">
        <v>1394</v>
      </c>
    </row>
    <row r="735" spans="6:11">
      <c r="F735" t="s">
        <v>786</v>
      </c>
      <c r="G735">
        <v>9999</v>
      </c>
      <c r="H735" t="s">
        <v>792</v>
      </c>
      <c r="I735" t="s">
        <v>793</v>
      </c>
      <c r="J735" t="s">
        <v>794</v>
      </c>
      <c r="K735" t="s">
        <v>1395</v>
      </c>
    </row>
    <row r="736" spans="6:11">
      <c r="F736" t="s">
        <v>786</v>
      </c>
      <c r="G736">
        <v>9999</v>
      </c>
      <c r="H736" t="s">
        <v>792</v>
      </c>
      <c r="I736" t="s">
        <v>793</v>
      </c>
      <c r="J736" t="s">
        <v>794</v>
      </c>
      <c r="K736" t="s">
        <v>1396</v>
      </c>
    </row>
    <row r="737" spans="6:11">
      <c r="F737" t="s">
        <v>786</v>
      </c>
      <c r="G737">
        <v>9999</v>
      </c>
      <c r="H737" t="s">
        <v>792</v>
      </c>
      <c r="I737" t="s">
        <v>793</v>
      </c>
      <c r="J737" t="s">
        <v>794</v>
      </c>
      <c r="K737" t="s">
        <v>1397</v>
      </c>
    </row>
    <row r="738" spans="6:11">
      <c r="F738" t="s">
        <v>786</v>
      </c>
      <c r="G738">
        <v>9999</v>
      </c>
      <c r="H738" t="s">
        <v>792</v>
      </c>
      <c r="I738" t="s">
        <v>793</v>
      </c>
      <c r="J738" t="s">
        <v>794</v>
      </c>
      <c r="K738" t="s">
        <v>1398</v>
      </c>
    </row>
    <row r="739" spans="6:11">
      <c r="F739" t="s">
        <v>786</v>
      </c>
      <c r="G739">
        <v>9999</v>
      </c>
      <c r="H739" t="s">
        <v>820</v>
      </c>
      <c r="I739" t="s">
        <v>821</v>
      </c>
      <c r="J739" t="s">
        <v>650</v>
      </c>
      <c r="K739" t="s">
        <v>1399</v>
      </c>
    </row>
    <row r="740" spans="6:11">
      <c r="F740" t="s">
        <v>786</v>
      </c>
      <c r="G740">
        <v>9999</v>
      </c>
      <c r="H740" t="s">
        <v>839</v>
      </c>
      <c r="I740" t="s">
        <v>637</v>
      </c>
      <c r="J740" t="s">
        <v>638</v>
      </c>
      <c r="K740" t="s">
        <v>1400</v>
      </c>
    </row>
    <row r="741" spans="6:11">
      <c r="F741" t="s">
        <v>786</v>
      </c>
      <c r="G741">
        <v>9999</v>
      </c>
      <c r="H741" t="s">
        <v>977</v>
      </c>
      <c r="I741" t="s">
        <v>609</v>
      </c>
      <c r="J741" t="s">
        <v>610</v>
      </c>
      <c r="K741" t="s">
        <v>1401</v>
      </c>
    </row>
    <row r="742" spans="6:11">
      <c r="F742" t="s">
        <v>786</v>
      </c>
      <c r="G742">
        <v>9999</v>
      </c>
      <c r="H742" t="s">
        <v>988</v>
      </c>
      <c r="I742" t="s">
        <v>989</v>
      </c>
      <c r="J742" t="s">
        <v>990</v>
      </c>
      <c r="K742" t="s">
        <v>1402</v>
      </c>
    </row>
    <row r="743" spans="6:11">
      <c r="F743" t="s">
        <v>786</v>
      </c>
      <c r="H743" t="s">
        <v>858</v>
      </c>
      <c r="I743" t="s">
        <v>745</v>
      </c>
      <c r="J743" t="s">
        <v>746</v>
      </c>
      <c r="K743" t="s">
        <v>1403</v>
      </c>
    </row>
    <row r="744" spans="6:11">
      <c r="F744" t="s">
        <v>786</v>
      </c>
      <c r="G744">
        <v>9999</v>
      </c>
      <c r="H744" t="s">
        <v>843</v>
      </c>
      <c r="I744" t="s">
        <v>844</v>
      </c>
      <c r="J744" t="s">
        <v>598</v>
      </c>
      <c r="K744" t="s">
        <v>1404</v>
      </c>
    </row>
    <row r="745" spans="6:11">
      <c r="F745" t="s">
        <v>786</v>
      </c>
      <c r="G745">
        <v>9999</v>
      </c>
      <c r="H745" t="s">
        <v>1029</v>
      </c>
      <c r="I745" t="s">
        <v>621</v>
      </c>
      <c r="J745" t="s">
        <v>622</v>
      </c>
      <c r="K745" t="s">
        <v>1405</v>
      </c>
    </row>
    <row r="746" spans="6:11">
      <c r="F746" t="s">
        <v>786</v>
      </c>
      <c r="G746">
        <v>9999</v>
      </c>
      <c r="H746" t="s">
        <v>888</v>
      </c>
      <c r="I746" t="s">
        <v>741</v>
      </c>
      <c r="J746" t="s">
        <v>742</v>
      </c>
      <c r="K746" t="s">
        <v>1406</v>
      </c>
    </row>
    <row r="747" spans="6:11">
      <c r="F747" t="s">
        <v>786</v>
      </c>
      <c r="G747">
        <v>9999</v>
      </c>
      <c r="H747" t="s">
        <v>865</v>
      </c>
      <c r="I747" t="s">
        <v>866</v>
      </c>
      <c r="J747" t="s">
        <v>867</v>
      </c>
      <c r="K747" t="s">
        <v>1407</v>
      </c>
    </row>
    <row r="748" spans="6:11">
      <c r="F748" t="s">
        <v>786</v>
      </c>
      <c r="G748">
        <v>9999</v>
      </c>
      <c r="H748" t="s">
        <v>865</v>
      </c>
      <c r="I748" t="s">
        <v>866</v>
      </c>
      <c r="J748" t="s">
        <v>867</v>
      </c>
      <c r="K748" t="s">
        <v>1408</v>
      </c>
    </row>
    <row r="749" spans="6:11">
      <c r="F749" t="s">
        <v>786</v>
      </c>
      <c r="H749" t="s">
        <v>814</v>
      </c>
      <c r="I749" t="s">
        <v>815</v>
      </c>
      <c r="J749" t="s">
        <v>734</v>
      </c>
      <c r="K749" t="s">
        <v>1409</v>
      </c>
    </row>
    <row r="750" spans="6:11">
      <c r="F750" t="s">
        <v>786</v>
      </c>
      <c r="G750">
        <v>9999</v>
      </c>
      <c r="H750" t="s">
        <v>925</v>
      </c>
      <c r="I750" t="s">
        <v>926</v>
      </c>
      <c r="J750" t="s">
        <v>927</v>
      </c>
      <c r="K750" t="s">
        <v>1410</v>
      </c>
    </row>
    <row r="751" spans="6:11">
      <c r="F751" t="s">
        <v>786</v>
      </c>
      <c r="H751" t="s">
        <v>839</v>
      </c>
      <c r="I751" t="s">
        <v>637</v>
      </c>
      <c r="J751" t="s">
        <v>638</v>
      </c>
      <c r="K751" t="s">
        <v>1411</v>
      </c>
    </row>
    <row r="752" spans="6:11">
      <c r="F752" t="s">
        <v>786</v>
      </c>
      <c r="H752" t="s">
        <v>865</v>
      </c>
      <c r="I752" t="s">
        <v>866</v>
      </c>
      <c r="J752" t="s">
        <v>867</v>
      </c>
      <c r="K752" t="s">
        <v>1412</v>
      </c>
    </row>
    <row r="753" spans="6:11">
      <c r="F753" t="s">
        <v>786</v>
      </c>
      <c r="H753" t="s">
        <v>818</v>
      </c>
      <c r="I753" t="s">
        <v>775</v>
      </c>
      <c r="J753" t="s">
        <v>776</v>
      </c>
      <c r="K753" t="s">
        <v>1413</v>
      </c>
    </row>
    <row r="754" spans="6:11">
      <c r="F754" t="s">
        <v>786</v>
      </c>
      <c r="H754" t="s">
        <v>935</v>
      </c>
      <c r="I754" t="s">
        <v>936</v>
      </c>
      <c r="J754" t="s">
        <v>937</v>
      </c>
      <c r="K754" t="s">
        <v>1414</v>
      </c>
    </row>
    <row r="755" spans="6:11">
      <c r="F755" t="s">
        <v>786</v>
      </c>
      <c r="H755" t="s">
        <v>935</v>
      </c>
      <c r="I755" t="s">
        <v>936</v>
      </c>
      <c r="J755" t="s">
        <v>937</v>
      </c>
      <c r="K755" t="s">
        <v>1415</v>
      </c>
    </row>
    <row r="756" spans="6:11">
      <c r="F756" t="s">
        <v>786</v>
      </c>
      <c r="H756" t="s">
        <v>818</v>
      </c>
      <c r="I756" t="s">
        <v>775</v>
      </c>
      <c r="J756" t="s">
        <v>776</v>
      </c>
      <c r="K756" t="s">
        <v>1416</v>
      </c>
    </row>
    <row r="757" spans="6:11">
      <c r="F757" t="s">
        <v>786</v>
      </c>
      <c r="H757" t="s">
        <v>818</v>
      </c>
      <c r="I757" t="s">
        <v>775</v>
      </c>
      <c r="J757" t="s">
        <v>776</v>
      </c>
      <c r="K757" t="s">
        <v>1417</v>
      </c>
    </row>
    <row r="758" spans="6:11">
      <c r="F758" t="s">
        <v>786</v>
      </c>
      <c r="H758" t="s">
        <v>918</v>
      </c>
      <c r="I758" t="s">
        <v>783</v>
      </c>
      <c r="J758" t="s">
        <v>784</v>
      </c>
      <c r="K758" t="s">
        <v>1418</v>
      </c>
    </row>
    <row r="759" spans="6:11">
      <c r="F759" t="s">
        <v>786</v>
      </c>
      <c r="G759">
        <v>9999</v>
      </c>
      <c r="H759" t="s">
        <v>957</v>
      </c>
      <c r="I759" t="s">
        <v>779</v>
      </c>
      <c r="J759" t="s">
        <v>958</v>
      </c>
      <c r="K759" t="s">
        <v>1419</v>
      </c>
    </row>
    <row r="760" spans="6:11">
      <c r="F760" t="s">
        <v>786</v>
      </c>
      <c r="G760">
        <v>9999</v>
      </c>
      <c r="H760" t="s">
        <v>865</v>
      </c>
      <c r="I760" t="s">
        <v>866</v>
      </c>
      <c r="J760" t="s">
        <v>867</v>
      </c>
      <c r="K760" t="s">
        <v>1420</v>
      </c>
    </row>
    <row r="761" spans="6:11">
      <c r="F761" t="s">
        <v>786</v>
      </c>
      <c r="H761" t="s">
        <v>818</v>
      </c>
      <c r="I761" t="s">
        <v>775</v>
      </c>
      <c r="J761" t="s">
        <v>776</v>
      </c>
      <c r="K761" t="s">
        <v>1421</v>
      </c>
    </row>
    <row r="762" spans="6:11">
      <c r="F762" t="s">
        <v>786</v>
      </c>
      <c r="G762">
        <v>9999</v>
      </c>
      <c r="H762" t="s">
        <v>818</v>
      </c>
      <c r="I762" t="s">
        <v>775</v>
      </c>
      <c r="J762" t="s">
        <v>776</v>
      </c>
      <c r="K762" t="s">
        <v>1422</v>
      </c>
    </row>
    <row r="763" spans="6:11">
      <c r="F763" t="s">
        <v>786</v>
      </c>
      <c r="H763" t="s">
        <v>792</v>
      </c>
      <c r="I763" t="s">
        <v>793</v>
      </c>
      <c r="J763" t="s">
        <v>794</v>
      </c>
      <c r="K763" t="s">
        <v>1423</v>
      </c>
    </row>
    <row r="764" spans="6:11">
      <c r="F764" t="s">
        <v>786</v>
      </c>
      <c r="H764" t="s">
        <v>820</v>
      </c>
      <c r="I764" t="s">
        <v>821</v>
      </c>
      <c r="J764" t="s">
        <v>650</v>
      </c>
      <c r="K764" t="s">
        <v>1424</v>
      </c>
    </row>
    <row r="765" spans="6:11">
      <c r="F765" t="s">
        <v>786</v>
      </c>
      <c r="H765" t="s">
        <v>818</v>
      </c>
      <c r="I765" t="s">
        <v>775</v>
      </c>
      <c r="J765" t="s">
        <v>776</v>
      </c>
      <c r="K765" t="s">
        <v>1425</v>
      </c>
    </row>
    <row r="766" spans="6:11">
      <c r="F766" t="s">
        <v>786</v>
      </c>
      <c r="H766" t="s">
        <v>810</v>
      </c>
      <c r="I766" t="s">
        <v>749</v>
      </c>
      <c r="J766" t="s">
        <v>811</v>
      </c>
      <c r="K766" t="s">
        <v>1426</v>
      </c>
    </row>
    <row r="767" spans="6:11">
      <c r="F767" t="s">
        <v>786</v>
      </c>
      <c r="G767">
        <v>9999</v>
      </c>
      <c r="H767" t="s">
        <v>918</v>
      </c>
      <c r="I767" t="s">
        <v>783</v>
      </c>
      <c r="J767" t="s">
        <v>784</v>
      </c>
      <c r="K767" t="s">
        <v>1427</v>
      </c>
    </row>
    <row r="768" spans="6:11">
      <c r="F768" t="s">
        <v>786</v>
      </c>
      <c r="H768" t="s">
        <v>286</v>
      </c>
      <c r="I768" t="s">
        <v>860</v>
      </c>
      <c r="J768" t="s">
        <v>730</v>
      </c>
      <c r="K768" t="s">
        <v>1428</v>
      </c>
    </row>
    <row r="769" spans="6:11">
      <c r="F769" t="s">
        <v>786</v>
      </c>
      <c r="H769" t="s">
        <v>935</v>
      </c>
      <c r="I769" t="s">
        <v>936</v>
      </c>
      <c r="J769" t="s">
        <v>937</v>
      </c>
      <c r="K769" t="s">
        <v>1429</v>
      </c>
    </row>
    <row r="770" spans="6:11">
      <c r="F770" t="s">
        <v>786</v>
      </c>
      <c r="H770" t="s">
        <v>818</v>
      </c>
      <c r="I770" t="s">
        <v>775</v>
      </c>
      <c r="J770" t="s">
        <v>776</v>
      </c>
      <c r="K770" t="s">
        <v>1430</v>
      </c>
    </row>
    <row r="771" spans="6:11">
      <c r="F771" t="s">
        <v>786</v>
      </c>
      <c r="H771" t="s">
        <v>865</v>
      </c>
      <c r="I771" t="s">
        <v>866</v>
      </c>
      <c r="J771" t="s">
        <v>867</v>
      </c>
      <c r="K771" t="s">
        <v>1431</v>
      </c>
    </row>
    <row r="772" spans="6:11">
      <c r="F772" t="s">
        <v>786</v>
      </c>
      <c r="H772" t="s">
        <v>792</v>
      </c>
      <c r="I772" t="s">
        <v>793</v>
      </c>
      <c r="J772" t="s">
        <v>794</v>
      </c>
      <c r="K772" t="s">
        <v>1432</v>
      </c>
    </row>
    <row r="773" spans="6:11">
      <c r="F773" t="s">
        <v>786</v>
      </c>
      <c r="H773" t="s">
        <v>814</v>
      </c>
      <c r="I773" t="s">
        <v>815</v>
      </c>
      <c r="J773" t="s">
        <v>734</v>
      </c>
      <c r="K773" t="s">
        <v>1433</v>
      </c>
    </row>
    <row r="774" spans="6:11">
      <c r="F774" t="s">
        <v>786</v>
      </c>
      <c r="H774" t="s">
        <v>818</v>
      </c>
      <c r="I774" t="s">
        <v>775</v>
      </c>
      <c r="J774" t="s">
        <v>776</v>
      </c>
      <c r="K774" t="s">
        <v>1434</v>
      </c>
    </row>
    <row r="775" spans="6:11">
      <c r="F775" t="s">
        <v>786</v>
      </c>
      <c r="H775" t="s">
        <v>865</v>
      </c>
      <c r="I775" t="s">
        <v>866</v>
      </c>
      <c r="J775" t="s">
        <v>867</v>
      </c>
      <c r="K775" t="s">
        <v>1435</v>
      </c>
    </row>
    <row r="776" spans="6:11">
      <c r="F776" t="s">
        <v>786</v>
      </c>
      <c r="H776" t="s">
        <v>820</v>
      </c>
      <c r="I776" t="s">
        <v>821</v>
      </c>
      <c r="J776" t="s">
        <v>650</v>
      </c>
      <c r="K776" t="s">
        <v>1436</v>
      </c>
    </row>
    <row r="777" spans="6:11">
      <c r="F777" t="s">
        <v>786</v>
      </c>
      <c r="H777" t="s">
        <v>818</v>
      </c>
      <c r="I777" t="s">
        <v>775</v>
      </c>
      <c r="J777" t="s">
        <v>776</v>
      </c>
      <c r="K777" t="s">
        <v>1437</v>
      </c>
    </row>
    <row r="778" spans="6:11">
      <c r="F778" t="s">
        <v>786</v>
      </c>
      <c r="H778" t="s">
        <v>932</v>
      </c>
      <c r="I778" t="s">
        <v>753</v>
      </c>
      <c r="J778" t="s">
        <v>933</v>
      </c>
      <c r="K778" t="s">
        <v>1438</v>
      </c>
    </row>
    <row r="779" spans="6:11">
      <c r="F779" t="s">
        <v>786</v>
      </c>
      <c r="H779" t="s">
        <v>818</v>
      </c>
      <c r="I779" t="s">
        <v>775</v>
      </c>
      <c r="J779" t="s">
        <v>776</v>
      </c>
      <c r="K779" t="s">
        <v>1439</v>
      </c>
    </row>
    <row r="780" spans="6:11">
      <c r="F780" t="s">
        <v>786</v>
      </c>
      <c r="G780">
        <v>9999</v>
      </c>
      <c r="H780" t="s">
        <v>818</v>
      </c>
      <c r="I780" t="s">
        <v>775</v>
      </c>
      <c r="J780" t="s">
        <v>776</v>
      </c>
      <c r="K780" t="s">
        <v>1440</v>
      </c>
    </row>
    <row r="781" spans="6:11">
      <c r="F781" t="s">
        <v>786</v>
      </c>
      <c r="H781" t="s">
        <v>818</v>
      </c>
      <c r="I781" t="s">
        <v>775</v>
      </c>
      <c r="J781" t="s">
        <v>776</v>
      </c>
      <c r="K781" t="s">
        <v>1441</v>
      </c>
    </row>
    <row r="782" spans="6:11">
      <c r="F782" t="s">
        <v>786</v>
      </c>
      <c r="H782" t="s">
        <v>792</v>
      </c>
      <c r="I782" t="s">
        <v>793</v>
      </c>
      <c r="J782" t="s">
        <v>794</v>
      </c>
      <c r="K782" t="s">
        <v>1442</v>
      </c>
    </row>
    <row r="783" spans="6:11">
      <c r="F783" t="s">
        <v>786</v>
      </c>
      <c r="H783" t="s">
        <v>818</v>
      </c>
      <c r="I783" t="s">
        <v>775</v>
      </c>
      <c r="J783" t="s">
        <v>776</v>
      </c>
      <c r="K783" t="s">
        <v>1443</v>
      </c>
    </row>
    <row r="784" spans="6:11">
      <c r="F784" t="s">
        <v>786</v>
      </c>
      <c r="H784" t="s">
        <v>792</v>
      </c>
      <c r="I784" t="s">
        <v>793</v>
      </c>
      <c r="J784" t="s">
        <v>794</v>
      </c>
      <c r="K784" t="s">
        <v>1444</v>
      </c>
    </row>
    <row r="785" spans="6:11">
      <c r="F785" t="s">
        <v>786</v>
      </c>
      <c r="H785" t="s">
        <v>843</v>
      </c>
      <c r="I785" t="s">
        <v>844</v>
      </c>
      <c r="J785" t="s">
        <v>598</v>
      </c>
      <c r="K785" t="s">
        <v>1445</v>
      </c>
    </row>
    <row r="786" spans="6:11">
      <c r="F786" t="s">
        <v>786</v>
      </c>
      <c r="G786">
        <v>9999</v>
      </c>
      <c r="H786" t="s">
        <v>983</v>
      </c>
      <c r="I786" t="s">
        <v>665</v>
      </c>
      <c r="J786" t="s">
        <v>666</v>
      </c>
      <c r="K786" t="s">
        <v>1446</v>
      </c>
    </row>
    <row r="787" spans="6:11">
      <c r="F787" t="s">
        <v>786</v>
      </c>
      <c r="H787" t="s">
        <v>818</v>
      </c>
      <c r="I787" t="s">
        <v>775</v>
      </c>
      <c r="J787" t="s">
        <v>776</v>
      </c>
      <c r="K787" t="s">
        <v>1447</v>
      </c>
    </row>
    <row r="788" spans="6:11">
      <c r="F788" t="s">
        <v>786</v>
      </c>
      <c r="H788" t="s">
        <v>952</v>
      </c>
      <c r="I788" t="s">
        <v>697</v>
      </c>
      <c r="J788" t="s">
        <v>698</v>
      </c>
      <c r="K788" t="s">
        <v>1448</v>
      </c>
    </row>
    <row r="789" spans="6:11">
      <c r="F789" t="s">
        <v>786</v>
      </c>
      <c r="H789" t="s">
        <v>792</v>
      </c>
      <c r="I789" t="s">
        <v>793</v>
      </c>
      <c r="J789" t="s">
        <v>794</v>
      </c>
      <c r="K789" t="s">
        <v>1449</v>
      </c>
    </row>
    <row r="790" spans="6:11">
      <c r="F790" t="s">
        <v>786</v>
      </c>
      <c r="H790" t="s">
        <v>1160</v>
      </c>
      <c r="I790" t="s">
        <v>1161</v>
      </c>
      <c r="J790" t="s">
        <v>1162</v>
      </c>
      <c r="K790" t="s">
        <v>1450</v>
      </c>
    </row>
    <row r="791" spans="6:11">
      <c r="F791" t="s">
        <v>786</v>
      </c>
      <c r="G791">
        <v>9999</v>
      </c>
      <c r="H791" t="s">
        <v>1451</v>
      </c>
      <c r="I791" t="s">
        <v>1452</v>
      </c>
      <c r="J791" t="s">
        <v>1452</v>
      </c>
      <c r="K791" t="s">
        <v>1451</v>
      </c>
    </row>
  </sheetData>
  <autoFilter ref="F6:K6"/>
  <phoneticPr fontId="4" type="noConversion"/>
  <pageMargins left="0.7" right="0.7" top="0.75" bottom="0.75" header="0.3" footer="0.3"/>
  <customProperties>
    <customPr name="MatrixProperty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B2:M51"/>
  <sheetViews>
    <sheetView showGridLines="0" zoomScale="85" zoomScaleNormal="85" workbookViewId="0">
      <selection activeCell="C4" sqref="C4"/>
    </sheetView>
  </sheetViews>
  <sheetFormatPr defaultRowHeight="16.5"/>
  <cols>
    <col min="2" max="2" width="14.75" customWidth="1"/>
    <col min="3" max="3" width="41.25" customWidth="1"/>
    <col min="4" max="4" width="30.625" customWidth="1"/>
    <col min="5" max="5" width="12.375" customWidth="1"/>
    <col min="6" max="6" width="17.375" customWidth="1"/>
    <col min="8" max="8" width="10" customWidth="1"/>
    <col min="9" max="9" width="17.75" customWidth="1"/>
    <col min="13" max="13" width="18.625" customWidth="1"/>
  </cols>
  <sheetData>
    <row r="2" spans="2:13">
      <c r="B2" s="4" t="s">
        <v>2</v>
      </c>
      <c r="C2" s="4"/>
      <c r="D2" s="4"/>
    </row>
    <row r="3" spans="2:13">
      <c r="B3" s="2" t="s">
        <v>20</v>
      </c>
      <c r="C3" s="2" t="s">
        <v>1460</v>
      </c>
      <c r="D3" s="2" t="s">
        <v>25</v>
      </c>
    </row>
    <row r="4" spans="2:13">
      <c r="B4" s="2" t="s">
        <v>1</v>
      </c>
      <c r="C4" s="3">
        <v>201512</v>
      </c>
      <c r="D4" s="2" t="s">
        <v>26</v>
      </c>
    </row>
    <row r="5" spans="2:13">
      <c r="B5" s="2" t="s">
        <v>143</v>
      </c>
      <c r="C5" s="3"/>
      <c r="D5" s="2" t="s">
        <v>27</v>
      </c>
    </row>
    <row r="6" spans="2:13">
      <c r="B6" s="2" t="s">
        <v>144</v>
      </c>
      <c r="C6" s="3">
        <f>10^6</f>
        <v>1000000</v>
      </c>
      <c r="D6" s="2" t="s">
        <v>28</v>
      </c>
    </row>
    <row r="7" spans="2:13">
      <c r="B7" s="2" t="s">
        <v>3</v>
      </c>
      <c r="C7" s="5" t="s">
        <v>32</v>
      </c>
      <c r="D7" s="2" t="s">
        <v>29</v>
      </c>
    </row>
    <row r="8" spans="2:13">
      <c r="B8" s="2" t="s">
        <v>145</v>
      </c>
      <c r="C8" s="3" t="s">
        <v>31</v>
      </c>
      <c r="D8" s="2" t="s">
        <v>30</v>
      </c>
      <c r="L8" t="s">
        <v>114</v>
      </c>
    </row>
    <row r="9" spans="2:13">
      <c r="B9" s="2" t="s">
        <v>146</v>
      </c>
      <c r="C9" s="114" t="s">
        <v>1454</v>
      </c>
      <c r="D9" s="2" t="s">
        <v>24</v>
      </c>
      <c r="H9" s="123" t="s">
        <v>113</v>
      </c>
      <c r="I9" s="123"/>
      <c r="J9" s="123"/>
      <c r="K9" s="123"/>
      <c r="L9" s="121" t="s">
        <v>115</v>
      </c>
      <c r="M9" s="122"/>
    </row>
    <row r="10" spans="2:13">
      <c r="B10" s="7" t="s">
        <v>147</v>
      </c>
      <c r="C10" s="8" t="s">
        <v>58</v>
      </c>
      <c r="D10" s="7" t="s">
        <v>33</v>
      </c>
      <c r="H10" s="123" t="s">
        <v>116</v>
      </c>
      <c r="I10" s="123"/>
      <c r="J10" s="123"/>
      <c r="K10" s="123"/>
      <c r="L10" s="121" t="s">
        <v>117</v>
      </c>
      <c r="M10" s="122"/>
    </row>
    <row r="11" spans="2:13">
      <c r="B11" s="7" t="s">
        <v>159</v>
      </c>
      <c r="C11" s="8"/>
      <c r="D11" s="7"/>
      <c r="H11" s="123" t="s">
        <v>120</v>
      </c>
      <c r="I11" s="123"/>
      <c r="J11" s="123"/>
      <c r="K11" s="123"/>
      <c r="L11" s="121" t="s">
        <v>118</v>
      </c>
      <c r="M11" s="122"/>
    </row>
    <row r="12" spans="2:13">
      <c r="B12" s="2" t="s">
        <v>212</v>
      </c>
      <c r="C12" s="2" t="str">
        <f>N_PRODUCT1</f>
        <v>GJT</v>
      </c>
      <c r="D12" s="2" t="s">
        <v>214</v>
      </c>
      <c r="H12" s="123" t="s">
        <v>119</v>
      </c>
      <c r="I12" s="123"/>
      <c r="J12" s="123"/>
      <c r="K12" s="123"/>
      <c r="L12" s="121"/>
      <c r="M12" s="122"/>
    </row>
    <row r="13" spans="2:13">
      <c r="B13" s="2" t="s">
        <v>213</v>
      </c>
      <c r="C13" s="2" t="str">
        <f>N_PRODUCT2</f>
        <v>GNTCS</v>
      </c>
      <c r="D13" s="2" t="s">
        <v>215</v>
      </c>
      <c r="H13" s="123" t="s">
        <v>121</v>
      </c>
      <c r="I13" s="123"/>
      <c r="J13" s="123"/>
      <c r="K13" s="123"/>
      <c r="L13" s="121"/>
      <c r="M13" s="122"/>
    </row>
    <row r="14" spans="2:13">
      <c r="B14" s="111" t="s">
        <v>234</v>
      </c>
      <c r="C14" s="111" t="s">
        <v>235</v>
      </c>
      <c r="D14" s="111"/>
      <c r="H14" s="123" t="s">
        <v>122</v>
      </c>
      <c r="I14" s="123"/>
      <c r="J14" s="123"/>
      <c r="K14" s="123"/>
      <c r="L14" s="121" t="s">
        <v>123</v>
      </c>
      <c r="M14" s="122"/>
    </row>
    <row r="15" spans="2:13">
      <c r="B15" s="111" t="s">
        <v>236</v>
      </c>
      <c r="C15" s="111" t="s">
        <v>237</v>
      </c>
      <c r="D15" s="111"/>
    </row>
    <row r="17" spans="2:9">
      <c r="B17" t="s">
        <v>51</v>
      </c>
      <c r="H17" t="s">
        <v>217</v>
      </c>
    </row>
    <row r="18" spans="2:9">
      <c r="B18" s="10" t="s">
        <v>59</v>
      </c>
      <c r="C18" s="10" t="s">
        <v>60</v>
      </c>
      <c r="D18" s="10" t="s">
        <v>61</v>
      </c>
      <c r="H18" s="10" t="s">
        <v>59</v>
      </c>
      <c r="I18" s="10" t="s">
        <v>216</v>
      </c>
    </row>
    <row r="19" spans="2:9">
      <c r="B19" s="2" t="s">
        <v>12</v>
      </c>
      <c r="C19" s="2" t="s">
        <v>35</v>
      </c>
      <c r="D19" s="2" t="s">
        <v>35</v>
      </c>
      <c r="E19" s="33" t="s">
        <v>62</v>
      </c>
      <c r="H19" s="2" t="s">
        <v>195</v>
      </c>
      <c r="I19" s="2" t="s">
        <v>196</v>
      </c>
    </row>
    <row r="20" spans="2:9">
      <c r="B20" s="2" t="s">
        <v>23</v>
      </c>
      <c r="C20" s="2" t="s">
        <v>63</v>
      </c>
      <c r="D20" s="2" t="s">
        <v>83</v>
      </c>
      <c r="E20" s="33" t="s">
        <v>62</v>
      </c>
      <c r="H20" s="2" t="s">
        <v>197</v>
      </c>
      <c r="I20" s="2" t="s">
        <v>192</v>
      </c>
    </row>
    <row r="21" spans="2:9">
      <c r="B21" s="2" t="s">
        <v>14</v>
      </c>
      <c r="C21" s="2" t="s">
        <v>45</v>
      </c>
      <c r="D21" s="2" t="s">
        <v>36</v>
      </c>
      <c r="E21" s="33" t="s">
        <v>62</v>
      </c>
      <c r="H21" s="2" t="s">
        <v>198</v>
      </c>
      <c r="I21" s="2" t="s">
        <v>199</v>
      </c>
    </row>
    <row r="22" spans="2:9">
      <c r="B22" s="2" t="s">
        <v>16</v>
      </c>
      <c r="C22" s="2" t="s">
        <v>37</v>
      </c>
      <c r="D22" s="2" t="s">
        <v>37</v>
      </c>
      <c r="E22" s="33" t="s">
        <v>62</v>
      </c>
      <c r="H22" s="2" t="s">
        <v>9</v>
      </c>
      <c r="I22" s="2" t="s">
        <v>187</v>
      </c>
    </row>
    <row r="23" spans="2:9">
      <c r="B23" s="2" t="s">
        <v>15</v>
      </c>
      <c r="C23" s="2" t="s">
        <v>46</v>
      </c>
      <c r="D23" s="2" t="s">
        <v>38</v>
      </c>
      <c r="E23" s="33" t="s">
        <v>62</v>
      </c>
      <c r="H23" s="2" t="s">
        <v>95</v>
      </c>
      <c r="I23" s="2" t="s">
        <v>188</v>
      </c>
    </row>
    <row r="24" spans="2:9">
      <c r="B24" s="2" t="s">
        <v>6</v>
      </c>
      <c r="C24" s="2" t="s">
        <v>47</v>
      </c>
      <c r="D24" s="2" t="s">
        <v>39</v>
      </c>
      <c r="E24" s="33" t="s">
        <v>62</v>
      </c>
      <c r="H24" s="2" t="s">
        <v>200</v>
      </c>
      <c r="I24" s="2" t="s">
        <v>201</v>
      </c>
    </row>
    <row r="25" spans="2:9">
      <c r="B25" s="2" t="s">
        <v>7</v>
      </c>
      <c r="C25" s="2" t="s">
        <v>48</v>
      </c>
      <c r="D25" s="2" t="s">
        <v>40</v>
      </c>
      <c r="E25" s="33" t="s">
        <v>62</v>
      </c>
      <c r="H25" s="2" t="s">
        <v>11</v>
      </c>
      <c r="I25" s="2" t="s">
        <v>230</v>
      </c>
    </row>
    <row r="26" spans="2:9">
      <c r="B26" s="2" t="s">
        <v>8</v>
      </c>
      <c r="C26" s="2" t="s">
        <v>41</v>
      </c>
      <c r="D26" s="2" t="s">
        <v>41</v>
      </c>
      <c r="E26" s="33" t="s">
        <v>62</v>
      </c>
      <c r="H26" s="2" t="s">
        <v>218</v>
      </c>
      <c r="I26" s="2" t="s">
        <v>231</v>
      </c>
    </row>
    <row r="27" spans="2:9">
      <c r="B27" s="2" t="s">
        <v>19</v>
      </c>
      <c r="C27" s="2" t="s">
        <v>42</v>
      </c>
      <c r="D27" s="2" t="s">
        <v>42</v>
      </c>
      <c r="E27" s="33" t="s">
        <v>62</v>
      </c>
      <c r="H27" s="2" t="s">
        <v>94</v>
      </c>
      <c r="I27" s="2" t="s">
        <v>190</v>
      </c>
    </row>
    <row r="28" spans="2:9">
      <c r="B28" s="2" t="s">
        <v>17</v>
      </c>
      <c r="C28" s="2" t="s">
        <v>49</v>
      </c>
      <c r="D28" s="2" t="s">
        <v>43</v>
      </c>
      <c r="E28" s="33" t="s">
        <v>62</v>
      </c>
      <c r="H28" s="2" t="s">
        <v>18</v>
      </c>
      <c r="I28" s="2" t="s">
        <v>191</v>
      </c>
    </row>
    <row r="29" spans="2:9">
      <c r="B29" s="2" t="s">
        <v>10</v>
      </c>
      <c r="C29" s="2" t="s">
        <v>44</v>
      </c>
      <c r="D29" s="2" t="s">
        <v>44</v>
      </c>
      <c r="E29" s="33" t="s">
        <v>62</v>
      </c>
      <c r="H29" s="2" t="s">
        <v>82</v>
      </c>
      <c r="I29" s="2" t="s">
        <v>193</v>
      </c>
    </row>
    <row r="30" spans="2:9">
      <c r="B30" s="34" t="s">
        <v>64</v>
      </c>
      <c r="C30" s="34" t="s">
        <v>65</v>
      </c>
      <c r="D30" s="34" t="s">
        <v>66</v>
      </c>
      <c r="E30" s="33" t="s">
        <v>67</v>
      </c>
      <c r="H30" s="2" t="s">
        <v>202</v>
      </c>
      <c r="I30" s="2" t="s">
        <v>194</v>
      </c>
    </row>
    <row r="31" spans="2:9">
      <c r="B31" s="34" t="s">
        <v>68</v>
      </c>
      <c r="C31" s="34" t="s">
        <v>69</v>
      </c>
      <c r="D31" s="34" t="s">
        <v>70</v>
      </c>
      <c r="E31" s="33" t="s">
        <v>67</v>
      </c>
      <c r="H31" s="2" t="s">
        <v>203</v>
      </c>
      <c r="I31" s="2" t="s">
        <v>189</v>
      </c>
    </row>
    <row r="32" spans="2:9">
      <c r="B32" s="34" t="s">
        <v>71</v>
      </c>
      <c r="C32" s="34" t="s">
        <v>72</v>
      </c>
      <c r="D32" s="34" t="s">
        <v>73</v>
      </c>
      <c r="E32" s="33" t="s">
        <v>67</v>
      </c>
      <c r="H32" s="2" t="s">
        <v>204</v>
      </c>
      <c r="I32" s="2" t="s">
        <v>205</v>
      </c>
    </row>
    <row r="33" spans="2:5">
      <c r="B33" s="34" t="s">
        <v>74</v>
      </c>
      <c r="C33" s="34" t="s">
        <v>75</v>
      </c>
      <c r="D33" s="34" t="s">
        <v>75</v>
      </c>
      <c r="E33" s="33" t="s">
        <v>67</v>
      </c>
    </row>
    <row r="34" spans="2:5">
      <c r="B34" s="34" t="s">
        <v>76</v>
      </c>
      <c r="C34" s="34" t="s">
        <v>77</v>
      </c>
      <c r="D34" s="34" t="s">
        <v>77</v>
      </c>
      <c r="E34" s="33" t="s">
        <v>67</v>
      </c>
    </row>
    <row r="35" spans="2:5">
      <c r="B35" s="34" t="s">
        <v>78</v>
      </c>
      <c r="C35" s="34" t="s">
        <v>79</v>
      </c>
      <c r="D35" s="34" t="s">
        <v>79</v>
      </c>
      <c r="E35" s="33" t="s">
        <v>67</v>
      </c>
    </row>
    <row r="36" spans="2:5">
      <c r="B36" s="34" t="s">
        <v>80</v>
      </c>
      <c r="C36" s="34" t="s">
        <v>81</v>
      </c>
      <c r="D36" s="34" t="s">
        <v>81</v>
      </c>
      <c r="E36" s="33" t="s">
        <v>67</v>
      </c>
    </row>
    <row r="39" spans="2:5" hidden="1"/>
    <row r="40" spans="2:5" hidden="1"/>
    <row r="41" spans="2:5" hidden="1"/>
    <row r="42" spans="2:5" hidden="1"/>
    <row r="43" spans="2:5" hidden="1"/>
    <row r="44" spans="2:5" hidden="1"/>
    <row r="45" spans="2:5" hidden="1"/>
    <row r="46" spans="2:5" hidden="1"/>
    <row r="49" spans="2:6">
      <c r="B49" t="s">
        <v>158</v>
      </c>
    </row>
    <row r="50" spans="2:6">
      <c r="B50" s="70" t="s">
        <v>149</v>
      </c>
      <c r="C50" s="70" t="s">
        <v>150</v>
      </c>
      <c r="D50" s="70" t="s">
        <v>151</v>
      </c>
      <c r="E50" s="70" t="s">
        <v>152</v>
      </c>
      <c r="F50" s="70" t="s">
        <v>153</v>
      </c>
    </row>
    <row r="51" spans="2:6">
      <c r="B51" s="71" t="s">
        <v>154</v>
      </c>
      <c r="C51" s="71" t="s">
        <v>155</v>
      </c>
      <c r="D51" s="71" t="s">
        <v>156</v>
      </c>
      <c r="E51" s="71" t="s">
        <v>154</v>
      </c>
      <c r="F51" s="71" t="s">
        <v>157</v>
      </c>
    </row>
  </sheetData>
  <mergeCells count="12">
    <mergeCell ref="L14:M14"/>
    <mergeCell ref="H9:K9"/>
    <mergeCell ref="H10:K10"/>
    <mergeCell ref="H11:K11"/>
    <mergeCell ref="H12:K12"/>
    <mergeCell ref="H13:K13"/>
    <mergeCell ref="H14:K14"/>
    <mergeCell ref="L9:M9"/>
    <mergeCell ref="L10:M10"/>
    <mergeCell ref="L11:M11"/>
    <mergeCell ref="L12:M12"/>
    <mergeCell ref="L13:M13"/>
  </mergeCells>
  <phoneticPr fontId="4" type="noConversion"/>
  <pageMargins left="0.7" right="0.7" top="0.75" bottom="0.75" header="0.3" footer="0.3"/>
  <pageSetup paperSize="9" orientation="portrait" r:id="rId1"/>
  <customProperties>
    <customPr name="Key" r:id="rId2"/>
  </customProperties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"/>
  <dimension ref="A1:E36"/>
  <sheetViews>
    <sheetView showGridLines="0" workbookViewId="0">
      <selection activeCell="A5" sqref="A5"/>
    </sheetView>
  </sheetViews>
  <sheetFormatPr defaultRowHeight="16.5"/>
  <cols>
    <col min="1" max="1" width="9.875" customWidth="1"/>
    <col min="2" max="2" width="23.625" customWidth="1"/>
    <col min="3" max="3" width="11.25" customWidth="1"/>
    <col min="4" max="4" width="76.75" customWidth="1"/>
  </cols>
  <sheetData>
    <row r="1" spans="1:5">
      <c r="A1" s="44" t="s">
        <v>84</v>
      </c>
      <c r="B1" s="124" t="s">
        <v>124</v>
      </c>
      <c r="C1" s="125"/>
      <c r="D1" s="125"/>
      <c r="E1" s="126"/>
    </row>
    <row r="2" spans="1:5" ht="17.25" thickBot="1">
      <c r="A2" s="45" t="s">
        <v>85</v>
      </c>
      <c r="B2" s="127" t="s">
        <v>91</v>
      </c>
      <c r="C2" s="128"/>
      <c r="D2" s="128"/>
      <c r="E2" s="129"/>
    </row>
    <row r="3" spans="1:5">
      <c r="A3" s="41" t="s">
        <v>86</v>
      </c>
      <c r="B3" s="42" t="s">
        <v>90</v>
      </c>
      <c r="C3" s="42" t="s">
        <v>87</v>
      </c>
      <c r="D3" s="42" t="s">
        <v>88</v>
      </c>
      <c r="E3" s="43" t="s">
        <v>89</v>
      </c>
    </row>
    <row r="4" spans="1:5">
      <c r="A4" s="37">
        <v>1</v>
      </c>
      <c r="B4" s="35"/>
      <c r="C4" s="46"/>
      <c r="D4" s="35"/>
      <c r="E4" s="38"/>
    </row>
    <row r="5" spans="1:5">
      <c r="A5" s="37">
        <v>2</v>
      </c>
      <c r="B5" s="35"/>
      <c r="C5" s="47"/>
      <c r="D5" s="35"/>
      <c r="E5" s="38"/>
    </row>
    <row r="6" spans="1:5">
      <c r="A6" s="37">
        <v>3</v>
      </c>
      <c r="B6" s="35"/>
      <c r="C6" s="47"/>
      <c r="D6" s="35"/>
      <c r="E6" s="38"/>
    </row>
    <row r="7" spans="1:5">
      <c r="A7" s="37">
        <v>4</v>
      </c>
      <c r="B7" s="35"/>
      <c r="C7" s="47"/>
      <c r="D7" s="35"/>
      <c r="E7" s="38"/>
    </row>
    <row r="8" spans="1:5">
      <c r="A8" s="37">
        <v>5</v>
      </c>
      <c r="B8" s="35"/>
      <c r="C8" s="47"/>
      <c r="D8" s="35"/>
      <c r="E8" s="38"/>
    </row>
    <row r="9" spans="1:5">
      <c r="A9" s="37">
        <v>6</v>
      </c>
      <c r="B9" s="35"/>
      <c r="C9" s="47"/>
      <c r="D9" s="35"/>
      <c r="E9" s="38"/>
    </row>
    <row r="10" spans="1:5">
      <c r="A10" s="37">
        <v>7</v>
      </c>
      <c r="B10" s="35"/>
      <c r="C10" s="47"/>
      <c r="D10" s="35"/>
      <c r="E10" s="38"/>
    </row>
    <row r="11" spans="1:5">
      <c r="A11" s="37">
        <v>8</v>
      </c>
      <c r="B11" s="35"/>
      <c r="C11" s="47"/>
      <c r="D11" s="35"/>
      <c r="E11" s="38"/>
    </row>
    <row r="12" spans="1:5">
      <c r="A12" s="37">
        <v>9</v>
      </c>
      <c r="B12" s="35"/>
      <c r="C12" s="47"/>
      <c r="D12" s="35"/>
      <c r="E12" s="38"/>
    </row>
    <row r="13" spans="1:5">
      <c r="A13" s="37">
        <v>10</v>
      </c>
      <c r="B13" s="35"/>
      <c r="C13" s="47"/>
      <c r="D13" s="35"/>
      <c r="E13" s="38"/>
    </row>
    <row r="14" spans="1:5">
      <c r="A14" s="37">
        <v>11</v>
      </c>
      <c r="B14" s="35"/>
      <c r="C14" s="47"/>
      <c r="D14" s="35"/>
      <c r="E14" s="38"/>
    </row>
    <row r="15" spans="1:5">
      <c r="A15" s="37">
        <v>12</v>
      </c>
      <c r="B15" s="35"/>
      <c r="C15" s="47"/>
      <c r="D15" s="35"/>
      <c r="E15" s="38"/>
    </row>
    <row r="16" spans="1:5">
      <c r="A16" s="37">
        <v>13</v>
      </c>
      <c r="B16" s="35"/>
      <c r="C16" s="47"/>
      <c r="D16" s="35"/>
      <c r="E16" s="38"/>
    </row>
    <row r="17" spans="1:5">
      <c r="A17" s="37">
        <v>14</v>
      </c>
      <c r="B17" s="35"/>
      <c r="C17" s="47"/>
      <c r="D17" s="35"/>
      <c r="E17" s="38"/>
    </row>
    <row r="18" spans="1:5">
      <c r="A18" s="37">
        <v>15</v>
      </c>
      <c r="B18" s="35"/>
      <c r="C18" s="47"/>
      <c r="D18" s="35"/>
      <c r="E18" s="38"/>
    </row>
    <row r="19" spans="1:5">
      <c r="A19" s="37">
        <v>16</v>
      </c>
      <c r="B19" s="35"/>
      <c r="C19" s="47"/>
      <c r="D19" s="35"/>
      <c r="E19" s="38"/>
    </row>
    <row r="20" spans="1:5">
      <c r="A20" s="37">
        <v>17</v>
      </c>
      <c r="B20" s="35"/>
      <c r="C20" s="47"/>
      <c r="D20" s="35"/>
      <c r="E20" s="38"/>
    </row>
    <row r="21" spans="1:5">
      <c r="A21" s="37">
        <v>18</v>
      </c>
      <c r="B21" s="35"/>
      <c r="C21" s="47"/>
      <c r="D21" s="35"/>
      <c r="E21" s="38"/>
    </row>
    <row r="22" spans="1:5">
      <c r="A22" s="37">
        <v>19</v>
      </c>
      <c r="B22" s="35"/>
      <c r="C22" s="47"/>
      <c r="D22" s="35"/>
      <c r="E22" s="38"/>
    </row>
    <row r="23" spans="1:5">
      <c r="A23" s="37">
        <v>20</v>
      </c>
      <c r="B23" s="35"/>
      <c r="C23" s="47"/>
      <c r="D23" s="35"/>
      <c r="E23" s="38"/>
    </row>
    <row r="24" spans="1:5">
      <c r="A24" s="37">
        <v>21</v>
      </c>
      <c r="B24" s="35"/>
      <c r="C24" s="47"/>
      <c r="D24" s="35"/>
      <c r="E24" s="38"/>
    </row>
    <row r="25" spans="1:5">
      <c r="A25" s="37">
        <v>22</v>
      </c>
      <c r="B25" s="35"/>
      <c r="C25" s="47"/>
      <c r="D25" s="35"/>
      <c r="E25" s="38"/>
    </row>
    <row r="26" spans="1:5">
      <c r="A26" s="37">
        <v>23</v>
      </c>
      <c r="B26" s="35"/>
      <c r="C26" s="47"/>
      <c r="D26" s="35"/>
      <c r="E26" s="38"/>
    </row>
    <row r="27" spans="1:5">
      <c r="A27" s="37">
        <v>24</v>
      </c>
      <c r="B27" s="35"/>
      <c r="C27" s="47"/>
      <c r="D27" s="35"/>
      <c r="E27" s="38"/>
    </row>
    <row r="28" spans="1:5">
      <c r="A28" s="37">
        <v>25</v>
      </c>
      <c r="B28" s="35"/>
      <c r="C28" s="47"/>
      <c r="D28" s="35"/>
      <c r="E28" s="38"/>
    </row>
    <row r="29" spans="1:5">
      <c r="A29" s="37">
        <v>26</v>
      </c>
      <c r="B29" s="35"/>
      <c r="C29" s="47"/>
      <c r="D29" s="35"/>
      <c r="E29" s="38"/>
    </row>
    <row r="30" spans="1:5">
      <c r="A30" s="37">
        <v>27</v>
      </c>
      <c r="B30" s="35"/>
      <c r="C30" s="47"/>
      <c r="D30" s="35"/>
      <c r="E30" s="38"/>
    </row>
    <row r="31" spans="1:5">
      <c r="A31" s="37">
        <v>28</v>
      </c>
      <c r="B31" s="35"/>
      <c r="C31" s="47"/>
      <c r="D31" s="35"/>
      <c r="E31" s="38"/>
    </row>
    <row r="32" spans="1:5">
      <c r="A32" s="37">
        <v>29</v>
      </c>
      <c r="B32" s="35"/>
      <c r="C32" s="47"/>
      <c r="D32" s="35"/>
      <c r="E32" s="38"/>
    </row>
    <row r="33" spans="1:5">
      <c r="A33" s="37">
        <v>30</v>
      </c>
      <c r="B33" s="35"/>
      <c r="C33" s="47"/>
      <c r="D33" s="35"/>
      <c r="E33" s="38"/>
    </row>
    <row r="34" spans="1:5">
      <c r="A34" s="37">
        <v>31</v>
      </c>
      <c r="B34" s="35"/>
      <c r="C34" s="47"/>
      <c r="D34" s="35"/>
      <c r="E34" s="38"/>
    </row>
    <row r="35" spans="1:5">
      <c r="A35" s="37">
        <v>32</v>
      </c>
      <c r="B35" s="35"/>
      <c r="C35" s="47"/>
      <c r="D35" s="35"/>
      <c r="E35" s="38"/>
    </row>
    <row r="36" spans="1:5" ht="17.25" thickBot="1">
      <c r="A36" s="36">
        <v>33</v>
      </c>
      <c r="B36" s="39"/>
      <c r="C36" s="48"/>
      <c r="D36" s="39"/>
      <c r="E36" s="40"/>
    </row>
  </sheetData>
  <mergeCells count="2">
    <mergeCell ref="B1:E1"/>
    <mergeCell ref="B2:E2"/>
  </mergeCells>
  <phoneticPr fontId="4" type="noConversion"/>
  <pageMargins left="0.7" right="0.7" top="0.75" bottom="0.75" header="0.3" footer="0.3"/>
  <pageSetup paperSize="9" orientation="portrait" horizontalDpi="300" verticalDpi="300" r:id="rId1"/>
  <customProperties>
    <customPr name="Key" r:id="rId2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17</vt:i4>
      </vt:variant>
    </vt:vector>
  </HeadingPairs>
  <TitlesOfParts>
    <vt:vector size="27" baseType="lpstr">
      <vt:lpstr>MAIN</vt:lpstr>
      <vt:lpstr>MAIN_EN</vt:lpstr>
      <vt:lpstr>MAIN_DATA</vt:lpstr>
      <vt:lpstr>CALC_DATA</vt:lpstr>
      <vt:lpstr>DB_LIST1</vt:lpstr>
      <vt:lpstr>DB_LIST2</vt:lpstr>
      <vt:lpstr>DB_PROD</vt:lpstr>
      <vt:lpstr>DB_NM</vt:lpstr>
      <vt:lpstr>PARAM</vt:lpstr>
      <vt:lpstr>CSR처리내역</vt:lpstr>
      <vt:lpstr>_RefreshSheets_</vt:lpstr>
      <vt:lpstr>PARAM!ESS_POINTER</vt:lpstr>
      <vt:lpstr>MAPPING_DIVISION</vt:lpstr>
      <vt:lpstr>N_B2BB2C</vt:lpstr>
      <vt:lpstr>N_CURRENCY</vt:lpstr>
      <vt:lpstr>N_DIVDT</vt:lpstr>
      <vt:lpstr>N_LANGUAGE</vt:lpstr>
      <vt:lpstr>N_MAF_URL</vt:lpstr>
      <vt:lpstr>N_MAIN_EN_SHEET</vt:lpstr>
      <vt:lpstr>N_MAIN_KO_SHEET</vt:lpstr>
      <vt:lpstr>N_PRODUCT1</vt:lpstr>
      <vt:lpstr>N_PRODUCT2</vt:lpstr>
      <vt:lpstr>N_SUBSIDIARY</vt:lpstr>
      <vt:lpstr>N_UNIT</vt:lpstr>
      <vt:lpstr>N_YYYYMM</vt:lpstr>
      <vt:lpstr>MAIN_EN!PPT_Range</vt:lpstr>
      <vt:lpstr>PPT_Range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yw0399</dc:creator>
  <cp:lastModifiedBy>kkh01</cp:lastModifiedBy>
  <dcterms:created xsi:type="dcterms:W3CDTF">2015-12-07T02:33:20Z</dcterms:created>
  <dcterms:modified xsi:type="dcterms:W3CDTF">2016-02-15T06:10:48Z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Key">
    <vt:lpwstr>WB15BE0AE707C540DBA71B5DAFF1F6C08D</vt:lpwstr>
  </property>
  <property fmtid="{D5CDD505-2E9C-101B-9397-08002B2CF9AE}" pid="4" name="MatrixBookPropertyCount">
    <vt:i4>1</vt:i4>
  </property>
  <property fmtid="{D5CDD505-2E9C-101B-9397-08002B2CF9AE}" pid="5" name="MatrixBookProperty1">
    <vt:lpwstr>IdN4rMo66OERt9idH3PXhk0+QjG2wVRMVWJ1eke/0wxkrS9tTjNkN7Gk70Wph/Hyjv7sSAON+wX6+ehvgBS/S3ABX/tSPGXDzjRtCEGmeCAxs37aOjb8VNBlPXyS6oAfrdMiDKLiqv2X8k+44Ak1+7Otd/Ml+0A/xumQoCpApJRr+2lpsMfPswEV9gEwY7jPJUrn5op83Z0Z5zz5tHrP/Q==</vt:lpwstr>
  </property>
</Properties>
</file>
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ustomProperty7.bin" ContentType="application/vnd.openxmlformats-officedocument.spreadsheetml.customProperty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Tables/pivotTable1.xml" ContentType="application/vnd.openxmlformats-officedocument.spreadsheetml.pivotTable+xml"/>
  <Override PartName="/xl/customProperty5.bin" ContentType="application/vnd.openxmlformats-officedocument.spreadsheetml.customProperty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ustomProperty6.bin" ContentType="application/vnd.openxmlformats-officedocument.spreadsheetml.customProperty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7020" yWindow="-60" windowWidth="20595" windowHeight="11655" activeTab="2"/>
  </bookViews>
  <sheets>
    <sheet name="MAIN" sheetId="30" r:id="rId1"/>
    <sheet name="MAIN_EN" sheetId="29" r:id="rId2"/>
    <sheet name="MAIN_DATA" sheetId="12" r:id="rId3"/>
    <sheet name="CALC_DATA" sheetId="8" r:id="rId4"/>
    <sheet name="DB_LIST" sheetId="31" r:id="rId5"/>
    <sheet name="DB_DATA" sheetId="32" r:id="rId6"/>
    <sheet name="Inv_DIO" sheetId="24" r:id="rId7"/>
    <sheet name="PARAM" sheetId="3" r:id="rId8"/>
    <sheet name="CSR처리내역" sheetId="9" r:id="rId9"/>
    <sheet name="MAIN1" sheetId="26" r:id="rId10"/>
    <sheet name="CALC_INV" sheetId="28" r:id="rId11"/>
    <sheet name="DB_DATA_LIST" sheetId="20" r:id="rId12"/>
    <sheet name="DB_DATA1" sheetId="21" r:id="rId13"/>
  </sheets>
  <functionGroups/>
  <externalReferences>
    <externalReference r:id="rId14"/>
    <externalReference r:id="rId15"/>
  </externalReferences>
  <definedNames>
    <definedName name="_BASEPOINT_" localSheetId="5" hidden="1">DB_DATA!$C$2</definedName>
    <definedName name="_BASEPOINT_" localSheetId="11" hidden="1">DB_DATA_LIST!$F$6</definedName>
    <definedName name="_BASEPOINT_" localSheetId="12" hidden="1">DB_DATA1!$C$2</definedName>
    <definedName name="_BASEPOINT_" localSheetId="4" hidden="1">DB_LIST!$F$6</definedName>
    <definedName name="_xlnm._FilterDatabase" localSheetId="11" hidden="1">DB_DATA_LIST!$F$6:$N$6</definedName>
    <definedName name="_xlnm._FilterDatabase" localSheetId="4" hidden="1">DB_LIST!$F$6:$K$6</definedName>
    <definedName name="_Order1" hidden="1">255</definedName>
    <definedName name="_Order2" hidden="1">255</definedName>
    <definedName name="_RefreshSheets_">PARAM!$C$3</definedName>
    <definedName name="_Regression_Int" hidden="1">1</definedName>
    <definedName name="company_요약" localSheetId="10" hidden="1">{"'0808_월별 (2)'!$A$2:$T$28"}</definedName>
    <definedName name="company_요약" hidden="1">{"'0808_월별 (2)'!$A$2:$T$28"}</definedName>
    <definedName name="ESS_INV_DIO_RANGE">Inv_DIO!$C$3:$R$159</definedName>
    <definedName name="ESS_POINTER" localSheetId="7">PARAM!$B$52</definedName>
    <definedName name="EssAliasTable" localSheetId="6">"Default"</definedName>
    <definedName name="EssfHasNonUnique" localSheetId="6">FALSE</definedName>
    <definedName name="EssLatest" localSheetId="6">"M00"</definedName>
    <definedName name="EssOptions" localSheetId="6">"A2100000000111000000101100020_01001000"</definedName>
    <definedName name="EssSamplingValue" localSheetId="6">100</definedName>
    <definedName name="HTML_CodePage" hidden="1">949</definedName>
    <definedName name="HTML_Control" localSheetId="10" hidden="1">{"'0808_월별 (2)'!$A$2:$T$28"}</definedName>
    <definedName name="HTML_Control" hidden="1">{"'0808_월별 (2)'!$A$2:$T$28"}</definedName>
    <definedName name="HTML_Description" hidden="1">""</definedName>
    <definedName name="HTML_Email" hidden="1">"white74@lge.com"</definedName>
    <definedName name="HTML_Header" hidden="1">""</definedName>
    <definedName name="HTML_LastUpdate" hidden="1">"00-09-01"</definedName>
    <definedName name="HTML_LineAfter" hidden="1">FALSE</definedName>
    <definedName name="HTML_LineBefore" hidden="1">FALSE</definedName>
    <definedName name="HTML_Name" hidden="1">"박성관"</definedName>
    <definedName name="HTML_OBDlg2" hidden="1">TRUE</definedName>
    <definedName name="HTML_OBDlg4" hidden="1">TRUE</definedName>
    <definedName name="HTML_OS" hidden="1">0</definedName>
    <definedName name="HTML_PathFile" hidden="1">"D:\환율\2001년 사업계획 환율.htm"</definedName>
    <definedName name="HTML_Title" hidden="1">"환율지침(2001년 사업계획)"</definedName>
    <definedName name="MAPPING_DIVISION">PARAM!$B$21:$D$38</definedName>
    <definedName name="N_B2BB2C">PARAM!$C$11</definedName>
    <definedName name="N_CURRENCY">PARAM!$C$8</definedName>
    <definedName name="N_DIVDT">PARAM!$C$5</definedName>
    <definedName name="N_ESS_OPTION" localSheetId="7">PARAM!$C$12</definedName>
    <definedName name="N_ID">PARAM!$C$13</definedName>
    <definedName name="N_LANGUAGE">PARAM!$C$10</definedName>
    <definedName name="N_MAF_URL">PARAM!$C$7</definedName>
    <definedName name="N_MAIN_EN_SHEET">PARAM!$C$16</definedName>
    <definedName name="N_MAIN_KO_SHEET">PARAM!$C$15</definedName>
    <definedName name="N_PRODUCT1">PARAM!$C$17</definedName>
    <definedName name="N_PW">PARAM!$C$14</definedName>
    <definedName name="N_SUBSIDIARY">PARAM!$C$9</definedName>
    <definedName name="N_UNIT">PARAM!$C$6</definedName>
    <definedName name="N_YYYYMM">PARAM!$C$4</definedName>
    <definedName name="rngDay" localSheetId="9">MAIN1!$AA$1</definedName>
    <definedName name="rngDay">MAIN!$Z$1</definedName>
  </definedNames>
  <calcPr calcId="125725" calcOnSave="0"/>
  <pivotCaches>
    <pivotCache cacheId="88" r:id="rId16"/>
    <pivotCache cacheId="89" r:id="rId17"/>
  </pivotCaches>
</workbook>
</file>

<file path=xl/calcChain.xml><?xml version="1.0" encoding="utf-8"?>
<calcChain xmlns="http://schemas.openxmlformats.org/spreadsheetml/2006/main">
  <c r="AD29" i="12"/>
  <c r="Z29"/>
  <c r="V29"/>
  <c r="R29"/>
  <c r="N29"/>
  <c r="AD28"/>
  <c r="AC28"/>
  <c r="AC29" s="1"/>
  <c r="AB28"/>
  <c r="AB29" s="1"/>
  <c r="AA28"/>
  <c r="AA29" s="1"/>
  <c r="Z28"/>
  <c r="Y28"/>
  <c r="Y29" s="1"/>
  <c r="X28"/>
  <c r="X29" s="1"/>
  <c r="W28"/>
  <c r="W29" s="1"/>
  <c r="V28"/>
  <c r="U28"/>
  <c r="U29" s="1"/>
  <c r="T28"/>
  <c r="T29" s="1"/>
  <c r="S28"/>
  <c r="S29" s="1"/>
  <c r="R28"/>
  <c r="Q28"/>
  <c r="Q29" s="1"/>
  <c r="P28"/>
  <c r="P29" s="1"/>
  <c r="O28"/>
  <c r="O29" s="1"/>
  <c r="N28"/>
  <c r="M28"/>
  <c r="M29" s="1"/>
  <c r="L28"/>
  <c r="L29" s="1"/>
  <c r="K29"/>
  <c r="K28"/>
  <c r="AD8"/>
  <c r="AD24"/>
  <c r="AD23" s="1"/>
  <c r="AC24"/>
  <c r="AB24"/>
  <c r="AA24"/>
  <c r="Z24"/>
  <c r="Z23" s="1"/>
  <c r="Y24"/>
  <c r="X24"/>
  <c r="W24"/>
  <c r="V24"/>
  <c r="V23" s="1"/>
  <c r="U24"/>
  <c r="T24"/>
  <c r="S24"/>
  <c r="R24"/>
  <c r="R23" s="1"/>
  <c r="Q24"/>
  <c r="P24"/>
  <c r="O24"/>
  <c r="N24"/>
  <c r="N23" s="1"/>
  <c r="M24"/>
  <c r="L24"/>
  <c r="AC23"/>
  <c r="AB23"/>
  <c r="AA23"/>
  <c r="Y23"/>
  <c r="X23"/>
  <c r="W23"/>
  <c r="U23"/>
  <c r="T23"/>
  <c r="S23"/>
  <c r="Q23"/>
  <c r="P23"/>
  <c r="O23"/>
  <c r="M23"/>
  <c r="L23"/>
  <c r="AD22"/>
  <c r="AC22"/>
  <c r="AB22"/>
  <c r="AB21" s="1"/>
  <c r="AA22"/>
  <c r="Z22"/>
  <c r="Y22"/>
  <c r="X22"/>
  <c r="X21" s="1"/>
  <c r="W22"/>
  <c r="V22"/>
  <c r="U22"/>
  <c r="T22"/>
  <c r="T21" s="1"/>
  <c r="S22"/>
  <c r="R22"/>
  <c r="Q22"/>
  <c r="P22"/>
  <c r="P21" s="1"/>
  <c r="O22"/>
  <c r="N22"/>
  <c r="N21" s="1"/>
  <c r="M22"/>
  <c r="L22"/>
  <c r="L21" s="1"/>
  <c r="AD21"/>
  <c r="AC21"/>
  <c r="AA21"/>
  <c r="Z21"/>
  <c r="Y21"/>
  <c r="W21"/>
  <c r="V21"/>
  <c r="U21"/>
  <c r="S21"/>
  <c r="R21"/>
  <c r="Q21"/>
  <c r="O21"/>
  <c r="M21"/>
  <c r="K23"/>
  <c r="K21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L14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K15"/>
  <c r="K14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3"/>
  <c r="K12"/>
  <c r="K11"/>
  <c r="AD2"/>
  <c r="AC27" l="1"/>
  <c r="AB27"/>
  <c r="AA27"/>
  <c r="Z27"/>
  <c r="Y27"/>
  <c r="X27"/>
  <c r="W27"/>
  <c r="V27"/>
  <c r="U27"/>
  <c r="T27"/>
  <c r="S27"/>
  <c r="R27"/>
  <c r="Q27"/>
  <c r="P27"/>
  <c r="O27"/>
  <c r="N27"/>
  <c r="M27"/>
  <c r="L27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27"/>
  <c r="K26"/>
  <c r="K24"/>
  <c r="K22"/>
  <c r="K19"/>
  <c r="K18"/>
  <c r="K16"/>
  <c r="K10"/>
  <c r="K5"/>
  <c r="A25" l="1"/>
  <c r="A444" i="31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E25" i="12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4"/>
  <c r="A23"/>
  <c r="A22"/>
  <c r="A21"/>
  <c r="A20"/>
  <c r="A19"/>
  <c r="A18"/>
  <c r="A17"/>
  <c r="A16"/>
  <c r="A15"/>
  <c r="A14"/>
  <c r="A13"/>
  <c r="A12"/>
  <c r="A10"/>
  <c r="K45" i="30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X22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X7"/>
  <c r="W7"/>
  <c r="V7"/>
  <c r="U7"/>
  <c r="T7"/>
  <c r="S7"/>
  <c r="R7"/>
  <c r="Q7"/>
  <c r="P7"/>
  <c r="O7"/>
  <c r="N7"/>
  <c r="M7"/>
  <c r="L7"/>
  <c r="K7"/>
  <c r="J7"/>
  <c r="I7"/>
  <c r="H7"/>
  <c r="X5"/>
  <c r="W5"/>
  <c r="W6" s="1"/>
  <c r="V5"/>
  <c r="V6" s="1"/>
  <c r="U5"/>
  <c r="U6" s="1"/>
  <c r="T5"/>
  <c r="S5"/>
  <c r="R5"/>
  <c r="Q5"/>
  <c r="P5"/>
  <c r="O5"/>
  <c r="N5"/>
  <c r="M5"/>
  <c r="L5"/>
  <c r="K5"/>
  <c r="J5"/>
  <c r="I5"/>
  <c r="H5"/>
  <c r="G5"/>
  <c r="F5"/>
  <c r="E5"/>
  <c r="X3"/>
  <c r="W3"/>
  <c r="V3"/>
  <c r="U3"/>
  <c r="T3"/>
  <c r="T2" s="1"/>
  <c r="S3"/>
  <c r="R3"/>
  <c r="Q3"/>
  <c r="P3"/>
  <c r="O3"/>
  <c r="P2" s="1"/>
  <c r="N3"/>
  <c r="M3"/>
  <c r="L3"/>
  <c r="K3"/>
  <c r="J3"/>
  <c r="I3"/>
  <c r="H3"/>
  <c r="V2"/>
  <c r="U2"/>
  <c r="Q2"/>
  <c r="M2"/>
  <c r="L2"/>
  <c r="J2"/>
  <c r="I2"/>
  <c r="H2"/>
  <c r="G2"/>
  <c r="F2"/>
  <c r="E2"/>
  <c r="B25" i="12" l="1"/>
  <c r="K2" i="30"/>
  <c r="O2"/>
  <c r="S2"/>
  <c r="W2"/>
  <c r="N2"/>
  <c r="R2"/>
  <c r="B1721" i="20"/>
  <c r="A1721"/>
  <c r="B1720"/>
  <c r="A1720"/>
  <c r="B1719"/>
  <c r="A1719"/>
  <c r="B1718"/>
  <c r="A1718"/>
  <c r="B1717"/>
  <c r="A1717"/>
  <c r="B1716"/>
  <c r="A1716"/>
  <c r="B1715"/>
  <c r="A1715"/>
  <c r="B1714"/>
  <c r="A1714"/>
  <c r="B1713"/>
  <c r="A1713"/>
  <c r="B1712"/>
  <c r="A1712"/>
  <c r="B1711"/>
  <c r="A1711"/>
  <c r="B1710"/>
  <c r="A1710"/>
  <c r="B1709"/>
  <c r="A1709"/>
  <c r="B1708"/>
  <c r="A1708"/>
  <c r="B1707"/>
  <c r="A1707"/>
  <c r="B1706"/>
  <c r="A1706"/>
  <c r="B1705"/>
  <c r="A1705"/>
  <c r="B1704"/>
  <c r="A1704"/>
  <c r="B1703"/>
  <c r="A1703"/>
  <c r="B1702"/>
  <c r="A1702"/>
  <c r="B1701"/>
  <c r="A1701"/>
  <c r="B1700"/>
  <c r="A1700"/>
  <c r="B1699"/>
  <c r="A1699"/>
  <c r="B1698"/>
  <c r="A1698"/>
  <c r="B1697"/>
  <c r="A1697"/>
  <c r="B1696"/>
  <c r="A1696"/>
  <c r="B1695"/>
  <c r="A1695"/>
  <c r="B1694"/>
  <c r="A1694"/>
  <c r="B1693"/>
  <c r="A1693"/>
  <c r="B1692"/>
  <c r="A1692"/>
  <c r="B1691"/>
  <c r="A1691"/>
  <c r="B1690"/>
  <c r="A1690"/>
  <c r="B1689"/>
  <c r="A1689"/>
  <c r="B1688"/>
  <c r="A1688"/>
  <c r="B1687"/>
  <c r="A1687"/>
  <c r="B1686"/>
  <c r="A1686"/>
  <c r="B1685"/>
  <c r="A1685"/>
  <c r="B1684"/>
  <c r="A1684"/>
  <c r="B1683"/>
  <c r="A1683"/>
  <c r="B1682"/>
  <c r="A1682"/>
  <c r="B1681"/>
  <c r="A1681"/>
  <c r="B1680"/>
  <c r="A1680"/>
  <c r="B1679"/>
  <c r="A1679"/>
  <c r="B1678"/>
  <c r="A1678"/>
  <c r="B1677"/>
  <c r="A1677"/>
  <c r="B1676"/>
  <c r="A1676"/>
  <c r="B1675"/>
  <c r="A1675"/>
  <c r="B1674"/>
  <c r="A1674"/>
  <c r="B1673"/>
  <c r="A1673"/>
  <c r="B1672"/>
  <c r="A1672"/>
  <c r="B1671"/>
  <c r="A1671"/>
  <c r="B1670"/>
  <c r="A1670"/>
  <c r="B1669"/>
  <c r="A1669"/>
  <c r="B1668"/>
  <c r="A1668"/>
  <c r="B1667"/>
  <c r="A1667"/>
  <c r="B1666"/>
  <c r="A1666"/>
  <c r="B1665"/>
  <c r="A1665"/>
  <c r="B1664"/>
  <c r="A1664"/>
  <c r="B1663"/>
  <c r="A1663"/>
  <c r="B1662"/>
  <c r="A1662"/>
  <c r="B1661"/>
  <c r="A1661"/>
  <c r="B1660"/>
  <c r="A1660"/>
  <c r="B1659"/>
  <c r="A1659"/>
  <c r="B1658"/>
  <c r="A1658"/>
  <c r="B1657"/>
  <c r="A1657"/>
  <c r="B1656"/>
  <c r="A1656"/>
  <c r="B1655"/>
  <c r="A1655"/>
  <c r="B1654"/>
  <c r="A1654"/>
  <c r="B1653"/>
  <c r="A1653"/>
  <c r="B1652"/>
  <c r="A1652"/>
  <c r="B1651"/>
  <c r="A1651"/>
  <c r="B1650"/>
  <c r="A1650"/>
  <c r="B1649"/>
  <c r="A1649"/>
  <c r="B1648"/>
  <c r="A1648"/>
  <c r="B1647"/>
  <c r="A1647"/>
  <c r="B1646"/>
  <c r="A1646"/>
  <c r="B1645"/>
  <c r="A1645"/>
  <c r="B1644"/>
  <c r="A1644"/>
  <c r="B1643"/>
  <c r="A1643"/>
  <c r="B1642"/>
  <c r="A1642"/>
  <c r="B1641"/>
  <c r="A1641"/>
  <c r="B1640"/>
  <c r="A1640"/>
  <c r="B1639"/>
  <c r="A1639"/>
  <c r="B1638"/>
  <c r="A1638"/>
  <c r="B1637"/>
  <c r="A1637"/>
  <c r="B1636"/>
  <c r="A1636"/>
  <c r="B1635"/>
  <c r="A1635"/>
  <c r="B1634"/>
  <c r="A1634"/>
  <c r="B1633"/>
  <c r="A1633"/>
  <c r="B1632"/>
  <c r="A1632"/>
  <c r="B1631"/>
  <c r="A1631"/>
  <c r="B1630"/>
  <c r="A1630"/>
  <c r="B1629"/>
  <c r="A1629"/>
  <c r="B1628"/>
  <c r="A1628"/>
  <c r="B1627"/>
  <c r="A1627"/>
  <c r="B1626"/>
  <c r="A1626"/>
  <c r="B1625"/>
  <c r="A1625"/>
  <c r="B1624"/>
  <c r="A1624"/>
  <c r="B1623"/>
  <c r="A1623"/>
  <c r="B1622"/>
  <c r="A1622"/>
  <c r="B1621"/>
  <c r="A1621"/>
  <c r="B1620"/>
  <c r="A1620"/>
  <c r="B1619"/>
  <c r="A1619"/>
  <c r="B1618"/>
  <c r="A1618"/>
  <c r="B1617"/>
  <c r="A1617"/>
  <c r="B1616"/>
  <c r="A1616"/>
  <c r="B1615"/>
  <c r="A1615"/>
  <c r="B1614"/>
  <c r="A1614"/>
  <c r="B1613"/>
  <c r="A1613"/>
  <c r="B1612"/>
  <c r="A1612"/>
  <c r="B1611"/>
  <c r="A1611"/>
  <c r="B1610"/>
  <c r="A1610"/>
  <c r="B1609"/>
  <c r="A1609"/>
  <c r="B1608"/>
  <c r="A1608"/>
  <c r="B1607"/>
  <c r="A1607"/>
  <c r="B1606"/>
  <c r="A1606"/>
  <c r="B1605"/>
  <c r="A1605"/>
  <c r="B1604"/>
  <c r="A1604"/>
  <c r="B1603"/>
  <c r="A1603"/>
  <c r="B1602"/>
  <c r="A1602"/>
  <c r="B1601"/>
  <c r="A1601"/>
  <c r="B1600"/>
  <c r="A1600"/>
  <c r="B1599"/>
  <c r="A1599"/>
  <c r="B1598"/>
  <c r="A1598"/>
  <c r="B1597"/>
  <c r="A1597"/>
  <c r="B1596"/>
  <c r="A1596"/>
  <c r="B1595"/>
  <c r="A1595"/>
  <c r="B1594"/>
  <c r="A1594"/>
  <c r="B1593"/>
  <c r="A1593"/>
  <c r="B1592"/>
  <c r="A1592"/>
  <c r="B1591"/>
  <c r="A1591"/>
  <c r="B1590"/>
  <c r="A1590"/>
  <c r="B1589"/>
  <c r="A1589"/>
  <c r="B1588"/>
  <c r="A1588"/>
  <c r="B1587"/>
  <c r="A1587"/>
  <c r="B1586"/>
  <c r="A1586"/>
  <c r="B1585"/>
  <c r="A1585"/>
  <c r="B1584"/>
  <c r="A1584"/>
  <c r="B1583"/>
  <c r="A1583"/>
  <c r="B1582"/>
  <c r="A1582"/>
  <c r="B1581"/>
  <c r="A1581"/>
  <c r="B1580"/>
  <c r="A1580"/>
  <c r="B1579"/>
  <c r="A1579"/>
  <c r="B1578"/>
  <c r="A1578"/>
  <c r="B1577"/>
  <c r="A1577"/>
  <c r="B1576"/>
  <c r="A1576"/>
  <c r="B1575"/>
  <c r="A1575"/>
  <c r="B1574"/>
  <c r="A1574"/>
  <c r="B1573"/>
  <c r="A1573"/>
  <c r="B1572"/>
  <c r="A1572"/>
  <c r="B1571"/>
  <c r="A1571"/>
  <c r="B1570"/>
  <c r="A1570"/>
  <c r="B1569"/>
  <c r="A1569"/>
  <c r="B1568"/>
  <c r="A1568"/>
  <c r="B1567"/>
  <c r="A1567"/>
  <c r="B1566"/>
  <c r="A1566"/>
  <c r="B1565"/>
  <c r="A1565"/>
  <c r="B1564"/>
  <c r="A1564"/>
  <c r="B1563"/>
  <c r="A1563"/>
  <c r="B1562"/>
  <c r="A1562"/>
  <c r="B1561"/>
  <c r="A1561"/>
  <c r="B1560"/>
  <c r="A1560"/>
  <c r="B1559"/>
  <c r="A1559"/>
  <c r="B1558"/>
  <c r="A1558"/>
  <c r="B1557"/>
  <c r="A1557"/>
  <c r="B1556"/>
  <c r="A1556"/>
  <c r="B1555"/>
  <c r="A1555"/>
  <c r="B1554"/>
  <c r="A1554"/>
  <c r="B1553"/>
  <c r="A1553"/>
  <c r="B1552"/>
  <c r="A1552"/>
  <c r="B1551"/>
  <c r="A1551"/>
  <c r="B1550"/>
  <c r="A1550"/>
  <c r="B1549"/>
  <c r="A1549"/>
  <c r="B1548"/>
  <c r="A1548"/>
  <c r="B1547"/>
  <c r="A1547"/>
  <c r="B1546"/>
  <c r="A1546"/>
  <c r="B1545"/>
  <c r="A1545"/>
  <c r="B1544"/>
  <c r="A1544"/>
  <c r="B1543"/>
  <c r="A1543"/>
  <c r="B1542"/>
  <c r="A1542"/>
  <c r="B1541"/>
  <c r="A1541"/>
  <c r="B1540"/>
  <c r="A1540"/>
  <c r="B1539"/>
  <c r="A1539"/>
  <c r="B1538"/>
  <c r="A1538"/>
  <c r="B1537"/>
  <c r="A1537"/>
  <c r="B1536"/>
  <c r="A1536"/>
  <c r="B1535"/>
  <c r="A1535"/>
  <c r="B1534"/>
  <c r="A1534"/>
  <c r="B1533"/>
  <c r="A1533"/>
  <c r="B1532"/>
  <c r="A1532"/>
  <c r="B1531"/>
  <c r="A1531"/>
  <c r="B1530"/>
  <c r="A1530"/>
  <c r="B1529"/>
  <c r="A1529"/>
  <c r="B1528"/>
  <c r="A1528"/>
  <c r="B1527"/>
  <c r="A1527"/>
  <c r="B1526"/>
  <c r="A1526"/>
  <c r="B1525"/>
  <c r="A1525"/>
  <c r="B1524"/>
  <c r="A1524"/>
  <c r="B1523"/>
  <c r="A1523"/>
  <c r="B1522"/>
  <c r="A1522"/>
  <c r="B1521"/>
  <c r="A1521"/>
  <c r="B1520"/>
  <c r="A1520"/>
  <c r="B1519"/>
  <c r="A1519"/>
  <c r="B1518"/>
  <c r="A1518"/>
  <c r="B1517"/>
  <c r="A1517"/>
  <c r="B1516"/>
  <c r="A1516"/>
  <c r="B1515"/>
  <c r="A1515"/>
  <c r="B1514"/>
  <c r="A1514"/>
  <c r="B1513"/>
  <c r="A1513"/>
  <c r="B1512"/>
  <c r="A1512"/>
  <c r="B1511"/>
  <c r="A1511"/>
  <c r="B1510"/>
  <c r="A1510"/>
  <c r="B1509"/>
  <c r="A1509"/>
  <c r="B1508"/>
  <c r="A1508"/>
  <c r="B1507"/>
  <c r="A1507"/>
  <c r="B1506"/>
  <c r="A1506"/>
  <c r="B1505"/>
  <c r="A1505"/>
  <c r="B1504"/>
  <c r="A1504"/>
  <c r="B1503"/>
  <c r="A1503"/>
  <c r="B1502"/>
  <c r="A1502"/>
  <c r="B1501"/>
  <c r="A1501"/>
  <c r="B1500"/>
  <c r="A1500"/>
  <c r="B1499"/>
  <c r="A1499"/>
  <c r="B1498"/>
  <c r="A1498"/>
  <c r="B1497"/>
  <c r="A1497"/>
  <c r="B1496"/>
  <c r="A1496"/>
  <c r="B1495"/>
  <c r="A1495"/>
  <c r="B1494"/>
  <c r="A1494"/>
  <c r="B1493"/>
  <c r="A1493"/>
  <c r="B1492"/>
  <c r="A1492"/>
  <c r="B1491"/>
  <c r="A1491"/>
  <c r="B1490"/>
  <c r="A1490"/>
  <c r="B1489"/>
  <c r="A1489"/>
  <c r="B1488"/>
  <c r="A1488"/>
  <c r="B1487"/>
  <c r="A1487"/>
  <c r="B1486"/>
  <c r="A1486"/>
  <c r="B1485"/>
  <c r="A1485"/>
  <c r="B1484"/>
  <c r="A1484"/>
  <c r="B1483"/>
  <c r="A1483"/>
  <c r="B1482"/>
  <c r="A1482"/>
  <c r="B1481"/>
  <c r="A1481"/>
  <c r="B1480"/>
  <c r="A1480"/>
  <c r="B1479"/>
  <c r="A1479"/>
  <c r="B1478"/>
  <c r="A1478"/>
  <c r="B1477"/>
  <c r="A1477"/>
  <c r="B1476"/>
  <c r="A1476"/>
  <c r="B1475"/>
  <c r="A1475"/>
  <c r="B1474"/>
  <c r="A1474"/>
  <c r="B1473"/>
  <c r="A1473"/>
  <c r="B1472"/>
  <c r="A1472"/>
  <c r="B1471"/>
  <c r="A1471"/>
  <c r="B1470"/>
  <c r="A1470"/>
  <c r="B1469"/>
  <c r="A1469"/>
  <c r="B1468"/>
  <c r="A1468"/>
  <c r="B1467"/>
  <c r="A1467"/>
  <c r="B1466"/>
  <c r="A1466"/>
  <c r="B1465"/>
  <c r="A1465"/>
  <c r="B1464"/>
  <c r="A1464"/>
  <c r="B1463"/>
  <c r="A1463"/>
  <c r="B1462"/>
  <c r="A1462"/>
  <c r="B1461"/>
  <c r="A1461"/>
  <c r="B1460"/>
  <c r="A1460"/>
  <c r="B1459"/>
  <c r="A1459"/>
  <c r="B1458"/>
  <c r="A1458"/>
  <c r="B1457"/>
  <c r="A1457"/>
  <c r="B1456"/>
  <c r="A1456"/>
  <c r="B1455"/>
  <c r="A1455"/>
  <c r="B1454"/>
  <c r="A1454"/>
  <c r="B1453"/>
  <c r="A1453"/>
  <c r="B1452"/>
  <c r="A1452"/>
  <c r="B1451"/>
  <c r="A1451"/>
  <c r="B1450"/>
  <c r="A1450"/>
  <c r="B1449"/>
  <c r="A1449"/>
  <c r="B1448"/>
  <c r="A1448"/>
  <c r="B1447"/>
  <c r="A1447"/>
  <c r="B1446"/>
  <c r="A1446"/>
  <c r="B1445"/>
  <c r="A1445"/>
  <c r="B1444"/>
  <c r="A1444"/>
  <c r="B1443"/>
  <c r="A1443"/>
  <c r="B1442"/>
  <c r="A1442"/>
  <c r="B1441"/>
  <c r="A1441"/>
  <c r="B1440"/>
  <c r="A1440"/>
  <c r="B1439"/>
  <c r="A1439"/>
  <c r="B1438"/>
  <c r="A1438"/>
  <c r="B1437"/>
  <c r="A1437"/>
  <c r="B1436"/>
  <c r="A1436"/>
  <c r="B1435"/>
  <c r="A1435"/>
  <c r="B1434"/>
  <c r="A1434"/>
  <c r="B1433"/>
  <c r="A1433"/>
  <c r="B1432"/>
  <c r="A1432"/>
  <c r="B1431"/>
  <c r="A1431"/>
  <c r="B1430"/>
  <c r="A1430"/>
  <c r="B1429"/>
  <c r="A1429"/>
  <c r="B1428"/>
  <c r="A1428"/>
  <c r="B1427"/>
  <c r="A1427"/>
  <c r="B1426"/>
  <c r="A1426"/>
  <c r="B1425"/>
  <c r="A1425"/>
  <c r="B1424"/>
  <c r="A1424"/>
  <c r="B1423"/>
  <c r="A1423"/>
  <c r="B1422"/>
  <c r="A1422"/>
  <c r="B1421"/>
  <c r="A1421"/>
  <c r="B1420"/>
  <c r="A1420"/>
  <c r="B1419"/>
  <c r="A1419"/>
  <c r="B1418"/>
  <c r="A1418"/>
  <c r="B1417"/>
  <c r="A1417"/>
  <c r="B1416"/>
  <c r="A1416"/>
  <c r="B1415"/>
  <c r="A1415"/>
  <c r="B1414"/>
  <c r="A1414"/>
  <c r="B1413"/>
  <c r="A1413"/>
  <c r="B1412"/>
  <c r="A1412"/>
  <c r="B1411"/>
  <c r="A1411"/>
  <c r="B1410"/>
  <c r="A1410"/>
  <c r="B1409"/>
  <c r="A1409"/>
  <c r="B1408"/>
  <c r="A1408"/>
  <c r="B1407"/>
  <c r="A1407"/>
  <c r="B1406"/>
  <c r="A1406"/>
  <c r="B1405"/>
  <c r="A1405"/>
  <c r="B1404"/>
  <c r="A1404"/>
  <c r="B1403"/>
  <c r="A1403"/>
  <c r="B1402"/>
  <c r="A1402"/>
  <c r="B1401"/>
  <c r="A1401"/>
  <c r="B1400"/>
  <c r="A1400"/>
  <c r="B1399"/>
  <c r="A1399"/>
  <c r="B1398"/>
  <c r="A1398"/>
  <c r="B1397"/>
  <c r="A1397"/>
  <c r="B1396"/>
  <c r="A1396"/>
  <c r="B1395"/>
  <c r="A1395"/>
  <c r="B1394"/>
  <c r="A1394"/>
  <c r="B1393"/>
  <c r="A1393"/>
  <c r="B1392"/>
  <c r="A1392"/>
  <c r="B1391"/>
  <c r="A1391"/>
  <c r="B1390"/>
  <c r="A1390"/>
  <c r="B1389"/>
  <c r="A1389"/>
  <c r="B1388"/>
  <c r="A1388"/>
  <c r="B1387"/>
  <c r="A1387"/>
  <c r="B1386"/>
  <c r="A1386"/>
  <c r="B1385"/>
  <c r="A1385"/>
  <c r="B1384"/>
  <c r="A1384"/>
  <c r="B1383"/>
  <c r="A1383"/>
  <c r="B1382"/>
  <c r="A1382"/>
  <c r="B1381"/>
  <c r="A1381"/>
  <c r="B1380"/>
  <c r="A1380"/>
  <c r="B1379"/>
  <c r="A1379"/>
  <c r="B1378"/>
  <c r="A1378"/>
  <c r="B1377"/>
  <c r="A1377"/>
  <c r="B1376"/>
  <c r="A1376"/>
  <c r="B1375"/>
  <c r="A1375"/>
  <c r="B1374"/>
  <c r="A1374"/>
  <c r="B1373"/>
  <c r="A1373"/>
  <c r="B1372"/>
  <c r="A1372"/>
  <c r="B1371"/>
  <c r="A1371"/>
  <c r="B1370"/>
  <c r="A1370"/>
  <c r="B1369"/>
  <c r="A1369"/>
  <c r="B1368"/>
  <c r="A1368"/>
  <c r="B1367"/>
  <c r="A1367"/>
  <c r="B1366"/>
  <c r="A1366"/>
  <c r="B1365"/>
  <c r="A1365"/>
  <c r="B1364"/>
  <c r="A1364"/>
  <c r="B1363"/>
  <c r="A1363"/>
  <c r="B1362"/>
  <c r="A1362"/>
  <c r="B1361"/>
  <c r="A1361"/>
  <c r="B1360"/>
  <c r="A1360"/>
  <c r="B1359"/>
  <c r="A1359"/>
  <c r="B1358"/>
  <c r="A1358"/>
  <c r="B1357"/>
  <c r="A1357"/>
  <c r="B1356"/>
  <c r="A1356"/>
  <c r="B1355"/>
  <c r="A1355"/>
  <c r="B1354"/>
  <c r="A1354"/>
  <c r="B1353"/>
  <c r="A1353"/>
  <c r="B1352"/>
  <c r="A1352"/>
  <c r="B1351"/>
  <c r="A1351"/>
  <c r="B1350"/>
  <c r="A1350"/>
  <c r="B1349"/>
  <c r="A1349"/>
  <c r="B1348"/>
  <c r="A1348"/>
  <c r="B1347"/>
  <c r="A1347"/>
  <c r="B1346"/>
  <c r="A1346"/>
  <c r="B1345"/>
  <c r="A1345"/>
  <c r="B1344"/>
  <c r="A1344"/>
  <c r="B1343"/>
  <c r="A1343"/>
  <c r="B1342"/>
  <c r="A1342"/>
  <c r="B1341"/>
  <c r="A1341"/>
  <c r="B1340"/>
  <c r="A1340"/>
  <c r="B1339"/>
  <c r="A1339"/>
  <c r="B1338"/>
  <c r="A1338"/>
  <c r="B1337"/>
  <c r="A1337"/>
  <c r="B1336"/>
  <c r="A1336"/>
  <c r="B1335"/>
  <c r="A1335"/>
  <c r="B1334"/>
  <c r="A1334"/>
  <c r="B1333"/>
  <c r="A1333"/>
  <c r="B1332"/>
  <c r="A1332"/>
  <c r="B1331"/>
  <c r="A1331"/>
  <c r="B1330"/>
  <c r="A1330"/>
  <c r="B1329"/>
  <c r="A1329"/>
  <c r="B1328"/>
  <c r="A1328"/>
  <c r="B1327"/>
  <c r="A1327"/>
  <c r="B1326"/>
  <c r="A1326"/>
  <c r="B1325"/>
  <c r="A1325"/>
  <c r="B1324"/>
  <c r="A1324"/>
  <c r="B1323"/>
  <c r="A1323"/>
  <c r="B1322"/>
  <c r="A1322"/>
  <c r="B1321"/>
  <c r="A1321"/>
  <c r="B1320"/>
  <c r="A1320"/>
  <c r="B1319"/>
  <c r="A1319"/>
  <c r="B1318"/>
  <c r="A1318"/>
  <c r="B1317"/>
  <c r="A1317"/>
  <c r="B1316"/>
  <c r="A1316"/>
  <c r="B1315"/>
  <c r="A1315"/>
  <c r="B1314"/>
  <c r="A1314"/>
  <c r="B1313"/>
  <c r="A1313"/>
  <c r="B1312"/>
  <c r="A1312"/>
  <c r="B1311"/>
  <c r="A1311"/>
  <c r="B1310"/>
  <c r="A1310"/>
  <c r="B1309"/>
  <c r="A1309"/>
  <c r="B1308"/>
  <c r="A1308"/>
  <c r="B1307"/>
  <c r="A1307"/>
  <c r="B1306"/>
  <c r="A1306"/>
  <c r="B1305"/>
  <c r="A1305"/>
  <c r="B1304"/>
  <c r="A1304"/>
  <c r="B1303"/>
  <c r="A1303"/>
  <c r="B1302"/>
  <c r="A1302"/>
  <c r="B1301"/>
  <c r="A1301"/>
  <c r="B1300"/>
  <c r="A1300"/>
  <c r="B1299"/>
  <c r="A1299"/>
  <c r="B1298"/>
  <c r="A1298"/>
  <c r="B1297"/>
  <c r="A1297"/>
  <c r="B1296"/>
  <c r="A1296"/>
  <c r="B1295"/>
  <c r="A1295"/>
  <c r="B1294"/>
  <c r="A1294"/>
  <c r="B1293"/>
  <c r="A1293"/>
  <c r="B1292"/>
  <c r="A1292"/>
  <c r="B1291"/>
  <c r="A1291"/>
  <c r="B1290"/>
  <c r="A1290"/>
  <c r="B1289"/>
  <c r="A1289"/>
  <c r="B1288"/>
  <c r="A1288"/>
  <c r="B1287"/>
  <c r="A1287"/>
  <c r="B1286"/>
  <c r="A1286"/>
  <c r="B1285"/>
  <c r="A1285"/>
  <c r="B1284"/>
  <c r="A1284"/>
  <c r="B1283"/>
  <c r="A1283"/>
  <c r="B1282"/>
  <c r="A1282"/>
  <c r="B1281"/>
  <c r="A1281"/>
  <c r="B1280"/>
  <c r="A1280"/>
  <c r="B1279"/>
  <c r="A1279"/>
  <c r="B1278"/>
  <c r="A1278"/>
  <c r="B1277"/>
  <c r="A1277"/>
  <c r="B1276"/>
  <c r="A1276"/>
  <c r="B1275"/>
  <c r="A1275"/>
  <c r="B1274"/>
  <c r="A1274"/>
  <c r="B1273"/>
  <c r="A1273"/>
  <c r="B1272"/>
  <c r="A1272"/>
  <c r="B1271"/>
  <c r="A1271"/>
  <c r="B1270"/>
  <c r="A1270"/>
  <c r="B1269"/>
  <c r="A1269"/>
  <c r="B1268"/>
  <c r="A1268"/>
  <c r="B1267"/>
  <c r="A1267"/>
  <c r="B1266"/>
  <c r="A1266"/>
  <c r="B1265"/>
  <c r="A1265"/>
  <c r="B1264"/>
  <c r="A1264"/>
  <c r="B1263"/>
  <c r="A1263"/>
  <c r="B1262"/>
  <c r="A1262"/>
  <c r="B1261"/>
  <c r="A1261"/>
  <c r="B1260"/>
  <c r="A1260"/>
  <c r="B1259"/>
  <c r="A1259"/>
  <c r="B1258"/>
  <c r="A1258"/>
  <c r="B1257"/>
  <c r="A1257"/>
  <c r="B1256"/>
  <c r="A1256"/>
  <c r="B1255"/>
  <c r="A1255"/>
  <c r="B1254"/>
  <c r="A1254"/>
  <c r="B1253"/>
  <c r="A1253"/>
  <c r="B1252"/>
  <c r="A1252"/>
  <c r="B1251"/>
  <c r="A1251"/>
  <c r="B1250"/>
  <c r="A1250"/>
  <c r="B1249"/>
  <c r="A1249"/>
  <c r="B1248"/>
  <c r="A1248"/>
  <c r="B1247"/>
  <c r="A1247"/>
  <c r="B1246"/>
  <c r="A1246"/>
  <c r="B1245"/>
  <c r="A1245"/>
  <c r="B1244"/>
  <c r="A1244"/>
  <c r="B1243"/>
  <c r="A1243"/>
  <c r="B1242"/>
  <c r="A1242"/>
  <c r="B1241"/>
  <c r="A1241"/>
  <c r="B1240"/>
  <c r="A1240"/>
  <c r="B1239"/>
  <c r="A1239"/>
  <c r="B1238"/>
  <c r="A1238"/>
  <c r="B1237"/>
  <c r="A1237"/>
  <c r="B1236"/>
  <c r="A1236"/>
  <c r="B1235"/>
  <c r="A1235"/>
  <c r="B1234"/>
  <c r="A1234"/>
  <c r="B1233"/>
  <c r="A1233"/>
  <c r="B1232"/>
  <c r="A1232"/>
  <c r="B1231"/>
  <c r="A1231"/>
  <c r="B1230"/>
  <c r="A1230"/>
  <c r="B1229"/>
  <c r="A1229"/>
  <c r="B1228"/>
  <c r="A1228"/>
  <c r="B1227"/>
  <c r="A1227"/>
  <c r="B1226"/>
  <c r="A1226"/>
  <c r="B1225"/>
  <c r="A1225"/>
  <c r="B1224"/>
  <c r="A1224"/>
  <c r="B1223"/>
  <c r="A1223"/>
  <c r="B1222"/>
  <c r="A1222"/>
  <c r="B1221"/>
  <c r="A1221"/>
  <c r="B1220"/>
  <c r="A1220"/>
  <c r="B1219"/>
  <c r="A1219"/>
  <c r="B1218"/>
  <c r="A1218"/>
  <c r="B1217"/>
  <c r="A1217"/>
  <c r="B1216"/>
  <c r="A1216"/>
  <c r="B1215"/>
  <c r="A1215"/>
  <c r="B1214"/>
  <c r="A1214"/>
  <c r="B1213"/>
  <c r="A1213"/>
  <c r="B1212"/>
  <c r="A1212"/>
  <c r="B1211"/>
  <c r="A1211"/>
  <c r="B1210"/>
  <c r="A1210"/>
  <c r="B1209"/>
  <c r="A1209"/>
  <c r="B1208"/>
  <c r="A1208"/>
  <c r="B1207"/>
  <c r="A1207"/>
  <c r="B1206"/>
  <c r="A1206"/>
  <c r="B1205"/>
  <c r="A1205"/>
  <c r="B1204"/>
  <c r="A1204"/>
  <c r="B1203"/>
  <c r="A1203"/>
  <c r="B1202"/>
  <c r="A1202"/>
  <c r="B1201"/>
  <c r="A1201"/>
  <c r="B1200"/>
  <c r="A1200"/>
  <c r="B1199"/>
  <c r="A1199"/>
  <c r="B1198"/>
  <c r="A1198"/>
  <c r="B1197"/>
  <c r="A1197"/>
  <c r="B1196"/>
  <c r="A1196"/>
  <c r="B1195"/>
  <c r="A1195"/>
  <c r="B1194"/>
  <c r="A1194"/>
  <c r="B1193"/>
  <c r="A1193"/>
  <c r="B1192"/>
  <c r="A1192"/>
  <c r="B1191"/>
  <c r="A1191"/>
  <c r="B1190"/>
  <c r="A1190"/>
  <c r="B1189"/>
  <c r="A1189"/>
  <c r="B1188"/>
  <c r="A1188"/>
  <c r="B1187"/>
  <c r="A1187"/>
  <c r="B1186"/>
  <c r="A1186"/>
  <c r="B1185"/>
  <c r="A1185"/>
  <c r="B1184"/>
  <c r="A1184"/>
  <c r="B1183"/>
  <c r="A1183"/>
  <c r="B1182"/>
  <c r="A1182"/>
  <c r="B1181"/>
  <c r="A1181"/>
  <c r="B1180"/>
  <c r="A1180"/>
  <c r="B1179"/>
  <c r="A1179"/>
  <c r="B1178"/>
  <c r="A1178"/>
  <c r="B1177"/>
  <c r="A1177"/>
  <c r="B1176"/>
  <c r="A1176"/>
  <c r="B1175"/>
  <c r="A1175"/>
  <c r="B1174"/>
  <c r="A1174"/>
  <c r="B1173"/>
  <c r="A1173"/>
  <c r="B1172"/>
  <c r="A1172"/>
  <c r="B1171"/>
  <c r="A1171"/>
  <c r="B1170"/>
  <c r="A1170"/>
  <c r="B1169"/>
  <c r="A1169"/>
  <c r="B1168"/>
  <c r="A1168"/>
  <c r="B1167"/>
  <c r="A1167"/>
  <c r="B1166"/>
  <c r="A1166"/>
  <c r="B1165"/>
  <c r="A1165"/>
  <c r="B1164"/>
  <c r="A1164"/>
  <c r="B1163"/>
  <c r="A1163"/>
  <c r="B1162"/>
  <c r="A1162"/>
  <c r="B1161"/>
  <c r="A1161"/>
  <c r="B1160"/>
  <c r="A1160"/>
  <c r="B1159"/>
  <c r="A1159"/>
  <c r="B1158"/>
  <c r="A1158"/>
  <c r="B1157"/>
  <c r="A1157"/>
  <c r="B1156"/>
  <c r="A1156"/>
  <c r="B1155"/>
  <c r="A1155"/>
  <c r="B1154"/>
  <c r="A1154"/>
  <c r="B1153"/>
  <c r="A1153"/>
  <c r="B1152"/>
  <c r="A1152"/>
  <c r="B1151"/>
  <c r="A1151"/>
  <c r="B1150"/>
  <c r="A1150"/>
  <c r="B1149"/>
  <c r="A1149"/>
  <c r="B1148"/>
  <c r="A1148"/>
  <c r="B1147"/>
  <c r="A1147"/>
  <c r="B1146"/>
  <c r="A1146"/>
  <c r="B1145"/>
  <c r="A1145"/>
  <c r="B1144"/>
  <c r="A1144"/>
  <c r="B1143"/>
  <c r="A1143"/>
  <c r="B1142"/>
  <c r="A1142"/>
  <c r="B1141"/>
  <c r="A1141"/>
  <c r="B1140"/>
  <c r="A1140"/>
  <c r="B1139"/>
  <c r="A1139"/>
  <c r="B1138"/>
  <c r="A1138"/>
  <c r="B1137"/>
  <c r="A1137"/>
  <c r="B1136"/>
  <c r="A1136"/>
  <c r="B1135"/>
  <c r="A1135"/>
  <c r="B1134"/>
  <c r="A1134"/>
  <c r="B1133"/>
  <c r="A1133"/>
  <c r="B1132"/>
  <c r="A1132"/>
  <c r="B1131"/>
  <c r="A1131"/>
  <c r="B1130"/>
  <c r="A1130"/>
  <c r="B1129"/>
  <c r="A1129"/>
  <c r="B1128"/>
  <c r="A1128"/>
  <c r="B1127"/>
  <c r="A1127"/>
  <c r="B1126"/>
  <c r="A1126"/>
  <c r="B1125"/>
  <c r="A1125"/>
  <c r="B1124"/>
  <c r="A1124"/>
  <c r="B1123"/>
  <c r="A1123"/>
  <c r="B1122"/>
  <c r="A1122"/>
  <c r="B1121"/>
  <c r="A1121"/>
  <c r="B1120"/>
  <c r="A1120"/>
  <c r="B1119"/>
  <c r="A1119"/>
  <c r="B1118"/>
  <c r="A1118"/>
  <c r="B1117"/>
  <c r="A1117"/>
  <c r="B1116"/>
  <c r="A1116"/>
  <c r="B1115"/>
  <c r="A1115"/>
  <c r="B1114"/>
  <c r="A1114"/>
  <c r="B1113"/>
  <c r="A1113"/>
  <c r="B1112"/>
  <c r="A1112"/>
  <c r="B1111"/>
  <c r="A1111"/>
  <c r="B1110"/>
  <c r="A1110"/>
  <c r="B1109"/>
  <c r="A1109"/>
  <c r="B1108"/>
  <c r="A1108"/>
  <c r="B1107"/>
  <c r="A1107"/>
  <c r="B1106"/>
  <c r="A1106"/>
  <c r="B1105"/>
  <c r="A1105"/>
  <c r="B1104"/>
  <c r="A1104"/>
  <c r="B1103"/>
  <c r="A1103"/>
  <c r="B1102"/>
  <c r="A1102"/>
  <c r="B1101"/>
  <c r="A1101"/>
  <c r="B1100"/>
  <c r="A1100"/>
  <c r="B1099"/>
  <c r="A1099"/>
  <c r="B1098"/>
  <c r="A1098"/>
  <c r="B1097"/>
  <c r="A1097"/>
  <c r="B1096"/>
  <c r="A1096"/>
  <c r="B1095"/>
  <c r="A1095"/>
  <c r="B1094"/>
  <c r="A1094"/>
  <c r="B1093"/>
  <c r="A1093"/>
  <c r="B1092"/>
  <c r="A1092"/>
  <c r="B1091"/>
  <c r="A1091"/>
  <c r="B1090"/>
  <c r="A1090"/>
  <c r="B1089"/>
  <c r="A1089"/>
  <c r="B1088"/>
  <c r="A1088"/>
  <c r="B1087"/>
  <c r="A1087"/>
  <c r="B1086"/>
  <c r="A1086"/>
  <c r="B1085"/>
  <c r="A1085"/>
  <c r="B1084"/>
  <c r="A1084"/>
  <c r="B1083"/>
  <c r="A1083"/>
  <c r="B1082"/>
  <c r="A1082"/>
  <c r="B1081"/>
  <c r="A1081"/>
  <c r="B1080"/>
  <c r="A1080"/>
  <c r="B1079"/>
  <c r="A1079"/>
  <c r="B1078"/>
  <c r="A1078"/>
  <c r="B1077"/>
  <c r="A1077"/>
  <c r="B1076"/>
  <c r="A1076"/>
  <c r="B1075"/>
  <c r="A1075"/>
  <c r="B1074"/>
  <c r="A1074"/>
  <c r="B1073"/>
  <c r="A1073"/>
  <c r="B1072"/>
  <c r="A1072"/>
  <c r="B1071"/>
  <c r="A1071"/>
  <c r="B1070"/>
  <c r="A1070"/>
  <c r="B1069"/>
  <c r="A1069"/>
  <c r="B1068"/>
  <c r="A1068"/>
  <c r="B1067"/>
  <c r="A1067"/>
  <c r="B1066"/>
  <c r="A1066"/>
  <c r="B1065"/>
  <c r="A1065"/>
  <c r="B1064"/>
  <c r="A1064"/>
  <c r="B1063"/>
  <c r="A1063"/>
  <c r="B1062"/>
  <c r="A1062"/>
  <c r="B1061"/>
  <c r="A1061"/>
  <c r="B1060"/>
  <c r="A1060"/>
  <c r="B1059"/>
  <c r="A1059"/>
  <c r="B1058"/>
  <c r="A1058"/>
  <c r="B1057"/>
  <c r="A1057"/>
  <c r="B1056"/>
  <c r="A1056"/>
  <c r="B1055"/>
  <c r="A1055"/>
  <c r="B1054"/>
  <c r="A1054"/>
  <c r="B1053"/>
  <c r="A1053"/>
  <c r="B1052"/>
  <c r="A1052"/>
  <c r="B1051"/>
  <c r="A1051"/>
  <c r="B1050"/>
  <c r="A1050"/>
  <c r="B1049"/>
  <c r="A1049"/>
  <c r="B1048"/>
  <c r="A1048"/>
  <c r="B1047"/>
  <c r="A1047"/>
  <c r="B1046"/>
  <c r="A1046"/>
  <c r="B1045"/>
  <c r="A1045"/>
  <c r="B1044"/>
  <c r="A1044"/>
  <c r="B1043"/>
  <c r="A1043"/>
  <c r="B1042"/>
  <c r="A1042"/>
  <c r="B1041"/>
  <c r="A1041"/>
  <c r="B1040"/>
  <c r="A1040"/>
  <c r="B1039"/>
  <c r="A1039"/>
  <c r="B1038"/>
  <c r="A1038"/>
  <c r="B1037"/>
  <c r="A1037"/>
  <c r="B1036"/>
  <c r="A1036"/>
  <c r="B1035"/>
  <c r="A1035"/>
  <c r="B1034"/>
  <c r="A1034"/>
  <c r="B1033"/>
  <c r="A1033"/>
  <c r="B1032"/>
  <c r="A1032"/>
  <c r="B1031"/>
  <c r="A1031"/>
  <c r="B1030"/>
  <c r="A1030"/>
  <c r="B1029"/>
  <c r="A1029"/>
  <c r="B1028"/>
  <c r="A1028"/>
  <c r="B1027"/>
  <c r="A1027"/>
  <c r="B1026"/>
  <c r="A1026"/>
  <c r="B1025"/>
  <c r="A1025"/>
  <c r="B1024"/>
  <c r="A1024"/>
  <c r="B1023"/>
  <c r="A1023"/>
  <c r="B1022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01"/>
  <c r="A1001"/>
  <c r="B1000"/>
  <c r="A1000"/>
  <c r="B999"/>
  <c r="A999"/>
  <c r="B998"/>
  <c r="A998"/>
  <c r="B997"/>
  <c r="A997"/>
  <c r="B996"/>
  <c r="A996"/>
  <c r="B995"/>
  <c r="A995"/>
  <c r="B994"/>
  <c r="A994"/>
  <c r="B993"/>
  <c r="A993"/>
  <c r="B992"/>
  <c r="A992"/>
  <c r="B991"/>
  <c r="A991"/>
  <c r="B990"/>
  <c r="A990"/>
  <c r="B989"/>
  <c r="A989"/>
  <c r="B988"/>
  <c r="A988"/>
  <c r="B987"/>
  <c r="A987"/>
  <c r="B986"/>
  <c r="A986"/>
  <c r="B985"/>
  <c r="A985"/>
  <c r="B984"/>
  <c r="A984"/>
  <c r="B983"/>
  <c r="A983"/>
  <c r="B982"/>
  <c r="A982"/>
  <c r="B981"/>
  <c r="A981"/>
  <c r="B980"/>
  <c r="A980"/>
  <c r="B979"/>
  <c r="A979"/>
  <c r="B978"/>
  <c r="A978"/>
  <c r="B977"/>
  <c r="A977"/>
  <c r="B976"/>
  <c r="A976"/>
  <c r="B975"/>
  <c r="A975"/>
  <c r="B974"/>
  <c r="A974"/>
  <c r="B973"/>
  <c r="A973"/>
  <c r="B972"/>
  <c r="A972"/>
  <c r="B971"/>
  <c r="A971"/>
  <c r="B970"/>
  <c r="A970"/>
  <c r="B969"/>
  <c r="A969"/>
  <c r="B968"/>
  <c r="A968"/>
  <c r="B967"/>
  <c r="A967"/>
  <c r="B966"/>
  <c r="A966"/>
  <c r="B965"/>
  <c r="A965"/>
  <c r="B964"/>
  <c r="A964"/>
  <c r="B963"/>
  <c r="A963"/>
  <c r="B962"/>
  <c r="A962"/>
  <c r="B961"/>
  <c r="A961"/>
  <c r="B960"/>
  <c r="A960"/>
  <c r="B959"/>
  <c r="A959"/>
  <c r="B958"/>
  <c r="A958"/>
  <c r="B957"/>
  <c r="A957"/>
  <c r="B956"/>
  <c r="A956"/>
  <c r="B955"/>
  <c r="A955"/>
  <c r="B954"/>
  <c r="A954"/>
  <c r="B953"/>
  <c r="A953"/>
  <c r="B952"/>
  <c r="A952"/>
  <c r="B951"/>
  <c r="A951"/>
  <c r="B950"/>
  <c r="A950"/>
  <c r="B949"/>
  <c r="A949"/>
  <c r="B948"/>
  <c r="A948"/>
  <c r="B947"/>
  <c r="A947"/>
  <c r="B946"/>
  <c r="A946"/>
  <c r="B945"/>
  <c r="A945"/>
  <c r="B944"/>
  <c r="A944"/>
  <c r="B943"/>
  <c r="A943"/>
  <c r="B942"/>
  <c r="A942"/>
  <c r="B941"/>
  <c r="A941"/>
  <c r="B940"/>
  <c r="A940"/>
  <c r="B939"/>
  <c r="A939"/>
  <c r="B938"/>
  <c r="A938"/>
  <c r="B937"/>
  <c r="A937"/>
  <c r="B936"/>
  <c r="A936"/>
  <c r="B935"/>
  <c r="A935"/>
  <c r="B934"/>
  <c r="A934"/>
  <c r="B933"/>
  <c r="A933"/>
  <c r="B932"/>
  <c r="A932"/>
  <c r="B931"/>
  <c r="A931"/>
  <c r="B930"/>
  <c r="A930"/>
  <c r="B929"/>
  <c r="A929"/>
  <c r="B928"/>
  <c r="A928"/>
  <c r="B927"/>
  <c r="A927"/>
  <c r="B926"/>
  <c r="A926"/>
  <c r="B925"/>
  <c r="A925"/>
  <c r="B924"/>
  <c r="A924"/>
  <c r="B923"/>
  <c r="A923"/>
  <c r="B922"/>
  <c r="A922"/>
  <c r="B921"/>
  <c r="A921"/>
  <c r="B920"/>
  <c r="A920"/>
  <c r="B919"/>
  <c r="A919"/>
  <c r="B918"/>
  <c r="A918"/>
  <c r="B917"/>
  <c r="A917"/>
  <c r="B916"/>
  <c r="A916"/>
  <c r="B915"/>
  <c r="A915"/>
  <c r="B914"/>
  <c r="A914"/>
  <c r="B913"/>
  <c r="A913"/>
  <c r="B912"/>
  <c r="A912"/>
  <c r="B911"/>
  <c r="A911"/>
  <c r="B910"/>
  <c r="A910"/>
  <c r="B909"/>
  <c r="A909"/>
  <c r="B908"/>
  <c r="A908"/>
  <c r="B907"/>
  <c r="A907"/>
  <c r="B906"/>
  <c r="A906"/>
  <c r="B905"/>
  <c r="A905"/>
  <c r="B904"/>
  <c r="A904"/>
  <c r="B903"/>
  <c r="A903"/>
  <c r="B902"/>
  <c r="A902"/>
  <c r="B901"/>
  <c r="A901"/>
  <c r="B900"/>
  <c r="A900"/>
  <c r="B899"/>
  <c r="A899"/>
  <c r="B898"/>
  <c r="A898"/>
  <c r="B897"/>
  <c r="A897"/>
  <c r="B896"/>
  <c r="A896"/>
  <c r="B895"/>
  <c r="A895"/>
  <c r="B894"/>
  <c r="A894"/>
  <c r="B893"/>
  <c r="A893"/>
  <c r="B892"/>
  <c r="A892"/>
  <c r="B891"/>
  <c r="A891"/>
  <c r="B890"/>
  <c r="A890"/>
  <c r="B889"/>
  <c r="A889"/>
  <c r="B888"/>
  <c r="A888"/>
  <c r="B887"/>
  <c r="A887"/>
  <c r="B886"/>
  <c r="A886"/>
  <c r="B885"/>
  <c r="A885"/>
  <c r="B884"/>
  <c r="A884"/>
  <c r="B883"/>
  <c r="A883"/>
  <c r="B882"/>
  <c r="A882"/>
  <c r="B881"/>
  <c r="A881"/>
  <c r="B880"/>
  <c r="A880"/>
  <c r="B879"/>
  <c r="A879"/>
  <c r="B878"/>
  <c r="A878"/>
  <c r="B877"/>
  <c r="A877"/>
  <c r="B876"/>
  <c r="A876"/>
  <c r="B875"/>
  <c r="A875"/>
  <c r="B874"/>
  <c r="A874"/>
  <c r="B873"/>
  <c r="A873"/>
  <c r="B872"/>
  <c r="A872"/>
  <c r="B871"/>
  <c r="A871"/>
  <c r="B870"/>
  <c r="A870"/>
  <c r="B869"/>
  <c r="A869"/>
  <c r="B868"/>
  <c r="A868"/>
  <c r="B867"/>
  <c r="A867"/>
  <c r="B866"/>
  <c r="A866"/>
  <c r="B865"/>
  <c r="A865"/>
  <c r="B864"/>
  <c r="A864"/>
  <c r="B863"/>
  <c r="A863"/>
  <c r="B862"/>
  <c r="A862"/>
  <c r="B861"/>
  <c r="A861"/>
  <c r="B860"/>
  <c r="A860"/>
  <c r="B859"/>
  <c r="A859"/>
  <c r="B858"/>
  <c r="A858"/>
  <c r="B857"/>
  <c r="A857"/>
  <c r="B856"/>
  <c r="A856"/>
  <c r="B855"/>
  <c r="A855"/>
  <c r="B854"/>
  <c r="A854"/>
  <c r="B853"/>
  <c r="A853"/>
  <c r="B852"/>
  <c r="A852"/>
  <c r="B851"/>
  <c r="A851"/>
  <c r="B850"/>
  <c r="A850"/>
  <c r="B849"/>
  <c r="A849"/>
  <c r="B848"/>
  <c r="A848"/>
  <c r="B847"/>
  <c r="A847"/>
  <c r="B846"/>
  <c r="A846"/>
  <c r="B845"/>
  <c r="A845"/>
  <c r="B844"/>
  <c r="A844"/>
  <c r="B843"/>
  <c r="A843"/>
  <c r="B842"/>
  <c r="A842"/>
  <c r="B841"/>
  <c r="A841"/>
  <c r="B840"/>
  <c r="A840"/>
  <c r="B839"/>
  <c r="A839"/>
  <c r="B838"/>
  <c r="A838"/>
  <c r="B837"/>
  <c r="A837"/>
  <c r="B836"/>
  <c r="A836"/>
  <c r="B835"/>
  <c r="A835"/>
  <c r="B834"/>
  <c r="A834"/>
  <c r="B833"/>
  <c r="A833"/>
  <c r="B832"/>
  <c r="A832"/>
  <c r="B831"/>
  <c r="A831"/>
  <c r="B830"/>
  <c r="A830"/>
  <c r="B829"/>
  <c r="A829"/>
  <c r="B828"/>
  <c r="A828"/>
  <c r="B827"/>
  <c r="A827"/>
  <c r="B826"/>
  <c r="A826"/>
  <c r="B825"/>
  <c r="A825"/>
  <c r="B824"/>
  <c r="A824"/>
  <c r="B823"/>
  <c r="A823"/>
  <c r="B822"/>
  <c r="A822"/>
  <c r="B821"/>
  <c r="A821"/>
  <c r="B820"/>
  <c r="A820"/>
  <c r="B819"/>
  <c r="A819"/>
  <c r="B818"/>
  <c r="A818"/>
  <c r="B817"/>
  <c r="A817"/>
  <c r="B816"/>
  <c r="A816"/>
  <c r="B815"/>
  <c r="A815"/>
  <c r="B814"/>
  <c r="A814"/>
  <c r="B813"/>
  <c r="A813"/>
  <c r="B812"/>
  <c r="A812"/>
  <c r="B811"/>
  <c r="A811"/>
  <c r="B810"/>
  <c r="A810"/>
  <c r="B809"/>
  <c r="A809"/>
  <c r="B808"/>
  <c r="A808"/>
  <c r="B807"/>
  <c r="A807"/>
  <c r="B806"/>
  <c r="A806"/>
  <c r="B805"/>
  <c r="A805"/>
  <c r="B804"/>
  <c r="A804"/>
  <c r="B803"/>
  <c r="A803"/>
  <c r="B802"/>
  <c r="A802"/>
  <c r="B801"/>
  <c r="A801"/>
  <c r="B800"/>
  <c r="A800"/>
  <c r="B799"/>
  <c r="A799"/>
  <c r="B798"/>
  <c r="A798"/>
  <c r="B797"/>
  <c r="A797"/>
  <c r="B796"/>
  <c r="A796"/>
  <c r="B795"/>
  <c r="A795"/>
  <c r="B794"/>
  <c r="A794"/>
  <c r="B793"/>
  <c r="A793"/>
  <c r="B792"/>
  <c r="A792"/>
  <c r="B791"/>
  <c r="A791"/>
  <c r="B790"/>
  <c r="A790"/>
  <c r="B789"/>
  <c r="A789"/>
  <c r="B788"/>
  <c r="A788"/>
  <c r="B787"/>
  <c r="A787"/>
  <c r="B786"/>
  <c r="A786"/>
  <c r="B785"/>
  <c r="A785"/>
  <c r="B784"/>
  <c r="A784"/>
  <c r="B783"/>
  <c r="A783"/>
  <c r="B782"/>
  <c r="A782"/>
  <c r="B781"/>
  <c r="A781"/>
  <c r="B780"/>
  <c r="A780"/>
  <c r="B779"/>
  <c r="A779"/>
  <c r="B778"/>
  <c r="A778"/>
  <c r="B777"/>
  <c r="A777"/>
  <c r="B776"/>
  <c r="A776"/>
  <c r="B775"/>
  <c r="A775"/>
  <c r="B774"/>
  <c r="A774"/>
  <c r="B773"/>
  <c r="A773"/>
  <c r="B772"/>
  <c r="A772"/>
  <c r="B771"/>
  <c r="A771"/>
  <c r="B770"/>
  <c r="A770"/>
  <c r="B769"/>
  <c r="A769"/>
  <c r="B768"/>
  <c r="A768"/>
  <c r="B767"/>
  <c r="A767"/>
  <c r="B766"/>
  <c r="A766"/>
  <c r="B765"/>
  <c r="A765"/>
  <c r="B764"/>
  <c r="A764"/>
  <c r="B763"/>
  <c r="A763"/>
  <c r="B762"/>
  <c r="A762"/>
  <c r="B761"/>
  <c r="A761"/>
  <c r="B760"/>
  <c r="A760"/>
  <c r="B759"/>
  <c r="A759"/>
  <c r="B758"/>
  <c r="A758"/>
  <c r="B757"/>
  <c r="A757"/>
  <c r="B756"/>
  <c r="A756"/>
  <c r="B755"/>
  <c r="A755"/>
  <c r="B754"/>
  <c r="A754"/>
  <c r="B753"/>
  <c r="A753"/>
  <c r="B752"/>
  <c r="A752"/>
  <c r="B751"/>
  <c r="A751"/>
  <c r="B750"/>
  <c r="A750"/>
  <c r="B749"/>
  <c r="A749"/>
  <c r="B748"/>
  <c r="A748"/>
  <c r="B747"/>
  <c r="A747"/>
  <c r="B746"/>
  <c r="A746"/>
  <c r="B745"/>
  <c r="A745"/>
  <c r="B744"/>
  <c r="A744"/>
  <c r="B743"/>
  <c r="A743"/>
  <c r="B742"/>
  <c r="A742"/>
  <c r="B741"/>
  <c r="A741"/>
  <c r="B740"/>
  <c r="A740"/>
  <c r="B739"/>
  <c r="A739"/>
  <c r="B738"/>
  <c r="A738"/>
  <c r="B737"/>
  <c r="A737"/>
  <c r="B736"/>
  <c r="A736"/>
  <c r="B735"/>
  <c r="A735"/>
  <c r="B734"/>
  <c r="A734"/>
  <c r="B733"/>
  <c r="A733"/>
  <c r="B732"/>
  <c r="A732"/>
  <c r="B731"/>
  <c r="A731"/>
  <c r="B730"/>
  <c r="A730"/>
  <c r="B729"/>
  <c r="A729"/>
  <c r="B728"/>
  <c r="A728"/>
  <c r="B727"/>
  <c r="A727"/>
  <c r="B726"/>
  <c r="A726"/>
  <c r="B725"/>
  <c r="A725"/>
  <c r="B724"/>
  <c r="A724"/>
  <c r="B723"/>
  <c r="A723"/>
  <c r="B722"/>
  <c r="A722"/>
  <c r="B721"/>
  <c r="A721"/>
  <c r="B720"/>
  <c r="A720"/>
  <c r="B719"/>
  <c r="A719"/>
  <c r="B718"/>
  <c r="A718"/>
  <c r="B717"/>
  <c r="A717"/>
  <c r="B716"/>
  <c r="A716"/>
  <c r="B715"/>
  <c r="A715"/>
  <c r="B714"/>
  <c r="A714"/>
  <c r="B713"/>
  <c r="A713"/>
  <c r="B712"/>
  <c r="A712"/>
  <c r="B711"/>
  <c r="A711"/>
  <c r="B710"/>
  <c r="A710"/>
  <c r="B709"/>
  <c r="A709"/>
  <c r="B708"/>
  <c r="A708"/>
  <c r="B707"/>
  <c r="A707"/>
  <c r="B706"/>
  <c r="A706"/>
  <c r="B705"/>
  <c r="A705"/>
  <c r="B704"/>
  <c r="A704"/>
  <c r="B703"/>
  <c r="A703"/>
  <c r="B702"/>
  <c r="A702"/>
  <c r="B701"/>
  <c r="A701"/>
  <c r="B700"/>
  <c r="A700"/>
  <c r="B699"/>
  <c r="A699"/>
  <c r="B698"/>
  <c r="A698"/>
  <c r="B697"/>
  <c r="A697"/>
  <c r="B696"/>
  <c r="A696"/>
  <c r="B695"/>
  <c r="A695"/>
  <c r="B694"/>
  <c r="A694"/>
  <c r="B693"/>
  <c r="A693"/>
  <c r="B692"/>
  <c r="A692"/>
  <c r="B691"/>
  <c r="A691"/>
  <c r="B690"/>
  <c r="A690"/>
  <c r="B689"/>
  <c r="A689"/>
  <c r="B688"/>
  <c r="A688"/>
  <c r="B687"/>
  <c r="A687"/>
  <c r="B686"/>
  <c r="A686"/>
  <c r="B685"/>
  <c r="A685"/>
  <c r="B684"/>
  <c r="A684"/>
  <c r="B683"/>
  <c r="A683"/>
  <c r="B682"/>
  <c r="A682"/>
  <c r="B681"/>
  <c r="A681"/>
  <c r="B680"/>
  <c r="A680"/>
  <c r="B679"/>
  <c r="A679"/>
  <c r="B678"/>
  <c r="A678"/>
  <c r="B677"/>
  <c r="A677"/>
  <c r="B676"/>
  <c r="A676"/>
  <c r="B675"/>
  <c r="A675"/>
  <c r="B674"/>
  <c r="A674"/>
  <c r="B673"/>
  <c r="A673"/>
  <c r="B672"/>
  <c r="A672"/>
  <c r="B671"/>
  <c r="A671"/>
  <c r="B670"/>
  <c r="A670"/>
  <c r="B669"/>
  <c r="A669"/>
  <c r="B668"/>
  <c r="A668"/>
  <c r="B667"/>
  <c r="A667"/>
  <c r="B666"/>
  <c r="A666"/>
  <c r="B665"/>
  <c r="A665"/>
  <c r="B664"/>
  <c r="A664"/>
  <c r="B663"/>
  <c r="A663"/>
  <c r="B662"/>
  <c r="A662"/>
  <c r="B661"/>
  <c r="A661"/>
  <c r="B660"/>
  <c r="A660"/>
  <c r="B659"/>
  <c r="A659"/>
  <c r="B658"/>
  <c r="A658"/>
  <c r="B657"/>
  <c r="A657"/>
  <c r="B656"/>
  <c r="A656"/>
  <c r="B655"/>
  <c r="A655"/>
  <c r="B654"/>
  <c r="A654"/>
  <c r="B653"/>
  <c r="A653"/>
  <c r="B652"/>
  <c r="A652"/>
  <c r="B651"/>
  <c r="A651"/>
  <c r="B650"/>
  <c r="A650"/>
  <c r="B649"/>
  <c r="A649"/>
  <c r="B648"/>
  <c r="A648"/>
  <c r="B647"/>
  <c r="A647"/>
  <c r="B646"/>
  <c r="A646"/>
  <c r="B645"/>
  <c r="A645"/>
  <c r="B644"/>
  <c r="A644"/>
  <c r="B643"/>
  <c r="A643"/>
  <c r="B642"/>
  <c r="A642"/>
  <c r="B641"/>
  <c r="A641"/>
  <c r="B640"/>
  <c r="A640"/>
  <c r="B639"/>
  <c r="A639"/>
  <c r="B638"/>
  <c r="A638"/>
  <c r="B637"/>
  <c r="A637"/>
  <c r="B636"/>
  <c r="A636"/>
  <c r="B635"/>
  <c r="A635"/>
  <c r="B634"/>
  <c r="A634"/>
  <c r="B633"/>
  <c r="A633"/>
  <c r="B632"/>
  <c r="A632"/>
  <c r="B631"/>
  <c r="A631"/>
  <c r="B630"/>
  <c r="A630"/>
  <c r="B629"/>
  <c r="A629"/>
  <c r="B628"/>
  <c r="A628"/>
  <c r="B627"/>
  <c r="A627"/>
  <c r="B626"/>
  <c r="A626"/>
  <c r="B625"/>
  <c r="A625"/>
  <c r="B624"/>
  <c r="A624"/>
  <c r="B623"/>
  <c r="A623"/>
  <c r="B622"/>
  <c r="A622"/>
  <c r="B621"/>
  <c r="A621"/>
  <c r="B620"/>
  <c r="A620"/>
  <c r="B619"/>
  <c r="A619"/>
  <c r="B618"/>
  <c r="A618"/>
  <c r="B617"/>
  <c r="A617"/>
  <c r="B616"/>
  <c r="A616"/>
  <c r="B615"/>
  <c r="A615"/>
  <c r="B614"/>
  <c r="A614"/>
  <c r="B613"/>
  <c r="A613"/>
  <c r="B612"/>
  <c r="A612"/>
  <c r="B611"/>
  <c r="A611"/>
  <c r="B610"/>
  <c r="A610"/>
  <c r="B609"/>
  <c r="A609"/>
  <c r="B608"/>
  <c r="A608"/>
  <c r="B607"/>
  <c r="A607"/>
  <c r="B606"/>
  <c r="A606"/>
  <c r="B605"/>
  <c r="A605"/>
  <c r="B604"/>
  <c r="A604"/>
  <c r="B603"/>
  <c r="A603"/>
  <c r="B602"/>
  <c r="A602"/>
  <c r="B601"/>
  <c r="A601"/>
  <c r="B600"/>
  <c r="A600"/>
  <c r="B599"/>
  <c r="A599"/>
  <c r="B598"/>
  <c r="A598"/>
  <c r="B597"/>
  <c r="A597"/>
  <c r="B596"/>
  <c r="A596"/>
  <c r="B595"/>
  <c r="A595"/>
  <c r="B594"/>
  <c r="A594"/>
  <c r="B593"/>
  <c r="A593"/>
  <c r="B592"/>
  <c r="A592"/>
  <c r="B591"/>
  <c r="A591"/>
  <c r="B590"/>
  <c r="A590"/>
  <c r="B589"/>
  <c r="A589"/>
  <c r="B588"/>
  <c r="A588"/>
  <c r="B587"/>
  <c r="A587"/>
  <c r="B586"/>
  <c r="A586"/>
  <c r="B585"/>
  <c r="A585"/>
  <c r="B584"/>
  <c r="A584"/>
  <c r="B583"/>
  <c r="A583"/>
  <c r="B582"/>
  <c r="A582"/>
  <c r="B581"/>
  <c r="A581"/>
  <c r="B580"/>
  <c r="A580"/>
  <c r="B579"/>
  <c r="A579"/>
  <c r="B578"/>
  <c r="A578"/>
  <c r="B577"/>
  <c r="A577"/>
  <c r="B576"/>
  <c r="A576"/>
  <c r="B575"/>
  <c r="A575"/>
  <c r="B574"/>
  <c r="A574"/>
  <c r="B573"/>
  <c r="A573"/>
  <c r="B572"/>
  <c r="A572"/>
  <c r="B571"/>
  <c r="A571"/>
  <c r="B570"/>
  <c r="A570"/>
  <c r="B569"/>
  <c r="A569"/>
  <c r="B568"/>
  <c r="A568"/>
  <c r="B567"/>
  <c r="A567"/>
  <c r="B566"/>
  <c r="A566"/>
  <c r="B565"/>
  <c r="A565"/>
  <c r="B564"/>
  <c r="A564"/>
  <c r="B563"/>
  <c r="A563"/>
  <c r="B562"/>
  <c r="A562"/>
  <c r="B561"/>
  <c r="A561"/>
  <c r="B560"/>
  <c r="A560"/>
  <c r="B559"/>
  <c r="A559"/>
  <c r="B558"/>
  <c r="A558"/>
  <c r="B557"/>
  <c r="A557"/>
  <c r="B556"/>
  <c r="A556"/>
  <c r="B555"/>
  <c r="A555"/>
  <c r="B554"/>
  <c r="A554"/>
  <c r="B553"/>
  <c r="A553"/>
  <c r="B552"/>
  <c r="A552"/>
  <c r="B551"/>
  <c r="A551"/>
  <c r="B550"/>
  <c r="A550"/>
  <c r="B549"/>
  <c r="A549"/>
  <c r="B548"/>
  <c r="A548"/>
  <c r="B547"/>
  <c r="A547"/>
  <c r="B546"/>
  <c r="A546"/>
  <c r="B545"/>
  <c r="A545"/>
  <c r="B544"/>
  <c r="A544"/>
  <c r="B543"/>
  <c r="A543"/>
  <c r="B542"/>
  <c r="A542"/>
  <c r="B541"/>
  <c r="A541"/>
  <c r="B540"/>
  <c r="A540"/>
  <c r="B539"/>
  <c r="A539"/>
  <c r="B538"/>
  <c r="A538"/>
  <c r="B537"/>
  <c r="A537"/>
  <c r="B536"/>
  <c r="A536"/>
  <c r="B535"/>
  <c r="A535"/>
  <c r="B534"/>
  <c r="A534"/>
  <c r="B533"/>
  <c r="A533"/>
  <c r="B532"/>
  <c r="A532"/>
  <c r="B531"/>
  <c r="A531"/>
  <c r="B530"/>
  <c r="A530"/>
  <c r="B529"/>
  <c r="A529"/>
  <c r="B528"/>
  <c r="A528"/>
  <c r="B527"/>
  <c r="A527"/>
  <c r="B526"/>
  <c r="A526"/>
  <c r="B525"/>
  <c r="A525"/>
  <c r="B524"/>
  <c r="A524"/>
  <c r="B523"/>
  <c r="A523"/>
  <c r="B522"/>
  <c r="A522"/>
  <c r="B521"/>
  <c r="A521"/>
  <c r="B520"/>
  <c r="A520"/>
  <c r="B519"/>
  <c r="A519"/>
  <c r="B518"/>
  <c r="A518"/>
  <c r="B517"/>
  <c r="A517"/>
  <c r="B516"/>
  <c r="A516"/>
  <c r="B515"/>
  <c r="A515"/>
  <c r="B514"/>
  <c r="A514"/>
  <c r="B513"/>
  <c r="A513"/>
  <c r="B512"/>
  <c r="A512"/>
  <c r="B511"/>
  <c r="A511"/>
  <c r="B510"/>
  <c r="A510"/>
  <c r="B509"/>
  <c r="A509"/>
  <c r="B508"/>
  <c r="A508"/>
  <c r="B507"/>
  <c r="A507"/>
  <c r="B506"/>
  <c r="A506"/>
  <c r="B505"/>
  <c r="A505"/>
  <c r="B504"/>
  <c r="A504"/>
  <c r="B503"/>
  <c r="A503"/>
  <c r="B502"/>
  <c r="A502"/>
  <c r="B501"/>
  <c r="A501"/>
  <c r="B500"/>
  <c r="A500"/>
  <c r="B499"/>
  <c r="A499"/>
  <c r="B498"/>
  <c r="A498"/>
  <c r="B497"/>
  <c r="A497"/>
  <c r="B496"/>
  <c r="A496"/>
  <c r="B495"/>
  <c r="A495"/>
  <c r="B494"/>
  <c r="A494"/>
  <c r="B493"/>
  <c r="A493"/>
  <c r="B492"/>
  <c r="A492"/>
  <c r="B491"/>
  <c r="A491"/>
  <c r="B490"/>
  <c r="A490"/>
  <c r="B489"/>
  <c r="A489"/>
  <c r="B488"/>
  <c r="A488"/>
  <c r="B487"/>
  <c r="A487"/>
  <c r="B486"/>
  <c r="A486"/>
  <c r="B485"/>
  <c r="A485"/>
  <c r="B484"/>
  <c r="A484"/>
  <c r="B483"/>
  <c r="A483"/>
  <c r="B482"/>
  <c r="A482"/>
  <c r="B481"/>
  <c r="A481"/>
  <c r="B480"/>
  <c r="A480"/>
  <c r="B479"/>
  <c r="A479"/>
  <c r="B478"/>
  <c r="A478"/>
  <c r="B477"/>
  <c r="A477"/>
  <c r="B476"/>
  <c r="A476"/>
  <c r="B475"/>
  <c r="A475"/>
  <c r="B474"/>
  <c r="A474"/>
  <c r="B473"/>
  <c r="A473"/>
  <c r="B472"/>
  <c r="A472"/>
  <c r="B471"/>
  <c r="A471"/>
  <c r="B470"/>
  <c r="A470"/>
  <c r="B469"/>
  <c r="A469"/>
  <c r="B468"/>
  <c r="A468"/>
  <c r="B467"/>
  <c r="A467"/>
  <c r="B466"/>
  <c r="A466"/>
  <c r="B465"/>
  <c r="A465"/>
  <c r="B464"/>
  <c r="A464"/>
  <c r="B463"/>
  <c r="A463"/>
  <c r="B462"/>
  <c r="A462"/>
  <c r="B461"/>
  <c r="A461"/>
  <c r="B460"/>
  <c r="A460"/>
  <c r="B459"/>
  <c r="A459"/>
  <c r="B458"/>
  <c r="A458"/>
  <c r="B457"/>
  <c r="A457"/>
  <c r="B456"/>
  <c r="A456"/>
  <c r="B455"/>
  <c r="A455"/>
  <c r="B454"/>
  <c r="A454"/>
  <c r="B453"/>
  <c r="A453"/>
  <c r="B452"/>
  <c r="A452"/>
  <c r="B451"/>
  <c r="A451"/>
  <c r="B450"/>
  <c r="A450"/>
  <c r="B449"/>
  <c r="A449"/>
  <c r="B448"/>
  <c r="A448"/>
  <c r="B447"/>
  <c r="A447"/>
  <c r="B446"/>
  <c r="A446"/>
  <c r="B445"/>
  <c r="A445"/>
  <c r="B444"/>
  <c r="A444"/>
  <c r="B443"/>
  <c r="A443"/>
  <c r="B442"/>
  <c r="A442"/>
  <c r="B441"/>
  <c r="A441"/>
  <c r="B440"/>
  <c r="A440"/>
  <c r="B439"/>
  <c r="A439"/>
  <c r="B438"/>
  <c r="A438"/>
  <c r="B437"/>
  <c r="A437"/>
  <c r="B436"/>
  <c r="A436"/>
  <c r="B435"/>
  <c r="A435"/>
  <c r="B434"/>
  <c r="A434"/>
  <c r="B433"/>
  <c r="A433"/>
  <c r="B432"/>
  <c r="A432"/>
  <c r="B431"/>
  <c r="A431"/>
  <c r="B430"/>
  <c r="A430"/>
  <c r="B429"/>
  <c r="A429"/>
  <c r="B428"/>
  <c r="A428"/>
  <c r="B427"/>
  <c r="A427"/>
  <c r="B426"/>
  <c r="A426"/>
  <c r="B425"/>
  <c r="A425"/>
  <c r="B424"/>
  <c r="A424"/>
  <c r="B423"/>
  <c r="A423"/>
  <c r="B422"/>
  <c r="A422"/>
  <c r="B421"/>
  <c r="A421"/>
  <c r="B420"/>
  <c r="A420"/>
  <c r="B419"/>
  <c r="A419"/>
  <c r="B418"/>
  <c r="A418"/>
  <c r="B417"/>
  <c r="A417"/>
  <c r="B416"/>
  <c r="A416"/>
  <c r="B415"/>
  <c r="A415"/>
  <c r="B414"/>
  <c r="A414"/>
  <c r="B413"/>
  <c r="A413"/>
  <c r="B412"/>
  <c r="A412"/>
  <c r="B411"/>
  <c r="A411"/>
  <c r="B410"/>
  <c r="A410"/>
  <c r="B409"/>
  <c r="A409"/>
  <c r="B408"/>
  <c r="A408"/>
  <c r="B407"/>
  <c r="A407"/>
  <c r="B406"/>
  <c r="A406"/>
  <c r="B405"/>
  <c r="A405"/>
  <c r="B404"/>
  <c r="A404"/>
  <c r="B403"/>
  <c r="A403"/>
  <c r="B402"/>
  <c r="A402"/>
  <c r="B401"/>
  <c r="A401"/>
  <c r="B400"/>
  <c r="A400"/>
  <c r="B399"/>
  <c r="A399"/>
  <c r="B398"/>
  <c r="A398"/>
  <c r="B397"/>
  <c r="A397"/>
  <c r="B396"/>
  <c r="A396"/>
  <c r="B395"/>
  <c r="A395"/>
  <c r="B394"/>
  <c r="A394"/>
  <c r="B393"/>
  <c r="A393"/>
  <c r="B392"/>
  <c r="A392"/>
  <c r="B391"/>
  <c r="A391"/>
  <c r="B390"/>
  <c r="A390"/>
  <c r="B389"/>
  <c r="A389"/>
  <c r="B388"/>
  <c r="A388"/>
  <c r="B387"/>
  <c r="A387"/>
  <c r="B386"/>
  <c r="A386"/>
  <c r="B385"/>
  <c r="A385"/>
  <c r="B384"/>
  <c r="A384"/>
  <c r="B383"/>
  <c r="A383"/>
  <c r="B382"/>
  <c r="A382"/>
  <c r="B381"/>
  <c r="A381"/>
  <c r="B380"/>
  <c r="A380"/>
  <c r="B379"/>
  <c r="A379"/>
  <c r="B378"/>
  <c r="A378"/>
  <c r="B377"/>
  <c r="A377"/>
  <c r="B376"/>
  <c r="A376"/>
  <c r="B375"/>
  <c r="A375"/>
  <c r="B374"/>
  <c r="A374"/>
  <c r="B373"/>
  <c r="A373"/>
  <c r="B372"/>
  <c r="A372"/>
  <c r="B371"/>
  <c r="A371"/>
  <c r="B370"/>
  <c r="A370"/>
  <c r="B369"/>
  <c r="A369"/>
  <c r="B368"/>
  <c r="A368"/>
  <c r="B367"/>
  <c r="A367"/>
  <c r="B366"/>
  <c r="A366"/>
  <c r="B365"/>
  <c r="A365"/>
  <c r="B364"/>
  <c r="A364"/>
  <c r="B363"/>
  <c r="A363"/>
  <c r="B362"/>
  <c r="A362"/>
  <c r="B361"/>
  <c r="A361"/>
  <c r="B360"/>
  <c r="A360"/>
  <c r="B359"/>
  <c r="A359"/>
  <c r="B358"/>
  <c r="A358"/>
  <c r="B357"/>
  <c r="A357"/>
  <c r="B356"/>
  <c r="A356"/>
  <c r="B355"/>
  <c r="A355"/>
  <c r="B354"/>
  <c r="A354"/>
  <c r="B353"/>
  <c r="A353"/>
  <c r="B352"/>
  <c r="A352"/>
  <c r="B351"/>
  <c r="A351"/>
  <c r="B350"/>
  <c r="A350"/>
  <c r="B349"/>
  <c r="A349"/>
  <c r="B348"/>
  <c r="A348"/>
  <c r="B347"/>
  <c r="A347"/>
  <c r="B346"/>
  <c r="A346"/>
  <c r="B345"/>
  <c r="A345"/>
  <c r="B344"/>
  <c r="A344"/>
  <c r="B343"/>
  <c r="A343"/>
  <c r="B342"/>
  <c r="A342"/>
  <c r="B341"/>
  <c r="A341"/>
  <c r="B340"/>
  <c r="A340"/>
  <c r="B339"/>
  <c r="A339"/>
  <c r="B338"/>
  <c r="A338"/>
  <c r="B337"/>
  <c r="A337"/>
  <c r="B336"/>
  <c r="A336"/>
  <c r="B335"/>
  <c r="A335"/>
  <c r="B334"/>
  <c r="A334"/>
  <c r="B333"/>
  <c r="A333"/>
  <c r="B332"/>
  <c r="A332"/>
  <c r="B331"/>
  <c r="A331"/>
  <c r="B330"/>
  <c r="A330"/>
  <c r="B329"/>
  <c r="A329"/>
  <c r="B328"/>
  <c r="A328"/>
  <c r="B327"/>
  <c r="A327"/>
  <c r="B326"/>
  <c r="A326"/>
  <c r="B325"/>
  <c r="A325"/>
  <c r="B324"/>
  <c r="A324"/>
  <c r="B323"/>
  <c r="A323"/>
  <c r="B322"/>
  <c r="A322"/>
  <c r="B321"/>
  <c r="A321"/>
  <c r="B320"/>
  <c r="A320"/>
  <c r="B319"/>
  <c r="A319"/>
  <c r="B318"/>
  <c r="A318"/>
  <c r="B317"/>
  <c r="A317"/>
  <c r="B316"/>
  <c r="A316"/>
  <c r="B315"/>
  <c r="A315"/>
  <c r="B314"/>
  <c r="A314"/>
  <c r="B313"/>
  <c r="A313"/>
  <c r="B312"/>
  <c r="A312"/>
  <c r="B311"/>
  <c r="A311"/>
  <c r="B310"/>
  <c r="A310"/>
  <c r="B309"/>
  <c r="A309"/>
  <c r="B308"/>
  <c r="A308"/>
  <c r="B307"/>
  <c r="A307"/>
  <c r="B306"/>
  <c r="A306"/>
  <c r="B305"/>
  <c r="A305"/>
  <c r="B304"/>
  <c r="A304"/>
  <c r="B303"/>
  <c r="A303"/>
  <c r="B302"/>
  <c r="A302"/>
  <c r="B301"/>
  <c r="A301"/>
  <c r="B300"/>
  <c r="A300"/>
  <c r="B299"/>
  <c r="A299"/>
  <c r="B298"/>
  <c r="A298"/>
  <c r="B297"/>
  <c r="A297"/>
  <c r="B296"/>
  <c r="A296"/>
  <c r="B295"/>
  <c r="A295"/>
  <c r="B294"/>
  <c r="A294"/>
  <c r="B293"/>
  <c r="A293"/>
  <c r="B292"/>
  <c r="A292"/>
  <c r="B291"/>
  <c r="A291"/>
  <c r="B290"/>
  <c r="A290"/>
  <c r="B289"/>
  <c r="A289"/>
  <c r="B288"/>
  <c r="A288"/>
  <c r="B287"/>
  <c r="A287"/>
  <c r="B286"/>
  <c r="A286"/>
  <c r="B285"/>
  <c r="A285"/>
  <c r="B284"/>
  <c r="A284"/>
  <c r="B283"/>
  <c r="A283"/>
  <c r="B282"/>
  <c r="A282"/>
  <c r="B281"/>
  <c r="A281"/>
  <c r="B280"/>
  <c r="A280"/>
  <c r="B279"/>
  <c r="A279"/>
  <c r="B278"/>
  <c r="A278"/>
  <c r="B277"/>
  <c r="A277"/>
  <c r="B276"/>
  <c r="A276"/>
  <c r="B275"/>
  <c r="A275"/>
  <c r="B274"/>
  <c r="A274"/>
  <c r="B273"/>
  <c r="A273"/>
  <c r="B272"/>
  <c r="A272"/>
  <c r="B271"/>
  <c r="A271"/>
  <c r="B270"/>
  <c r="A270"/>
  <c r="B269"/>
  <c r="A269"/>
  <c r="B268"/>
  <c r="A268"/>
  <c r="B267"/>
  <c r="A267"/>
  <c r="B266"/>
  <c r="A266"/>
  <c r="B265"/>
  <c r="A265"/>
  <c r="B264"/>
  <c r="A264"/>
  <c r="B263"/>
  <c r="A263"/>
  <c r="B262"/>
  <c r="A262"/>
  <c r="B261"/>
  <c r="A261"/>
  <c r="B260"/>
  <c r="A260"/>
  <c r="B259"/>
  <c r="A259"/>
  <c r="B258"/>
  <c r="A258"/>
  <c r="B257"/>
  <c r="A257"/>
  <c r="B256"/>
  <c r="A256"/>
  <c r="B255"/>
  <c r="A255"/>
  <c r="B254"/>
  <c r="A254"/>
  <c r="B253"/>
  <c r="A253"/>
  <c r="B252"/>
  <c r="A252"/>
  <c r="B251"/>
  <c r="A251"/>
  <c r="B250"/>
  <c r="A250"/>
  <c r="B249"/>
  <c r="A249"/>
  <c r="B248"/>
  <c r="A248"/>
  <c r="B247"/>
  <c r="A247"/>
  <c r="B246"/>
  <c r="A246"/>
  <c r="B245"/>
  <c r="A245"/>
  <c r="B244"/>
  <c r="A244"/>
  <c r="B243"/>
  <c r="A243"/>
  <c r="B242"/>
  <c r="A242"/>
  <c r="B241"/>
  <c r="A241"/>
  <c r="B240"/>
  <c r="A240"/>
  <c r="B239"/>
  <c r="A239"/>
  <c r="B238"/>
  <c r="A238"/>
  <c r="B237"/>
  <c r="A237"/>
  <c r="B236"/>
  <c r="A236"/>
  <c r="B235"/>
  <c r="A235"/>
  <c r="B234"/>
  <c r="A234"/>
  <c r="B233"/>
  <c r="A233"/>
  <c r="B232"/>
  <c r="A232"/>
  <c r="B231"/>
  <c r="A231"/>
  <c r="B230"/>
  <c r="A230"/>
  <c r="B229"/>
  <c r="A229"/>
  <c r="B228"/>
  <c r="A228"/>
  <c r="B227"/>
  <c r="A227"/>
  <c r="B226"/>
  <c r="A226"/>
  <c r="B225"/>
  <c r="A225"/>
  <c r="B224"/>
  <c r="A224"/>
  <c r="B223"/>
  <c r="A223"/>
  <c r="B222"/>
  <c r="A222"/>
  <c r="B221"/>
  <c r="A221"/>
  <c r="B220"/>
  <c r="A220"/>
  <c r="B219"/>
  <c r="A219"/>
  <c r="B218"/>
  <c r="A218"/>
  <c r="B217"/>
  <c r="A217"/>
  <c r="B216"/>
  <c r="A216"/>
  <c r="B215"/>
  <c r="A215"/>
  <c r="B214"/>
  <c r="A214"/>
  <c r="B213"/>
  <c r="A213"/>
  <c r="B212"/>
  <c r="A212"/>
  <c r="B211"/>
  <c r="A211"/>
  <c r="B210"/>
  <c r="A210"/>
  <c r="B209"/>
  <c r="A209"/>
  <c r="B208"/>
  <c r="A208"/>
  <c r="B207"/>
  <c r="A207"/>
  <c r="B206"/>
  <c r="A206"/>
  <c r="B205"/>
  <c r="A205"/>
  <c r="B204"/>
  <c r="A204"/>
  <c r="B203"/>
  <c r="A203"/>
  <c r="B202"/>
  <c r="A202"/>
  <c r="B201"/>
  <c r="A201"/>
  <c r="B200"/>
  <c r="A200"/>
  <c r="B199"/>
  <c r="A199"/>
  <c r="B198"/>
  <c r="A198"/>
  <c r="B197"/>
  <c r="A197"/>
  <c r="B196"/>
  <c r="A196"/>
  <c r="B195"/>
  <c r="A195"/>
  <c r="B194"/>
  <c r="A194"/>
  <c r="B193"/>
  <c r="A193"/>
  <c r="B192"/>
  <c r="A192"/>
  <c r="B191"/>
  <c r="A191"/>
  <c r="B190"/>
  <c r="A190"/>
  <c r="B189"/>
  <c r="A189"/>
  <c r="B188"/>
  <c r="A188"/>
  <c r="B187"/>
  <c r="A187"/>
  <c r="B186"/>
  <c r="A186"/>
  <c r="B185"/>
  <c r="A185"/>
  <c r="B184"/>
  <c r="A184"/>
  <c r="B183"/>
  <c r="A183"/>
  <c r="B182"/>
  <c r="A182"/>
  <c r="B181"/>
  <c r="A181"/>
  <c r="B180"/>
  <c r="A180"/>
  <c r="B179"/>
  <c r="A179"/>
  <c r="B178"/>
  <c r="A178"/>
  <c r="B177"/>
  <c r="A177"/>
  <c r="B176"/>
  <c r="A176"/>
  <c r="B175"/>
  <c r="A175"/>
  <c r="B174"/>
  <c r="A174"/>
  <c r="B173"/>
  <c r="A173"/>
  <c r="B172"/>
  <c r="A172"/>
  <c r="B171"/>
  <c r="A171"/>
  <c r="B170"/>
  <c r="A170"/>
  <c r="B169"/>
  <c r="A169"/>
  <c r="B168"/>
  <c r="A168"/>
  <c r="B167"/>
  <c r="A167"/>
  <c r="B166"/>
  <c r="A166"/>
  <c r="B165"/>
  <c r="A165"/>
  <c r="B164"/>
  <c r="A164"/>
  <c r="B163"/>
  <c r="A163"/>
  <c r="B162"/>
  <c r="A162"/>
  <c r="B161"/>
  <c r="A161"/>
  <c r="B160"/>
  <c r="A160"/>
  <c r="B159"/>
  <c r="A159"/>
  <c r="B158"/>
  <c r="A158"/>
  <c r="B157"/>
  <c r="A157"/>
  <c r="B156"/>
  <c r="A156"/>
  <c r="B155"/>
  <c r="A155"/>
  <c r="B154"/>
  <c r="A154"/>
  <c r="B153"/>
  <c r="A153"/>
  <c r="B152"/>
  <c r="A152"/>
  <c r="B151"/>
  <c r="A151"/>
  <c r="B150"/>
  <c r="A150"/>
  <c r="B149"/>
  <c r="A149"/>
  <c r="B148"/>
  <c r="A148"/>
  <c r="B147"/>
  <c r="A147"/>
  <c r="B146"/>
  <c r="A146"/>
  <c r="B145"/>
  <c r="A145"/>
  <c r="B144"/>
  <c r="A144"/>
  <c r="B143"/>
  <c r="A143"/>
  <c r="B142"/>
  <c r="A142"/>
  <c r="B141"/>
  <c r="A141"/>
  <c r="B140"/>
  <c r="A140"/>
  <c r="B139"/>
  <c r="A139"/>
  <c r="B138"/>
  <c r="A138"/>
  <c r="B137"/>
  <c r="A137"/>
  <c r="B136"/>
  <c r="A136"/>
  <c r="B135"/>
  <c r="A135"/>
  <c r="B134"/>
  <c r="A134"/>
  <c r="B133"/>
  <c r="A133"/>
  <c r="B132"/>
  <c r="A132"/>
  <c r="B131"/>
  <c r="A131"/>
  <c r="B130"/>
  <c r="A130"/>
  <c r="B129"/>
  <c r="A129"/>
  <c r="B128"/>
  <c r="A128"/>
  <c r="B127"/>
  <c r="A127"/>
  <c r="B126"/>
  <c r="A126"/>
  <c r="B125"/>
  <c r="A125"/>
  <c r="B124"/>
  <c r="A124"/>
  <c r="B123"/>
  <c r="A123"/>
  <c r="B122"/>
  <c r="A122"/>
  <c r="B121"/>
  <c r="A121"/>
  <c r="B120"/>
  <c r="A120"/>
  <c r="B119"/>
  <c r="A119"/>
  <c r="B118"/>
  <c r="A118"/>
  <c r="B117"/>
  <c r="A117"/>
  <c r="B116"/>
  <c r="A116"/>
  <c r="B115"/>
  <c r="A115"/>
  <c r="B114"/>
  <c r="A114"/>
  <c r="B113"/>
  <c r="A113"/>
  <c r="B112"/>
  <c r="A112"/>
  <c r="B111"/>
  <c r="A111"/>
  <c r="B110"/>
  <c r="A110"/>
  <c r="B109"/>
  <c r="A109"/>
  <c r="B108"/>
  <c r="A108"/>
  <c r="B107"/>
  <c r="A107"/>
  <c r="B106"/>
  <c r="A106"/>
  <c r="B105"/>
  <c r="A105"/>
  <c r="B104"/>
  <c r="A104"/>
  <c r="B103"/>
  <c r="A103"/>
  <c r="B102"/>
  <c r="A102"/>
  <c r="B101"/>
  <c r="A101"/>
  <c r="B100"/>
  <c r="A100"/>
  <c r="B99"/>
  <c r="A99"/>
  <c r="B98"/>
  <c r="A98"/>
  <c r="B97"/>
  <c r="A97"/>
  <c r="B96"/>
  <c r="A96"/>
  <c r="B95"/>
  <c r="A95"/>
  <c r="B94"/>
  <c r="A94"/>
  <c r="B93"/>
  <c r="A93"/>
  <c r="B92"/>
  <c r="A92"/>
  <c r="B91"/>
  <c r="A91"/>
  <c r="B90"/>
  <c r="A90"/>
  <c r="B89"/>
  <c r="A89"/>
  <c r="B88"/>
  <c r="A88"/>
  <c r="B87"/>
  <c r="A87"/>
  <c r="B86"/>
  <c r="A86"/>
  <c r="B85"/>
  <c r="A85"/>
  <c r="B84"/>
  <c r="A84"/>
  <c r="B83"/>
  <c r="A83"/>
  <c r="B82"/>
  <c r="A82"/>
  <c r="B81"/>
  <c r="A81"/>
  <c r="B80"/>
  <c r="A80"/>
  <c r="B79"/>
  <c r="A79"/>
  <c r="B78"/>
  <c r="A78"/>
  <c r="B77"/>
  <c r="A77"/>
  <c r="B76"/>
  <c r="A76"/>
  <c r="B75"/>
  <c r="A75"/>
  <c r="B74"/>
  <c r="A74"/>
  <c r="B73"/>
  <c r="A73"/>
  <c r="B72"/>
  <c r="A72"/>
  <c r="B71"/>
  <c r="A71"/>
  <c r="B70"/>
  <c r="A70"/>
  <c r="B69"/>
  <c r="A69"/>
  <c r="B68"/>
  <c r="A68"/>
  <c r="B67"/>
  <c r="A67"/>
  <c r="B66"/>
  <c r="A66"/>
  <c r="B65"/>
  <c r="A65"/>
  <c r="B64"/>
  <c r="A64"/>
  <c r="B63"/>
  <c r="A63"/>
  <c r="B62"/>
  <c r="A62"/>
  <c r="B61"/>
  <c r="A61"/>
  <c r="B60"/>
  <c r="A60"/>
  <c r="B59"/>
  <c r="A59"/>
  <c r="B58"/>
  <c r="A58"/>
  <c r="B57"/>
  <c r="A57"/>
  <c r="B56"/>
  <c r="A56"/>
  <c r="B55"/>
  <c r="A55"/>
  <c r="B54"/>
  <c r="A54"/>
  <c r="B53"/>
  <c r="A53"/>
  <c r="B52"/>
  <c r="A52"/>
  <c r="B51"/>
  <c r="A51"/>
  <c r="B50"/>
  <c r="A50"/>
  <c r="B49"/>
  <c r="A49"/>
  <c r="B48"/>
  <c r="A48"/>
  <c r="B47"/>
  <c r="A47"/>
  <c r="B46"/>
  <c r="A46"/>
  <c r="B45"/>
  <c r="A45"/>
  <c r="B44"/>
  <c r="A44"/>
  <c r="B43"/>
  <c r="A43"/>
  <c r="B42"/>
  <c r="A42"/>
  <c r="B41"/>
  <c r="A41"/>
  <c r="B40"/>
  <c r="A40"/>
  <c r="B39"/>
  <c r="A39"/>
  <c r="B38"/>
  <c r="A38"/>
  <c r="B37"/>
  <c r="A37"/>
  <c r="B36"/>
  <c r="A36"/>
  <c r="B35"/>
  <c r="A35"/>
  <c r="B34"/>
  <c r="A34"/>
  <c r="B33"/>
  <c r="A33"/>
  <c r="B32"/>
  <c r="A32"/>
  <c r="B31"/>
  <c r="A31"/>
  <c r="B30"/>
  <c r="A30"/>
  <c r="B29"/>
  <c r="A29"/>
  <c r="B28"/>
  <c r="A28"/>
  <c r="B27"/>
  <c r="A27"/>
  <c r="B26"/>
  <c r="A26"/>
  <c r="B25"/>
  <c r="A25"/>
  <c r="B24"/>
  <c r="A24"/>
  <c r="B23"/>
  <c r="A23"/>
  <c r="B22"/>
  <c r="A22"/>
  <c r="B21"/>
  <c r="A21"/>
  <c r="B20"/>
  <c r="A20"/>
  <c r="B19"/>
  <c r="A19"/>
  <c r="B18"/>
  <c r="A18"/>
  <c r="B17"/>
  <c r="A17"/>
  <c r="B16"/>
  <c r="A16"/>
  <c r="B15"/>
  <c r="A15"/>
  <c r="B14"/>
  <c r="A14"/>
  <c r="B13"/>
  <c r="A13"/>
  <c r="B12"/>
  <c r="A12"/>
  <c r="B11"/>
  <c r="A11"/>
  <c r="B10"/>
  <c r="A10"/>
  <c r="B9"/>
  <c r="A9"/>
  <c r="B8"/>
  <c r="A8"/>
  <c r="B7"/>
  <c r="A7"/>
  <c r="R4" i="24"/>
  <c r="Q4"/>
  <c r="P4"/>
  <c r="O4"/>
  <c r="N4"/>
  <c r="M4"/>
  <c r="L4"/>
  <c r="K4"/>
  <c r="J4"/>
  <c r="I4"/>
  <c r="H4"/>
  <c r="G4"/>
  <c r="M3"/>
  <c r="B2202" i="20"/>
  <c r="A2202"/>
  <c r="B2201"/>
  <c r="A2201"/>
  <c r="B2200"/>
  <c r="A2200"/>
  <c r="B2199"/>
  <c r="A2199"/>
  <c r="B2198"/>
  <c r="A2198"/>
  <c r="B2197"/>
  <c r="A2197"/>
  <c r="B2196"/>
  <c r="A2196"/>
  <c r="B2195"/>
  <c r="A2195"/>
  <c r="B2194"/>
  <c r="A2194"/>
  <c r="B2193"/>
  <c r="A2193"/>
  <c r="B2192"/>
  <c r="A2192"/>
  <c r="B2191"/>
  <c r="A2191"/>
  <c r="B2190"/>
  <c r="A2190"/>
  <c r="B2189"/>
  <c r="A2189"/>
  <c r="B2188"/>
  <c r="A2188"/>
  <c r="B2187"/>
  <c r="A2187"/>
  <c r="B2186"/>
  <c r="A2186"/>
  <c r="B2185"/>
  <c r="A2185"/>
  <c r="B2184"/>
  <c r="A2184"/>
  <c r="B2183"/>
  <c r="A2183"/>
  <c r="B2182"/>
  <c r="A2182"/>
  <c r="B2181"/>
  <c r="A2181"/>
  <c r="B2180"/>
  <c r="A2180"/>
  <c r="B2179"/>
  <c r="A2179"/>
  <c r="B2178"/>
  <c r="A2178"/>
  <c r="B2177"/>
  <c r="A2177"/>
  <c r="B2176"/>
  <c r="A2176"/>
  <c r="B2175"/>
  <c r="A2175"/>
  <c r="B2174"/>
  <c r="A2174"/>
  <c r="B2173"/>
  <c r="A2173"/>
  <c r="B2172"/>
  <c r="A2172"/>
  <c r="B2171"/>
  <c r="A2171"/>
  <c r="B2170"/>
  <c r="A2170"/>
  <c r="B2169"/>
  <c r="A2169"/>
  <c r="B2168"/>
  <c r="A2168"/>
  <c r="B2167"/>
  <c r="A2167"/>
  <c r="B2166"/>
  <c r="A2166"/>
  <c r="B2165"/>
  <c r="A2165"/>
  <c r="B2164"/>
  <c r="A2164"/>
  <c r="B2163"/>
  <c r="A2163"/>
  <c r="B2162"/>
  <c r="A2162"/>
  <c r="B2161"/>
  <c r="A2161"/>
  <c r="B2160"/>
  <c r="A2160"/>
  <c r="B2159"/>
  <c r="A2159"/>
  <c r="B2158"/>
  <c r="A2158"/>
  <c r="B2157"/>
  <c r="A2157"/>
  <c r="B2156"/>
  <c r="A2156"/>
  <c r="B2155"/>
  <c r="A2155"/>
  <c r="B2154"/>
  <c r="A2154"/>
  <c r="B2153"/>
  <c r="A2153"/>
  <c r="B2152"/>
  <c r="A2152"/>
  <c r="B2151"/>
  <c r="A2151"/>
  <c r="B2150"/>
  <c r="A2150"/>
  <c r="B2149"/>
  <c r="A2149"/>
  <c r="B2148"/>
  <c r="A2148"/>
  <c r="B2147"/>
  <c r="A2147"/>
  <c r="B2146"/>
  <c r="A2146"/>
  <c r="B2145"/>
  <c r="A2145"/>
  <c r="B2144"/>
  <c r="A2144"/>
  <c r="B2143"/>
  <c r="A2143"/>
  <c r="B2142"/>
  <c r="A2142"/>
  <c r="B2141"/>
  <c r="A2141"/>
  <c r="B2140"/>
  <c r="A2140"/>
  <c r="B2139"/>
  <c r="A2139"/>
  <c r="B2138"/>
  <c r="A2138"/>
  <c r="B2137"/>
  <c r="A2137"/>
  <c r="B2136"/>
  <c r="A2136"/>
  <c r="B2135"/>
  <c r="A2135"/>
  <c r="B2134"/>
  <c r="A2134"/>
  <c r="B2133"/>
  <c r="A2133"/>
  <c r="B2132"/>
  <c r="A2132"/>
  <c r="B2131"/>
  <c r="A2131"/>
  <c r="B2130"/>
  <c r="A2130"/>
  <c r="B2129"/>
  <c r="A2129"/>
  <c r="B2128"/>
  <c r="A2128"/>
  <c r="B2127"/>
  <c r="A2127"/>
  <c r="B2126"/>
  <c r="A2126"/>
  <c r="B2125"/>
  <c r="A2125"/>
  <c r="B2124"/>
  <c r="A2124"/>
  <c r="B2123"/>
  <c r="A2123"/>
  <c r="B2122"/>
  <c r="A2122"/>
  <c r="B2121"/>
  <c r="A2121"/>
  <c r="B2120"/>
  <c r="A2120"/>
  <c r="B2119"/>
  <c r="A2119"/>
  <c r="B2118"/>
  <c r="A2118"/>
  <c r="B2117"/>
  <c r="A2117"/>
  <c r="B2116"/>
  <c r="A2116"/>
  <c r="B2115"/>
  <c r="A2115"/>
  <c r="B2114"/>
  <c r="A2114"/>
  <c r="B2113"/>
  <c r="A2113"/>
  <c r="B2112"/>
  <c r="A2112"/>
  <c r="B2111"/>
  <c r="A2111"/>
  <c r="B2110"/>
  <c r="A2110"/>
  <c r="B2109"/>
  <c r="A2109"/>
  <c r="B2108"/>
  <c r="A2108"/>
  <c r="B2107"/>
  <c r="A2107"/>
  <c r="B2106"/>
  <c r="A2106"/>
  <c r="B2105"/>
  <c r="A2105"/>
  <c r="B2104"/>
  <c r="A2104"/>
  <c r="B2103"/>
  <c r="A2103"/>
  <c r="B2102"/>
  <c r="A2102"/>
  <c r="B2101"/>
  <c r="A2101"/>
  <c r="B2100"/>
  <c r="A2100"/>
  <c r="B2099"/>
  <c r="A2099"/>
  <c r="B2098"/>
  <c r="A2098"/>
  <c r="B2097"/>
  <c r="A2097"/>
  <c r="B2096"/>
  <c r="A2096"/>
  <c r="B2095"/>
  <c r="A2095"/>
  <c r="B2094"/>
  <c r="A2094"/>
  <c r="B2093"/>
  <c r="A2093"/>
  <c r="B2092"/>
  <c r="A2092"/>
  <c r="B2091"/>
  <c r="A2091"/>
  <c r="B2090"/>
  <c r="A2090"/>
  <c r="B2089"/>
  <c r="A2089"/>
  <c r="B2088"/>
  <c r="A2088"/>
  <c r="B2087"/>
  <c r="A2087"/>
  <c r="B2086"/>
  <c r="A2086"/>
  <c r="B2085"/>
  <c r="A2085"/>
  <c r="B2084"/>
  <c r="A2084"/>
  <c r="B2083"/>
  <c r="A2083"/>
  <c r="B2082"/>
  <c r="A2082"/>
  <c r="B2081"/>
  <c r="A2081"/>
  <c r="B2080"/>
  <c r="A2080"/>
  <c r="B2079"/>
  <c r="A2079"/>
  <c r="B2078"/>
  <c r="A2078"/>
  <c r="B2077"/>
  <c r="A2077"/>
  <c r="B2076"/>
  <c r="A2076"/>
  <c r="B2075"/>
  <c r="A2075"/>
  <c r="B2074"/>
  <c r="A2074"/>
  <c r="B2073"/>
  <c r="A2073"/>
  <c r="B2072"/>
  <c r="A2072"/>
  <c r="B2071"/>
  <c r="A2071"/>
  <c r="B2070"/>
  <c r="A2070"/>
  <c r="B2069"/>
  <c r="A2069"/>
  <c r="B2068"/>
  <c r="A2068"/>
  <c r="B2067"/>
  <c r="A2067"/>
  <c r="B2066"/>
  <c r="A2066"/>
  <c r="B2065"/>
  <c r="A2065"/>
  <c r="B2064"/>
  <c r="A2064"/>
  <c r="B2063"/>
  <c r="A2063"/>
  <c r="B2062"/>
  <c r="A2062"/>
  <c r="B2061"/>
  <c r="A2061"/>
  <c r="B2060"/>
  <c r="A2060"/>
  <c r="B2059"/>
  <c r="A2059"/>
  <c r="B2058"/>
  <c r="A2058"/>
  <c r="B2057"/>
  <c r="A2057"/>
  <c r="B2056"/>
  <c r="A2056"/>
  <c r="B2055"/>
  <c r="A2055"/>
  <c r="B2054"/>
  <c r="A2054"/>
  <c r="B2053"/>
  <c r="A2053"/>
  <c r="B2052"/>
  <c r="A2052"/>
  <c r="B2051"/>
  <c r="A2051"/>
  <c r="B2050"/>
  <c r="A2050"/>
  <c r="B2049"/>
  <c r="A2049"/>
  <c r="B2048"/>
  <c r="A2048"/>
  <c r="B2047"/>
  <c r="A2047"/>
  <c r="B2046"/>
  <c r="A2046"/>
  <c r="B2045"/>
  <c r="A2045"/>
  <c r="B2044"/>
  <c r="A2044"/>
  <c r="B2043"/>
  <c r="A2043"/>
  <c r="B2042"/>
  <c r="A2042"/>
  <c r="B2041"/>
  <c r="A2041"/>
  <c r="B2040"/>
  <c r="A2040"/>
  <c r="B2039"/>
  <c r="A2039"/>
  <c r="B2038"/>
  <c r="A2038"/>
  <c r="B2037"/>
  <c r="A2037"/>
  <c r="B2036"/>
  <c r="A2036"/>
  <c r="B2035"/>
  <c r="A2035"/>
  <c r="B2034"/>
  <c r="A2034"/>
  <c r="B2033"/>
  <c r="A2033"/>
  <c r="B2032"/>
  <c r="A2032"/>
  <c r="B2031"/>
  <c r="A2031"/>
  <c r="B2030"/>
  <c r="A2030"/>
  <c r="B2029"/>
  <c r="A2029"/>
  <c r="B2028"/>
  <c r="A2028"/>
  <c r="B2027"/>
  <c r="A2027"/>
  <c r="B2026"/>
  <c r="A2026"/>
  <c r="B2025"/>
  <c r="A2025"/>
  <c r="B2024"/>
  <c r="A2024"/>
  <c r="B2023"/>
  <c r="A2023"/>
  <c r="B2022"/>
  <c r="A2022"/>
  <c r="B2021"/>
  <c r="A2021"/>
  <c r="B2020"/>
  <c r="A2020"/>
  <c r="B2019"/>
  <c r="A2019"/>
  <c r="B2018"/>
  <c r="A2018"/>
  <c r="B2017"/>
  <c r="A2017"/>
  <c r="B2016"/>
  <c r="A2016"/>
  <c r="B2015"/>
  <c r="A2015"/>
  <c r="B2014"/>
  <c r="A2014"/>
  <c r="B2013"/>
  <c r="A2013"/>
  <c r="B2012"/>
  <c r="A2012"/>
  <c r="B2011"/>
  <c r="A2011"/>
  <c r="B2010"/>
  <c r="A2010"/>
  <c r="B2009"/>
  <c r="A2009"/>
  <c r="B2008"/>
  <c r="A2008"/>
  <c r="B2007"/>
  <c r="A2007"/>
  <c r="B2006"/>
  <c r="A2006"/>
  <c r="B2005"/>
  <c r="A2005"/>
  <c r="B2004"/>
  <c r="A2004"/>
  <c r="B2003"/>
  <c r="A2003"/>
  <c r="B2002"/>
  <c r="A2002"/>
  <c r="B2001"/>
  <c r="A2001"/>
  <c r="B2000"/>
  <c r="A2000"/>
  <c r="B1999"/>
  <c r="A1999"/>
  <c r="B1998"/>
  <c r="A1998"/>
  <c r="B1997"/>
  <c r="A1997"/>
  <c r="B1996"/>
  <c r="A1996"/>
  <c r="B1995"/>
  <c r="A1995"/>
  <c r="B1994"/>
  <c r="A1994"/>
  <c r="B1993"/>
  <c r="A1993"/>
  <c r="B1992"/>
  <c r="A1992"/>
  <c r="B1991"/>
  <c r="A1991"/>
  <c r="B1990"/>
  <c r="A1990"/>
  <c r="B1989"/>
  <c r="A1989"/>
  <c r="B1988"/>
  <c r="A1988"/>
  <c r="B1987"/>
  <c r="A1987"/>
  <c r="B1986"/>
  <c r="A1986"/>
  <c r="B1985"/>
  <c r="A1985"/>
  <c r="B1984"/>
  <c r="A1984"/>
  <c r="B1983"/>
  <c r="A1983"/>
  <c r="B1982"/>
  <c r="A1982"/>
  <c r="B1981"/>
  <c r="A1981"/>
  <c r="B1980"/>
  <c r="A1980"/>
  <c r="B1979"/>
  <c r="A1979"/>
  <c r="B1978"/>
  <c r="A1978"/>
  <c r="B1977"/>
  <c r="A1977"/>
  <c r="B1976"/>
  <c r="A1976"/>
  <c r="B1975"/>
  <c r="A1975"/>
  <c r="B1974"/>
  <c r="A1974"/>
  <c r="B1973"/>
  <c r="A1973"/>
  <c r="B1972"/>
  <c r="A1972"/>
  <c r="B1971"/>
  <c r="A1971"/>
  <c r="B1970"/>
  <c r="A1970"/>
  <c r="B1969"/>
  <c r="A1969"/>
  <c r="B1968"/>
  <c r="A1968"/>
  <c r="B1967"/>
  <c r="A1967"/>
  <c r="B1966"/>
  <c r="A1966"/>
  <c r="B1965"/>
  <c r="A1965"/>
  <c r="B1964"/>
  <c r="A1964"/>
  <c r="B1963"/>
  <c r="A1963"/>
  <c r="B1962"/>
  <c r="A1962"/>
  <c r="B1961"/>
  <c r="A1961"/>
  <c r="B1960"/>
  <c r="A1960"/>
  <c r="B1959"/>
  <c r="A1959"/>
  <c r="B1958"/>
  <c r="A1958"/>
  <c r="B1957"/>
  <c r="A1957"/>
  <c r="B1956"/>
  <c r="A1956"/>
  <c r="B1955"/>
  <c r="A1955"/>
  <c r="B1954"/>
  <c r="A1954"/>
  <c r="B1953"/>
  <c r="A1953"/>
  <c r="B1952"/>
  <c r="A1952"/>
  <c r="B1951"/>
  <c r="A1951"/>
  <c r="B1950"/>
  <c r="A1950"/>
  <c r="B1949"/>
  <c r="A1949"/>
  <c r="B1948"/>
  <c r="A1948"/>
  <c r="B1947"/>
  <c r="A1947"/>
  <c r="B1946"/>
  <c r="A1946"/>
  <c r="B1945"/>
  <c r="A1945"/>
  <c r="B1944"/>
  <c r="A1944"/>
  <c r="B1943"/>
  <c r="A1943"/>
  <c r="B1942"/>
  <c r="A1942"/>
  <c r="B1941"/>
  <c r="A1941"/>
  <c r="B1940"/>
  <c r="A1940"/>
  <c r="B1939"/>
  <c r="A1939"/>
  <c r="B1938"/>
  <c r="A1938"/>
  <c r="B1937"/>
  <c r="A1937"/>
  <c r="B1936"/>
  <c r="A1936"/>
  <c r="B1935"/>
  <c r="A1935"/>
  <c r="B1934"/>
  <c r="A1934"/>
  <c r="B1933"/>
  <c r="A1933"/>
  <c r="B1932"/>
  <c r="A1932"/>
  <c r="B1931"/>
  <c r="A1931"/>
  <c r="B1930"/>
  <c r="A1930"/>
  <c r="B1929"/>
  <c r="A1929"/>
  <c r="B1928"/>
  <c r="A1928"/>
  <c r="B1927"/>
  <c r="A1927"/>
  <c r="B1926"/>
  <c r="A1926"/>
  <c r="B1925"/>
  <c r="A1925"/>
  <c r="B1924"/>
  <c r="A1924"/>
  <c r="B1923"/>
  <c r="A1923"/>
  <c r="B1922"/>
  <c r="A1922"/>
  <c r="B1921"/>
  <c r="A1921"/>
  <c r="B1920"/>
  <c r="A1920"/>
  <c r="B1919"/>
  <c r="A1919"/>
  <c r="B1918"/>
  <c r="A1918"/>
  <c r="B1917"/>
  <c r="A1917"/>
  <c r="B1916"/>
  <c r="A1916"/>
  <c r="B1915"/>
  <c r="A1915"/>
  <c r="B1914"/>
  <c r="A1914"/>
  <c r="B1913"/>
  <c r="A1913"/>
  <c r="B1912"/>
  <c r="A1912"/>
  <c r="B1911"/>
  <c r="A1911"/>
  <c r="B1910"/>
  <c r="A1910"/>
  <c r="B1909"/>
  <c r="A1909"/>
  <c r="B1908"/>
  <c r="A1908"/>
  <c r="B1907"/>
  <c r="A1907"/>
  <c r="B1906"/>
  <c r="A1906"/>
  <c r="B1905"/>
  <c r="A1905"/>
  <c r="B1904"/>
  <c r="A1904"/>
  <c r="B1903"/>
  <c r="A1903"/>
  <c r="B1902"/>
  <c r="A1902"/>
  <c r="B1901"/>
  <c r="A1901"/>
  <c r="B1900"/>
  <c r="A1900"/>
  <c r="B1899"/>
  <c r="A1899"/>
  <c r="B1898"/>
  <c r="A1898"/>
  <c r="B1897"/>
  <c r="A1897"/>
  <c r="B1896"/>
  <c r="A1896"/>
  <c r="B1895"/>
  <c r="A1895"/>
  <c r="B1894"/>
  <c r="A1894"/>
  <c r="B1893"/>
  <c r="A1893"/>
  <c r="B1892"/>
  <c r="A1892"/>
  <c r="B1891"/>
  <c r="A1891"/>
  <c r="B1890"/>
  <c r="A1890"/>
  <c r="B1889"/>
  <c r="A1889"/>
  <c r="B1888"/>
  <c r="A1888"/>
  <c r="B1887"/>
  <c r="A1887"/>
  <c r="B1886"/>
  <c r="A1886"/>
  <c r="B1885"/>
  <c r="A1885"/>
  <c r="B1884"/>
  <c r="A1884"/>
  <c r="B1883"/>
  <c r="A1883"/>
  <c r="B1882"/>
  <c r="A1882"/>
  <c r="B1881"/>
  <c r="A1881"/>
  <c r="B1880"/>
  <c r="A1880"/>
  <c r="B1879"/>
  <c r="A1879"/>
  <c r="B1878"/>
  <c r="A1878"/>
  <c r="B1877"/>
  <c r="A1877"/>
  <c r="B1876"/>
  <c r="A1876"/>
  <c r="B1875"/>
  <c r="A1875"/>
  <c r="B1874"/>
  <c r="A1874"/>
  <c r="B1873"/>
  <c r="A1873"/>
  <c r="B1872"/>
  <c r="A1872"/>
  <c r="B1871"/>
  <c r="A1871"/>
  <c r="B1870"/>
  <c r="A1870"/>
  <c r="B1869"/>
  <c r="A1869"/>
  <c r="B1868"/>
  <c r="A1868"/>
  <c r="B1867"/>
  <c r="A1867"/>
  <c r="B1866"/>
  <c r="A1866"/>
  <c r="B1865"/>
  <c r="A1865"/>
  <c r="B1864"/>
  <c r="A1864"/>
  <c r="B1863"/>
  <c r="A1863"/>
  <c r="B1862"/>
  <c r="A1862"/>
  <c r="B1861"/>
  <c r="A1861"/>
  <c r="B1860"/>
  <c r="A1860"/>
  <c r="B1859"/>
  <c r="A1859"/>
  <c r="B1858"/>
  <c r="A1858"/>
  <c r="B1857"/>
  <c r="A1857"/>
  <c r="B1856"/>
  <c r="A1856"/>
  <c r="B1855"/>
  <c r="A1855"/>
  <c r="B1854"/>
  <c r="A1854"/>
  <c r="B1853"/>
  <c r="A1853"/>
  <c r="B1852"/>
  <c r="A1852"/>
  <c r="B1851"/>
  <c r="A1851"/>
  <c r="B1850"/>
  <c r="A1850"/>
  <c r="B1849"/>
  <c r="A1849"/>
  <c r="B1848"/>
  <c r="A1848"/>
  <c r="B1847"/>
  <c r="A1847"/>
  <c r="B1846"/>
  <c r="A1846"/>
  <c r="B1845"/>
  <c r="A1845"/>
  <c r="B1844"/>
  <c r="A1844"/>
  <c r="B1843"/>
  <c r="A1843"/>
  <c r="B1842"/>
  <c r="A1842"/>
  <c r="B1841"/>
  <c r="A1841"/>
  <c r="B1840"/>
  <c r="A1840"/>
  <c r="B1839"/>
  <c r="A1839"/>
  <c r="B1838"/>
  <c r="A1838"/>
  <c r="B1837"/>
  <c r="A1837"/>
  <c r="B1836"/>
  <c r="A1836"/>
  <c r="B1835"/>
  <c r="A1835"/>
  <c r="B1834"/>
  <c r="A1834"/>
  <c r="B1833"/>
  <c r="A1833"/>
  <c r="B1832"/>
  <c r="A1832"/>
  <c r="B1831"/>
  <c r="A1831"/>
  <c r="B1830"/>
  <c r="A1830"/>
  <c r="B1829"/>
  <c r="A1829"/>
  <c r="B1828"/>
  <c r="A1828"/>
  <c r="B1827"/>
  <c r="A1827"/>
  <c r="B1826"/>
  <c r="A1826"/>
  <c r="B1825"/>
  <c r="A1825"/>
  <c r="B1824"/>
  <c r="A1824"/>
  <c r="B1823"/>
  <c r="A1823"/>
  <c r="B1822"/>
  <c r="A1822"/>
  <c r="B1821"/>
  <c r="A1821"/>
  <c r="B1820"/>
  <c r="A1820"/>
  <c r="B1819"/>
  <c r="A1819"/>
  <c r="B1818"/>
  <c r="A1818"/>
  <c r="B1817"/>
  <c r="A1817"/>
  <c r="B1816"/>
  <c r="A1816"/>
  <c r="B1815"/>
  <c r="A1815"/>
  <c r="B1814"/>
  <c r="A1814"/>
  <c r="B1813"/>
  <c r="A1813"/>
  <c r="B1812"/>
  <c r="A1812"/>
  <c r="B1811"/>
  <c r="A1811"/>
  <c r="B1810"/>
  <c r="A1810"/>
  <c r="B1809"/>
  <c r="A1809"/>
  <c r="B1808"/>
  <c r="A1808"/>
  <c r="B1807"/>
  <c r="A1807"/>
  <c r="B1806"/>
  <c r="A1806"/>
  <c r="B1805"/>
  <c r="A1805"/>
  <c r="B1804"/>
  <c r="A1804"/>
  <c r="B1803"/>
  <c r="A1803"/>
  <c r="B1802"/>
  <c r="A1802"/>
  <c r="B1801"/>
  <c r="A1801"/>
  <c r="B1800"/>
  <c r="A1800"/>
  <c r="B1799"/>
  <c r="A1799"/>
  <c r="B1798"/>
  <c r="A1798"/>
  <c r="B1797"/>
  <c r="A1797"/>
  <c r="B1796"/>
  <c r="A1796"/>
  <c r="B1795"/>
  <c r="A1795"/>
  <c r="B1794"/>
  <c r="A1794"/>
  <c r="B1793"/>
  <c r="A1793"/>
  <c r="B1792"/>
  <c r="A1792"/>
  <c r="B1791"/>
  <c r="A1791"/>
  <c r="B1790"/>
  <c r="A1790"/>
  <c r="B1789"/>
  <c r="A1789"/>
  <c r="B1788"/>
  <c r="A1788"/>
  <c r="B1787"/>
  <c r="A1787"/>
  <c r="B1786"/>
  <c r="A1786"/>
  <c r="B1785"/>
  <c r="A1785"/>
  <c r="B1784"/>
  <c r="A1784"/>
  <c r="B1783"/>
  <c r="A1783"/>
  <c r="B1782"/>
  <c r="A1782"/>
  <c r="B1781"/>
  <c r="A1781"/>
  <c r="B1780"/>
  <c r="A1780"/>
  <c r="B1779"/>
  <c r="A1779"/>
  <c r="B1778"/>
  <c r="A1778"/>
  <c r="B1777"/>
  <c r="A1777"/>
  <c r="B1776"/>
  <c r="A1776"/>
  <c r="B1775"/>
  <c r="A1775"/>
  <c r="B1774"/>
  <c r="A1774"/>
  <c r="B1773"/>
  <c r="A1773"/>
  <c r="B1772"/>
  <c r="A1772"/>
  <c r="B1771"/>
  <c r="A1771"/>
  <c r="B1770"/>
  <c r="A1770"/>
  <c r="B1769"/>
  <c r="A1769"/>
  <c r="B1768"/>
  <c r="A1768"/>
  <c r="B1767"/>
  <c r="A1767"/>
  <c r="B1766"/>
  <c r="A1766"/>
  <c r="B1765"/>
  <c r="A1765"/>
  <c r="B1764"/>
  <c r="A1764"/>
  <c r="B1763"/>
  <c r="A1763"/>
  <c r="B1762"/>
  <c r="A1762"/>
  <c r="B1761"/>
  <c r="A1761"/>
  <c r="B1760"/>
  <c r="A1760"/>
  <c r="B1759"/>
  <c r="A1759"/>
  <c r="B1758"/>
  <c r="A1758"/>
  <c r="B1757"/>
  <c r="A1757"/>
  <c r="B1756"/>
  <c r="A1756"/>
  <c r="B1755"/>
  <c r="A1755"/>
  <c r="B1754"/>
  <c r="A1754"/>
  <c r="B1753"/>
  <c r="A1753"/>
  <c r="B1752"/>
  <c r="A1752"/>
  <c r="B1751"/>
  <c r="A1751"/>
  <c r="B1750"/>
  <c r="A1750"/>
  <c r="B1749"/>
  <c r="A1749"/>
  <c r="B1748"/>
  <c r="A1748"/>
  <c r="B1747"/>
  <c r="A1747"/>
  <c r="B1746"/>
  <c r="A1746"/>
  <c r="B1745"/>
  <c r="A1745"/>
  <c r="B1744"/>
  <c r="A1744"/>
  <c r="B1743"/>
  <c r="A1743"/>
  <c r="B1742"/>
  <c r="A1742"/>
  <c r="B1741"/>
  <c r="A1741"/>
  <c r="B1740"/>
  <c r="A1740"/>
  <c r="B1739"/>
  <c r="A1739"/>
  <c r="B1738"/>
  <c r="A1738"/>
  <c r="B1737"/>
  <c r="A1737"/>
  <c r="B1736"/>
  <c r="A1736"/>
  <c r="B1735"/>
  <c r="A1735"/>
  <c r="B1734"/>
  <c r="A1734"/>
  <c r="B1733"/>
  <c r="A1733"/>
  <c r="B1732"/>
  <c r="A1732"/>
  <c r="B1731"/>
  <c r="A1731"/>
  <c r="B1730"/>
  <c r="A1730"/>
  <c r="B1729"/>
  <c r="A1729"/>
  <c r="B1728"/>
  <c r="A1728"/>
  <c r="B1727"/>
  <c r="A1727"/>
  <c r="B1726"/>
  <c r="A1726"/>
  <c r="B1725"/>
  <c r="A1725"/>
  <c r="B1724"/>
  <c r="A1724"/>
  <c r="B1723"/>
  <c r="A1723"/>
  <c r="B1722"/>
  <c r="A1722"/>
  <c r="D31" i="26"/>
  <c r="D28"/>
  <c r="D25"/>
  <c r="B8" i="28"/>
  <c r="F11" s="1"/>
  <c r="F12" l="1"/>
  <c r="D11"/>
  <c r="C10"/>
  <c r="D12"/>
  <c r="F10"/>
  <c r="C12"/>
  <c r="E12" s="1"/>
  <c r="C11"/>
  <c r="E11" s="1"/>
  <c r="D10"/>
  <c r="D4"/>
  <c r="E10" l="1"/>
  <c r="B2407" i="20"/>
  <c r="B2406"/>
  <c r="B2405"/>
  <c r="B2404"/>
  <c r="B2403"/>
  <c r="B2402"/>
  <c r="B2401"/>
  <c r="B2400"/>
  <c r="B2399"/>
  <c r="B2398"/>
  <c r="B2397"/>
  <c r="B2396"/>
  <c r="B2395"/>
  <c r="B2394"/>
  <c r="B2393"/>
  <c r="B2392"/>
  <c r="B2391"/>
  <c r="B2390"/>
  <c r="B2389"/>
  <c r="B2388"/>
  <c r="B2387"/>
  <c r="B2386"/>
  <c r="B2385"/>
  <c r="B2384"/>
  <c r="B2383"/>
  <c r="B2382"/>
  <c r="B2381"/>
  <c r="B2380"/>
  <c r="B2379"/>
  <c r="B2378"/>
  <c r="B2377"/>
  <c r="B2376"/>
  <c r="B2375"/>
  <c r="B2374"/>
  <c r="B2373"/>
  <c r="B2372"/>
  <c r="B2371"/>
  <c r="B2370"/>
  <c r="B2369"/>
  <c r="B2368"/>
  <c r="B2367"/>
  <c r="B2366"/>
  <c r="B2365"/>
  <c r="B2364"/>
  <c r="B2363"/>
  <c r="B2362"/>
  <c r="B2361"/>
  <c r="B2360"/>
  <c r="B2359"/>
  <c r="B2358"/>
  <c r="B2357"/>
  <c r="B2356"/>
  <c r="B2355"/>
  <c r="B2354"/>
  <c r="B2353"/>
  <c r="B2352"/>
  <c r="B2351"/>
  <c r="B2350"/>
  <c r="B2349"/>
  <c r="B2348"/>
  <c r="B2347"/>
  <c r="B2346"/>
  <c r="B2345"/>
  <c r="B2344"/>
  <c r="B2343"/>
  <c r="B2342"/>
  <c r="B2341"/>
  <c r="B2340"/>
  <c r="B2339"/>
  <c r="B2338"/>
  <c r="B2337"/>
  <c r="B2336"/>
  <c r="B2335"/>
  <c r="B2334"/>
  <c r="B2333"/>
  <c r="B2332"/>
  <c r="B2331"/>
  <c r="B2330"/>
  <c r="B2329"/>
  <c r="B2328"/>
  <c r="B2327"/>
  <c r="B2326"/>
  <c r="B2325"/>
  <c r="B2324"/>
  <c r="B2323"/>
  <c r="B2322"/>
  <c r="B2321"/>
  <c r="B2320"/>
  <c r="B2319"/>
  <c r="B2318"/>
  <c r="B2317"/>
  <c r="B2316"/>
  <c r="B2315"/>
  <c r="B2314"/>
  <c r="B2313"/>
  <c r="B2312"/>
  <c r="B2311"/>
  <c r="B2310"/>
  <c r="B2309"/>
  <c r="B2308"/>
  <c r="B2307"/>
  <c r="B2306"/>
  <c r="B2305"/>
  <c r="B2304"/>
  <c r="B2303"/>
  <c r="B2302"/>
  <c r="B2301"/>
  <c r="B2300"/>
  <c r="B2299"/>
  <c r="B2298"/>
  <c r="B2297"/>
  <c r="B2296"/>
  <c r="B2295"/>
  <c r="B2294"/>
  <c r="B2293"/>
  <c r="B2292"/>
  <c r="B2291"/>
  <c r="B2290"/>
  <c r="B2289"/>
  <c r="B2288"/>
  <c r="B2287"/>
  <c r="B2286"/>
  <c r="B2285"/>
  <c r="B2284"/>
  <c r="B2283"/>
  <c r="B2282"/>
  <c r="B2281"/>
  <c r="B2280"/>
  <c r="B2279"/>
  <c r="B2278"/>
  <c r="B2277"/>
  <c r="B2276"/>
  <c r="B2275"/>
  <c r="B2274"/>
  <c r="B2273"/>
  <c r="B2272"/>
  <c r="B2271"/>
  <c r="B2270"/>
  <c r="B2269"/>
  <c r="B2268"/>
  <c r="B2267"/>
  <c r="B2266"/>
  <c r="B2265"/>
  <c r="B2264"/>
  <c r="B2263"/>
  <c r="B2262"/>
  <c r="B2261"/>
  <c r="B2260"/>
  <c r="B2259"/>
  <c r="B2258"/>
  <c r="B2257"/>
  <c r="B2256"/>
  <c r="B2255"/>
  <c r="B2254"/>
  <c r="B2253"/>
  <c r="B2252"/>
  <c r="B2251"/>
  <c r="B2250"/>
  <c r="B2249"/>
  <c r="B2248"/>
  <c r="B2247"/>
  <c r="B2246"/>
  <c r="B2245"/>
  <c r="B2244"/>
  <c r="B2243"/>
  <c r="B2242"/>
  <c r="B2241"/>
  <c r="B2240"/>
  <c r="B2239"/>
  <c r="B2238"/>
  <c r="B2237"/>
  <c r="B2236"/>
  <c r="B2235"/>
  <c r="B2234"/>
  <c r="B2233"/>
  <c r="B2232"/>
  <c r="B2231"/>
  <c r="B2230"/>
  <c r="B2229"/>
  <c r="B2228"/>
  <c r="B2227"/>
  <c r="B2226"/>
  <c r="B2225"/>
  <c r="B2224"/>
  <c r="B2223"/>
  <c r="B2222"/>
  <c r="B2221"/>
  <c r="B2220"/>
  <c r="B2219"/>
  <c r="B2218"/>
  <c r="B2217"/>
  <c r="B2216"/>
  <c r="B2215"/>
  <c r="B2214"/>
  <c r="B2213"/>
  <c r="B2212"/>
  <c r="B2211"/>
  <c r="B2210"/>
  <c r="B2209"/>
  <c r="B2208"/>
  <c r="B2207"/>
  <c r="B2206"/>
  <c r="B2205"/>
  <c r="B2204"/>
  <c r="B2203"/>
  <c r="B6"/>
  <c r="A6"/>
  <c r="AD3" i="12"/>
  <c r="C4" i="28" l="1"/>
  <c r="E4" s="1"/>
  <c r="F4"/>
  <c r="AD4" i="12"/>
  <c r="AD16" l="1"/>
  <c r="AD10"/>
  <c r="AD26"/>
  <c r="AD19"/>
  <c r="AD27"/>
  <c r="AD18"/>
  <c r="F41" i="26"/>
  <c r="G41"/>
  <c r="A11" i="12" l="1"/>
  <c r="W24" i="26" l="1"/>
  <c r="W27"/>
  <c r="W30"/>
  <c r="H23"/>
  <c r="G23"/>
  <c r="F23"/>
  <c r="H14"/>
  <c r="G14"/>
  <c r="M8" i="12" l="1"/>
  <c r="H3" i="26" s="1"/>
  <c r="L8" i="12"/>
  <c r="G3" i="26" s="1"/>
  <c r="K8" i="12"/>
  <c r="F3" i="26" s="1"/>
  <c r="AD7" i="12"/>
  <c r="M7"/>
  <c r="H2" i="26" s="1"/>
  <c r="L7" i="12"/>
  <c r="G2" i="26" s="1"/>
  <c r="K7" i="12"/>
  <c r="F2" i="26" s="1"/>
  <c r="AE7" i="12"/>
  <c r="AC2"/>
  <c r="AC5" s="1"/>
  <c r="AB2"/>
  <c r="AB3" s="1"/>
  <c r="AA2"/>
  <c r="AA3" s="1"/>
  <c r="Z2"/>
  <c r="Z4" s="1"/>
  <c r="Y2"/>
  <c r="Z7" s="1"/>
  <c r="U2" i="26" s="1"/>
  <c r="X2" i="12"/>
  <c r="X3" s="1"/>
  <c r="W2"/>
  <c r="W3" s="1"/>
  <c r="V2"/>
  <c r="V4" s="1"/>
  <c r="U2"/>
  <c r="V7" s="1"/>
  <c r="Q2" i="26" s="1"/>
  <c r="T2" i="12"/>
  <c r="T3" s="1"/>
  <c r="S2"/>
  <c r="S3" s="1"/>
  <c r="R2"/>
  <c r="R4" s="1"/>
  <c r="Q2"/>
  <c r="R7" s="1"/>
  <c r="M2" i="26" s="1"/>
  <c r="P2" i="12"/>
  <c r="P3" s="1"/>
  <c r="O2"/>
  <c r="O3" s="1"/>
  <c r="N2"/>
  <c r="N4" s="1"/>
  <c r="M2"/>
  <c r="L2"/>
  <c r="L3" s="1"/>
  <c r="K2"/>
  <c r="K3" s="1"/>
  <c r="G28" i="26" l="1"/>
  <c r="G32"/>
  <c r="G29"/>
  <c r="G26"/>
  <c r="G13"/>
  <c r="G31"/>
  <c r="G25"/>
  <c r="G8"/>
  <c r="Y4" i="12"/>
  <c r="U4"/>
  <c r="F30" i="26"/>
  <c r="F29"/>
  <c r="F28"/>
  <c r="F31"/>
  <c r="F25"/>
  <c r="F12"/>
  <c r="F8"/>
  <c r="F26"/>
  <c r="F13"/>
  <c r="Y8" i="12"/>
  <c r="T3" i="26" s="1"/>
  <c r="U8" i="12"/>
  <c r="P3" i="26" s="1"/>
  <c r="Y35"/>
  <c r="Y37"/>
  <c r="Y36"/>
  <c r="U7" i="12"/>
  <c r="P2" i="26" s="1"/>
  <c r="AC7" i="12"/>
  <c r="X2" i="26" s="1"/>
  <c r="AC8" i="12"/>
  <c r="X3" i="26" s="1"/>
  <c r="AC4" i="12"/>
  <c r="Y7"/>
  <c r="T2" i="26" s="1"/>
  <c r="Q8" i="12"/>
  <c r="L3" i="26" s="1"/>
  <c r="Q4" i="12"/>
  <c r="Q7"/>
  <c r="L2" i="26" s="1"/>
  <c r="N3" i="12"/>
  <c r="R3"/>
  <c r="V3"/>
  <c r="Z3"/>
  <c r="F24" i="26"/>
  <c r="P7" i="12"/>
  <c r="K2" i="26" s="1"/>
  <c r="T7" i="12"/>
  <c r="O2" i="26" s="1"/>
  <c r="X7" i="12"/>
  <c r="S2" i="26" s="1"/>
  <c r="AB7" i="12"/>
  <c r="W2" i="26" s="1"/>
  <c r="P8" i="12"/>
  <c r="K3" i="26" s="1"/>
  <c r="T8" i="12"/>
  <c r="O3" i="26" s="1"/>
  <c r="X8" i="12"/>
  <c r="S3" i="26" s="1"/>
  <c r="AB8" i="12"/>
  <c r="W3" i="26" s="1"/>
  <c r="M3" i="12"/>
  <c r="Q3"/>
  <c r="U3"/>
  <c r="Y3"/>
  <c r="AC3"/>
  <c r="P4"/>
  <c r="K30" i="26" s="1"/>
  <c r="T4" i="12"/>
  <c r="X4"/>
  <c r="AB4"/>
  <c r="W12" i="26" s="1"/>
  <c r="O7" i="12"/>
  <c r="J2" i="26" s="1"/>
  <c r="S7" i="12"/>
  <c r="N2" i="26" s="1"/>
  <c r="W7" i="12"/>
  <c r="R2" i="26" s="1"/>
  <c r="AA7" i="12"/>
  <c r="V2" i="26" s="1"/>
  <c r="O8" i="12"/>
  <c r="J3" i="26" s="1"/>
  <c r="S8" i="12"/>
  <c r="N3" i="26" s="1"/>
  <c r="W8" i="12"/>
  <c r="R3" i="26" s="1"/>
  <c r="AA8" i="12"/>
  <c r="V3" i="26" s="1"/>
  <c r="O4" i="12"/>
  <c r="S4"/>
  <c r="N31" i="26" s="1"/>
  <c r="W4" i="12"/>
  <c r="R29" i="26" s="1"/>
  <c r="AA4" i="12"/>
  <c r="N7"/>
  <c r="I2" i="26" s="1"/>
  <c r="N8" i="12"/>
  <c r="I3" i="26" s="1"/>
  <c r="R8" i="12"/>
  <c r="M3" i="26" s="1"/>
  <c r="V8" i="12"/>
  <c r="Q3" i="26" s="1"/>
  <c r="Z8" i="12"/>
  <c r="U3" i="26" s="1"/>
  <c r="H34"/>
  <c r="G33"/>
  <c r="G30"/>
  <c r="G27"/>
  <c r="G24"/>
  <c r="G12"/>
  <c r="H33"/>
  <c r="H30"/>
  <c r="H27"/>
  <c r="H24"/>
  <c r="G34"/>
  <c r="F4"/>
  <c r="F27"/>
  <c r="U33"/>
  <c r="Q33"/>
  <c r="M33"/>
  <c r="S30"/>
  <c r="O30"/>
  <c r="U27"/>
  <c r="Q27"/>
  <c r="M27"/>
  <c r="T24"/>
  <c r="P24"/>
  <c r="I30"/>
  <c r="R33"/>
  <c r="N33"/>
  <c r="J33"/>
  <c r="T30"/>
  <c r="P30"/>
  <c r="L30"/>
  <c r="R27"/>
  <c r="N27"/>
  <c r="J27"/>
  <c r="Q24"/>
  <c r="M24"/>
  <c r="S34"/>
  <c r="V34"/>
  <c r="W33"/>
  <c r="S33"/>
  <c r="O33"/>
  <c r="K33"/>
  <c r="Q30"/>
  <c r="M30"/>
  <c r="S27"/>
  <c r="O27"/>
  <c r="K27"/>
  <c r="R24"/>
  <c r="N24"/>
  <c r="J24"/>
  <c r="I33"/>
  <c r="I27"/>
  <c r="X33"/>
  <c r="T33"/>
  <c r="P33"/>
  <c r="R30"/>
  <c r="N30"/>
  <c r="J30"/>
  <c r="T27"/>
  <c r="P27"/>
  <c r="L27"/>
  <c r="S24"/>
  <c r="O24"/>
  <c r="U34"/>
  <c r="M34"/>
  <c r="I24"/>
  <c r="N28" l="1"/>
  <c r="N11"/>
  <c r="S23"/>
  <c r="X23"/>
  <c r="R13"/>
  <c r="R26"/>
  <c r="W11"/>
  <c r="W8"/>
  <c r="R8"/>
  <c r="R35"/>
  <c r="R31"/>
  <c r="W23"/>
  <c r="R25"/>
  <c r="R32"/>
  <c r="N12"/>
  <c r="N29"/>
  <c r="W9"/>
  <c r="W32"/>
  <c r="W14"/>
  <c r="W28"/>
  <c r="W29"/>
  <c r="W31"/>
  <c r="R14"/>
  <c r="R28"/>
  <c r="N22"/>
  <c r="N23"/>
  <c r="W37"/>
  <c r="W26"/>
  <c r="W25"/>
  <c r="F18"/>
  <c r="F16"/>
  <c r="W21"/>
  <c r="W6"/>
  <c r="G37"/>
  <c r="G18"/>
  <c r="G16"/>
  <c r="G19"/>
  <c r="J26"/>
  <c r="J8"/>
  <c r="J31"/>
  <c r="S13"/>
  <c r="S25"/>
  <c r="S31"/>
  <c r="O8"/>
  <c r="O14"/>
  <c r="O26"/>
  <c r="K11"/>
  <c r="K28"/>
  <c r="J13"/>
  <c r="J28"/>
  <c r="J25"/>
  <c r="J14"/>
  <c r="L32"/>
  <c r="L29"/>
  <c r="L26"/>
  <c r="L15"/>
  <c r="L14"/>
  <c r="L12"/>
  <c r="L8"/>
  <c r="L5"/>
  <c r="L31"/>
  <c r="L28"/>
  <c r="L25"/>
  <c r="L23"/>
  <c r="L13"/>
  <c r="L11"/>
  <c r="L9"/>
  <c r="Q32"/>
  <c r="Q31"/>
  <c r="Q29"/>
  <c r="Q28"/>
  <c r="Q26"/>
  <c r="Q25"/>
  <c r="Q23"/>
  <c r="Q35"/>
  <c r="Q14"/>
  <c r="Q13"/>
  <c r="Q12"/>
  <c r="Q11"/>
  <c r="Q8"/>
  <c r="Q9"/>
  <c r="Q20"/>
  <c r="Q37"/>
  <c r="P31"/>
  <c r="P28"/>
  <c r="P25"/>
  <c r="P23"/>
  <c r="P14"/>
  <c r="P13"/>
  <c r="P11"/>
  <c r="P9"/>
  <c r="P32"/>
  <c r="P29"/>
  <c r="P26"/>
  <c r="P12"/>
  <c r="P8"/>
  <c r="P20"/>
  <c r="U32"/>
  <c r="U31"/>
  <c r="U29"/>
  <c r="U28"/>
  <c r="U26"/>
  <c r="U25"/>
  <c r="U23"/>
  <c r="U37"/>
  <c r="U14"/>
  <c r="U13"/>
  <c r="U12"/>
  <c r="U11"/>
  <c r="U8"/>
  <c r="U9"/>
  <c r="U5"/>
  <c r="U36"/>
  <c r="N37"/>
  <c r="N16"/>
  <c r="N18"/>
  <c r="F6"/>
  <c r="G21"/>
  <c r="G6"/>
  <c r="T32"/>
  <c r="T29"/>
  <c r="T26"/>
  <c r="T35"/>
  <c r="T12"/>
  <c r="T8"/>
  <c r="T21"/>
  <c r="T31"/>
  <c r="T28"/>
  <c r="T25"/>
  <c r="T23"/>
  <c r="T14"/>
  <c r="T13"/>
  <c r="T11"/>
  <c r="I31"/>
  <c r="I25"/>
  <c r="I36"/>
  <c r="I12"/>
  <c r="I8"/>
  <c r="I29"/>
  <c r="I11"/>
  <c r="I32"/>
  <c r="I26"/>
  <c r="I13"/>
  <c r="I23"/>
  <c r="I14"/>
  <c r="I9"/>
  <c r="I28"/>
  <c r="I21"/>
  <c r="X31"/>
  <c r="X28"/>
  <c r="X25"/>
  <c r="X8"/>
  <c r="X13"/>
  <c r="X14"/>
  <c r="X12"/>
  <c r="X36"/>
  <c r="X20"/>
  <c r="X32"/>
  <c r="X29"/>
  <c r="X26"/>
  <c r="X11"/>
  <c r="X9"/>
  <c r="H32"/>
  <c r="H26"/>
  <c r="H13"/>
  <c r="H25"/>
  <c r="H37"/>
  <c r="H12"/>
  <c r="H8"/>
  <c r="H28"/>
  <c r="H22"/>
  <c r="H31"/>
  <c r="H29"/>
  <c r="H11"/>
  <c r="H9"/>
  <c r="M32"/>
  <c r="M31"/>
  <c r="M29"/>
  <c r="M28"/>
  <c r="M26"/>
  <c r="M25"/>
  <c r="M23"/>
  <c r="M35"/>
  <c r="M14"/>
  <c r="M13"/>
  <c r="M12"/>
  <c r="M11"/>
  <c r="M8"/>
  <c r="M9"/>
  <c r="M21"/>
  <c r="V37"/>
  <c r="V28"/>
  <c r="V8"/>
  <c r="V14"/>
  <c r="V26"/>
  <c r="V32"/>
  <c r="O9"/>
  <c r="O13"/>
  <c r="O25"/>
  <c r="O31"/>
  <c r="K8"/>
  <c r="K14"/>
  <c r="K26"/>
  <c r="K32"/>
  <c r="V9"/>
  <c r="V13"/>
  <c r="V25"/>
  <c r="V31"/>
  <c r="N36"/>
  <c r="N8"/>
  <c r="N14"/>
  <c r="N26"/>
  <c r="N32"/>
  <c r="J37"/>
  <c r="J11"/>
  <c r="J29"/>
  <c r="S11"/>
  <c r="S15"/>
  <c r="S28"/>
  <c r="O20"/>
  <c r="O12"/>
  <c r="O23"/>
  <c r="O29"/>
  <c r="K9"/>
  <c r="K13"/>
  <c r="K25"/>
  <c r="K31"/>
  <c r="V12"/>
  <c r="V23"/>
  <c r="V29"/>
  <c r="R5"/>
  <c r="R12"/>
  <c r="R23"/>
  <c r="N20"/>
  <c r="N13"/>
  <c r="N25"/>
  <c r="J32"/>
  <c r="J12"/>
  <c r="W13"/>
  <c r="W20"/>
  <c r="S21"/>
  <c r="S8"/>
  <c r="S14"/>
  <c r="S26"/>
  <c r="O11"/>
  <c r="O28"/>
  <c r="K5"/>
  <c r="K12"/>
  <c r="K23"/>
  <c r="K29"/>
  <c r="G20"/>
  <c r="G35"/>
  <c r="J23"/>
  <c r="S29"/>
  <c r="S12"/>
  <c r="S32"/>
  <c r="O32"/>
  <c r="F35"/>
  <c r="G22"/>
  <c r="G36"/>
  <c r="F20"/>
  <c r="K24"/>
  <c r="L33"/>
  <c r="O34"/>
  <c r="U30"/>
  <c r="U24"/>
  <c r="V33"/>
  <c r="L24"/>
  <c r="T34"/>
  <c r="W34"/>
  <c r="N34"/>
  <c r="R9"/>
  <c r="R7"/>
  <c r="G11"/>
  <c r="G10"/>
  <c r="F5"/>
  <c r="W5"/>
  <c r="F7"/>
  <c r="F9"/>
  <c r="G15"/>
  <c r="N35"/>
  <c r="N15"/>
  <c r="F10"/>
  <c r="F11"/>
  <c r="K34"/>
  <c r="I34"/>
  <c r="R34"/>
  <c r="L34"/>
  <c r="Q34"/>
  <c r="G7"/>
  <c r="G9"/>
  <c r="J34"/>
  <c r="L35"/>
  <c r="R11"/>
  <c r="R10"/>
  <c r="G5"/>
  <c r="W22"/>
  <c r="P34"/>
  <c r="X34"/>
  <c r="W10" l="1"/>
  <c r="W35"/>
  <c r="N6"/>
  <c r="W16"/>
  <c r="W7"/>
  <c r="R36"/>
  <c r="R16"/>
  <c r="W36"/>
  <c r="K10"/>
  <c r="W15"/>
  <c r="R15"/>
  <c r="R37"/>
  <c r="W19"/>
  <c r="N5"/>
  <c r="N19"/>
  <c r="N21"/>
  <c r="W18"/>
  <c r="R18"/>
  <c r="V36"/>
  <c r="Q15"/>
  <c r="Q10"/>
  <c r="S6"/>
  <c r="S20"/>
  <c r="S7"/>
  <c r="P7"/>
  <c r="X7"/>
  <c r="T7"/>
  <c r="X10"/>
  <c r="P10"/>
  <c r="U15"/>
  <c r="I5"/>
  <c r="K21"/>
  <c r="T15"/>
  <c r="U7"/>
  <c r="P21"/>
  <c r="Q5"/>
  <c r="L7"/>
  <c r="X15"/>
  <c r="M15"/>
  <c r="T5"/>
  <c r="M10"/>
  <c r="O10"/>
  <c r="L10"/>
  <c r="T36"/>
  <c r="H10"/>
  <c r="T10"/>
  <c r="I7"/>
  <c r="H5"/>
  <c r="M20"/>
  <c r="H21"/>
  <c r="O5"/>
  <c r="V21"/>
  <c r="H7"/>
  <c r="V15"/>
  <c r="Q7"/>
  <c r="U10"/>
  <c r="H15"/>
  <c r="I15"/>
  <c r="V10"/>
  <c r="M36"/>
  <c r="S10"/>
  <c r="O7"/>
  <c r="O21"/>
  <c r="X37"/>
  <c r="I22"/>
  <c r="S37"/>
  <c r="S16"/>
  <c r="S19"/>
  <c r="S18"/>
  <c r="S36"/>
  <c r="X21"/>
  <c r="X6"/>
  <c r="U22"/>
  <c r="U6"/>
  <c r="L22"/>
  <c r="L6"/>
  <c r="L37"/>
  <c r="L18"/>
  <c r="L16"/>
  <c r="L19"/>
  <c r="V22"/>
  <c r="V6"/>
  <c r="V35"/>
  <c r="V16"/>
  <c r="V18"/>
  <c r="V19"/>
  <c r="M22"/>
  <c r="M6"/>
  <c r="U35"/>
  <c r="U19"/>
  <c r="U16"/>
  <c r="U18"/>
  <c r="P22"/>
  <c r="P6"/>
  <c r="S35"/>
  <c r="V7"/>
  <c r="X5"/>
  <c r="J10"/>
  <c r="J35"/>
  <c r="H35"/>
  <c r="U20"/>
  <c r="L36"/>
  <c r="O35"/>
  <c r="R6"/>
  <c r="R21"/>
  <c r="R22"/>
  <c r="R20"/>
  <c r="J22"/>
  <c r="J6"/>
  <c r="M37"/>
  <c r="M16"/>
  <c r="M18"/>
  <c r="M19"/>
  <c r="H20"/>
  <c r="H6"/>
  <c r="H36"/>
  <c r="H18"/>
  <c r="H16"/>
  <c r="H19"/>
  <c r="I35"/>
  <c r="I16"/>
  <c r="I19"/>
  <c r="I18"/>
  <c r="T22"/>
  <c r="T6"/>
  <c r="P37"/>
  <c r="P19"/>
  <c r="P16"/>
  <c r="P18"/>
  <c r="Q21"/>
  <c r="Q6"/>
  <c r="U21"/>
  <c r="R19"/>
  <c r="L20"/>
  <c r="O37"/>
  <c r="O19"/>
  <c r="O18"/>
  <c r="O16"/>
  <c r="K22"/>
  <c r="K6"/>
  <c r="O22"/>
  <c r="O6"/>
  <c r="J16"/>
  <c r="J19"/>
  <c r="X19"/>
  <c r="X18"/>
  <c r="X16"/>
  <c r="I20"/>
  <c r="T37"/>
  <c r="T16"/>
  <c r="T18"/>
  <c r="T19"/>
  <c r="Q36"/>
  <c r="Q18"/>
  <c r="Q19"/>
  <c r="Q16"/>
  <c r="K37"/>
  <c r="K18"/>
  <c r="K19"/>
  <c r="K16"/>
  <c r="K7"/>
  <c r="J7"/>
  <c r="N7"/>
  <c r="K20"/>
  <c r="X22"/>
  <c r="X35"/>
  <c r="I37"/>
  <c r="T20"/>
  <c r="P35"/>
  <c r="Q22"/>
  <c r="L21"/>
  <c r="J20"/>
  <c r="J36"/>
  <c r="M5"/>
  <c r="V11"/>
  <c r="T9"/>
  <c r="J18"/>
  <c r="V20"/>
  <c r="J21"/>
  <c r="V5"/>
  <c r="M7"/>
  <c r="S22"/>
  <c r="N10"/>
  <c r="S5"/>
  <c r="J9"/>
  <c r="S9"/>
  <c r="O36"/>
  <c r="I10"/>
  <c r="P36"/>
  <c r="J5"/>
  <c r="N9"/>
  <c r="O15"/>
  <c r="P5"/>
  <c r="P15"/>
  <c r="J15"/>
  <c r="K35"/>
  <c r="K36"/>
  <c r="K15"/>
  <c r="W17"/>
  <c r="G17"/>
  <c r="N17"/>
  <c r="F17"/>
  <c r="R17" l="1"/>
  <c r="S17"/>
  <c r="L17"/>
  <c r="J17"/>
  <c r="X17"/>
  <c r="I17"/>
  <c r="H17"/>
  <c r="T17"/>
  <c r="U17"/>
  <c r="M17"/>
  <c r="V17"/>
  <c r="Q17"/>
  <c r="K17"/>
  <c r="O17"/>
  <c r="P1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X46"/>
  <c r="W46"/>
  <c r="V46"/>
  <c r="U46"/>
  <c r="T46"/>
  <c r="S46"/>
  <c r="R46"/>
  <c r="Q46"/>
  <c r="P46"/>
  <c r="O46"/>
  <c r="N46"/>
  <c r="M46"/>
  <c r="L46"/>
  <c r="K46"/>
  <c r="J46"/>
  <c r="I46"/>
  <c r="H46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X41"/>
  <c r="W41"/>
  <c r="V41"/>
  <c r="U41"/>
  <c r="T41"/>
  <c r="S41"/>
  <c r="R41"/>
  <c r="Q41"/>
  <c r="P41"/>
  <c r="O41"/>
  <c r="N41"/>
  <c r="M41"/>
  <c r="L41"/>
  <c r="K41"/>
  <c r="J41"/>
  <c r="I41"/>
  <c r="H41"/>
  <c r="R1" i="24" l="1"/>
  <c r="Q1"/>
  <c r="P1"/>
  <c r="N1"/>
  <c r="J1"/>
  <c r="I1"/>
  <c r="H1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O1"/>
  <c r="M1"/>
  <c r="L1"/>
  <c r="K1"/>
  <c r="G1"/>
  <c r="X4" i="26" l="1"/>
  <c r="X24"/>
  <c r="X30"/>
  <c r="X27"/>
  <c r="C6" i="3" l="1"/>
  <c r="A414" i="8" l="1"/>
  <c r="A415"/>
  <c r="A456" l="1"/>
  <c r="A455"/>
  <c r="A451"/>
  <c r="A450"/>
  <c r="A446"/>
  <c r="A445"/>
  <c r="I6" i="26" l="1"/>
  <c r="A408" i="8"/>
  <c r="F21" i="26" l="1"/>
  <c r="F19"/>
  <c r="F22"/>
  <c r="A407" i="8"/>
  <c r="A406" l="1"/>
  <c r="A405" l="1"/>
  <c r="A404" l="1"/>
  <c r="A403" l="1"/>
  <c r="A402" l="1"/>
  <c r="A401" l="1"/>
  <c r="A400" l="1"/>
  <c r="A399" l="1"/>
  <c r="A398" l="1"/>
  <c r="A397" l="1"/>
  <c r="A396" l="1"/>
  <c r="A395" l="1"/>
  <c r="I393"/>
  <c r="A393"/>
  <c r="I392" l="1"/>
  <c r="A392"/>
  <c r="I391" l="1"/>
  <c r="A391"/>
  <c r="I390" l="1"/>
  <c r="A390"/>
  <c r="I389" l="1"/>
  <c r="A389"/>
  <c r="I388" l="1"/>
  <c r="A388"/>
  <c r="I387" l="1"/>
  <c r="A387"/>
  <c r="I386" l="1"/>
  <c r="A386"/>
  <c r="I385" l="1"/>
  <c r="A385"/>
  <c r="I384" l="1"/>
  <c r="A384"/>
  <c r="A383" l="1"/>
  <c r="A382" l="1"/>
  <c r="A381" l="1"/>
  <c r="A380" l="1"/>
  <c r="A379" l="1"/>
  <c r="A378" l="1"/>
  <c r="A377" l="1"/>
  <c r="A376" l="1"/>
  <c r="A375" l="1"/>
  <c r="A374" l="1"/>
  <c r="A472"/>
  <c r="A471"/>
  <c r="A372" l="1"/>
  <c r="A371" l="1"/>
  <c r="A370" l="1"/>
  <c r="A369" l="1"/>
  <c r="A368" l="1"/>
  <c r="A367" l="1"/>
  <c r="A366" l="1"/>
  <c r="A365" l="1"/>
  <c r="A364" l="1"/>
  <c r="A363" l="1"/>
  <c r="A362" l="1"/>
  <c r="A361" l="1"/>
  <c r="A360" l="1"/>
  <c r="A359" l="1"/>
  <c r="I357"/>
  <c r="A357"/>
  <c r="I356" l="1"/>
  <c r="A356"/>
  <c r="I355" l="1"/>
  <c r="A355"/>
  <c r="I354" l="1"/>
  <c r="A354"/>
  <c r="I353" l="1"/>
  <c r="A353"/>
  <c r="I352" l="1"/>
  <c r="A352"/>
  <c r="I351" l="1"/>
  <c r="A351"/>
  <c r="I350" l="1"/>
  <c r="A350"/>
  <c r="I349" l="1"/>
  <c r="A349"/>
  <c r="I348" l="1"/>
  <c r="A348"/>
  <c r="A347" l="1"/>
  <c r="A346" l="1"/>
  <c r="A345" l="1"/>
  <c r="A344" l="1"/>
  <c r="A343" l="1"/>
  <c r="A342" l="1"/>
  <c r="A341" l="1"/>
  <c r="A340" l="1"/>
  <c r="A339" l="1"/>
  <c r="A338" l="1"/>
  <c r="A469"/>
  <c r="A468"/>
  <c r="A466"/>
  <c r="A465"/>
  <c r="A336" l="1"/>
  <c r="A335" l="1"/>
  <c r="A334" l="1"/>
  <c r="A333" l="1"/>
  <c r="A332" l="1"/>
  <c r="A331" l="1"/>
  <c r="A330" l="1"/>
  <c r="A329" l="1"/>
  <c r="A328" l="1"/>
  <c r="A327" l="1"/>
  <c r="A326" l="1"/>
  <c r="A325" l="1"/>
  <c r="A324" l="1"/>
  <c r="A323" l="1"/>
  <c r="I321"/>
  <c r="A321" s="1"/>
  <c r="I320" l="1"/>
  <c r="A320"/>
  <c r="I319" l="1"/>
  <c r="A319"/>
  <c r="I318" l="1"/>
  <c r="A318"/>
  <c r="I317" l="1"/>
  <c r="A317"/>
  <c r="I316" l="1"/>
  <c r="A316"/>
  <c r="I315" l="1"/>
  <c r="A315" l="1"/>
  <c r="I314"/>
  <c r="A314" l="1"/>
  <c r="I313"/>
  <c r="A313" l="1"/>
  <c r="I312"/>
  <c r="A312" l="1"/>
  <c r="A311"/>
  <c r="A310" l="1"/>
  <c r="A309" l="1"/>
  <c r="A308" l="1"/>
  <c r="A307" l="1"/>
  <c r="A306" l="1"/>
  <c r="A305" l="1"/>
  <c r="A304" l="1"/>
  <c r="A303" l="1"/>
  <c r="A302" l="1"/>
  <c r="A463"/>
  <c r="A462"/>
  <c r="A460"/>
  <c r="A459"/>
  <c r="A458"/>
  <c r="A300" l="1"/>
  <c r="A299" l="1"/>
  <c r="A298" l="1"/>
  <c r="A297" l="1"/>
  <c r="A296" l="1"/>
  <c r="A295" l="1"/>
  <c r="A294" l="1"/>
  <c r="A293" l="1"/>
  <c r="A292" l="1"/>
  <c r="A291" l="1"/>
  <c r="A290" l="1"/>
  <c r="A289" l="1"/>
  <c r="A288" l="1"/>
  <c r="A287" l="1"/>
  <c r="I285"/>
  <c r="A285"/>
  <c r="I284" l="1"/>
  <c r="A284"/>
  <c r="I283" l="1"/>
  <c r="A283"/>
  <c r="I282" l="1"/>
  <c r="A282"/>
  <c r="I281" l="1"/>
  <c r="A281"/>
  <c r="I280" l="1"/>
  <c r="A280"/>
  <c r="I279" l="1"/>
  <c r="A279"/>
  <c r="I278" l="1"/>
  <c r="A278"/>
  <c r="I277" l="1"/>
  <c r="A277"/>
  <c r="I276" l="1"/>
  <c r="A276"/>
  <c r="A275" l="1"/>
  <c r="A274" l="1"/>
  <c r="A273" l="1"/>
  <c r="A272" l="1"/>
  <c r="A271" l="1"/>
  <c r="A270" l="1"/>
  <c r="A269" l="1"/>
  <c r="A268" l="1"/>
  <c r="A267" l="1"/>
  <c r="A266" l="1"/>
  <c r="A454"/>
  <c r="A453"/>
  <c r="A449"/>
  <c r="A448"/>
  <c r="A444"/>
  <c r="A443"/>
  <c r="A264" l="1"/>
  <c r="A263" l="1"/>
  <c r="A262" l="1"/>
  <c r="A261" l="1"/>
  <c r="A260" l="1"/>
  <c r="A259" l="1"/>
  <c r="A258" l="1"/>
  <c r="A257" l="1"/>
  <c r="A256" l="1"/>
  <c r="A255" l="1"/>
  <c r="A254" l="1"/>
  <c r="A253" l="1"/>
  <c r="A252" l="1"/>
  <c r="A251" l="1"/>
  <c r="I249"/>
  <c r="A249" s="1"/>
  <c r="I248" l="1"/>
  <c r="A248"/>
  <c r="I247" l="1"/>
  <c r="A247"/>
  <c r="I246" l="1"/>
  <c r="A246"/>
  <c r="I245" l="1"/>
  <c r="A245"/>
  <c r="I244" l="1"/>
  <c r="A244"/>
  <c r="I243" l="1"/>
  <c r="A243"/>
  <c r="I242" l="1"/>
  <c r="A242"/>
  <c r="I241" l="1"/>
  <c r="A241"/>
  <c r="I240" l="1"/>
  <c r="A240"/>
  <c r="A239" l="1"/>
  <c r="A238" l="1"/>
  <c r="A237" l="1"/>
  <c r="A236" l="1"/>
  <c r="A235" l="1"/>
  <c r="A234" l="1"/>
  <c r="A233" l="1"/>
  <c r="A232" l="1"/>
  <c r="A231" l="1"/>
  <c r="A230" l="1"/>
  <c r="A228" l="1"/>
  <c r="A227" l="1"/>
  <c r="A226" l="1"/>
  <c r="A225" l="1"/>
  <c r="A224" l="1"/>
  <c r="A223" l="1"/>
  <c r="A222" l="1"/>
  <c r="A221" l="1"/>
  <c r="A220" l="1"/>
  <c r="A219" l="1"/>
  <c r="A218" l="1"/>
  <c r="A217" l="1"/>
  <c r="A216" l="1"/>
  <c r="A215" l="1"/>
  <c r="I213"/>
  <c r="A213" s="1"/>
  <c r="I212" l="1"/>
  <c r="A212"/>
  <c r="I211" l="1"/>
  <c r="A211" s="1"/>
  <c r="I210" l="1"/>
  <c r="A210" s="1"/>
  <c r="I209" l="1"/>
  <c r="A209"/>
  <c r="I208" l="1"/>
  <c r="A208"/>
  <c r="I207" l="1"/>
  <c r="A207"/>
  <c r="I206" l="1"/>
  <c r="A206"/>
  <c r="I205" l="1"/>
  <c r="A205" s="1"/>
  <c r="I204" l="1"/>
  <c r="A204"/>
  <c r="A203" l="1"/>
  <c r="A202" l="1"/>
  <c r="A201" l="1"/>
  <c r="A200" l="1"/>
  <c r="A199" l="1"/>
  <c r="A198" l="1"/>
  <c r="A197" l="1"/>
  <c r="A196" l="1"/>
  <c r="A195" l="1"/>
  <c r="A194" l="1"/>
  <c r="A192" l="1"/>
  <c r="A191" l="1"/>
  <c r="A190" l="1"/>
  <c r="A189" l="1"/>
  <c r="A188" l="1"/>
  <c r="A187" l="1"/>
  <c r="A186" l="1"/>
  <c r="A185" l="1"/>
  <c r="A184" l="1"/>
  <c r="A183" l="1"/>
  <c r="A182" l="1"/>
  <c r="A181" l="1"/>
  <c r="A180" l="1"/>
  <c r="A179" l="1"/>
  <c r="I177"/>
  <c r="A177" s="1"/>
  <c r="I176" l="1"/>
  <c r="A176" l="1"/>
  <c r="I175"/>
  <c r="A175" s="1"/>
  <c r="I174" l="1"/>
  <c r="A174"/>
  <c r="I173" l="1"/>
  <c r="A173"/>
  <c r="I172" l="1"/>
  <c r="A172"/>
  <c r="I171" l="1"/>
  <c r="A171"/>
  <c r="I170" l="1"/>
  <c r="A170"/>
  <c r="I169" l="1"/>
  <c r="A169" s="1"/>
  <c r="I168" l="1"/>
  <c r="A168"/>
  <c r="A167" l="1"/>
  <c r="A166" l="1"/>
  <c r="A165" l="1"/>
  <c r="A164" l="1"/>
  <c r="A163" l="1"/>
  <c r="A162" l="1"/>
  <c r="A161" l="1"/>
  <c r="A160" l="1"/>
  <c r="A159" l="1"/>
  <c r="A158" l="1"/>
  <c r="A441"/>
  <c r="A440"/>
  <c r="A439"/>
  <c r="A437"/>
  <c r="A436"/>
  <c r="A156" l="1"/>
  <c r="A155" l="1"/>
  <c r="A154" l="1"/>
  <c r="A153" l="1"/>
  <c r="A152" l="1"/>
  <c r="A151" l="1"/>
  <c r="A150" l="1"/>
  <c r="A149" l="1"/>
  <c r="A148" l="1"/>
  <c r="A147" l="1"/>
  <c r="A146" l="1"/>
  <c r="A145" l="1"/>
  <c r="A144" l="1"/>
  <c r="A143" l="1"/>
  <c r="I141"/>
  <c r="A141" l="1"/>
  <c r="I140"/>
  <c r="A140" l="1"/>
  <c r="I139"/>
  <c r="A139" l="1"/>
  <c r="I138"/>
  <c r="A138" s="1"/>
  <c r="I137" l="1"/>
  <c r="A137"/>
  <c r="I136" l="1"/>
  <c r="A136"/>
  <c r="I135" l="1"/>
  <c r="A135"/>
  <c r="I134" l="1"/>
  <c r="A134" s="1"/>
  <c r="I133" l="1"/>
  <c r="A133"/>
  <c r="I132" l="1"/>
  <c r="A132"/>
  <c r="A131" l="1"/>
  <c r="A130" l="1"/>
  <c r="A129" l="1"/>
  <c r="A128" l="1"/>
  <c r="A127" l="1"/>
  <c r="A126" l="1"/>
  <c r="A125" l="1"/>
  <c r="A124" l="1"/>
  <c r="A123" l="1"/>
  <c r="A122" l="1"/>
  <c r="A434"/>
  <c r="A433"/>
  <c r="A432"/>
  <c r="A430"/>
  <c r="A429"/>
  <c r="A427"/>
  <c r="A426"/>
  <c r="A425"/>
  <c r="A120"/>
  <c r="A119" l="1"/>
  <c r="A118" l="1"/>
  <c r="A117" l="1"/>
  <c r="A116"/>
  <c r="A115" l="1"/>
  <c r="A114" l="1"/>
  <c r="A113"/>
  <c r="A112" l="1"/>
  <c r="A111" l="1"/>
  <c r="A110" l="1"/>
  <c r="A109" l="1"/>
  <c r="A108" l="1"/>
  <c r="A107" l="1"/>
  <c r="I105"/>
  <c r="A105" s="1"/>
  <c r="I104" l="1"/>
  <c r="A104" s="1"/>
  <c r="I103" l="1"/>
  <c r="A103"/>
  <c r="I102" l="1"/>
  <c r="A102"/>
  <c r="I101" l="1"/>
  <c r="A101" l="1"/>
  <c r="I100"/>
  <c r="A100" s="1"/>
  <c r="I99" l="1"/>
  <c r="A99" l="1"/>
  <c r="I98"/>
  <c r="A98" s="1"/>
  <c r="I97" l="1"/>
  <c r="A97" l="1"/>
  <c r="I96"/>
  <c r="A96"/>
  <c r="A95" l="1"/>
  <c r="A94" l="1"/>
  <c r="A93" l="1"/>
  <c r="A92" l="1"/>
  <c r="A91" l="1"/>
  <c r="A90" l="1"/>
  <c r="A89" l="1"/>
  <c r="A88" l="1"/>
  <c r="A87" l="1"/>
  <c r="A86" l="1"/>
  <c r="A423"/>
  <c r="A422"/>
  <c r="A83" l="1"/>
  <c r="A82" l="1"/>
  <c r="A81" l="1"/>
  <c r="A80" l="1"/>
  <c r="A79" l="1"/>
  <c r="A78"/>
  <c r="A77" l="1"/>
  <c r="A76"/>
  <c r="A75" l="1"/>
  <c r="A74" l="1"/>
  <c r="A73" l="1"/>
  <c r="A72" l="1"/>
  <c r="A71" l="1"/>
  <c r="A70" l="1"/>
  <c r="A68"/>
  <c r="A67" l="1"/>
  <c r="A66" l="1"/>
  <c r="A65" l="1"/>
  <c r="A64" l="1"/>
  <c r="A63" l="1"/>
  <c r="A62" l="1"/>
  <c r="A61" l="1"/>
  <c r="A60" l="1"/>
  <c r="A59" l="1"/>
  <c r="A58" l="1"/>
  <c r="A57" l="1"/>
  <c r="A56" l="1"/>
  <c r="A55" l="1"/>
  <c r="A54" l="1"/>
  <c r="A53" l="1"/>
  <c r="A52" l="1"/>
  <c r="A51" l="1"/>
  <c r="A50" l="1"/>
  <c r="A49" l="1"/>
  <c r="H47" l="1"/>
  <c r="A47" s="1"/>
  <c r="A40" l="1"/>
  <c r="H46"/>
  <c r="A46" l="1"/>
  <c r="A39"/>
  <c r="H45"/>
  <c r="A45" s="1"/>
  <c r="A38" l="1"/>
  <c r="H44"/>
  <c r="A44" s="1"/>
  <c r="A37" l="1"/>
  <c r="H43"/>
  <c r="A43" l="1"/>
  <c r="A36"/>
  <c r="H42"/>
  <c r="A42" s="1"/>
  <c r="A35" l="1"/>
  <c r="H41"/>
  <c r="A41" l="1"/>
  <c r="A34"/>
  <c r="A420"/>
  <c r="A419"/>
  <c r="A418"/>
  <c r="A416"/>
  <c r="A413"/>
  <c r="A412"/>
  <c r="I32" l="1"/>
  <c r="H32"/>
  <c r="A32" l="1"/>
  <c r="A22"/>
  <c r="I31" l="1"/>
  <c r="H31"/>
  <c r="A31" l="1"/>
  <c r="A21"/>
  <c r="I30" l="1"/>
  <c r="H30"/>
  <c r="A30" l="1"/>
  <c r="A20"/>
  <c r="I29" l="1"/>
  <c r="H29"/>
  <c r="A29" l="1"/>
  <c r="A19"/>
  <c r="I28" l="1"/>
  <c r="H28"/>
  <c r="A28" l="1"/>
  <c r="A18"/>
  <c r="I27" l="1"/>
  <c r="H27"/>
  <c r="A27" l="1"/>
  <c r="A17"/>
  <c r="I26" l="1"/>
  <c r="H26"/>
  <c r="A26" l="1"/>
  <c r="A16"/>
  <c r="I25" l="1"/>
  <c r="H25"/>
  <c r="A25" l="1"/>
  <c r="A15"/>
  <c r="I24" l="1"/>
  <c r="H24"/>
  <c r="A14"/>
  <c r="A24" l="1"/>
  <c r="I23"/>
  <c r="H23"/>
  <c r="H11"/>
  <c r="G11"/>
  <c r="A23" l="1"/>
  <c r="A13" l="1"/>
  <c r="A11" l="1"/>
  <c r="A10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BL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BL6"/>
  <c r="BJ7" l="1"/>
  <c r="BI7"/>
  <c r="BK7"/>
  <c r="F15" i="26" l="1"/>
  <c r="F32"/>
  <c r="F14"/>
  <c r="F37"/>
  <c r="F33"/>
  <c r="F34"/>
  <c r="F36"/>
  <c r="H22" i="30" l="1"/>
  <c r="I22"/>
  <c r="J22"/>
  <c r="K22"/>
  <c r="L22"/>
  <c r="M22"/>
  <c r="N22"/>
  <c r="O22"/>
  <c r="P22"/>
  <c r="Q22"/>
  <c r="R22"/>
  <c r="S22"/>
  <c r="T22"/>
  <c r="U22"/>
  <c r="V22"/>
  <c r="W22"/>
</calcChain>
</file>

<file path=xl/connections.xml><?xml version="1.0" encoding="utf-8"?>
<connections xmlns="http://schemas.openxmlformats.org/spreadsheetml/2006/main">
  <connection id="1" name="연결" type="7" refreshedVersion="3"/>
  <connection id="2" name="연결1" type="7" refreshedVersion="3"/>
  <connection id="3" name="연결2" type="7" refreshedVersion="3"/>
  <connection id="4" name="연결3" type="7" refreshedVersion="3"/>
  <connection id="5" name="연결4" type="7" refreshedVersion="3"/>
  <connection id="6" name="연결5" type="7" refreshedVersion="3"/>
  <connection id="7" name="연결6" type="7" refreshedVersion="3"/>
</connections>
</file>

<file path=xl/sharedStrings.xml><?xml version="1.0" encoding="utf-8"?>
<sst xmlns="http://schemas.openxmlformats.org/spreadsheetml/2006/main" count="19356" uniqueCount="717">
  <si>
    <t>합계 : AMOUNT</t>
  </si>
  <si>
    <t>201510</t>
  </si>
  <si>
    <t>N_YYYYMM</t>
    <phoneticPr fontId="2" type="noConversion"/>
  </si>
  <si>
    <t>N변수</t>
    <phoneticPr fontId="2" type="noConversion"/>
  </si>
  <si>
    <t>N_MAF_URL</t>
    <phoneticPr fontId="2" type="noConversion"/>
  </si>
  <si>
    <t>KPI_CD</t>
  </si>
  <si>
    <t>COL_INDEX</t>
  </si>
  <si>
    <t>CNT</t>
  </si>
  <si>
    <t>DFT</t>
  </si>
  <si>
    <t>DGT</t>
  </si>
  <si>
    <t>DMT</t>
  </si>
  <si>
    <t>DVT</t>
  </si>
  <si>
    <t>GJT</t>
  </si>
  <si>
    <t>GLT</t>
  </si>
  <si>
    <t>GNT</t>
  </si>
  <si>
    <t>GTT</t>
  </si>
  <si>
    <t>MST</t>
  </si>
  <si>
    <t>PNT</t>
  </si>
  <si>
    <t>PST</t>
  </si>
  <si>
    <t>PGT</t>
  </si>
  <si>
    <t>PCT</t>
  </si>
  <si>
    <t>SALE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</si>
  <si>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</si>
  <si>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</si>
  <si>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</si>
  <si>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</si>
  <si>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</si>
  <si>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</si>
  <si>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</si>
  <si>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</si>
  <si>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201409</t>
  </si>
  <si>
    <t>201410</t>
  </si>
  <si>
    <t>201411</t>
  </si>
  <si>
    <t>201412</t>
  </si>
  <si>
    <t>201501</t>
  </si>
  <si>
    <t>201502</t>
  </si>
  <si>
    <t>201503</t>
  </si>
  <si>
    <t>201504</t>
  </si>
  <si>
    <t>201505</t>
  </si>
  <si>
    <t>201506</t>
  </si>
  <si>
    <t>201507</t>
  </si>
  <si>
    <t>201508</t>
  </si>
  <si>
    <t>201509</t>
  </si>
  <si>
    <t>_RefreshSheets_</t>
    <phoneticPr fontId="2" type="noConversion"/>
  </si>
  <si>
    <t>GBU</t>
    <phoneticPr fontId="2" type="noConversion"/>
  </si>
  <si>
    <t>SALE</t>
    <phoneticPr fontId="2" type="noConversion"/>
  </si>
  <si>
    <t>OLED</t>
  </si>
  <si>
    <t>법인명</t>
    <phoneticPr fontId="2" type="noConversion"/>
  </si>
  <si>
    <t>매트릭스 리플레쉬 대상 시트</t>
    <phoneticPr fontId="2" type="noConversion"/>
  </si>
  <si>
    <t>년월</t>
    <phoneticPr fontId="2" type="noConversion"/>
  </si>
  <si>
    <t>조직기준월</t>
    <phoneticPr fontId="2" type="noConversion"/>
  </si>
  <si>
    <t>단위</t>
    <phoneticPr fontId="2" type="noConversion"/>
  </si>
  <si>
    <t>MAF 주소</t>
    <phoneticPr fontId="2" type="noConversion"/>
  </si>
  <si>
    <t>화폐 단위</t>
    <phoneticPr fontId="2" type="noConversion"/>
  </si>
  <si>
    <t>USD</t>
    <phoneticPr fontId="2" type="noConversion"/>
  </si>
  <si>
    <t>http://ares.lge.com:6060/servlet/Webquery.maf</t>
    <phoneticPr fontId="2" type="noConversion"/>
  </si>
  <si>
    <t>한국어:KO, 영어:EN</t>
    <phoneticPr fontId="2" type="noConversion"/>
  </si>
  <si>
    <t>전년</t>
    <phoneticPr fontId="2" type="noConversion"/>
  </si>
  <si>
    <t>LCD TV</t>
  </si>
  <si>
    <t>MNT/MNT TV</t>
  </si>
  <si>
    <t>AV</t>
  </si>
  <si>
    <t>MC</t>
  </si>
  <si>
    <t>REF</t>
  </si>
  <si>
    <t>W/M</t>
  </si>
  <si>
    <t>RAC</t>
  </si>
  <si>
    <t>PC</t>
  </si>
  <si>
    <t>DS (Brand)</t>
  </si>
  <si>
    <t>VCC</t>
  </si>
  <si>
    <t>모니터/모니터 TV</t>
  </si>
  <si>
    <t>단말</t>
  </si>
  <si>
    <t>냉장고</t>
  </si>
  <si>
    <t>세탁기</t>
  </si>
  <si>
    <t>DS(Brand)</t>
  </si>
  <si>
    <t>금년</t>
    <phoneticPr fontId="2" type="noConversion"/>
  </si>
  <si>
    <t>&lt;매핑 테이블&gt;</t>
    <phoneticPr fontId="2" type="noConversion"/>
  </si>
  <si>
    <t>전년대비</t>
    <phoneticPr fontId="2" type="noConversion"/>
  </si>
  <si>
    <t>SALES_DEDUCTION</t>
  </si>
  <si>
    <t>SALE</t>
    <phoneticPr fontId="2" type="noConversion"/>
  </si>
  <si>
    <t>2.당월실적_B2C</t>
    <phoneticPr fontId="2" type="noConversion"/>
  </si>
  <si>
    <t>(RAW)</t>
    <phoneticPr fontId="2" type="noConversion"/>
  </si>
  <si>
    <t>(계산)</t>
    <phoneticPr fontId="2" type="noConversion"/>
  </si>
  <si>
    <t>KO</t>
    <phoneticPr fontId="2" type="noConversion"/>
  </si>
  <si>
    <t>Code</t>
    <phoneticPr fontId="2" type="noConversion"/>
  </si>
  <si>
    <t>KO</t>
    <phoneticPr fontId="2" type="noConversion"/>
  </si>
  <si>
    <t>EN</t>
    <phoneticPr fontId="2" type="noConversion"/>
  </si>
  <si>
    <t>B2C</t>
    <phoneticPr fontId="2" type="noConversion"/>
  </si>
  <si>
    <t>(OLED)</t>
    <phoneticPr fontId="2" type="noConversion"/>
  </si>
  <si>
    <t>GJT</t>
    <phoneticPr fontId="2" type="noConversion"/>
  </si>
  <si>
    <t>모니터 사이니지</t>
    <phoneticPr fontId="2" type="noConversion"/>
  </si>
  <si>
    <t>MNT Signage</t>
    <phoneticPr fontId="2" type="noConversion"/>
  </si>
  <si>
    <t>B2B</t>
    <phoneticPr fontId="2" type="noConversion"/>
  </si>
  <si>
    <t>GNT</t>
    <phoneticPr fontId="2" type="noConversion"/>
  </si>
  <si>
    <t>TV 사이니지</t>
    <phoneticPr fontId="2" type="noConversion"/>
  </si>
  <si>
    <t>Commercial TV</t>
    <phoneticPr fontId="2" type="noConversion"/>
  </si>
  <si>
    <t>GOT</t>
    <phoneticPr fontId="2" type="noConversion"/>
  </si>
  <si>
    <t>Hotel TV</t>
    <phoneticPr fontId="2" type="noConversion"/>
  </si>
  <si>
    <t>Hotel PTV</t>
    <phoneticPr fontId="2" type="noConversion"/>
  </si>
  <si>
    <t>PKT</t>
    <phoneticPr fontId="2" type="noConversion"/>
  </si>
  <si>
    <t>Security</t>
    <phoneticPr fontId="2" type="noConversion"/>
  </si>
  <si>
    <t>DMT</t>
    <phoneticPr fontId="2" type="noConversion"/>
  </si>
  <si>
    <t>CAC</t>
    <phoneticPr fontId="2" type="noConversion"/>
  </si>
  <si>
    <t>DTT</t>
    <phoneticPr fontId="2" type="noConversion"/>
  </si>
  <si>
    <t>Chiller</t>
    <phoneticPr fontId="2" type="noConversion"/>
  </si>
  <si>
    <t>PGT</t>
    <phoneticPr fontId="2" type="noConversion"/>
  </si>
  <si>
    <t>IVI</t>
    <phoneticPr fontId="2" type="noConversion"/>
  </si>
  <si>
    <t>PKT</t>
  </si>
  <si>
    <t>(OLED)</t>
    <phoneticPr fontId="2" type="noConversion"/>
  </si>
  <si>
    <t>화면 이름</t>
  </si>
  <si>
    <t>파일명</t>
  </si>
  <si>
    <t>No.</t>
    <phoneticPr fontId="2" type="noConversion"/>
  </si>
  <si>
    <t>작업일시</t>
    <phoneticPr fontId="2" type="noConversion"/>
  </si>
  <si>
    <t>작업내용</t>
    <phoneticPr fontId="2" type="noConversion"/>
  </si>
  <si>
    <t>작업자</t>
    <phoneticPr fontId="2" type="noConversion"/>
  </si>
  <si>
    <t>CSR_ID</t>
    <phoneticPr fontId="2" type="noConversion"/>
  </si>
  <si>
    <t>SRC_SMART_B2C_Overhead</t>
    <phoneticPr fontId="2" type="noConversion"/>
  </si>
  <si>
    <t>1.당월실적_법인전체_SALE</t>
    <phoneticPr fontId="2" type="noConversion"/>
  </si>
  <si>
    <t>1.당월실적_법인전체_SALE</t>
    <phoneticPr fontId="2" type="noConversion"/>
  </si>
  <si>
    <t>GOT</t>
  </si>
  <si>
    <t>DTT</t>
  </si>
  <si>
    <t>2.당월실적_B2B</t>
    <phoneticPr fontId="2" type="noConversion"/>
  </si>
  <si>
    <t>GBU</t>
    <phoneticPr fontId="2" type="noConversion"/>
  </si>
  <si>
    <t>OH_COST</t>
    <phoneticPr fontId="2" type="noConversion"/>
  </si>
  <si>
    <t>2.당월실적_법인전체_OH</t>
    <phoneticPr fontId="2" type="noConversion"/>
  </si>
  <si>
    <t>OH_COST(법인전체)</t>
    <phoneticPr fontId="2" type="noConversion"/>
  </si>
  <si>
    <t>2.당월실적_법인전체_OH</t>
    <phoneticPr fontId="2" type="noConversion"/>
  </si>
  <si>
    <t>SALES_DEDUCTION</t>
    <phoneticPr fontId="2" type="noConversion"/>
  </si>
  <si>
    <t>OH_V_COST</t>
    <phoneticPr fontId="2" type="noConversion"/>
  </si>
  <si>
    <t>OH_V_AD_PROMOTION</t>
    <phoneticPr fontId="2" type="noConversion"/>
  </si>
  <si>
    <t>OH_V_TRANS</t>
    <phoneticPr fontId="2" type="noConversion"/>
  </si>
  <si>
    <t>OH_V_SVC</t>
    <phoneticPr fontId="2" type="noConversion"/>
  </si>
  <si>
    <t>OH_F_COST</t>
    <phoneticPr fontId="2" type="noConversion"/>
  </si>
  <si>
    <t>OH_F_LABOR</t>
    <phoneticPr fontId="2" type="noConversion"/>
  </si>
  <si>
    <t>OH_F_AD_PROMOTION</t>
    <phoneticPr fontId="2" type="noConversion"/>
  </si>
  <si>
    <t>OH_F_COMMISSION</t>
    <phoneticPr fontId="2" type="noConversion"/>
  </si>
  <si>
    <t>OH_COST율(법인전체)</t>
    <phoneticPr fontId="2" type="noConversion"/>
  </si>
  <si>
    <t>OH_COST율(법인전체)</t>
    <phoneticPr fontId="2" type="noConversion"/>
  </si>
  <si>
    <t>O/H 율 = O/H비용 / SALES</t>
    <phoneticPr fontId="2" type="noConversion"/>
  </si>
  <si>
    <t>전년대비</t>
    <phoneticPr fontId="2" type="noConversion"/>
  </si>
  <si>
    <t>금년 O/H율 - 전년 O/H율</t>
    <phoneticPr fontId="2" type="noConversion"/>
  </si>
  <si>
    <t>B2C O/H율 = B2C_O/H비용 / B2C_SALES</t>
    <phoneticPr fontId="2" type="noConversion"/>
  </si>
  <si>
    <t>상동</t>
    <phoneticPr fontId="2" type="noConversion"/>
  </si>
  <si>
    <t>금년 변동비율 - 전년 변동비율</t>
    <phoneticPr fontId="2" type="noConversion"/>
  </si>
  <si>
    <t>변동비 = 판매촉진비 + 운반비 + SVC비</t>
    <phoneticPr fontId="2" type="noConversion"/>
  </si>
  <si>
    <t>변동비율 = 변동비 / SALES</t>
    <phoneticPr fontId="2" type="noConversion"/>
  </si>
  <si>
    <t>고정비율 = 고정비 / SALES</t>
    <phoneticPr fontId="2" type="noConversion"/>
  </si>
  <si>
    <t>고정비 = 인건비 + 광고비 + 지급수수료</t>
    <phoneticPr fontId="2" type="noConversion"/>
  </si>
  <si>
    <t>금년 고정비 - 전년 고정비</t>
    <phoneticPr fontId="2" type="noConversion"/>
  </si>
  <si>
    <t>SMART &gt; B2C경영현황 &gt; 월별 Trend (Overhead)</t>
    <phoneticPr fontId="2" type="noConversion"/>
  </si>
  <si>
    <t>B2B매출</t>
  </si>
  <si>
    <t>B2B가격성판촉율</t>
  </si>
  <si>
    <t>B2B_OH_COST</t>
  </si>
  <si>
    <t>B2B_Overhead_Rate</t>
  </si>
  <si>
    <t>B2B_변동비율</t>
  </si>
  <si>
    <t>B2B_판매촉진비율</t>
  </si>
  <si>
    <t>B2B_운반비율</t>
  </si>
  <si>
    <t>B2B_SVC비율</t>
  </si>
  <si>
    <t>B2B_고정비</t>
  </si>
  <si>
    <t>B2B_고정비율</t>
  </si>
  <si>
    <t>B2B_인건비</t>
  </si>
  <si>
    <t>B2B_광고선전비</t>
  </si>
  <si>
    <t>B2B_지급수수료</t>
  </si>
  <si>
    <t>B2B_SALES_DEDUCTION</t>
  </si>
  <si>
    <t>B2B_변동비</t>
  </si>
  <si>
    <t>B2B_판매촉진비</t>
  </si>
  <si>
    <t>B2B_운반비</t>
  </si>
  <si>
    <t>B2B_SVC비</t>
  </si>
  <si>
    <t>총합계</t>
  </si>
  <si>
    <t>키1</t>
    <phoneticPr fontId="2" type="noConversion"/>
  </si>
  <si>
    <t>키2</t>
    <phoneticPr fontId="2" type="noConversion"/>
  </si>
  <si>
    <t>키3</t>
    <phoneticPr fontId="2" type="noConversion"/>
  </si>
  <si>
    <t>N_DIVDT</t>
    <phoneticPr fontId="2" type="noConversion"/>
  </si>
  <si>
    <t>N_UNIT</t>
    <phoneticPr fontId="2" type="noConversion"/>
  </si>
  <si>
    <t>N_CURRENCY</t>
    <phoneticPr fontId="2" type="noConversion"/>
  </si>
  <si>
    <t>N_SUBSIDIARY</t>
    <phoneticPr fontId="2" type="noConversion"/>
  </si>
  <si>
    <t>N_LANGUAGE</t>
    <phoneticPr fontId="2" type="noConversion"/>
  </si>
  <si>
    <t>BASIS_YYYYMM</t>
  </si>
  <si>
    <t>AMOUNT</t>
  </si>
  <si>
    <t>3.전체_재고금액</t>
  </si>
  <si>
    <t>INV</t>
  </si>
  <si>
    <t>2.전체_재고일수</t>
  </si>
  <si>
    <t>INV_DIO</t>
  </si>
  <si>
    <t>INV_DIO_R</t>
  </si>
  <si>
    <t>4.전체_장기재고금액</t>
  </si>
  <si>
    <t>INV_LONG_TERM</t>
  </si>
  <si>
    <t>INV_LONG_TERM_13_Over</t>
  </si>
  <si>
    <t>INV_LONG_TERM_3_6</t>
  </si>
  <si>
    <t>INV_LONG_TERM_7_12</t>
  </si>
  <si>
    <t>INV_LONG_TERM_MTL</t>
  </si>
  <si>
    <t>INV_SEA</t>
  </si>
  <si>
    <t>INV_WH</t>
  </si>
  <si>
    <t>1.전체_매출</t>
  </si>
  <si>
    <t>N_ESS_OPTION</t>
    <phoneticPr fontId="2" type="noConversion"/>
  </si>
  <si>
    <t>A2100000000111000000101100020_01001000</t>
    <phoneticPr fontId="2" type="noConversion"/>
  </si>
  <si>
    <t>N_ID</t>
    <phoneticPr fontId="2" type="noConversion"/>
  </si>
  <si>
    <t>N_PW</t>
    <phoneticPr fontId="2" type="noConversion"/>
  </si>
  <si>
    <t>시트명</t>
  </si>
  <si>
    <t>서버</t>
  </si>
  <si>
    <t>응용 프로그램</t>
  </si>
  <si>
    <t>데이타베이스</t>
  </si>
  <si>
    <t>영역</t>
  </si>
  <si>
    <t>Inv_DIO</t>
    <phoneticPr fontId="2" type="noConversion"/>
  </si>
  <si>
    <t>10.185.49.61</t>
  </si>
  <si>
    <t>baWC_DIO</t>
    <phoneticPr fontId="2" type="noConversion"/>
  </si>
  <si>
    <t>ESS_INV_DIO_RANGE</t>
    <phoneticPr fontId="11" type="noConversion"/>
  </si>
  <si>
    <t>USD</t>
  </si>
  <si>
    <t>BP</t>
  </si>
  <si>
    <t>Forecasting</t>
  </si>
  <si>
    <t>AuType</t>
  </si>
  <si>
    <t>Entity</t>
  </si>
  <si>
    <t>InvType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</si>
  <si>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</si>
  <si>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</si>
  <si>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</si>
  <si>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</si>
  <si>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</si>
  <si>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</si>
  <si>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</si>
  <si>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</si>
  <si>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</si>
  <si>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</si>
  <si>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</si>
  <si>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</si>
  <si>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APPROPRIATE_DIO</t>
  </si>
  <si>
    <t>Appropriate DIO</t>
  </si>
  <si>
    <t>0</t>
  </si>
  <si>
    <t>BASIS_YYYY</t>
  </si>
  <si>
    <t>2012</t>
  </si>
  <si>
    <t>201201</t>
  </si>
  <si>
    <t>INV_DIO_MTL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</si>
  <si>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</si>
  <si>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</si>
  <si>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</si>
  <si>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</si>
  <si>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</si>
  <si>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</si>
  <si>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</si>
  <si>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</si>
  <si>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</si>
  <si>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</si>
  <si>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</si>
  <si>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</t>
  </si>
  <si>
    <t>201300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</si>
  <si>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</si>
  <si>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</si>
  <si>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</si>
  <si>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</si>
  <si>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</si>
  <si>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</si>
  <si>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</si>
  <si>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</si>
  <si>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</si>
  <si>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</si>
  <si>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</si>
  <si>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</si>
  <si>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</t>
  </si>
  <si>
    <t>201400</t>
  </si>
  <si>
    <t>INV_LONG_TERM_AGING</t>
  </si>
  <si>
    <t>INV_LONG_TERM_MTL_13_Over</t>
  </si>
  <si>
    <t>INV_LONG_TERM_MTL_3_6</t>
  </si>
  <si>
    <t>INV_LONG_TERM_MTL_7_12</t>
  </si>
  <si>
    <t>2015</t>
  </si>
  <si>
    <t>201500</t>
  </si>
  <si>
    <t>201200</t>
  </si>
  <si>
    <t>N_B2BB2C</t>
    <phoneticPr fontId="2" type="noConversion"/>
  </si>
  <si>
    <t>5.재고과다/재고부족_재고일수</t>
  </si>
  <si>
    <t>6.재고과다/재고부족_재고금액</t>
  </si>
  <si>
    <t>&lt;EssBase&gt;</t>
    <phoneticPr fontId="2" type="noConversion"/>
  </si>
  <si>
    <t>구분</t>
    <phoneticPr fontId="11" type="noConversion"/>
  </si>
  <si>
    <t>적정재고일수</t>
  </si>
  <si>
    <t>매출</t>
    <phoneticPr fontId="11" type="noConversion"/>
  </si>
  <si>
    <t xml:space="preserve">  전년대비</t>
    <phoneticPr fontId="11" type="noConversion"/>
  </si>
  <si>
    <t>재고일수</t>
    <phoneticPr fontId="11" type="noConversion"/>
  </si>
  <si>
    <t xml:space="preserve">  (역산법)</t>
    <phoneticPr fontId="11" type="noConversion"/>
  </si>
  <si>
    <t>재고금액</t>
    <phoneticPr fontId="11" type="noConversion"/>
  </si>
  <si>
    <t xml:space="preserve">  창고</t>
    <phoneticPr fontId="11" type="noConversion"/>
  </si>
  <si>
    <t xml:space="preserve">  해상</t>
    <phoneticPr fontId="11" type="noConversion"/>
  </si>
  <si>
    <t>장기재고금액</t>
    <phoneticPr fontId="11" type="noConversion"/>
  </si>
  <si>
    <r>
      <t>장기재고율</t>
    </r>
    <r>
      <rPr>
        <b/>
        <sz val="10"/>
        <rFont val="맑은 고딕"/>
        <family val="3"/>
        <charset val="129"/>
      </rPr>
      <t>(%)</t>
    </r>
    <phoneticPr fontId="11" type="noConversion"/>
  </si>
  <si>
    <t>전년대비(%p)</t>
    <phoneticPr fontId="11" type="noConversion"/>
  </si>
  <si>
    <t>매출액대비(%)</t>
  </si>
  <si>
    <t xml:space="preserve">  3~6개월</t>
  </si>
  <si>
    <t xml:space="preserve">  7~12개월</t>
  </si>
  <si>
    <t xml:space="preserve"> 13개월 이상</t>
  </si>
  <si>
    <t>재고일수</t>
    <phoneticPr fontId="11" type="noConversion"/>
  </si>
  <si>
    <t>재고금액</t>
    <phoneticPr fontId="11" type="noConversion"/>
  </si>
  <si>
    <t>재고일수</t>
  </si>
  <si>
    <t>재고금액</t>
  </si>
  <si>
    <t>LCD TV</t>
    <phoneticPr fontId="11" type="noConversion"/>
  </si>
  <si>
    <t>단말</t>
    <phoneticPr fontId="11" type="noConversion"/>
  </si>
  <si>
    <t>냉장고</t>
    <phoneticPr fontId="11" type="noConversion"/>
  </si>
  <si>
    <t>★아래는 숨김처리(전년대비 및 매출액대비을 계산하기위해)</t>
    <phoneticPr fontId="11" type="noConversion"/>
  </si>
  <si>
    <t>전년재고일수</t>
    <phoneticPr fontId="11" type="noConversion"/>
  </si>
  <si>
    <t>전년 장기재고금액</t>
    <phoneticPr fontId="11" type="noConversion"/>
  </si>
  <si>
    <t>전년 장기 재고율</t>
    <phoneticPr fontId="11" type="noConversion"/>
  </si>
  <si>
    <t>매출액</t>
    <phoneticPr fontId="11" type="noConversion"/>
  </si>
  <si>
    <t>2.3_monthly_sales.xls 의 C5:S5 까지의 값만 가져온다.</t>
    <phoneticPr fontId="11" type="noConversion"/>
  </si>
  <si>
    <t>총재고</t>
    <phoneticPr fontId="11" type="noConversion"/>
  </si>
  <si>
    <t>직전3개월 매출원가평균</t>
    <phoneticPr fontId="11" type="noConversion"/>
  </si>
  <si>
    <t>전년재고금액</t>
    <phoneticPr fontId="11" type="noConversion"/>
  </si>
  <si>
    <t>7.장기재고율_장기재고금액</t>
  </si>
  <si>
    <t>년도계산</t>
    <phoneticPr fontId="2" type="noConversion"/>
  </si>
  <si>
    <t>년합계사용</t>
    <phoneticPr fontId="2" type="noConversion"/>
  </si>
  <si>
    <t>월</t>
    <phoneticPr fontId="2" type="noConversion"/>
  </si>
  <si>
    <t>B2C</t>
    <phoneticPr fontId="2" type="noConversion"/>
  </si>
  <si>
    <t>7.장기재고율_매출</t>
  </si>
  <si>
    <t>DIV_CD</t>
  </si>
  <si>
    <t>B2B_B2C</t>
  </si>
  <si>
    <t>B2C</t>
  </si>
  <si>
    <t>CVT</t>
  </si>
  <si>
    <t>GPT</t>
  </si>
  <si>
    <t>PHT</t>
  </si>
  <si>
    <t>PJT</t>
  </si>
  <si>
    <t>EEUK</t>
    <phoneticPr fontId="2" type="noConversion"/>
  </si>
  <si>
    <t>적정재고일수</t>
    <phoneticPr fontId="2" type="noConversion"/>
  </si>
  <si>
    <t>DIV_NAME_KO</t>
  </si>
  <si>
    <t>DIV_NAME_EN</t>
  </si>
  <si>
    <t>쿠킹</t>
  </si>
  <si>
    <t>Cooking</t>
  </si>
  <si>
    <t>PDP</t>
  </si>
  <si>
    <t>Photo Printer</t>
  </si>
  <si>
    <t>Projector</t>
  </si>
  <si>
    <t>적정재고일수 계산시 사용하는 시트</t>
  </si>
  <si>
    <t>수식</t>
    <phoneticPr fontId="2" type="noConversion"/>
  </si>
  <si>
    <t>키4</t>
    <phoneticPr fontId="2" type="noConversion"/>
  </si>
  <si>
    <t>키2</t>
    <phoneticPr fontId="2" type="noConversion"/>
  </si>
  <si>
    <t>재고일수</t>
    <phoneticPr fontId="2" type="noConversion"/>
  </si>
  <si>
    <t>적정재고일수-재고일수</t>
    <phoneticPr fontId="2" type="noConversion"/>
  </si>
  <si>
    <t>재고금액</t>
    <phoneticPr fontId="2" type="noConversion"/>
  </si>
  <si>
    <t>N_MAIN_KO_SHEET</t>
    <phoneticPr fontId="11" type="noConversion"/>
  </si>
  <si>
    <r>
      <t>M</t>
    </r>
    <r>
      <rPr>
        <sz val="11"/>
        <color theme="1"/>
        <rFont val="맑은 고딕"/>
        <family val="2"/>
        <charset val="129"/>
      </rPr>
      <t>AIN</t>
    </r>
    <phoneticPr fontId="11" type="noConversion"/>
  </si>
  <si>
    <r>
      <t>N</t>
    </r>
    <r>
      <rPr>
        <sz val="11"/>
        <color theme="1"/>
        <rFont val="맑은 고딕"/>
        <family val="2"/>
        <charset val="129"/>
      </rPr>
      <t>_MAIN_EN_SHEET</t>
    </r>
    <phoneticPr fontId="11" type="noConversion"/>
  </si>
  <si>
    <r>
      <t>M</t>
    </r>
    <r>
      <rPr>
        <sz val="11"/>
        <color theme="1"/>
        <rFont val="맑은 고딕"/>
        <family val="2"/>
        <charset val="129"/>
      </rPr>
      <t>AIN_EN</t>
    </r>
    <phoneticPr fontId="11" type="noConversion"/>
  </si>
  <si>
    <t>GLT</t>
    <phoneticPr fontId="2" type="noConversion"/>
  </si>
  <si>
    <t>LTV</t>
    <phoneticPr fontId="2" type="noConversion"/>
  </si>
  <si>
    <t>APPROPRIATE_DIO</t>
    <phoneticPr fontId="2" type="noConversion"/>
  </si>
  <si>
    <t>Appropriate DIO</t>
    <phoneticPr fontId="2" type="noConversion"/>
  </si>
  <si>
    <t>LMT</t>
    <phoneticPr fontId="2" type="noConversion"/>
  </si>
  <si>
    <t>LCD Module</t>
    <phoneticPr fontId="2" type="noConversion"/>
  </si>
  <si>
    <t>0</t>
    <phoneticPr fontId="2" type="noConversion"/>
  </si>
  <si>
    <t>GLA</t>
    <phoneticPr fontId="2" type="noConversion"/>
  </si>
  <si>
    <t>LTV_Intra_BU</t>
    <phoneticPr fontId="2" type="noConversion"/>
  </si>
  <si>
    <t>GLM</t>
    <phoneticPr fontId="2" type="noConversion"/>
  </si>
  <si>
    <t>LCD TV</t>
    <phoneticPr fontId="2" type="noConversion"/>
  </si>
  <si>
    <t>GPT</t>
    <phoneticPr fontId="2" type="noConversion"/>
  </si>
  <si>
    <t>PTV</t>
    <phoneticPr fontId="2" type="noConversion"/>
  </si>
  <si>
    <t>GQT</t>
    <phoneticPr fontId="2" type="noConversion"/>
  </si>
  <si>
    <t>PDP Module</t>
    <phoneticPr fontId="2" type="noConversion"/>
  </si>
  <si>
    <t>PIT</t>
    <phoneticPr fontId="2" type="noConversion"/>
  </si>
  <si>
    <t>PDP_Intra_BU</t>
    <phoneticPr fontId="2" type="noConversion"/>
  </si>
  <si>
    <t>GDT</t>
    <phoneticPr fontId="2" type="noConversion"/>
  </si>
  <si>
    <t>PDP</t>
    <phoneticPr fontId="2" type="noConversion"/>
  </si>
  <si>
    <t>APPROPRIATE_DIO</t>
    <phoneticPr fontId="2" type="noConversion"/>
  </si>
  <si>
    <t>Appropriate DIO</t>
    <phoneticPr fontId="2" type="noConversion"/>
  </si>
  <si>
    <t>0</t>
    <phoneticPr fontId="2" type="noConversion"/>
  </si>
  <si>
    <t>GRT</t>
    <phoneticPr fontId="2" type="noConversion"/>
  </si>
  <si>
    <t>CTV</t>
    <phoneticPr fontId="2" type="noConversion"/>
  </si>
  <si>
    <t>GTV</t>
    <phoneticPr fontId="2" type="noConversion"/>
  </si>
  <si>
    <t>TV</t>
    <phoneticPr fontId="2" type="noConversion"/>
  </si>
  <si>
    <t>GTT</t>
    <phoneticPr fontId="2" type="noConversion"/>
  </si>
  <si>
    <t>MNT</t>
    <phoneticPr fontId="2" type="noConversion"/>
  </si>
  <si>
    <t>PCT</t>
    <phoneticPr fontId="2" type="noConversion"/>
  </si>
  <si>
    <t>PC</t>
    <phoneticPr fontId="2" type="noConversion"/>
  </si>
  <si>
    <t>PST</t>
    <phoneticPr fontId="2" type="noConversion"/>
  </si>
  <si>
    <t>DS (Brand)</t>
    <phoneticPr fontId="2" type="noConversion"/>
  </si>
  <si>
    <t>MPA</t>
    <phoneticPr fontId="2" type="noConversion"/>
  </si>
  <si>
    <t>MNT/PC_Intra_BU</t>
    <phoneticPr fontId="2" type="noConversion"/>
  </si>
  <si>
    <t>GMP</t>
    <phoneticPr fontId="2" type="noConversion"/>
  </si>
  <si>
    <t>MNT/PC BD</t>
    <phoneticPr fontId="2" type="noConversion"/>
  </si>
  <si>
    <t>PJT</t>
    <phoneticPr fontId="2" type="noConversion"/>
  </si>
  <si>
    <t>Projector BD</t>
    <phoneticPr fontId="2" type="noConversion"/>
  </si>
  <si>
    <t>TMA</t>
    <phoneticPr fontId="2" type="noConversion"/>
  </si>
  <si>
    <t>TV/MNT_Intra_BU</t>
    <phoneticPr fontId="2" type="noConversion"/>
  </si>
  <si>
    <t>GTM</t>
    <phoneticPr fontId="2" type="noConversion"/>
  </si>
  <si>
    <t>TV/MNT</t>
    <phoneticPr fontId="2" type="noConversion"/>
  </si>
  <si>
    <t>PNT</t>
    <phoneticPr fontId="2" type="noConversion"/>
  </si>
  <si>
    <t>AV</t>
    <phoneticPr fontId="2" type="noConversion"/>
  </si>
  <si>
    <t>PKT</t>
    <phoneticPr fontId="2" type="noConversion"/>
  </si>
  <si>
    <t>Security</t>
    <phoneticPr fontId="2" type="noConversion"/>
  </si>
  <si>
    <t>PHT</t>
    <phoneticPr fontId="2" type="noConversion"/>
  </si>
  <si>
    <t>Photo Printer</t>
    <phoneticPr fontId="2" type="noConversion"/>
  </si>
  <si>
    <t>CMA</t>
    <phoneticPr fontId="2" type="noConversion"/>
  </si>
  <si>
    <t>CAV Intra BU</t>
    <phoneticPr fontId="2" type="noConversion"/>
  </si>
  <si>
    <t>CMS</t>
    <phoneticPr fontId="2" type="noConversion"/>
  </si>
  <si>
    <t>CAV</t>
    <phoneticPr fontId="2" type="noConversion"/>
  </si>
  <si>
    <t>GJT</t>
    <phoneticPr fontId="2" type="noConversion"/>
  </si>
  <si>
    <t>MNT Signage</t>
    <phoneticPr fontId="2" type="noConversion"/>
  </si>
  <si>
    <t>GNT</t>
    <phoneticPr fontId="2" type="noConversion"/>
  </si>
  <si>
    <t>Commercial TV</t>
    <phoneticPr fontId="2" type="noConversion"/>
  </si>
  <si>
    <t>GOT</t>
    <phoneticPr fontId="2" type="noConversion"/>
  </si>
  <si>
    <t>Hotel PTV</t>
    <phoneticPr fontId="2" type="noConversion"/>
  </si>
  <si>
    <t>GHT</t>
    <phoneticPr fontId="2" type="noConversion"/>
  </si>
  <si>
    <t>Commercial Display(Old)</t>
    <phoneticPr fontId="2" type="noConversion"/>
  </si>
  <si>
    <t>IMP</t>
    <phoneticPr fontId="2" type="noConversion"/>
  </si>
  <si>
    <t>ID_Intra_BU</t>
    <phoneticPr fontId="2" type="noConversion"/>
  </si>
  <si>
    <t>MPT</t>
    <phoneticPr fontId="2" type="noConversion"/>
  </si>
  <si>
    <t>ID</t>
    <phoneticPr fontId="2" type="noConversion"/>
  </si>
  <si>
    <t>GAT</t>
    <phoneticPr fontId="2" type="noConversion"/>
  </si>
  <si>
    <t>DD ETC</t>
    <phoneticPr fontId="2" type="noConversion"/>
  </si>
  <si>
    <t>DPT</t>
    <phoneticPr fontId="2" type="noConversion"/>
  </si>
  <si>
    <t>DISPLAY</t>
    <phoneticPr fontId="2" type="noConversion"/>
  </si>
  <si>
    <t>GHE</t>
    <phoneticPr fontId="2" type="noConversion"/>
  </si>
  <si>
    <t>HE_Intra_Company</t>
    <phoneticPr fontId="2" type="noConversion"/>
  </si>
  <si>
    <t>ZHE</t>
    <phoneticPr fontId="2" type="noConversion"/>
  </si>
  <si>
    <t>HE_Inter_Company</t>
    <phoneticPr fontId="2" type="noConversion"/>
  </si>
  <si>
    <t>HE</t>
    <phoneticPr fontId="2" type="noConversion"/>
  </si>
  <si>
    <t>MST</t>
    <phoneticPr fontId="2" type="noConversion"/>
  </si>
  <si>
    <t>MOBILE</t>
    <phoneticPr fontId="2" type="noConversion"/>
  </si>
  <si>
    <t>NWT</t>
    <phoneticPr fontId="2" type="noConversion"/>
  </si>
  <si>
    <t>NETWORK</t>
    <phoneticPr fontId="2" type="noConversion"/>
  </si>
  <si>
    <t>GMC</t>
    <phoneticPr fontId="2" type="noConversion"/>
  </si>
  <si>
    <t>MC_Intra_Company</t>
    <phoneticPr fontId="2" type="noConversion"/>
  </si>
  <si>
    <t>ZMC</t>
    <phoneticPr fontId="2" type="noConversion"/>
  </si>
  <si>
    <t>MC_Inter_Company</t>
    <phoneticPr fontId="2" type="noConversion"/>
  </si>
  <si>
    <t>MC</t>
    <phoneticPr fontId="2" type="noConversion"/>
  </si>
  <si>
    <t>CNT</t>
    <phoneticPr fontId="2" type="noConversion"/>
  </si>
  <si>
    <t>REF</t>
    <phoneticPr fontId="2" type="noConversion"/>
  </si>
  <si>
    <t>CWT</t>
    <phoneticPr fontId="2" type="noConversion"/>
  </si>
  <si>
    <t>Water Purifier</t>
    <phoneticPr fontId="2" type="noConversion"/>
  </si>
  <si>
    <t>WW4</t>
    <phoneticPr fontId="2" type="noConversion"/>
  </si>
  <si>
    <t>Other_HiMS C&amp;C</t>
    <phoneticPr fontId="2" type="noConversion"/>
  </si>
  <si>
    <t>CBT</t>
    <phoneticPr fontId="2" type="noConversion"/>
  </si>
  <si>
    <t>Water Purifier BD</t>
    <phoneticPr fontId="2" type="noConversion"/>
  </si>
  <si>
    <t>CFA</t>
    <phoneticPr fontId="2" type="noConversion"/>
  </si>
  <si>
    <t>REF &amp; Water Purifier_Intra_BU</t>
    <phoneticPr fontId="2" type="noConversion"/>
  </si>
  <si>
    <t>CFT</t>
    <phoneticPr fontId="2" type="noConversion"/>
  </si>
  <si>
    <t>REF &amp; Water Purifier</t>
    <phoneticPr fontId="2" type="noConversion"/>
  </si>
  <si>
    <t>DFT</t>
    <phoneticPr fontId="2" type="noConversion"/>
  </si>
  <si>
    <t>W/M</t>
    <phoneticPr fontId="2" type="noConversion"/>
  </si>
  <si>
    <t>DVT</t>
    <phoneticPr fontId="2" type="noConversion"/>
  </si>
  <si>
    <t>VCC BD</t>
    <phoneticPr fontId="2" type="noConversion"/>
  </si>
  <si>
    <t>DIA</t>
    <phoneticPr fontId="2" type="noConversion"/>
  </si>
  <si>
    <t>W/M &amp; VCC_Intra_BU</t>
    <phoneticPr fontId="2" type="noConversion"/>
  </si>
  <si>
    <t>DIT</t>
    <phoneticPr fontId="2" type="noConversion"/>
  </si>
  <si>
    <t>W/M &amp; VCC</t>
    <phoneticPr fontId="2" type="noConversion"/>
  </si>
  <si>
    <t>CVT</t>
    <phoneticPr fontId="2" type="noConversion"/>
  </si>
  <si>
    <t>Cooking</t>
    <phoneticPr fontId="2" type="noConversion"/>
  </si>
  <si>
    <t>GET</t>
    <phoneticPr fontId="2" type="noConversion"/>
  </si>
  <si>
    <t>MGT</t>
    <phoneticPr fontId="2" type="noConversion"/>
  </si>
  <si>
    <t>CIT</t>
    <phoneticPr fontId="2" type="noConversion"/>
  </si>
  <si>
    <t>Kitchen Package_Intra_BU</t>
    <phoneticPr fontId="2" type="noConversion"/>
  </si>
  <si>
    <t>CMT</t>
    <phoneticPr fontId="2" type="noConversion"/>
  </si>
  <si>
    <t>Kitchen Package</t>
    <phoneticPr fontId="2" type="noConversion"/>
  </si>
  <si>
    <t>DGT</t>
    <phoneticPr fontId="2" type="noConversion"/>
  </si>
  <si>
    <t>RAC</t>
    <phoneticPr fontId="2" type="noConversion"/>
  </si>
  <si>
    <t>DHT</t>
    <phoneticPr fontId="2" type="noConversion"/>
  </si>
  <si>
    <t>AC Comp</t>
    <phoneticPr fontId="2" type="noConversion"/>
  </si>
  <si>
    <t>CCT</t>
    <phoneticPr fontId="2" type="noConversion"/>
  </si>
  <si>
    <t>REF Comp</t>
    <phoneticPr fontId="2" type="noConversion"/>
  </si>
  <si>
    <t>CPA</t>
    <phoneticPr fontId="2" type="noConversion"/>
  </si>
  <si>
    <t>Comp Intra</t>
    <phoneticPr fontId="2" type="noConversion"/>
  </si>
  <si>
    <t>CPT</t>
    <phoneticPr fontId="2" type="noConversion"/>
  </si>
  <si>
    <t>Compressor BD</t>
    <phoneticPr fontId="2" type="noConversion"/>
  </si>
  <si>
    <t>KMT</t>
    <phoneticPr fontId="2" type="noConversion"/>
  </si>
  <si>
    <t>Motor BD</t>
    <phoneticPr fontId="2" type="noConversion"/>
  </si>
  <si>
    <t>DQT</t>
    <phoneticPr fontId="2" type="noConversion"/>
  </si>
  <si>
    <t>Casting BD</t>
    <phoneticPr fontId="2" type="noConversion"/>
  </si>
  <si>
    <t>GEV</t>
    <phoneticPr fontId="2" type="noConversion"/>
  </si>
  <si>
    <t>C&amp;M_Intra_Company</t>
    <phoneticPr fontId="2" type="noConversion"/>
  </si>
  <si>
    <t>ZEV</t>
    <phoneticPr fontId="2" type="noConversion"/>
  </si>
  <si>
    <t>C&amp;M_Inter_Company</t>
    <phoneticPr fontId="2" type="noConversion"/>
  </si>
  <si>
    <t>GCM</t>
    <phoneticPr fontId="2" type="noConversion"/>
  </si>
  <si>
    <t>C&amp;M</t>
    <phoneticPr fontId="2" type="noConversion"/>
  </si>
  <si>
    <t>DMT</t>
    <phoneticPr fontId="2" type="noConversion"/>
  </si>
  <si>
    <t>CAC</t>
    <phoneticPr fontId="2" type="noConversion"/>
  </si>
  <si>
    <t>WW2</t>
    <phoneticPr fontId="2" type="noConversion"/>
  </si>
  <si>
    <t>Other_HiMS CAC</t>
    <phoneticPr fontId="2" type="noConversion"/>
  </si>
  <si>
    <t>DWT</t>
    <phoneticPr fontId="2" type="noConversion"/>
  </si>
  <si>
    <t>CAC BU</t>
    <phoneticPr fontId="2" type="noConversion"/>
  </si>
  <si>
    <t>DTT</t>
    <phoneticPr fontId="2" type="noConversion"/>
  </si>
  <si>
    <t>Chiller</t>
    <phoneticPr fontId="2" type="noConversion"/>
  </si>
  <si>
    <t>WW6</t>
    <phoneticPr fontId="2" type="noConversion"/>
  </si>
  <si>
    <t>Other_ACE R&amp;A</t>
    <phoneticPr fontId="2" type="noConversion"/>
  </si>
  <si>
    <t>W10</t>
    <phoneticPr fontId="2" type="noConversion"/>
  </si>
  <si>
    <t>Other_HiMS Chiller</t>
    <phoneticPr fontId="2" type="noConversion"/>
  </si>
  <si>
    <t>DBT</t>
    <phoneticPr fontId="2" type="noConversion"/>
  </si>
  <si>
    <t>Chiller BD</t>
    <phoneticPr fontId="2" type="noConversion"/>
  </si>
  <si>
    <t>DCA</t>
    <phoneticPr fontId="2" type="noConversion"/>
  </si>
  <si>
    <t>System A/C Intra BU</t>
    <phoneticPr fontId="2" type="noConversion"/>
  </si>
  <si>
    <t>DCT</t>
    <phoneticPr fontId="2" type="noConversion"/>
  </si>
  <si>
    <t>System A/C</t>
    <phoneticPr fontId="2" type="noConversion"/>
  </si>
  <si>
    <t>ANT</t>
    <phoneticPr fontId="2" type="noConversion"/>
  </si>
  <si>
    <t>Bodycare</t>
    <phoneticPr fontId="2" type="noConversion"/>
  </si>
  <si>
    <t>DAT</t>
    <phoneticPr fontId="2" type="noConversion"/>
  </si>
  <si>
    <t>A/C Mfg</t>
    <phoneticPr fontId="2" type="noConversion"/>
  </si>
  <si>
    <t>GNA</t>
    <phoneticPr fontId="2" type="noConversion"/>
  </si>
  <si>
    <t>H&amp;A_Intra_Company</t>
    <phoneticPr fontId="2" type="noConversion"/>
  </si>
  <si>
    <t>ZNA</t>
    <phoneticPr fontId="2" type="noConversion"/>
  </si>
  <si>
    <t>H&amp;A_Inter_Company</t>
    <phoneticPr fontId="2" type="noConversion"/>
  </si>
  <si>
    <t>HNA</t>
    <phoneticPr fontId="2" type="noConversion"/>
  </si>
  <si>
    <t>H&amp;A</t>
    <phoneticPr fontId="2" type="noConversion"/>
  </si>
  <si>
    <t>PVT</t>
    <phoneticPr fontId="2" type="noConversion"/>
  </si>
  <si>
    <t>IVI</t>
    <phoneticPr fontId="2" type="noConversion"/>
  </si>
  <si>
    <t>VDT</t>
    <phoneticPr fontId="2" type="noConversion"/>
  </si>
  <si>
    <t>VE Design Engineering</t>
    <phoneticPr fontId="2" type="noConversion"/>
  </si>
  <si>
    <t>VMT</t>
    <phoneticPr fontId="2" type="noConversion"/>
  </si>
  <si>
    <t>VE Manufacturing Engineering</t>
    <phoneticPr fontId="2" type="noConversion"/>
  </si>
  <si>
    <t>VLT</t>
    <phoneticPr fontId="2" type="noConversion"/>
  </si>
  <si>
    <t>Lamp</t>
    <phoneticPr fontId="2" type="noConversion"/>
  </si>
  <si>
    <t>VIT</t>
    <phoneticPr fontId="2" type="noConversion"/>
  </si>
  <si>
    <t>VE_Intra_BU</t>
    <phoneticPr fontId="2" type="noConversion"/>
  </si>
  <si>
    <t>VHT</t>
    <phoneticPr fontId="2" type="noConversion"/>
  </si>
  <si>
    <t>VE</t>
    <phoneticPr fontId="2" type="noConversion"/>
  </si>
  <si>
    <t>EVT</t>
    <phoneticPr fontId="2" type="noConversion"/>
  </si>
  <si>
    <t>H&amp;M</t>
    <phoneticPr fontId="2" type="noConversion"/>
  </si>
  <si>
    <t>VBT</t>
    <phoneticPr fontId="2" type="noConversion"/>
  </si>
  <si>
    <t>Battery Pack</t>
    <phoneticPr fontId="2" type="noConversion"/>
  </si>
  <si>
    <t>VNT</t>
    <phoneticPr fontId="2" type="noConversion"/>
  </si>
  <si>
    <t>e-PT_Intera_BU</t>
    <phoneticPr fontId="2" type="noConversion"/>
  </si>
  <si>
    <t>VQT</t>
    <phoneticPr fontId="2" type="noConversion"/>
  </si>
  <si>
    <t>e-PT</t>
    <phoneticPr fontId="2" type="noConversion"/>
  </si>
  <si>
    <t>VST</t>
    <phoneticPr fontId="2" type="noConversion"/>
  </si>
  <si>
    <t>ADAS</t>
    <phoneticPr fontId="2" type="noConversion"/>
  </si>
  <si>
    <t>GVC</t>
    <phoneticPr fontId="2" type="noConversion"/>
  </si>
  <si>
    <t>VC_Intra_Company</t>
    <phoneticPr fontId="2" type="noConversion"/>
  </si>
  <si>
    <t>ZVC</t>
    <phoneticPr fontId="2" type="noConversion"/>
  </si>
  <si>
    <t>VC_Inter_Company</t>
    <phoneticPr fontId="2" type="noConversion"/>
  </si>
  <si>
    <t>VC</t>
    <phoneticPr fontId="2" type="noConversion"/>
  </si>
  <si>
    <t>SDT</t>
    <phoneticPr fontId="2" type="noConversion"/>
  </si>
  <si>
    <t>Solar Business Team</t>
    <phoneticPr fontId="2" type="noConversion"/>
  </si>
  <si>
    <t>WW5</t>
    <phoneticPr fontId="2" type="noConversion"/>
  </si>
  <si>
    <t>Other_HiMS Other</t>
    <phoneticPr fontId="2" type="noConversion"/>
  </si>
  <si>
    <t>SBT</t>
    <phoneticPr fontId="2" type="noConversion"/>
  </si>
  <si>
    <t>Solar BD</t>
    <phoneticPr fontId="2" type="noConversion"/>
  </si>
  <si>
    <t>CLT</t>
    <phoneticPr fontId="2" type="noConversion"/>
  </si>
  <si>
    <t>Lighting BD</t>
    <phoneticPr fontId="2" type="noConversion"/>
  </si>
  <si>
    <t>ESA</t>
    <phoneticPr fontId="2" type="noConversion"/>
  </si>
  <si>
    <t>ESS BD</t>
    <phoneticPr fontId="2" type="noConversion"/>
  </si>
  <si>
    <t>SRT</t>
    <phoneticPr fontId="2" type="noConversion"/>
  </si>
  <si>
    <t>EMS</t>
    <phoneticPr fontId="2" type="noConversion"/>
  </si>
  <si>
    <t>WW3</t>
    <phoneticPr fontId="2" type="noConversion"/>
  </si>
  <si>
    <t>Other_HiMS BMS</t>
    <phoneticPr fontId="2" type="noConversion"/>
  </si>
  <si>
    <t>SWT</t>
    <phoneticPr fontId="2" type="noConversion"/>
  </si>
  <si>
    <t>EMS BD</t>
    <phoneticPr fontId="2" type="noConversion"/>
  </si>
  <si>
    <t>GEB</t>
    <phoneticPr fontId="2" type="noConversion"/>
  </si>
  <si>
    <t>Energy_Intra_Company</t>
    <phoneticPr fontId="2" type="noConversion"/>
  </si>
  <si>
    <t>ZEB</t>
    <phoneticPr fontId="2" type="noConversion"/>
  </si>
  <si>
    <t>Energy_Inter_Company</t>
    <phoneticPr fontId="2" type="noConversion"/>
  </si>
  <si>
    <t>EBC</t>
    <phoneticPr fontId="2" type="noConversion"/>
  </si>
  <si>
    <t>MTT</t>
    <phoneticPr fontId="2" type="noConversion"/>
  </si>
  <si>
    <t>CEM</t>
    <phoneticPr fontId="2" type="noConversion"/>
  </si>
  <si>
    <t>MMT</t>
    <phoneticPr fontId="2" type="noConversion"/>
  </si>
  <si>
    <t>Membrane</t>
    <phoneticPr fontId="2" type="noConversion"/>
  </si>
  <si>
    <t>GMM</t>
    <phoneticPr fontId="2" type="noConversion"/>
  </si>
  <si>
    <t>CEM Intra BU</t>
    <phoneticPr fontId="2" type="noConversion"/>
  </si>
  <si>
    <t>CMM</t>
    <phoneticPr fontId="2" type="noConversion"/>
  </si>
  <si>
    <t>CEM BD</t>
    <phoneticPr fontId="2" type="noConversion"/>
  </si>
  <si>
    <t>GGT</t>
    <phoneticPr fontId="2" type="noConversion"/>
  </si>
  <si>
    <t>Tempered Glass BIZ</t>
    <phoneticPr fontId="2" type="noConversion"/>
  </si>
  <si>
    <t>PTG</t>
    <phoneticPr fontId="2" type="noConversion"/>
  </si>
  <si>
    <t>Tempered Glass BD</t>
    <phoneticPr fontId="2" type="noConversion"/>
  </si>
  <si>
    <t>IC</t>
    <phoneticPr fontId="2" type="noConversion"/>
  </si>
  <si>
    <t>Independent</t>
    <phoneticPr fontId="2" type="noConversion"/>
  </si>
  <si>
    <t>CST</t>
    <phoneticPr fontId="2" type="noConversion"/>
  </si>
  <si>
    <t>COMMERCIAL WATER BIZ</t>
    <phoneticPr fontId="2" type="noConversion"/>
  </si>
  <si>
    <t>PWV</t>
    <phoneticPr fontId="2" type="noConversion"/>
  </si>
  <si>
    <t>Commercial Water</t>
    <phoneticPr fontId="2" type="noConversion"/>
  </si>
  <si>
    <t>COM</t>
    <phoneticPr fontId="2" type="noConversion"/>
  </si>
  <si>
    <t>COMMON</t>
    <phoneticPr fontId="2" type="noConversion"/>
  </si>
  <si>
    <t>XX1</t>
    <phoneticPr fontId="2" type="noConversion"/>
  </si>
  <si>
    <t>Other[HQ]</t>
    <phoneticPr fontId="2" type="noConversion"/>
  </si>
  <si>
    <t>XX2</t>
    <phoneticPr fontId="2" type="noConversion"/>
  </si>
  <si>
    <t>R&amp;D</t>
    <phoneticPr fontId="2" type="noConversion"/>
  </si>
  <si>
    <t>XX3</t>
    <phoneticPr fontId="2" type="noConversion"/>
  </si>
  <si>
    <t>SALES</t>
    <phoneticPr fontId="2" type="noConversion"/>
  </si>
  <si>
    <t>XX4</t>
    <phoneticPr fontId="2" type="noConversion"/>
  </si>
  <si>
    <t>SVC</t>
    <phoneticPr fontId="2" type="noConversion"/>
  </si>
  <si>
    <t>XX5</t>
    <phoneticPr fontId="2" type="noConversion"/>
  </si>
  <si>
    <t>WITHDRAWAL</t>
    <phoneticPr fontId="2" type="noConversion"/>
  </si>
  <si>
    <t>XX6</t>
    <phoneticPr fontId="2" type="noConversion"/>
  </si>
  <si>
    <t>OTHER</t>
    <phoneticPr fontId="2" type="noConversion"/>
  </si>
  <si>
    <t>XX7</t>
    <phoneticPr fontId="2" type="noConversion"/>
  </si>
  <si>
    <t>OLED[HQ]</t>
    <phoneticPr fontId="2" type="noConversion"/>
  </si>
  <si>
    <t>EPT</t>
    <phoneticPr fontId="2" type="noConversion"/>
  </si>
  <si>
    <t>PCB[HQ]</t>
    <phoneticPr fontId="2" type="noConversion"/>
  </si>
  <si>
    <t>XX8</t>
    <phoneticPr fontId="2" type="noConversion"/>
  </si>
  <si>
    <t>ASSET[HQ]</t>
    <phoneticPr fontId="2" type="noConversion"/>
  </si>
  <si>
    <t>XX9</t>
    <phoneticPr fontId="2" type="noConversion"/>
  </si>
  <si>
    <t>ADJUSTMENT[HQ]</t>
    <phoneticPr fontId="2" type="noConversion"/>
  </si>
  <si>
    <t>SIT</t>
    <phoneticPr fontId="2" type="noConversion"/>
  </si>
  <si>
    <t>SIC Center</t>
    <phoneticPr fontId="2" type="noConversion"/>
  </si>
  <si>
    <t>SD9</t>
    <phoneticPr fontId="2" type="noConversion"/>
  </si>
  <si>
    <t>Solar Cell Biz. Team(Old)</t>
    <phoneticPr fontId="2" type="noConversion"/>
  </si>
  <si>
    <t>EVA</t>
    <phoneticPr fontId="2" type="noConversion"/>
  </si>
  <si>
    <t>EVA_Adjust</t>
    <phoneticPr fontId="2" type="noConversion"/>
  </si>
  <si>
    <t>GDI</t>
    <phoneticPr fontId="2" type="noConversion"/>
  </si>
  <si>
    <t>DI_Intra_Company</t>
    <phoneticPr fontId="2" type="noConversion"/>
  </si>
  <si>
    <t>HNT</t>
    <phoneticPr fontId="2" type="noConversion"/>
  </si>
  <si>
    <t>DATA NETWORK</t>
    <phoneticPr fontId="2" type="noConversion"/>
  </si>
  <si>
    <t>PET</t>
    <phoneticPr fontId="2" type="noConversion"/>
  </si>
  <si>
    <t>SYS</t>
    <phoneticPr fontId="2" type="noConversion"/>
  </si>
  <si>
    <t>ZDZ</t>
    <phoneticPr fontId="2" type="noConversion"/>
  </si>
  <si>
    <t>Inter_Company(Sub)</t>
    <phoneticPr fontId="2" type="noConversion"/>
  </si>
  <si>
    <t>CTT</t>
    <phoneticPr fontId="2" type="noConversion"/>
  </si>
  <si>
    <t>COMP</t>
    <phoneticPr fontId="2" type="noConversion"/>
  </si>
  <si>
    <t>PPT</t>
    <phoneticPr fontId="2" type="noConversion"/>
  </si>
  <si>
    <t>DS_OEM</t>
    <phoneticPr fontId="2" type="noConversion"/>
  </si>
  <si>
    <t>PDT</t>
    <phoneticPr fontId="2" type="noConversion"/>
  </si>
  <si>
    <t>Production engineering Research Institute</t>
    <phoneticPr fontId="2" type="noConversion"/>
  </si>
  <si>
    <t>PRT</t>
    <phoneticPr fontId="2" type="noConversion"/>
  </si>
  <si>
    <t>Printer</t>
    <phoneticPr fontId="2" type="noConversion"/>
  </si>
  <si>
    <t>XXA</t>
    <phoneticPr fontId="2" type="noConversion"/>
  </si>
  <si>
    <t>Other DIV_MOBILE SA</t>
    <phoneticPr fontId="2" type="noConversion"/>
  </si>
  <si>
    <t>XXB</t>
    <phoneticPr fontId="2" type="noConversion"/>
  </si>
  <si>
    <t>Other DIV_Subsidiary</t>
    <phoneticPr fontId="2" type="noConversion"/>
  </si>
  <si>
    <t>WW1</t>
    <phoneticPr fontId="2" type="noConversion"/>
  </si>
  <si>
    <t>Other_Other Subsidiary</t>
    <phoneticPr fontId="2" type="noConversion"/>
  </si>
  <si>
    <t>WW7</t>
    <phoneticPr fontId="2" type="noConversion"/>
  </si>
  <si>
    <t>Other_HiEntech</t>
    <phoneticPr fontId="2" type="noConversion"/>
  </si>
  <si>
    <t>WW8</t>
    <phoneticPr fontId="2" type="noConversion"/>
  </si>
  <si>
    <t>Other_LHWS</t>
    <phoneticPr fontId="2" type="noConversion"/>
  </si>
  <si>
    <t>WW9</t>
    <phoneticPr fontId="2" type="noConversion"/>
  </si>
  <si>
    <t>Other Div_VENS</t>
    <phoneticPr fontId="2" type="noConversion"/>
  </si>
  <si>
    <t>999</t>
    <phoneticPr fontId="2" type="noConversion"/>
  </si>
  <si>
    <t>[Adj]GBU</t>
    <phoneticPr fontId="2" type="noConversion"/>
  </si>
  <si>
    <t>*</t>
    <phoneticPr fontId="2" type="noConversion"/>
  </si>
  <si>
    <t>DZ</t>
    <phoneticPr fontId="2" type="noConversion"/>
  </si>
  <si>
    <t>OTHERS</t>
    <phoneticPr fontId="2" type="noConversion"/>
  </si>
  <si>
    <t>ZZ1</t>
    <phoneticPr fontId="2" type="noConversion"/>
  </si>
  <si>
    <t>Sales_TOT</t>
    <phoneticPr fontId="2" type="noConversion"/>
  </si>
  <si>
    <t>ZZ2</t>
    <phoneticPr fontId="2" type="noConversion"/>
  </si>
  <si>
    <t>Logistics-TOT</t>
    <phoneticPr fontId="2" type="noConversion"/>
  </si>
  <si>
    <t>ZZ3</t>
    <phoneticPr fontId="2" type="noConversion"/>
  </si>
  <si>
    <t>Throu Biz -TOT</t>
    <phoneticPr fontId="2" type="noConversion"/>
  </si>
  <si>
    <t>ZZ4</t>
    <phoneticPr fontId="2" type="noConversion"/>
  </si>
  <si>
    <t>SVC-TOT</t>
    <phoneticPr fontId="2" type="noConversion"/>
  </si>
  <si>
    <t>ZZ5</t>
    <phoneticPr fontId="2" type="noConversion"/>
  </si>
  <si>
    <t>R&amp;D-TOT</t>
    <phoneticPr fontId="2" type="noConversion"/>
  </si>
  <si>
    <t>ZZ6</t>
    <phoneticPr fontId="2" type="noConversion"/>
  </si>
  <si>
    <t>Reimbursement-TOT</t>
    <phoneticPr fontId="2" type="noConversion"/>
  </si>
  <si>
    <t>DSZ</t>
    <phoneticPr fontId="2" type="noConversion"/>
  </si>
  <si>
    <t>Shared SVC(G)</t>
    <phoneticPr fontId="2" type="noConversion"/>
  </si>
  <si>
    <t>GZZ</t>
    <phoneticPr fontId="2" type="noConversion"/>
  </si>
  <si>
    <t>Inter_Company(HQ)</t>
    <phoneticPr fontId="2" type="noConversion"/>
  </si>
  <si>
    <t>ZA</t>
    <phoneticPr fontId="2" type="noConversion"/>
  </si>
  <si>
    <t>Inter_Company &amp; Internal</t>
    <phoneticPr fontId="2" type="noConversion"/>
  </si>
  <si>
    <t>ZGBU</t>
    <phoneticPr fontId="2" type="noConversion"/>
  </si>
  <si>
    <t>Adj GBU(G)</t>
    <phoneticPr fontId="2" type="noConversion"/>
  </si>
  <si>
    <t>Division</t>
    <phoneticPr fontId="2" type="noConversion"/>
  </si>
  <si>
    <t>(백만불, 율, 명)</t>
  </si>
  <si>
    <t>연간</t>
    <phoneticPr fontId="11" type="noConversion"/>
  </si>
  <si>
    <t>매출액</t>
    <phoneticPr fontId="11" type="noConversion"/>
  </si>
  <si>
    <t xml:space="preserve">    Most Likely 대비 (W-1)</t>
  </si>
  <si>
    <t xml:space="preserve">    전월이동대비</t>
    <phoneticPr fontId="11" type="noConversion"/>
  </si>
  <si>
    <t xml:space="preserve">    전년대비</t>
    <phoneticPr fontId="11" type="noConversion"/>
  </si>
  <si>
    <t xml:space="preserve">   - 가격성 판촉율</t>
    <phoneticPr fontId="11" type="noConversion"/>
  </si>
  <si>
    <t xml:space="preserve">   - 판매촉진비율</t>
    <phoneticPr fontId="11" type="noConversion"/>
  </si>
  <si>
    <t>한계이익</t>
    <phoneticPr fontId="11" type="noConversion"/>
  </si>
  <si>
    <t xml:space="preserve">  (%)</t>
    <phoneticPr fontId="11" type="noConversion"/>
  </si>
  <si>
    <t>광고선전비 금액</t>
    <phoneticPr fontId="11" type="noConversion"/>
  </si>
  <si>
    <t>영업이익</t>
    <phoneticPr fontId="11" type="noConversion"/>
  </si>
  <si>
    <r>
      <t>저수익매출비중</t>
    </r>
    <r>
      <rPr>
        <b/>
        <vertAlign val="superscript"/>
        <sz val="12"/>
        <rFont val="맑은 고딕"/>
        <family val="3"/>
        <charset val="129"/>
      </rPr>
      <t>1)</t>
    </r>
    <phoneticPr fontId="11" type="noConversion"/>
  </si>
  <si>
    <t xml:space="preserve">  (매출)</t>
    <phoneticPr fontId="11" type="noConversion"/>
  </si>
  <si>
    <t>한계적자매출비중</t>
    <phoneticPr fontId="11" type="noConversion"/>
  </si>
  <si>
    <t>한계 적자금액</t>
    <phoneticPr fontId="11" type="noConversion"/>
  </si>
  <si>
    <r>
      <rPr>
        <sz val="10"/>
        <color indexed="17"/>
        <rFont val="맑은 고딕"/>
        <family val="3"/>
        <charset val="129"/>
      </rPr>
      <t>적정재고일수</t>
    </r>
  </si>
  <si>
    <t>재고일수</t>
    <phoneticPr fontId="11" type="noConversion"/>
  </si>
  <si>
    <t xml:space="preserve">  (역산법)</t>
  </si>
  <si>
    <t>장기재고</t>
    <phoneticPr fontId="11" type="noConversion"/>
  </si>
  <si>
    <t>원당 매출액 (불)</t>
    <phoneticPr fontId="11" type="noConversion"/>
  </si>
  <si>
    <t xml:space="preserve"> (사내도급제외)</t>
  </si>
  <si>
    <t>인당매출액(천불)</t>
    <phoneticPr fontId="11" type="noConversion"/>
  </si>
  <si>
    <t>인원수</t>
    <phoneticPr fontId="11" type="noConversion"/>
  </si>
  <si>
    <t xml:space="preserve">        FSE</t>
    <phoneticPr fontId="11" type="noConversion"/>
  </si>
  <si>
    <t xml:space="preserve">        ISE</t>
    <phoneticPr fontId="11" type="noConversion"/>
  </si>
  <si>
    <t xml:space="preserve">        임시직</t>
    <phoneticPr fontId="11" type="noConversion"/>
  </si>
  <si>
    <t xml:space="preserve">        사내도급</t>
    <phoneticPr fontId="11" type="noConversion"/>
  </si>
  <si>
    <t xml:space="preserve">        영업</t>
    <phoneticPr fontId="11" type="noConversion"/>
  </si>
  <si>
    <t xml:space="preserve">        마케팅</t>
    <phoneticPr fontId="11" type="noConversion"/>
  </si>
  <si>
    <t xml:space="preserve">        공통</t>
    <phoneticPr fontId="11" type="noConversion"/>
  </si>
  <si>
    <t xml:space="preserve"> 인건비</t>
    <phoneticPr fontId="11" type="noConversion"/>
  </si>
  <si>
    <t>1)저수익성 구간 : 한계이익율 10% 미만, 2) SVC 직접 인원 제외 (DMS/LGC+콜센터)</t>
    <phoneticPr fontId="11" type="noConversion"/>
  </si>
  <si>
    <t>이 아래는 숨김처리</t>
    <phoneticPr fontId="11" type="noConversion"/>
  </si>
  <si>
    <t>O/H</t>
    <phoneticPr fontId="11" type="noConversion"/>
  </si>
  <si>
    <t>총재고</t>
    <phoneticPr fontId="11" type="noConversion"/>
  </si>
  <si>
    <t>직전3개월 매출원가평균</t>
    <phoneticPr fontId="11" type="noConversion"/>
  </si>
  <si>
    <t>seq</t>
  </si>
  <si>
    <t>YY</t>
  </si>
  <si>
    <t>구분</t>
  </si>
  <si>
    <t>div</t>
  </si>
  <si>
    <t>account</t>
  </si>
  <si>
    <t>계정</t>
    <phoneticPr fontId="11" type="noConversion"/>
  </si>
  <si>
    <t>저수익구분</t>
    <phoneticPr fontId="11" type="noConversion"/>
  </si>
  <si>
    <t>구분</t>
    <phoneticPr fontId="11" type="noConversion"/>
  </si>
  <si>
    <t>매출</t>
    <phoneticPr fontId="11" type="noConversion"/>
  </si>
  <si>
    <t>20~30_S</t>
    <phoneticPr fontId="11" type="noConversion"/>
  </si>
  <si>
    <t>10~20_S</t>
    <phoneticPr fontId="11" type="noConversion"/>
  </si>
  <si>
    <t>SMART</t>
    <phoneticPr fontId="11" type="noConversion"/>
  </si>
  <si>
    <t>비중</t>
    <phoneticPr fontId="11" type="noConversion"/>
  </si>
  <si>
    <t>20~30_P</t>
    <phoneticPr fontId="11" type="noConversion"/>
  </si>
  <si>
    <t>10~20_P</t>
    <phoneticPr fontId="11" type="noConversion"/>
  </si>
  <si>
    <r>
      <t>N</t>
    </r>
    <r>
      <rPr>
        <sz val="11"/>
        <color theme="1"/>
        <rFont val="맑은 고딕"/>
        <family val="2"/>
        <charset val="129"/>
      </rPr>
      <t>_PRODUCT1</t>
    </r>
    <phoneticPr fontId="11" type="noConversion"/>
  </si>
  <si>
    <t>제품</t>
    <phoneticPr fontId="2" type="noConversion"/>
  </si>
  <si>
    <r>
      <t>G</t>
    </r>
    <r>
      <rPr>
        <sz val="11"/>
        <color theme="1"/>
        <rFont val="맑은 고딕"/>
        <family val="2"/>
        <charset val="129"/>
      </rPr>
      <t>LT</t>
    </r>
    <phoneticPr fontId="11" type="noConversion"/>
  </si>
  <si>
    <t>SUBSDR_CD</t>
  </si>
  <si>
    <t>BASE_YYYYMM</t>
  </si>
  <si>
    <t>SORT_KEY</t>
  </si>
  <si>
    <t>가격성판촉비</t>
  </si>
  <si>
    <t>EEUK</t>
  </si>
  <si>
    <t>매출</t>
  </si>
  <si>
    <t>영업이익</t>
  </si>
  <si>
    <t>COI</t>
  </si>
  <si>
    <t>저수익매출</t>
  </si>
  <si>
    <t>광고선전비</t>
  </si>
  <si>
    <t>OH101000</t>
  </si>
  <si>
    <t>판매촉진비</t>
  </si>
  <si>
    <t>전년대비</t>
  </si>
  <si>
    <t xml:space="preserve">2015  </t>
  </si>
  <si>
    <t>201511</t>
  </si>
  <si>
    <t>201512</t>
  </si>
  <si>
    <t>전월이동</t>
  </si>
  <si>
    <t>MostLikely대비(W-1)</t>
  </si>
  <si>
    <t>한계이익</t>
  </si>
  <si>
    <t>MGN_PROFIT</t>
  </si>
  <si>
    <t>한계적자매출</t>
  </si>
  <si>
    <t>역산법</t>
  </si>
  <si>
    <t>장기재고</t>
  </si>
  <si>
    <t>DB_DATA,DB_LIST</t>
    <phoneticPr fontId="2" type="noConversion"/>
  </si>
</sst>
</file>

<file path=xl/styles.xml><?xml version="1.0" encoding="utf-8"?>
<styleSheet xmlns="http://schemas.openxmlformats.org/spreadsheetml/2006/main">
  <numFmts count="78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[Red][&lt;0]&quot;△&quot;#,##0.0;#,##0.0"/>
    <numFmt numFmtId="177" formatCode="_-* #,##0.0_-;\-* #,##0.0_-;_-* &quot;-&quot;_-;_-@_-"/>
    <numFmt numFmtId="178" formatCode="_ * #,##0.00_ ;_ * \-#,##0.00_ ;_ * &quot;-&quot;??_ ;_ @_ "/>
    <numFmt numFmtId="179" formatCode="_(* #,##0_);_(* \(#,##0\);_(* &quot;-&quot;_);_(@_)"/>
    <numFmt numFmtId="180" formatCode="_(&quot;₩&quot;* #,##0.00_);_(&quot;₩&quot;* \(#,##0.00\);_(&quot;₩&quot;* &quot;-&quot;??_);_(@_)"/>
    <numFmt numFmtId="181" formatCode="_-* #,##0.00&quot;$&quot;_-;\-* #,##0.00&quot;$&quot;_-;_-* &quot;-&quot;??&quot;$&quot;_-;_-@_-"/>
    <numFmt numFmtId="182" formatCode="_-* #,##0.00_$_-;\-* #,##0.00_$_-;_-* &quot;-&quot;??_$_-;_-@_-"/>
    <numFmt numFmtId="183" formatCode="_ * #,##0_ ;_ * \-#,##0_ ;_ * &quot;-&quot;_ ;_ @_ "/>
    <numFmt numFmtId="184" formatCode="_ &quot;₩&quot;* #,##0_ ;_ &quot;₩&quot;* \-#,##0_ ;_ &quot;₩&quot;* &quot;-&quot;_ ;_ @_ "/>
    <numFmt numFmtId="185" formatCode="_ &quot;₩&quot;* #,##0.00_ ;_ &quot;₩&quot;* \-#,##0.00_ ;_ &quot;₩&quot;* &quot;-&quot;??_ ;_ @_ "/>
    <numFmt numFmtId="186" formatCode="_ * #,##0_ ;_ * &quot;₩&quot;&quot;₩&quot;&quot;₩&quot;\-#,##0_ ;_ * &quot;-&quot;_ ;_ @_ "/>
    <numFmt numFmtId="187" formatCode="0.0"/>
    <numFmt numFmtId="188" formatCode="m&quot;월&quot;\ d&quot;일&quot;"/>
    <numFmt numFmtId="189" formatCode="#,##0\ \ "/>
    <numFmt numFmtId="190" formatCode="&quot;$&quot;#,##0.00_);&quot;₩&quot;&quot;₩&quot;&quot;₩&quot;\(&quot;$&quot;#,##0.00&quot;₩&quot;&quot;₩&quot;&quot;₩&quot;\)"/>
    <numFmt numFmtId="191" formatCode="&quot;₩&quot;#,##0;[Red]&quot;₩&quot;&quot;₩&quot;\-#,##0"/>
    <numFmt numFmtId="192" formatCode="_-* #,##0\ _D_M_-;\-* #,##0\ _D_M_-;_-* &quot;-&quot;\ _D_M_-;_-@_-"/>
    <numFmt numFmtId="193" formatCode="_-* #,##0.00\ _D_M_-;\-* #,##0.00\ _D_M_-;_-* &quot;-&quot;??\ _D_M_-;_-@_-"/>
    <numFmt numFmtId="194" formatCode="&quot;₩&quot;#,##0.00;[Red]&quot;₩&quot;&quot;₩&quot;\-#,##0.00"/>
    <numFmt numFmtId="195" formatCode="0.0000"/>
    <numFmt numFmtId="196" formatCode="_ [$€-2]* #,##0.00_ ;_ [$€-2]* \-#,##0.00_ ;_ [$€-2]* &quot;-&quot;??_ "/>
    <numFmt numFmtId="197" formatCode="0.000"/>
    <numFmt numFmtId="198" formatCode="_(* #,##0.00_);_(* \(#,##0.00\);_(* &quot;-&quot;??_);_(@_)"/>
    <numFmt numFmtId="199" formatCode="_(&quot;$&quot;* #,##0_);_(&quot;$&quot;* \(#,##0\);_(&quot;$&quot;* &quot;-&quot;_);_(@_)"/>
    <numFmt numFmtId="200" formatCode="_(&quot;$&quot;* #,##0.00_);_(&quot;$&quot;* \(#,##0.00\);_(&quot;$&quot;* &quot;-&quot;??_);_(@_)"/>
    <numFmt numFmtId="201" formatCode="_(* #,##0.0_);_(* &quot;₩&quot;&quot;₩&quot;&quot;₩&quot;&quot;₩&quot;&quot;₩&quot;&quot;₩&quot;\(#,##0.0&quot;₩&quot;&quot;₩&quot;&quot;₩&quot;&quot;₩&quot;&quot;₩&quot;&quot;₩&quot;\);_(* &quot;-&quot;_);_(@_)"/>
    <numFmt numFmtId="202" formatCode="_ * #,##0.00_ ;_ * &quot;₩&quot;&quot;₩&quot;\-#,##0.00_ ;_ * &quot;-&quot;??_ ;_ @_ "/>
    <numFmt numFmtId="203" formatCode="_-* #,##0\ &quot;DM&quot;_-;\-* #,##0\ &quot;DM&quot;_-;_-* &quot;-&quot;\ &quot;DM&quot;_-;_-@_-"/>
    <numFmt numFmtId="204" formatCode="_-* #,##0.00\ &quot;DM&quot;_-;\-* #,##0.00\ &quot;DM&quot;_-;_-* &quot;-&quot;??\ &quot;DM&quot;_-;_-@_-"/>
    <numFmt numFmtId="205" formatCode="#,##0;[Red]&quot;▲&quot;#,##0"/>
    <numFmt numFmtId="206" formatCode="#.00"/>
    <numFmt numFmtId="207" formatCode="#,##0;&quot;△&quot;#,##0"/>
    <numFmt numFmtId="208" formatCode="_-&quot;₩&quot;* #,##0.00_-;&quot;₩&quot;&quot;₩&quot;&quot;₩&quot;\-&quot;₩&quot;* #,##0.00_-;_-&quot;₩&quot;* &quot;-&quot;??_-;_-@_-"/>
    <numFmt numFmtId="209" formatCode="mmm&quot;-&quot;yy"/>
    <numFmt numFmtId="210" formatCode="_ &quot;₩&quot;* #,##0.00_ ;_ &quot;₩&quot;* &quot;₩&quot;&quot;₩&quot;\-#,##0.00_ ;_ &quot;₩&quot;* &quot;-&quot;??_ ;_ @_ "/>
    <numFmt numFmtId="211" formatCode="_-* #,##0.00_-;&quot;₩&quot;&quot;₩&quot;&quot;₩&quot;&quot;₩&quot;\-* #,##0.00_-;_-* &quot;-&quot;??_-;_-@_-"/>
    <numFmt numFmtId="212" formatCode="_ &quot;₩&quot;* #,##0_ ;_ &quot;₩&quot;* &quot;₩&quot;&quot;₩&quot;\-#,##0_ ;_ &quot;₩&quot;* &quot;-&quot;_ ;_ @_ "/>
    <numFmt numFmtId="213" formatCode="#,##0."/>
    <numFmt numFmtId="214" formatCode="_-* #,##0_-;_-* #,##0\-;_-* &quot;-&quot;_-;_-@_-"/>
    <numFmt numFmtId="215" formatCode="_-* #,##0.00_-;_-* #,##0.00\-;_-* &quot;-&quot;??_-;_-@_-"/>
    <numFmt numFmtId="216" formatCode="m&quot;/&quot;d"/>
    <numFmt numFmtId="217" formatCode="_-* #,##0.00\ _$_-;\-* #,##0.00\ _$_-;_-* &quot;-&quot;??\ _$_-;_-@_-"/>
    <numFmt numFmtId="218" formatCode="_(&quot;₩&quot;* #,##0_);_(&quot;₩&quot;* \(#,##0\);_(&quot;₩&quot;* &quot;-&quot;_);_(@_)"/>
    <numFmt numFmtId="219" formatCode="&quot;₩&quot;#,##0.00;[Red]&quot;₩&quot;\-#,##0.00"/>
    <numFmt numFmtId="220" formatCode="%#.00"/>
    <numFmt numFmtId="221" formatCode="_-&quot;fl&quot;\ * #,##0_-;_-&quot;fl&quot;\ * #,##0\-;_-&quot;fl&quot;\ * &quot;-&quot;_-;_-@_-"/>
    <numFmt numFmtId="222" formatCode="_-&quot;fl&quot;\ * #,##0.00_-;_-&quot;fl&quot;\ * #,##0.00\-;_-&quot;fl&quot;\ * &quot;-&quot;??_-;_-@_-"/>
    <numFmt numFmtId="223" formatCode="\$#.00"/>
    <numFmt numFmtId="224" formatCode="\$#."/>
    <numFmt numFmtId="225" formatCode="0.0_ "/>
    <numFmt numFmtId="226" formatCode="mm&quot;월&quot;\ dd&quot;일&quot;"/>
    <numFmt numFmtId="227" formatCode="m&quot;월&quot;;@"/>
    <numFmt numFmtId="228" formatCode="[Red][&lt;0]&quot;△&quot;#,##0;#,##0"/>
    <numFmt numFmtId="229" formatCode="#,##0%;[Red]&quot;Δ&quot;#,##0%"/>
    <numFmt numFmtId="230" formatCode="\(0\)"/>
    <numFmt numFmtId="231" formatCode="[Red]#,##0&quot;↑&quot;;#,##0&quot;↓&quot;"/>
    <numFmt numFmtId="232" formatCode="0.00_ "/>
    <numFmt numFmtId="233" formatCode="\(0.0\↑\);\(0.0\↓\)"/>
    <numFmt numFmtId="234" formatCode="0.0%;[Red]\Δ0.0%"/>
    <numFmt numFmtId="235" formatCode="0&quot;↑&quot;;0&quot;↓&quot;"/>
    <numFmt numFmtId="236" formatCode="0.0%"/>
    <numFmt numFmtId="237" formatCode="0%;&quot;△&quot;0%"/>
    <numFmt numFmtId="238" formatCode="0%;[Red]\Δ0%"/>
    <numFmt numFmtId="239" formatCode="0.0%;&quot;△&quot;0.0%"/>
    <numFmt numFmtId="240" formatCode="0.0;[Red]&quot;△&quot;0.0"/>
    <numFmt numFmtId="241" formatCode="\(0.0%\);[Red]\(&quot;△&quot;0.0%\)"/>
    <numFmt numFmtId="242" formatCode="#,##0.0;&quot;△&quot;#,##0.0"/>
    <numFmt numFmtId="243" formatCode="0.0;[Red]&quot;Δ&quot;0.0"/>
    <numFmt numFmtId="244" formatCode="\(0.0%\);[Red]\(&quot;Δ&quot;0.0%\)"/>
    <numFmt numFmtId="245" formatCode="0.0%;&quot;Δ&quot;0.0%"/>
    <numFmt numFmtId="246" formatCode="\(0.0\);\(&quot;Δ&quot;0.0\)"/>
    <numFmt numFmtId="247" formatCode="0%;&quot;Δ&quot;0%"/>
    <numFmt numFmtId="248" formatCode="[Red][&lt;0]&quot;Δ&quot;#,##0.0;#,##0.0"/>
    <numFmt numFmtId="249" formatCode="\(0.0%\)"/>
  </numFmts>
  <fonts count="188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0"/>
      <name val="맑은 고딕"/>
      <family val="3"/>
      <charset val="129"/>
      <scheme val="major"/>
    </font>
    <font>
      <sz val="10"/>
      <name val="Arial"/>
      <family val="2"/>
    </font>
    <font>
      <sz val="11"/>
      <color rgb="FF000000"/>
      <name val="맑은 고딕"/>
      <family val="3"/>
      <charset val="129"/>
    </font>
    <font>
      <sz val="11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name val="맑은 고딕"/>
      <family val="3"/>
      <charset val="129"/>
      <scheme val="minor"/>
    </font>
    <font>
      <sz val="11"/>
      <color rgb="FF0066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  <scheme val="minor"/>
    </font>
    <font>
      <sz val="12"/>
      <color indexed="8"/>
      <name val="Arial Narrow"/>
      <family val="2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2"/>
      <color theme="1"/>
      <name val="Arial Narrow"/>
      <family val="2"/>
    </font>
    <font>
      <b/>
      <sz val="12"/>
      <color theme="1"/>
      <name val="맑은 고딕"/>
      <family val="3"/>
      <charset val="129"/>
    </font>
    <font>
      <sz val="12"/>
      <name val="돋움체"/>
      <family val="3"/>
      <charset val="129"/>
    </font>
    <font>
      <sz val="12"/>
      <name val="바탕체"/>
      <family val="1"/>
      <charset val="129"/>
    </font>
    <font>
      <sz val="12"/>
      <name val="???"/>
      <family val="1"/>
    </font>
    <font>
      <sz val="11"/>
      <name val="__"/>
      <family val="3"/>
    </font>
    <font>
      <sz val="12"/>
      <name val="___"/>
      <family val="1"/>
    </font>
    <font>
      <sz val="10"/>
      <name val="___"/>
      <family val="3"/>
    </font>
    <font>
      <sz val="10"/>
      <name val="MS Sans Serif"/>
      <family val="2"/>
    </font>
    <font>
      <sz val="10"/>
      <name val="Helv"/>
      <family val="2"/>
    </font>
    <font>
      <sz val="11"/>
      <name val="Arial"/>
      <family val="2"/>
    </font>
    <font>
      <sz val="11"/>
      <color indexed="63"/>
      <name val="Calibri"/>
      <family val="2"/>
    </font>
    <font>
      <sz val="11"/>
      <color indexed="63"/>
      <name val="宋体"/>
      <family val="3"/>
      <charset val="129"/>
    </font>
    <font>
      <sz val="9"/>
      <color theme="1"/>
      <name val="맑은 고딕"/>
      <family val="2"/>
      <charset val="129"/>
    </font>
    <font>
      <u/>
      <sz val="10"/>
      <color indexed="12"/>
      <name val="Arial"/>
      <family val="2"/>
    </font>
    <font>
      <sz val="11"/>
      <color indexed="9"/>
      <name val="Calibri"/>
      <family val="2"/>
    </font>
    <font>
      <sz val="11"/>
      <color indexed="9"/>
      <name val="宋体"/>
      <family val="3"/>
      <charset val="129"/>
    </font>
    <font>
      <sz val="9"/>
      <color theme="0"/>
      <name val="맑은 고딕"/>
      <family val="2"/>
      <charset val="129"/>
    </font>
    <font>
      <sz val="12"/>
      <name val="ⓒoUAAA¨u"/>
      <family val="1"/>
      <charset val="129"/>
    </font>
    <font>
      <sz val="11"/>
      <name val="μ¸¿o"/>
      <family val="3"/>
      <charset val="129"/>
    </font>
    <font>
      <sz val="12"/>
      <name val="Arial"/>
      <family val="2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color indexed="20"/>
      <name val="Calibri"/>
      <family val="2"/>
    </font>
    <font>
      <sz val="11"/>
      <name val="돋움체"/>
      <family val="3"/>
      <charset val="129"/>
    </font>
    <font>
      <sz val="12"/>
      <name val="Tms Rmn"/>
      <family val="1"/>
    </font>
    <font>
      <sz val="12"/>
      <name val="©öUAAA¨ù"/>
      <family val="1"/>
    </font>
    <font>
      <sz val="8"/>
      <name val="¹UAAA¼"/>
      <family val="1"/>
      <charset val="129"/>
    </font>
    <font>
      <sz val="12"/>
      <name val="±¼¸²A¼"/>
      <family val="3"/>
      <charset val="129"/>
    </font>
    <font>
      <sz val="12"/>
      <name val="¹ÙÅÁÃ¼"/>
      <family val="3"/>
      <charset val="129"/>
    </font>
    <font>
      <sz val="11"/>
      <name val="바탕체"/>
      <family val="1"/>
      <charset val="129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"/>
      <color indexed="8"/>
      <name val="Courier"/>
      <family val="3"/>
    </font>
    <font>
      <sz val="9"/>
      <color indexed="12"/>
      <name val="Arial"/>
      <family val="2"/>
    </font>
    <font>
      <sz val="12"/>
      <name val="宋体"/>
      <family val="3"/>
      <charset val="129"/>
    </font>
    <font>
      <i/>
      <sz val="11"/>
      <color indexed="23"/>
      <name val="Calibri"/>
      <family val="2"/>
    </font>
    <font>
      <sz val="9"/>
      <color indexed="8"/>
      <name val="Arial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22"/>
      <name val="Times New Roman"/>
      <family val="1"/>
    </font>
    <font>
      <sz val="9"/>
      <name val="Arial"/>
      <family val="2"/>
    </font>
    <font>
      <u/>
      <sz val="8"/>
      <color indexed="12"/>
      <name val="Times New Roman"/>
      <family val="1"/>
    </font>
    <font>
      <sz val="9"/>
      <color indexed="9"/>
      <name val="Arial"/>
      <family val="2"/>
    </font>
    <font>
      <i/>
      <sz val="10"/>
      <name val="Arial"/>
      <family val="2"/>
    </font>
    <font>
      <sz val="11"/>
      <color indexed="52"/>
      <name val="Calibri"/>
      <family val="2"/>
    </font>
    <font>
      <sz val="11"/>
      <name val="돋"/>
      <family val="3"/>
      <charset val="129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b/>
      <sz val="11"/>
      <color indexed="63"/>
      <name val="Calibri"/>
      <family val="2"/>
    </font>
    <font>
      <sz val="11"/>
      <name val="￥i￠￢￠?o"/>
      <family val="3"/>
      <charset val="129"/>
    </font>
    <font>
      <i/>
      <sz val="10"/>
      <color indexed="10"/>
      <name val="Arial"/>
      <family val="2"/>
    </font>
    <font>
      <sz val="10"/>
      <name val="Geneva"/>
      <family val="2"/>
    </font>
    <font>
      <b/>
      <sz val="9"/>
      <name val="Arial"/>
      <family val="2"/>
    </font>
    <font>
      <b/>
      <sz val="10"/>
      <color indexed="56"/>
      <name val="Arial"/>
      <family val="2"/>
    </font>
    <font>
      <b/>
      <sz val="18"/>
      <color indexed="62"/>
      <name val="Cambria"/>
      <family val="1"/>
    </font>
    <font>
      <b/>
      <sz val="16"/>
      <color indexed="62"/>
      <name val="Arial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color indexed="14"/>
      <name val="Arial"/>
      <family val="2"/>
    </font>
    <font>
      <sz val="11"/>
      <color indexed="10"/>
      <name val="Calibri"/>
      <family val="2"/>
    </font>
    <font>
      <sz val="12"/>
      <name val="جيزة"/>
      <family val="2"/>
      <charset val="178"/>
    </font>
    <font>
      <b/>
      <sz val="11"/>
      <color indexed="9"/>
      <name val="宋体"/>
      <family val="3"/>
      <charset val="129"/>
    </font>
    <font>
      <sz val="9"/>
      <color rgb="FFFF0000"/>
      <name val="맑은 고딕"/>
      <family val="2"/>
      <charset val="129"/>
    </font>
    <font>
      <sz val="11"/>
      <color indexed="10"/>
      <name val="宋体"/>
      <family val="3"/>
      <charset val="129"/>
    </font>
    <font>
      <b/>
      <sz val="11"/>
      <color indexed="52"/>
      <name val="宋体"/>
      <family val="3"/>
      <charset val="129"/>
    </font>
    <font>
      <b/>
      <sz val="9"/>
      <color rgb="FFFA7D00"/>
      <name val="맑은 고딕"/>
      <family val="2"/>
      <charset val="129"/>
    </font>
    <font>
      <sz val="11"/>
      <color indexed="60"/>
      <name val="宋体"/>
      <family val="3"/>
      <charset val="129"/>
    </font>
    <font>
      <sz val="9"/>
      <color rgb="FF9C0006"/>
      <name val="맑은 고딕"/>
      <family val="2"/>
      <charset val="129"/>
    </font>
    <font>
      <u/>
      <sz val="7.5"/>
      <color indexed="36"/>
      <name val="Arial"/>
      <family val="2"/>
    </font>
    <font>
      <sz val="14"/>
      <name val="뼻뮝"/>
      <family val="3"/>
      <charset val="129"/>
    </font>
    <font>
      <sz val="11"/>
      <color indexed="52"/>
      <name val="宋体"/>
      <family val="3"/>
      <charset val="129"/>
    </font>
    <font>
      <sz val="10"/>
      <name val="돋움"/>
      <family val="3"/>
      <charset val="129"/>
    </font>
    <font>
      <sz val="11"/>
      <color indexed="8"/>
      <name val="맑은 고딕"/>
      <family val="3"/>
      <charset val="129"/>
    </font>
    <font>
      <sz val="9"/>
      <color rgb="FF9C6500"/>
      <name val="맑은 고딕"/>
      <family val="2"/>
      <charset val="129"/>
    </font>
    <font>
      <sz val="12"/>
      <name val="뼻뮝"/>
      <family val="3"/>
      <charset val="129"/>
    </font>
    <font>
      <i/>
      <sz val="9"/>
      <color rgb="FF7F7F7F"/>
      <name val="맑은 고딕"/>
      <family val="2"/>
      <charset val="129"/>
    </font>
    <font>
      <b/>
      <sz val="9"/>
      <color theme="0"/>
      <name val="맑은 고딕"/>
      <family val="2"/>
      <charset val="129"/>
    </font>
    <font>
      <sz val="11"/>
      <color indexed="62"/>
      <name val="宋体"/>
      <family val="3"/>
      <charset val="129"/>
    </font>
    <font>
      <b/>
      <sz val="11"/>
      <color indexed="63"/>
      <name val="宋体"/>
      <family val="3"/>
      <charset val="129"/>
    </font>
    <font>
      <sz val="10"/>
      <color indexed="8"/>
      <name val="맑은 고딕"/>
      <family val="3"/>
      <charset val="129"/>
    </font>
    <font>
      <sz val="9"/>
      <color rgb="FFFA7D00"/>
      <name val="맑은 고딕"/>
      <family val="2"/>
      <charset val="129"/>
    </font>
    <font>
      <b/>
      <sz val="9"/>
      <color theme="1"/>
      <name val="맑은 고딕"/>
      <family val="2"/>
      <charset val="129"/>
    </font>
    <font>
      <sz val="9"/>
      <color rgb="FF3F3F76"/>
      <name val="맑은 고딕"/>
      <family val="2"/>
      <charset val="129"/>
    </font>
    <font>
      <b/>
      <sz val="15"/>
      <color theme="3"/>
      <name val="맑은 고딕"/>
      <family val="2"/>
      <charset val="129"/>
    </font>
    <font>
      <b/>
      <sz val="13"/>
      <color theme="3"/>
      <name val="맑은 고딕"/>
      <family val="2"/>
      <charset val="129"/>
    </font>
    <font>
      <b/>
      <sz val="11"/>
      <color theme="3"/>
      <name val="맑은 고딕"/>
      <family val="2"/>
      <charset val="129"/>
    </font>
    <font>
      <sz val="9"/>
      <color rgb="FF006100"/>
      <name val="맑은 고딕"/>
      <family val="2"/>
      <charset val="129"/>
    </font>
    <font>
      <sz val="11"/>
      <color indexed="20"/>
      <name val="宋体"/>
      <family val="3"/>
      <charset val="129"/>
    </font>
    <font>
      <b/>
      <sz val="9"/>
      <color rgb="FF3F3F3F"/>
      <name val="맑은 고딕"/>
      <family val="2"/>
      <charset val="129"/>
    </font>
    <font>
      <sz val="11"/>
      <name val="바탕"/>
      <family val="1"/>
      <charset val="129"/>
    </font>
    <font>
      <sz val="12"/>
      <name val="Times New Roman"/>
      <family val="1"/>
    </font>
    <font>
      <b/>
      <sz val="18"/>
      <color indexed="62"/>
      <name val="宋体"/>
      <family val="3"/>
      <charset val="129"/>
    </font>
    <font>
      <b/>
      <sz val="15"/>
      <color indexed="62"/>
      <name val="宋体"/>
      <family val="3"/>
      <charset val="129"/>
    </font>
    <font>
      <b/>
      <sz val="13"/>
      <color indexed="62"/>
      <name val="宋体"/>
      <family val="3"/>
      <charset val="129"/>
    </font>
    <font>
      <b/>
      <sz val="11"/>
      <color indexed="62"/>
      <name val="宋体"/>
      <family val="3"/>
      <charset val="129"/>
    </font>
    <font>
      <sz val="10"/>
      <color indexed="8"/>
      <name val="Arial"/>
      <family val="2"/>
    </font>
    <font>
      <sz val="10"/>
      <color theme="1"/>
      <name val="맑은 고딕"/>
      <family val="2"/>
      <charset val="129"/>
      <scheme val="major"/>
    </font>
    <font>
      <sz val="10"/>
      <color indexed="64"/>
      <name val="Arial"/>
      <family val="2"/>
    </font>
    <font>
      <sz val="9"/>
      <name val="Tahoma"/>
      <family val="2"/>
    </font>
    <font>
      <sz val="11"/>
      <color rgb="FF000000"/>
      <name val="맑은 고딕"/>
      <family val="3"/>
      <charset val="129"/>
      <scheme val="minor"/>
    </font>
    <font>
      <sz val="11"/>
      <color theme="1"/>
      <name val="돋움"/>
      <family val="2"/>
      <charset val="129"/>
    </font>
    <font>
      <sz val="11"/>
      <color theme="1"/>
      <name val="맑은 고딕"/>
      <family val="3"/>
      <charset val="129"/>
      <scheme val="minor"/>
    </font>
    <font>
      <i/>
      <sz val="11"/>
      <color indexed="23"/>
      <name val="宋体"/>
      <family val="3"/>
      <charset val="129"/>
    </font>
    <font>
      <sz val="11"/>
      <color indexed="17"/>
      <name val="宋体"/>
      <family val="3"/>
      <charset val="129"/>
    </font>
    <font>
      <sz val="11"/>
      <color rgb="FFFFFFFF"/>
      <name val="맑은 고딕"/>
      <family val="2"/>
      <charset val="129"/>
    </font>
    <font>
      <sz val="11"/>
      <name val="맑은 고딕"/>
      <family val="3"/>
      <charset val="129"/>
      <scheme val="major"/>
    </font>
    <font>
      <sz val="11"/>
      <color rgb="FFFFFFFF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3"/>
      <color indexed="8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b/>
      <sz val="9"/>
      <color indexed="17"/>
      <name val="맑은 고딕"/>
      <family val="3"/>
      <charset val="129"/>
      <scheme val="minor"/>
    </font>
    <font>
      <b/>
      <sz val="10"/>
      <color indexed="17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4"/>
      <color indexed="8"/>
      <name val="Arial Narrow"/>
      <family val="2"/>
    </font>
    <font>
      <b/>
      <sz val="14"/>
      <color indexed="17"/>
      <name val="Arial Narrow"/>
      <family val="2"/>
    </font>
    <font>
      <sz val="12"/>
      <color indexed="17"/>
      <name val="Arial Narrow"/>
      <family val="2"/>
    </font>
    <font>
      <b/>
      <sz val="14"/>
      <name val="Arial Narrow"/>
      <family val="2"/>
    </font>
    <font>
      <sz val="12"/>
      <name val="Arial Narrow"/>
      <family val="2"/>
    </font>
    <font>
      <b/>
      <sz val="11"/>
      <color indexed="8"/>
      <name val="Arial Narrow"/>
      <family val="2"/>
    </font>
    <font>
      <b/>
      <sz val="10"/>
      <name val="맑은 고딕"/>
      <family val="3"/>
      <charset val="129"/>
    </font>
    <font>
      <b/>
      <sz val="14"/>
      <color indexed="9"/>
      <name val="Arial Narrow"/>
      <family val="2"/>
    </font>
    <font>
      <sz val="12"/>
      <color indexed="17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8"/>
      <color indexed="17"/>
      <name val="맑은 고딕"/>
      <family val="3"/>
      <charset val="129"/>
      <scheme val="minor"/>
    </font>
    <font>
      <b/>
      <sz val="13"/>
      <name val="맑은 고딕"/>
      <family val="3"/>
      <charset val="129"/>
      <scheme val="minor"/>
    </font>
    <font>
      <b/>
      <sz val="13"/>
      <color indexed="8"/>
      <name val="Arial Narrow"/>
      <family val="2"/>
    </font>
    <font>
      <b/>
      <sz val="13"/>
      <name val="Arial Narrow"/>
      <family val="2"/>
    </font>
    <font>
      <b/>
      <sz val="8"/>
      <name val="Arial Narrow"/>
      <family val="2"/>
    </font>
    <font>
      <b/>
      <sz val="8"/>
      <color indexed="17"/>
      <name val="Arial Narrow"/>
      <family val="2"/>
    </font>
    <font>
      <b/>
      <sz val="12"/>
      <color indexed="8"/>
      <name val="맑은 고딕"/>
      <family val="3"/>
      <charset val="129"/>
      <scheme val="minor"/>
    </font>
    <font>
      <b/>
      <sz val="12"/>
      <color indexed="8"/>
      <name val="Arial Narrow"/>
      <family val="2"/>
    </font>
    <font>
      <b/>
      <sz val="12"/>
      <color indexed="17"/>
      <name val="Arial Narrow"/>
      <family val="2"/>
    </font>
    <font>
      <b/>
      <sz val="10"/>
      <color indexed="8"/>
      <name val="맑은 고딕"/>
      <family val="3"/>
      <charset val="129"/>
      <scheme val="minor"/>
    </font>
    <font>
      <b/>
      <sz val="10"/>
      <color indexed="17"/>
      <name val="Arial Narrow"/>
      <family val="2"/>
    </font>
    <font>
      <b/>
      <sz val="14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9"/>
      <name val="맑은 고딕"/>
      <family val="3"/>
      <charset val="129"/>
      <scheme val="minor"/>
    </font>
    <font>
      <sz val="9"/>
      <color indexed="57"/>
      <name val="맑은 고딕"/>
      <family val="3"/>
      <charset val="129"/>
      <scheme val="minor"/>
    </font>
    <font>
      <b/>
      <sz val="11"/>
      <name val="Arial Narrow"/>
      <family val="2"/>
    </font>
    <font>
      <sz val="1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0"/>
      <color indexed="8"/>
      <name val="Arial Narrow"/>
      <family val="2"/>
    </font>
    <font>
      <b/>
      <vertAlign val="superscript"/>
      <sz val="12"/>
      <name val="맑은 고딕"/>
      <family val="3"/>
      <charset val="129"/>
    </font>
    <font>
      <sz val="10"/>
      <color indexed="17"/>
      <name val="Arial Narrow"/>
      <family val="2"/>
    </font>
    <font>
      <sz val="10"/>
      <color indexed="17"/>
      <name val="맑은 고딕"/>
      <family val="3"/>
      <charset val="129"/>
    </font>
    <font>
      <sz val="10"/>
      <color rgb="FF006600"/>
      <name val="Arial Narrow"/>
      <family val="2"/>
    </font>
    <font>
      <sz val="10"/>
      <color indexed="57"/>
      <name val="Arial Narrow"/>
      <family val="2"/>
    </font>
    <font>
      <sz val="10"/>
      <color indexed="8"/>
      <name val="Arial Narrow"/>
      <family val="2"/>
    </font>
  </fonts>
  <fills count="7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8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3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lightGray">
        <fgColor indexed="15"/>
      </patternFill>
    </fill>
    <fill>
      <patternFill patternType="solid">
        <fgColor indexed="22"/>
        <bgColor indexed="9"/>
      </patternFill>
    </fill>
    <fill>
      <patternFill patternType="solid">
        <fgColor indexed="13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9"/>
      </patternFill>
    </fill>
    <fill>
      <patternFill patternType="solid">
        <fgColor indexed="18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rgb="FFFFE89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51"/>
        <bgColor indexed="64"/>
      </patternFill>
    </fill>
  </fills>
  <borders count="76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medium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 style="thin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10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thin">
        <color indexed="55"/>
      </bottom>
      <diagonal/>
    </border>
    <border>
      <left/>
      <right/>
      <top/>
      <bottom style="dotted">
        <color indexed="55"/>
      </bottom>
      <diagonal/>
    </border>
    <border>
      <left/>
      <right/>
      <top style="hair">
        <color indexed="9"/>
      </top>
      <bottom/>
      <diagonal/>
    </border>
  </borders>
  <cellStyleXfs count="15233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5" fillId="0" borderId="0"/>
    <xf numFmtId="0" fontId="35" fillId="0" borderId="0"/>
    <xf numFmtId="178" fontId="5" fillId="0" borderId="0" applyFont="0" applyFill="0" applyBorder="0" applyAlignment="0" applyProtection="0"/>
    <xf numFmtId="0" fontId="36" fillId="0" borderId="0"/>
    <xf numFmtId="0" fontId="5" fillId="0" borderId="0"/>
    <xf numFmtId="179" fontId="37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8" fillId="0" borderId="0" applyFont="0" applyFill="0" applyBorder="0" applyAlignment="0" applyProtection="0"/>
    <xf numFmtId="180" fontId="37" fillId="0" borderId="0" applyFont="0" applyFill="0" applyBorder="0" applyAlignment="0" applyProtection="0"/>
    <xf numFmtId="0" fontId="5" fillId="0" borderId="0"/>
    <xf numFmtId="0" fontId="38" fillId="0" borderId="0"/>
    <xf numFmtId="0" fontId="39" fillId="0" borderId="0"/>
    <xf numFmtId="0" fontId="38" fillId="0" borderId="0"/>
    <xf numFmtId="0" fontId="38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35" fillId="0" borderId="0"/>
    <xf numFmtId="0" fontId="7" fillId="0" borderId="0"/>
    <xf numFmtId="0" fontId="5" fillId="0" borderId="0" applyNumberFormat="0" applyFill="0" applyBorder="0" applyAlignment="0" applyProtection="0"/>
    <xf numFmtId="0" fontId="5" fillId="0" borderId="0" applyBorder="0"/>
    <xf numFmtId="0" fontId="7" fillId="0" borderId="0"/>
    <xf numFmtId="0" fontId="5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0" fillId="0" borderId="0" applyFont="0" applyFill="0" applyBorder="0" applyAlignment="0" applyProtection="0"/>
    <xf numFmtId="178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41" fillId="0" borderId="0"/>
    <xf numFmtId="0" fontId="7" fillId="0" borderId="0"/>
    <xf numFmtId="0" fontId="5" fillId="0" borderId="0"/>
    <xf numFmtId="0" fontId="5" fillId="0" borderId="0"/>
    <xf numFmtId="0" fontId="41" fillId="0" borderId="0"/>
    <xf numFmtId="0" fontId="5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181" fontId="42" fillId="0" borderId="0" applyFont="0" applyFill="0" applyBorder="0" applyAlignment="0" applyProtection="0"/>
    <xf numFmtId="182" fontId="42" fillId="0" borderId="0" applyFont="0" applyFill="0" applyBorder="0" applyAlignment="0" applyProtection="0"/>
    <xf numFmtId="0" fontId="7" fillId="0" borderId="0"/>
    <xf numFmtId="0" fontId="5" fillId="0" borderId="0" applyNumberFormat="0" applyFill="0" applyBorder="0" applyAlignment="0" applyProtection="0"/>
    <xf numFmtId="0" fontId="43" fillId="39" borderId="0" applyNumberFormat="0" applyBorder="0" applyAlignment="0" applyProtection="0"/>
    <xf numFmtId="0" fontId="43" fillId="40" borderId="0" applyNumberFormat="0" applyBorder="0" applyAlignment="0" applyProtection="0"/>
    <xf numFmtId="0" fontId="43" fillId="41" borderId="0" applyNumberFormat="0" applyBorder="0" applyAlignment="0" applyProtection="0"/>
    <xf numFmtId="0" fontId="43" fillId="39" borderId="0" applyNumberFormat="0" applyBorder="0" applyAlignment="0" applyProtection="0"/>
    <xf numFmtId="0" fontId="43" fillId="42" borderId="0" applyNumberFormat="0" applyBorder="0" applyAlignment="0" applyProtection="0"/>
    <xf numFmtId="0" fontId="43" fillId="40" borderId="0" applyNumberFormat="0" applyBorder="0" applyAlignment="0" applyProtection="0"/>
    <xf numFmtId="0" fontId="44" fillId="39" borderId="0" applyNumberFormat="0" applyBorder="0" applyAlignment="0" applyProtection="0">
      <alignment vertical="center"/>
    </xf>
    <xf numFmtId="0" fontId="44" fillId="40" borderId="0" applyNumberFormat="0" applyBorder="0" applyAlignment="0" applyProtection="0">
      <alignment vertical="center"/>
    </xf>
    <xf numFmtId="0" fontId="44" fillId="41" borderId="0" applyNumberFormat="0" applyBorder="0" applyAlignment="0" applyProtection="0">
      <alignment vertical="center"/>
    </xf>
    <xf numFmtId="0" fontId="44" fillId="39" borderId="0" applyNumberFormat="0" applyBorder="0" applyAlignment="0" applyProtection="0">
      <alignment vertical="center"/>
    </xf>
    <xf numFmtId="0" fontId="44" fillId="42" borderId="0" applyNumberFormat="0" applyBorder="0" applyAlignment="0" applyProtection="0">
      <alignment vertical="center"/>
    </xf>
    <xf numFmtId="0" fontId="44" fillId="4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5" fillId="0" borderId="0"/>
    <xf numFmtId="0" fontId="46" fillId="0" borderId="0" applyNumberFormat="0" applyFill="0" applyBorder="0" applyAlignment="0" applyProtection="0">
      <alignment vertical="top"/>
      <protection locked="0"/>
    </xf>
    <xf numFmtId="0" fontId="43" fillId="39" borderId="0" applyNumberFormat="0" applyBorder="0" applyAlignment="0" applyProtection="0"/>
    <xf numFmtId="0" fontId="43" fillId="43" borderId="0" applyNumberFormat="0" applyBorder="0" applyAlignment="0" applyProtection="0"/>
    <xf numFmtId="0" fontId="43" fillId="44" borderId="0" applyNumberFormat="0" applyBorder="0" applyAlignment="0" applyProtection="0"/>
    <xf numFmtId="0" fontId="43" fillId="39" borderId="0" applyNumberFormat="0" applyBorder="0" applyAlignment="0" applyProtection="0"/>
    <xf numFmtId="0" fontId="43" fillId="45" borderId="0" applyNumberFormat="0" applyBorder="0" applyAlignment="0" applyProtection="0"/>
    <xf numFmtId="0" fontId="43" fillId="40" borderId="0" applyNumberFormat="0" applyBorder="0" applyAlignment="0" applyProtection="0"/>
    <xf numFmtId="0" fontId="44" fillId="39" borderId="0" applyNumberFormat="0" applyBorder="0" applyAlignment="0" applyProtection="0">
      <alignment vertical="center"/>
    </xf>
    <xf numFmtId="0" fontId="44" fillId="43" borderId="0" applyNumberFormat="0" applyBorder="0" applyAlignment="0" applyProtection="0">
      <alignment vertical="center"/>
    </xf>
    <xf numFmtId="0" fontId="44" fillId="44" borderId="0" applyNumberFormat="0" applyBorder="0" applyAlignment="0" applyProtection="0">
      <alignment vertical="center"/>
    </xf>
    <xf numFmtId="0" fontId="44" fillId="39" borderId="0" applyNumberFormat="0" applyBorder="0" applyAlignment="0" applyProtection="0">
      <alignment vertical="center"/>
    </xf>
    <xf numFmtId="0" fontId="44" fillId="45" borderId="0" applyNumberFormat="0" applyBorder="0" applyAlignment="0" applyProtection="0">
      <alignment vertical="center"/>
    </xf>
    <xf numFmtId="0" fontId="44" fillId="40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7" fillId="0" borderId="0" applyFont="0" applyFill="0" applyBorder="0" applyAlignment="0" applyProtection="0"/>
    <xf numFmtId="0" fontId="47" fillId="46" borderId="0" applyNumberFormat="0" applyBorder="0" applyAlignment="0" applyProtection="0"/>
    <xf numFmtId="0" fontId="47" fillId="43" borderId="0" applyNumberFormat="0" applyBorder="0" applyAlignment="0" applyProtection="0"/>
    <xf numFmtId="0" fontId="47" fillId="44" borderId="0" applyNumberFormat="0" applyBorder="0" applyAlignment="0" applyProtection="0"/>
    <xf numFmtId="0" fontId="47" fillId="47" borderId="0" applyNumberFormat="0" applyBorder="0" applyAlignment="0" applyProtection="0"/>
    <xf numFmtId="0" fontId="47" fillId="46" borderId="0" applyNumberFormat="0" applyBorder="0" applyAlignment="0" applyProtection="0"/>
    <xf numFmtId="0" fontId="47" fillId="40" borderId="0" applyNumberFormat="0" applyBorder="0" applyAlignment="0" applyProtection="0"/>
    <xf numFmtId="0" fontId="48" fillId="46" borderId="0" applyNumberFormat="0" applyBorder="0" applyAlignment="0" applyProtection="0">
      <alignment vertical="center"/>
    </xf>
    <xf numFmtId="0" fontId="48" fillId="43" borderId="0" applyNumberFormat="0" applyBorder="0" applyAlignment="0" applyProtection="0">
      <alignment vertical="center"/>
    </xf>
    <xf numFmtId="0" fontId="48" fillId="44" borderId="0" applyNumberFormat="0" applyBorder="0" applyAlignment="0" applyProtection="0">
      <alignment vertical="center"/>
    </xf>
    <xf numFmtId="0" fontId="48" fillId="47" borderId="0" applyNumberFormat="0" applyBorder="0" applyAlignment="0" applyProtection="0">
      <alignment vertical="center"/>
    </xf>
    <xf numFmtId="0" fontId="48" fillId="46" borderId="0" applyNumberFormat="0" applyBorder="0" applyAlignment="0" applyProtection="0">
      <alignment vertical="center"/>
    </xf>
    <xf numFmtId="0" fontId="48" fillId="40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30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83" fontId="50" fillId="0" borderId="0" applyFont="0" applyFill="0" applyBorder="0" applyAlignment="0" applyProtection="0"/>
    <xf numFmtId="178" fontId="50" fillId="0" borderId="0" applyFont="0" applyFill="0" applyBorder="0" applyAlignment="0" applyProtection="0"/>
    <xf numFmtId="0" fontId="47" fillId="46" borderId="0" applyNumberFormat="0" applyBorder="0" applyAlignment="0" applyProtection="0"/>
    <xf numFmtId="0" fontId="47" fillId="48" borderId="0" applyNumberFormat="0" applyBorder="0" applyAlignment="0" applyProtection="0"/>
    <xf numFmtId="0" fontId="47" fillId="49" borderId="0" applyNumberFormat="0" applyBorder="0" applyAlignment="0" applyProtection="0"/>
    <xf numFmtId="0" fontId="47" fillId="50" borderId="0" applyNumberFormat="0" applyBorder="0" applyAlignment="0" applyProtection="0"/>
    <xf numFmtId="0" fontId="47" fillId="46" borderId="0" applyNumberFormat="0" applyBorder="0" applyAlignment="0" applyProtection="0"/>
    <xf numFmtId="0" fontId="47" fillId="51" borderId="0" applyNumberFormat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184" fontId="50" fillId="0" borderId="0" applyFont="0" applyFill="0" applyBorder="0" applyAlignment="0" applyProtection="0"/>
    <xf numFmtId="185" fontId="50" fillId="0" borderId="0" applyFont="0" applyFill="0" applyBorder="0" applyAlignment="0" applyProtection="0"/>
    <xf numFmtId="0" fontId="5" fillId="0" borderId="0"/>
    <xf numFmtId="0" fontId="5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Font="0" applyFill="0" applyBorder="0" applyAlignment="0" applyProtection="0"/>
    <xf numFmtId="186" fontId="54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5" fillId="52" borderId="0" applyNumberFormat="0" applyBorder="0" applyAlignment="0" applyProtection="0"/>
    <xf numFmtId="178" fontId="56" fillId="0" borderId="0">
      <alignment horizontal="right"/>
      <protection locked="0"/>
    </xf>
    <xf numFmtId="0" fontId="57" fillId="0" borderId="0" applyNumberFormat="0" applyFill="0" applyBorder="0" applyAlignment="0" applyProtection="0"/>
    <xf numFmtId="187" fontId="56" fillId="0" borderId="0" applyFont="0" applyFill="0" applyBorder="0" applyAlignment="0" applyProtection="0"/>
    <xf numFmtId="0" fontId="5" fillId="0" borderId="0"/>
    <xf numFmtId="0" fontId="58" fillId="0" borderId="0" applyProtection="0"/>
    <xf numFmtId="0" fontId="59" fillId="0" borderId="0"/>
    <xf numFmtId="0" fontId="5" fillId="0" borderId="0"/>
    <xf numFmtId="0" fontId="60" fillId="0" borderId="0"/>
    <xf numFmtId="0" fontId="61" fillId="0" borderId="0"/>
    <xf numFmtId="183" fontId="5" fillId="0" borderId="0" applyFont="0" applyFill="0" applyBorder="0" applyAlignment="0" applyProtection="0"/>
    <xf numFmtId="178" fontId="5" fillId="0" borderId="0" applyFont="0" applyFill="0" applyBorder="0" applyAlignment="0" applyProtection="0"/>
    <xf numFmtId="0" fontId="5" fillId="0" borderId="0" applyNumberFormat="0" applyFill="0" applyBorder="0" applyAlignment="0"/>
    <xf numFmtId="188" fontId="62" fillId="0" borderId="0" applyFill="0" applyBorder="0" applyAlignment="0"/>
    <xf numFmtId="0" fontId="63" fillId="39" borderId="57" applyNumberFormat="0" applyAlignment="0" applyProtection="0"/>
    <xf numFmtId="189" fontId="56" fillId="53" borderId="0" applyNumberFormat="0" applyFont="0" applyBorder="0" applyAlignment="0">
      <protection locked="0"/>
    </xf>
    <xf numFmtId="0" fontId="64" fillId="47" borderId="58" applyNumberFormat="0" applyAlignment="0" applyProtection="0"/>
    <xf numFmtId="4" fontId="65" fillId="0" borderId="0">
      <protection locked="0"/>
    </xf>
    <xf numFmtId="0" fontId="40" fillId="0" borderId="0" applyFont="0" applyFill="0" applyBorder="0" applyAlignment="0" applyProtection="0"/>
    <xf numFmtId="179" fontId="43" fillId="0" borderId="0" applyFont="0" applyFill="0" applyBorder="0" applyAlignment="0" applyProtection="0"/>
    <xf numFmtId="190" fontId="62" fillId="0" borderId="0"/>
    <xf numFmtId="0" fontId="5" fillId="0" borderId="0" applyFont="0" applyFill="0" applyBorder="0" applyAlignment="0" applyProtection="0"/>
    <xf numFmtId="0" fontId="7" fillId="0" borderId="0">
      <protection locked="0"/>
    </xf>
    <xf numFmtId="0" fontId="40" fillId="0" borderId="0" applyFont="0" applyFill="0" applyBorder="0" applyAlignment="0" applyProtection="0"/>
    <xf numFmtId="0" fontId="5" fillId="0" borderId="0" applyFont="0" applyFill="0" applyBorder="0" applyAlignment="0" applyProtection="0"/>
    <xf numFmtId="191" fontId="62" fillId="0" borderId="0"/>
    <xf numFmtId="0" fontId="7" fillId="0" borderId="0" applyFont="0" applyFill="0" applyBorder="0" applyAlignment="0" applyProtection="0"/>
    <xf numFmtId="187" fontId="66" fillId="54" borderId="59" applyNumberFormat="0"/>
    <xf numFmtId="192" fontId="5" fillId="0" borderId="0" applyFont="0" applyFill="0" applyBorder="0" applyAlignment="0" applyProtection="0"/>
    <xf numFmtId="193" fontId="5" fillId="0" borderId="0" applyFont="0" applyFill="0" applyBorder="0" applyAlignment="0" applyProtection="0"/>
    <xf numFmtId="194" fontId="62" fillId="0" borderId="0"/>
    <xf numFmtId="195" fontId="56" fillId="0" borderId="0" applyFill="0" applyBorder="0" applyAlignment="0" applyProtection="0"/>
    <xf numFmtId="196" fontId="67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/>
    <xf numFmtId="187" fontId="69" fillId="55" borderId="59" applyNumberFormat="0"/>
    <xf numFmtId="0" fontId="70" fillId="56" borderId="0" applyNumberFormat="0" applyBorder="0" applyAlignment="0" applyProtection="0"/>
    <xf numFmtId="38" fontId="71" fillId="57" borderId="0" applyNumberFormat="0" applyBorder="0" applyAlignment="0" applyProtection="0"/>
    <xf numFmtId="0" fontId="72" fillId="0" borderId="60" applyNumberFormat="0" applyAlignment="0" applyProtection="0">
      <alignment horizontal="left" vertical="center"/>
    </xf>
    <xf numFmtId="0" fontId="72" fillId="0" borderId="61">
      <alignment horizontal="left" vertical="center"/>
    </xf>
    <xf numFmtId="0" fontId="73" fillId="0" borderId="62" applyNumberFormat="0" applyFill="0" applyAlignment="0" applyProtection="0"/>
    <xf numFmtId="0" fontId="74" fillId="0" borderId="62" applyNumberFormat="0" applyFill="0" applyAlignment="0" applyProtection="0"/>
    <xf numFmtId="0" fontId="75" fillId="0" borderId="63" applyNumberFormat="0" applyFill="0" applyAlignment="0" applyProtection="0"/>
    <xf numFmtId="0" fontId="75" fillId="0" borderId="0" applyNumberFormat="0" applyFill="0" applyBorder="0" applyAlignment="0" applyProtection="0"/>
    <xf numFmtId="0" fontId="76" fillId="0" borderId="64" applyNumberFormat="0" applyFill="0" applyBorder="0" applyAlignment="0" applyProtection="0">
      <alignment horizontal="left"/>
    </xf>
    <xf numFmtId="9" fontId="77" fillId="58" borderId="59" applyNumberFormat="0"/>
    <xf numFmtId="0" fontId="78" fillId="0" borderId="0" applyNumberFormat="0" applyFill="0" applyBorder="0" applyAlignment="0" applyProtection="0">
      <alignment vertical="top"/>
      <protection locked="0"/>
    </xf>
    <xf numFmtId="2" fontId="79" fillId="59" borderId="59" applyNumberFormat="0">
      <protection locked="0"/>
    </xf>
    <xf numFmtId="10" fontId="71" fillId="60" borderId="8" applyNumberFormat="0" applyBorder="0" applyAlignment="0" applyProtection="0"/>
    <xf numFmtId="2" fontId="79" fillId="59" borderId="59" applyNumberFormat="0">
      <protection locked="0"/>
    </xf>
    <xf numFmtId="0" fontId="80" fillId="61" borderId="0" applyNumberFormat="0" applyBorder="0" applyAlignment="0"/>
    <xf numFmtId="0" fontId="81" fillId="0" borderId="65" applyNumberFormat="0" applyFill="0" applyAlignment="0" applyProtection="0"/>
    <xf numFmtId="0" fontId="5" fillId="0" borderId="0"/>
    <xf numFmtId="197" fontId="82" fillId="0" borderId="0" applyFont="0" applyFill="0" applyBorder="0" applyAlignment="0" applyProtection="0"/>
    <xf numFmtId="187" fontId="7" fillId="0" borderId="0" applyFont="0" applyFill="0" applyBorder="0" applyAlignment="0" applyProtection="0"/>
    <xf numFmtId="179" fontId="5" fillId="0" borderId="0" applyFont="0" applyFill="0" applyBorder="0" applyAlignment="0" applyProtection="0"/>
    <xf numFmtId="198" fontId="5" fillId="0" borderId="0" applyFont="0" applyFill="0" applyBorder="0" applyAlignment="0" applyProtection="0"/>
    <xf numFmtId="199" fontId="5" fillId="0" borderId="0" applyFont="0" applyFill="0" applyBorder="0" applyAlignment="0" applyProtection="0"/>
    <xf numFmtId="20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187" fontId="82" fillId="0" borderId="0" applyFont="0" applyFill="0" applyBorder="0" applyAlignment="0" applyProtection="0"/>
    <xf numFmtId="195" fontId="82" fillId="0" borderId="0" applyFont="0" applyFill="0" applyBorder="0" applyAlignment="0" applyProtection="0"/>
    <xf numFmtId="0" fontId="77" fillId="0" borderId="8" applyNumberFormat="0" applyFill="0">
      <alignment vertical="center"/>
    </xf>
    <xf numFmtId="0" fontId="83" fillId="44" borderId="0" applyNumberFormat="0" applyBorder="0" applyAlignment="0" applyProtection="0"/>
    <xf numFmtId="37" fontId="84" fillId="0" borderId="0"/>
    <xf numFmtId="201" fontId="52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5" fillId="0" borderId="0"/>
    <xf numFmtId="0" fontId="7" fillId="0" borderId="0" applyFill="0"/>
    <xf numFmtId="0" fontId="7" fillId="41" borderId="66" applyNumberFormat="0" applyFont="0" applyAlignment="0" applyProtection="0"/>
    <xf numFmtId="0" fontId="56" fillId="0" borderId="0" applyFont="0" applyFill="0" applyBorder="0" applyAlignment="0" applyProtection="0"/>
    <xf numFmtId="0" fontId="86" fillId="39" borderId="67" applyNumberFormat="0" applyAlignment="0" applyProtection="0"/>
    <xf numFmtId="0" fontId="7" fillId="0" borderId="0">
      <protection locked="0"/>
    </xf>
    <xf numFmtId="10" fontId="5" fillId="0" borderId="0" applyFont="0" applyFill="0" applyBorder="0" applyAlignment="0" applyProtection="0"/>
    <xf numFmtId="202" fontId="87" fillId="0" borderId="0">
      <protection locked="0"/>
    </xf>
    <xf numFmtId="0" fontId="88" fillId="0" borderId="0" applyNumberFormat="0" applyFill="0" applyBorder="0" applyAlignment="0" applyProtection="0"/>
    <xf numFmtId="3" fontId="89" fillId="0" borderId="8" applyNumberFormat="0" applyFont="0"/>
    <xf numFmtId="179" fontId="5" fillId="0" borderId="0" applyFont="0" applyFill="0" applyBorder="0" applyAlignment="0" applyProtection="0"/>
    <xf numFmtId="198" fontId="5" fillId="0" borderId="0" applyFont="0" applyFill="0" applyBorder="0" applyAlignment="0" applyProtection="0"/>
    <xf numFmtId="195" fontId="56" fillId="0" borderId="0" applyFill="0" applyBorder="0" applyAlignment="0" applyProtection="0"/>
    <xf numFmtId="3" fontId="71" fillId="0" borderId="0"/>
    <xf numFmtId="0" fontId="5" fillId="0" borderId="0"/>
    <xf numFmtId="0" fontId="5" fillId="0" borderId="0"/>
    <xf numFmtId="3" fontId="90" fillId="0" borderId="0" applyNumberFormat="0"/>
    <xf numFmtId="0" fontId="91" fillId="62" borderId="0" applyNumberFormat="0" applyBorder="0" applyAlignment="0"/>
    <xf numFmtId="0" fontId="92" fillId="0" borderId="0" applyNumberFormat="0" applyFill="0" applyBorder="0" applyAlignment="0" applyProtection="0"/>
    <xf numFmtId="3" fontId="93" fillId="0" borderId="0"/>
    <xf numFmtId="0" fontId="94" fillId="0" borderId="0" applyNumberFormat="0" applyFill="0" applyBorder="0" applyAlignment="0" applyProtection="0"/>
    <xf numFmtId="0" fontId="90" fillId="0" borderId="61">
      <alignment horizontal="right" wrapText="1"/>
    </xf>
    <xf numFmtId="0" fontId="86" fillId="0" borderId="68" applyNumberFormat="0" applyFill="0" applyAlignment="0" applyProtection="0"/>
    <xf numFmtId="3" fontId="90" fillId="0" borderId="69" applyNumberFormat="0"/>
    <xf numFmtId="0" fontId="95" fillId="0" borderId="70" applyNumberFormat="0" applyFill="0" applyAlignment="0" applyProtection="0"/>
    <xf numFmtId="0" fontId="96" fillId="0" borderId="71" applyNumberFormat="0" applyAlignment="0"/>
    <xf numFmtId="203" fontId="5" fillId="0" borderId="0" applyFont="0" applyFill="0" applyBorder="0" applyAlignment="0" applyProtection="0"/>
    <xf numFmtId="204" fontId="5" fillId="0" borderId="0" applyFont="0" applyFill="0" applyBorder="0" applyAlignment="0" applyProtection="0"/>
    <xf numFmtId="0" fontId="97" fillId="0" borderId="0" applyNumberFormat="0" applyFill="0" applyBorder="0" applyAlignment="0" applyProtection="0"/>
    <xf numFmtId="205" fontId="56" fillId="0" borderId="0" applyFont="0" applyFill="0" applyBorder="0" applyAlignment="0" applyProtection="0"/>
    <xf numFmtId="0" fontId="98" fillId="0" borderId="0"/>
    <xf numFmtId="0" fontId="34" fillId="0" borderId="0" applyFont="0" applyFill="0" applyBorder="0" applyAlignment="0" applyProtection="0"/>
    <xf numFmtId="40" fontId="40" fillId="0" borderId="0" applyFont="0" applyFill="0" applyBorder="0" applyAlignment="0" applyProtection="0"/>
    <xf numFmtId="0" fontId="48" fillId="46" borderId="0" applyNumberFormat="0" applyBorder="0" applyAlignment="0" applyProtection="0">
      <alignment vertical="center"/>
    </xf>
    <xf numFmtId="0" fontId="48" fillId="48" borderId="0" applyNumberFormat="0" applyBorder="0" applyAlignment="0" applyProtection="0">
      <alignment vertical="center"/>
    </xf>
    <xf numFmtId="0" fontId="48" fillId="49" borderId="0" applyNumberFormat="0" applyBorder="0" applyAlignment="0" applyProtection="0">
      <alignment vertical="center"/>
    </xf>
    <xf numFmtId="0" fontId="48" fillId="50" borderId="0" applyNumberFormat="0" applyBorder="0" applyAlignment="0" applyProtection="0">
      <alignment vertical="center"/>
    </xf>
    <xf numFmtId="0" fontId="48" fillId="46" borderId="0" applyNumberFormat="0" applyBorder="0" applyAlignment="0" applyProtection="0">
      <alignment vertical="center"/>
    </xf>
    <xf numFmtId="0" fontId="48" fillId="51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99" fillId="47" borderId="58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2" fillId="39" borderId="57" applyNumberFormat="0" applyAlignment="0" applyProtection="0">
      <alignment vertical="center"/>
    </xf>
    <xf numFmtId="0" fontId="24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0" fontId="103" fillId="12" borderId="50" applyNumberFormat="0" applyAlignment="0" applyProtection="0">
      <alignment vertical="center"/>
    </xf>
    <xf numFmtId="206" fontId="65" fillId="0" borderId="0">
      <protection locked="0"/>
    </xf>
    <xf numFmtId="0" fontId="65" fillId="0" borderId="0">
      <protection locked="0"/>
    </xf>
    <xf numFmtId="0" fontId="65" fillId="0" borderId="0">
      <protection locked="0"/>
    </xf>
    <xf numFmtId="0" fontId="104" fillId="44" borderId="0" applyNumberFormat="0" applyBorder="0" applyAlignment="0" applyProtection="0">
      <alignment vertical="center"/>
    </xf>
    <xf numFmtId="207" fontId="5" fillId="0" borderId="8">
      <alignment horizontal="right" vertical="center" shrinkToFit="1"/>
    </xf>
    <xf numFmtId="0" fontId="20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65" fillId="0" borderId="0">
      <protection locked="0"/>
    </xf>
    <xf numFmtId="0" fontId="65" fillId="0" borderId="0">
      <protection locked="0"/>
    </xf>
    <xf numFmtId="0" fontId="106" fillId="0" borderId="0" applyNumberFormat="0" applyFill="0" applyBorder="0" applyAlignment="0" applyProtection="0">
      <alignment vertical="top"/>
      <protection locked="0"/>
    </xf>
    <xf numFmtId="40" fontId="107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108" fillId="0" borderId="65" applyNumberFormat="0" applyFill="0" applyAlignment="0" applyProtection="0">
      <alignment vertical="center"/>
    </xf>
    <xf numFmtId="0" fontId="1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1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7" fillId="14" borderId="54" applyNumberFormat="0" applyFont="0" applyAlignment="0" applyProtection="0">
      <alignment vertical="center"/>
    </xf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5" fillId="0" borderId="0"/>
    <xf numFmtId="0" fontId="112" fillId="0" borderId="0"/>
    <xf numFmtId="0" fontId="5" fillId="0" borderId="0"/>
    <xf numFmtId="0" fontId="67" fillId="0" borderId="0">
      <alignment vertical="center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26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4" fillId="13" borderId="53" applyNumberFormat="0" applyAlignment="0" applyProtection="0">
      <alignment vertical="center"/>
    </xf>
    <xf numFmtId="0" fontId="115" fillId="40" borderId="57" applyNumberFormat="0" applyAlignment="0" applyProtection="0">
      <alignment vertical="center"/>
    </xf>
    <xf numFmtId="0" fontId="116" fillId="39" borderId="67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1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/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42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5" fillId="0" borderId="0"/>
    <xf numFmtId="208" fontId="34" fillId="0" borderId="0" applyFont="0" applyFill="0" applyBorder="0" applyAlignment="0" applyProtection="0"/>
    <xf numFmtId="208" fontId="34" fillId="0" borderId="0" applyFont="0" applyFill="0" applyBorder="0" applyAlignment="0" applyProtection="0"/>
    <xf numFmtId="209" fontId="34" fillId="0" borderId="0" applyFont="0" applyFill="0" applyBorder="0" applyAlignment="0" applyProtection="0"/>
    <xf numFmtId="209" fontId="34" fillId="0" borderId="0" applyFont="0" applyFill="0" applyBorder="0" applyAlignment="0" applyProtection="0"/>
    <xf numFmtId="177" fontId="7" fillId="0" borderId="0" applyFont="0" applyFill="0" applyBorder="0" applyAlignment="0" applyProtection="0"/>
    <xf numFmtId="38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34" fillId="0" borderId="0" applyFont="0" applyFill="0" applyBorder="0" applyAlignment="0" applyProtection="0"/>
    <xf numFmtId="177" fontId="7" fillId="0" borderId="0" applyFont="0" applyFill="0" applyBorder="0" applyAlignment="0" applyProtection="0"/>
    <xf numFmtId="210" fontId="56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34" fillId="0" borderId="0" applyFont="0" applyFill="0" applyBorder="0" applyAlignment="0" applyProtection="0"/>
    <xf numFmtId="211" fontId="34" fillId="0" borderId="0" applyFont="0" applyFill="0" applyBorder="0" applyAlignment="0" applyProtection="0"/>
    <xf numFmtId="211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10" fontId="56" fillId="0" borderId="0" applyFont="0" applyFill="0" applyBorder="0" applyAlignment="0" applyProtection="0"/>
    <xf numFmtId="177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09" fontId="34" fillId="0" borderId="0" applyFont="0" applyFill="0" applyBorder="0" applyAlignment="0" applyProtection="0"/>
    <xf numFmtId="209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11" fontId="34" fillId="0" borderId="0" applyFont="0" applyFill="0" applyBorder="0" applyAlignment="0" applyProtection="0"/>
    <xf numFmtId="210" fontId="56" fillId="0" borderId="0" applyFont="0" applyFill="0" applyBorder="0" applyAlignment="0" applyProtection="0"/>
    <xf numFmtId="211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12" fontId="34" fillId="0" borderId="0" applyFont="0" applyFill="0" applyBorder="0" applyAlignment="0" applyProtection="0"/>
    <xf numFmtId="212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11" fontId="34" fillId="0" borderId="0" applyFont="0" applyFill="0" applyBorder="0" applyAlignment="0" applyProtection="0"/>
    <xf numFmtId="211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38" fontId="7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25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118" fillId="0" borderId="52" applyNumberFormat="0" applyFill="0" applyAlignment="0" applyProtection="0">
      <alignment vertical="center"/>
    </xf>
    <xf numFmtId="0" fontId="2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119" fillId="0" borderId="55" applyNumberFormat="0" applyFill="0" applyAlignment="0" applyProtection="0">
      <alignment vertical="center"/>
    </xf>
    <xf numFmtId="0" fontId="5" fillId="0" borderId="0"/>
    <xf numFmtId="0" fontId="22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0" fontId="120" fillId="11" borderId="50" applyNumberFormat="0" applyAlignment="0" applyProtection="0">
      <alignment vertical="center"/>
    </xf>
    <xf numFmtId="4" fontId="65" fillId="0" borderId="0">
      <protection locked="0"/>
    </xf>
    <xf numFmtId="213" fontId="65" fillId="0" borderId="0">
      <protection locked="0"/>
    </xf>
    <xf numFmtId="0" fontId="16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7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8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23" fillId="0" borderId="49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7" fillId="41" borderId="66" applyNumberFormat="0" applyFont="0" applyAlignment="0" applyProtection="0">
      <alignment vertical="center"/>
    </xf>
    <xf numFmtId="0" fontId="35" fillId="0" borderId="0"/>
    <xf numFmtId="0" fontId="125" fillId="52" borderId="0" applyNumberFormat="0" applyBorder="0" applyAlignment="0" applyProtection="0">
      <alignment vertical="center"/>
    </xf>
    <xf numFmtId="0" fontId="125" fillId="52" borderId="0" applyNumberFormat="0" applyBorder="0" applyAlignment="0" applyProtection="0">
      <alignment vertical="center"/>
    </xf>
    <xf numFmtId="214" fontId="5" fillId="0" borderId="0" applyFont="0" applyFill="0" applyBorder="0" applyAlignment="0" applyProtection="0"/>
    <xf numFmtId="215" fontId="5" fillId="0" borderId="0" applyFont="0" applyFill="0" applyBorder="0" applyAlignment="0" applyProtection="0"/>
    <xf numFmtId="179" fontId="5" fillId="0" borderId="0" applyFont="0" applyFill="0" applyBorder="0" applyAlignment="0" applyProtection="0"/>
    <xf numFmtId="198" fontId="5" fillId="0" borderId="0" applyFont="0" applyFill="0" applyBorder="0" applyAlignment="0" applyProtection="0"/>
    <xf numFmtId="216" fontId="7" fillId="0" borderId="0" applyFont="0" applyFill="0" applyBorder="0" applyAlignment="0" applyProtection="0"/>
    <xf numFmtId="217" fontId="42" fillId="0" borderId="0" applyFont="0" applyFill="0" applyBorder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23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126" fillId="12" borderId="51" applyNumberFormat="0" applyAlignment="0" applyProtection="0">
      <alignment vertical="center"/>
    </xf>
    <xf numFmtId="0" fontId="35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127" fillId="0" borderId="59" applyNumberFormat="0" applyFont="0" applyFill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9" fontId="35" fillId="0" borderId="0"/>
    <xf numFmtId="44" fontId="1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0" fontId="128" fillId="0" borderId="0"/>
    <xf numFmtId="220" fontId="65" fillId="0" borderId="0">
      <protection locked="0"/>
    </xf>
    <xf numFmtId="0" fontId="129" fillId="0" borderId="0" applyNumberFormat="0" applyFill="0" applyBorder="0" applyAlignment="0" applyProtection="0">
      <alignment vertical="center"/>
    </xf>
    <xf numFmtId="0" fontId="130" fillId="0" borderId="62" applyNumberFormat="0" applyFill="0" applyAlignment="0" applyProtection="0">
      <alignment vertical="center"/>
    </xf>
    <xf numFmtId="0" fontId="131" fillId="0" borderId="62" applyNumberFormat="0" applyFill="0" applyAlignment="0" applyProtection="0">
      <alignment vertical="center"/>
    </xf>
    <xf numFmtId="0" fontId="132" fillId="0" borderId="63" applyNumberFormat="0" applyFill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10" fillId="0" borderId="0">
      <alignment vertical="center"/>
    </xf>
    <xf numFmtId="0" fontId="77" fillId="0" borderId="0">
      <alignment vertical="center"/>
    </xf>
    <xf numFmtId="0" fontId="133" fillId="0" borderId="0"/>
    <xf numFmtId="0" fontId="7" fillId="0" borderId="0">
      <alignment vertical="center"/>
    </xf>
    <xf numFmtId="0" fontId="1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7" fillId="0" borderId="0">
      <alignment vertical="center"/>
    </xf>
    <xf numFmtId="0" fontId="1" fillId="0" borderId="0">
      <alignment vertical="center"/>
    </xf>
    <xf numFmtId="0" fontId="133" fillId="0" borderId="0">
      <alignment vertical="center"/>
    </xf>
    <xf numFmtId="0" fontId="9" fillId="0" borderId="0">
      <alignment vertical="center"/>
    </xf>
    <xf numFmtId="0" fontId="7" fillId="0" borderId="0">
      <alignment vertical="center"/>
    </xf>
    <xf numFmtId="0" fontId="7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35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3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0" fillId="0" borderId="0">
      <alignment vertical="center"/>
    </xf>
    <xf numFmtId="0" fontId="7" fillId="0" borderId="0">
      <alignment vertical="center"/>
    </xf>
    <xf numFmtId="0" fontId="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8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42" fillId="0" borderId="0">
      <alignment vertical="center"/>
    </xf>
    <xf numFmtId="0" fontId="1" fillId="0" borderId="0">
      <alignment vertical="center"/>
    </xf>
    <xf numFmtId="0" fontId="13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7" fillId="0" borderId="0">
      <alignment vertical="center"/>
    </xf>
    <xf numFmtId="0" fontId="1" fillId="0" borderId="0">
      <alignment vertical="center"/>
    </xf>
    <xf numFmtId="0" fontId="139" fillId="0" borderId="0">
      <alignment vertical="center"/>
    </xf>
    <xf numFmtId="0" fontId="7" fillId="0" borderId="0">
      <alignment vertical="center"/>
    </xf>
    <xf numFmtId="0" fontId="7" fillId="0" borderId="0"/>
    <xf numFmtId="0" fontId="65" fillId="0" borderId="72">
      <protection locked="0"/>
    </xf>
    <xf numFmtId="0" fontId="140" fillId="0" borderId="0" applyNumberFormat="0" applyFill="0" applyBorder="0" applyAlignment="0" applyProtection="0">
      <alignment vertical="center"/>
    </xf>
    <xf numFmtId="0" fontId="141" fillId="56" borderId="0" applyNumberFormat="0" applyBorder="0" applyAlignment="0" applyProtection="0">
      <alignment vertical="center"/>
    </xf>
    <xf numFmtId="0" fontId="141" fillId="56" borderId="0" applyNumberFormat="0" applyBorder="0" applyAlignment="0" applyProtection="0">
      <alignment vertical="center"/>
    </xf>
    <xf numFmtId="221" fontId="5" fillId="0" borderId="0" applyFont="0" applyFill="0" applyBorder="0" applyAlignment="0" applyProtection="0"/>
    <xf numFmtId="222" fontId="5" fillId="0" borderId="0" applyFont="0" applyFill="0" applyBorder="0" applyAlignment="0" applyProtection="0"/>
    <xf numFmtId="223" fontId="65" fillId="0" borderId="0">
      <protection locked="0"/>
    </xf>
    <xf numFmtId="224" fontId="65" fillId="0" borderId="0">
      <protection locked="0"/>
    </xf>
    <xf numFmtId="0" fontId="106" fillId="0" borderId="0" applyNumberFormat="0" applyFill="0" applyBorder="0" applyAlignment="0" applyProtection="0">
      <alignment vertical="top"/>
      <protection locked="0"/>
    </xf>
    <xf numFmtId="0" fontId="116" fillId="0" borderId="68" applyNumberFormat="0" applyFill="0" applyAlignment="0" applyProtection="0">
      <alignment vertical="center"/>
    </xf>
  </cellStyleXfs>
  <cellXfs count="35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1" xfId="0" pivotButton="1" applyBorder="1">
      <alignment vertical="center"/>
    </xf>
    <xf numFmtId="0" fontId="0" fillId="0" borderId="6" xfId="0" applyBorder="1">
      <alignment vertical="center"/>
    </xf>
    <xf numFmtId="0" fontId="0" fillId="0" borderId="1" xfId="0" applyNumberFormat="1" applyBorder="1">
      <alignment vertical="center"/>
    </xf>
    <xf numFmtId="0" fontId="0" fillId="0" borderId="6" xfId="0" applyNumberFormat="1" applyBorder="1">
      <alignment vertical="center"/>
    </xf>
    <xf numFmtId="0" fontId="4" fillId="0" borderId="0" xfId="0" applyFont="1">
      <alignment vertical="center"/>
    </xf>
    <xf numFmtId="0" fontId="0" fillId="0" borderId="7" xfId="0" applyBorder="1">
      <alignment vertical="center"/>
    </xf>
    <xf numFmtId="0" fontId="0" fillId="0" borderId="7" xfId="0" applyNumberFormat="1" applyBorder="1">
      <alignment vertical="center"/>
    </xf>
    <xf numFmtId="0" fontId="0" fillId="0" borderId="0" xfId="0" applyNumberFormat="1">
      <alignment vertical="center"/>
    </xf>
    <xf numFmtId="0" fontId="0" fillId="0" borderId="8" xfId="0" applyBorder="1">
      <alignment vertical="center"/>
    </xf>
    <xf numFmtId="0" fontId="0" fillId="0" borderId="8" xfId="0" applyBorder="1" applyAlignment="1">
      <alignment horizontal="left" vertical="center"/>
    </xf>
    <xf numFmtId="0" fontId="0" fillId="2" borderId="8" xfId="0" applyFill="1" applyBorder="1">
      <alignment vertical="center"/>
    </xf>
    <xf numFmtId="0" fontId="0" fillId="0" borderId="8" xfId="0" quotePrefix="1" applyBorder="1" applyAlignment="1">
      <alignment horizontal="left" vertical="center"/>
    </xf>
    <xf numFmtId="41" fontId="5" fillId="0" borderId="0" xfId="1" applyFont="1" applyAlignment="1">
      <alignment vertical="center" shrinkToFit="1"/>
    </xf>
    <xf numFmtId="0" fontId="0" fillId="0" borderId="8" xfId="0" applyFill="1" applyBorder="1">
      <alignment vertical="center"/>
    </xf>
    <xf numFmtId="0" fontId="0" fillId="0" borderId="8" xfId="0" applyFill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3" borderId="8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5" borderId="8" xfId="0" applyFill="1" applyBorder="1">
      <alignment vertical="center"/>
    </xf>
    <xf numFmtId="176" fontId="0" fillId="0" borderId="21" xfId="1" applyNumberFormat="1" applyFont="1" applyBorder="1" applyAlignment="1">
      <alignment vertical="center" shrinkToFit="1"/>
    </xf>
    <xf numFmtId="176" fontId="0" fillId="0" borderId="9" xfId="1" applyNumberFormat="1" applyFont="1" applyBorder="1" applyAlignment="1">
      <alignment vertical="center" shrinkToFit="1"/>
    </xf>
    <xf numFmtId="176" fontId="0" fillId="0" borderId="22" xfId="1" applyNumberFormat="1" applyFont="1" applyBorder="1" applyAlignment="1">
      <alignment vertical="center" shrinkToFit="1"/>
    </xf>
    <xf numFmtId="176" fontId="0" fillId="0" borderId="0" xfId="1" applyNumberFormat="1" applyFont="1" applyAlignment="1">
      <alignment vertical="center" shrinkToFit="1"/>
    </xf>
    <xf numFmtId="0" fontId="4" fillId="6" borderId="0" xfId="0" applyFont="1" applyFill="1">
      <alignment vertical="center"/>
    </xf>
    <xf numFmtId="0" fontId="0" fillId="6" borderId="0" xfId="0" applyFill="1">
      <alignment vertical="center"/>
    </xf>
    <xf numFmtId="0" fontId="0" fillId="2" borderId="9" xfId="0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9" xfId="0" applyFont="1" applyFill="1" applyBorder="1" applyAlignment="1">
      <alignment horizontal="center" vertical="center"/>
    </xf>
    <xf numFmtId="0" fontId="0" fillId="0" borderId="23" xfId="0" applyFill="1" applyBorder="1">
      <alignment vertical="center"/>
    </xf>
    <xf numFmtId="0" fontId="0" fillId="4" borderId="8" xfId="0" applyFill="1" applyBorder="1">
      <alignment vertical="center"/>
    </xf>
    <xf numFmtId="0" fontId="0" fillId="0" borderId="24" xfId="0" applyBorder="1">
      <alignment vertical="center"/>
    </xf>
    <xf numFmtId="0" fontId="0" fillId="0" borderId="29" xfId="0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4" borderId="25" xfId="0" applyFill="1" applyBorder="1">
      <alignment vertical="center"/>
    </xf>
    <xf numFmtId="0" fontId="0" fillId="4" borderId="33" xfId="0" applyFill="1" applyBorder="1">
      <alignment vertical="center"/>
    </xf>
    <xf numFmtId="0" fontId="0" fillId="4" borderId="34" xfId="0" applyFill="1" applyBorder="1">
      <alignment vertical="center"/>
    </xf>
    <xf numFmtId="0" fontId="0" fillId="7" borderId="25" xfId="0" applyFill="1" applyBorder="1">
      <alignment vertical="center"/>
    </xf>
    <xf numFmtId="0" fontId="0" fillId="7" borderId="29" xfId="0" applyFill="1" applyBorder="1">
      <alignment vertical="center"/>
    </xf>
    <xf numFmtId="14" fontId="0" fillId="0" borderId="24" xfId="0" applyNumberFormat="1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177" fontId="0" fillId="0" borderId="9" xfId="1" applyNumberFormat="1" applyFont="1" applyBorder="1" applyAlignment="1">
      <alignment vertical="center" shrinkToFit="1"/>
    </xf>
    <xf numFmtId="9" fontId="0" fillId="0" borderId="9" xfId="2" applyFont="1" applyBorder="1" applyAlignment="1">
      <alignment vertical="center" shrinkToFit="1"/>
    </xf>
    <xf numFmtId="0" fontId="0" fillId="0" borderId="9" xfId="2" applyNumberFormat="1" applyFont="1" applyBorder="1" applyAlignment="1">
      <alignment vertical="center" shrinkToFit="1"/>
    </xf>
    <xf numFmtId="0" fontId="8" fillId="0" borderId="0" xfId="3" applyFont="1">
      <alignment vertical="center"/>
    </xf>
    <xf numFmtId="0" fontId="9" fillId="0" borderId="0" xfId="3" applyFont="1">
      <alignment vertical="center"/>
    </xf>
    <xf numFmtId="0" fontId="12" fillId="0" borderId="0" xfId="3" applyFont="1">
      <alignment vertical="center"/>
    </xf>
    <xf numFmtId="0" fontId="13" fillId="0" borderId="0" xfId="3" applyFont="1" applyAlignment="1"/>
    <xf numFmtId="0" fontId="13" fillId="0" borderId="0" xfId="3" applyFont="1" applyAlignment="1">
      <alignment vertical="top"/>
    </xf>
    <xf numFmtId="0" fontId="10" fillId="0" borderId="0" xfId="3" applyFont="1" applyAlignment="1">
      <alignment vertical="top"/>
    </xf>
    <xf numFmtId="0" fontId="9" fillId="0" borderId="0" xfId="3" applyFont="1" applyAlignment="1"/>
    <xf numFmtId="0" fontId="12" fillId="0" borderId="0" xfId="3" applyFont="1" applyAlignment="1"/>
    <xf numFmtId="0" fontId="9" fillId="0" borderId="0" xfId="3" applyFont="1" applyAlignment="1">
      <alignment vertical="top"/>
    </xf>
    <xf numFmtId="0" fontId="14" fillId="0" borderId="0" xfId="3" applyFont="1" applyAlignment="1">
      <alignment vertical="top"/>
    </xf>
    <xf numFmtId="0" fontId="10" fillId="0" borderId="0" xfId="3" applyFont="1" applyAlignment="1"/>
    <xf numFmtId="0" fontId="10" fillId="0" borderId="0" xfId="3" applyFont="1" applyAlignment="1">
      <alignment vertical="center"/>
    </xf>
    <xf numFmtId="0" fontId="9" fillId="0" borderId="0" xfId="3" applyFont="1" applyFill="1">
      <alignment vertical="center"/>
    </xf>
    <xf numFmtId="0" fontId="10" fillId="0" borderId="0" xfId="3" applyFont="1" applyFill="1" applyAlignment="1">
      <alignment vertical="center"/>
    </xf>
    <xf numFmtId="0" fontId="0" fillId="0" borderId="43" xfId="0" applyBorder="1">
      <alignment vertical="center"/>
    </xf>
    <xf numFmtId="0" fontId="0" fillId="0" borderId="44" xfId="0" applyBorder="1">
      <alignment vertical="center"/>
    </xf>
    <xf numFmtId="0" fontId="0" fillId="0" borderId="42" xfId="0" applyBorder="1">
      <alignment vertical="center"/>
    </xf>
    <xf numFmtId="0" fontId="0" fillId="0" borderId="43" xfId="0" applyNumberFormat="1" applyBorder="1">
      <alignment vertical="center"/>
    </xf>
    <xf numFmtId="0" fontId="0" fillId="0" borderId="45" xfId="0" applyNumberFormat="1" applyBorder="1">
      <alignment vertical="center"/>
    </xf>
    <xf numFmtId="0" fontId="0" fillId="0" borderId="2" xfId="0" applyNumberFormat="1" applyBorder="1">
      <alignment vertical="center"/>
    </xf>
    <xf numFmtId="0" fontId="0" fillId="0" borderId="42" xfId="0" applyNumberFormat="1" applyBorder="1">
      <alignment vertical="center"/>
    </xf>
    <xf numFmtId="0" fontId="0" fillId="0" borderId="46" xfId="0" applyNumberFormat="1" applyBorder="1">
      <alignment vertical="center"/>
    </xf>
    <xf numFmtId="0" fontId="33" fillId="0" borderId="0" xfId="3" applyFont="1" applyBorder="1" applyAlignment="1">
      <alignment horizontal="left" vertical="center"/>
    </xf>
    <xf numFmtId="0" fontId="32" fillId="0" borderId="0" xfId="3" applyFont="1" applyBorder="1">
      <alignment vertical="center"/>
    </xf>
    <xf numFmtId="0" fontId="9" fillId="0" borderId="0" xfId="3" applyFont="1" applyAlignment="1">
      <alignment vertical="center"/>
    </xf>
    <xf numFmtId="0" fontId="8" fillId="0" borderId="0" xfId="3" applyFont="1" applyBorder="1">
      <alignment vertical="center"/>
    </xf>
    <xf numFmtId="0" fontId="9" fillId="0" borderId="0" xfId="3" applyFont="1" applyBorder="1">
      <alignment vertical="center"/>
    </xf>
    <xf numFmtId="0" fontId="10" fillId="0" borderId="0" xfId="3" applyFont="1" applyBorder="1" applyAlignment="1">
      <alignment horizontal="right" vertical="center"/>
    </xf>
    <xf numFmtId="0" fontId="12" fillId="63" borderId="0" xfId="3" applyFont="1" applyFill="1">
      <alignment vertical="center"/>
    </xf>
    <xf numFmtId="0" fontId="8" fillId="63" borderId="0" xfId="3" applyFont="1" applyFill="1">
      <alignment vertical="center"/>
    </xf>
    <xf numFmtId="0" fontId="9" fillId="0" borderId="56" xfId="3" applyFont="1" applyBorder="1">
      <alignment vertical="center"/>
    </xf>
    <xf numFmtId="0" fontId="142" fillId="64" borderId="0" xfId="0" applyFont="1" applyFill="1">
      <alignment vertical="center"/>
    </xf>
    <xf numFmtId="0" fontId="143" fillId="2" borderId="8" xfId="0" applyFont="1" applyFill="1" applyBorder="1">
      <alignment vertical="center"/>
    </xf>
    <xf numFmtId="0" fontId="143" fillId="0" borderId="8" xfId="0" applyFont="1" applyBorder="1">
      <alignment vertical="center"/>
    </xf>
    <xf numFmtId="0" fontId="0" fillId="2" borderId="0" xfId="0" applyFill="1">
      <alignment vertical="center"/>
    </xf>
    <xf numFmtId="0" fontId="0" fillId="0" borderId="8" xfId="0" quotePrefix="1" applyNumberFormat="1" applyFont="1" applyFill="1" applyBorder="1" applyProtection="1">
      <alignment vertical="center"/>
      <protection locked="0"/>
    </xf>
    <xf numFmtId="0" fontId="0" fillId="63" borderId="8" xfId="0" quotePrefix="1" applyNumberFormat="1" applyFont="1" applyFill="1" applyBorder="1" applyProtection="1">
      <alignment vertical="center"/>
      <protection locked="0"/>
    </xf>
    <xf numFmtId="0" fontId="0" fillId="0" borderId="8" xfId="0" quotePrefix="1" applyBorder="1">
      <alignment vertical="center"/>
    </xf>
    <xf numFmtId="225" fontId="0" fillId="65" borderId="8" xfId="0" quotePrefix="1" applyNumberFormat="1" applyFill="1" applyBorder="1" applyAlignment="1">
      <alignment horizontal="right" vertical="center"/>
    </xf>
    <xf numFmtId="0" fontId="144" fillId="64" borderId="0" xfId="0" applyFont="1" applyFill="1">
      <alignment vertical="center"/>
    </xf>
    <xf numFmtId="0" fontId="32" fillId="0" borderId="39" xfId="6" applyFont="1" applyBorder="1" applyAlignment="1">
      <alignment horizontal="center" vertical="center"/>
    </xf>
    <xf numFmtId="0" fontId="145" fillId="0" borderId="39" xfId="14492" applyFont="1" applyBorder="1">
      <alignment vertical="center"/>
    </xf>
    <xf numFmtId="0" fontId="146" fillId="0" borderId="39" xfId="14492" applyFont="1" applyBorder="1">
      <alignment vertical="center"/>
    </xf>
    <xf numFmtId="0" fontId="10" fillId="0" borderId="39" xfId="14492" applyFont="1" applyBorder="1" applyAlignment="1">
      <alignment horizontal="right" vertical="center"/>
    </xf>
    <xf numFmtId="0" fontId="145" fillId="0" borderId="0" xfId="14492" applyFont="1">
      <alignment vertical="center"/>
    </xf>
    <xf numFmtId="226" fontId="145" fillId="0" borderId="0" xfId="14492" applyNumberFormat="1" applyFont="1">
      <alignment vertical="center"/>
    </xf>
    <xf numFmtId="0" fontId="146" fillId="0" borderId="0" xfId="14492" applyFont="1" applyAlignment="1">
      <alignment horizontal="center" vertical="center"/>
    </xf>
    <xf numFmtId="0" fontId="146" fillId="0" borderId="0" xfId="14492" applyFont="1">
      <alignment vertical="center"/>
    </xf>
    <xf numFmtId="0" fontId="8" fillId="0" borderId="0" xfId="14492" applyFont="1" applyBorder="1">
      <alignment vertical="center"/>
    </xf>
    <xf numFmtId="0" fontId="147" fillId="0" borderId="0" xfId="14492" quotePrefix="1" applyFont="1" applyBorder="1" applyAlignment="1">
      <alignment horizontal="right" vertical="center"/>
    </xf>
    <xf numFmtId="0" fontId="147" fillId="0" borderId="0" xfId="14492" applyFont="1" applyBorder="1" applyAlignment="1">
      <alignment horizontal="right" vertical="center"/>
    </xf>
    <xf numFmtId="0" fontId="8" fillId="0" borderId="73" xfId="14492" applyFont="1" applyBorder="1">
      <alignment vertical="center"/>
    </xf>
    <xf numFmtId="0" fontId="147" fillId="0" borderId="73" xfId="14492" applyFont="1" applyBorder="1" applyAlignment="1">
      <alignment horizontal="right" vertical="center"/>
    </xf>
    <xf numFmtId="227" fontId="147" fillId="0" borderId="73" xfId="14492" applyNumberFormat="1" applyFont="1" applyBorder="1" applyAlignment="1">
      <alignment horizontal="right" vertical="center"/>
    </xf>
    <xf numFmtId="0" fontId="145" fillId="0" borderId="0" xfId="14492" applyFont="1" applyBorder="1">
      <alignment vertical="center"/>
    </xf>
    <xf numFmtId="0" fontId="146" fillId="0" borderId="0" xfId="14492" applyFont="1" applyBorder="1">
      <alignment vertical="center"/>
    </xf>
    <xf numFmtId="0" fontId="148" fillId="0" borderId="0" xfId="14492" applyFont="1" applyBorder="1" applyAlignment="1">
      <alignment horizontal="right" vertical="center"/>
    </xf>
    <xf numFmtId="227" fontId="148" fillId="0" borderId="0" xfId="14492" applyNumberFormat="1" applyFont="1" applyBorder="1" applyAlignment="1">
      <alignment horizontal="right" vertical="center"/>
    </xf>
    <xf numFmtId="227" fontId="149" fillId="0" borderId="0" xfId="14492" applyNumberFormat="1" applyFont="1" applyBorder="1" applyAlignment="1">
      <alignment horizontal="right" vertical="center"/>
    </xf>
    <xf numFmtId="0" fontId="151" fillId="0" borderId="0" xfId="14492" applyFont="1" applyBorder="1">
      <alignment vertical="center"/>
    </xf>
    <xf numFmtId="228" fontId="152" fillId="0" borderId="0" xfId="14492" applyNumberFormat="1" applyFont="1" applyBorder="1" applyAlignment="1">
      <alignment horizontal="right" vertical="center" shrinkToFit="1"/>
    </xf>
    <xf numFmtId="176" fontId="152" fillId="0" borderId="0" xfId="14492" applyNumberFormat="1" applyFont="1" applyBorder="1" applyAlignment="1">
      <alignment horizontal="right" vertical="center" shrinkToFit="1"/>
    </xf>
    <xf numFmtId="0" fontId="151" fillId="0" borderId="0" xfId="14492" applyFont="1">
      <alignment vertical="center"/>
    </xf>
    <xf numFmtId="0" fontId="151" fillId="0" borderId="0" xfId="14492" applyFont="1" applyAlignment="1">
      <alignment horizontal="center" vertical="center"/>
    </xf>
    <xf numFmtId="0" fontId="12" fillId="0" borderId="0" xfId="14492" applyFont="1" applyBorder="1">
      <alignment vertical="center"/>
    </xf>
    <xf numFmtId="229" fontId="15" fillId="0" borderId="0" xfId="14492" applyNumberFormat="1" applyFont="1" applyBorder="1" applyAlignment="1">
      <alignment horizontal="right" vertical="center" shrinkToFit="1"/>
    </xf>
    <xf numFmtId="0" fontId="12" fillId="0" borderId="0" xfId="14492" applyFont="1">
      <alignment vertical="center"/>
    </xf>
    <xf numFmtId="0" fontId="12" fillId="0" borderId="0" xfId="14492" applyFont="1" applyAlignment="1">
      <alignment horizontal="center" vertical="center"/>
    </xf>
    <xf numFmtId="0" fontId="151" fillId="0" borderId="0" xfId="14492" applyFont="1" applyBorder="1" applyAlignment="1"/>
    <xf numFmtId="0" fontId="151" fillId="0" borderId="0" xfId="14492" applyFont="1" applyBorder="1" applyAlignment="1">
      <alignment horizontal="left"/>
    </xf>
    <xf numFmtId="41" fontId="153" fillId="0" borderId="0" xfId="4" applyFont="1" applyAlignment="1"/>
    <xf numFmtId="0" fontId="151" fillId="0" borderId="0" xfId="14492" applyFont="1" applyAlignment="1"/>
    <xf numFmtId="0" fontId="151" fillId="0" borderId="0" xfId="14492" applyFont="1" applyAlignment="1">
      <alignment horizontal="center"/>
    </xf>
    <xf numFmtId="0" fontId="12" fillId="0" borderId="0" xfId="14492" applyFont="1" applyAlignment="1">
      <alignment vertical="center" wrapText="1"/>
    </xf>
    <xf numFmtId="0" fontId="12" fillId="0" borderId="0" xfId="14492" applyFont="1" applyAlignment="1">
      <alignment horizontal="left" vertical="center"/>
    </xf>
    <xf numFmtId="41" fontId="154" fillId="0" borderId="0" xfId="4" applyFont="1" applyFill="1" applyAlignment="1">
      <alignment horizontal="right" vertical="center"/>
    </xf>
    <xf numFmtId="41" fontId="154" fillId="0" borderId="0" xfId="4" applyFont="1" applyFill="1" applyAlignment="1">
      <alignment horizontal="right" vertical="center" wrapText="1"/>
    </xf>
    <xf numFmtId="230" fontId="154" fillId="0" borderId="0" xfId="4" applyNumberFormat="1" applyFont="1" applyFill="1" applyAlignment="1">
      <alignment horizontal="right" vertical="center" wrapText="1"/>
    </xf>
    <xf numFmtId="0" fontId="12" fillId="0" borderId="0" xfId="14492" applyFont="1" applyAlignment="1">
      <alignment vertical="center"/>
    </xf>
    <xf numFmtId="231" fontId="15" fillId="0" borderId="0" xfId="4" applyNumberFormat="1" applyFont="1" applyFill="1" applyBorder="1" applyAlignment="1">
      <alignment horizontal="right" vertical="center" wrapText="1"/>
    </xf>
    <xf numFmtId="0" fontId="151" fillId="0" borderId="0" xfId="14492" applyFont="1" applyAlignment="1">
      <alignment horizontal="left"/>
    </xf>
    <xf numFmtId="41" fontId="155" fillId="0" borderId="0" xfId="4" applyFont="1" applyFill="1" applyAlignment="1">
      <alignment horizontal="right"/>
    </xf>
    <xf numFmtId="41" fontId="156" fillId="0" borderId="0" xfId="4" applyFont="1" applyFill="1" applyAlignment="1">
      <alignment horizontal="right" vertical="center"/>
    </xf>
    <xf numFmtId="41" fontId="156" fillId="0" borderId="0" xfId="4" applyFont="1" applyFill="1" applyAlignment="1">
      <alignment horizontal="right" vertical="center" wrapText="1"/>
    </xf>
    <xf numFmtId="0" fontId="145" fillId="0" borderId="0" xfId="14492" applyFont="1" applyBorder="1" applyAlignment="1">
      <alignment horizontal="left" vertical="center"/>
    </xf>
    <xf numFmtId="41" fontId="157" fillId="0" borderId="0" xfId="4" applyFont="1" applyFill="1" applyBorder="1" applyAlignment="1">
      <alignment horizontal="right" vertical="center"/>
    </xf>
    <xf numFmtId="41" fontId="157" fillId="0" borderId="0" xfId="4" applyFont="1" applyFill="1" applyBorder="1" applyAlignment="1">
      <alignment horizontal="right" vertical="center" wrapText="1"/>
    </xf>
    <xf numFmtId="0" fontId="151" fillId="0" borderId="0" xfId="14492" applyFont="1" applyBorder="1" applyAlignment="1">
      <alignment horizontal="left" vertical="center"/>
    </xf>
    <xf numFmtId="41" fontId="152" fillId="0" borderId="0" xfId="4" applyFont="1" applyFill="1" applyBorder="1" applyAlignment="1">
      <alignment horizontal="right" vertical="center"/>
    </xf>
    <xf numFmtId="0" fontId="12" fillId="0" borderId="0" xfId="14492" applyFont="1" applyBorder="1" applyAlignment="1">
      <alignment vertical="center"/>
    </xf>
    <xf numFmtId="0" fontId="12" fillId="0" borderId="0" xfId="14492" applyFont="1" applyBorder="1" applyAlignment="1">
      <alignment horizontal="left" vertical="center"/>
    </xf>
    <xf numFmtId="0" fontId="151" fillId="0" borderId="0" xfId="14492" applyFont="1" applyFill="1" applyBorder="1" applyAlignment="1">
      <alignment horizontal="left"/>
    </xf>
    <xf numFmtId="232" fontId="159" fillId="0" borderId="0" xfId="10460" applyNumberFormat="1" applyFont="1" applyBorder="1" applyAlignment="1">
      <alignment horizontal="right"/>
    </xf>
    <xf numFmtId="0" fontId="12" fillId="0" borderId="0" xfId="14492" applyFont="1" applyBorder="1" applyAlignment="1">
      <alignment vertical="top"/>
    </xf>
    <xf numFmtId="0" fontId="12" fillId="0" borderId="0" xfId="14492" applyFont="1" applyFill="1" applyBorder="1" applyAlignment="1">
      <alignment horizontal="left" vertical="top"/>
    </xf>
    <xf numFmtId="233" fontId="15" fillId="0" borderId="0" xfId="14492" applyNumberFormat="1" applyFont="1" applyFill="1" applyBorder="1" applyAlignment="1">
      <alignment horizontal="right" vertical="top" wrapText="1"/>
    </xf>
    <xf numFmtId="0" fontId="12" fillId="0" borderId="0" xfId="14492" applyFont="1" applyAlignment="1">
      <alignment vertical="top"/>
    </xf>
    <xf numFmtId="0" fontId="12" fillId="0" borderId="0" xfId="14492" applyFont="1" applyAlignment="1">
      <alignment horizontal="center" vertical="top"/>
    </xf>
    <xf numFmtId="0" fontId="160" fillId="0" borderId="0" xfId="14492" applyFont="1" applyBorder="1" applyAlignment="1">
      <alignment horizontal="left" vertical="center"/>
    </xf>
    <xf numFmtId="234" fontId="154" fillId="0" borderId="0" xfId="10460" applyNumberFormat="1" applyFont="1" applyFill="1" applyBorder="1" applyAlignment="1">
      <alignment horizontal="right" vertical="center" shrinkToFit="1"/>
    </xf>
    <xf numFmtId="0" fontId="8" fillId="0" borderId="0" xfId="14492" applyFont="1">
      <alignment vertical="center"/>
    </xf>
    <xf numFmtId="0" fontId="8" fillId="0" borderId="0" xfId="14492" applyFont="1" applyAlignment="1">
      <alignment horizontal="center" vertical="center"/>
    </xf>
    <xf numFmtId="234" fontId="154" fillId="0" borderId="0" xfId="10460" applyNumberFormat="1" applyFont="1" applyBorder="1" applyAlignment="1">
      <alignment horizontal="right" vertical="center" shrinkToFit="1"/>
    </xf>
    <xf numFmtId="0" fontId="145" fillId="0" borderId="73" xfId="14492" applyFont="1" applyBorder="1">
      <alignment vertical="center"/>
    </xf>
    <xf numFmtId="0" fontId="146" fillId="0" borderId="73" xfId="14492" applyFont="1" applyBorder="1">
      <alignment vertical="center"/>
    </xf>
    <xf numFmtId="0" fontId="148" fillId="0" borderId="73" xfId="14492" applyFont="1" applyBorder="1" applyAlignment="1">
      <alignment horizontal="right" vertical="center"/>
    </xf>
    <xf numFmtId="0" fontId="148" fillId="0" borderId="73" xfId="14492" applyFont="1" applyBorder="1" applyAlignment="1">
      <alignment horizontal="right" vertical="center" wrapText="1"/>
    </xf>
    <xf numFmtId="227" fontId="148" fillId="0" borderId="73" xfId="14492" applyNumberFormat="1" applyFont="1" applyBorder="1" applyAlignment="1">
      <alignment horizontal="right" vertical="center" wrapText="1"/>
    </xf>
    <xf numFmtId="0" fontId="161" fillId="0" borderId="0" xfId="14492" applyFont="1" applyBorder="1">
      <alignment vertical="center"/>
    </xf>
    <xf numFmtId="0" fontId="161" fillId="0" borderId="0" xfId="14492" applyFont="1">
      <alignment vertical="center"/>
    </xf>
    <xf numFmtId="0" fontId="161" fillId="0" borderId="0" xfId="14492" applyFont="1" applyFill="1" applyBorder="1">
      <alignment vertical="center"/>
    </xf>
    <xf numFmtId="0" fontId="161" fillId="0" borderId="0" xfId="14492" applyFont="1" applyFill="1" applyBorder="1" applyAlignment="1">
      <alignment horizontal="right" vertical="center" wrapText="1"/>
    </xf>
    <xf numFmtId="0" fontId="162" fillId="0" borderId="0" xfId="14492" applyFont="1" applyFill="1" applyBorder="1" applyAlignment="1">
      <alignment horizontal="right" vertical="center" wrapText="1"/>
    </xf>
    <xf numFmtId="0" fontId="162" fillId="0" borderId="0" xfId="14492" applyNumberFormat="1" applyFont="1" applyBorder="1" applyAlignment="1">
      <alignment horizontal="right" vertical="center"/>
    </xf>
    <xf numFmtId="0" fontId="163" fillId="0" borderId="0" xfId="14492" applyFont="1">
      <alignment vertical="center"/>
    </xf>
    <xf numFmtId="0" fontId="147" fillId="0" borderId="0" xfId="14492" applyFont="1" applyFill="1">
      <alignment vertical="center"/>
    </xf>
    <xf numFmtId="41" fontId="147" fillId="0" borderId="0" xfId="4" applyFont="1" applyFill="1" applyAlignment="1">
      <alignment vertical="center" shrinkToFit="1" readingOrder="1"/>
    </xf>
    <xf numFmtId="41" fontId="164" fillId="0" borderId="0" xfId="4" applyFont="1" applyFill="1" applyAlignment="1">
      <alignment horizontal="right" vertical="center"/>
    </xf>
    <xf numFmtId="0" fontId="163" fillId="0" borderId="74" xfId="14492" applyFont="1" applyBorder="1">
      <alignment vertical="center"/>
    </xf>
    <xf numFmtId="41" fontId="163" fillId="0" borderId="74" xfId="4" applyFont="1" applyBorder="1" applyAlignment="1">
      <alignment vertical="center" shrinkToFit="1" readingOrder="1"/>
    </xf>
    <xf numFmtId="177" fontId="165" fillId="0" borderId="74" xfId="4" applyNumberFormat="1" applyFont="1" applyBorder="1" applyAlignment="1">
      <alignment horizontal="right" vertical="center" shrinkToFit="1"/>
    </xf>
    <xf numFmtId="41" fontId="161" fillId="0" borderId="0" xfId="4" applyFont="1" applyBorder="1" applyAlignment="1">
      <alignment vertical="center" shrinkToFit="1" readingOrder="1"/>
    </xf>
    <xf numFmtId="177" fontId="166" fillId="0" borderId="0" xfId="4" applyNumberFormat="1" applyFont="1" applyBorder="1" applyAlignment="1">
      <alignment horizontal="right" vertical="center" shrinkToFit="1"/>
    </xf>
    <xf numFmtId="177" fontId="167" fillId="0" borderId="0" xfId="4" applyNumberFormat="1" applyFont="1" applyBorder="1" applyAlignment="1">
      <alignment horizontal="right" vertical="center" shrinkToFit="1"/>
    </xf>
    <xf numFmtId="0" fontId="167" fillId="0" borderId="0" xfId="14492" applyNumberFormat="1" applyFont="1" applyBorder="1" applyAlignment="1">
      <alignment horizontal="right" vertical="center" shrinkToFit="1"/>
    </xf>
    <xf numFmtId="235" fontId="167" fillId="66" borderId="0" xfId="4" applyNumberFormat="1" applyFont="1" applyFill="1" applyBorder="1" applyAlignment="1">
      <alignment horizontal="right" vertical="center" shrinkToFit="1"/>
    </xf>
    <xf numFmtId="0" fontId="163" fillId="0" borderId="0" xfId="14492" applyFont="1" applyBorder="1">
      <alignment vertical="center"/>
    </xf>
    <xf numFmtId="41" fontId="163" fillId="0" borderId="0" xfId="4" applyFont="1" applyBorder="1" applyAlignment="1">
      <alignment vertical="center" shrinkToFit="1" readingOrder="1"/>
    </xf>
    <xf numFmtId="177" fontId="165" fillId="0" borderId="0" xfId="4" applyNumberFormat="1" applyFont="1" applyBorder="1" applyAlignment="1">
      <alignment horizontal="right" vertical="center" shrinkToFit="1"/>
    </xf>
    <xf numFmtId="0" fontId="148" fillId="0" borderId="73" xfId="14492" applyFont="1" applyBorder="1" applyAlignment="1">
      <alignment vertical="center" readingOrder="1"/>
    </xf>
    <xf numFmtId="41" fontId="157" fillId="0" borderId="73" xfId="4" applyFont="1" applyBorder="1" applyAlignment="1">
      <alignment horizontal="right" vertical="center" shrinkToFit="1"/>
    </xf>
    <xf numFmtId="0" fontId="148" fillId="0" borderId="0" xfId="14492" applyFont="1" applyFill="1" applyAlignment="1">
      <alignment horizontal="right" vertical="center" wrapText="1" readingOrder="1"/>
    </xf>
    <xf numFmtId="41" fontId="157" fillId="0" borderId="0" xfId="4" applyFont="1" applyFill="1" applyAlignment="1">
      <alignment horizontal="right" vertical="center" shrinkToFit="1"/>
    </xf>
    <xf numFmtId="0" fontId="8" fillId="0" borderId="0" xfId="14492" applyFont="1" applyAlignment="1"/>
    <xf numFmtId="0" fontId="168" fillId="0" borderId="0" xfId="14492" applyFont="1" applyFill="1" applyAlignment="1"/>
    <xf numFmtId="236" fontId="169" fillId="0" borderId="0" xfId="10460" applyNumberFormat="1" applyFont="1" applyFill="1" applyAlignment="1">
      <alignment horizontal="right" wrapText="1"/>
    </xf>
    <xf numFmtId="236" fontId="169" fillId="0" borderId="0" xfId="10460" applyNumberFormat="1" applyFont="1" applyFill="1" applyAlignment="1">
      <alignment horizontal="right" shrinkToFit="1"/>
    </xf>
    <xf numFmtId="225" fontId="170" fillId="0" borderId="0" xfId="14492" applyNumberFormat="1" applyFont="1" applyAlignment="1">
      <alignment horizontal="center"/>
    </xf>
    <xf numFmtId="0" fontId="168" fillId="0" borderId="0" xfId="14492" applyFont="1" applyFill="1">
      <alignment vertical="center"/>
    </xf>
    <xf numFmtId="236" fontId="169" fillId="0" borderId="0" xfId="10460" applyNumberFormat="1" applyFont="1" applyFill="1" applyAlignment="1">
      <alignment horizontal="right" vertical="center" wrapText="1"/>
    </xf>
    <xf numFmtId="236" fontId="169" fillId="0" borderId="0" xfId="10460" applyNumberFormat="1" applyFont="1" applyFill="1" applyAlignment="1">
      <alignment horizontal="right" vertical="center" shrinkToFit="1"/>
    </xf>
    <xf numFmtId="225" fontId="170" fillId="0" borderId="0" xfId="14492" applyNumberFormat="1" applyFont="1" applyAlignment="1">
      <alignment horizontal="center" vertical="center"/>
    </xf>
    <xf numFmtId="0" fontId="8" fillId="0" borderId="0" xfId="14492" applyFont="1" applyAlignment="1">
      <alignment vertical="top"/>
    </xf>
    <xf numFmtId="0" fontId="168" fillId="0" borderId="0" xfId="14492" applyFont="1" applyFill="1" applyAlignment="1">
      <alignment vertical="top"/>
    </xf>
    <xf numFmtId="236" fontId="169" fillId="0" borderId="0" xfId="10460" applyNumberFormat="1" applyFont="1" applyFill="1" applyAlignment="1">
      <alignment horizontal="right" vertical="top" wrapText="1"/>
    </xf>
    <xf numFmtId="236" fontId="169" fillId="0" borderId="0" xfId="10460" applyNumberFormat="1" applyFont="1" applyFill="1" applyAlignment="1">
      <alignment horizontal="right" vertical="top" shrinkToFit="1"/>
    </xf>
    <xf numFmtId="225" fontId="170" fillId="0" borderId="0" xfId="14492" applyNumberFormat="1" applyFont="1" applyAlignment="1">
      <alignment horizontal="center" vertical="top"/>
    </xf>
    <xf numFmtId="0" fontId="145" fillId="0" borderId="0" xfId="14492" applyFont="1" applyFill="1">
      <alignment vertical="center"/>
    </xf>
    <xf numFmtId="0" fontId="171" fillId="0" borderId="0" xfId="14492" applyFont="1" applyFill="1">
      <alignment vertical="center"/>
    </xf>
    <xf numFmtId="0" fontId="148" fillId="0" borderId="0" xfId="14492" applyFont="1" applyBorder="1" applyAlignment="1">
      <alignment horizontal="center" vertical="center"/>
    </xf>
    <xf numFmtId="0" fontId="171" fillId="67" borderId="0" xfId="14492" applyFont="1" applyFill="1">
      <alignment vertical="center"/>
    </xf>
    <xf numFmtId="41" fontId="145" fillId="67" borderId="0" xfId="4" applyFont="1" applyFill="1" applyAlignment="1">
      <alignment horizontal="center" vertical="center"/>
    </xf>
    <xf numFmtId="41" fontId="145" fillId="67" borderId="0" xfId="4" applyFont="1" applyFill="1">
      <alignment vertical="center"/>
    </xf>
    <xf numFmtId="9" fontId="145" fillId="67" borderId="0" xfId="10460" applyFont="1" applyFill="1" applyAlignment="1">
      <alignment horizontal="center" vertical="center"/>
    </xf>
    <xf numFmtId="9" fontId="145" fillId="67" borderId="0" xfId="10460" applyFont="1" applyFill="1">
      <alignment vertical="center"/>
    </xf>
    <xf numFmtId="0" fontId="145" fillId="61" borderId="0" xfId="14492" applyFont="1" applyFill="1">
      <alignment vertical="center"/>
    </xf>
    <xf numFmtId="41" fontId="145" fillId="0" borderId="0" xfId="4" applyFont="1">
      <alignment vertical="center"/>
    </xf>
    <xf numFmtId="41" fontId="145" fillId="0" borderId="0" xfId="4" applyFont="1" applyAlignment="1">
      <alignment horizontal="center" vertical="center"/>
    </xf>
    <xf numFmtId="0" fontId="145" fillId="0" borderId="0" xfId="14492" applyFont="1" applyAlignment="1">
      <alignment horizontal="center" vertical="center"/>
    </xf>
    <xf numFmtId="232" fontId="145" fillId="0" borderId="0" xfId="14492" applyNumberFormat="1" applyFont="1" applyAlignment="1">
      <alignment horizontal="center" vertical="center"/>
    </xf>
    <xf numFmtId="232" fontId="145" fillId="0" borderId="0" xfId="14492" applyNumberFormat="1" applyFont="1">
      <alignment vertical="center"/>
    </xf>
    <xf numFmtId="0" fontId="168" fillId="0" borderId="0" xfId="3" applyFont="1" applyBorder="1" applyAlignment="1">
      <alignment horizontal="right" vertical="center"/>
    </xf>
    <xf numFmtId="0" fontId="168" fillId="0" borderId="56" xfId="3" quotePrefix="1" applyFont="1" applyBorder="1" applyAlignment="1">
      <alignment horizontal="right" vertical="center" wrapText="1"/>
    </xf>
    <xf numFmtId="0" fontId="168" fillId="0" borderId="56" xfId="3" applyFont="1" applyBorder="1" applyAlignment="1">
      <alignment horizontal="right" vertical="center"/>
    </xf>
    <xf numFmtId="0" fontId="168" fillId="0" borderId="39" xfId="3" applyFont="1" applyBorder="1" applyAlignment="1">
      <alignment horizontal="right" vertical="center"/>
    </xf>
    <xf numFmtId="227" fontId="168" fillId="0" borderId="39" xfId="3" applyNumberFormat="1" applyFont="1" applyBorder="1" applyAlignment="1">
      <alignment horizontal="right" vertical="center"/>
    </xf>
    <xf numFmtId="227" fontId="8" fillId="0" borderId="39" xfId="3" applyNumberFormat="1" applyFont="1" applyBorder="1" applyAlignment="1">
      <alignment horizontal="right" vertical="center" shrinkToFit="1"/>
    </xf>
    <xf numFmtId="0" fontId="0" fillId="63" borderId="0" xfId="0" applyFill="1">
      <alignment vertical="center"/>
    </xf>
    <xf numFmtId="41" fontId="172" fillId="66" borderId="0" xfId="4" applyFont="1" applyFill="1" applyAlignment="1">
      <alignment horizontal="right" vertical="center"/>
    </xf>
    <xf numFmtId="235" fontId="167" fillId="66" borderId="0" xfId="4" applyNumberFormat="1" applyFont="1" applyFill="1" applyBorder="1" applyAlignment="1">
      <alignment horizontal="right" vertical="center"/>
    </xf>
    <xf numFmtId="0" fontId="0" fillId="0" borderId="8" xfId="0" applyBorder="1" applyAlignment="1">
      <alignment horizontal="left" vertical="center"/>
    </xf>
    <xf numFmtId="0" fontId="173" fillId="7" borderId="0" xfId="0" applyFont="1" applyFill="1">
      <alignment vertical="center"/>
    </xf>
    <xf numFmtId="0" fontId="0" fillId="7" borderId="0" xfId="0" applyFill="1">
      <alignment vertical="center"/>
    </xf>
    <xf numFmtId="0" fontId="0" fillId="63" borderId="8" xfId="0" applyFill="1" applyBorder="1">
      <alignment vertical="center"/>
    </xf>
    <xf numFmtId="0" fontId="0" fillId="68" borderId="0" xfId="0" applyFill="1">
      <alignment vertical="center"/>
    </xf>
    <xf numFmtId="0" fontId="0" fillId="63" borderId="8" xfId="0" applyFill="1" applyBorder="1" applyAlignment="1">
      <alignment horizontal="center" vertical="center"/>
    </xf>
    <xf numFmtId="0" fontId="0" fillId="63" borderId="8" xfId="0" applyFill="1" applyBorder="1" applyAlignment="1">
      <alignment horizontal="left" vertical="center"/>
    </xf>
    <xf numFmtId="0" fontId="174" fillId="7" borderId="0" xfId="0" applyFont="1" applyFill="1" applyAlignment="1">
      <alignment horizontal="center" vertical="center"/>
    </xf>
    <xf numFmtId="0" fontId="174" fillId="7" borderId="0" xfId="0" applyFont="1" applyFill="1" applyAlignment="1">
      <alignment horizontal="center" vertical="center" wrapText="1"/>
    </xf>
    <xf numFmtId="0" fontId="3" fillId="0" borderId="8" xfId="15203" applyFont="1" applyBorder="1">
      <alignment vertical="center"/>
    </xf>
    <xf numFmtId="41" fontId="164" fillId="0" borderId="0" xfId="4" applyFont="1" applyFill="1" applyAlignment="1">
      <alignment horizontal="right" vertical="center" shrinkToFit="1"/>
    </xf>
    <xf numFmtId="0" fontId="9" fillId="0" borderId="73" xfId="14492" applyFont="1" applyBorder="1">
      <alignment vertical="center"/>
    </xf>
    <xf numFmtId="0" fontId="9" fillId="0" borderId="73" xfId="14492" applyFont="1" applyBorder="1" applyAlignment="1">
      <alignment horizontal="right" vertical="center"/>
    </xf>
    <xf numFmtId="0" fontId="175" fillId="0" borderId="73" xfId="14492" applyFont="1" applyBorder="1" applyAlignment="1">
      <alignment horizontal="right" vertical="center"/>
    </xf>
    <xf numFmtId="0" fontId="9" fillId="0" borderId="0" xfId="14492" applyFont="1">
      <alignment vertical="center"/>
    </xf>
    <xf numFmtId="226" fontId="9" fillId="0" borderId="0" xfId="14492" applyNumberFormat="1" applyFont="1">
      <alignment vertical="center"/>
    </xf>
    <xf numFmtId="177" fontId="9" fillId="0" borderId="0" xfId="4" applyNumberFormat="1" applyFont="1">
      <alignment vertical="center"/>
    </xf>
    <xf numFmtId="0" fontId="168" fillId="0" borderId="0" xfId="14492" quotePrefix="1" applyFont="1" applyBorder="1" applyAlignment="1">
      <alignment horizontal="right" vertical="center" wrapText="1"/>
    </xf>
    <xf numFmtId="0" fontId="168" fillId="0" borderId="0" xfId="14492" applyFont="1" applyBorder="1" applyAlignment="1">
      <alignment horizontal="right" vertical="center"/>
    </xf>
    <xf numFmtId="177" fontId="12" fillId="0" borderId="0" xfId="4" applyNumberFormat="1" applyFont="1">
      <alignment vertical="center"/>
    </xf>
    <xf numFmtId="0" fontId="168" fillId="0" borderId="73" xfId="14492" applyFont="1" applyBorder="1" applyAlignment="1">
      <alignment horizontal="right" vertical="center"/>
    </xf>
    <xf numFmtId="227" fontId="168" fillId="0" borderId="73" xfId="14492" applyNumberFormat="1" applyFont="1" applyBorder="1" applyAlignment="1">
      <alignment horizontal="right" vertical="center"/>
    </xf>
    <xf numFmtId="227" fontId="168" fillId="0" borderId="73" xfId="14492" applyNumberFormat="1" applyFont="1" applyBorder="1" applyAlignment="1">
      <alignment horizontal="right" vertical="center" shrinkToFit="1"/>
    </xf>
    <xf numFmtId="227" fontId="176" fillId="0" borderId="0" xfId="14492" applyNumberFormat="1" applyFont="1" applyBorder="1" applyAlignment="1">
      <alignment horizontal="right" vertical="center"/>
    </xf>
    <xf numFmtId="187" fontId="177" fillId="0" borderId="0" xfId="14492" applyNumberFormat="1" applyFont="1" applyFill="1" applyAlignment="1">
      <alignment horizontal="right" vertical="center" shrinkToFit="1"/>
    </xf>
    <xf numFmtId="187" fontId="177" fillId="0" borderId="0" xfId="14492" applyNumberFormat="1" applyFont="1" applyAlignment="1">
      <alignment horizontal="right" vertical="center" shrinkToFit="1"/>
    </xf>
    <xf numFmtId="0" fontId="9" fillId="0" borderId="0" xfId="14492" quotePrefix="1" applyFont="1">
      <alignment vertical="center"/>
    </xf>
    <xf numFmtId="0" fontId="145" fillId="0" borderId="0" xfId="14492" applyFont="1" applyAlignment="1">
      <alignment vertical="center" wrapText="1"/>
    </xf>
    <xf numFmtId="0" fontId="150" fillId="0" borderId="0" xfId="14492" applyFont="1" applyAlignment="1">
      <alignment horizontal="left" vertical="center" wrapText="1"/>
    </xf>
    <xf numFmtId="0" fontId="172" fillId="0" borderId="0" xfId="14492" applyFont="1" applyFill="1" applyAlignment="1">
      <alignment horizontal="right" vertical="center"/>
    </xf>
    <xf numFmtId="0" fontId="172" fillId="0" borderId="0" xfId="14492" applyFont="1" applyAlignment="1">
      <alignment horizontal="right" vertical="center"/>
    </xf>
    <xf numFmtId="9" fontId="172" fillId="0" borderId="0" xfId="10460" applyFont="1" applyAlignment="1">
      <alignment horizontal="right" vertical="center"/>
    </xf>
    <xf numFmtId="237" fontId="172" fillId="0" borderId="0" xfId="10460" applyNumberFormat="1" applyFont="1" applyFill="1" applyAlignment="1">
      <alignment horizontal="right" vertical="center"/>
    </xf>
    <xf numFmtId="0" fontId="178" fillId="0" borderId="0" xfId="14492" applyFont="1">
      <alignment vertical="center"/>
    </xf>
    <xf numFmtId="0" fontId="10" fillId="0" borderId="0" xfId="14492" applyFont="1" applyAlignment="1">
      <alignment horizontal="left" vertical="center" wrapText="1"/>
    </xf>
    <xf numFmtId="238" fontId="179" fillId="0" borderId="0" xfId="14492" applyNumberFormat="1" applyFont="1" applyFill="1" applyAlignment="1">
      <alignment horizontal="right" vertical="center"/>
    </xf>
    <xf numFmtId="238" fontId="179" fillId="0" borderId="0" xfId="14492" applyNumberFormat="1" applyFont="1" applyAlignment="1">
      <alignment horizontal="right" vertical="center"/>
    </xf>
    <xf numFmtId="238" fontId="179" fillId="0" borderId="0" xfId="10460" applyNumberFormat="1" applyFont="1" applyAlignment="1">
      <alignment horizontal="right" vertical="center"/>
    </xf>
    <xf numFmtId="0" fontId="10" fillId="0" borderId="74" xfId="14492" applyFont="1" applyBorder="1">
      <alignment vertical="center"/>
    </xf>
    <xf numFmtId="238" fontId="179" fillId="0" borderId="74" xfId="14492" applyNumberFormat="1" applyFont="1" applyFill="1" applyBorder="1" applyAlignment="1">
      <alignment horizontal="right" vertical="center"/>
    </xf>
    <xf numFmtId="0" fontId="10" fillId="0" borderId="0" xfId="14492" applyFont="1">
      <alignment vertical="center"/>
    </xf>
    <xf numFmtId="239" fontId="180" fillId="0" borderId="0" xfId="10460" applyNumberFormat="1" applyFont="1" applyFill="1" applyAlignment="1">
      <alignment horizontal="right" vertical="center"/>
    </xf>
    <xf numFmtId="239" fontId="180" fillId="0" borderId="0" xfId="10460" applyNumberFormat="1" applyFont="1" applyAlignment="1">
      <alignment horizontal="right" vertical="center"/>
    </xf>
    <xf numFmtId="240" fontId="177" fillId="0" borderId="0" xfId="14492" applyNumberFormat="1" applyFont="1" applyFill="1" applyAlignment="1">
      <alignment horizontal="right" vertical="center"/>
    </xf>
    <xf numFmtId="240" fontId="177" fillId="0" borderId="0" xfId="14492" applyNumberFormat="1" applyFont="1" applyAlignment="1">
      <alignment horizontal="right" vertical="center"/>
    </xf>
    <xf numFmtId="241" fontId="181" fillId="0" borderId="0" xfId="10460" applyNumberFormat="1" applyFont="1" applyFill="1" applyBorder="1" applyAlignment="1">
      <alignment horizontal="right" vertical="center" shrinkToFit="1"/>
    </xf>
    <xf numFmtId="241" fontId="181" fillId="0" borderId="0" xfId="10460" applyNumberFormat="1" applyFont="1" applyBorder="1" applyAlignment="1">
      <alignment horizontal="right" vertical="center" shrinkToFit="1"/>
    </xf>
    <xf numFmtId="242" fontId="181" fillId="0" borderId="0" xfId="14492" applyNumberFormat="1" applyFont="1" applyFill="1" applyBorder="1" applyAlignment="1">
      <alignment horizontal="right" vertical="center"/>
    </xf>
    <xf numFmtId="242" fontId="181" fillId="0" borderId="0" xfId="14492" applyNumberFormat="1" applyFont="1" applyBorder="1" applyAlignment="1">
      <alignment horizontal="right" vertical="center"/>
    </xf>
    <xf numFmtId="0" fontId="8" fillId="0" borderId="0" xfId="14492" applyFont="1" applyFill="1" applyBorder="1">
      <alignment vertical="center"/>
    </xf>
    <xf numFmtId="243" fontId="177" fillId="0" borderId="0" xfId="14492" applyNumberFormat="1" applyFont="1" applyFill="1" applyAlignment="1">
      <alignment horizontal="right" vertical="center"/>
    </xf>
    <xf numFmtId="244" fontId="179" fillId="0" borderId="0" xfId="14492" applyNumberFormat="1" applyFont="1" applyFill="1" applyAlignment="1">
      <alignment horizontal="right" vertical="center" shrinkToFit="1"/>
    </xf>
    <xf numFmtId="0" fontId="8" fillId="0" borderId="75" xfId="14492" applyFont="1" applyBorder="1">
      <alignment vertical="center"/>
    </xf>
    <xf numFmtId="245" fontId="179" fillId="0" borderId="75" xfId="10460" applyNumberFormat="1" applyFont="1" applyFill="1" applyBorder="1" applyAlignment="1">
      <alignment horizontal="right" vertical="center"/>
    </xf>
    <xf numFmtId="245" fontId="179" fillId="0" borderId="75" xfId="10460" applyNumberFormat="1" applyFont="1" applyBorder="1" applyAlignment="1">
      <alignment horizontal="right" vertical="center"/>
    </xf>
    <xf numFmtId="246" fontId="179" fillId="0" borderId="0" xfId="4" applyNumberFormat="1" applyFont="1" applyFill="1" applyBorder="1" applyAlignment="1">
      <alignment horizontal="right" vertical="center"/>
    </xf>
    <xf numFmtId="246" fontId="179" fillId="0" borderId="0" xfId="4" applyNumberFormat="1" applyFont="1" applyBorder="1" applyAlignment="1">
      <alignment horizontal="right" vertical="center"/>
    </xf>
    <xf numFmtId="247" fontId="179" fillId="0" borderId="0" xfId="10460" applyNumberFormat="1" applyFont="1" applyFill="1" applyBorder="1" applyAlignment="1">
      <alignment horizontal="right" vertical="center" shrinkToFit="1"/>
    </xf>
    <xf numFmtId="247" fontId="179" fillId="0" borderId="0" xfId="10460" applyNumberFormat="1" applyFont="1" applyBorder="1" applyAlignment="1">
      <alignment horizontal="right" vertical="center" shrinkToFit="1"/>
    </xf>
    <xf numFmtId="0" fontId="8" fillId="0" borderId="74" xfId="14492" applyFont="1" applyBorder="1">
      <alignment vertical="center"/>
    </xf>
    <xf numFmtId="248" fontId="179" fillId="0" borderId="74" xfId="10460" applyNumberFormat="1" applyFont="1" applyFill="1" applyBorder="1" applyAlignment="1">
      <alignment horizontal="right" vertical="center" shrinkToFit="1"/>
    </xf>
    <xf numFmtId="248" fontId="179" fillId="0" borderId="74" xfId="10460" applyNumberFormat="1" applyFont="1" applyBorder="1" applyAlignment="1">
      <alignment horizontal="right" vertical="center" shrinkToFit="1"/>
    </xf>
    <xf numFmtId="0" fontId="180" fillId="0" borderId="0" xfId="14492" applyFont="1" applyFill="1" applyBorder="1" applyAlignment="1">
      <alignment horizontal="right" vertical="center"/>
    </xf>
    <xf numFmtId="0" fontId="180" fillId="0" borderId="0" xfId="14492" applyFont="1" applyBorder="1" applyAlignment="1">
      <alignment horizontal="right" vertical="center"/>
    </xf>
    <xf numFmtId="0" fontId="183" fillId="0" borderId="0" xfId="14492" applyFont="1" applyFill="1" applyBorder="1" applyAlignment="1">
      <alignment horizontal="right" vertical="center"/>
    </xf>
    <xf numFmtId="0" fontId="185" fillId="0" borderId="0" xfId="14492" applyFont="1" applyFill="1" applyBorder="1" applyAlignment="1">
      <alignment horizontal="right" vertical="center"/>
    </xf>
    <xf numFmtId="41" fontId="177" fillId="0" borderId="0" xfId="4" applyNumberFormat="1" applyFont="1" applyFill="1" applyBorder="1" applyAlignment="1">
      <alignment horizontal="right" vertical="center"/>
    </xf>
    <xf numFmtId="41" fontId="177" fillId="0" borderId="0" xfId="4" applyNumberFormat="1" applyFont="1" applyBorder="1" applyAlignment="1">
      <alignment horizontal="right" vertical="center"/>
    </xf>
    <xf numFmtId="0" fontId="150" fillId="0" borderId="0" xfId="14492" applyFont="1" applyBorder="1">
      <alignment vertical="center"/>
    </xf>
    <xf numFmtId="230" fontId="172" fillId="0" borderId="0" xfId="14492" applyNumberFormat="1" applyFont="1" applyFill="1" applyBorder="1" applyAlignment="1">
      <alignment horizontal="right" vertical="center"/>
    </xf>
    <xf numFmtId="230" fontId="172" fillId="0" borderId="0" xfId="14492" applyNumberFormat="1" applyFont="1" applyBorder="1" applyAlignment="1">
      <alignment horizontal="right" vertical="center"/>
    </xf>
    <xf numFmtId="177" fontId="177" fillId="0" borderId="0" xfId="4" applyNumberFormat="1" applyFont="1" applyFill="1" applyBorder="1" applyAlignment="1">
      <alignment horizontal="right" vertical="center"/>
    </xf>
    <xf numFmtId="177" fontId="177" fillId="0" borderId="0" xfId="4" applyNumberFormat="1" applyFont="1" applyBorder="1" applyAlignment="1">
      <alignment horizontal="right" vertical="center"/>
    </xf>
    <xf numFmtId="249" fontId="179" fillId="0" borderId="0" xfId="10460" applyNumberFormat="1" applyFont="1" applyFill="1" applyBorder="1" applyAlignment="1">
      <alignment horizontal="right" vertical="center"/>
    </xf>
    <xf numFmtId="249" fontId="179" fillId="0" borderId="0" xfId="10460" applyNumberFormat="1" applyFont="1" applyBorder="1" applyAlignment="1">
      <alignment horizontal="right" vertical="center"/>
    </xf>
    <xf numFmtId="0" fontId="12" fillId="0" borderId="73" xfId="14492" applyFont="1" applyBorder="1">
      <alignment vertical="center"/>
    </xf>
    <xf numFmtId="0" fontId="181" fillId="0" borderId="73" xfId="14492" applyFont="1" applyFill="1" applyBorder="1" applyAlignment="1">
      <alignment horizontal="right" vertical="center"/>
    </xf>
    <xf numFmtId="0" fontId="181" fillId="0" borderId="73" xfId="14492" applyFont="1" applyBorder="1" applyAlignment="1">
      <alignment horizontal="right" vertical="center"/>
    </xf>
    <xf numFmtId="227" fontId="181" fillId="0" borderId="73" xfId="14492" applyNumberFormat="1" applyFont="1" applyBorder="1" applyAlignment="1">
      <alignment horizontal="right" vertical="center"/>
    </xf>
    <xf numFmtId="227" fontId="186" fillId="0" borderId="0" xfId="14492" applyNumberFormat="1" applyFont="1" applyBorder="1" applyAlignment="1">
      <alignment horizontal="right" vertical="center"/>
    </xf>
    <xf numFmtId="0" fontId="179" fillId="0" borderId="0" xfId="14492" applyFont="1" applyFill="1" applyBorder="1" applyAlignment="1">
      <alignment horizontal="right" vertical="center"/>
    </xf>
    <xf numFmtId="0" fontId="14" fillId="0" borderId="0" xfId="14492" applyFont="1" applyBorder="1">
      <alignment vertical="center"/>
    </xf>
    <xf numFmtId="0" fontId="9" fillId="0" borderId="0" xfId="14492" applyFont="1" applyBorder="1">
      <alignment vertical="center"/>
    </xf>
    <xf numFmtId="3" fontId="181" fillId="0" borderId="0" xfId="14492" applyNumberFormat="1" applyFont="1" applyFill="1" applyAlignment="1">
      <alignment horizontal="right" vertical="center" wrapText="1"/>
    </xf>
    <xf numFmtId="0" fontId="14" fillId="0" borderId="74" xfId="14492" applyFont="1" applyBorder="1">
      <alignment vertical="center"/>
    </xf>
    <xf numFmtId="0" fontId="183" fillId="0" borderId="74" xfId="14492" applyFont="1" applyFill="1" applyBorder="1" applyAlignment="1">
      <alignment horizontal="right" vertical="center"/>
    </xf>
    <xf numFmtId="3" fontId="183" fillId="0" borderId="0" xfId="14492" applyNumberFormat="1" applyFont="1" applyFill="1" applyAlignment="1">
      <alignment horizontal="right" vertical="center" wrapText="1"/>
    </xf>
    <xf numFmtId="3" fontId="187" fillId="0" borderId="0" xfId="14492" applyNumberFormat="1" applyFont="1" applyFill="1" applyAlignment="1">
      <alignment horizontal="right" vertical="center" wrapText="1"/>
    </xf>
    <xf numFmtId="0" fontId="180" fillId="0" borderId="0" xfId="14492" applyFont="1" applyFill="1" applyAlignment="1">
      <alignment horizontal="right" vertical="center"/>
    </xf>
    <xf numFmtId="0" fontId="10" fillId="0" borderId="74" xfId="14492" applyFont="1" applyBorder="1" applyAlignment="1">
      <alignment horizontal="left" vertical="center" readingOrder="1"/>
    </xf>
    <xf numFmtId="0" fontId="180" fillId="0" borderId="74" xfId="14492" applyFont="1" applyFill="1" applyBorder="1" applyAlignment="1">
      <alignment horizontal="right" vertical="center"/>
    </xf>
    <xf numFmtId="4" fontId="181" fillId="0" borderId="0" xfId="14492" applyNumberFormat="1" applyFont="1" applyFill="1" applyAlignment="1">
      <alignment horizontal="right" vertical="center" wrapText="1"/>
    </xf>
    <xf numFmtId="227" fontId="148" fillId="0" borderId="73" xfId="14492" applyNumberFormat="1" applyFont="1" applyBorder="1" applyAlignment="1">
      <alignment horizontal="right" vertical="center"/>
    </xf>
    <xf numFmtId="0" fontId="171" fillId="0" borderId="0" xfId="14492" applyFont="1" applyFill="1" applyAlignment="1">
      <alignment horizontal="right" vertical="center" wrapText="1" readingOrder="1"/>
    </xf>
    <xf numFmtId="177" fontId="171" fillId="0" borderId="0" xfId="14492" applyNumberFormat="1" applyFont="1" applyFill="1" applyAlignment="1">
      <alignment horizontal="right" vertical="center" wrapText="1" readingOrder="1"/>
    </xf>
    <xf numFmtId="0" fontId="171" fillId="0" borderId="0" xfId="14492" applyFont="1" applyAlignment="1">
      <alignment horizontal="right" vertical="center" wrapText="1" readingOrder="1"/>
    </xf>
    <xf numFmtId="0" fontId="8" fillId="0" borderId="0" xfId="14492" applyFont="1" applyAlignment="1">
      <alignment horizontal="right" vertical="center"/>
    </xf>
    <xf numFmtId="0" fontId="9" fillId="0" borderId="0" xfId="14492" applyFont="1" applyAlignment="1">
      <alignment horizontal="center" vertical="center"/>
    </xf>
    <xf numFmtId="177" fontId="9" fillId="0" borderId="0" xfId="4" applyNumberFormat="1" applyFont="1" applyAlignment="1">
      <alignment horizontal="right" vertical="center"/>
    </xf>
    <xf numFmtId="0" fontId="9" fillId="0" borderId="0" xfId="14492" applyFont="1" applyAlignment="1">
      <alignment horizontal="right" vertical="center"/>
    </xf>
    <xf numFmtId="41" fontId="10" fillId="0" borderId="0" xfId="4" applyFont="1">
      <alignment vertical="center"/>
    </xf>
    <xf numFmtId="41" fontId="9" fillId="57" borderId="0" xfId="14492" applyNumberFormat="1" applyFont="1" applyFill="1" applyAlignment="1">
      <alignment horizontal="right" vertical="center"/>
    </xf>
    <xf numFmtId="41" fontId="10" fillId="69" borderId="0" xfId="4" applyFont="1" applyFill="1">
      <alignment vertical="center"/>
    </xf>
    <xf numFmtId="41" fontId="9" fillId="0" borderId="0" xfId="4" applyFont="1" applyAlignment="1">
      <alignment horizontal="right" vertical="center"/>
    </xf>
    <xf numFmtId="41" fontId="9" fillId="0" borderId="0" xfId="14492" applyNumberFormat="1" applyFont="1" applyAlignment="1">
      <alignment horizontal="right" vertical="center"/>
    </xf>
    <xf numFmtId="0" fontId="3" fillId="0" borderId="0" xfId="15203" applyFont="1" applyBorder="1">
      <alignment vertical="center"/>
    </xf>
    <xf numFmtId="0" fontId="0" fillId="0" borderId="8" xfId="15203" applyFont="1" applyBorder="1">
      <alignment vertical="center"/>
    </xf>
    <xf numFmtId="0" fontId="8" fillId="0" borderId="56" xfId="14492" applyFont="1" applyBorder="1" applyAlignment="1">
      <alignment horizontal="center" vertical="center"/>
    </xf>
    <xf numFmtId="0" fontId="8" fillId="0" borderId="73" xfId="14492" applyFont="1" applyBorder="1" applyAlignment="1">
      <alignment horizontal="center" vertical="center"/>
    </xf>
    <xf numFmtId="0" fontId="8" fillId="0" borderId="39" xfId="14492" applyFont="1" applyBorder="1" applyAlignment="1">
      <alignment horizontal="center" vertical="center"/>
    </xf>
    <xf numFmtId="0" fontId="0" fillId="0" borderId="40" xfId="0" applyBorder="1" applyAlignment="1">
      <alignment horizontal="left" vertical="center"/>
    </xf>
    <xf numFmtId="0" fontId="0" fillId="0" borderId="41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7" borderId="26" xfId="0" applyFill="1" applyBorder="1" applyAlignment="1">
      <alignment horizontal="left" vertical="center"/>
    </xf>
    <xf numFmtId="0" fontId="0" fillId="7" borderId="27" xfId="0" applyFill="1" applyBorder="1" applyAlignment="1">
      <alignment horizontal="left" vertical="center"/>
    </xf>
    <xf numFmtId="0" fontId="0" fillId="7" borderId="28" xfId="0" applyFill="1" applyBorder="1" applyAlignment="1">
      <alignment horizontal="left" vertical="center"/>
    </xf>
    <xf numFmtId="0" fontId="0" fillId="7" borderId="30" xfId="0" applyFill="1" applyBorder="1" applyAlignment="1">
      <alignment horizontal="left" vertical="center"/>
    </xf>
    <xf numFmtId="0" fontId="0" fillId="7" borderId="31" xfId="0" applyFill="1" applyBorder="1" applyAlignment="1">
      <alignment horizontal="left" vertical="center"/>
    </xf>
    <xf numFmtId="0" fontId="0" fillId="7" borderId="32" xfId="0" applyFill="1" applyBorder="1" applyAlignment="1">
      <alignment horizontal="left" vertical="center"/>
    </xf>
    <xf numFmtId="228" fontId="152" fillId="63" borderId="0" xfId="14492" applyNumberFormat="1" applyFont="1" applyFill="1" applyBorder="1" applyAlignment="1">
      <alignment horizontal="right" vertical="center" shrinkToFit="1"/>
    </xf>
  </cellXfs>
  <cellStyles count="15233">
    <cellStyle name="_x0012_" xfId="7"/>
    <cellStyle name=" " xfId="8"/>
    <cellStyle name="??&amp;O?&amp;H?_x0008__x000f__x0007_?_x0007__x0001__x0001_" xfId="9"/>
    <cellStyle name="??&amp;O?&amp;H?_x0008_??_x0007__x0001__x0001_" xfId="10"/>
    <cellStyle name="????_city" xfId="11"/>
    <cellStyle name="??_??? _??? " xfId="12"/>
    <cellStyle name="_(요청)_제품별 MS_장D" xfId="13"/>
    <cellStyle name="__ [0]_____ " xfId="14"/>
    <cellStyle name="__ [0]___BS('98) " xfId="15"/>
    <cellStyle name="__ [0]_SP ___ __ " xfId="16"/>
    <cellStyle name="_______ " xfId="17"/>
    <cellStyle name="_______ __ " xfId="18"/>
    <cellStyle name="_____BS('98) " xfId="19"/>
    <cellStyle name="___12_ " xfId="20"/>
    <cellStyle name="___CD-ROM " xfId="21"/>
    <cellStyle name="___SP ___ __ " xfId="22"/>
    <cellStyle name="_☆Report_0223_S&amp;OP Weekly" xfId="23"/>
    <cellStyle name="_★0408_19시_BEP by Model(Division) Master(B2B구분완료)" xfId="24"/>
    <cellStyle name="_★05년 매출,손익" xfId="25"/>
    <cellStyle name="_★05년 매출,손익_8월 예상손익 점검" xfId="26"/>
    <cellStyle name="_★05년 매출,손익_8월 예상손익 점검_DM_환율영향분석_본부" xfId="27"/>
    <cellStyle name="_★05년 매출,손익_DM_환율영향분석_본부" xfId="28"/>
    <cellStyle name="_★090220_`09전략CM 지역별매출 Template" xfId="29"/>
    <cellStyle name="_★GSI_L1,L3_Account_ValueSet,Mapping_v1.6_20070716" xfId="30"/>
    <cellStyle name="_★GSI_L1,L3_Account_ValueSet,Mapping_v2.8_20080805_미배포" xfId="31"/>
    <cellStyle name="_★Report_S&amp;OP Weekly_PBL 090212" xfId="32"/>
    <cellStyle name="_0221_Global_Daily Sales(RBL예상)" xfId="33"/>
    <cellStyle name="_0506_15시_Sales (Month) by Modelv3" xfId="34"/>
    <cellStyle name="_0512 15 자재재고 계획(유재종)" xfId="35"/>
    <cellStyle name="_'05년 손익차이-GPU" xfId="36"/>
    <cellStyle name="_'05년 손익차이-GPU_8월 예상손익 점검" xfId="37"/>
    <cellStyle name="_'05년 손익차이-GPU_8월 예상손익 점검_DM_환율영향분석_본부" xfId="38"/>
    <cellStyle name="_'05년 손익차이-GPU_DM_환율영향분석_본부" xfId="39"/>
    <cellStyle name="_'08년 4분기 조정금액" xfId="40"/>
    <cellStyle name="_'08년 MC본부 재료비율(실적 포함)" xfId="41"/>
    <cellStyle name="_'08년 기본 재료비율CI율 기본계획" xfId="42"/>
    <cellStyle name="_'08재고실적_전진법" xfId="43"/>
    <cellStyle name="_09년 Global 법인별 재고 Actual &amp; DIO" xfId="44"/>
    <cellStyle name="_09년 실적 Entity별 DIO ver2" xfId="45"/>
    <cellStyle name="_09년 실적 Entity별 DIO ver2 환율조정본" xfId="46"/>
    <cellStyle name="_10 RAC 법인별 재고 DIO ver3-2월실적" xfId="47"/>
    <cellStyle name="_2" xfId="48"/>
    <cellStyle name="_2005-6월 이동 Company손익물동 최종(0625)" xfId="49"/>
    <cellStyle name="_2005-6월 이동 Company손익물동 최종(0625)_2005-6월 이동 GPU 손익물동 최종(0625)" xfId="50"/>
    <cellStyle name="_2005-6월 이동 Company손익물동 최종(0625)_2005-6월 이동 GPU 손익물동 최종(0625)_8월 예상손익 점검" xfId="51"/>
    <cellStyle name="_2005-6월 이동 Company손익물동 최종(0625)_2005-6월 이동 GPU 손익물동 최종(0625)_8월 예상손익 점검_8월 예상손익 점검" xfId="52"/>
    <cellStyle name="_2005-6월 이동 Company손익물동 최종(0625)_2005-6월 이동 GPU 손익물동 최종(0625)_8월 예상손익 점검_8월 예상손익 점검_DM_환율영향분석_본부" xfId="53"/>
    <cellStyle name="_2005-6월 이동 Company손익물동 최종(0625)_2005-6월 이동 GPU 손익물동 최종(0625)_8월 예상손익 점검_DM_환율영향분석_본부" xfId="54"/>
    <cellStyle name="_2005-6월 이동 Company손익물동 최종(0625)_2005-6월 이동 GPU 손익물동 최종(0625)_DM_환율영향분석_본부" xfId="55"/>
    <cellStyle name="_2005-6월 이동 Company손익물동 최종(0625)_8월 예상손익 점검" xfId="56"/>
    <cellStyle name="_2005-6월 이동 Company손익물동 최종(0625)_8월 예상손익 점검_8월 예상손익 점검" xfId="57"/>
    <cellStyle name="_2005-6월 이동 Company손익물동 최종(0625)_8월 예상손익 점검_8월 예상손익 점검_DM_환율영향분석_본부" xfId="58"/>
    <cellStyle name="_2005-6월 이동 Company손익물동 최종(0625)_8월 예상손익 점검_DM_환율영향분석_본부" xfId="59"/>
    <cellStyle name="_2005-6월 이동 Company손익물동 최종(0625)_DM_환율영향분석_본부" xfId="60"/>
    <cellStyle name="_2005-6월 이동 GPU 손익물동 최종(0625)" xfId="61"/>
    <cellStyle name="_2005-6월 이동 GPU 손익물동 최종(0625)_2005-6월 이동 GPU 손익물동 최종(0625)" xfId="62"/>
    <cellStyle name="_2005-6월 이동 GPU 손익물동 최종(0625)_2005-6월 이동 GPU 손익물동 최종(0625)_8월 예상손익 점검" xfId="63"/>
    <cellStyle name="_2005-6월 이동 GPU 손익물동 최종(0625)_2005-6월 이동 GPU 손익물동 최종(0625)_8월 예상손익 점검_8월 예상손익 점검" xfId="64"/>
    <cellStyle name="_2005-6월 이동 GPU 손익물동 최종(0625)_2005-6월 이동 GPU 손익물동 최종(0625)_8월 예상손익 점검_8월 예상손익 점검_DM_환율영향분석_본부" xfId="65"/>
    <cellStyle name="_2005-6월 이동 GPU 손익물동 최종(0625)_2005-6월 이동 GPU 손익물동 최종(0625)_8월 예상손익 점검_DM_환율영향분석_본부" xfId="66"/>
    <cellStyle name="_2005-6월 이동 GPU 손익물동 최종(0625)_2005-6월 이동 GPU 손익물동 최종(0625)_DM_환율영향분석_본부" xfId="67"/>
    <cellStyle name="_2005-6월 이동 GPU 손익물동 최종(0625)_8월 예상손익 점검" xfId="68"/>
    <cellStyle name="_2005-6월 이동 GPU 손익물동 최종(0625)_8월 예상손익 점검_8월 예상손익 점검" xfId="69"/>
    <cellStyle name="_2005-6월 이동 GPU 손익물동 최종(0625)_8월 예상손익 점검_8월 예상손익 점검_DM_환율영향분석_본부" xfId="70"/>
    <cellStyle name="_2005-6월 이동 GPU 손익물동 최종(0625)_8월 예상손익 점검_DM_환율영향분석_본부" xfId="71"/>
    <cellStyle name="_2005-6월 이동 GPU 손익물동 최종(0625)_DM_환율영향분석_본부" xfId="72"/>
    <cellStyle name="_21c판매물량" xfId="73"/>
    <cellStyle name="_8월 예상손익 점검" xfId="74"/>
    <cellStyle name="_8월 예상손익 점검_8월 예상손익 점검" xfId="75"/>
    <cellStyle name="_8월 예상손익 점검_8월 예상손익 점검_DM_환율영향분석_본부" xfId="76"/>
    <cellStyle name="_8월 예상손익 점검_DM_환율영향분석_본부" xfId="77"/>
    <cellStyle name="_9월 Pa&amp;Glo_v7" xfId="78"/>
    <cellStyle name="_AV 2005년 환영향분석_0808_DI" xfId="79"/>
    <cellStyle name="_AV 2005년 환영향분석_0808_DI_DM_환율영향분석_본부" xfId="80"/>
    <cellStyle name="_AV 수출물동회의결과송부(0708)" xfId="81"/>
    <cellStyle name="_AV 수출물동회의결과송부(0708)_8월 예상손익 점검" xfId="82"/>
    <cellStyle name="_AV 수출물동회의결과송부(0708)_8월 예상손익 점검_8월 예상손익 점검" xfId="83"/>
    <cellStyle name="_AV 수출물동회의결과송부(0708)_8월 예상손익 점검_8월 예상손익 점검_DM_환율영향분석_본부" xfId="84"/>
    <cellStyle name="_AV 수출물동회의결과송부(0708)_8월 예상손익 점검_DM_환율영향분석_본부" xfId="85"/>
    <cellStyle name="_AV 수출물동회의결과송부(0708)_DM_환율영향분석_본부" xfId="86"/>
    <cellStyle name="_Biz-plan" xfId="87"/>
    <cellStyle name="_Book5" xfId="88"/>
    <cellStyle name="_Book6" xfId="89"/>
    <cellStyle name="_comany_0907_1_유상철D" xfId="90"/>
    <cellStyle name="_comany_0907_1_유상철D_2005-10월차 이동 Company 손익물동(0907)_MBR" xfId="91"/>
    <cellStyle name="_comany_0907_1_유상철D_2005-10월차 이동 Company 손익물동(0907)_MBR_DM_환율영향분석_본부" xfId="92"/>
    <cellStyle name="_comany_0907_1_유상철D_DM_환율영향분석_본부" xfId="93"/>
    <cellStyle name="_COMP" xfId="94"/>
    <cellStyle name="_Copy of 2010 Target_EHQ_PM회의물량" xfId="95"/>
    <cellStyle name="_DM_환율영향분석_본부" xfId="96"/>
    <cellStyle name="_P4_NPV" xfId="97"/>
    <cellStyle name="_p4bp" xfId="98"/>
    <cellStyle name="_구주 내부계획 Raw_ver.1" xfId="99"/>
    <cellStyle name="_당월예상" xfId="100"/>
    <cellStyle name="_손익차이분석_05년 GPU O_H_CP,CM포함" xfId="101"/>
    <cellStyle name="_손익차이분석_05년 GPU O_H_CP,CM포함_DM_환율영향분석_본부" xfId="102"/>
    <cellStyle name="_손익차이분석_05년 GPU O_H_CP,CM포함_손익차이분석_05년 GPU O_H_CP,CM포함" xfId="103"/>
    <cellStyle name="_손익차이분석_05년 GPU O_H_CP,CM포함_손익차이분석_05년 GPU O_H_CP,CM포함_DM_환율영향분석_본부" xfId="104"/>
    <cellStyle name="_인건비" xfId="105"/>
    <cellStyle name="»õ±Ò[0]_8price1" xfId="106"/>
    <cellStyle name="»õ±Ò_8price1" xfId="107"/>
    <cellStyle name="0,0_x000d__x000a_NA_x000d__x000a_" xfId="108"/>
    <cellStyle name="19990216" xfId="109"/>
    <cellStyle name="20% - Accent1" xfId="110"/>
    <cellStyle name="20% - Accent2" xfId="111"/>
    <cellStyle name="20% - Accent3" xfId="112"/>
    <cellStyle name="20% - Accent4" xfId="113"/>
    <cellStyle name="20% - Accent5" xfId="114"/>
    <cellStyle name="20% - Accent6" xfId="115"/>
    <cellStyle name="20% - 强调文字颜色 1" xfId="116"/>
    <cellStyle name="20% - 强调文字颜色 2" xfId="117"/>
    <cellStyle name="20% - 强调文字颜色 3" xfId="118"/>
    <cellStyle name="20% - 强调文字颜色 4" xfId="119"/>
    <cellStyle name="20% - 强调文字颜色 5" xfId="120"/>
    <cellStyle name="20% - 强调文字颜色 6" xfId="121"/>
    <cellStyle name="20% - 강조색1 2" xfId="122"/>
    <cellStyle name="20% - 강조색1 2 10" xfId="123"/>
    <cellStyle name="20% - 강조색1 2 100" xfId="124"/>
    <cellStyle name="20% - 강조색1 2 101" xfId="125"/>
    <cellStyle name="20% - 강조색1 2 102" xfId="126"/>
    <cellStyle name="20% - 강조색1 2 103" xfId="127"/>
    <cellStyle name="20% - 강조색1 2 104" xfId="128"/>
    <cellStyle name="20% - 강조색1 2 105" xfId="129"/>
    <cellStyle name="20% - 강조색1 2 106" xfId="130"/>
    <cellStyle name="20% - 강조색1 2 107" xfId="131"/>
    <cellStyle name="20% - 강조색1 2 108" xfId="132"/>
    <cellStyle name="20% - 강조색1 2 109" xfId="133"/>
    <cellStyle name="20% - 강조색1 2 11" xfId="134"/>
    <cellStyle name="20% - 강조색1 2 110" xfId="135"/>
    <cellStyle name="20% - 강조색1 2 111" xfId="136"/>
    <cellStyle name="20% - 강조색1 2 112" xfId="137"/>
    <cellStyle name="20% - 강조색1 2 113" xfId="138"/>
    <cellStyle name="20% - 강조색1 2 114" xfId="139"/>
    <cellStyle name="20% - 강조색1 2 115" xfId="140"/>
    <cellStyle name="20% - 강조색1 2 116" xfId="141"/>
    <cellStyle name="20% - 강조색1 2 117" xfId="142"/>
    <cellStyle name="20% - 강조색1 2 118" xfId="143"/>
    <cellStyle name="20% - 강조색1 2 119" xfId="144"/>
    <cellStyle name="20% - 강조색1 2 12" xfId="145"/>
    <cellStyle name="20% - 강조색1 2 120" xfId="146"/>
    <cellStyle name="20% - 강조색1 2 121" xfId="147"/>
    <cellStyle name="20% - 강조색1 2 122" xfId="148"/>
    <cellStyle name="20% - 강조색1 2 123" xfId="149"/>
    <cellStyle name="20% - 강조색1 2 124" xfId="150"/>
    <cellStyle name="20% - 강조색1 2 125" xfId="151"/>
    <cellStyle name="20% - 강조색1 2 126" xfId="152"/>
    <cellStyle name="20% - 강조색1 2 127" xfId="153"/>
    <cellStyle name="20% - 강조색1 2 128" xfId="154"/>
    <cellStyle name="20% - 강조색1 2 129" xfId="155"/>
    <cellStyle name="20% - 강조색1 2 13" xfId="156"/>
    <cellStyle name="20% - 강조색1 2 130" xfId="157"/>
    <cellStyle name="20% - 강조색1 2 131" xfId="158"/>
    <cellStyle name="20% - 강조색1 2 132" xfId="159"/>
    <cellStyle name="20% - 강조색1 2 133" xfId="160"/>
    <cellStyle name="20% - 강조색1 2 134" xfId="161"/>
    <cellStyle name="20% - 강조색1 2 135" xfId="162"/>
    <cellStyle name="20% - 강조색1 2 136" xfId="163"/>
    <cellStyle name="20% - 강조색1 2 137" xfId="164"/>
    <cellStyle name="20% - 강조색1 2 138" xfId="165"/>
    <cellStyle name="20% - 강조색1 2 139" xfId="166"/>
    <cellStyle name="20% - 강조색1 2 14" xfId="167"/>
    <cellStyle name="20% - 강조색1 2 140" xfId="168"/>
    <cellStyle name="20% - 강조색1 2 141" xfId="169"/>
    <cellStyle name="20% - 강조색1 2 142" xfId="170"/>
    <cellStyle name="20% - 강조색1 2 143" xfId="171"/>
    <cellStyle name="20% - 강조색1 2 144" xfId="172"/>
    <cellStyle name="20% - 강조색1 2 145" xfId="173"/>
    <cellStyle name="20% - 강조색1 2 146" xfId="174"/>
    <cellStyle name="20% - 강조색1 2 147" xfId="175"/>
    <cellStyle name="20% - 강조색1 2 148" xfId="176"/>
    <cellStyle name="20% - 강조색1 2 149" xfId="177"/>
    <cellStyle name="20% - 강조색1 2 15" xfId="178"/>
    <cellStyle name="20% - 강조색1 2 150" xfId="179"/>
    <cellStyle name="20% - 강조색1 2 151" xfId="180"/>
    <cellStyle name="20% - 강조색1 2 152" xfId="181"/>
    <cellStyle name="20% - 강조색1 2 153" xfId="182"/>
    <cellStyle name="20% - 강조색1 2 154" xfId="183"/>
    <cellStyle name="20% - 강조색1 2 155" xfId="184"/>
    <cellStyle name="20% - 강조색1 2 156" xfId="185"/>
    <cellStyle name="20% - 강조색1 2 157" xfId="186"/>
    <cellStyle name="20% - 강조색1 2 158" xfId="187"/>
    <cellStyle name="20% - 강조색1 2 159" xfId="188"/>
    <cellStyle name="20% - 강조색1 2 16" xfId="189"/>
    <cellStyle name="20% - 강조색1 2 160" xfId="190"/>
    <cellStyle name="20% - 강조색1 2 161" xfId="191"/>
    <cellStyle name="20% - 강조색1 2 162" xfId="192"/>
    <cellStyle name="20% - 강조색1 2 163" xfId="193"/>
    <cellStyle name="20% - 강조색1 2 164" xfId="194"/>
    <cellStyle name="20% - 강조색1 2 165" xfId="195"/>
    <cellStyle name="20% - 강조색1 2 166" xfId="196"/>
    <cellStyle name="20% - 강조색1 2 167" xfId="197"/>
    <cellStyle name="20% - 강조색1 2 168" xfId="198"/>
    <cellStyle name="20% - 강조색1 2 169" xfId="199"/>
    <cellStyle name="20% - 강조색1 2 17" xfId="200"/>
    <cellStyle name="20% - 강조색1 2 170" xfId="201"/>
    <cellStyle name="20% - 강조색1 2 171" xfId="202"/>
    <cellStyle name="20% - 강조색1 2 172" xfId="203"/>
    <cellStyle name="20% - 강조색1 2 173" xfId="204"/>
    <cellStyle name="20% - 강조색1 2 174" xfId="205"/>
    <cellStyle name="20% - 강조색1 2 175" xfId="206"/>
    <cellStyle name="20% - 강조색1 2 176" xfId="207"/>
    <cellStyle name="20% - 강조색1 2 177" xfId="208"/>
    <cellStyle name="20% - 강조색1 2 178" xfId="209"/>
    <cellStyle name="20% - 강조색1 2 179" xfId="210"/>
    <cellStyle name="20% - 강조색1 2 18" xfId="211"/>
    <cellStyle name="20% - 강조색1 2 180" xfId="212"/>
    <cellStyle name="20% - 강조색1 2 181" xfId="213"/>
    <cellStyle name="20% - 강조색1 2 182" xfId="214"/>
    <cellStyle name="20% - 강조색1 2 183" xfId="215"/>
    <cellStyle name="20% - 강조색1 2 184" xfId="216"/>
    <cellStyle name="20% - 강조색1 2 185" xfId="217"/>
    <cellStyle name="20% - 강조색1 2 186" xfId="218"/>
    <cellStyle name="20% - 강조색1 2 187" xfId="219"/>
    <cellStyle name="20% - 강조색1 2 188" xfId="220"/>
    <cellStyle name="20% - 강조색1 2 189" xfId="221"/>
    <cellStyle name="20% - 강조색1 2 19" xfId="222"/>
    <cellStyle name="20% - 강조색1 2 190" xfId="223"/>
    <cellStyle name="20% - 강조색1 2 191" xfId="224"/>
    <cellStyle name="20% - 강조색1 2 192" xfId="225"/>
    <cellStyle name="20% - 강조색1 2 193" xfId="226"/>
    <cellStyle name="20% - 강조색1 2 194" xfId="227"/>
    <cellStyle name="20% - 강조색1 2 195" xfId="228"/>
    <cellStyle name="20% - 강조색1 2 196" xfId="229"/>
    <cellStyle name="20% - 강조색1 2 197" xfId="230"/>
    <cellStyle name="20% - 강조색1 2 198" xfId="231"/>
    <cellStyle name="20% - 강조색1 2 199" xfId="232"/>
    <cellStyle name="20% - 강조색1 2 2" xfId="233"/>
    <cellStyle name="20% - 강조색1 2 20" xfId="234"/>
    <cellStyle name="20% - 강조색1 2 200" xfId="235"/>
    <cellStyle name="20% - 강조색1 2 201" xfId="236"/>
    <cellStyle name="20% - 강조색1 2 202" xfId="237"/>
    <cellStyle name="20% - 강조색1 2 203" xfId="238"/>
    <cellStyle name="20% - 강조색1 2 204" xfId="239"/>
    <cellStyle name="20% - 강조색1 2 205" xfId="240"/>
    <cellStyle name="20% - 강조색1 2 206" xfId="241"/>
    <cellStyle name="20% - 강조색1 2 207" xfId="242"/>
    <cellStyle name="20% - 강조색1 2 208" xfId="243"/>
    <cellStyle name="20% - 강조색1 2 209" xfId="244"/>
    <cellStyle name="20% - 강조색1 2 21" xfId="245"/>
    <cellStyle name="20% - 강조색1 2 210" xfId="246"/>
    <cellStyle name="20% - 강조색1 2 211" xfId="247"/>
    <cellStyle name="20% - 강조색1 2 212" xfId="248"/>
    <cellStyle name="20% - 강조색1 2 213" xfId="249"/>
    <cellStyle name="20% - 강조색1 2 214" xfId="250"/>
    <cellStyle name="20% - 강조색1 2 215" xfId="251"/>
    <cellStyle name="20% - 강조색1 2 216" xfId="252"/>
    <cellStyle name="20% - 강조색1 2 217" xfId="253"/>
    <cellStyle name="20% - 강조색1 2 218" xfId="254"/>
    <cellStyle name="20% - 강조색1 2 219" xfId="255"/>
    <cellStyle name="20% - 강조색1 2 22" xfId="256"/>
    <cellStyle name="20% - 강조색1 2 220" xfId="257"/>
    <cellStyle name="20% - 강조색1 2 221" xfId="258"/>
    <cellStyle name="20% - 강조색1 2 222" xfId="259"/>
    <cellStyle name="20% - 강조색1 2 223" xfId="260"/>
    <cellStyle name="20% - 강조색1 2 224" xfId="261"/>
    <cellStyle name="20% - 강조색1 2 225" xfId="262"/>
    <cellStyle name="20% - 강조색1 2 226" xfId="263"/>
    <cellStyle name="20% - 강조색1 2 227" xfId="264"/>
    <cellStyle name="20% - 강조색1 2 228" xfId="265"/>
    <cellStyle name="20% - 강조색1 2 229" xfId="266"/>
    <cellStyle name="20% - 강조색1 2 23" xfId="267"/>
    <cellStyle name="20% - 강조색1 2 230" xfId="268"/>
    <cellStyle name="20% - 강조색1 2 231" xfId="269"/>
    <cellStyle name="20% - 강조색1 2 232" xfId="270"/>
    <cellStyle name="20% - 강조색1 2 233" xfId="271"/>
    <cellStyle name="20% - 강조색1 2 234" xfId="272"/>
    <cellStyle name="20% - 강조색1 2 235" xfId="273"/>
    <cellStyle name="20% - 강조색1 2 236" xfId="274"/>
    <cellStyle name="20% - 강조색1 2 237" xfId="275"/>
    <cellStyle name="20% - 강조색1 2 238" xfId="276"/>
    <cellStyle name="20% - 강조색1 2 239" xfId="277"/>
    <cellStyle name="20% - 강조색1 2 24" xfId="278"/>
    <cellStyle name="20% - 강조색1 2 240" xfId="279"/>
    <cellStyle name="20% - 강조색1 2 241" xfId="280"/>
    <cellStyle name="20% - 강조색1 2 242" xfId="281"/>
    <cellStyle name="20% - 강조색1 2 25" xfId="282"/>
    <cellStyle name="20% - 강조색1 2 26" xfId="283"/>
    <cellStyle name="20% - 강조색1 2 27" xfId="284"/>
    <cellStyle name="20% - 강조색1 2 28" xfId="285"/>
    <cellStyle name="20% - 강조색1 2 29" xfId="286"/>
    <cellStyle name="20% - 강조색1 2 3" xfId="287"/>
    <cellStyle name="20% - 강조색1 2 30" xfId="288"/>
    <cellStyle name="20% - 강조색1 2 31" xfId="289"/>
    <cellStyle name="20% - 강조색1 2 32" xfId="290"/>
    <cellStyle name="20% - 강조색1 2 33" xfId="291"/>
    <cellStyle name="20% - 강조색1 2 34" xfId="292"/>
    <cellStyle name="20% - 강조색1 2 35" xfId="293"/>
    <cellStyle name="20% - 강조색1 2 36" xfId="294"/>
    <cellStyle name="20% - 강조색1 2 37" xfId="295"/>
    <cellStyle name="20% - 강조색1 2 38" xfId="296"/>
    <cellStyle name="20% - 강조색1 2 39" xfId="297"/>
    <cellStyle name="20% - 강조색1 2 4" xfId="298"/>
    <cellStyle name="20% - 강조색1 2 40" xfId="299"/>
    <cellStyle name="20% - 강조색1 2 41" xfId="300"/>
    <cellStyle name="20% - 강조색1 2 42" xfId="301"/>
    <cellStyle name="20% - 강조색1 2 43" xfId="302"/>
    <cellStyle name="20% - 강조색1 2 44" xfId="303"/>
    <cellStyle name="20% - 강조색1 2 45" xfId="304"/>
    <cellStyle name="20% - 강조색1 2 46" xfId="305"/>
    <cellStyle name="20% - 강조색1 2 47" xfId="306"/>
    <cellStyle name="20% - 강조색1 2 48" xfId="307"/>
    <cellStyle name="20% - 강조색1 2 49" xfId="308"/>
    <cellStyle name="20% - 강조색1 2 5" xfId="309"/>
    <cellStyle name="20% - 강조색1 2 50" xfId="310"/>
    <cellStyle name="20% - 강조색1 2 51" xfId="311"/>
    <cellStyle name="20% - 강조색1 2 52" xfId="312"/>
    <cellStyle name="20% - 강조색1 2 53" xfId="313"/>
    <cellStyle name="20% - 강조색1 2 54" xfId="314"/>
    <cellStyle name="20% - 강조색1 2 55" xfId="315"/>
    <cellStyle name="20% - 강조색1 2 56" xfId="316"/>
    <cellStyle name="20% - 강조색1 2 57" xfId="317"/>
    <cellStyle name="20% - 강조색1 2 58" xfId="318"/>
    <cellStyle name="20% - 강조색1 2 59" xfId="319"/>
    <cellStyle name="20% - 강조색1 2 6" xfId="320"/>
    <cellStyle name="20% - 강조색1 2 60" xfId="321"/>
    <cellStyle name="20% - 강조색1 2 61" xfId="322"/>
    <cellStyle name="20% - 강조색1 2 62" xfId="323"/>
    <cellStyle name="20% - 강조색1 2 63" xfId="324"/>
    <cellStyle name="20% - 강조색1 2 64" xfId="325"/>
    <cellStyle name="20% - 강조색1 2 65" xfId="326"/>
    <cellStyle name="20% - 강조색1 2 66" xfId="327"/>
    <cellStyle name="20% - 강조색1 2 67" xfId="328"/>
    <cellStyle name="20% - 강조색1 2 68" xfId="329"/>
    <cellStyle name="20% - 강조색1 2 69" xfId="330"/>
    <cellStyle name="20% - 강조색1 2 7" xfId="331"/>
    <cellStyle name="20% - 강조색1 2 70" xfId="332"/>
    <cellStyle name="20% - 강조색1 2 71" xfId="333"/>
    <cellStyle name="20% - 강조색1 2 72" xfId="334"/>
    <cellStyle name="20% - 강조색1 2 73" xfId="335"/>
    <cellStyle name="20% - 강조색1 2 74" xfId="336"/>
    <cellStyle name="20% - 강조색1 2 75" xfId="337"/>
    <cellStyle name="20% - 강조색1 2 76" xfId="338"/>
    <cellStyle name="20% - 강조색1 2 77" xfId="339"/>
    <cellStyle name="20% - 강조색1 2 78" xfId="340"/>
    <cellStyle name="20% - 강조색1 2 79" xfId="341"/>
    <cellStyle name="20% - 강조색1 2 8" xfId="342"/>
    <cellStyle name="20% - 강조색1 2 80" xfId="343"/>
    <cellStyle name="20% - 강조색1 2 81" xfId="344"/>
    <cellStyle name="20% - 강조색1 2 82" xfId="345"/>
    <cellStyle name="20% - 강조색1 2 83" xfId="346"/>
    <cellStyle name="20% - 강조색1 2 84" xfId="347"/>
    <cellStyle name="20% - 강조색1 2 85" xfId="348"/>
    <cellStyle name="20% - 강조색1 2 86" xfId="349"/>
    <cellStyle name="20% - 강조색1 2 87" xfId="350"/>
    <cellStyle name="20% - 강조색1 2 88" xfId="351"/>
    <cellStyle name="20% - 강조색1 2 89" xfId="352"/>
    <cellStyle name="20% - 강조색1 2 9" xfId="353"/>
    <cellStyle name="20% - 강조색1 2 90" xfId="354"/>
    <cellStyle name="20% - 강조색1 2 91" xfId="355"/>
    <cellStyle name="20% - 강조색1 2 92" xfId="356"/>
    <cellStyle name="20% - 강조색1 2 93" xfId="357"/>
    <cellStyle name="20% - 강조색1 2 94" xfId="358"/>
    <cellStyle name="20% - 강조색1 2 95" xfId="359"/>
    <cellStyle name="20% - 강조색1 2 96" xfId="360"/>
    <cellStyle name="20% - 강조색1 2 97" xfId="361"/>
    <cellStyle name="20% - 강조색1 2 98" xfId="362"/>
    <cellStyle name="20% - 강조색1 2 99" xfId="363"/>
    <cellStyle name="20% - 강조색1 3" xfId="364"/>
    <cellStyle name="20% - 강조색2 2" xfId="365"/>
    <cellStyle name="20% - 강조색2 2 10" xfId="366"/>
    <cellStyle name="20% - 강조색2 2 100" xfId="367"/>
    <cellStyle name="20% - 강조색2 2 101" xfId="368"/>
    <cellStyle name="20% - 강조색2 2 102" xfId="369"/>
    <cellStyle name="20% - 강조색2 2 103" xfId="370"/>
    <cellStyle name="20% - 강조색2 2 104" xfId="371"/>
    <cellStyle name="20% - 강조색2 2 105" xfId="372"/>
    <cellStyle name="20% - 강조색2 2 106" xfId="373"/>
    <cellStyle name="20% - 강조색2 2 107" xfId="374"/>
    <cellStyle name="20% - 강조색2 2 108" xfId="375"/>
    <cellStyle name="20% - 강조색2 2 109" xfId="376"/>
    <cellStyle name="20% - 강조색2 2 11" xfId="377"/>
    <cellStyle name="20% - 강조색2 2 110" xfId="378"/>
    <cellStyle name="20% - 강조색2 2 111" xfId="379"/>
    <cellStyle name="20% - 강조색2 2 112" xfId="380"/>
    <cellStyle name="20% - 강조색2 2 113" xfId="381"/>
    <cellStyle name="20% - 강조색2 2 114" xfId="382"/>
    <cellStyle name="20% - 강조색2 2 115" xfId="383"/>
    <cellStyle name="20% - 강조색2 2 116" xfId="384"/>
    <cellStyle name="20% - 강조색2 2 117" xfId="385"/>
    <cellStyle name="20% - 강조색2 2 118" xfId="386"/>
    <cellStyle name="20% - 강조색2 2 119" xfId="387"/>
    <cellStyle name="20% - 강조색2 2 12" xfId="388"/>
    <cellStyle name="20% - 강조색2 2 120" xfId="389"/>
    <cellStyle name="20% - 강조색2 2 121" xfId="390"/>
    <cellStyle name="20% - 강조색2 2 122" xfId="391"/>
    <cellStyle name="20% - 강조색2 2 123" xfId="392"/>
    <cellStyle name="20% - 강조색2 2 124" xfId="393"/>
    <cellStyle name="20% - 강조색2 2 125" xfId="394"/>
    <cellStyle name="20% - 강조색2 2 126" xfId="395"/>
    <cellStyle name="20% - 강조색2 2 127" xfId="396"/>
    <cellStyle name="20% - 강조색2 2 128" xfId="397"/>
    <cellStyle name="20% - 강조색2 2 129" xfId="398"/>
    <cellStyle name="20% - 강조색2 2 13" xfId="399"/>
    <cellStyle name="20% - 강조색2 2 130" xfId="400"/>
    <cellStyle name="20% - 강조색2 2 131" xfId="401"/>
    <cellStyle name="20% - 강조색2 2 132" xfId="402"/>
    <cellStyle name="20% - 강조색2 2 133" xfId="403"/>
    <cellStyle name="20% - 강조색2 2 134" xfId="404"/>
    <cellStyle name="20% - 강조색2 2 135" xfId="405"/>
    <cellStyle name="20% - 강조색2 2 136" xfId="406"/>
    <cellStyle name="20% - 강조색2 2 137" xfId="407"/>
    <cellStyle name="20% - 강조색2 2 138" xfId="408"/>
    <cellStyle name="20% - 강조색2 2 139" xfId="409"/>
    <cellStyle name="20% - 강조색2 2 14" xfId="410"/>
    <cellStyle name="20% - 강조색2 2 140" xfId="411"/>
    <cellStyle name="20% - 강조색2 2 141" xfId="412"/>
    <cellStyle name="20% - 강조색2 2 142" xfId="413"/>
    <cellStyle name="20% - 강조색2 2 143" xfId="414"/>
    <cellStyle name="20% - 강조색2 2 144" xfId="415"/>
    <cellStyle name="20% - 강조색2 2 145" xfId="416"/>
    <cellStyle name="20% - 강조색2 2 146" xfId="417"/>
    <cellStyle name="20% - 강조색2 2 147" xfId="418"/>
    <cellStyle name="20% - 강조색2 2 148" xfId="419"/>
    <cellStyle name="20% - 강조색2 2 149" xfId="420"/>
    <cellStyle name="20% - 강조색2 2 15" xfId="421"/>
    <cellStyle name="20% - 강조색2 2 150" xfId="422"/>
    <cellStyle name="20% - 강조색2 2 151" xfId="423"/>
    <cellStyle name="20% - 강조색2 2 152" xfId="424"/>
    <cellStyle name="20% - 강조색2 2 153" xfId="425"/>
    <cellStyle name="20% - 강조색2 2 154" xfId="426"/>
    <cellStyle name="20% - 강조색2 2 155" xfId="427"/>
    <cellStyle name="20% - 강조색2 2 156" xfId="428"/>
    <cellStyle name="20% - 강조색2 2 157" xfId="429"/>
    <cellStyle name="20% - 강조색2 2 158" xfId="430"/>
    <cellStyle name="20% - 강조색2 2 159" xfId="431"/>
    <cellStyle name="20% - 강조색2 2 16" xfId="432"/>
    <cellStyle name="20% - 강조색2 2 160" xfId="433"/>
    <cellStyle name="20% - 강조색2 2 161" xfId="434"/>
    <cellStyle name="20% - 강조색2 2 162" xfId="435"/>
    <cellStyle name="20% - 강조색2 2 163" xfId="436"/>
    <cellStyle name="20% - 강조색2 2 164" xfId="437"/>
    <cellStyle name="20% - 강조색2 2 165" xfId="438"/>
    <cellStyle name="20% - 강조색2 2 166" xfId="439"/>
    <cellStyle name="20% - 강조색2 2 167" xfId="440"/>
    <cellStyle name="20% - 강조색2 2 168" xfId="441"/>
    <cellStyle name="20% - 강조색2 2 169" xfId="442"/>
    <cellStyle name="20% - 강조색2 2 17" xfId="443"/>
    <cellStyle name="20% - 강조색2 2 170" xfId="444"/>
    <cellStyle name="20% - 강조색2 2 171" xfId="445"/>
    <cellStyle name="20% - 강조색2 2 172" xfId="446"/>
    <cellStyle name="20% - 강조색2 2 173" xfId="447"/>
    <cellStyle name="20% - 강조색2 2 174" xfId="448"/>
    <cellStyle name="20% - 강조색2 2 175" xfId="449"/>
    <cellStyle name="20% - 강조색2 2 176" xfId="450"/>
    <cellStyle name="20% - 강조색2 2 177" xfId="451"/>
    <cellStyle name="20% - 강조색2 2 178" xfId="452"/>
    <cellStyle name="20% - 강조색2 2 179" xfId="453"/>
    <cellStyle name="20% - 강조색2 2 18" xfId="454"/>
    <cellStyle name="20% - 강조색2 2 180" xfId="455"/>
    <cellStyle name="20% - 강조색2 2 181" xfId="456"/>
    <cellStyle name="20% - 강조색2 2 182" xfId="457"/>
    <cellStyle name="20% - 강조색2 2 183" xfId="458"/>
    <cellStyle name="20% - 강조색2 2 184" xfId="459"/>
    <cellStyle name="20% - 강조색2 2 185" xfId="460"/>
    <cellStyle name="20% - 강조색2 2 186" xfId="461"/>
    <cellStyle name="20% - 강조색2 2 187" xfId="462"/>
    <cellStyle name="20% - 강조색2 2 188" xfId="463"/>
    <cellStyle name="20% - 강조색2 2 189" xfId="464"/>
    <cellStyle name="20% - 강조색2 2 19" xfId="465"/>
    <cellStyle name="20% - 강조색2 2 190" xfId="466"/>
    <cellStyle name="20% - 강조색2 2 191" xfId="467"/>
    <cellStyle name="20% - 강조색2 2 192" xfId="468"/>
    <cellStyle name="20% - 강조색2 2 193" xfId="469"/>
    <cellStyle name="20% - 강조색2 2 194" xfId="470"/>
    <cellStyle name="20% - 강조색2 2 195" xfId="471"/>
    <cellStyle name="20% - 강조색2 2 196" xfId="472"/>
    <cellStyle name="20% - 강조색2 2 197" xfId="473"/>
    <cellStyle name="20% - 강조색2 2 198" xfId="474"/>
    <cellStyle name="20% - 강조색2 2 199" xfId="475"/>
    <cellStyle name="20% - 강조색2 2 2" xfId="476"/>
    <cellStyle name="20% - 강조색2 2 20" xfId="477"/>
    <cellStyle name="20% - 강조색2 2 200" xfId="478"/>
    <cellStyle name="20% - 강조색2 2 201" xfId="479"/>
    <cellStyle name="20% - 강조색2 2 202" xfId="480"/>
    <cellStyle name="20% - 강조색2 2 203" xfId="481"/>
    <cellStyle name="20% - 강조색2 2 204" xfId="482"/>
    <cellStyle name="20% - 강조색2 2 205" xfId="483"/>
    <cellStyle name="20% - 강조색2 2 206" xfId="484"/>
    <cellStyle name="20% - 강조색2 2 207" xfId="485"/>
    <cellStyle name="20% - 강조색2 2 208" xfId="486"/>
    <cellStyle name="20% - 강조색2 2 209" xfId="487"/>
    <cellStyle name="20% - 강조색2 2 21" xfId="488"/>
    <cellStyle name="20% - 강조색2 2 210" xfId="489"/>
    <cellStyle name="20% - 강조색2 2 211" xfId="490"/>
    <cellStyle name="20% - 강조색2 2 212" xfId="491"/>
    <cellStyle name="20% - 강조색2 2 213" xfId="492"/>
    <cellStyle name="20% - 강조색2 2 214" xfId="493"/>
    <cellStyle name="20% - 강조색2 2 215" xfId="494"/>
    <cellStyle name="20% - 강조색2 2 216" xfId="495"/>
    <cellStyle name="20% - 강조색2 2 217" xfId="496"/>
    <cellStyle name="20% - 강조색2 2 218" xfId="497"/>
    <cellStyle name="20% - 강조색2 2 219" xfId="498"/>
    <cellStyle name="20% - 강조색2 2 22" xfId="499"/>
    <cellStyle name="20% - 강조색2 2 220" xfId="500"/>
    <cellStyle name="20% - 강조색2 2 221" xfId="501"/>
    <cellStyle name="20% - 강조색2 2 222" xfId="502"/>
    <cellStyle name="20% - 강조색2 2 223" xfId="503"/>
    <cellStyle name="20% - 강조색2 2 224" xfId="504"/>
    <cellStyle name="20% - 강조색2 2 225" xfId="505"/>
    <cellStyle name="20% - 강조색2 2 226" xfId="506"/>
    <cellStyle name="20% - 강조색2 2 227" xfId="507"/>
    <cellStyle name="20% - 강조색2 2 228" xfId="508"/>
    <cellStyle name="20% - 강조색2 2 229" xfId="509"/>
    <cellStyle name="20% - 강조색2 2 23" xfId="510"/>
    <cellStyle name="20% - 강조색2 2 230" xfId="511"/>
    <cellStyle name="20% - 강조색2 2 231" xfId="512"/>
    <cellStyle name="20% - 강조색2 2 232" xfId="513"/>
    <cellStyle name="20% - 강조색2 2 233" xfId="514"/>
    <cellStyle name="20% - 강조색2 2 234" xfId="515"/>
    <cellStyle name="20% - 강조색2 2 235" xfId="516"/>
    <cellStyle name="20% - 강조색2 2 236" xfId="517"/>
    <cellStyle name="20% - 강조색2 2 237" xfId="518"/>
    <cellStyle name="20% - 강조색2 2 238" xfId="519"/>
    <cellStyle name="20% - 강조색2 2 239" xfId="520"/>
    <cellStyle name="20% - 강조색2 2 24" xfId="521"/>
    <cellStyle name="20% - 강조색2 2 240" xfId="522"/>
    <cellStyle name="20% - 강조색2 2 241" xfId="523"/>
    <cellStyle name="20% - 강조색2 2 242" xfId="524"/>
    <cellStyle name="20% - 강조색2 2 25" xfId="525"/>
    <cellStyle name="20% - 강조색2 2 26" xfId="526"/>
    <cellStyle name="20% - 강조색2 2 27" xfId="527"/>
    <cellStyle name="20% - 강조색2 2 28" xfId="528"/>
    <cellStyle name="20% - 강조색2 2 29" xfId="529"/>
    <cellStyle name="20% - 강조색2 2 3" xfId="530"/>
    <cellStyle name="20% - 강조색2 2 30" xfId="531"/>
    <cellStyle name="20% - 강조색2 2 31" xfId="532"/>
    <cellStyle name="20% - 강조색2 2 32" xfId="533"/>
    <cellStyle name="20% - 강조색2 2 33" xfId="534"/>
    <cellStyle name="20% - 강조색2 2 34" xfId="535"/>
    <cellStyle name="20% - 강조색2 2 35" xfId="536"/>
    <cellStyle name="20% - 강조색2 2 36" xfId="537"/>
    <cellStyle name="20% - 강조색2 2 37" xfId="538"/>
    <cellStyle name="20% - 강조색2 2 38" xfId="539"/>
    <cellStyle name="20% - 강조색2 2 39" xfId="540"/>
    <cellStyle name="20% - 강조색2 2 4" xfId="541"/>
    <cellStyle name="20% - 강조색2 2 40" xfId="542"/>
    <cellStyle name="20% - 강조색2 2 41" xfId="543"/>
    <cellStyle name="20% - 강조색2 2 42" xfId="544"/>
    <cellStyle name="20% - 강조색2 2 43" xfId="545"/>
    <cellStyle name="20% - 강조색2 2 44" xfId="546"/>
    <cellStyle name="20% - 강조색2 2 45" xfId="547"/>
    <cellStyle name="20% - 강조색2 2 46" xfId="548"/>
    <cellStyle name="20% - 강조색2 2 47" xfId="549"/>
    <cellStyle name="20% - 강조색2 2 48" xfId="550"/>
    <cellStyle name="20% - 강조색2 2 49" xfId="551"/>
    <cellStyle name="20% - 강조색2 2 5" xfId="552"/>
    <cellStyle name="20% - 강조색2 2 50" xfId="553"/>
    <cellStyle name="20% - 강조색2 2 51" xfId="554"/>
    <cellStyle name="20% - 강조색2 2 52" xfId="555"/>
    <cellStyle name="20% - 강조색2 2 53" xfId="556"/>
    <cellStyle name="20% - 강조색2 2 54" xfId="557"/>
    <cellStyle name="20% - 강조색2 2 55" xfId="558"/>
    <cellStyle name="20% - 강조색2 2 56" xfId="559"/>
    <cellStyle name="20% - 강조색2 2 57" xfId="560"/>
    <cellStyle name="20% - 강조색2 2 58" xfId="561"/>
    <cellStyle name="20% - 강조색2 2 59" xfId="562"/>
    <cellStyle name="20% - 강조색2 2 6" xfId="563"/>
    <cellStyle name="20% - 강조색2 2 60" xfId="564"/>
    <cellStyle name="20% - 강조색2 2 61" xfId="565"/>
    <cellStyle name="20% - 강조색2 2 62" xfId="566"/>
    <cellStyle name="20% - 강조색2 2 63" xfId="567"/>
    <cellStyle name="20% - 강조색2 2 64" xfId="568"/>
    <cellStyle name="20% - 강조색2 2 65" xfId="569"/>
    <cellStyle name="20% - 강조색2 2 66" xfId="570"/>
    <cellStyle name="20% - 강조색2 2 67" xfId="571"/>
    <cellStyle name="20% - 강조색2 2 68" xfId="572"/>
    <cellStyle name="20% - 강조색2 2 69" xfId="573"/>
    <cellStyle name="20% - 강조색2 2 7" xfId="574"/>
    <cellStyle name="20% - 강조색2 2 70" xfId="575"/>
    <cellStyle name="20% - 강조색2 2 71" xfId="576"/>
    <cellStyle name="20% - 강조색2 2 72" xfId="577"/>
    <cellStyle name="20% - 강조색2 2 73" xfId="578"/>
    <cellStyle name="20% - 강조색2 2 74" xfId="579"/>
    <cellStyle name="20% - 강조색2 2 75" xfId="580"/>
    <cellStyle name="20% - 강조색2 2 76" xfId="581"/>
    <cellStyle name="20% - 강조색2 2 77" xfId="582"/>
    <cellStyle name="20% - 강조색2 2 78" xfId="583"/>
    <cellStyle name="20% - 강조색2 2 79" xfId="584"/>
    <cellStyle name="20% - 강조색2 2 8" xfId="585"/>
    <cellStyle name="20% - 강조색2 2 80" xfId="586"/>
    <cellStyle name="20% - 강조색2 2 81" xfId="587"/>
    <cellStyle name="20% - 강조색2 2 82" xfId="588"/>
    <cellStyle name="20% - 강조색2 2 83" xfId="589"/>
    <cellStyle name="20% - 강조색2 2 84" xfId="590"/>
    <cellStyle name="20% - 강조색2 2 85" xfId="591"/>
    <cellStyle name="20% - 강조색2 2 86" xfId="592"/>
    <cellStyle name="20% - 강조색2 2 87" xfId="593"/>
    <cellStyle name="20% - 강조색2 2 88" xfId="594"/>
    <cellStyle name="20% - 강조색2 2 89" xfId="595"/>
    <cellStyle name="20% - 강조색2 2 9" xfId="596"/>
    <cellStyle name="20% - 강조색2 2 90" xfId="597"/>
    <cellStyle name="20% - 강조색2 2 91" xfId="598"/>
    <cellStyle name="20% - 강조색2 2 92" xfId="599"/>
    <cellStyle name="20% - 강조색2 2 93" xfId="600"/>
    <cellStyle name="20% - 강조색2 2 94" xfId="601"/>
    <cellStyle name="20% - 강조색2 2 95" xfId="602"/>
    <cellStyle name="20% - 강조색2 2 96" xfId="603"/>
    <cellStyle name="20% - 강조색2 2 97" xfId="604"/>
    <cellStyle name="20% - 강조색2 2 98" xfId="605"/>
    <cellStyle name="20% - 강조색2 2 99" xfId="606"/>
    <cellStyle name="20% - 강조색2 3" xfId="607"/>
    <cellStyle name="20% - 강조색3 2" xfId="608"/>
    <cellStyle name="20% - 강조색3 2 10" xfId="609"/>
    <cellStyle name="20% - 강조색3 2 100" xfId="610"/>
    <cellStyle name="20% - 강조색3 2 101" xfId="611"/>
    <cellStyle name="20% - 강조색3 2 102" xfId="612"/>
    <cellStyle name="20% - 강조색3 2 103" xfId="613"/>
    <cellStyle name="20% - 강조색3 2 104" xfId="614"/>
    <cellStyle name="20% - 강조색3 2 105" xfId="615"/>
    <cellStyle name="20% - 강조색3 2 106" xfId="616"/>
    <cellStyle name="20% - 강조색3 2 107" xfId="617"/>
    <cellStyle name="20% - 강조색3 2 108" xfId="618"/>
    <cellStyle name="20% - 강조색3 2 109" xfId="619"/>
    <cellStyle name="20% - 강조색3 2 11" xfId="620"/>
    <cellStyle name="20% - 강조색3 2 110" xfId="621"/>
    <cellStyle name="20% - 강조색3 2 111" xfId="622"/>
    <cellStyle name="20% - 강조색3 2 112" xfId="623"/>
    <cellStyle name="20% - 강조색3 2 113" xfId="624"/>
    <cellStyle name="20% - 강조색3 2 114" xfId="625"/>
    <cellStyle name="20% - 강조색3 2 115" xfId="626"/>
    <cellStyle name="20% - 강조색3 2 116" xfId="627"/>
    <cellStyle name="20% - 강조색3 2 117" xfId="628"/>
    <cellStyle name="20% - 강조색3 2 118" xfId="629"/>
    <cellStyle name="20% - 강조색3 2 119" xfId="630"/>
    <cellStyle name="20% - 강조색3 2 12" xfId="631"/>
    <cellStyle name="20% - 강조색3 2 120" xfId="632"/>
    <cellStyle name="20% - 강조색3 2 121" xfId="633"/>
    <cellStyle name="20% - 강조색3 2 122" xfId="634"/>
    <cellStyle name="20% - 강조색3 2 123" xfId="635"/>
    <cellStyle name="20% - 강조색3 2 124" xfId="636"/>
    <cellStyle name="20% - 강조색3 2 125" xfId="637"/>
    <cellStyle name="20% - 강조색3 2 126" xfId="638"/>
    <cellStyle name="20% - 강조색3 2 127" xfId="639"/>
    <cellStyle name="20% - 강조색3 2 128" xfId="640"/>
    <cellStyle name="20% - 강조색3 2 129" xfId="641"/>
    <cellStyle name="20% - 강조색3 2 13" xfId="642"/>
    <cellStyle name="20% - 강조색3 2 130" xfId="643"/>
    <cellStyle name="20% - 강조색3 2 131" xfId="644"/>
    <cellStyle name="20% - 강조색3 2 132" xfId="645"/>
    <cellStyle name="20% - 강조색3 2 133" xfId="646"/>
    <cellStyle name="20% - 강조색3 2 134" xfId="647"/>
    <cellStyle name="20% - 강조색3 2 135" xfId="648"/>
    <cellStyle name="20% - 강조색3 2 136" xfId="649"/>
    <cellStyle name="20% - 강조색3 2 137" xfId="650"/>
    <cellStyle name="20% - 강조색3 2 138" xfId="651"/>
    <cellStyle name="20% - 강조색3 2 139" xfId="652"/>
    <cellStyle name="20% - 강조색3 2 14" xfId="653"/>
    <cellStyle name="20% - 강조색3 2 140" xfId="654"/>
    <cellStyle name="20% - 강조색3 2 141" xfId="655"/>
    <cellStyle name="20% - 강조색3 2 142" xfId="656"/>
    <cellStyle name="20% - 강조색3 2 143" xfId="657"/>
    <cellStyle name="20% - 강조색3 2 144" xfId="658"/>
    <cellStyle name="20% - 강조색3 2 145" xfId="659"/>
    <cellStyle name="20% - 강조색3 2 146" xfId="660"/>
    <cellStyle name="20% - 강조색3 2 147" xfId="661"/>
    <cellStyle name="20% - 강조색3 2 148" xfId="662"/>
    <cellStyle name="20% - 강조색3 2 149" xfId="663"/>
    <cellStyle name="20% - 강조색3 2 15" xfId="664"/>
    <cellStyle name="20% - 강조색3 2 150" xfId="665"/>
    <cellStyle name="20% - 강조색3 2 151" xfId="666"/>
    <cellStyle name="20% - 강조색3 2 152" xfId="667"/>
    <cellStyle name="20% - 강조색3 2 153" xfId="668"/>
    <cellStyle name="20% - 강조색3 2 154" xfId="669"/>
    <cellStyle name="20% - 강조색3 2 155" xfId="670"/>
    <cellStyle name="20% - 강조색3 2 156" xfId="671"/>
    <cellStyle name="20% - 강조색3 2 157" xfId="672"/>
    <cellStyle name="20% - 강조색3 2 158" xfId="673"/>
    <cellStyle name="20% - 강조색3 2 159" xfId="674"/>
    <cellStyle name="20% - 강조색3 2 16" xfId="675"/>
    <cellStyle name="20% - 강조색3 2 160" xfId="676"/>
    <cellStyle name="20% - 강조색3 2 161" xfId="677"/>
    <cellStyle name="20% - 강조색3 2 162" xfId="678"/>
    <cellStyle name="20% - 강조색3 2 163" xfId="679"/>
    <cellStyle name="20% - 강조색3 2 164" xfId="680"/>
    <cellStyle name="20% - 강조색3 2 165" xfId="681"/>
    <cellStyle name="20% - 강조색3 2 166" xfId="682"/>
    <cellStyle name="20% - 강조색3 2 167" xfId="683"/>
    <cellStyle name="20% - 강조색3 2 168" xfId="684"/>
    <cellStyle name="20% - 강조색3 2 169" xfId="685"/>
    <cellStyle name="20% - 강조색3 2 17" xfId="686"/>
    <cellStyle name="20% - 강조색3 2 170" xfId="687"/>
    <cellStyle name="20% - 강조색3 2 171" xfId="688"/>
    <cellStyle name="20% - 강조색3 2 172" xfId="689"/>
    <cellStyle name="20% - 강조색3 2 173" xfId="690"/>
    <cellStyle name="20% - 강조색3 2 174" xfId="691"/>
    <cellStyle name="20% - 강조색3 2 175" xfId="692"/>
    <cellStyle name="20% - 강조색3 2 176" xfId="693"/>
    <cellStyle name="20% - 강조색3 2 177" xfId="694"/>
    <cellStyle name="20% - 강조색3 2 178" xfId="695"/>
    <cellStyle name="20% - 강조색3 2 179" xfId="696"/>
    <cellStyle name="20% - 강조색3 2 18" xfId="697"/>
    <cellStyle name="20% - 강조색3 2 180" xfId="698"/>
    <cellStyle name="20% - 강조색3 2 181" xfId="699"/>
    <cellStyle name="20% - 강조색3 2 182" xfId="700"/>
    <cellStyle name="20% - 강조색3 2 183" xfId="701"/>
    <cellStyle name="20% - 강조색3 2 184" xfId="702"/>
    <cellStyle name="20% - 강조색3 2 185" xfId="703"/>
    <cellStyle name="20% - 강조색3 2 186" xfId="704"/>
    <cellStyle name="20% - 강조색3 2 187" xfId="705"/>
    <cellStyle name="20% - 강조색3 2 188" xfId="706"/>
    <cellStyle name="20% - 강조색3 2 189" xfId="707"/>
    <cellStyle name="20% - 강조색3 2 19" xfId="708"/>
    <cellStyle name="20% - 강조색3 2 190" xfId="709"/>
    <cellStyle name="20% - 강조색3 2 191" xfId="710"/>
    <cellStyle name="20% - 강조색3 2 192" xfId="711"/>
    <cellStyle name="20% - 강조색3 2 193" xfId="712"/>
    <cellStyle name="20% - 강조색3 2 194" xfId="713"/>
    <cellStyle name="20% - 강조색3 2 195" xfId="714"/>
    <cellStyle name="20% - 강조색3 2 196" xfId="715"/>
    <cellStyle name="20% - 강조색3 2 197" xfId="716"/>
    <cellStyle name="20% - 강조색3 2 198" xfId="717"/>
    <cellStyle name="20% - 강조색3 2 199" xfId="718"/>
    <cellStyle name="20% - 강조색3 2 2" xfId="719"/>
    <cellStyle name="20% - 강조색3 2 20" xfId="720"/>
    <cellStyle name="20% - 강조색3 2 200" xfId="721"/>
    <cellStyle name="20% - 강조색3 2 201" xfId="722"/>
    <cellStyle name="20% - 강조색3 2 202" xfId="723"/>
    <cellStyle name="20% - 강조색3 2 203" xfId="724"/>
    <cellStyle name="20% - 강조색3 2 204" xfId="725"/>
    <cellStyle name="20% - 강조색3 2 205" xfId="726"/>
    <cellStyle name="20% - 강조색3 2 206" xfId="727"/>
    <cellStyle name="20% - 강조색3 2 207" xfId="728"/>
    <cellStyle name="20% - 강조색3 2 208" xfId="729"/>
    <cellStyle name="20% - 강조색3 2 209" xfId="730"/>
    <cellStyle name="20% - 강조색3 2 21" xfId="731"/>
    <cellStyle name="20% - 강조색3 2 210" xfId="732"/>
    <cellStyle name="20% - 강조색3 2 211" xfId="733"/>
    <cellStyle name="20% - 강조색3 2 212" xfId="734"/>
    <cellStyle name="20% - 강조색3 2 213" xfId="735"/>
    <cellStyle name="20% - 강조색3 2 214" xfId="736"/>
    <cellStyle name="20% - 강조색3 2 215" xfId="737"/>
    <cellStyle name="20% - 강조색3 2 216" xfId="738"/>
    <cellStyle name="20% - 강조색3 2 217" xfId="739"/>
    <cellStyle name="20% - 강조색3 2 218" xfId="740"/>
    <cellStyle name="20% - 강조색3 2 219" xfId="741"/>
    <cellStyle name="20% - 강조색3 2 22" xfId="742"/>
    <cellStyle name="20% - 강조색3 2 220" xfId="743"/>
    <cellStyle name="20% - 강조색3 2 221" xfId="744"/>
    <cellStyle name="20% - 강조색3 2 222" xfId="745"/>
    <cellStyle name="20% - 강조색3 2 223" xfId="746"/>
    <cellStyle name="20% - 강조색3 2 224" xfId="747"/>
    <cellStyle name="20% - 강조색3 2 225" xfId="748"/>
    <cellStyle name="20% - 강조색3 2 226" xfId="749"/>
    <cellStyle name="20% - 강조색3 2 227" xfId="750"/>
    <cellStyle name="20% - 강조색3 2 228" xfId="751"/>
    <cellStyle name="20% - 강조색3 2 229" xfId="752"/>
    <cellStyle name="20% - 강조색3 2 23" xfId="753"/>
    <cellStyle name="20% - 강조색3 2 230" xfId="754"/>
    <cellStyle name="20% - 강조색3 2 231" xfId="755"/>
    <cellStyle name="20% - 강조색3 2 232" xfId="756"/>
    <cellStyle name="20% - 강조색3 2 233" xfId="757"/>
    <cellStyle name="20% - 강조색3 2 234" xfId="758"/>
    <cellStyle name="20% - 강조색3 2 235" xfId="759"/>
    <cellStyle name="20% - 강조색3 2 236" xfId="760"/>
    <cellStyle name="20% - 강조색3 2 237" xfId="761"/>
    <cellStyle name="20% - 강조색3 2 238" xfId="762"/>
    <cellStyle name="20% - 강조색3 2 239" xfId="763"/>
    <cellStyle name="20% - 강조색3 2 24" xfId="764"/>
    <cellStyle name="20% - 강조색3 2 240" xfId="765"/>
    <cellStyle name="20% - 강조색3 2 241" xfId="766"/>
    <cellStyle name="20% - 강조색3 2 242" xfId="767"/>
    <cellStyle name="20% - 강조색3 2 25" xfId="768"/>
    <cellStyle name="20% - 강조색3 2 26" xfId="769"/>
    <cellStyle name="20% - 강조색3 2 27" xfId="770"/>
    <cellStyle name="20% - 강조색3 2 28" xfId="771"/>
    <cellStyle name="20% - 강조색3 2 29" xfId="772"/>
    <cellStyle name="20% - 강조색3 2 3" xfId="773"/>
    <cellStyle name="20% - 강조색3 2 30" xfId="774"/>
    <cellStyle name="20% - 강조색3 2 31" xfId="775"/>
    <cellStyle name="20% - 강조색3 2 32" xfId="776"/>
    <cellStyle name="20% - 강조색3 2 33" xfId="777"/>
    <cellStyle name="20% - 강조색3 2 34" xfId="778"/>
    <cellStyle name="20% - 강조색3 2 35" xfId="779"/>
    <cellStyle name="20% - 강조색3 2 36" xfId="780"/>
    <cellStyle name="20% - 강조색3 2 37" xfId="781"/>
    <cellStyle name="20% - 강조색3 2 38" xfId="782"/>
    <cellStyle name="20% - 강조색3 2 39" xfId="783"/>
    <cellStyle name="20% - 강조색3 2 4" xfId="784"/>
    <cellStyle name="20% - 강조색3 2 40" xfId="785"/>
    <cellStyle name="20% - 강조색3 2 41" xfId="786"/>
    <cellStyle name="20% - 강조색3 2 42" xfId="787"/>
    <cellStyle name="20% - 강조색3 2 43" xfId="788"/>
    <cellStyle name="20% - 강조색3 2 44" xfId="789"/>
    <cellStyle name="20% - 강조색3 2 45" xfId="790"/>
    <cellStyle name="20% - 강조색3 2 46" xfId="791"/>
    <cellStyle name="20% - 강조색3 2 47" xfId="792"/>
    <cellStyle name="20% - 강조색3 2 48" xfId="793"/>
    <cellStyle name="20% - 강조색3 2 49" xfId="794"/>
    <cellStyle name="20% - 강조색3 2 5" xfId="795"/>
    <cellStyle name="20% - 강조색3 2 50" xfId="796"/>
    <cellStyle name="20% - 강조색3 2 51" xfId="797"/>
    <cellStyle name="20% - 강조색3 2 52" xfId="798"/>
    <cellStyle name="20% - 강조색3 2 53" xfId="799"/>
    <cellStyle name="20% - 강조색3 2 54" xfId="800"/>
    <cellStyle name="20% - 강조색3 2 55" xfId="801"/>
    <cellStyle name="20% - 강조색3 2 56" xfId="802"/>
    <cellStyle name="20% - 강조색3 2 57" xfId="803"/>
    <cellStyle name="20% - 강조색3 2 58" xfId="804"/>
    <cellStyle name="20% - 강조색3 2 59" xfId="805"/>
    <cellStyle name="20% - 강조색3 2 6" xfId="806"/>
    <cellStyle name="20% - 강조색3 2 60" xfId="807"/>
    <cellStyle name="20% - 강조색3 2 61" xfId="808"/>
    <cellStyle name="20% - 강조색3 2 62" xfId="809"/>
    <cellStyle name="20% - 강조색3 2 63" xfId="810"/>
    <cellStyle name="20% - 강조색3 2 64" xfId="811"/>
    <cellStyle name="20% - 강조색3 2 65" xfId="812"/>
    <cellStyle name="20% - 강조색3 2 66" xfId="813"/>
    <cellStyle name="20% - 강조색3 2 67" xfId="814"/>
    <cellStyle name="20% - 강조색3 2 68" xfId="815"/>
    <cellStyle name="20% - 강조색3 2 69" xfId="816"/>
    <cellStyle name="20% - 강조색3 2 7" xfId="817"/>
    <cellStyle name="20% - 강조색3 2 70" xfId="818"/>
    <cellStyle name="20% - 강조색3 2 71" xfId="819"/>
    <cellStyle name="20% - 강조색3 2 72" xfId="820"/>
    <cellStyle name="20% - 강조색3 2 73" xfId="821"/>
    <cellStyle name="20% - 강조색3 2 74" xfId="822"/>
    <cellStyle name="20% - 강조색3 2 75" xfId="823"/>
    <cellStyle name="20% - 강조색3 2 76" xfId="824"/>
    <cellStyle name="20% - 강조색3 2 77" xfId="825"/>
    <cellStyle name="20% - 강조색3 2 78" xfId="826"/>
    <cellStyle name="20% - 강조색3 2 79" xfId="827"/>
    <cellStyle name="20% - 강조색3 2 8" xfId="828"/>
    <cellStyle name="20% - 강조색3 2 80" xfId="829"/>
    <cellStyle name="20% - 강조색3 2 81" xfId="830"/>
    <cellStyle name="20% - 강조색3 2 82" xfId="831"/>
    <cellStyle name="20% - 강조색3 2 83" xfId="832"/>
    <cellStyle name="20% - 강조색3 2 84" xfId="833"/>
    <cellStyle name="20% - 강조색3 2 85" xfId="834"/>
    <cellStyle name="20% - 강조색3 2 86" xfId="835"/>
    <cellStyle name="20% - 강조색3 2 87" xfId="836"/>
    <cellStyle name="20% - 강조색3 2 88" xfId="837"/>
    <cellStyle name="20% - 강조색3 2 89" xfId="838"/>
    <cellStyle name="20% - 강조색3 2 9" xfId="839"/>
    <cellStyle name="20% - 강조색3 2 90" xfId="840"/>
    <cellStyle name="20% - 강조색3 2 91" xfId="841"/>
    <cellStyle name="20% - 강조색3 2 92" xfId="842"/>
    <cellStyle name="20% - 강조색3 2 93" xfId="843"/>
    <cellStyle name="20% - 강조색3 2 94" xfId="844"/>
    <cellStyle name="20% - 강조색3 2 95" xfId="845"/>
    <cellStyle name="20% - 강조색3 2 96" xfId="846"/>
    <cellStyle name="20% - 강조색3 2 97" xfId="847"/>
    <cellStyle name="20% - 강조색3 2 98" xfId="848"/>
    <cellStyle name="20% - 강조색3 2 99" xfId="849"/>
    <cellStyle name="20% - 강조색3 3" xfId="850"/>
    <cellStyle name="20% - 강조색4 2" xfId="851"/>
    <cellStyle name="20% - 강조색4 2 10" xfId="852"/>
    <cellStyle name="20% - 강조색4 2 100" xfId="853"/>
    <cellStyle name="20% - 강조색4 2 101" xfId="854"/>
    <cellStyle name="20% - 강조색4 2 102" xfId="855"/>
    <cellStyle name="20% - 강조색4 2 103" xfId="856"/>
    <cellStyle name="20% - 강조색4 2 104" xfId="857"/>
    <cellStyle name="20% - 강조색4 2 105" xfId="858"/>
    <cellStyle name="20% - 강조색4 2 106" xfId="859"/>
    <cellStyle name="20% - 강조색4 2 107" xfId="860"/>
    <cellStyle name="20% - 강조색4 2 108" xfId="861"/>
    <cellStyle name="20% - 강조색4 2 109" xfId="862"/>
    <cellStyle name="20% - 강조색4 2 11" xfId="863"/>
    <cellStyle name="20% - 강조색4 2 110" xfId="864"/>
    <cellStyle name="20% - 강조색4 2 111" xfId="865"/>
    <cellStyle name="20% - 강조색4 2 112" xfId="866"/>
    <cellStyle name="20% - 강조색4 2 113" xfId="867"/>
    <cellStyle name="20% - 강조색4 2 114" xfId="868"/>
    <cellStyle name="20% - 강조색4 2 115" xfId="869"/>
    <cellStyle name="20% - 강조색4 2 116" xfId="870"/>
    <cellStyle name="20% - 강조색4 2 117" xfId="871"/>
    <cellStyle name="20% - 강조색4 2 118" xfId="872"/>
    <cellStyle name="20% - 강조색4 2 119" xfId="873"/>
    <cellStyle name="20% - 강조색4 2 12" xfId="874"/>
    <cellStyle name="20% - 강조색4 2 120" xfId="875"/>
    <cellStyle name="20% - 강조색4 2 121" xfId="876"/>
    <cellStyle name="20% - 강조색4 2 122" xfId="877"/>
    <cellStyle name="20% - 강조색4 2 123" xfId="878"/>
    <cellStyle name="20% - 강조색4 2 124" xfId="879"/>
    <cellStyle name="20% - 강조색4 2 125" xfId="880"/>
    <cellStyle name="20% - 강조색4 2 126" xfId="881"/>
    <cellStyle name="20% - 강조색4 2 127" xfId="882"/>
    <cellStyle name="20% - 강조색4 2 128" xfId="883"/>
    <cellStyle name="20% - 강조색4 2 129" xfId="884"/>
    <cellStyle name="20% - 강조색4 2 13" xfId="885"/>
    <cellStyle name="20% - 강조색4 2 130" xfId="886"/>
    <cellStyle name="20% - 강조색4 2 131" xfId="887"/>
    <cellStyle name="20% - 강조색4 2 132" xfId="888"/>
    <cellStyle name="20% - 강조색4 2 133" xfId="889"/>
    <cellStyle name="20% - 강조색4 2 134" xfId="890"/>
    <cellStyle name="20% - 강조색4 2 135" xfId="891"/>
    <cellStyle name="20% - 강조색4 2 136" xfId="892"/>
    <cellStyle name="20% - 강조색4 2 137" xfId="893"/>
    <cellStyle name="20% - 강조색4 2 138" xfId="894"/>
    <cellStyle name="20% - 강조색4 2 139" xfId="895"/>
    <cellStyle name="20% - 강조색4 2 14" xfId="896"/>
    <cellStyle name="20% - 강조색4 2 140" xfId="897"/>
    <cellStyle name="20% - 강조색4 2 141" xfId="898"/>
    <cellStyle name="20% - 강조색4 2 142" xfId="899"/>
    <cellStyle name="20% - 강조색4 2 143" xfId="900"/>
    <cellStyle name="20% - 강조색4 2 144" xfId="901"/>
    <cellStyle name="20% - 강조색4 2 145" xfId="902"/>
    <cellStyle name="20% - 강조색4 2 146" xfId="903"/>
    <cellStyle name="20% - 강조색4 2 147" xfId="904"/>
    <cellStyle name="20% - 강조색4 2 148" xfId="905"/>
    <cellStyle name="20% - 강조색4 2 149" xfId="906"/>
    <cellStyle name="20% - 강조색4 2 15" xfId="907"/>
    <cellStyle name="20% - 강조색4 2 150" xfId="908"/>
    <cellStyle name="20% - 강조색4 2 151" xfId="909"/>
    <cellStyle name="20% - 강조색4 2 152" xfId="910"/>
    <cellStyle name="20% - 강조색4 2 153" xfId="911"/>
    <cellStyle name="20% - 강조색4 2 154" xfId="912"/>
    <cellStyle name="20% - 강조색4 2 155" xfId="913"/>
    <cellStyle name="20% - 강조색4 2 156" xfId="914"/>
    <cellStyle name="20% - 강조색4 2 157" xfId="915"/>
    <cellStyle name="20% - 강조색4 2 158" xfId="916"/>
    <cellStyle name="20% - 강조색4 2 159" xfId="917"/>
    <cellStyle name="20% - 강조색4 2 16" xfId="918"/>
    <cellStyle name="20% - 강조색4 2 160" xfId="919"/>
    <cellStyle name="20% - 강조색4 2 161" xfId="920"/>
    <cellStyle name="20% - 강조색4 2 162" xfId="921"/>
    <cellStyle name="20% - 강조색4 2 163" xfId="922"/>
    <cellStyle name="20% - 강조색4 2 164" xfId="923"/>
    <cellStyle name="20% - 강조색4 2 165" xfId="924"/>
    <cellStyle name="20% - 강조색4 2 166" xfId="925"/>
    <cellStyle name="20% - 강조색4 2 167" xfId="926"/>
    <cellStyle name="20% - 강조색4 2 168" xfId="927"/>
    <cellStyle name="20% - 강조색4 2 169" xfId="928"/>
    <cellStyle name="20% - 강조색4 2 17" xfId="929"/>
    <cellStyle name="20% - 강조색4 2 170" xfId="930"/>
    <cellStyle name="20% - 강조색4 2 171" xfId="931"/>
    <cellStyle name="20% - 강조색4 2 172" xfId="932"/>
    <cellStyle name="20% - 강조색4 2 173" xfId="933"/>
    <cellStyle name="20% - 강조색4 2 174" xfId="934"/>
    <cellStyle name="20% - 강조색4 2 175" xfId="935"/>
    <cellStyle name="20% - 강조색4 2 176" xfId="936"/>
    <cellStyle name="20% - 강조색4 2 177" xfId="937"/>
    <cellStyle name="20% - 강조색4 2 178" xfId="938"/>
    <cellStyle name="20% - 강조색4 2 179" xfId="939"/>
    <cellStyle name="20% - 강조색4 2 18" xfId="940"/>
    <cellStyle name="20% - 강조색4 2 180" xfId="941"/>
    <cellStyle name="20% - 강조색4 2 181" xfId="942"/>
    <cellStyle name="20% - 강조색4 2 182" xfId="943"/>
    <cellStyle name="20% - 강조색4 2 183" xfId="944"/>
    <cellStyle name="20% - 강조색4 2 184" xfId="945"/>
    <cellStyle name="20% - 강조색4 2 185" xfId="946"/>
    <cellStyle name="20% - 강조색4 2 186" xfId="947"/>
    <cellStyle name="20% - 강조색4 2 187" xfId="948"/>
    <cellStyle name="20% - 강조색4 2 188" xfId="949"/>
    <cellStyle name="20% - 강조색4 2 189" xfId="950"/>
    <cellStyle name="20% - 강조색4 2 19" xfId="951"/>
    <cellStyle name="20% - 강조색4 2 190" xfId="952"/>
    <cellStyle name="20% - 강조색4 2 191" xfId="953"/>
    <cellStyle name="20% - 강조색4 2 192" xfId="954"/>
    <cellStyle name="20% - 강조색4 2 193" xfId="955"/>
    <cellStyle name="20% - 강조색4 2 194" xfId="956"/>
    <cellStyle name="20% - 강조색4 2 195" xfId="957"/>
    <cellStyle name="20% - 강조색4 2 196" xfId="958"/>
    <cellStyle name="20% - 강조색4 2 197" xfId="959"/>
    <cellStyle name="20% - 강조색4 2 198" xfId="960"/>
    <cellStyle name="20% - 강조색4 2 199" xfId="961"/>
    <cellStyle name="20% - 강조색4 2 2" xfId="962"/>
    <cellStyle name="20% - 강조색4 2 20" xfId="963"/>
    <cellStyle name="20% - 강조색4 2 200" xfId="964"/>
    <cellStyle name="20% - 강조색4 2 201" xfId="965"/>
    <cellStyle name="20% - 강조색4 2 202" xfId="966"/>
    <cellStyle name="20% - 강조색4 2 203" xfId="967"/>
    <cellStyle name="20% - 강조색4 2 204" xfId="968"/>
    <cellStyle name="20% - 강조색4 2 205" xfId="969"/>
    <cellStyle name="20% - 강조색4 2 206" xfId="970"/>
    <cellStyle name="20% - 강조색4 2 207" xfId="971"/>
    <cellStyle name="20% - 강조색4 2 208" xfId="972"/>
    <cellStyle name="20% - 강조색4 2 209" xfId="973"/>
    <cellStyle name="20% - 강조색4 2 21" xfId="974"/>
    <cellStyle name="20% - 강조색4 2 210" xfId="975"/>
    <cellStyle name="20% - 강조색4 2 211" xfId="976"/>
    <cellStyle name="20% - 강조색4 2 212" xfId="977"/>
    <cellStyle name="20% - 강조색4 2 213" xfId="978"/>
    <cellStyle name="20% - 강조색4 2 214" xfId="979"/>
    <cellStyle name="20% - 강조색4 2 215" xfId="980"/>
    <cellStyle name="20% - 강조색4 2 216" xfId="981"/>
    <cellStyle name="20% - 강조색4 2 217" xfId="982"/>
    <cellStyle name="20% - 강조색4 2 218" xfId="983"/>
    <cellStyle name="20% - 강조색4 2 219" xfId="984"/>
    <cellStyle name="20% - 강조색4 2 22" xfId="985"/>
    <cellStyle name="20% - 강조색4 2 220" xfId="986"/>
    <cellStyle name="20% - 강조색4 2 221" xfId="987"/>
    <cellStyle name="20% - 강조색4 2 222" xfId="988"/>
    <cellStyle name="20% - 강조색4 2 223" xfId="989"/>
    <cellStyle name="20% - 강조색4 2 224" xfId="990"/>
    <cellStyle name="20% - 강조색4 2 225" xfId="991"/>
    <cellStyle name="20% - 강조색4 2 226" xfId="992"/>
    <cellStyle name="20% - 강조색4 2 227" xfId="993"/>
    <cellStyle name="20% - 강조색4 2 228" xfId="994"/>
    <cellStyle name="20% - 강조색4 2 229" xfId="995"/>
    <cellStyle name="20% - 강조색4 2 23" xfId="996"/>
    <cellStyle name="20% - 강조색4 2 230" xfId="997"/>
    <cellStyle name="20% - 강조색4 2 231" xfId="998"/>
    <cellStyle name="20% - 강조색4 2 232" xfId="999"/>
    <cellStyle name="20% - 강조색4 2 233" xfId="1000"/>
    <cellStyle name="20% - 강조색4 2 234" xfId="1001"/>
    <cellStyle name="20% - 강조색4 2 235" xfId="1002"/>
    <cellStyle name="20% - 강조색4 2 236" xfId="1003"/>
    <cellStyle name="20% - 강조색4 2 237" xfId="1004"/>
    <cellStyle name="20% - 강조색4 2 238" xfId="1005"/>
    <cellStyle name="20% - 강조색4 2 239" xfId="1006"/>
    <cellStyle name="20% - 강조색4 2 24" xfId="1007"/>
    <cellStyle name="20% - 강조색4 2 240" xfId="1008"/>
    <cellStyle name="20% - 강조색4 2 241" xfId="1009"/>
    <cellStyle name="20% - 강조색4 2 242" xfId="1010"/>
    <cellStyle name="20% - 강조색4 2 25" xfId="1011"/>
    <cellStyle name="20% - 강조색4 2 26" xfId="1012"/>
    <cellStyle name="20% - 강조색4 2 27" xfId="1013"/>
    <cellStyle name="20% - 강조색4 2 28" xfId="1014"/>
    <cellStyle name="20% - 강조색4 2 29" xfId="1015"/>
    <cellStyle name="20% - 강조색4 2 3" xfId="1016"/>
    <cellStyle name="20% - 강조색4 2 30" xfId="1017"/>
    <cellStyle name="20% - 강조색4 2 31" xfId="1018"/>
    <cellStyle name="20% - 강조색4 2 32" xfId="1019"/>
    <cellStyle name="20% - 강조색4 2 33" xfId="1020"/>
    <cellStyle name="20% - 강조색4 2 34" xfId="1021"/>
    <cellStyle name="20% - 강조색4 2 35" xfId="1022"/>
    <cellStyle name="20% - 강조색4 2 36" xfId="1023"/>
    <cellStyle name="20% - 강조색4 2 37" xfId="1024"/>
    <cellStyle name="20% - 강조색4 2 38" xfId="1025"/>
    <cellStyle name="20% - 강조색4 2 39" xfId="1026"/>
    <cellStyle name="20% - 강조색4 2 4" xfId="1027"/>
    <cellStyle name="20% - 강조색4 2 40" xfId="1028"/>
    <cellStyle name="20% - 강조색4 2 41" xfId="1029"/>
    <cellStyle name="20% - 강조색4 2 42" xfId="1030"/>
    <cellStyle name="20% - 강조색4 2 43" xfId="1031"/>
    <cellStyle name="20% - 강조색4 2 44" xfId="1032"/>
    <cellStyle name="20% - 강조색4 2 45" xfId="1033"/>
    <cellStyle name="20% - 강조색4 2 46" xfId="1034"/>
    <cellStyle name="20% - 강조색4 2 47" xfId="1035"/>
    <cellStyle name="20% - 강조색4 2 48" xfId="1036"/>
    <cellStyle name="20% - 강조색4 2 49" xfId="1037"/>
    <cellStyle name="20% - 강조색4 2 5" xfId="1038"/>
    <cellStyle name="20% - 강조색4 2 50" xfId="1039"/>
    <cellStyle name="20% - 강조색4 2 51" xfId="1040"/>
    <cellStyle name="20% - 강조색4 2 52" xfId="1041"/>
    <cellStyle name="20% - 강조색4 2 53" xfId="1042"/>
    <cellStyle name="20% - 강조색4 2 54" xfId="1043"/>
    <cellStyle name="20% - 강조색4 2 55" xfId="1044"/>
    <cellStyle name="20% - 강조색4 2 56" xfId="1045"/>
    <cellStyle name="20% - 강조색4 2 57" xfId="1046"/>
    <cellStyle name="20% - 강조색4 2 58" xfId="1047"/>
    <cellStyle name="20% - 강조색4 2 59" xfId="1048"/>
    <cellStyle name="20% - 강조색4 2 6" xfId="1049"/>
    <cellStyle name="20% - 강조색4 2 60" xfId="1050"/>
    <cellStyle name="20% - 강조색4 2 61" xfId="1051"/>
    <cellStyle name="20% - 강조색4 2 62" xfId="1052"/>
    <cellStyle name="20% - 강조색4 2 63" xfId="1053"/>
    <cellStyle name="20% - 강조색4 2 64" xfId="1054"/>
    <cellStyle name="20% - 강조색4 2 65" xfId="1055"/>
    <cellStyle name="20% - 강조색4 2 66" xfId="1056"/>
    <cellStyle name="20% - 강조색4 2 67" xfId="1057"/>
    <cellStyle name="20% - 강조색4 2 68" xfId="1058"/>
    <cellStyle name="20% - 강조색4 2 69" xfId="1059"/>
    <cellStyle name="20% - 강조색4 2 7" xfId="1060"/>
    <cellStyle name="20% - 강조색4 2 70" xfId="1061"/>
    <cellStyle name="20% - 강조색4 2 71" xfId="1062"/>
    <cellStyle name="20% - 강조색4 2 72" xfId="1063"/>
    <cellStyle name="20% - 강조색4 2 73" xfId="1064"/>
    <cellStyle name="20% - 강조색4 2 74" xfId="1065"/>
    <cellStyle name="20% - 강조색4 2 75" xfId="1066"/>
    <cellStyle name="20% - 강조색4 2 76" xfId="1067"/>
    <cellStyle name="20% - 강조색4 2 77" xfId="1068"/>
    <cellStyle name="20% - 강조색4 2 78" xfId="1069"/>
    <cellStyle name="20% - 강조색4 2 79" xfId="1070"/>
    <cellStyle name="20% - 강조색4 2 8" xfId="1071"/>
    <cellStyle name="20% - 강조색4 2 80" xfId="1072"/>
    <cellStyle name="20% - 강조색4 2 81" xfId="1073"/>
    <cellStyle name="20% - 강조색4 2 82" xfId="1074"/>
    <cellStyle name="20% - 강조색4 2 83" xfId="1075"/>
    <cellStyle name="20% - 강조색4 2 84" xfId="1076"/>
    <cellStyle name="20% - 강조색4 2 85" xfId="1077"/>
    <cellStyle name="20% - 강조색4 2 86" xfId="1078"/>
    <cellStyle name="20% - 강조색4 2 87" xfId="1079"/>
    <cellStyle name="20% - 강조색4 2 88" xfId="1080"/>
    <cellStyle name="20% - 강조색4 2 89" xfId="1081"/>
    <cellStyle name="20% - 강조색4 2 9" xfId="1082"/>
    <cellStyle name="20% - 강조색4 2 90" xfId="1083"/>
    <cellStyle name="20% - 강조색4 2 91" xfId="1084"/>
    <cellStyle name="20% - 강조색4 2 92" xfId="1085"/>
    <cellStyle name="20% - 강조색4 2 93" xfId="1086"/>
    <cellStyle name="20% - 강조색4 2 94" xfId="1087"/>
    <cellStyle name="20% - 강조색4 2 95" xfId="1088"/>
    <cellStyle name="20% - 강조색4 2 96" xfId="1089"/>
    <cellStyle name="20% - 강조색4 2 97" xfId="1090"/>
    <cellStyle name="20% - 강조색4 2 98" xfId="1091"/>
    <cellStyle name="20% - 강조색4 2 99" xfId="1092"/>
    <cellStyle name="20% - 강조색4 3" xfId="1093"/>
    <cellStyle name="20% - 강조색5 2" xfId="1094"/>
    <cellStyle name="20% - 강조색5 2 10" xfId="1095"/>
    <cellStyle name="20% - 강조색5 2 100" xfId="1096"/>
    <cellStyle name="20% - 강조색5 2 101" xfId="1097"/>
    <cellStyle name="20% - 강조색5 2 102" xfId="1098"/>
    <cellStyle name="20% - 강조색5 2 103" xfId="1099"/>
    <cellStyle name="20% - 강조색5 2 104" xfId="1100"/>
    <cellStyle name="20% - 강조색5 2 105" xfId="1101"/>
    <cellStyle name="20% - 강조색5 2 106" xfId="1102"/>
    <cellStyle name="20% - 강조색5 2 107" xfId="1103"/>
    <cellStyle name="20% - 강조색5 2 108" xfId="1104"/>
    <cellStyle name="20% - 강조색5 2 109" xfId="1105"/>
    <cellStyle name="20% - 강조색5 2 11" xfId="1106"/>
    <cellStyle name="20% - 강조색5 2 110" xfId="1107"/>
    <cellStyle name="20% - 강조색5 2 111" xfId="1108"/>
    <cellStyle name="20% - 강조색5 2 112" xfId="1109"/>
    <cellStyle name="20% - 강조색5 2 113" xfId="1110"/>
    <cellStyle name="20% - 강조색5 2 114" xfId="1111"/>
    <cellStyle name="20% - 강조색5 2 115" xfId="1112"/>
    <cellStyle name="20% - 강조색5 2 116" xfId="1113"/>
    <cellStyle name="20% - 강조색5 2 117" xfId="1114"/>
    <cellStyle name="20% - 강조색5 2 118" xfId="1115"/>
    <cellStyle name="20% - 강조색5 2 119" xfId="1116"/>
    <cellStyle name="20% - 강조색5 2 12" xfId="1117"/>
    <cellStyle name="20% - 강조색5 2 120" xfId="1118"/>
    <cellStyle name="20% - 강조색5 2 121" xfId="1119"/>
    <cellStyle name="20% - 강조색5 2 122" xfId="1120"/>
    <cellStyle name="20% - 강조색5 2 123" xfId="1121"/>
    <cellStyle name="20% - 강조색5 2 124" xfId="1122"/>
    <cellStyle name="20% - 강조색5 2 125" xfId="1123"/>
    <cellStyle name="20% - 강조색5 2 126" xfId="1124"/>
    <cellStyle name="20% - 강조색5 2 127" xfId="1125"/>
    <cellStyle name="20% - 강조색5 2 128" xfId="1126"/>
    <cellStyle name="20% - 강조색5 2 129" xfId="1127"/>
    <cellStyle name="20% - 강조색5 2 13" xfId="1128"/>
    <cellStyle name="20% - 강조색5 2 130" xfId="1129"/>
    <cellStyle name="20% - 강조색5 2 131" xfId="1130"/>
    <cellStyle name="20% - 강조색5 2 132" xfId="1131"/>
    <cellStyle name="20% - 강조색5 2 133" xfId="1132"/>
    <cellStyle name="20% - 강조색5 2 134" xfId="1133"/>
    <cellStyle name="20% - 강조색5 2 135" xfId="1134"/>
    <cellStyle name="20% - 강조색5 2 136" xfId="1135"/>
    <cellStyle name="20% - 강조색5 2 137" xfId="1136"/>
    <cellStyle name="20% - 강조색5 2 138" xfId="1137"/>
    <cellStyle name="20% - 강조색5 2 139" xfId="1138"/>
    <cellStyle name="20% - 강조색5 2 14" xfId="1139"/>
    <cellStyle name="20% - 강조색5 2 140" xfId="1140"/>
    <cellStyle name="20% - 강조색5 2 141" xfId="1141"/>
    <cellStyle name="20% - 강조색5 2 142" xfId="1142"/>
    <cellStyle name="20% - 강조색5 2 143" xfId="1143"/>
    <cellStyle name="20% - 강조색5 2 144" xfId="1144"/>
    <cellStyle name="20% - 강조색5 2 145" xfId="1145"/>
    <cellStyle name="20% - 강조색5 2 146" xfId="1146"/>
    <cellStyle name="20% - 강조색5 2 147" xfId="1147"/>
    <cellStyle name="20% - 강조색5 2 148" xfId="1148"/>
    <cellStyle name="20% - 강조색5 2 149" xfId="1149"/>
    <cellStyle name="20% - 강조색5 2 15" xfId="1150"/>
    <cellStyle name="20% - 강조색5 2 150" xfId="1151"/>
    <cellStyle name="20% - 강조색5 2 151" xfId="1152"/>
    <cellStyle name="20% - 강조색5 2 152" xfId="1153"/>
    <cellStyle name="20% - 강조색5 2 153" xfId="1154"/>
    <cellStyle name="20% - 강조색5 2 154" xfId="1155"/>
    <cellStyle name="20% - 강조색5 2 155" xfId="1156"/>
    <cellStyle name="20% - 강조색5 2 156" xfId="1157"/>
    <cellStyle name="20% - 강조색5 2 157" xfId="1158"/>
    <cellStyle name="20% - 강조색5 2 158" xfId="1159"/>
    <cellStyle name="20% - 강조색5 2 159" xfId="1160"/>
    <cellStyle name="20% - 강조색5 2 16" xfId="1161"/>
    <cellStyle name="20% - 강조색5 2 160" xfId="1162"/>
    <cellStyle name="20% - 강조색5 2 161" xfId="1163"/>
    <cellStyle name="20% - 강조색5 2 162" xfId="1164"/>
    <cellStyle name="20% - 강조색5 2 163" xfId="1165"/>
    <cellStyle name="20% - 강조색5 2 164" xfId="1166"/>
    <cellStyle name="20% - 강조색5 2 165" xfId="1167"/>
    <cellStyle name="20% - 강조색5 2 166" xfId="1168"/>
    <cellStyle name="20% - 강조색5 2 167" xfId="1169"/>
    <cellStyle name="20% - 강조색5 2 168" xfId="1170"/>
    <cellStyle name="20% - 강조색5 2 169" xfId="1171"/>
    <cellStyle name="20% - 강조색5 2 17" xfId="1172"/>
    <cellStyle name="20% - 강조색5 2 170" xfId="1173"/>
    <cellStyle name="20% - 강조색5 2 171" xfId="1174"/>
    <cellStyle name="20% - 강조색5 2 172" xfId="1175"/>
    <cellStyle name="20% - 강조색5 2 173" xfId="1176"/>
    <cellStyle name="20% - 강조색5 2 174" xfId="1177"/>
    <cellStyle name="20% - 강조색5 2 175" xfId="1178"/>
    <cellStyle name="20% - 강조색5 2 176" xfId="1179"/>
    <cellStyle name="20% - 강조색5 2 177" xfId="1180"/>
    <cellStyle name="20% - 강조색5 2 178" xfId="1181"/>
    <cellStyle name="20% - 강조색5 2 179" xfId="1182"/>
    <cellStyle name="20% - 강조색5 2 18" xfId="1183"/>
    <cellStyle name="20% - 강조색5 2 180" xfId="1184"/>
    <cellStyle name="20% - 강조색5 2 181" xfId="1185"/>
    <cellStyle name="20% - 강조색5 2 182" xfId="1186"/>
    <cellStyle name="20% - 강조색5 2 183" xfId="1187"/>
    <cellStyle name="20% - 강조색5 2 184" xfId="1188"/>
    <cellStyle name="20% - 강조색5 2 185" xfId="1189"/>
    <cellStyle name="20% - 강조색5 2 186" xfId="1190"/>
    <cellStyle name="20% - 강조색5 2 187" xfId="1191"/>
    <cellStyle name="20% - 강조색5 2 188" xfId="1192"/>
    <cellStyle name="20% - 강조색5 2 189" xfId="1193"/>
    <cellStyle name="20% - 강조색5 2 19" xfId="1194"/>
    <cellStyle name="20% - 강조색5 2 190" xfId="1195"/>
    <cellStyle name="20% - 강조색5 2 191" xfId="1196"/>
    <cellStyle name="20% - 강조색5 2 192" xfId="1197"/>
    <cellStyle name="20% - 강조색5 2 193" xfId="1198"/>
    <cellStyle name="20% - 강조색5 2 194" xfId="1199"/>
    <cellStyle name="20% - 강조색5 2 195" xfId="1200"/>
    <cellStyle name="20% - 강조색5 2 196" xfId="1201"/>
    <cellStyle name="20% - 강조색5 2 197" xfId="1202"/>
    <cellStyle name="20% - 강조색5 2 198" xfId="1203"/>
    <cellStyle name="20% - 강조색5 2 199" xfId="1204"/>
    <cellStyle name="20% - 강조색5 2 2" xfId="1205"/>
    <cellStyle name="20% - 강조색5 2 20" xfId="1206"/>
    <cellStyle name="20% - 강조색5 2 200" xfId="1207"/>
    <cellStyle name="20% - 강조색5 2 201" xfId="1208"/>
    <cellStyle name="20% - 강조색5 2 202" xfId="1209"/>
    <cellStyle name="20% - 강조색5 2 203" xfId="1210"/>
    <cellStyle name="20% - 강조색5 2 204" xfId="1211"/>
    <cellStyle name="20% - 강조색5 2 205" xfId="1212"/>
    <cellStyle name="20% - 강조색5 2 206" xfId="1213"/>
    <cellStyle name="20% - 강조색5 2 207" xfId="1214"/>
    <cellStyle name="20% - 강조색5 2 208" xfId="1215"/>
    <cellStyle name="20% - 강조색5 2 209" xfId="1216"/>
    <cellStyle name="20% - 강조색5 2 21" xfId="1217"/>
    <cellStyle name="20% - 강조색5 2 210" xfId="1218"/>
    <cellStyle name="20% - 강조색5 2 211" xfId="1219"/>
    <cellStyle name="20% - 강조색5 2 212" xfId="1220"/>
    <cellStyle name="20% - 강조색5 2 213" xfId="1221"/>
    <cellStyle name="20% - 강조색5 2 214" xfId="1222"/>
    <cellStyle name="20% - 강조색5 2 215" xfId="1223"/>
    <cellStyle name="20% - 강조색5 2 216" xfId="1224"/>
    <cellStyle name="20% - 강조색5 2 217" xfId="1225"/>
    <cellStyle name="20% - 강조색5 2 218" xfId="1226"/>
    <cellStyle name="20% - 강조색5 2 219" xfId="1227"/>
    <cellStyle name="20% - 강조색5 2 22" xfId="1228"/>
    <cellStyle name="20% - 강조색5 2 220" xfId="1229"/>
    <cellStyle name="20% - 강조색5 2 221" xfId="1230"/>
    <cellStyle name="20% - 강조색5 2 222" xfId="1231"/>
    <cellStyle name="20% - 강조색5 2 223" xfId="1232"/>
    <cellStyle name="20% - 강조색5 2 224" xfId="1233"/>
    <cellStyle name="20% - 강조색5 2 225" xfId="1234"/>
    <cellStyle name="20% - 강조색5 2 226" xfId="1235"/>
    <cellStyle name="20% - 강조색5 2 227" xfId="1236"/>
    <cellStyle name="20% - 강조색5 2 228" xfId="1237"/>
    <cellStyle name="20% - 강조색5 2 229" xfId="1238"/>
    <cellStyle name="20% - 강조색5 2 23" xfId="1239"/>
    <cellStyle name="20% - 강조색5 2 230" xfId="1240"/>
    <cellStyle name="20% - 강조색5 2 231" xfId="1241"/>
    <cellStyle name="20% - 강조색5 2 232" xfId="1242"/>
    <cellStyle name="20% - 강조색5 2 233" xfId="1243"/>
    <cellStyle name="20% - 강조색5 2 234" xfId="1244"/>
    <cellStyle name="20% - 강조색5 2 235" xfId="1245"/>
    <cellStyle name="20% - 강조색5 2 236" xfId="1246"/>
    <cellStyle name="20% - 강조색5 2 237" xfId="1247"/>
    <cellStyle name="20% - 강조색5 2 238" xfId="1248"/>
    <cellStyle name="20% - 강조색5 2 239" xfId="1249"/>
    <cellStyle name="20% - 강조색5 2 24" xfId="1250"/>
    <cellStyle name="20% - 강조색5 2 240" xfId="1251"/>
    <cellStyle name="20% - 강조색5 2 241" xfId="1252"/>
    <cellStyle name="20% - 강조색5 2 242" xfId="1253"/>
    <cellStyle name="20% - 강조색5 2 25" xfId="1254"/>
    <cellStyle name="20% - 강조색5 2 26" xfId="1255"/>
    <cellStyle name="20% - 강조색5 2 27" xfId="1256"/>
    <cellStyle name="20% - 강조색5 2 28" xfId="1257"/>
    <cellStyle name="20% - 강조색5 2 29" xfId="1258"/>
    <cellStyle name="20% - 강조색5 2 3" xfId="1259"/>
    <cellStyle name="20% - 강조색5 2 30" xfId="1260"/>
    <cellStyle name="20% - 강조색5 2 31" xfId="1261"/>
    <cellStyle name="20% - 강조색5 2 32" xfId="1262"/>
    <cellStyle name="20% - 강조색5 2 33" xfId="1263"/>
    <cellStyle name="20% - 강조색5 2 34" xfId="1264"/>
    <cellStyle name="20% - 강조색5 2 35" xfId="1265"/>
    <cellStyle name="20% - 강조색5 2 36" xfId="1266"/>
    <cellStyle name="20% - 강조색5 2 37" xfId="1267"/>
    <cellStyle name="20% - 강조색5 2 38" xfId="1268"/>
    <cellStyle name="20% - 강조색5 2 39" xfId="1269"/>
    <cellStyle name="20% - 강조색5 2 4" xfId="1270"/>
    <cellStyle name="20% - 강조색5 2 40" xfId="1271"/>
    <cellStyle name="20% - 강조색5 2 41" xfId="1272"/>
    <cellStyle name="20% - 강조색5 2 42" xfId="1273"/>
    <cellStyle name="20% - 강조색5 2 43" xfId="1274"/>
    <cellStyle name="20% - 강조색5 2 44" xfId="1275"/>
    <cellStyle name="20% - 강조색5 2 45" xfId="1276"/>
    <cellStyle name="20% - 강조색5 2 46" xfId="1277"/>
    <cellStyle name="20% - 강조색5 2 47" xfId="1278"/>
    <cellStyle name="20% - 강조색5 2 48" xfId="1279"/>
    <cellStyle name="20% - 강조색5 2 49" xfId="1280"/>
    <cellStyle name="20% - 강조색5 2 5" xfId="1281"/>
    <cellStyle name="20% - 강조색5 2 50" xfId="1282"/>
    <cellStyle name="20% - 강조색5 2 51" xfId="1283"/>
    <cellStyle name="20% - 강조색5 2 52" xfId="1284"/>
    <cellStyle name="20% - 강조색5 2 53" xfId="1285"/>
    <cellStyle name="20% - 강조색5 2 54" xfId="1286"/>
    <cellStyle name="20% - 강조색5 2 55" xfId="1287"/>
    <cellStyle name="20% - 강조색5 2 56" xfId="1288"/>
    <cellStyle name="20% - 강조색5 2 57" xfId="1289"/>
    <cellStyle name="20% - 강조색5 2 58" xfId="1290"/>
    <cellStyle name="20% - 강조색5 2 59" xfId="1291"/>
    <cellStyle name="20% - 강조색5 2 6" xfId="1292"/>
    <cellStyle name="20% - 강조색5 2 60" xfId="1293"/>
    <cellStyle name="20% - 강조색5 2 61" xfId="1294"/>
    <cellStyle name="20% - 강조색5 2 62" xfId="1295"/>
    <cellStyle name="20% - 강조색5 2 63" xfId="1296"/>
    <cellStyle name="20% - 강조색5 2 64" xfId="1297"/>
    <cellStyle name="20% - 강조색5 2 65" xfId="1298"/>
    <cellStyle name="20% - 강조색5 2 66" xfId="1299"/>
    <cellStyle name="20% - 강조색5 2 67" xfId="1300"/>
    <cellStyle name="20% - 강조색5 2 68" xfId="1301"/>
    <cellStyle name="20% - 강조색5 2 69" xfId="1302"/>
    <cellStyle name="20% - 강조색5 2 7" xfId="1303"/>
    <cellStyle name="20% - 강조색5 2 70" xfId="1304"/>
    <cellStyle name="20% - 강조색5 2 71" xfId="1305"/>
    <cellStyle name="20% - 강조색5 2 72" xfId="1306"/>
    <cellStyle name="20% - 강조색5 2 73" xfId="1307"/>
    <cellStyle name="20% - 강조색5 2 74" xfId="1308"/>
    <cellStyle name="20% - 강조색5 2 75" xfId="1309"/>
    <cellStyle name="20% - 강조색5 2 76" xfId="1310"/>
    <cellStyle name="20% - 강조색5 2 77" xfId="1311"/>
    <cellStyle name="20% - 강조색5 2 78" xfId="1312"/>
    <cellStyle name="20% - 강조색5 2 79" xfId="1313"/>
    <cellStyle name="20% - 강조색5 2 8" xfId="1314"/>
    <cellStyle name="20% - 강조색5 2 80" xfId="1315"/>
    <cellStyle name="20% - 강조색5 2 81" xfId="1316"/>
    <cellStyle name="20% - 강조색5 2 82" xfId="1317"/>
    <cellStyle name="20% - 강조색5 2 83" xfId="1318"/>
    <cellStyle name="20% - 강조색5 2 84" xfId="1319"/>
    <cellStyle name="20% - 강조색5 2 85" xfId="1320"/>
    <cellStyle name="20% - 강조색5 2 86" xfId="1321"/>
    <cellStyle name="20% - 강조색5 2 87" xfId="1322"/>
    <cellStyle name="20% - 강조색5 2 88" xfId="1323"/>
    <cellStyle name="20% - 강조색5 2 89" xfId="1324"/>
    <cellStyle name="20% - 강조색5 2 9" xfId="1325"/>
    <cellStyle name="20% - 강조색5 2 90" xfId="1326"/>
    <cellStyle name="20% - 강조색5 2 91" xfId="1327"/>
    <cellStyle name="20% - 강조색5 2 92" xfId="1328"/>
    <cellStyle name="20% - 강조색5 2 93" xfId="1329"/>
    <cellStyle name="20% - 강조색5 2 94" xfId="1330"/>
    <cellStyle name="20% - 강조색5 2 95" xfId="1331"/>
    <cellStyle name="20% - 강조색5 2 96" xfId="1332"/>
    <cellStyle name="20% - 강조색5 2 97" xfId="1333"/>
    <cellStyle name="20% - 강조색5 2 98" xfId="1334"/>
    <cellStyle name="20% - 강조색5 2 99" xfId="1335"/>
    <cellStyle name="20% - 강조색5 3" xfId="1336"/>
    <cellStyle name="20% - 강조색6 2" xfId="1337"/>
    <cellStyle name="20% - 강조색6 2 10" xfId="1338"/>
    <cellStyle name="20% - 강조색6 2 100" xfId="1339"/>
    <cellStyle name="20% - 강조색6 2 101" xfId="1340"/>
    <cellStyle name="20% - 강조색6 2 102" xfId="1341"/>
    <cellStyle name="20% - 강조색6 2 103" xfId="1342"/>
    <cellStyle name="20% - 강조색6 2 104" xfId="1343"/>
    <cellStyle name="20% - 강조색6 2 105" xfId="1344"/>
    <cellStyle name="20% - 강조색6 2 106" xfId="1345"/>
    <cellStyle name="20% - 강조색6 2 107" xfId="1346"/>
    <cellStyle name="20% - 강조색6 2 108" xfId="1347"/>
    <cellStyle name="20% - 강조색6 2 109" xfId="1348"/>
    <cellStyle name="20% - 강조색6 2 11" xfId="1349"/>
    <cellStyle name="20% - 강조색6 2 110" xfId="1350"/>
    <cellStyle name="20% - 강조색6 2 111" xfId="1351"/>
    <cellStyle name="20% - 강조색6 2 112" xfId="1352"/>
    <cellStyle name="20% - 강조색6 2 113" xfId="1353"/>
    <cellStyle name="20% - 강조색6 2 114" xfId="1354"/>
    <cellStyle name="20% - 강조색6 2 115" xfId="1355"/>
    <cellStyle name="20% - 강조색6 2 116" xfId="1356"/>
    <cellStyle name="20% - 강조색6 2 117" xfId="1357"/>
    <cellStyle name="20% - 강조색6 2 118" xfId="1358"/>
    <cellStyle name="20% - 강조색6 2 119" xfId="1359"/>
    <cellStyle name="20% - 강조색6 2 12" xfId="1360"/>
    <cellStyle name="20% - 강조색6 2 120" xfId="1361"/>
    <cellStyle name="20% - 강조색6 2 121" xfId="1362"/>
    <cellStyle name="20% - 강조색6 2 122" xfId="1363"/>
    <cellStyle name="20% - 강조색6 2 123" xfId="1364"/>
    <cellStyle name="20% - 강조색6 2 124" xfId="1365"/>
    <cellStyle name="20% - 강조색6 2 125" xfId="1366"/>
    <cellStyle name="20% - 강조색6 2 126" xfId="1367"/>
    <cellStyle name="20% - 강조색6 2 127" xfId="1368"/>
    <cellStyle name="20% - 강조색6 2 128" xfId="1369"/>
    <cellStyle name="20% - 강조색6 2 129" xfId="1370"/>
    <cellStyle name="20% - 강조색6 2 13" xfId="1371"/>
    <cellStyle name="20% - 강조색6 2 130" xfId="1372"/>
    <cellStyle name="20% - 강조색6 2 131" xfId="1373"/>
    <cellStyle name="20% - 강조색6 2 132" xfId="1374"/>
    <cellStyle name="20% - 강조색6 2 133" xfId="1375"/>
    <cellStyle name="20% - 강조색6 2 134" xfId="1376"/>
    <cellStyle name="20% - 강조색6 2 135" xfId="1377"/>
    <cellStyle name="20% - 강조색6 2 136" xfId="1378"/>
    <cellStyle name="20% - 강조색6 2 137" xfId="1379"/>
    <cellStyle name="20% - 강조색6 2 138" xfId="1380"/>
    <cellStyle name="20% - 강조색6 2 139" xfId="1381"/>
    <cellStyle name="20% - 강조색6 2 14" xfId="1382"/>
    <cellStyle name="20% - 강조색6 2 140" xfId="1383"/>
    <cellStyle name="20% - 강조색6 2 141" xfId="1384"/>
    <cellStyle name="20% - 강조색6 2 142" xfId="1385"/>
    <cellStyle name="20% - 강조색6 2 143" xfId="1386"/>
    <cellStyle name="20% - 강조색6 2 144" xfId="1387"/>
    <cellStyle name="20% - 강조색6 2 145" xfId="1388"/>
    <cellStyle name="20% - 강조색6 2 146" xfId="1389"/>
    <cellStyle name="20% - 강조색6 2 147" xfId="1390"/>
    <cellStyle name="20% - 강조색6 2 148" xfId="1391"/>
    <cellStyle name="20% - 강조색6 2 149" xfId="1392"/>
    <cellStyle name="20% - 강조색6 2 15" xfId="1393"/>
    <cellStyle name="20% - 강조색6 2 150" xfId="1394"/>
    <cellStyle name="20% - 강조색6 2 151" xfId="1395"/>
    <cellStyle name="20% - 강조색6 2 152" xfId="1396"/>
    <cellStyle name="20% - 강조색6 2 153" xfId="1397"/>
    <cellStyle name="20% - 강조색6 2 154" xfId="1398"/>
    <cellStyle name="20% - 강조색6 2 155" xfId="1399"/>
    <cellStyle name="20% - 강조색6 2 156" xfId="1400"/>
    <cellStyle name="20% - 강조색6 2 157" xfId="1401"/>
    <cellStyle name="20% - 강조색6 2 158" xfId="1402"/>
    <cellStyle name="20% - 강조색6 2 159" xfId="1403"/>
    <cellStyle name="20% - 강조색6 2 16" xfId="1404"/>
    <cellStyle name="20% - 강조색6 2 160" xfId="1405"/>
    <cellStyle name="20% - 강조색6 2 161" xfId="1406"/>
    <cellStyle name="20% - 강조색6 2 162" xfId="1407"/>
    <cellStyle name="20% - 강조색6 2 163" xfId="1408"/>
    <cellStyle name="20% - 강조색6 2 164" xfId="1409"/>
    <cellStyle name="20% - 강조색6 2 165" xfId="1410"/>
    <cellStyle name="20% - 강조색6 2 166" xfId="1411"/>
    <cellStyle name="20% - 강조색6 2 167" xfId="1412"/>
    <cellStyle name="20% - 강조색6 2 168" xfId="1413"/>
    <cellStyle name="20% - 강조색6 2 169" xfId="1414"/>
    <cellStyle name="20% - 강조색6 2 17" xfId="1415"/>
    <cellStyle name="20% - 강조색6 2 170" xfId="1416"/>
    <cellStyle name="20% - 강조색6 2 171" xfId="1417"/>
    <cellStyle name="20% - 강조색6 2 172" xfId="1418"/>
    <cellStyle name="20% - 강조색6 2 173" xfId="1419"/>
    <cellStyle name="20% - 강조색6 2 174" xfId="1420"/>
    <cellStyle name="20% - 강조색6 2 175" xfId="1421"/>
    <cellStyle name="20% - 강조색6 2 176" xfId="1422"/>
    <cellStyle name="20% - 강조색6 2 177" xfId="1423"/>
    <cellStyle name="20% - 강조색6 2 178" xfId="1424"/>
    <cellStyle name="20% - 강조색6 2 179" xfId="1425"/>
    <cellStyle name="20% - 강조색6 2 18" xfId="1426"/>
    <cellStyle name="20% - 강조색6 2 180" xfId="1427"/>
    <cellStyle name="20% - 강조색6 2 181" xfId="1428"/>
    <cellStyle name="20% - 강조색6 2 182" xfId="1429"/>
    <cellStyle name="20% - 강조색6 2 183" xfId="1430"/>
    <cellStyle name="20% - 강조색6 2 184" xfId="1431"/>
    <cellStyle name="20% - 강조색6 2 185" xfId="1432"/>
    <cellStyle name="20% - 강조색6 2 186" xfId="1433"/>
    <cellStyle name="20% - 강조색6 2 187" xfId="1434"/>
    <cellStyle name="20% - 강조색6 2 188" xfId="1435"/>
    <cellStyle name="20% - 강조색6 2 189" xfId="1436"/>
    <cellStyle name="20% - 강조색6 2 19" xfId="1437"/>
    <cellStyle name="20% - 강조색6 2 190" xfId="1438"/>
    <cellStyle name="20% - 강조색6 2 191" xfId="1439"/>
    <cellStyle name="20% - 강조색6 2 192" xfId="1440"/>
    <cellStyle name="20% - 강조색6 2 193" xfId="1441"/>
    <cellStyle name="20% - 강조색6 2 194" xfId="1442"/>
    <cellStyle name="20% - 강조색6 2 195" xfId="1443"/>
    <cellStyle name="20% - 강조색6 2 196" xfId="1444"/>
    <cellStyle name="20% - 강조색6 2 197" xfId="1445"/>
    <cellStyle name="20% - 강조색6 2 198" xfId="1446"/>
    <cellStyle name="20% - 강조색6 2 199" xfId="1447"/>
    <cellStyle name="20% - 강조색6 2 2" xfId="1448"/>
    <cellStyle name="20% - 강조색6 2 20" xfId="1449"/>
    <cellStyle name="20% - 강조색6 2 200" xfId="1450"/>
    <cellStyle name="20% - 강조색6 2 201" xfId="1451"/>
    <cellStyle name="20% - 강조색6 2 202" xfId="1452"/>
    <cellStyle name="20% - 강조색6 2 203" xfId="1453"/>
    <cellStyle name="20% - 강조색6 2 204" xfId="1454"/>
    <cellStyle name="20% - 강조색6 2 205" xfId="1455"/>
    <cellStyle name="20% - 강조색6 2 206" xfId="1456"/>
    <cellStyle name="20% - 강조색6 2 207" xfId="1457"/>
    <cellStyle name="20% - 강조색6 2 208" xfId="1458"/>
    <cellStyle name="20% - 강조색6 2 209" xfId="1459"/>
    <cellStyle name="20% - 강조색6 2 21" xfId="1460"/>
    <cellStyle name="20% - 강조색6 2 210" xfId="1461"/>
    <cellStyle name="20% - 강조색6 2 211" xfId="1462"/>
    <cellStyle name="20% - 강조색6 2 212" xfId="1463"/>
    <cellStyle name="20% - 강조색6 2 213" xfId="1464"/>
    <cellStyle name="20% - 강조색6 2 214" xfId="1465"/>
    <cellStyle name="20% - 강조색6 2 215" xfId="1466"/>
    <cellStyle name="20% - 강조색6 2 216" xfId="1467"/>
    <cellStyle name="20% - 강조색6 2 217" xfId="1468"/>
    <cellStyle name="20% - 강조색6 2 218" xfId="1469"/>
    <cellStyle name="20% - 강조색6 2 219" xfId="1470"/>
    <cellStyle name="20% - 강조색6 2 22" xfId="1471"/>
    <cellStyle name="20% - 강조색6 2 220" xfId="1472"/>
    <cellStyle name="20% - 강조색6 2 221" xfId="1473"/>
    <cellStyle name="20% - 강조색6 2 222" xfId="1474"/>
    <cellStyle name="20% - 강조색6 2 223" xfId="1475"/>
    <cellStyle name="20% - 강조색6 2 224" xfId="1476"/>
    <cellStyle name="20% - 강조색6 2 225" xfId="1477"/>
    <cellStyle name="20% - 강조색6 2 226" xfId="1478"/>
    <cellStyle name="20% - 강조색6 2 227" xfId="1479"/>
    <cellStyle name="20% - 강조색6 2 228" xfId="1480"/>
    <cellStyle name="20% - 강조색6 2 229" xfId="1481"/>
    <cellStyle name="20% - 강조색6 2 23" xfId="1482"/>
    <cellStyle name="20% - 강조색6 2 230" xfId="1483"/>
    <cellStyle name="20% - 강조색6 2 231" xfId="1484"/>
    <cellStyle name="20% - 강조색6 2 232" xfId="1485"/>
    <cellStyle name="20% - 강조색6 2 233" xfId="1486"/>
    <cellStyle name="20% - 강조색6 2 234" xfId="1487"/>
    <cellStyle name="20% - 강조색6 2 235" xfId="1488"/>
    <cellStyle name="20% - 강조색6 2 236" xfId="1489"/>
    <cellStyle name="20% - 강조색6 2 237" xfId="1490"/>
    <cellStyle name="20% - 강조색6 2 238" xfId="1491"/>
    <cellStyle name="20% - 강조색6 2 239" xfId="1492"/>
    <cellStyle name="20% - 강조색6 2 24" xfId="1493"/>
    <cellStyle name="20% - 강조색6 2 240" xfId="1494"/>
    <cellStyle name="20% - 강조색6 2 241" xfId="1495"/>
    <cellStyle name="20% - 강조색6 2 242" xfId="1496"/>
    <cellStyle name="20% - 강조색6 2 25" xfId="1497"/>
    <cellStyle name="20% - 강조색6 2 26" xfId="1498"/>
    <cellStyle name="20% - 강조색6 2 27" xfId="1499"/>
    <cellStyle name="20% - 강조색6 2 28" xfId="1500"/>
    <cellStyle name="20% - 강조색6 2 29" xfId="1501"/>
    <cellStyle name="20% - 강조색6 2 3" xfId="1502"/>
    <cellStyle name="20% - 강조색6 2 30" xfId="1503"/>
    <cellStyle name="20% - 강조색6 2 31" xfId="1504"/>
    <cellStyle name="20% - 강조색6 2 32" xfId="1505"/>
    <cellStyle name="20% - 강조색6 2 33" xfId="1506"/>
    <cellStyle name="20% - 강조색6 2 34" xfId="1507"/>
    <cellStyle name="20% - 강조색6 2 35" xfId="1508"/>
    <cellStyle name="20% - 강조색6 2 36" xfId="1509"/>
    <cellStyle name="20% - 강조색6 2 37" xfId="1510"/>
    <cellStyle name="20% - 강조색6 2 38" xfId="1511"/>
    <cellStyle name="20% - 강조색6 2 39" xfId="1512"/>
    <cellStyle name="20% - 강조색6 2 4" xfId="1513"/>
    <cellStyle name="20% - 강조색6 2 40" xfId="1514"/>
    <cellStyle name="20% - 강조색6 2 41" xfId="1515"/>
    <cellStyle name="20% - 강조색6 2 42" xfId="1516"/>
    <cellStyle name="20% - 강조색6 2 43" xfId="1517"/>
    <cellStyle name="20% - 강조색6 2 44" xfId="1518"/>
    <cellStyle name="20% - 강조색6 2 45" xfId="1519"/>
    <cellStyle name="20% - 강조색6 2 46" xfId="1520"/>
    <cellStyle name="20% - 강조색6 2 47" xfId="1521"/>
    <cellStyle name="20% - 강조색6 2 48" xfId="1522"/>
    <cellStyle name="20% - 강조색6 2 49" xfId="1523"/>
    <cellStyle name="20% - 강조색6 2 5" xfId="1524"/>
    <cellStyle name="20% - 강조색6 2 50" xfId="1525"/>
    <cellStyle name="20% - 강조색6 2 51" xfId="1526"/>
    <cellStyle name="20% - 강조색6 2 52" xfId="1527"/>
    <cellStyle name="20% - 강조색6 2 53" xfId="1528"/>
    <cellStyle name="20% - 강조색6 2 54" xfId="1529"/>
    <cellStyle name="20% - 강조색6 2 55" xfId="1530"/>
    <cellStyle name="20% - 강조색6 2 56" xfId="1531"/>
    <cellStyle name="20% - 강조색6 2 57" xfId="1532"/>
    <cellStyle name="20% - 강조색6 2 58" xfId="1533"/>
    <cellStyle name="20% - 강조색6 2 59" xfId="1534"/>
    <cellStyle name="20% - 강조색6 2 6" xfId="1535"/>
    <cellStyle name="20% - 강조색6 2 60" xfId="1536"/>
    <cellStyle name="20% - 강조색6 2 61" xfId="1537"/>
    <cellStyle name="20% - 강조색6 2 62" xfId="1538"/>
    <cellStyle name="20% - 강조색6 2 63" xfId="1539"/>
    <cellStyle name="20% - 강조색6 2 64" xfId="1540"/>
    <cellStyle name="20% - 강조색6 2 65" xfId="1541"/>
    <cellStyle name="20% - 강조색6 2 66" xfId="1542"/>
    <cellStyle name="20% - 강조색6 2 67" xfId="1543"/>
    <cellStyle name="20% - 강조색6 2 68" xfId="1544"/>
    <cellStyle name="20% - 강조색6 2 69" xfId="1545"/>
    <cellStyle name="20% - 강조색6 2 7" xfId="1546"/>
    <cellStyle name="20% - 강조색6 2 70" xfId="1547"/>
    <cellStyle name="20% - 강조색6 2 71" xfId="1548"/>
    <cellStyle name="20% - 강조색6 2 72" xfId="1549"/>
    <cellStyle name="20% - 강조색6 2 73" xfId="1550"/>
    <cellStyle name="20% - 강조색6 2 74" xfId="1551"/>
    <cellStyle name="20% - 강조색6 2 75" xfId="1552"/>
    <cellStyle name="20% - 강조색6 2 76" xfId="1553"/>
    <cellStyle name="20% - 강조색6 2 77" xfId="1554"/>
    <cellStyle name="20% - 강조색6 2 78" xfId="1555"/>
    <cellStyle name="20% - 강조색6 2 79" xfId="1556"/>
    <cellStyle name="20% - 강조색6 2 8" xfId="1557"/>
    <cellStyle name="20% - 강조색6 2 80" xfId="1558"/>
    <cellStyle name="20% - 강조색6 2 81" xfId="1559"/>
    <cellStyle name="20% - 강조색6 2 82" xfId="1560"/>
    <cellStyle name="20% - 강조색6 2 83" xfId="1561"/>
    <cellStyle name="20% - 강조색6 2 84" xfId="1562"/>
    <cellStyle name="20% - 강조색6 2 85" xfId="1563"/>
    <cellStyle name="20% - 강조색6 2 86" xfId="1564"/>
    <cellStyle name="20% - 강조색6 2 87" xfId="1565"/>
    <cellStyle name="20% - 강조색6 2 88" xfId="1566"/>
    <cellStyle name="20% - 강조색6 2 89" xfId="1567"/>
    <cellStyle name="20% - 강조색6 2 9" xfId="1568"/>
    <cellStyle name="20% - 강조색6 2 90" xfId="1569"/>
    <cellStyle name="20% - 강조색6 2 91" xfId="1570"/>
    <cellStyle name="20% - 강조색6 2 92" xfId="1571"/>
    <cellStyle name="20% - 강조색6 2 93" xfId="1572"/>
    <cellStyle name="20% - 강조색6 2 94" xfId="1573"/>
    <cellStyle name="20% - 강조색6 2 95" xfId="1574"/>
    <cellStyle name="20% - 강조색6 2 96" xfId="1575"/>
    <cellStyle name="20% - 강조색6 2 97" xfId="1576"/>
    <cellStyle name="20% - 강조색6 2 98" xfId="1577"/>
    <cellStyle name="20% - 강조색6 2 99" xfId="1578"/>
    <cellStyle name="20% - 강조색6 3" xfId="1579"/>
    <cellStyle name="³£¹æ_8price1" xfId="1580"/>
    <cellStyle name="³¬¼¶Á´½Ó" xfId="1581"/>
    <cellStyle name="40% - Accent1" xfId="1582"/>
    <cellStyle name="40% - Accent2" xfId="1583"/>
    <cellStyle name="40% - Accent3" xfId="1584"/>
    <cellStyle name="40% - Accent4" xfId="1585"/>
    <cellStyle name="40% - Accent5" xfId="1586"/>
    <cellStyle name="40% - Accent6" xfId="1587"/>
    <cellStyle name="40% - 强调文字颜色 1" xfId="1588"/>
    <cellStyle name="40% - 强调文字颜色 2" xfId="1589"/>
    <cellStyle name="40% - 强调文字颜色 3" xfId="1590"/>
    <cellStyle name="40% - 强调文字颜色 4" xfId="1591"/>
    <cellStyle name="40% - 强调文字颜色 5" xfId="1592"/>
    <cellStyle name="40% - 强调文字颜色 6" xfId="1593"/>
    <cellStyle name="40% - 강조색1 2" xfId="1594"/>
    <cellStyle name="40% - 강조색1 2 10" xfId="1595"/>
    <cellStyle name="40% - 강조색1 2 100" xfId="1596"/>
    <cellStyle name="40% - 강조색1 2 101" xfId="1597"/>
    <cellStyle name="40% - 강조색1 2 102" xfId="1598"/>
    <cellStyle name="40% - 강조색1 2 103" xfId="1599"/>
    <cellStyle name="40% - 강조색1 2 104" xfId="1600"/>
    <cellStyle name="40% - 강조색1 2 105" xfId="1601"/>
    <cellStyle name="40% - 강조색1 2 106" xfId="1602"/>
    <cellStyle name="40% - 강조색1 2 107" xfId="1603"/>
    <cellStyle name="40% - 강조색1 2 108" xfId="1604"/>
    <cellStyle name="40% - 강조색1 2 109" xfId="1605"/>
    <cellStyle name="40% - 강조색1 2 11" xfId="1606"/>
    <cellStyle name="40% - 강조색1 2 110" xfId="1607"/>
    <cellStyle name="40% - 강조색1 2 111" xfId="1608"/>
    <cellStyle name="40% - 강조색1 2 112" xfId="1609"/>
    <cellStyle name="40% - 강조색1 2 113" xfId="1610"/>
    <cellStyle name="40% - 강조색1 2 114" xfId="1611"/>
    <cellStyle name="40% - 강조색1 2 115" xfId="1612"/>
    <cellStyle name="40% - 강조색1 2 116" xfId="1613"/>
    <cellStyle name="40% - 강조색1 2 117" xfId="1614"/>
    <cellStyle name="40% - 강조색1 2 118" xfId="1615"/>
    <cellStyle name="40% - 강조색1 2 119" xfId="1616"/>
    <cellStyle name="40% - 강조색1 2 12" xfId="1617"/>
    <cellStyle name="40% - 강조색1 2 120" xfId="1618"/>
    <cellStyle name="40% - 강조색1 2 121" xfId="1619"/>
    <cellStyle name="40% - 강조색1 2 122" xfId="1620"/>
    <cellStyle name="40% - 강조색1 2 123" xfId="1621"/>
    <cellStyle name="40% - 강조색1 2 124" xfId="1622"/>
    <cellStyle name="40% - 강조색1 2 125" xfId="1623"/>
    <cellStyle name="40% - 강조색1 2 126" xfId="1624"/>
    <cellStyle name="40% - 강조색1 2 127" xfId="1625"/>
    <cellStyle name="40% - 강조색1 2 128" xfId="1626"/>
    <cellStyle name="40% - 강조색1 2 129" xfId="1627"/>
    <cellStyle name="40% - 강조색1 2 13" xfId="1628"/>
    <cellStyle name="40% - 강조색1 2 130" xfId="1629"/>
    <cellStyle name="40% - 강조색1 2 131" xfId="1630"/>
    <cellStyle name="40% - 강조색1 2 132" xfId="1631"/>
    <cellStyle name="40% - 강조색1 2 133" xfId="1632"/>
    <cellStyle name="40% - 강조색1 2 134" xfId="1633"/>
    <cellStyle name="40% - 강조색1 2 135" xfId="1634"/>
    <cellStyle name="40% - 강조색1 2 136" xfId="1635"/>
    <cellStyle name="40% - 강조색1 2 137" xfId="1636"/>
    <cellStyle name="40% - 강조색1 2 138" xfId="1637"/>
    <cellStyle name="40% - 강조색1 2 139" xfId="1638"/>
    <cellStyle name="40% - 강조색1 2 14" xfId="1639"/>
    <cellStyle name="40% - 강조색1 2 140" xfId="1640"/>
    <cellStyle name="40% - 강조색1 2 141" xfId="1641"/>
    <cellStyle name="40% - 강조색1 2 142" xfId="1642"/>
    <cellStyle name="40% - 강조색1 2 143" xfId="1643"/>
    <cellStyle name="40% - 강조색1 2 144" xfId="1644"/>
    <cellStyle name="40% - 강조색1 2 145" xfId="1645"/>
    <cellStyle name="40% - 강조색1 2 146" xfId="1646"/>
    <cellStyle name="40% - 강조색1 2 147" xfId="1647"/>
    <cellStyle name="40% - 강조색1 2 148" xfId="1648"/>
    <cellStyle name="40% - 강조색1 2 149" xfId="1649"/>
    <cellStyle name="40% - 강조색1 2 15" xfId="1650"/>
    <cellStyle name="40% - 강조색1 2 150" xfId="1651"/>
    <cellStyle name="40% - 강조색1 2 151" xfId="1652"/>
    <cellStyle name="40% - 강조색1 2 152" xfId="1653"/>
    <cellStyle name="40% - 강조색1 2 153" xfId="1654"/>
    <cellStyle name="40% - 강조색1 2 154" xfId="1655"/>
    <cellStyle name="40% - 강조색1 2 155" xfId="1656"/>
    <cellStyle name="40% - 강조색1 2 156" xfId="1657"/>
    <cellStyle name="40% - 강조색1 2 157" xfId="1658"/>
    <cellStyle name="40% - 강조색1 2 158" xfId="1659"/>
    <cellStyle name="40% - 강조색1 2 159" xfId="1660"/>
    <cellStyle name="40% - 강조색1 2 16" xfId="1661"/>
    <cellStyle name="40% - 강조색1 2 160" xfId="1662"/>
    <cellStyle name="40% - 강조색1 2 161" xfId="1663"/>
    <cellStyle name="40% - 강조색1 2 162" xfId="1664"/>
    <cellStyle name="40% - 강조색1 2 163" xfId="1665"/>
    <cellStyle name="40% - 강조색1 2 164" xfId="1666"/>
    <cellStyle name="40% - 강조색1 2 165" xfId="1667"/>
    <cellStyle name="40% - 강조색1 2 166" xfId="1668"/>
    <cellStyle name="40% - 강조색1 2 167" xfId="1669"/>
    <cellStyle name="40% - 강조색1 2 168" xfId="1670"/>
    <cellStyle name="40% - 강조색1 2 169" xfId="1671"/>
    <cellStyle name="40% - 강조색1 2 17" xfId="1672"/>
    <cellStyle name="40% - 강조색1 2 170" xfId="1673"/>
    <cellStyle name="40% - 강조색1 2 171" xfId="1674"/>
    <cellStyle name="40% - 강조색1 2 172" xfId="1675"/>
    <cellStyle name="40% - 강조색1 2 173" xfId="1676"/>
    <cellStyle name="40% - 강조색1 2 174" xfId="1677"/>
    <cellStyle name="40% - 강조색1 2 175" xfId="1678"/>
    <cellStyle name="40% - 강조색1 2 176" xfId="1679"/>
    <cellStyle name="40% - 강조색1 2 177" xfId="1680"/>
    <cellStyle name="40% - 강조색1 2 178" xfId="1681"/>
    <cellStyle name="40% - 강조색1 2 179" xfId="1682"/>
    <cellStyle name="40% - 강조색1 2 18" xfId="1683"/>
    <cellStyle name="40% - 강조색1 2 180" xfId="1684"/>
    <cellStyle name="40% - 강조색1 2 181" xfId="1685"/>
    <cellStyle name="40% - 강조색1 2 182" xfId="1686"/>
    <cellStyle name="40% - 강조색1 2 183" xfId="1687"/>
    <cellStyle name="40% - 강조색1 2 184" xfId="1688"/>
    <cellStyle name="40% - 강조색1 2 185" xfId="1689"/>
    <cellStyle name="40% - 강조색1 2 186" xfId="1690"/>
    <cellStyle name="40% - 강조색1 2 187" xfId="1691"/>
    <cellStyle name="40% - 강조색1 2 188" xfId="1692"/>
    <cellStyle name="40% - 강조색1 2 189" xfId="1693"/>
    <cellStyle name="40% - 강조색1 2 19" xfId="1694"/>
    <cellStyle name="40% - 강조색1 2 190" xfId="1695"/>
    <cellStyle name="40% - 강조색1 2 191" xfId="1696"/>
    <cellStyle name="40% - 강조색1 2 192" xfId="1697"/>
    <cellStyle name="40% - 강조색1 2 193" xfId="1698"/>
    <cellStyle name="40% - 강조색1 2 194" xfId="1699"/>
    <cellStyle name="40% - 강조색1 2 195" xfId="1700"/>
    <cellStyle name="40% - 강조색1 2 196" xfId="1701"/>
    <cellStyle name="40% - 강조색1 2 197" xfId="1702"/>
    <cellStyle name="40% - 강조색1 2 198" xfId="1703"/>
    <cellStyle name="40% - 강조색1 2 199" xfId="1704"/>
    <cellStyle name="40% - 강조색1 2 2" xfId="1705"/>
    <cellStyle name="40% - 강조색1 2 20" xfId="1706"/>
    <cellStyle name="40% - 강조색1 2 200" xfId="1707"/>
    <cellStyle name="40% - 강조색1 2 201" xfId="1708"/>
    <cellStyle name="40% - 강조색1 2 202" xfId="1709"/>
    <cellStyle name="40% - 강조색1 2 203" xfId="1710"/>
    <cellStyle name="40% - 강조색1 2 204" xfId="1711"/>
    <cellStyle name="40% - 강조색1 2 205" xfId="1712"/>
    <cellStyle name="40% - 강조색1 2 206" xfId="1713"/>
    <cellStyle name="40% - 강조색1 2 207" xfId="1714"/>
    <cellStyle name="40% - 강조색1 2 208" xfId="1715"/>
    <cellStyle name="40% - 강조색1 2 209" xfId="1716"/>
    <cellStyle name="40% - 강조색1 2 21" xfId="1717"/>
    <cellStyle name="40% - 강조색1 2 210" xfId="1718"/>
    <cellStyle name="40% - 강조색1 2 211" xfId="1719"/>
    <cellStyle name="40% - 강조색1 2 212" xfId="1720"/>
    <cellStyle name="40% - 강조색1 2 213" xfId="1721"/>
    <cellStyle name="40% - 강조색1 2 214" xfId="1722"/>
    <cellStyle name="40% - 강조색1 2 215" xfId="1723"/>
    <cellStyle name="40% - 강조색1 2 216" xfId="1724"/>
    <cellStyle name="40% - 강조색1 2 217" xfId="1725"/>
    <cellStyle name="40% - 강조색1 2 218" xfId="1726"/>
    <cellStyle name="40% - 강조색1 2 219" xfId="1727"/>
    <cellStyle name="40% - 강조색1 2 22" xfId="1728"/>
    <cellStyle name="40% - 강조색1 2 220" xfId="1729"/>
    <cellStyle name="40% - 강조색1 2 221" xfId="1730"/>
    <cellStyle name="40% - 강조색1 2 222" xfId="1731"/>
    <cellStyle name="40% - 강조색1 2 223" xfId="1732"/>
    <cellStyle name="40% - 강조색1 2 224" xfId="1733"/>
    <cellStyle name="40% - 강조색1 2 225" xfId="1734"/>
    <cellStyle name="40% - 강조색1 2 226" xfId="1735"/>
    <cellStyle name="40% - 강조색1 2 227" xfId="1736"/>
    <cellStyle name="40% - 강조색1 2 228" xfId="1737"/>
    <cellStyle name="40% - 강조색1 2 229" xfId="1738"/>
    <cellStyle name="40% - 강조색1 2 23" xfId="1739"/>
    <cellStyle name="40% - 강조색1 2 230" xfId="1740"/>
    <cellStyle name="40% - 강조색1 2 231" xfId="1741"/>
    <cellStyle name="40% - 강조색1 2 232" xfId="1742"/>
    <cellStyle name="40% - 강조색1 2 233" xfId="1743"/>
    <cellStyle name="40% - 강조색1 2 234" xfId="1744"/>
    <cellStyle name="40% - 강조색1 2 235" xfId="1745"/>
    <cellStyle name="40% - 강조색1 2 236" xfId="1746"/>
    <cellStyle name="40% - 강조색1 2 237" xfId="1747"/>
    <cellStyle name="40% - 강조색1 2 238" xfId="1748"/>
    <cellStyle name="40% - 강조색1 2 239" xfId="1749"/>
    <cellStyle name="40% - 강조색1 2 24" xfId="1750"/>
    <cellStyle name="40% - 강조색1 2 240" xfId="1751"/>
    <cellStyle name="40% - 강조색1 2 241" xfId="1752"/>
    <cellStyle name="40% - 강조색1 2 242" xfId="1753"/>
    <cellStyle name="40% - 강조색1 2 25" xfId="1754"/>
    <cellStyle name="40% - 강조색1 2 26" xfId="1755"/>
    <cellStyle name="40% - 강조색1 2 27" xfId="1756"/>
    <cellStyle name="40% - 강조색1 2 28" xfId="1757"/>
    <cellStyle name="40% - 강조색1 2 29" xfId="1758"/>
    <cellStyle name="40% - 강조색1 2 3" xfId="1759"/>
    <cellStyle name="40% - 강조색1 2 30" xfId="1760"/>
    <cellStyle name="40% - 강조색1 2 31" xfId="1761"/>
    <cellStyle name="40% - 강조색1 2 32" xfId="1762"/>
    <cellStyle name="40% - 강조색1 2 33" xfId="1763"/>
    <cellStyle name="40% - 강조색1 2 34" xfId="1764"/>
    <cellStyle name="40% - 강조색1 2 35" xfId="1765"/>
    <cellStyle name="40% - 강조색1 2 36" xfId="1766"/>
    <cellStyle name="40% - 강조색1 2 37" xfId="1767"/>
    <cellStyle name="40% - 강조색1 2 38" xfId="1768"/>
    <cellStyle name="40% - 강조색1 2 39" xfId="1769"/>
    <cellStyle name="40% - 강조색1 2 4" xfId="1770"/>
    <cellStyle name="40% - 강조색1 2 40" xfId="1771"/>
    <cellStyle name="40% - 강조색1 2 41" xfId="1772"/>
    <cellStyle name="40% - 강조색1 2 42" xfId="1773"/>
    <cellStyle name="40% - 강조색1 2 43" xfId="1774"/>
    <cellStyle name="40% - 강조색1 2 44" xfId="1775"/>
    <cellStyle name="40% - 강조색1 2 45" xfId="1776"/>
    <cellStyle name="40% - 강조색1 2 46" xfId="1777"/>
    <cellStyle name="40% - 강조색1 2 47" xfId="1778"/>
    <cellStyle name="40% - 강조색1 2 48" xfId="1779"/>
    <cellStyle name="40% - 강조색1 2 49" xfId="1780"/>
    <cellStyle name="40% - 강조색1 2 5" xfId="1781"/>
    <cellStyle name="40% - 강조색1 2 50" xfId="1782"/>
    <cellStyle name="40% - 강조색1 2 51" xfId="1783"/>
    <cellStyle name="40% - 강조색1 2 52" xfId="1784"/>
    <cellStyle name="40% - 강조색1 2 53" xfId="1785"/>
    <cellStyle name="40% - 강조색1 2 54" xfId="1786"/>
    <cellStyle name="40% - 강조색1 2 55" xfId="1787"/>
    <cellStyle name="40% - 강조색1 2 56" xfId="1788"/>
    <cellStyle name="40% - 강조색1 2 57" xfId="1789"/>
    <cellStyle name="40% - 강조색1 2 58" xfId="1790"/>
    <cellStyle name="40% - 강조색1 2 59" xfId="1791"/>
    <cellStyle name="40% - 강조색1 2 6" xfId="1792"/>
    <cellStyle name="40% - 강조색1 2 60" xfId="1793"/>
    <cellStyle name="40% - 강조색1 2 61" xfId="1794"/>
    <cellStyle name="40% - 강조색1 2 62" xfId="1795"/>
    <cellStyle name="40% - 강조색1 2 63" xfId="1796"/>
    <cellStyle name="40% - 강조색1 2 64" xfId="1797"/>
    <cellStyle name="40% - 강조색1 2 65" xfId="1798"/>
    <cellStyle name="40% - 강조색1 2 66" xfId="1799"/>
    <cellStyle name="40% - 강조색1 2 67" xfId="1800"/>
    <cellStyle name="40% - 강조색1 2 68" xfId="1801"/>
    <cellStyle name="40% - 강조색1 2 69" xfId="1802"/>
    <cellStyle name="40% - 강조색1 2 7" xfId="1803"/>
    <cellStyle name="40% - 강조색1 2 70" xfId="1804"/>
    <cellStyle name="40% - 강조색1 2 71" xfId="1805"/>
    <cellStyle name="40% - 강조색1 2 72" xfId="1806"/>
    <cellStyle name="40% - 강조색1 2 73" xfId="1807"/>
    <cellStyle name="40% - 강조색1 2 74" xfId="1808"/>
    <cellStyle name="40% - 강조색1 2 75" xfId="1809"/>
    <cellStyle name="40% - 강조색1 2 76" xfId="1810"/>
    <cellStyle name="40% - 강조색1 2 77" xfId="1811"/>
    <cellStyle name="40% - 강조색1 2 78" xfId="1812"/>
    <cellStyle name="40% - 강조색1 2 79" xfId="1813"/>
    <cellStyle name="40% - 강조색1 2 8" xfId="1814"/>
    <cellStyle name="40% - 강조색1 2 80" xfId="1815"/>
    <cellStyle name="40% - 강조색1 2 81" xfId="1816"/>
    <cellStyle name="40% - 강조색1 2 82" xfId="1817"/>
    <cellStyle name="40% - 강조색1 2 83" xfId="1818"/>
    <cellStyle name="40% - 강조색1 2 84" xfId="1819"/>
    <cellStyle name="40% - 강조색1 2 85" xfId="1820"/>
    <cellStyle name="40% - 강조색1 2 86" xfId="1821"/>
    <cellStyle name="40% - 강조색1 2 87" xfId="1822"/>
    <cellStyle name="40% - 강조색1 2 88" xfId="1823"/>
    <cellStyle name="40% - 강조색1 2 89" xfId="1824"/>
    <cellStyle name="40% - 강조색1 2 9" xfId="1825"/>
    <cellStyle name="40% - 강조색1 2 90" xfId="1826"/>
    <cellStyle name="40% - 강조색1 2 91" xfId="1827"/>
    <cellStyle name="40% - 강조색1 2 92" xfId="1828"/>
    <cellStyle name="40% - 강조색1 2 93" xfId="1829"/>
    <cellStyle name="40% - 강조색1 2 94" xfId="1830"/>
    <cellStyle name="40% - 강조색1 2 95" xfId="1831"/>
    <cellStyle name="40% - 강조색1 2 96" xfId="1832"/>
    <cellStyle name="40% - 강조색1 2 97" xfId="1833"/>
    <cellStyle name="40% - 강조색1 2 98" xfId="1834"/>
    <cellStyle name="40% - 강조색1 2 99" xfId="1835"/>
    <cellStyle name="40% - 강조색1 3" xfId="1836"/>
    <cellStyle name="40% - 강조색2 2" xfId="1837"/>
    <cellStyle name="40% - 강조색2 2 10" xfId="1838"/>
    <cellStyle name="40% - 강조색2 2 100" xfId="1839"/>
    <cellStyle name="40% - 강조색2 2 101" xfId="1840"/>
    <cellStyle name="40% - 강조색2 2 102" xfId="1841"/>
    <cellStyle name="40% - 강조색2 2 103" xfId="1842"/>
    <cellStyle name="40% - 강조색2 2 104" xfId="1843"/>
    <cellStyle name="40% - 강조색2 2 105" xfId="1844"/>
    <cellStyle name="40% - 강조색2 2 106" xfId="1845"/>
    <cellStyle name="40% - 강조색2 2 107" xfId="1846"/>
    <cellStyle name="40% - 강조색2 2 108" xfId="1847"/>
    <cellStyle name="40% - 강조색2 2 109" xfId="1848"/>
    <cellStyle name="40% - 강조색2 2 11" xfId="1849"/>
    <cellStyle name="40% - 강조색2 2 110" xfId="1850"/>
    <cellStyle name="40% - 강조색2 2 111" xfId="1851"/>
    <cellStyle name="40% - 강조색2 2 112" xfId="1852"/>
    <cellStyle name="40% - 강조색2 2 113" xfId="1853"/>
    <cellStyle name="40% - 강조색2 2 114" xfId="1854"/>
    <cellStyle name="40% - 강조색2 2 115" xfId="1855"/>
    <cellStyle name="40% - 강조색2 2 116" xfId="1856"/>
    <cellStyle name="40% - 강조색2 2 117" xfId="1857"/>
    <cellStyle name="40% - 강조색2 2 118" xfId="1858"/>
    <cellStyle name="40% - 강조색2 2 119" xfId="1859"/>
    <cellStyle name="40% - 강조색2 2 12" xfId="1860"/>
    <cellStyle name="40% - 강조색2 2 120" xfId="1861"/>
    <cellStyle name="40% - 강조색2 2 121" xfId="1862"/>
    <cellStyle name="40% - 강조색2 2 122" xfId="1863"/>
    <cellStyle name="40% - 강조색2 2 123" xfId="1864"/>
    <cellStyle name="40% - 강조색2 2 124" xfId="1865"/>
    <cellStyle name="40% - 강조색2 2 125" xfId="1866"/>
    <cellStyle name="40% - 강조색2 2 126" xfId="1867"/>
    <cellStyle name="40% - 강조색2 2 127" xfId="1868"/>
    <cellStyle name="40% - 강조색2 2 128" xfId="1869"/>
    <cellStyle name="40% - 강조색2 2 129" xfId="1870"/>
    <cellStyle name="40% - 강조색2 2 13" xfId="1871"/>
    <cellStyle name="40% - 강조색2 2 130" xfId="1872"/>
    <cellStyle name="40% - 강조색2 2 131" xfId="1873"/>
    <cellStyle name="40% - 강조색2 2 132" xfId="1874"/>
    <cellStyle name="40% - 강조색2 2 133" xfId="1875"/>
    <cellStyle name="40% - 강조색2 2 134" xfId="1876"/>
    <cellStyle name="40% - 강조색2 2 135" xfId="1877"/>
    <cellStyle name="40% - 강조색2 2 136" xfId="1878"/>
    <cellStyle name="40% - 강조색2 2 137" xfId="1879"/>
    <cellStyle name="40% - 강조색2 2 138" xfId="1880"/>
    <cellStyle name="40% - 강조색2 2 139" xfId="1881"/>
    <cellStyle name="40% - 강조색2 2 14" xfId="1882"/>
    <cellStyle name="40% - 강조색2 2 140" xfId="1883"/>
    <cellStyle name="40% - 강조색2 2 141" xfId="1884"/>
    <cellStyle name="40% - 강조색2 2 142" xfId="1885"/>
    <cellStyle name="40% - 강조색2 2 143" xfId="1886"/>
    <cellStyle name="40% - 강조색2 2 144" xfId="1887"/>
    <cellStyle name="40% - 강조색2 2 145" xfId="1888"/>
    <cellStyle name="40% - 강조색2 2 146" xfId="1889"/>
    <cellStyle name="40% - 강조색2 2 147" xfId="1890"/>
    <cellStyle name="40% - 강조색2 2 148" xfId="1891"/>
    <cellStyle name="40% - 강조색2 2 149" xfId="1892"/>
    <cellStyle name="40% - 강조색2 2 15" xfId="1893"/>
    <cellStyle name="40% - 강조색2 2 150" xfId="1894"/>
    <cellStyle name="40% - 강조색2 2 151" xfId="1895"/>
    <cellStyle name="40% - 강조색2 2 152" xfId="1896"/>
    <cellStyle name="40% - 강조색2 2 153" xfId="1897"/>
    <cellStyle name="40% - 강조색2 2 154" xfId="1898"/>
    <cellStyle name="40% - 강조색2 2 155" xfId="1899"/>
    <cellStyle name="40% - 강조색2 2 156" xfId="1900"/>
    <cellStyle name="40% - 강조색2 2 157" xfId="1901"/>
    <cellStyle name="40% - 강조색2 2 158" xfId="1902"/>
    <cellStyle name="40% - 강조색2 2 159" xfId="1903"/>
    <cellStyle name="40% - 강조색2 2 16" xfId="1904"/>
    <cellStyle name="40% - 강조색2 2 160" xfId="1905"/>
    <cellStyle name="40% - 강조색2 2 161" xfId="1906"/>
    <cellStyle name="40% - 강조색2 2 162" xfId="1907"/>
    <cellStyle name="40% - 강조색2 2 163" xfId="1908"/>
    <cellStyle name="40% - 강조색2 2 164" xfId="1909"/>
    <cellStyle name="40% - 강조색2 2 165" xfId="1910"/>
    <cellStyle name="40% - 강조색2 2 166" xfId="1911"/>
    <cellStyle name="40% - 강조색2 2 167" xfId="1912"/>
    <cellStyle name="40% - 강조색2 2 168" xfId="1913"/>
    <cellStyle name="40% - 강조색2 2 169" xfId="1914"/>
    <cellStyle name="40% - 강조색2 2 17" xfId="1915"/>
    <cellStyle name="40% - 강조색2 2 170" xfId="1916"/>
    <cellStyle name="40% - 강조색2 2 171" xfId="1917"/>
    <cellStyle name="40% - 강조색2 2 172" xfId="1918"/>
    <cellStyle name="40% - 강조색2 2 173" xfId="1919"/>
    <cellStyle name="40% - 강조색2 2 174" xfId="1920"/>
    <cellStyle name="40% - 강조색2 2 175" xfId="1921"/>
    <cellStyle name="40% - 강조색2 2 176" xfId="1922"/>
    <cellStyle name="40% - 강조색2 2 177" xfId="1923"/>
    <cellStyle name="40% - 강조색2 2 178" xfId="1924"/>
    <cellStyle name="40% - 강조색2 2 179" xfId="1925"/>
    <cellStyle name="40% - 강조색2 2 18" xfId="1926"/>
    <cellStyle name="40% - 강조색2 2 180" xfId="1927"/>
    <cellStyle name="40% - 강조색2 2 181" xfId="1928"/>
    <cellStyle name="40% - 강조색2 2 182" xfId="1929"/>
    <cellStyle name="40% - 강조색2 2 183" xfId="1930"/>
    <cellStyle name="40% - 강조색2 2 184" xfId="1931"/>
    <cellStyle name="40% - 강조색2 2 185" xfId="1932"/>
    <cellStyle name="40% - 강조색2 2 186" xfId="1933"/>
    <cellStyle name="40% - 강조색2 2 187" xfId="1934"/>
    <cellStyle name="40% - 강조색2 2 188" xfId="1935"/>
    <cellStyle name="40% - 강조색2 2 189" xfId="1936"/>
    <cellStyle name="40% - 강조색2 2 19" xfId="1937"/>
    <cellStyle name="40% - 강조색2 2 190" xfId="1938"/>
    <cellStyle name="40% - 강조색2 2 191" xfId="1939"/>
    <cellStyle name="40% - 강조색2 2 192" xfId="1940"/>
    <cellStyle name="40% - 강조색2 2 193" xfId="1941"/>
    <cellStyle name="40% - 강조색2 2 194" xfId="1942"/>
    <cellStyle name="40% - 강조색2 2 195" xfId="1943"/>
    <cellStyle name="40% - 강조색2 2 196" xfId="1944"/>
    <cellStyle name="40% - 강조색2 2 197" xfId="1945"/>
    <cellStyle name="40% - 강조색2 2 198" xfId="1946"/>
    <cellStyle name="40% - 강조색2 2 199" xfId="1947"/>
    <cellStyle name="40% - 강조색2 2 2" xfId="1948"/>
    <cellStyle name="40% - 강조색2 2 20" xfId="1949"/>
    <cellStyle name="40% - 강조색2 2 200" xfId="1950"/>
    <cellStyle name="40% - 강조색2 2 201" xfId="1951"/>
    <cellStyle name="40% - 강조색2 2 202" xfId="1952"/>
    <cellStyle name="40% - 강조색2 2 203" xfId="1953"/>
    <cellStyle name="40% - 강조색2 2 204" xfId="1954"/>
    <cellStyle name="40% - 강조색2 2 205" xfId="1955"/>
    <cellStyle name="40% - 강조색2 2 206" xfId="1956"/>
    <cellStyle name="40% - 강조색2 2 207" xfId="1957"/>
    <cellStyle name="40% - 강조색2 2 208" xfId="1958"/>
    <cellStyle name="40% - 강조색2 2 209" xfId="1959"/>
    <cellStyle name="40% - 강조색2 2 21" xfId="1960"/>
    <cellStyle name="40% - 강조색2 2 210" xfId="1961"/>
    <cellStyle name="40% - 강조색2 2 211" xfId="1962"/>
    <cellStyle name="40% - 강조색2 2 212" xfId="1963"/>
    <cellStyle name="40% - 강조색2 2 213" xfId="1964"/>
    <cellStyle name="40% - 강조색2 2 214" xfId="1965"/>
    <cellStyle name="40% - 강조색2 2 215" xfId="1966"/>
    <cellStyle name="40% - 강조색2 2 216" xfId="1967"/>
    <cellStyle name="40% - 강조색2 2 217" xfId="1968"/>
    <cellStyle name="40% - 강조색2 2 218" xfId="1969"/>
    <cellStyle name="40% - 강조색2 2 219" xfId="1970"/>
    <cellStyle name="40% - 강조색2 2 22" xfId="1971"/>
    <cellStyle name="40% - 강조색2 2 220" xfId="1972"/>
    <cellStyle name="40% - 강조색2 2 221" xfId="1973"/>
    <cellStyle name="40% - 강조색2 2 222" xfId="1974"/>
    <cellStyle name="40% - 강조색2 2 223" xfId="1975"/>
    <cellStyle name="40% - 강조색2 2 224" xfId="1976"/>
    <cellStyle name="40% - 강조색2 2 225" xfId="1977"/>
    <cellStyle name="40% - 강조색2 2 226" xfId="1978"/>
    <cellStyle name="40% - 강조색2 2 227" xfId="1979"/>
    <cellStyle name="40% - 강조색2 2 228" xfId="1980"/>
    <cellStyle name="40% - 강조색2 2 229" xfId="1981"/>
    <cellStyle name="40% - 강조색2 2 23" xfId="1982"/>
    <cellStyle name="40% - 강조색2 2 230" xfId="1983"/>
    <cellStyle name="40% - 강조색2 2 231" xfId="1984"/>
    <cellStyle name="40% - 강조색2 2 232" xfId="1985"/>
    <cellStyle name="40% - 강조색2 2 233" xfId="1986"/>
    <cellStyle name="40% - 강조색2 2 234" xfId="1987"/>
    <cellStyle name="40% - 강조색2 2 235" xfId="1988"/>
    <cellStyle name="40% - 강조색2 2 236" xfId="1989"/>
    <cellStyle name="40% - 강조색2 2 237" xfId="1990"/>
    <cellStyle name="40% - 강조색2 2 238" xfId="1991"/>
    <cellStyle name="40% - 강조색2 2 239" xfId="1992"/>
    <cellStyle name="40% - 강조색2 2 24" xfId="1993"/>
    <cellStyle name="40% - 강조색2 2 240" xfId="1994"/>
    <cellStyle name="40% - 강조색2 2 241" xfId="1995"/>
    <cellStyle name="40% - 강조색2 2 242" xfId="1996"/>
    <cellStyle name="40% - 강조색2 2 25" xfId="1997"/>
    <cellStyle name="40% - 강조색2 2 26" xfId="1998"/>
    <cellStyle name="40% - 강조색2 2 27" xfId="1999"/>
    <cellStyle name="40% - 강조색2 2 28" xfId="2000"/>
    <cellStyle name="40% - 강조색2 2 29" xfId="2001"/>
    <cellStyle name="40% - 강조색2 2 3" xfId="2002"/>
    <cellStyle name="40% - 강조색2 2 30" xfId="2003"/>
    <cellStyle name="40% - 강조색2 2 31" xfId="2004"/>
    <cellStyle name="40% - 강조색2 2 32" xfId="2005"/>
    <cellStyle name="40% - 강조색2 2 33" xfId="2006"/>
    <cellStyle name="40% - 강조색2 2 34" xfId="2007"/>
    <cellStyle name="40% - 강조색2 2 35" xfId="2008"/>
    <cellStyle name="40% - 강조색2 2 36" xfId="2009"/>
    <cellStyle name="40% - 강조색2 2 37" xfId="2010"/>
    <cellStyle name="40% - 강조색2 2 38" xfId="2011"/>
    <cellStyle name="40% - 강조색2 2 39" xfId="2012"/>
    <cellStyle name="40% - 강조색2 2 4" xfId="2013"/>
    <cellStyle name="40% - 강조색2 2 40" xfId="2014"/>
    <cellStyle name="40% - 강조색2 2 41" xfId="2015"/>
    <cellStyle name="40% - 강조색2 2 42" xfId="2016"/>
    <cellStyle name="40% - 강조색2 2 43" xfId="2017"/>
    <cellStyle name="40% - 강조색2 2 44" xfId="2018"/>
    <cellStyle name="40% - 강조색2 2 45" xfId="2019"/>
    <cellStyle name="40% - 강조색2 2 46" xfId="2020"/>
    <cellStyle name="40% - 강조색2 2 47" xfId="2021"/>
    <cellStyle name="40% - 강조색2 2 48" xfId="2022"/>
    <cellStyle name="40% - 강조색2 2 49" xfId="2023"/>
    <cellStyle name="40% - 강조색2 2 5" xfId="2024"/>
    <cellStyle name="40% - 강조색2 2 50" xfId="2025"/>
    <cellStyle name="40% - 강조색2 2 51" xfId="2026"/>
    <cellStyle name="40% - 강조색2 2 52" xfId="2027"/>
    <cellStyle name="40% - 강조색2 2 53" xfId="2028"/>
    <cellStyle name="40% - 강조색2 2 54" xfId="2029"/>
    <cellStyle name="40% - 강조색2 2 55" xfId="2030"/>
    <cellStyle name="40% - 강조색2 2 56" xfId="2031"/>
    <cellStyle name="40% - 강조색2 2 57" xfId="2032"/>
    <cellStyle name="40% - 강조색2 2 58" xfId="2033"/>
    <cellStyle name="40% - 강조색2 2 59" xfId="2034"/>
    <cellStyle name="40% - 강조색2 2 6" xfId="2035"/>
    <cellStyle name="40% - 강조색2 2 60" xfId="2036"/>
    <cellStyle name="40% - 강조색2 2 61" xfId="2037"/>
    <cellStyle name="40% - 강조색2 2 62" xfId="2038"/>
    <cellStyle name="40% - 강조색2 2 63" xfId="2039"/>
    <cellStyle name="40% - 강조색2 2 64" xfId="2040"/>
    <cellStyle name="40% - 강조색2 2 65" xfId="2041"/>
    <cellStyle name="40% - 강조색2 2 66" xfId="2042"/>
    <cellStyle name="40% - 강조색2 2 67" xfId="2043"/>
    <cellStyle name="40% - 강조색2 2 68" xfId="2044"/>
    <cellStyle name="40% - 강조색2 2 69" xfId="2045"/>
    <cellStyle name="40% - 강조색2 2 7" xfId="2046"/>
    <cellStyle name="40% - 강조색2 2 70" xfId="2047"/>
    <cellStyle name="40% - 강조색2 2 71" xfId="2048"/>
    <cellStyle name="40% - 강조색2 2 72" xfId="2049"/>
    <cellStyle name="40% - 강조색2 2 73" xfId="2050"/>
    <cellStyle name="40% - 강조색2 2 74" xfId="2051"/>
    <cellStyle name="40% - 강조색2 2 75" xfId="2052"/>
    <cellStyle name="40% - 강조색2 2 76" xfId="2053"/>
    <cellStyle name="40% - 강조색2 2 77" xfId="2054"/>
    <cellStyle name="40% - 강조색2 2 78" xfId="2055"/>
    <cellStyle name="40% - 강조색2 2 79" xfId="2056"/>
    <cellStyle name="40% - 강조색2 2 8" xfId="2057"/>
    <cellStyle name="40% - 강조색2 2 80" xfId="2058"/>
    <cellStyle name="40% - 강조색2 2 81" xfId="2059"/>
    <cellStyle name="40% - 강조색2 2 82" xfId="2060"/>
    <cellStyle name="40% - 강조색2 2 83" xfId="2061"/>
    <cellStyle name="40% - 강조색2 2 84" xfId="2062"/>
    <cellStyle name="40% - 강조색2 2 85" xfId="2063"/>
    <cellStyle name="40% - 강조색2 2 86" xfId="2064"/>
    <cellStyle name="40% - 강조색2 2 87" xfId="2065"/>
    <cellStyle name="40% - 강조색2 2 88" xfId="2066"/>
    <cellStyle name="40% - 강조색2 2 89" xfId="2067"/>
    <cellStyle name="40% - 강조색2 2 9" xfId="2068"/>
    <cellStyle name="40% - 강조색2 2 90" xfId="2069"/>
    <cellStyle name="40% - 강조색2 2 91" xfId="2070"/>
    <cellStyle name="40% - 강조색2 2 92" xfId="2071"/>
    <cellStyle name="40% - 강조색2 2 93" xfId="2072"/>
    <cellStyle name="40% - 강조색2 2 94" xfId="2073"/>
    <cellStyle name="40% - 강조색2 2 95" xfId="2074"/>
    <cellStyle name="40% - 강조색2 2 96" xfId="2075"/>
    <cellStyle name="40% - 강조색2 2 97" xfId="2076"/>
    <cellStyle name="40% - 강조색2 2 98" xfId="2077"/>
    <cellStyle name="40% - 강조색2 2 99" xfId="2078"/>
    <cellStyle name="40% - 강조색2 3" xfId="2079"/>
    <cellStyle name="40% - 강조색3 2" xfId="2080"/>
    <cellStyle name="40% - 강조색3 2 10" xfId="2081"/>
    <cellStyle name="40% - 강조색3 2 100" xfId="2082"/>
    <cellStyle name="40% - 강조색3 2 101" xfId="2083"/>
    <cellStyle name="40% - 강조색3 2 102" xfId="2084"/>
    <cellStyle name="40% - 강조색3 2 103" xfId="2085"/>
    <cellStyle name="40% - 강조색3 2 104" xfId="2086"/>
    <cellStyle name="40% - 강조색3 2 105" xfId="2087"/>
    <cellStyle name="40% - 강조색3 2 106" xfId="2088"/>
    <cellStyle name="40% - 강조색3 2 107" xfId="2089"/>
    <cellStyle name="40% - 강조색3 2 108" xfId="2090"/>
    <cellStyle name="40% - 강조색3 2 109" xfId="2091"/>
    <cellStyle name="40% - 강조색3 2 11" xfId="2092"/>
    <cellStyle name="40% - 강조색3 2 110" xfId="2093"/>
    <cellStyle name="40% - 강조색3 2 111" xfId="2094"/>
    <cellStyle name="40% - 강조색3 2 112" xfId="2095"/>
    <cellStyle name="40% - 강조색3 2 113" xfId="2096"/>
    <cellStyle name="40% - 강조색3 2 114" xfId="2097"/>
    <cellStyle name="40% - 강조색3 2 115" xfId="2098"/>
    <cellStyle name="40% - 강조색3 2 116" xfId="2099"/>
    <cellStyle name="40% - 강조색3 2 117" xfId="2100"/>
    <cellStyle name="40% - 강조색3 2 118" xfId="2101"/>
    <cellStyle name="40% - 강조색3 2 119" xfId="2102"/>
    <cellStyle name="40% - 강조색3 2 12" xfId="2103"/>
    <cellStyle name="40% - 강조색3 2 120" xfId="2104"/>
    <cellStyle name="40% - 강조색3 2 121" xfId="2105"/>
    <cellStyle name="40% - 강조색3 2 122" xfId="2106"/>
    <cellStyle name="40% - 강조색3 2 123" xfId="2107"/>
    <cellStyle name="40% - 강조색3 2 124" xfId="2108"/>
    <cellStyle name="40% - 강조색3 2 125" xfId="2109"/>
    <cellStyle name="40% - 강조색3 2 126" xfId="2110"/>
    <cellStyle name="40% - 강조색3 2 127" xfId="2111"/>
    <cellStyle name="40% - 강조색3 2 128" xfId="2112"/>
    <cellStyle name="40% - 강조색3 2 129" xfId="2113"/>
    <cellStyle name="40% - 강조색3 2 13" xfId="2114"/>
    <cellStyle name="40% - 강조색3 2 130" xfId="2115"/>
    <cellStyle name="40% - 강조색3 2 131" xfId="2116"/>
    <cellStyle name="40% - 강조색3 2 132" xfId="2117"/>
    <cellStyle name="40% - 강조색3 2 133" xfId="2118"/>
    <cellStyle name="40% - 강조색3 2 134" xfId="2119"/>
    <cellStyle name="40% - 강조색3 2 135" xfId="2120"/>
    <cellStyle name="40% - 강조색3 2 136" xfId="2121"/>
    <cellStyle name="40% - 강조색3 2 137" xfId="2122"/>
    <cellStyle name="40% - 강조색3 2 138" xfId="2123"/>
    <cellStyle name="40% - 강조색3 2 139" xfId="2124"/>
    <cellStyle name="40% - 강조색3 2 14" xfId="2125"/>
    <cellStyle name="40% - 강조색3 2 140" xfId="2126"/>
    <cellStyle name="40% - 강조색3 2 141" xfId="2127"/>
    <cellStyle name="40% - 강조색3 2 142" xfId="2128"/>
    <cellStyle name="40% - 강조색3 2 143" xfId="2129"/>
    <cellStyle name="40% - 강조색3 2 144" xfId="2130"/>
    <cellStyle name="40% - 강조색3 2 145" xfId="2131"/>
    <cellStyle name="40% - 강조색3 2 146" xfId="2132"/>
    <cellStyle name="40% - 강조색3 2 147" xfId="2133"/>
    <cellStyle name="40% - 강조색3 2 148" xfId="2134"/>
    <cellStyle name="40% - 강조색3 2 149" xfId="2135"/>
    <cellStyle name="40% - 강조색3 2 15" xfId="2136"/>
    <cellStyle name="40% - 강조색3 2 150" xfId="2137"/>
    <cellStyle name="40% - 강조색3 2 151" xfId="2138"/>
    <cellStyle name="40% - 강조색3 2 152" xfId="2139"/>
    <cellStyle name="40% - 강조색3 2 153" xfId="2140"/>
    <cellStyle name="40% - 강조색3 2 154" xfId="2141"/>
    <cellStyle name="40% - 강조색3 2 155" xfId="2142"/>
    <cellStyle name="40% - 강조색3 2 156" xfId="2143"/>
    <cellStyle name="40% - 강조색3 2 157" xfId="2144"/>
    <cellStyle name="40% - 강조색3 2 158" xfId="2145"/>
    <cellStyle name="40% - 강조색3 2 159" xfId="2146"/>
    <cellStyle name="40% - 강조색3 2 16" xfId="2147"/>
    <cellStyle name="40% - 강조색3 2 160" xfId="2148"/>
    <cellStyle name="40% - 강조색3 2 161" xfId="2149"/>
    <cellStyle name="40% - 강조색3 2 162" xfId="2150"/>
    <cellStyle name="40% - 강조색3 2 163" xfId="2151"/>
    <cellStyle name="40% - 강조색3 2 164" xfId="2152"/>
    <cellStyle name="40% - 강조색3 2 165" xfId="2153"/>
    <cellStyle name="40% - 강조색3 2 166" xfId="2154"/>
    <cellStyle name="40% - 강조색3 2 167" xfId="2155"/>
    <cellStyle name="40% - 강조색3 2 168" xfId="2156"/>
    <cellStyle name="40% - 강조색3 2 169" xfId="2157"/>
    <cellStyle name="40% - 강조색3 2 17" xfId="2158"/>
    <cellStyle name="40% - 강조색3 2 170" xfId="2159"/>
    <cellStyle name="40% - 강조색3 2 171" xfId="2160"/>
    <cellStyle name="40% - 강조색3 2 172" xfId="2161"/>
    <cellStyle name="40% - 강조색3 2 173" xfId="2162"/>
    <cellStyle name="40% - 강조색3 2 174" xfId="2163"/>
    <cellStyle name="40% - 강조색3 2 175" xfId="2164"/>
    <cellStyle name="40% - 강조색3 2 176" xfId="2165"/>
    <cellStyle name="40% - 강조색3 2 177" xfId="2166"/>
    <cellStyle name="40% - 강조색3 2 178" xfId="2167"/>
    <cellStyle name="40% - 강조색3 2 179" xfId="2168"/>
    <cellStyle name="40% - 강조색3 2 18" xfId="2169"/>
    <cellStyle name="40% - 강조색3 2 180" xfId="2170"/>
    <cellStyle name="40% - 강조색3 2 181" xfId="2171"/>
    <cellStyle name="40% - 강조색3 2 182" xfId="2172"/>
    <cellStyle name="40% - 강조색3 2 183" xfId="2173"/>
    <cellStyle name="40% - 강조색3 2 184" xfId="2174"/>
    <cellStyle name="40% - 강조색3 2 185" xfId="2175"/>
    <cellStyle name="40% - 강조색3 2 186" xfId="2176"/>
    <cellStyle name="40% - 강조색3 2 187" xfId="2177"/>
    <cellStyle name="40% - 강조색3 2 188" xfId="2178"/>
    <cellStyle name="40% - 강조색3 2 189" xfId="2179"/>
    <cellStyle name="40% - 강조색3 2 19" xfId="2180"/>
    <cellStyle name="40% - 강조색3 2 190" xfId="2181"/>
    <cellStyle name="40% - 강조색3 2 191" xfId="2182"/>
    <cellStyle name="40% - 강조색3 2 192" xfId="2183"/>
    <cellStyle name="40% - 강조색3 2 193" xfId="2184"/>
    <cellStyle name="40% - 강조색3 2 194" xfId="2185"/>
    <cellStyle name="40% - 강조색3 2 195" xfId="2186"/>
    <cellStyle name="40% - 강조색3 2 196" xfId="2187"/>
    <cellStyle name="40% - 강조색3 2 197" xfId="2188"/>
    <cellStyle name="40% - 강조색3 2 198" xfId="2189"/>
    <cellStyle name="40% - 강조색3 2 199" xfId="2190"/>
    <cellStyle name="40% - 강조색3 2 2" xfId="2191"/>
    <cellStyle name="40% - 강조색3 2 20" xfId="2192"/>
    <cellStyle name="40% - 강조색3 2 200" xfId="2193"/>
    <cellStyle name="40% - 강조색3 2 201" xfId="2194"/>
    <cellStyle name="40% - 강조색3 2 202" xfId="2195"/>
    <cellStyle name="40% - 강조색3 2 203" xfId="2196"/>
    <cellStyle name="40% - 강조색3 2 204" xfId="2197"/>
    <cellStyle name="40% - 강조색3 2 205" xfId="2198"/>
    <cellStyle name="40% - 강조색3 2 206" xfId="2199"/>
    <cellStyle name="40% - 강조색3 2 207" xfId="2200"/>
    <cellStyle name="40% - 강조색3 2 208" xfId="2201"/>
    <cellStyle name="40% - 강조색3 2 209" xfId="2202"/>
    <cellStyle name="40% - 강조색3 2 21" xfId="2203"/>
    <cellStyle name="40% - 강조색3 2 210" xfId="2204"/>
    <cellStyle name="40% - 강조색3 2 211" xfId="2205"/>
    <cellStyle name="40% - 강조색3 2 212" xfId="2206"/>
    <cellStyle name="40% - 강조색3 2 213" xfId="2207"/>
    <cellStyle name="40% - 강조색3 2 214" xfId="2208"/>
    <cellStyle name="40% - 강조색3 2 215" xfId="2209"/>
    <cellStyle name="40% - 강조색3 2 216" xfId="2210"/>
    <cellStyle name="40% - 강조색3 2 217" xfId="2211"/>
    <cellStyle name="40% - 강조색3 2 218" xfId="2212"/>
    <cellStyle name="40% - 강조색3 2 219" xfId="2213"/>
    <cellStyle name="40% - 강조색3 2 22" xfId="2214"/>
    <cellStyle name="40% - 강조색3 2 220" xfId="2215"/>
    <cellStyle name="40% - 강조색3 2 221" xfId="2216"/>
    <cellStyle name="40% - 강조색3 2 222" xfId="2217"/>
    <cellStyle name="40% - 강조색3 2 223" xfId="2218"/>
    <cellStyle name="40% - 강조색3 2 224" xfId="2219"/>
    <cellStyle name="40% - 강조색3 2 225" xfId="2220"/>
    <cellStyle name="40% - 강조색3 2 226" xfId="2221"/>
    <cellStyle name="40% - 강조색3 2 227" xfId="2222"/>
    <cellStyle name="40% - 강조색3 2 228" xfId="2223"/>
    <cellStyle name="40% - 강조색3 2 229" xfId="2224"/>
    <cellStyle name="40% - 강조색3 2 23" xfId="2225"/>
    <cellStyle name="40% - 강조색3 2 230" xfId="2226"/>
    <cellStyle name="40% - 강조색3 2 231" xfId="2227"/>
    <cellStyle name="40% - 강조색3 2 232" xfId="2228"/>
    <cellStyle name="40% - 강조색3 2 233" xfId="2229"/>
    <cellStyle name="40% - 강조색3 2 234" xfId="2230"/>
    <cellStyle name="40% - 강조색3 2 235" xfId="2231"/>
    <cellStyle name="40% - 강조색3 2 236" xfId="2232"/>
    <cellStyle name="40% - 강조색3 2 237" xfId="2233"/>
    <cellStyle name="40% - 강조색3 2 238" xfId="2234"/>
    <cellStyle name="40% - 강조색3 2 239" xfId="2235"/>
    <cellStyle name="40% - 강조색3 2 24" xfId="2236"/>
    <cellStyle name="40% - 강조색3 2 240" xfId="2237"/>
    <cellStyle name="40% - 강조색3 2 241" xfId="2238"/>
    <cellStyle name="40% - 강조색3 2 242" xfId="2239"/>
    <cellStyle name="40% - 강조색3 2 25" xfId="2240"/>
    <cellStyle name="40% - 강조색3 2 26" xfId="2241"/>
    <cellStyle name="40% - 강조색3 2 27" xfId="2242"/>
    <cellStyle name="40% - 강조색3 2 28" xfId="2243"/>
    <cellStyle name="40% - 강조색3 2 29" xfId="2244"/>
    <cellStyle name="40% - 강조색3 2 3" xfId="2245"/>
    <cellStyle name="40% - 강조색3 2 30" xfId="2246"/>
    <cellStyle name="40% - 강조색3 2 31" xfId="2247"/>
    <cellStyle name="40% - 강조색3 2 32" xfId="2248"/>
    <cellStyle name="40% - 강조색3 2 33" xfId="2249"/>
    <cellStyle name="40% - 강조색3 2 34" xfId="2250"/>
    <cellStyle name="40% - 강조색3 2 35" xfId="2251"/>
    <cellStyle name="40% - 강조색3 2 36" xfId="2252"/>
    <cellStyle name="40% - 강조색3 2 37" xfId="2253"/>
    <cellStyle name="40% - 강조색3 2 38" xfId="2254"/>
    <cellStyle name="40% - 강조색3 2 39" xfId="2255"/>
    <cellStyle name="40% - 강조색3 2 4" xfId="2256"/>
    <cellStyle name="40% - 강조색3 2 40" xfId="2257"/>
    <cellStyle name="40% - 강조색3 2 41" xfId="2258"/>
    <cellStyle name="40% - 강조색3 2 42" xfId="2259"/>
    <cellStyle name="40% - 강조색3 2 43" xfId="2260"/>
    <cellStyle name="40% - 강조색3 2 44" xfId="2261"/>
    <cellStyle name="40% - 강조색3 2 45" xfId="2262"/>
    <cellStyle name="40% - 강조색3 2 46" xfId="2263"/>
    <cellStyle name="40% - 강조색3 2 47" xfId="2264"/>
    <cellStyle name="40% - 강조색3 2 48" xfId="2265"/>
    <cellStyle name="40% - 강조색3 2 49" xfId="2266"/>
    <cellStyle name="40% - 강조색3 2 5" xfId="2267"/>
    <cellStyle name="40% - 강조색3 2 50" xfId="2268"/>
    <cellStyle name="40% - 강조색3 2 51" xfId="2269"/>
    <cellStyle name="40% - 강조색3 2 52" xfId="2270"/>
    <cellStyle name="40% - 강조색3 2 53" xfId="2271"/>
    <cellStyle name="40% - 강조색3 2 54" xfId="2272"/>
    <cellStyle name="40% - 강조색3 2 55" xfId="2273"/>
    <cellStyle name="40% - 강조색3 2 56" xfId="2274"/>
    <cellStyle name="40% - 강조색3 2 57" xfId="2275"/>
    <cellStyle name="40% - 강조색3 2 58" xfId="2276"/>
    <cellStyle name="40% - 강조색3 2 59" xfId="2277"/>
    <cellStyle name="40% - 강조색3 2 6" xfId="2278"/>
    <cellStyle name="40% - 강조색3 2 60" xfId="2279"/>
    <cellStyle name="40% - 강조색3 2 61" xfId="2280"/>
    <cellStyle name="40% - 강조색3 2 62" xfId="2281"/>
    <cellStyle name="40% - 강조색3 2 63" xfId="2282"/>
    <cellStyle name="40% - 강조색3 2 64" xfId="2283"/>
    <cellStyle name="40% - 강조색3 2 65" xfId="2284"/>
    <cellStyle name="40% - 강조색3 2 66" xfId="2285"/>
    <cellStyle name="40% - 강조색3 2 67" xfId="2286"/>
    <cellStyle name="40% - 강조색3 2 68" xfId="2287"/>
    <cellStyle name="40% - 강조색3 2 69" xfId="2288"/>
    <cellStyle name="40% - 강조색3 2 7" xfId="2289"/>
    <cellStyle name="40% - 강조색3 2 70" xfId="2290"/>
    <cellStyle name="40% - 강조색3 2 71" xfId="2291"/>
    <cellStyle name="40% - 강조색3 2 72" xfId="2292"/>
    <cellStyle name="40% - 강조색3 2 73" xfId="2293"/>
    <cellStyle name="40% - 강조색3 2 74" xfId="2294"/>
    <cellStyle name="40% - 강조색3 2 75" xfId="2295"/>
    <cellStyle name="40% - 강조색3 2 76" xfId="2296"/>
    <cellStyle name="40% - 강조색3 2 77" xfId="2297"/>
    <cellStyle name="40% - 강조색3 2 78" xfId="2298"/>
    <cellStyle name="40% - 강조색3 2 79" xfId="2299"/>
    <cellStyle name="40% - 강조색3 2 8" xfId="2300"/>
    <cellStyle name="40% - 강조색3 2 80" xfId="2301"/>
    <cellStyle name="40% - 강조색3 2 81" xfId="2302"/>
    <cellStyle name="40% - 강조색3 2 82" xfId="2303"/>
    <cellStyle name="40% - 강조색3 2 83" xfId="2304"/>
    <cellStyle name="40% - 강조색3 2 84" xfId="2305"/>
    <cellStyle name="40% - 강조색3 2 85" xfId="2306"/>
    <cellStyle name="40% - 강조색3 2 86" xfId="2307"/>
    <cellStyle name="40% - 강조색3 2 87" xfId="2308"/>
    <cellStyle name="40% - 강조색3 2 88" xfId="2309"/>
    <cellStyle name="40% - 강조색3 2 89" xfId="2310"/>
    <cellStyle name="40% - 강조색3 2 9" xfId="2311"/>
    <cellStyle name="40% - 강조색3 2 90" xfId="2312"/>
    <cellStyle name="40% - 강조색3 2 91" xfId="2313"/>
    <cellStyle name="40% - 강조색3 2 92" xfId="2314"/>
    <cellStyle name="40% - 강조색3 2 93" xfId="2315"/>
    <cellStyle name="40% - 강조색3 2 94" xfId="2316"/>
    <cellStyle name="40% - 강조색3 2 95" xfId="2317"/>
    <cellStyle name="40% - 강조색3 2 96" xfId="2318"/>
    <cellStyle name="40% - 강조색3 2 97" xfId="2319"/>
    <cellStyle name="40% - 강조색3 2 98" xfId="2320"/>
    <cellStyle name="40% - 강조색3 2 99" xfId="2321"/>
    <cellStyle name="40% - 강조색3 3" xfId="2322"/>
    <cellStyle name="40% - 강조색4 2" xfId="2323"/>
    <cellStyle name="40% - 강조색4 2 10" xfId="2324"/>
    <cellStyle name="40% - 강조색4 2 100" xfId="2325"/>
    <cellStyle name="40% - 강조색4 2 101" xfId="2326"/>
    <cellStyle name="40% - 강조색4 2 102" xfId="2327"/>
    <cellStyle name="40% - 강조색4 2 103" xfId="2328"/>
    <cellStyle name="40% - 강조색4 2 104" xfId="2329"/>
    <cellStyle name="40% - 강조색4 2 105" xfId="2330"/>
    <cellStyle name="40% - 강조색4 2 106" xfId="2331"/>
    <cellStyle name="40% - 강조색4 2 107" xfId="2332"/>
    <cellStyle name="40% - 강조색4 2 108" xfId="2333"/>
    <cellStyle name="40% - 강조색4 2 109" xfId="2334"/>
    <cellStyle name="40% - 강조색4 2 11" xfId="2335"/>
    <cellStyle name="40% - 강조색4 2 110" xfId="2336"/>
    <cellStyle name="40% - 강조색4 2 111" xfId="2337"/>
    <cellStyle name="40% - 강조색4 2 112" xfId="2338"/>
    <cellStyle name="40% - 강조색4 2 113" xfId="2339"/>
    <cellStyle name="40% - 강조색4 2 114" xfId="2340"/>
    <cellStyle name="40% - 강조색4 2 115" xfId="2341"/>
    <cellStyle name="40% - 강조색4 2 116" xfId="2342"/>
    <cellStyle name="40% - 강조색4 2 117" xfId="2343"/>
    <cellStyle name="40% - 강조색4 2 118" xfId="2344"/>
    <cellStyle name="40% - 강조색4 2 119" xfId="2345"/>
    <cellStyle name="40% - 강조색4 2 12" xfId="2346"/>
    <cellStyle name="40% - 강조색4 2 120" xfId="2347"/>
    <cellStyle name="40% - 강조색4 2 121" xfId="2348"/>
    <cellStyle name="40% - 강조색4 2 122" xfId="2349"/>
    <cellStyle name="40% - 강조색4 2 123" xfId="2350"/>
    <cellStyle name="40% - 강조색4 2 124" xfId="2351"/>
    <cellStyle name="40% - 강조색4 2 125" xfId="2352"/>
    <cellStyle name="40% - 강조색4 2 126" xfId="2353"/>
    <cellStyle name="40% - 강조색4 2 127" xfId="2354"/>
    <cellStyle name="40% - 강조색4 2 128" xfId="2355"/>
    <cellStyle name="40% - 강조색4 2 129" xfId="2356"/>
    <cellStyle name="40% - 강조색4 2 13" xfId="2357"/>
    <cellStyle name="40% - 강조색4 2 130" xfId="2358"/>
    <cellStyle name="40% - 강조색4 2 131" xfId="2359"/>
    <cellStyle name="40% - 강조색4 2 132" xfId="2360"/>
    <cellStyle name="40% - 강조색4 2 133" xfId="2361"/>
    <cellStyle name="40% - 강조색4 2 134" xfId="2362"/>
    <cellStyle name="40% - 강조색4 2 135" xfId="2363"/>
    <cellStyle name="40% - 강조색4 2 136" xfId="2364"/>
    <cellStyle name="40% - 강조색4 2 137" xfId="2365"/>
    <cellStyle name="40% - 강조색4 2 138" xfId="2366"/>
    <cellStyle name="40% - 강조색4 2 139" xfId="2367"/>
    <cellStyle name="40% - 강조색4 2 14" xfId="2368"/>
    <cellStyle name="40% - 강조색4 2 140" xfId="2369"/>
    <cellStyle name="40% - 강조색4 2 141" xfId="2370"/>
    <cellStyle name="40% - 강조색4 2 142" xfId="2371"/>
    <cellStyle name="40% - 강조색4 2 143" xfId="2372"/>
    <cellStyle name="40% - 강조색4 2 144" xfId="2373"/>
    <cellStyle name="40% - 강조색4 2 145" xfId="2374"/>
    <cellStyle name="40% - 강조색4 2 146" xfId="2375"/>
    <cellStyle name="40% - 강조색4 2 147" xfId="2376"/>
    <cellStyle name="40% - 강조색4 2 148" xfId="2377"/>
    <cellStyle name="40% - 강조색4 2 149" xfId="2378"/>
    <cellStyle name="40% - 강조색4 2 15" xfId="2379"/>
    <cellStyle name="40% - 강조색4 2 150" xfId="2380"/>
    <cellStyle name="40% - 강조색4 2 151" xfId="2381"/>
    <cellStyle name="40% - 강조색4 2 152" xfId="2382"/>
    <cellStyle name="40% - 강조색4 2 153" xfId="2383"/>
    <cellStyle name="40% - 강조색4 2 154" xfId="2384"/>
    <cellStyle name="40% - 강조색4 2 155" xfId="2385"/>
    <cellStyle name="40% - 강조색4 2 156" xfId="2386"/>
    <cellStyle name="40% - 강조색4 2 157" xfId="2387"/>
    <cellStyle name="40% - 강조색4 2 158" xfId="2388"/>
    <cellStyle name="40% - 강조색4 2 159" xfId="2389"/>
    <cellStyle name="40% - 강조색4 2 16" xfId="2390"/>
    <cellStyle name="40% - 강조색4 2 160" xfId="2391"/>
    <cellStyle name="40% - 강조색4 2 161" xfId="2392"/>
    <cellStyle name="40% - 강조색4 2 162" xfId="2393"/>
    <cellStyle name="40% - 강조색4 2 163" xfId="2394"/>
    <cellStyle name="40% - 강조색4 2 164" xfId="2395"/>
    <cellStyle name="40% - 강조색4 2 165" xfId="2396"/>
    <cellStyle name="40% - 강조색4 2 166" xfId="2397"/>
    <cellStyle name="40% - 강조색4 2 167" xfId="2398"/>
    <cellStyle name="40% - 강조색4 2 168" xfId="2399"/>
    <cellStyle name="40% - 강조색4 2 169" xfId="2400"/>
    <cellStyle name="40% - 강조색4 2 17" xfId="2401"/>
    <cellStyle name="40% - 강조색4 2 170" xfId="2402"/>
    <cellStyle name="40% - 강조색4 2 171" xfId="2403"/>
    <cellStyle name="40% - 강조색4 2 172" xfId="2404"/>
    <cellStyle name="40% - 강조색4 2 173" xfId="2405"/>
    <cellStyle name="40% - 강조색4 2 174" xfId="2406"/>
    <cellStyle name="40% - 강조색4 2 175" xfId="2407"/>
    <cellStyle name="40% - 강조색4 2 176" xfId="2408"/>
    <cellStyle name="40% - 강조색4 2 177" xfId="2409"/>
    <cellStyle name="40% - 강조색4 2 178" xfId="2410"/>
    <cellStyle name="40% - 강조색4 2 179" xfId="2411"/>
    <cellStyle name="40% - 강조색4 2 18" xfId="2412"/>
    <cellStyle name="40% - 강조색4 2 180" xfId="2413"/>
    <cellStyle name="40% - 강조색4 2 181" xfId="2414"/>
    <cellStyle name="40% - 강조색4 2 182" xfId="2415"/>
    <cellStyle name="40% - 강조색4 2 183" xfId="2416"/>
    <cellStyle name="40% - 강조색4 2 184" xfId="2417"/>
    <cellStyle name="40% - 강조색4 2 185" xfId="2418"/>
    <cellStyle name="40% - 강조색4 2 186" xfId="2419"/>
    <cellStyle name="40% - 강조색4 2 187" xfId="2420"/>
    <cellStyle name="40% - 강조색4 2 188" xfId="2421"/>
    <cellStyle name="40% - 강조색4 2 189" xfId="2422"/>
    <cellStyle name="40% - 강조색4 2 19" xfId="2423"/>
    <cellStyle name="40% - 강조색4 2 190" xfId="2424"/>
    <cellStyle name="40% - 강조색4 2 191" xfId="2425"/>
    <cellStyle name="40% - 강조색4 2 192" xfId="2426"/>
    <cellStyle name="40% - 강조색4 2 193" xfId="2427"/>
    <cellStyle name="40% - 강조색4 2 194" xfId="2428"/>
    <cellStyle name="40% - 강조색4 2 195" xfId="2429"/>
    <cellStyle name="40% - 강조색4 2 196" xfId="2430"/>
    <cellStyle name="40% - 강조색4 2 197" xfId="2431"/>
    <cellStyle name="40% - 강조색4 2 198" xfId="2432"/>
    <cellStyle name="40% - 강조색4 2 199" xfId="2433"/>
    <cellStyle name="40% - 강조색4 2 2" xfId="2434"/>
    <cellStyle name="40% - 강조색4 2 20" xfId="2435"/>
    <cellStyle name="40% - 강조색4 2 200" xfId="2436"/>
    <cellStyle name="40% - 강조색4 2 201" xfId="2437"/>
    <cellStyle name="40% - 강조색4 2 202" xfId="2438"/>
    <cellStyle name="40% - 강조색4 2 203" xfId="2439"/>
    <cellStyle name="40% - 강조색4 2 204" xfId="2440"/>
    <cellStyle name="40% - 강조색4 2 205" xfId="2441"/>
    <cellStyle name="40% - 강조색4 2 206" xfId="2442"/>
    <cellStyle name="40% - 강조색4 2 207" xfId="2443"/>
    <cellStyle name="40% - 강조색4 2 208" xfId="2444"/>
    <cellStyle name="40% - 강조색4 2 209" xfId="2445"/>
    <cellStyle name="40% - 강조색4 2 21" xfId="2446"/>
    <cellStyle name="40% - 강조색4 2 210" xfId="2447"/>
    <cellStyle name="40% - 강조색4 2 211" xfId="2448"/>
    <cellStyle name="40% - 강조색4 2 212" xfId="2449"/>
    <cellStyle name="40% - 강조색4 2 213" xfId="2450"/>
    <cellStyle name="40% - 강조색4 2 214" xfId="2451"/>
    <cellStyle name="40% - 강조색4 2 215" xfId="2452"/>
    <cellStyle name="40% - 강조색4 2 216" xfId="2453"/>
    <cellStyle name="40% - 강조색4 2 217" xfId="2454"/>
    <cellStyle name="40% - 강조색4 2 218" xfId="2455"/>
    <cellStyle name="40% - 강조색4 2 219" xfId="2456"/>
    <cellStyle name="40% - 강조색4 2 22" xfId="2457"/>
    <cellStyle name="40% - 강조색4 2 220" xfId="2458"/>
    <cellStyle name="40% - 강조색4 2 221" xfId="2459"/>
    <cellStyle name="40% - 강조색4 2 222" xfId="2460"/>
    <cellStyle name="40% - 강조색4 2 223" xfId="2461"/>
    <cellStyle name="40% - 강조색4 2 224" xfId="2462"/>
    <cellStyle name="40% - 강조색4 2 225" xfId="2463"/>
    <cellStyle name="40% - 강조색4 2 226" xfId="2464"/>
    <cellStyle name="40% - 강조색4 2 227" xfId="2465"/>
    <cellStyle name="40% - 강조색4 2 228" xfId="2466"/>
    <cellStyle name="40% - 강조색4 2 229" xfId="2467"/>
    <cellStyle name="40% - 강조색4 2 23" xfId="2468"/>
    <cellStyle name="40% - 강조색4 2 230" xfId="2469"/>
    <cellStyle name="40% - 강조색4 2 231" xfId="2470"/>
    <cellStyle name="40% - 강조색4 2 232" xfId="2471"/>
    <cellStyle name="40% - 강조색4 2 233" xfId="2472"/>
    <cellStyle name="40% - 강조색4 2 234" xfId="2473"/>
    <cellStyle name="40% - 강조색4 2 235" xfId="2474"/>
    <cellStyle name="40% - 강조색4 2 236" xfId="2475"/>
    <cellStyle name="40% - 강조색4 2 237" xfId="2476"/>
    <cellStyle name="40% - 강조색4 2 238" xfId="2477"/>
    <cellStyle name="40% - 강조색4 2 239" xfId="2478"/>
    <cellStyle name="40% - 강조색4 2 24" xfId="2479"/>
    <cellStyle name="40% - 강조색4 2 240" xfId="2480"/>
    <cellStyle name="40% - 강조색4 2 241" xfId="2481"/>
    <cellStyle name="40% - 강조색4 2 242" xfId="2482"/>
    <cellStyle name="40% - 강조색4 2 25" xfId="2483"/>
    <cellStyle name="40% - 강조색4 2 26" xfId="2484"/>
    <cellStyle name="40% - 강조색4 2 27" xfId="2485"/>
    <cellStyle name="40% - 강조색4 2 28" xfId="2486"/>
    <cellStyle name="40% - 강조색4 2 29" xfId="2487"/>
    <cellStyle name="40% - 강조색4 2 3" xfId="2488"/>
    <cellStyle name="40% - 강조색4 2 30" xfId="2489"/>
    <cellStyle name="40% - 강조색4 2 31" xfId="2490"/>
    <cellStyle name="40% - 강조색4 2 32" xfId="2491"/>
    <cellStyle name="40% - 강조색4 2 33" xfId="2492"/>
    <cellStyle name="40% - 강조색4 2 34" xfId="2493"/>
    <cellStyle name="40% - 강조색4 2 35" xfId="2494"/>
    <cellStyle name="40% - 강조색4 2 36" xfId="2495"/>
    <cellStyle name="40% - 강조색4 2 37" xfId="2496"/>
    <cellStyle name="40% - 강조색4 2 38" xfId="2497"/>
    <cellStyle name="40% - 강조색4 2 39" xfId="2498"/>
    <cellStyle name="40% - 강조색4 2 4" xfId="2499"/>
    <cellStyle name="40% - 강조색4 2 40" xfId="2500"/>
    <cellStyle name="40% - 강조색4 2 41" xfId="2501"/>
    <cellStyle name="40% - 강조색4 2 42" xfId="2502"/>
    <cellStyle name="40% - 강조색4 2 43" xfId="2503"/>
    <cellStyle name="40% - 강조색4 2 44" xfId="2504"/>
    <cellStyle name="40% - 강조색4 2 45" xfId="2505"/>
    <cellStyle name="40% - 강조색4 2 46" xfId="2506"/>
    <cellStyle name="40% - 강조색4 2 47" xfId="2507"/>
    <cellStyle name="40% - 강조색4 2 48" xfId="2508"/>
    <cellStyle name="40% - 강조색4 2 49" xfId="2509"/>
    <cellStyle name="40% - 강조색4 2 5" xfId="2510"/>
    <cellStyle name="40% - 강조색4 2 50" xfId="2511"/>
    <cellStyle name="40% - 강조색4 2 51" xfId="2512"/>
    <cellStyle name="40% - 강조색4 2 52" xfId="2513"/>
    <cellStyle name="40% - 강조색4 2 53" xfId="2514"/>
    <cellStyle name="40% - 강조색4 2 54" xfId="2515"/>
    <cellStyle name="40% - 강조색4 2 55" xfId="2516"/>
    <cellStyle name="40% - 강조색4 2 56" xfId="2517"/>
    <cellStyle name="40% - 강조색4 2 57" xfId="2518"/>
    <cellStyle name="40% - 강조색4 2 58" xfId="2519"/>
    <cellStyle name="40% - 강조색4 2 59" xfId="2520"/>
    <cellStyle name="40% - 강조색4 2 6" xfId="2521"/>
    <cellStyle name="40% - 강조색4 2 60" xfId="2522"/>
    <cellStyle name="40% - 강조색4 2 61" xfId="2523"/>
    <cellStyle name="40% - 강조색4 2 62" xfId="2524"/>
    <cellStyle name="40% - 강조색4 2 63" xfId="2525"/>
    <cellStyle name="40% - 강조색4 2 64" xfId="2526"/>
    <cellStyle name="40% - 강조색4 2 65" xfId="2527"/>
    <cellStyle name="40% - 강조색4 2 66" xfId="2528"/>
    <cellStyle name="40% - 강조색4 2 67" xfId="2529"/>
    <cellStyle name="40% - 강조색4 2 68" xfId="2530"/>
    <cellStyle name="40% - 강조색4 2 69" xfId="2531"/>
    <cellStyle name="40% - 강조색4 2 7" xfId="2532"/>
    <cellStyle name="40% - 강조색4 2 70" xfId="2533"/>
    <cellStyle name="40% - 강조색4 2 71" xfId="2534"/>
    <cellStyle name="40% - 강조색4 2 72" xfId="2535"/>
    <cellStyle name="40% - 강조색4 2 73" xfId="2536"/>
    <cellStyle name="40% - 강조색4 2 74" xfId="2537"/>
    <cellStyle name="40% - 강조색4 2 75" xfId="2538"/>
    <cellStyle name="40% - 강조색4 2 76" xfId="2539"/>
    <cellStyle name="40% - 강조색4 2 77" xfId="2540"/>
    <cellStyle name="40% - 강조색4 2 78" xfId="2541"/>
    <cellStyle name="40% - 강조색4 2 79" xfId="2542"/>
    <cellStyle name="40% - 강조색4 2 8" xfId="2543"/>
    <cellStyle name="40% - 강조색4 2 80" xfId="2544"/>
    <cellStyle name="40% - 강조색4 2 81" xfId="2545"/>
    <cellStyle name="40% - 강조색4 2 82" xfId="2546"/>
    <cellStyle name="40% - 강조색4 2 83" xfId="2547"/>
    <cellStyle name="40% - 강조색4 2 84" xfId="2548"/>
    <cellStyle name="40% - 강조색4 2 85" xfId="2549"/>
    <cellStyle name="40% - 강조색4 2 86" xfId="2550"/>
    <cellStyle name="40% - 강조색4 2 87" xfId="2551"/>
    <cellStyle name="40% - 강조색4 2 88" xfId="2552"/>
    <cellStyle name="40% - 강조색4 2 89" xfId="2553"/>
    <cellStyle name="40% - 강조색4 2 9" xfId="2554"/>
    <cellStyle name="40% - 강조색4 2 90" xfId="2555"/>
    <cellStyle name="40% - 강조색4 2 91" xfId="2556"/>
    <cellStyle name="40% - 강조색4 2 92" xfId="2557"/>
    <cellStyle name="40% - 강조색4 2 93" xfId="2558"/>
    <cellStyle name="40% - 강조색4 2 94" xfId="2559"/>
    <cellStyle name="40% - 강조색4 2 95" xfId="2560"/>
    <cellStyle name="40% - 강조색4 2 96" xfId="2561"/>
    <cellStyle name="40% - 강조색4 2 97" xfId="2562"/>
    <cellStyle name="40% - 강조색4 2 98" xfId="2563"/>
    <cellStyle name="40% - 강조색4 2 99" xfId="2564"/>
    <cellStyle name="40% - 강조색4 3" xfId="2565"/>
    <cellStyle name="40% - 강조색5 2" xfId="2566"/>
    <cellStyle name="40% - 강조색5 2 10" xfId="2567"/>
    <cellStyle name="40% - 강조색5 2 100" xfId="2568"/>
    <cellStyle name="40% - 강조색5 2 101" xfId="2569"/>
    <cellStyle name="40% - 강조색5 2 102" xfId="2570"/>
    <cellStyle name="40% - 강조색5 2 103" xfId="2571"/>
    <cellStyle name="40% - 강조색5 2 104" xfId="2572"/>
    <cellStyle name="40% - 강조색5 2 105" xfId="2573"/>
    <cellStyle name="40% - 강조색5 2 106" xfId="2574"/>
    <cellStyle name="40% - 강조색5 2 107" xfId="2575"/>
    <cellStyle name="40% - 강조색5 2 108" xfId="2576"/>
    <cellStyle name="40% - 강조색5 2 109" xfId="2577"/>
    <cellStyle name="40% - 강조색5 2 11" xfId="2578"/>
    <cellStyle name="40% - 강조색5 2 110" xfId="2579"/>
    <cellStyle name="40% - 강조색5 2 111" xfId="2580"/>
    <cellStyle name="40% - 강조색5 2 112" xfId="2581"/>
    <cellStyle name="40% - 강조색5 2 113" xfId="2582"/>
    <cellStyle name="40% - 강조색5 2 114" xfId="2583"/>
    <cellStyle name="40% - 강조색5 2 115" xfId="2584"/>
    <cellStyle name="40% - 강조색5 2 116" xfId="2585"/>
    <cellStyle name="40% - 강조색5 2 117" xfId="2586"/>
    <cellStyle name="40% - 강조색5 2 118" xfId="2587"/>
    <cellStyle name="40% - 강조색5 2 119" xfId="2588"/>
    <cellStyle name="40% - 강조색5 2 12" xfId="2589"/>
    <cellStyle name="40% - 강조색5 2 120" xfId="2590"/>
    <cellStyle name="40% - 강조색5 2 121" xfId="2591"/>
    <cellStyle name="40% - 강조색5 2 122" xfId="2592"/>
    <cellStyle name="40% - 강조색5 2 123" xfId="2593"/>
    <cellStyle name="40% - 강조색5 2 124" xfId="2594"/>
    <cellStyle name="40% - 강조색5 2 125" xfId="2595"/>
    <cellStyle name="40% - 강조색5 2 126" xfId="2596"/>
    <cellStyle name="40% - 강조색5 2 127" xfId="2597"/>
    <cellStyle name="40% - 강조색5 2 128" xfId="2598"/>
    <cellStyle name="40% - 강조색5 2 129" xfId="2599"/>
    <cellStyle name="40% - 강조색5 2 13" xfId="2600"/>
    <cellStyle name="40% - 강조색5 2 130" xfId="2601"/>
    <cellStyle name="40% - 강조색5 2 131" xfId="2602"/>
    <cellStyle name="40% - 강조색5 2 132" xfId="2603"/>
    <cellStyle name="40% - 강조색5 2 133" xfId="2604"/>
    <cellStyle name="40% - 강조색5 2 134" xfId="2605"/>
    <cellStyle name="40% - 강조색5 2 135" xfId="2606"/>
    <cellStyle name="40% - 강조색5 2 136" xfId="2607"/>
    <cellStyle name="40% - 강조색5 2 137" xfId="2608"/>
    <cellStyle name="40% - 강조색5 2 138" xfId="2609"/>
    <cellStyle name="40% - 강조색5 2 139" xfId="2610"/>
    <cellStyle name="40% - 강조색5 2 14" xfId="2611"/>
    <cellStyle name="40% - 강조색5 2 140" xfId="2612"/>
    <cellStyle name="40% - 강조색5 2 141" xfId="2613"/>
    <cellStyle name="40% - 강조색5 2 142" xfId="2614"/>
    <cellStyle name="40% - 강조색5 2 143" xfId="2615"/>
    <cellStyle name="40% - 강조색5 2 144" xfId="2616"/>
    <cellStyle name="40% - 강조색5 2 145" xfId="2617"/>
    <cellStyle name="40% - 강조색5 2 146" xfId="2618"/>
    <cellStyle name="40% - 강조색5 2 147" xfId="2619"/>
    <cellStyle name="40% - 강조색5 2 148" xfId="2620"/>
    <cellStyle name="40% - 강조색5 2 149" xfId="2621"/>
    <cellStyle name="40% - 강조색5 2 15" xfId="2622"/>
    <cellStyle name="40% - 강조색5 2 150" xfId="2623"/>
    <cellStyle name="40% - 강조색5 2 151" xfId="2624"/>
    <cellStyle name="40% - 강조색5 2 152" xfId="2625"/>
    <cellStyle name="40% - 강조색5 2 153" xfId="2626"/>
    <cellStyle name="40% - 강조색5 2 154" xfId="2627"/>
    <cellStyle name="40% - 강조색5 2 155" xfId="2628"/>
    <cellStyle name="40% - 강조색5 2 156" xfId="2629"/>
    <cellStyle name="40% - 강조색5 2 157" xfId="2630"/>
    <cellStyle name="40% - 강조색5 2 158" xfId="2631"/>
    <cellStyle name="40% - 강조색5 2 159" xfId="2632"/>
    <cellStyle name="40% - 강조색5 2 16" xfId="2633"/>
    <cellStyle name="40% - 강조색5 2 160" xfId="2634"/>
    <cellStyle name="40% - 강조색5 2 161" xfId="2635"/>
    <cellStyle name="40% - 강조색5 2 162" xfId="2636"/>
    <cellStyle name="40% - 강조색5 2 163" xfId="2637"/>
    <cellStyle name="40% - 강조색5 2 164" xfId="2638"/>
    <cellStyle name="40% - 강조색5 2 165" xfId="2639"/>
    <cellStyle name="40% - 강조색5 2 166" xfId="2640"/>
    <cellStyle name="40% - 강조색5 2 167" xfId="2641"/>
    <cellStyle name="40% - 강조색5 2 168" xfId="2642"/>
    <cellStyle name="40% - 강조색5 2 169" xfId="2643"/>
    <cellStyle name="40% - 강조색5 2 17" xfId="2644"/>
    <cellStyle name="40% - 강조색5 2 170" xfId="2645"/>
    <cellStyle name="40% - 강조색5 2 171" xfId="2646"/>
    <cellStyle name="40% - 강조색5 2 172" xfId="2647"/>
    <cellStyle name="40% - 강조색5 2 173" xfId="2648"/>
    <cellStyle name="40% - 강조색5 2 174" xfId="2649"/>
    <cellStyle name="40% - 강조색5 2 175" xfId="2650"/>
    <cellStyle name="40% - 강조색5 2 176" xfId="2651"/>
    <cellStyle name="40% - 강조색5 2 177" xfId="2652"/>
    <cellStyle name="40% - 강조색5 2 178" xfId="2653"/>
    <cellStyle name="40% - 강조색5 2 179" xfId="2654"/>
    <cellStyle name="40% - 강조색5 2 18" xfId="2655"/>
    <cellStyle name="40% - 강조색5 2 180" xfId="2656"/>
    <cellStyle name="40% - 강조색5 2 181" xfId="2657"/>
    <cellStyle name="40% - 강조색5 2 182" xfId="2658"/>
    <cellStyle name="40% - 강조색5 2 183" xfId="2659"/>
    <cellStyle name="40% - 강조색5 2 184" xfId="2660"/>
    <cellStyle name="40% - 강조색5 2 185" xfId="2661"/>
    <cellStyle name="40% - 강조색5 2 186" xfId="2662"/>
    <cellStyle name="40% - 강조색5 2 187" xfId="2663"/>
    <cellStyle name="40% - 강조색5 2 188" xfId="2664"/>
    <cellStyle name="40% - 강조색5 2 189" xfId="2665"/>
    <cellStyle name="40% - 강조색5 2 19" xfId="2666"/>
    <cellStyle name="40% - 강조색5 2 190" xfId="2667"/>
    <cellStyle name="40% - 강조색5 2 191" xfId="2668"/>
    <cellStyle name="40% - 강조색5 2 192" xfId="2669"/>
    <cellStyle name="40% - 강조색5 2 193" xfId="2670"/>
    <cellStyle name="40% - 강조색5 2 194" xfId="2671"/>
    <cellStyle name="40% - 강조색5 2 195" xfId="2672"/>
    <cellStyle name="40% - 강조색5 2 196" xfId="2673"/>
    <cellStyle name="40% - 강조색5 2 197" xfId="2674"/>
    <cellStyle name="40% - 강조색5 2 198" xfId="2675"/>
    <cellStyle name="40% - 강조색5 2 199" xfId="2676"/>
    <cellStyle name="40% - 강조색5 2 2" xfId="2677"/>
    <cellStyle name="40% - 강조색5 2 20" xfId="2678"/>
    <cellStyle name="40% - 강조색5 2 200" xfId="2679"/>
    <cellStyle name="40% - 강조색5 2 201" xfId="2680"/>
    <cellStyle name="40% - 강조색5 2 202" xfId="2681"/>
    <cellStyle name="40% - 강조색5 2 203" xfId="2682"/>
    <cellStyle name="40% - 강조색5 2 204" xfId="2683"/>
    <cellStyle name="40% - 강조색5 2 205" xfId="2684"/>
    <cellStyle name="40% - 강조색5 2 206" xfId="2685"/>
    <cellStyle name="40% - 강조색5 2 207" xfId="2686"/>
    <cellStyle name="40% - 강조색5 2 208" xfId="2687"/>
    <cellStyle name="40% - 강조색5 2 209" xfId="2688"/>
    <cellStyle name="40% - 강조색5 2 21" xfId="2689"/>
    <cellStyle name="40% - 강조색5 2 210" xfId="2690"/>
    <cellStyle name="40% - 강조색5 2 211" xfId="2691"/>
    <cellStyle name="40% - 강조색5 2 212" xfId="2692"/>
    <cellStyle name="40% - 강조색5 2 213" xfId="2693"/>
    <cellStyle name="40% - 강조색5 2 214" xfId="2694"/>
    <cellStyle name="40% - 강조색5 2 215" xfId="2695"/>
    <cellStyle name="40% - 강조색5 2 216" xfId="2696"/>
    <cellStyle name="40% - 강조색5 2 217" xfId="2697"/>
    <cellStyle name="40% - 강조색5 2 218" xfId="2698"/>
    <cellStyle name="40% - 강조색5 2 219" xfId="2699"/>
    <cellStyle name="40% - 강조색5 2 22" xfId="2700"/>
    <cellStyle name="40% - 강조색5 2 220" xfId="2701"/>
    <cellStyle name="40% - 강조색5 2 221" xfId="2702"/>
    <cellStyle name="40% - 강조색5 2 222" xfId="2703"/>
    <cellStyle name="40% - 강조색5 2 223" xfId="2704"/>
    <cellStyle name="40% - 강조색5 2 224" xfId="2705"/>
    <cellStyle name="40% - 강조색5 2 225" xfId="2706"/>
    <cellStyle name="40% - 강조색5 2 226" xfId="2707"/>
    <cellStyle name="40% - 강조색5 2 227" xfId="2708"/>
    <cellStyle name="40% - 강조색5 2 228" xfId="2709"/>
    <cellStyle name="40% - 강조색5 2 229" xfId="2710"/>
    <cellStyle name="40% - 강조색5 2 23" xfId="2711"/>
    <cellStyle name="40% - 강조색5 2 230" xfId="2712"/>
    <cellStyle name="40% - 강조색5 2 231" xfId="2713"/>
    <cellStyle name="40% - 강조색5 2 232" xfId="2714"/>
    <cellStyle name="40% - 강조색5 2 233" xfId="2715"/>
    <cellStyle name="40% - 강조색5 2 234" xfId="2716"/>
    <cellStyle name="40% - 강조색5 2 235" xfId="2717"/>
    <cellStyle name="40% - 강조색5 2 236" xfId="2718"/>
    <cellStyle name="40% - 강조색5 2 237" xfId="2719"/>
    <cellStyle name="40% - 강조색5 2 238" xfId="2720"/>
    <cellStyle name="40% - 강조색5 2 239" xfId="2721"/>
    <cellStyle name="40% - 강조색5 2 24" xfId="2722"/>
    <cellStyle name="40% - 강조색5 2 240" xfId="2723"/>
    <cellStyle name="40% - 강조색5 2 241" xfId="2724"/>
    <cellStyle name="40% - 강조색5 2 242" xfId="2725"/>
    <cellStyle name="40% - 강조색5 2 25" xfId="2726"/>
    <cellStyle name="40% - 강조색5 2 26" xfId="2727"/>
    <cellStyle name="40% - 강조색5 2 27" xfId="2728"/>
    <cellStyle name="40% - 강조색5 2 28" xfId="2729"/>
    <cellStyle name="40% - 강조색5 2 29" xfId="2730"/>
    <cellStyle name="40% - 강조색5 2 3" xfId="2731"/>
    <cellStyle name="40% - 강조색5 2 30" xfId="2732"/>
    <cellStyle name="40% - 강조색5 2 31" xfId="2733"/>
    <cellStyle name="40% - 강조색5 2 32" xfId="2734"/>
    <cellStyle name="40% - 강조색5 2 33" xfId="2735"/>
    <cellStyle name="40% - 강조색5 2 34" xfId="2736"/>
    <cellStyle name="40% - 강조색5 2 35" xfId="2737"/>
    <cellStyle name="40% - 강조색5 2 36" xfId="2738"/>
    <cellStyle name="40% - 강조색5 2 37" xfId="2739"/>
    <cellStyle name="40% - 강조색5 2 38" xfId="2740"/>
    <cellStyle name="40% - 강조색5 2 39" xfId="2741"/>
    <cellStyle name="40% - 강조색5 2 4" xfId="2742"/>
    <cellStyle name="40% - 강조색5 2 40" xfId="2743"/>
    <cellStyle name="40% - 강조색5 2 41" xfId="2744"/>
    <cellStyle name="40% - 강조색5 2 42" xfId="2745"/>
    <cellStyle name="40% - 강조색5 2 43" xfId="2746"/>
    <cellStyle name="40% - 강조색5 2 44" xfId="2747"/>
    <cellStyle name="40% - 강조색5 2 45" xfId="2748"/>
    <cellStyle name="40% - 강조색5 2 46" xfId="2749"/>
    <cellStyle name="40% - 강조색5 2 47" xfId="2750"/>
    <cellStyle name="40% - 강조색5 2 48" xfId="2751"/>
    <cellStyle name="40% - 강조색5 2 49" xfId="2752"/>
    <cellStyle name="40% - 강조색5 2 5" xfId="2753"/>
    <cellStyle name="40% - 강조색5 2 50" xfId="2754"/>
    <cellStyle name="40% - 강조색5 2 51" xfId="2755"/>
    <cellStyle name="40% - 강조색5 2 52" xfId="2756"/>
    <cellStyle name="40% - 강조색5 2 53" xfId="2757"/>
    <cellStyle name="40% - 강조색5 2 54" xfId="2758"/>
    <cellStyle name="40% - 강조색5 2 55" xfId="2759"/>
    <cellStyle name="40% - 강조색5 2 56" xfId="2760"/>
    <cellStyle name="40% - 강조색5 2 57" xfId="2761"/>
    <cellStyle name="40% - 강조색5 2 58" xfId="2762"/>
    <cellStyle name="40% - 강조색5 2 59" xfId="2763"/>
    <cellStyle name="40% - 강조색5 2 6" xfId="2764"/>
    <cellStyle name="40% - 강조색5 2 60" xfId="2765"/>
    <cellStyle name="40% - 강조색5 2 61" xfId="2766"/>
    <cellStyle name="40% - 강조색5 2 62" xfId="2767"/>
    <cellStyle name="40% - 강조색5 2 63" xfId="2768"/>
    <cellStyle name="40% - 강조색5 2 64" xfId="2769"/>
    <cellStyle name="40% - 강조색5 2 65" xfId="2770"/>
    <cellStyle name="40% - 강조색5 2 66" xfId="2771"/>
    <cellStyle name="40% - 강조색5 2 67" xfId="2772"/>
    <cellStyle name="40% - 강조색5 2 68" xfId="2773"/>
    <cellStyle name="40% - 강조색5 2 69" xfId="2774"/>
    <cellStyle name="40% - 강조색5 2 7" xfId="2775"/>
    <cellStyle name="40% - 강조색5 2 70" xfId="2776"/>
    <cellStyle name="40% - 강조색5 2 71" xfId="2777"/>
    <cellStyle name="40% - 강조색5 2 72" xfId="2778"/>
    <cellStyle name="40% - 강조색5 2 73" xfId="2779"/>
    <cellStyle name="40% - 강조색5 2 74" xfId="2780"/>
    <cellStyle name="40% - 강조색5 2 75" xfId="2781"/>
    <cellStyle name="40% - 강조색5 2 76" xfId="2782"/>
    <cellStyle name="40% - 강조색5 2 77" xfId="2783"/>
    <cellStyle name="40% - 강조색5 2 78" xfId="2784"/>
    <cellStyle name="40% - 강조색5 2 79" xfId="2785"/>
    <cellStyle name="40% - 강조색5 2 8" xfId="2786"/>
    <cellStyle name="40% - 강조색5 2 80" xfId="2787"/>
    <cellStyle name="40% - 강조색5 2 81" xfId="2788"/>
    <cellStyle name="40% - 강조색5 2 82" xfId="2789"/>
    <cellStyle name="40% - 강조색5 2 83" xfId="2790"/>
    <cellStyle name="40% - 강조색5 2 84" xfId="2791"/>
    <cellStyle name="40% - 강조색5 2 85" xfId="2792"/>
    <cellStyle name="40% - 강조색5 2 86" xfId="2793"/>
    <cellStyle name="40% - 강조색5 2 87" xfId="2794"/>
    <cellStyle name="40% - 강조색5 2 88" xfId="2795"/>
    <cellStyle name="40% - 강조색5 2 89" xfId="2796"/>
    <cellStyle name="40% - 강조색5 2 9" xfId="2797"/>
    <cellStyle name="40% - 강조색5 2 90" xfId="2798"/>
    <cellStyle name="40% - 강조색5 2 91" xfId="2799"/>
    <cellStyle name="40% - 강조색5 2 92" xfId="2800"/>
    <cellStyle name="40% - 강조색5 2 93" xfId="2801"/>
    <cellStyle name="40% - 강조색5 2 94" xfId="2802"/>
    <cellStyle name="40% - 강조색5 2 95" xfId="2803"/>
    <cellStyle name="40% - 강조색5 2 96" xfId="2804"/>
    <cellStyle name="40% - 강조색5 2 97" xfId="2805"/>
    <cellStyle name="40% - 강조색5 2 98" xfId="2806"/>
    <cellStyle name="40% - 강조색5 2 99" xfId="2807"/>
    <cellStyle name="40% - 강조색5 3" xfId="2808"/>
    <cellStyle name="40% - 강조색6 2" xfId="2809"/>
    <cellStyle name="40% - 강조색6 2 10" xfId="2810"/>
    <cellStyle name="40% - 강조색6 2 100" xfId="2811"/>
    <cellStyle name="40% - 강조색6 2 101" xfId="2812"/>
    <cellStyle name="40% - 강조색6 2 102" xfId="2813"/>
    <cellStyle name="40% - 강조색6 2 103" xfId="2814"/>
    <cellStyle name="40% - 강조색6 2 104" xfId="2815"/>
    <cellStyle name="40% - 강조색6 2 105" xfId="2816"/>
    <cellStyle name="40% - 강조색6 2 106" xfId="2817"/>
    <cellStyle name="40% - 강조색6 2 107" xfId="2818"/>
    <cellStyle name="40% - 강조색6 2 108" xfId="2819"/>
    <cellStyle name="40% - 강조색6 2 109" xfId="2820"/>
    <cellStyle name="40% - 강조색6 2 11" xfId="2821"/>
    <cellStyle name="40% - 강조색6 2 110" xfId="2822"/>
    <cellStyle name="40% - 강조색6 2 111" xfId="2823"/>
    <cellStyle name="40% - 강조색6 2 112" xfId="2824"/>
    <cellStyle name="40% - 강조색6 2 113" xfId="2825"/>
    <cellStyle name="40% - 강조색6 2 114" xfId="2826"/>
    <cellStyle name="40% - 강조색6 2 115" xfId="2827"/>
    <cellStyle name="40% - 강조색6 2 116" xfId="2828"/>
    <cellStyle name="40% - 강조색6 2 117" xfId="2829"/>
    <cellStyle name="40% - 강조색6 2 118" xfId="2830"/>
    <cellStyle name="40% - 강조색6 2 119" xfId="2831"/>
    <cellStyle name="40% - 강조색6 2 12" xfId="2832"/>
    <cellStyle name="40% - 강조색6 2 120" xfId="2833"/>
    <cellStyle name="40% - 강조색6 2 121" xfId="2834"/>
    <cellStyle name="40% - 강조색6 2 122" xfId="2835"/>
    <cellStyle name="40% - 강조색6 2 123" xfId="2836"/>
    <cellStyle name="40% - 강조색6 2 124" xfId="2837"/>
    <cellStyle name="40% - 강조색6 2 125" xfId="2838"/>
    <cellStyle name="40% - 강조색6 2 126" xfId="2839"/>
    <cellStyle name="40% - 강조색6 2 127" xfId="2840"/>
    <cellStyle name="40% - 강조색6 2 128" xfId="2841"/>
    <cellStyle name="40% - 강조색6 2 129" xfId="2842"/>
    <cellStyle name="40% - 강조색6 2 13" xfId="2843"/>
    <cellStyle name="40% - 강조색6 2 130" xfId="2844"/>
    <cellStyle name="40% - 강조색6 2 131" xfId="2845"/>
    <cellStyle name="40% - 강조색6 2 132" xfId="2846"/>
    <cellStyle name="40% - 강조색6 2 133" xfId="2847"/>
    <cellStyle name="40% - 강조색6 2 134" xfId="2848"/>
    <cellStyle name="40% - 강조색6 2 135" xfId="2849"/>
    <cellStyle name="40% - 강조색6 2 136" xfId="2850"/>
    <cellStyle name="40% - 강조색6 2 137" xfId="2851"/>
    <cellStyle name="40% - 강조색6 2 138" xfId="2852"/>
    <cellStyle name="40% - 강조색6 2 139" xfId="2853"/>
    <cellStyle name="40% - 강조색6 2 14" xfId="2854"/>
    <cellStyle name="40% - 강조색6 2 140" xfId="2855"/>
    <cellStyle name="40% - 강조색6 2 141" xfId="2856"/>
    <cellStyle name="40% - 강조색6 2 142" xfId="2857"/>
    <cellStyle name="40% - 강조색6 2 143" xfId="2858"/>
    <cellStyle name="40% - 강조색6 2 144" xfId="2859"/>
    <cellStyle name="40% - 강조색6 2 145" xfId="2860"/>
    <cellStyle name="40% - 강조색6 2 146" xfId="2861"/>
    <cellStyle name="40% - 강조색6 2 147" xfId="2862"/>
    <cellStyle name="40% - 강조색6 2 148" xfId="2863"/>
    <cellStyle name="40% - 강조색6 2 149" xfId="2864"/>
    <cellStyle name="40% - 강조색6 2 15" xfId="2865"/>
    <cellStyle name="40% - 강조색6 2 150" xfId="2866"/>
    <cellStyle name="40% - 강조색6 2 151" xfId="2867"/>
    <cellStyle name="40% - 강조색6 2 152" xfId="2868"/>
    <cellStyle name="40% - 강조색6 2 153" xfId="2869"/>
    <cellStyle name="40% - 강조색6 2 154" xfId="2870"/>
    <cellStyle name="40% - 강조색6 2 155" xfId="2871"/>
    <cellStyle name="40% - 강조색6 2 156" xfId="2872"/>
    <cellStyle name="40% - 강조색6 2 157" xfId="2873"/>
    <cellStyle name="40% - 강조색6 2 158" xfId="2874"/>
    <cellStyle name="40% - 강조색6 2 159" xfId="2875"/>
    <cellStyle name="40% - 강조색6 2 16" xfId="2876"/>
    <cellStyle name="40% - 강조색6 2 160" xfId="2877"/>
    <cellStyle name="40% - 강조색6 2 161" xfId="2878"/>
    <cellStyle name="40% - 강조색6 2 162" xfId="2879"/>
    <cellStyle name="40% - 강조색6 2 163" xfId="2880"/>
    <cellStyle name="40% - 강조색6 2 164" xfId="2881"/>
    <cellStyle name="40% - 강조색6 2 165" xfId="2882"/>
    <cellStyle name="40% - 강조색6 2 166" xfId="2883"/>
    <cellStyle name="40% - 강조색6 2 167" xfId="2884"/>
    <cellStyle name="40% - 강조색6 2 168" xfId="2885"/>
    <cellStyle name="40% - 강조색6 2 169" xfId="2886"/>
    <cellStyle name="40% - 강조색6 2 17" xfId="2887"/>
    <cellStyle name="40% - 강조색6 2 170" xfId="2888"/>
    <cellStyle name="40% - 강조색6 2 171" xfId="2889"/>
    <cellStyle name="40% - 강조색6 2 172" xfId="2890"/>
    <cellStyle name="40% - 강조색6 2 173" xfId="2891"/>
    <cellStyle name="40% - 강조색6 2 174" xfId="2892"/>
    <cellStyle name="40% - 강조색6 2 175" xfId="2893"/>
    <cellStyle name="40% - 강조색6 2 176" xfId="2894"/>
    <cellStyle name="40% - 강조색6 2 177" xfId="2895"/>
    <cellStyle name="40% - 강조색6 2 178" xfId="2896"/>
    <cellStyle name="40% - 강조색6 2 179" xfId="2897"/>
    <cellStyle name="40% - 강조색6 2 18" xfId="2898"/>
    <cellStyle name="40% - 강조색6 2 180" xfId="2899"/>
    <cellStyle name="40% - 강조색6 2 181" xfId="2900"/>
    <cellStyle name="40% - 강조색6 2 182" xfId="2901"/>
    <cellStyle name="40% - 강조색6 2 183" xfId="2902"/>
    <cellStyle name="40% - 강조색6 2 184" xfId="2903"/>
    <cellStyle name="40% - 강조색6 2 185" xfId="2904"/>
    <cellStyle name="40% - 강조색6 2 186" xfId="2905"/>
    <cellStyle name="40% - 강조색6 2 187" xfId="2906"/>
    <cellStyle name="40% - 강조색6 2 188" xfId="2907"/>
    <cellStyle name="40% - 강조색6 2 189" xfId="2908"/>
    <cellStyle name="40% - 강조색6 2 19" xfId="2909"/>
    <cellStyle name="40% - 강조색6 2 190" xfId="2910"/>
    <cellStyle name="40% - 강조색6 2 191" xfId="2911"/>
    <cellStyle name="40% - 강조색6 2 192" xfId="2912"/>
    <cellStyle name="40% - 강조색6 2 193" xfId="2913"/>
    <cellStyle name="40% - 강조색6 2 194" xfId="2914"/>
    <cellStyle name="40% - 강조색6 2 195" xfId="2915"/>
    <cellStyle name="40% - 강조색6 2 196" xfId="2916"/>
    <cellStyle name="40% - 강조색6 2 197" xfId="2917"/>
    <cellStyle name="40% - 강조색6 2 198" xfId="2918"/>
    <cellStyle name="40% - 강조색6 2 199" xfId="2919"/>
    <cellStyle name="40% - 강조색6 2 2" xfId="2920"/>
    <cellStyle name="40% - 강조색6 2 20" xfId="2921"/>
    <cellStyle name="40% - 강조색6 2 200" xfId="2922"/>
    <cellStyle name="40% - 강조색6 2 201" xfId="2923"/>
    <cellStyle name="40% - 강조색6 2 202" xfId="2924"/>
    <cellStyle name="40% - 강조색6 2 203" xfId="2925"/>
    <cellStyle name="40% - 강조색6 2 204" xfId="2926"/>
    <cellStyle name="40% - 강조색6 2 205" xfId="2927"/>
    <cellStyle name="40% - 강조색6 2 206" xfId="2928"/>
    <cellStyle name="40% - 강조색6 2 207" xfId="2929"/>
    <cellStyle name="40% - 강조색6 2 208" xfId="2930"/>
    <cellStyle name="40% - 강조색6 2 209" xfId="2931"/>
    <cellStyle name="40% - 강조색6 2 21" xfId="2932"/>
    <cellStyle name="40% - 강조색6 2 210" xfId="2933"/>
    <cellStyle name="40% - 강조색6 2 211" xfId="2934"/>
    <cellStyle name="40% - 강조색6 2 212" xfId="2935"/>
    <cellStyle name="40% - 강조색6 2 213" xfId="2936"/>
    <cellStyle name="40% - 강조색6 2 214" xfId="2937"/>
    <cellStyle name="40% - 강조색6 2 215" xfId="2938"/>
    <cellStyle name="40% - 강조색6 2 216" xfId="2939"/>
    <cellStyle name="40% - 강조색6 2 217" xfId="2940"/>
    <cellStyle name="40% - 강조색6 2 218" xfId="2941"/>
    <cellStyle name="40% - 강조색6 2 219" xfId="2942"/>
    <cellStyle name="40% - 강조색6 2 22" xfId="2943"/>
    <cellStyle name="40% - 강조색6 2 220" xfId="2944"/>
    <cellStyle name="40% - 강조색6 2 221" xfId="2945"/>
    <cellStyle name="40% - 강조색6 2 222" xfId="2946"/>
    <cellStyle name="40% - 강조색6 2 223" xfId="2947"/>
    <cellStyle name="40% - 강조색6 2 224" xfId="2948"/>
    <cellStyle name="40% - 강조색6 2 225" xfId="2949"/>
    <cellStyle name="40% - 강조색6 2 226" xfId="2950"/>
    <cellStyle name="40% - 강조색6 2 227" xfId="2951"/>
    <cellStyle name="40% - 강조색6 2 228" xfId="2952"/>
    <cellStyle name="40% - 강조색6 2 229" xfId="2953"/>
    <cellStyle name="40% - 강조색6 2 23" xfId="2954"/>
    <cellStyle name="40% - 강조색6 2 230" xfId="2955"/>
    <cellStyle name="40% - 강조색6 2 231" xfId="2956"/>
    <cellStyle name="40% - 강조색6 2 232" xfId="2957"/>
    <cellStyle name="40% - 강조색6 2 233" xfId="2958"/>
    <cellStyle name="40% - 강조색6 2 234" xfId="2959"/>
    <cellStyle name="40% - 강조색6 2 235" xfId="2960"/>
    <cellStyle name="40% - 강조색6 2 236" xfId="2961"/>
    <cellStyle name="40% - 강조색6 2 237" xfId="2962"/>
    <cellStyle name="40% - 강조색6 2 238" xfId="2963"/>
    <cellStyle name="40% - 강조색6 2 239" xfId="2964"/>
    <cellStyle name="40% - 강조색6 2 24" xfId="2965"/>
    <cellStyle name="40% - 강조색6 2 240" xfId="2966"/>
    <cellStyle name="40% - 강조색6 2 241" xfId="2967"/>
    <cellStyle name="40% - 강조색6 2 242" xfId="2968"/>
    <cellStyle name="40% - 강조색6 2 25" xfId="2969"/>
    <cellStyle name="40% - 강조색6 2 26" xfId="2970"/>
    <cellStyle name="40% - 강조색6 2 27" xfId="2971"/>
    <cellStyle name="40% - 강조색6 2 28" xfId="2972"/>
    <cellStyle name="40% - 강조색6 2 29" xfId="2973"/>
    <cellStyle name="40% - 강조색6 2 3" xfId="2974"/>
    <cellStyle name="40% - 강조색6 2 30" xfId="2975"/>
    <cellStyle name="40% - 강조색6 2 31" xfId="2976"/>
    <cellStyle name="40% - 강조색6 2 32" xfId="2977"/>
    <cellStyle name="40% - 강조색6 2 33" xfId="2978"/>
    <cellStyle name="40% - 강조색6 2 34" xfId="2979"/>
    <cellStyle name="40% - 강조색6 2 35" xfId="2980"/>
    <cellStyle name="40% - 강조색6 2 36" xfId="2981"/>
    <cellStyle name="40% - 강조색6 2 37" xfId="2982"/>
    <cellStyle name="40% - 강조색6 2 38" xfId="2983"/>
    <cellStyle name="40% - 강조색6 2 39" xfId="2984"/>
    <cellStyle name="40% - 강조색6 2 4" xfId="2985"/>
    <cellStyle name="40% - 강조색6 2 40" xfId="2986"/>
    <cellStyle name="40% - 강조색6 2 41" xfId="2987"/>
    <cellStyle name="40% - 강조색6 2 42" xfId="2988"/>
    <cellStyle name="40% - 강조색6 2 43" xfId="2989"/>
    <cellStyle name="40% - 강조색6 2 44" xfId="2990"/>
    <cellStyle name="40% - 강조색6 2 45" xfId="2991"/>
    <cellStyle name="40% - 강조색6 2 46" xfId="2992"/>
    <cellStyle name="40% - 강조색6 2 47" xfId="2993"/>
    <cellStyle name="40% - 강조색6 2 48" xfId="2994"/>
    <cellStyle name="40% - 강조색6 2 49" xfId="2995"/>
    <cellStyle name="40% - 강조색6 2 5" xfId="2996"/>
    <cellStyle name="40% - 강조색6 2 50" xfId="2997"/>
    <cellStyle name="40% - 강조색6 2 51" xfId="2998"/>
    <cellStyle name="40% - 강조색6 2 52" xfId="2999"/>
    <cellStyle name="40% - 강조색6 2 53" xfId="3000"/>
    <cellStyle name="40% - 강조색6 2 54" xfId="3001"/>
    <cellStyle name="40% - 강조색6 2 55" xfId="3002"/>
    <cellStyle name="40% - 강조색6 2 56" xfId="3003"/>
    <cellStyle name="40% - 강조색6 2 57" xfId="3004"/>
    <cellStyle name="40% - 강조색6 2 58" xfId="3005"/>
    <cellStyle name="40% - 강조색6 2 59" xfId="3006"/>
    <cellStyle name="40% - 강조색6 2 6" xfId="3007"/>
    <cellStyle name="40% - 강조색6 2 60" xfId="3008"/>
    <cellStyle name="40% - 강조색6 2 61" xfId="3009"/>
    <cellStyle name="40% - 강조색6 2 62" xfId="3010"/>
    <cellStyle name="40% - 강조색6 2 63" xfId="3011"/>
    <cellStyle name="40% - 강조색6 2 64" xfId="3012"/>
    <cellStyle name="40% - 강조색6 2 65" xfId="3013"/>
    <cellStyle name="40% - 강조색6 2 66" xfId="3014"/>
    <cellStyle name="40% - 강조색6 2 67" xfId="3015"/>
    <cellStyle name="40% - 강조색6 2 68" xfId="3016"/>
    <cellStyle name="40% - 강조색6 2 69" xfId="3017"/>
    <cellStyle name="40% - 강조색6 2 7" xfId="3018"/>
    <cellStyle name="40% - 강조색6 2 70" xfId="3019"/>
    <cellStyle name="40% - 강조색6 2 71" xfId="3020"/>
    <cellStyle name="40% - 강조색6 2 72" xfId="3021"/>
    <cellStyle name="40% - 강조색6 2 73" xfId="3022"/>
    <cellStyle name="40% - 강조색6 2 74" xfId="3023"/>
    <cellStyle name="40% - 강조색6 2 75" xfId="3024"/>
    <cellStyle name="40% - 강조색6 2 76" xfId="3025"/>
    <cellStyle name="40% - 강조색6 2 77" xfId="3026"/>
    <cellStyle name="40% - 강조색6 2 78" xfId="3027"/>
    <cellStyle name="40% - 강조색6 2 79" xfId="3028"/>
    <cellStyle name="40% - 강조색6 2 8" xfId="3029"/>
    <cellStyle name="40% - 강조색6 2 80" xfId="3030"/>
    <cellStyle name="40% - 강조색6 2 81" xfId="3031"/>
    <cellStyle name="40% - 강조색6 2 82" xfId="3032"/>
    <cellStyle name="40% - 강조색6 2 83" xfId="3033"/>
    <cellStyle name="40% - 강조색6 2 84" xfId="3034"/>
    <cellStyle name="40% - 강조색6 2 85" xfId="3035"/>
    <cellStyle name="40% - 강조색6 2 86" xfId="3036"/>
    <cellStyle name="40% - 강조색6 2 87" xfId="3037"/>
    <cellStyle name="40% - 강조색6 2 88" xfId="3038"/>
    <cellStyle name="40% - 강조색6 2 89" xfId="3039"/>
    <cellStyle name="40% - 강조색6 2 9" xfId="3040"/>
    <cellStyle name="40% - 강조색6 2 90" xfId="3041"/>
    <cellStyle name="40% - 강조색6 2 91" xfId="3042"/>
    <cellStyle name="40% - 강조색6 2 92" xfId="3043"/>
    <cellStyle name="40% - 강조색6 2 93" xfId="3044"/>
    <cellStyle name="40% - 강조색6 2 94" xfId="3045"/>
    <cellStyle name="40% - 강조색6 2 95" xfId="3046"/>
    <cellStyle name="40% - 강조색6 2 96" xfId="3047"/>
    <cellStyle name="40% - 강조색6 2 97" xfId="3048"/>
    <cellStyle name="40% - 강조색6 2 98" xfId="3049"/>
    <cellStyle name="40% - 강조색6 2 99" xfId="3050"/>
    <cellStyle name="40% - 강조색6 3" xfId="3051"/>
    <cellStyle name="4PL0 _x0008_" xfId="3052"/>
    <cellStyle name="60% - Accent1" xfId="3053"/>
    <cellStyle name="60% - Accent2" xfId="3054"/>
    <cellStyle name="60% - Accent3" xfId="3055"/>
    <cellStyle name="60% - Accent4" xfId="3056"/>
    <cellStyle name="60% - Accent5" xfId="3057"/>
    <cellStyle name="60% - Accent6" xfId="3058"/>
    <cellStyle name="60% - 强调文字颜色 1" xfId="3059"/>
    <cellStyle name="60% - 强调文字颜色 2" xfId="3060"/>
    <cellStyle name="60% - 强调文字颜色 3" xfId="3061"/>
    <cellStyle name="60% - 强调文字颜色 4" xfId="3062"/>
    <cellStyle name="60% - 强调文字颜色 5" xfId="3063"/>
    <cellStyle name="60% - 强调文字颜色 6" xfId="3064"/>
    <cellStyle name="60% - 강조색1 2" xfId="3065"/>
    <cellStyle name="60% - 강조색1 2 10" xfId="3066"/>
    <cellStyle name="60% - 강조색1 2 100" xfId="3067"/>
    <cellStyle name="60% - 강조색1 2 101" xfId="3068"/>
    <cellStyle name="60% - 강조색1 2 102" xfId="3069"/>
    <cellStyle name="60% - 강조색1 2 103" xfId="3070"/>
    <cellStyle name="60% - 강조색1 2 104" xfId="3071"/>
    <cellStyle name="60% - 강조색1 2 105" xfId="3072"/>
    <cellStyle name="60% - 강조색1 2 106" xfId="3073"/>
    <cellStyle name="60% - 강조색1 2 107" xfId="3074"/>
    <cellStyle name="60% - 강조색1 2 108" xfId="3075"/>
    <cellStyle name="60% - 강조색1 2 109" xfId="3076"/>
    <cellStyle name="60% - 강조색1 2 11" xfId="3077"/>
    <cellStyle name="60% - 강조색1 2 110" xfId="3078"/>
    <cellStyle name="60% - 강조색1 2 111" xfId="3079"/>
    <cellStyle name="60% - 강조색1 2 112" xfId="3080"/>
    <cellStyle name="60% - 강조색1 2 113" xfId="3081"/>
    <cellStyle name="60% - 강조색1 2 114" xfId="3082"/>
    <cellStyle name="60% - 강조색1 2 115" xfId="3083"/>
    <cellStyle name="60% - 강조색1 2 116" xfId="3084"/>
    <cellStyle name="60% - 강조색1 2 117" xfId="3085"/>
    <cellStyle name="60% - 강조색1 2 118" xfId="3086"/>
    <cellStyle name="60% - 강조색1 2 119" xfId="3087"/>
    <cellStyle name="60% - 강조색1 2 12" xfId="3088"/>
    <cellStyle name="60% - 강조색1 2 120" xfId="3089"/>
    <cellStyle name="60% - 강조색1 2 121" xfId="3090"/>
    <cellStyle name="60% - 강조색1 2 122" xfId="3091"/>
    <cellStyle name="60% - 강조색1 2 123" xfId="3092"/>
    <cellStyle name="60% - 강조색1 2 124" xfId="3093"/>
    <cellStyle name="60% - 강조색1 2 125" xfId="3094"/>
    <cellStyle name="60% - 강조색1 2 126" xfId="3095"/>
    <cellStyle name="60% - 강조색1 2 127" xfId="3096"/>
    <cellStyle name="60% - 강조색1 2 128" xfId="3097"/>
    <cellStyle name="60% - 강조색1 2 129" xfId="3098"/>
    <cellStyle name="60% - 강조색1 2 13" xfId="3099"/>
    <cellStyle name="60% - 강조색1 2 130" xfId="3100"/>
    <cellStyle name="60% - 강조색1 2 131" xfId="3101"/>
    <cellStyle name="60% - 강조색1 2 132" xfId="3102"/>
    <cellStyle name="60% - 강조색1 2 133" xfId="3103"/>
    <cellStyle name="60% - 강조색1 2 134" xfId="3104"/>
    <cellStyle name="60% - 강조색1 2 135" xfId="3105"/>
    <cellStyle name="60% - 강조색1 2 136" xfId="3106"/>
    <cellStyle name="60% - 강조색1 2 137" xfId="3107"/>
    <cellStyle name="60% - 강조색1 2 138" xfId="3108"/>
    <cellStyle name="60% - 강조색1 2 139" xfId="3109"/>
    <cellStyle name="60% - 강조색1 2 14" xfId="3110"/>
    <cellStyle name="60% - 강조색1 2 140" xfId="3111"/>
    <cellStyle name="60% - 강조색1 2 141" xfId="3112"/>
    <cellStyle name="60% - 강조색1 2 142" xfId="3113"/>
    <cellStyle name="60% - 강조색1 2 143" xfId="3114"/>
    <cellStyle name="60% - 강조색1 2 144" xfId="3115"/>
    <cellStyle name="60% - 강조색1 2 145" xfId="3116"/>
    <cellStyle name="60% - 강조색1 2 146" xfId="3117"/>
    <cellStyle name="60% - 강조색1 2 147" xfId="3118"/>
    <cellStyle name="60% - 강조색1 2 148" xfId="3119"/>
    <cellStyle name="60% - 강조색1 2 149" xfId="3120"/>
    <cellStyle name="60% - 강조색1 2 15" xfId="3121"/>
    <cellStyle name="60% - 강조색1 2 150" xfId="3122"/>
    <cellStyle name="60% - 강조색1 2 151" xfId="3123"/>
    <cellStyle name="60% - 강조색1 2 152" xfId="3124"/>
    <cellStyle name="60% - 강조색1 2 153" xfId="3125"/>
    <cellStyle name="60% - 강조색1 2 154" xfId="3126"/>
    <cellStyle name="60% - 강조색1 2 155" xfId="3127"/>
    <cellStyle name="60% - 강조색1 2 156" xfId="3128"/>
    <cellStyle name="60% - 강조색1 2 157" xfId="3129"/>
    <cellStyle name="60% - 강조색1 2 158" xfId="3130"/>
    <cellStyle name="60% - 강조색1 2 159" xfId="3131"/>
    <cellStyle name="60% - 강조색1 2 16" xfId="3132"/>
    <cellStyle name="60% - 강조색1 2 160" xfId="3133"/>
    <cellStyle name="60% - 강조색1 2 161" xfId="3134"/>
    <cellStyle name="60% - 강조색1 2 162" xfId="3135"/>
    <cellStyle name="60% - 강조색1 2 163" xfId="3136"/>
    <cellStyle name="60% - 강조색1 2 164" xfId="3137"/>
    <cellStyle name="60% - 강조색1 2 165" xfId="3138"/>
    <cellStyle name="60% - 강조색1 2 166" xfId="3139"/>
    <cellStyle name="60% - 강조색1 2 167" xfId="3140"/>
    <cellStyle name="60% - 강조색1 2 168" xfId="3141"/>
    <cellStyle name="60% - 강조색1 2 169" xfId="3142"/>
    <cellStyle name="60% - 강조색1 2 17" xfId="3143"/>
    <cellStyle name="60% - 강조색1 2 170" xfId="3144"/>
    <cellStyle name="60% - 강조색1 2 171" xfId="3145"/>
    <cellStyle name="60% - 강조색1 2 172" xfId="3146"/>
    <cellStyle name="60% - 강조색1 2 173" xfId="3147"/>
    <cellStyle name="60% - 강조색1 2 174" xfId="3148"/>
    <cellStyle name="60% - 강조색1 2 175" xfId="3149"/>
    <cellStyle name="60% - 강조색1 2 176" xfId="3150"/>
    <cellStyle name="60% - 강조색1 2 177" xfId="3151"/>
    <cellStyle name="60% - 강조색1 2 178" xfId="3152"/>
    <cellStyle name="60% - 강조색1 2 179" xfId="3153"/>
    <cellStyle name="60% - 강조색1 2 18" xfId="3154"/>
    <cellStyle name="60% - 강조색1 2 180" xfId="3155"/>
    <cellStyle name="60% - 강조색1 2 181" xfId="3156"/>
    <cellStyle name="60% - 강조색1 2 182" xfId="3157"/>
    <cellStyle name="60% - 강조색1 2 183" xfId="3158"/>
    <cellStyle name="60% - 강조색1 2 184" xfId="3159"/>
    <cellStyle name="60% - 강조색1 2 185" xfId="3160"/>
    <cellStyle name="60% - 강조색1 2 186" xfId="3161"/>
    <cellStyle name="60% - 강조색1 2 187" xfId="3162"/>
    <cellStyle name="60% - 강조색1 2 188" xfId="3163"/>
    <cellStyle name="60% - 강조색1 2 189" xfId="3164"/>
    <cellStyle name="60% - 강조색1 2 19" xfId="3165"/>
    <cellStyle name="60% - 강조색1 2 190" xfId="3166"/>
    <cellStyle name="60% - 강조색1 2 191" xfId="3167"/>
    <cellStyle name="60% - 강조색1 2 192" xfId="3168"/>
    <cellStyle name="60% - 강조색1 2 193" xfId="3169"/>
    <cellStyle name="60% - 강조색1 2 194" xfId="3170"/>
    <cellStyle name="60% - 강조색1 2 195" xfId="3171"/>
    <cellStyle name="60% - 강조색1 2 196" xfId="3172"/>
    <cellStyle name="60% - 강조색1 2 197" xfId="3173"/>
    <cellStyle name="60% - 강조색1 2 198" xfId="3174"/>
    <cellStyle name="60% - 강조색1 2 199" xfId="3175"/>
    <cellStyle name="60% - 강조색1 2 2" xfId="3176"/>
    <cellStyle name="60% - 강조색1 2 20" xfId="3177"/>
    <cellStyle name="60% - 강조색1 2 200" xfId="3178"/>
    <cellStyle name="60% - 강조색1 2 201" xfId="3179"/>
    <cellStyle name="60% - 강조색1 2 202" xfId="3180"/>
    <cellStyle name="60% - 강조색1 2 203" xfId="3181"/>
    <cellStyle name="60% - 강조색1 2 204" xfId="3182"/>
    <cellStyle name="60% - 강조색1 2 205" xfId="3183"/>
    <cellStyle name="60% - 강조색1 2 206" xfId="3184"/>
    <cellStyle name="60% - 강조색1 2 207" xfId="3185"/>
    <cellStyle name="60% - 강조색1 2 208" xfId="3186"/>
    <cellStyle name="60% - 강조색1 2 209" xfId="3187"/>
    <cellStyle name="60% - 강조색1 2 21" xfId="3188"/>
    <cellStyle name="60% - 강조색1 2 210" xfId="3189"/>
    <cellStyle name="60% - 강조색1 2 211" xfId="3190"/>
    <cellStyle name="60% - 강조색1 2 212" xfId="3191"/>
    <cellStyle name="60% - 강조색1 2 213" xfId="3192"/>
    <cellStyle name="60% - 강조색1 2 214" xfId="3193"/>
    <cellStyle name="60% - 강조색1 2 215" xfId="3194"/>
    <cellStyle name="60% - 강조색1 2 216" xfId="3195"/>
    <cellStyle name="60% - 강조색1 2 217" xfId="3196"/>
    <cellStyle name="60% - 강조색1 2 218" xfId="3197"/>
    <cellStyle name="60% - 강조색1 2 219" xfId="3198"/>
    <cellStyle name="60% - 강조색1 2 22" xfId="3199"/>
    <cellStyle name="60% - 강조색1 2 220" xfId="3200"/>
    <cellStyle name="60% - 강조색1 2 221" xfId="3201"/>
    <cellStyle name="60% - 강조색1 2 222" xfId="3202"/>
    <cellStyle name="60% - 강조색1 2 223" xfId="3203"/>
    <cellStyle name="60% - 강조색1 2 224" xfId="3204"/>
    <cellStyle name="60% - 강조색1 2 225" xfId="3205"/>
    <cellStyle name="60% - 강조색1 2 226" xfId="3206"/>
    <cellStyle name="60% - 강조색1 2 227" xfId="3207"/>
    <cellStyle name="60% - 강조색1 2 228" xfId="3208"/>
    <cellStyle name="60% - 강조색1 2 229" xfId="3209"/>
    <cellStyle name="60% - 강조색1 2 23" xfId="3210"/>
    <cellStyle name="60% - 강조색1 2 230" xfId="3211"/>
    <cellStyle name="60% - 강조색1 2 231" xfId="3212"/>
    <cellStyle name="60% - 강조색1 2 232" xfId="3213"/>
    <cellStyle name="60% - 강조색1 2 233" xfId="3214"/>
    <cellStyle name="60% - 강조색1 2 234" xfId="3215"/>
    <cellStyle name="60% - 강조색1 2 235" xfId="3216"/>
    <cellStyle name="60% - 강조색1 2 236" xfId="3217"/>
    <cellStyle name="60% - 강조색1 2 237" xfId="3218"/>
    <cellStyle name="60% - 강조색1 2 238" xfId="3219"/>
    <cellStyle name="60% - 강조색1 2 239" xfId="3220"/>
    <cellStyle name="60% - 강조색1 2 24" xfId="3221"/>
    <cellStyle name="60% - 강조색1 2 240" xfId="3222"/>
    <cellStyle name="60% - 강조색1 2 241" xfId="3223"/>
    <cellStyle name="60% - 강조색1 2 25" xfId="3224"/>
    <cellStyle name="60% - 강조색1 2 26" xfId="3225"/>
    <cellStyle name="60% - 강조색1 2 27" xfId="3226"/>
    <cellStyle name="60% - 강조색1 2 28" xfId="3227"/>
    <cellStyle name="60% - 강조색1 2 29" xfId="3228"/>
    <cellStyle name="60% - 강조색1 2 3" xfId="3229"/>
    <cellStyle name="60% - 강조색1 2 30" xfId="3230"/>
    <cellStyle name="60% - 강조색1 2 31" xfId="3231"/>
    <cellStyle name="60% - 강조색1 2 32" xfId="3232"/>
    <cellStyle name="60% - 강조색1 2 33" xfId="3233"/>
    <cellStyle name="60% - 강조색1 2 34" xfId="3234"/>
    <cellStyle name="60% - 강조색1 2 35" xfId="3235"/>
    <cellStyle name="60% - 강조색1 2 36" xfId="3236"/>
    <cellStyle name="60% - 강조색1 2 37" xfId="3237"/>
    <cellStyle name="60% - 강조색1 2 38" xfId="3238"/>
    <cellStyle name="60% - 강조색1 2 39" xfId="3239"/>
    <cellStyle name="60% - 강조색1 2 4" xfId="3240"/>
    <cellStyle name="60% - 강조색1 2 40" xfId="3241"/>
    <cellStyle name="60% - 강조색1 2 41" xfId="3242"/>
    <cellStyle name="60% - 강조색1 2 42" xfId="3243"/>
    <cellStyle name="60% - 강조색1 2 43" xfId="3244"/>
    <cellStyle name="60% - 강조색1 2 44" xfId="3245"/>
    <cellStyle name="60% - 강조색1 2 45" xfId="3246"/>
    <cellStyle name="60% - 강조색1 2 46" xfId="3247"/>
    <cellStyle name="60% - 강조색1 2 47" xfId="3248"/>
    <cellStyle name="60% - 강조색1 2 48" xfId="3249"/>
    <cellStyle name="60% - 강조색1 2 49" xfId="3250"/>
    <cellStyle name="60% - 강조색1 2 5" xfId="3251"/>
    <cellStyle name="60% - 강조색1 2 50" xfId="3252"/>
    <cellStyle name="60% - 강조색1 2 51" xfId="3253"/>
    <cellStyle name="60% - 강조색1 2 52" xfId="3254"/>
    <cellStyle name="60% - 강조색1 2 53" xfId="3255"/>
    <cellStyle name="60% - 강조색1 2 54" xfId="3256"/>
    <cellStyle name="60% - 강조색1 2 55" xfId="3257"/>
    <cellStyle name="60% - 강조색1 2 56" xfId="3258"/>
    <cellStyle name="60% - 강조색1 2 57" xfId="3259"/>
    <cellStyle name="60% - 강조색1 2 58" xfId="3260"/>
    <cellStyle name="60% - 강조색1 2 59" xfId="3261"/>
    <cellStyle name="60% - 강조색1 2 6" xfId="3262"/>
    <cellStyle name="60% - 강조색1 2 60" xfId="3263"/>
    <cellStyle name="60% - 강조색1 2 61" xfId="3264"/>
    <cellStyle name="60% - 강조색1 2 62" xfId="3265"/>
    <cellStyle name="60% - 강조색1 2 63" xfId="3266"/>
    <cellStyle name="60% - 강조색1 2 64" xfId="3267"/>
    <cellStyle name="60% - 강조색1 2 65" xfId="3268"/>
    <cellStyle name="60% - 강조색1 2 66" xfId="3269"/>
    <cellStyle name="60% - 강조색1 2 67" xfId="3270"/>
    <cellStyle name="60% - 강조색1 2 68" xfId="3271"/>
    <cellStyle name="60% - 강조색1 2 69" xfId="3272"/>
    <cellStyle name="60% - 강조색1 2 7" xfId="3273"/>
    <cellStyle name="60% - 강조색1 2 70" xfId="3274"/>
    <cellStyle name="60% - 강조색1 2 71" xfId="3275"/>
    <cellStyle name="60% - 강조색1 2 72" xfId="3276"/>
    <cellStyle name="60% - 강조색1 2 73" xfId="3277"/>
    <cellStyle name="60% - 강조색1 2 74" xfId="3278"/>
    <cellStyle name="60% - 강조색1 2 75" xfId="3279"/>
    <cellStyle name="60% - 강조색1 2 76" xfId="3280"/>
    <cellStyle name="60% - 강조색1 2 77" xfId="3281"/>
    <cellStyle name="60% - 강조색1 2 78" xfId="3282"/>
    <cellStyle name="60% - 강조색1 2 79" xfId="3283"/>
    <cellStyle name="60% - 강조색1 2 8" xfId="3284"/>
    <cellStyle name="60% - 강조색1 2 80" xfId="3285"/>
    <cellStyle name="60% - 강조색1 2 81" xfId="3286"/>
    <cellStyle name="60% - 강조색1 2 82" xfId="3287"/>
    <cellStyle name="60% - 강조색1 2 83" xfId="3288"/>
    <cellStyle name="60% - 강조색1 2 84" xfId="3289"/>
    <cellStyle name="60% - 강조색1 2 85" xfId="3290"/>
    <cellStyle name="60% - 강조색1 2 86" xfId="3291"/>
    <cellStyle name="60% - 강조색1 2 87" xfId="3292"/>
    <cellStyle name="60% - 강조색1 2 88" xfId="3293"/>
    <cellStyle name="60% - 강조색1 2 89" xfId="3294"/>
    <cellStyle name="60% - 강조색1 2 9" xfId="3295"/>
    <cellStyle name="60% - 강조색1 2 90" xfId="3296"/>
    <cellStyle name="60% - 강조색1 2 91" xfId="3297"/>
    <cellStyle name="60% - 강조색1 2 92" xfId="3298"/>
    <cellStyle name="60% - 강조색1 2 93" xfId="3299"/>
    <cellStyle name="60% - 강조색1 2 94" xfId="3300"/>
    <cellStyle name="60% - 강조색1 2 95" xfId="3301"/>
    <cellStyle name="60% - 강조색1 2 96" xfId="3302"/>
    <cellStyle name="60% - 강조색1 2 97" xfId="3303"/>
    <cellStyle name="60% - 강조색1 2 98" xfId="3304"/>
    <cellStyle name="60% - 강조색1 2 99" xfId="3305"/>
    <cellStyle name="60% - 강조색2 2" xfId="3306"/>
    <cellStyle name="60% - 강조색2 2 10" xfId="3307"/>
    <cellStyle name="60% - 강조색2 2 100" xfId="3308"/>
    <cellStyle name="60% - 강조색2 2 101" xfId="3309"/>
    <cellStyle name="60% - 강조색2 2 102" xfId="3310"/>
    <cellStyle name="60% - 강조색2 2 103" xfId="3311"/>
    <cellStyle name="60% - 강조색2 2 104" xfId="3312"/>
    <cellStyle name="60% - 강조색2 2 105" xfId="3313"/>
    <cellStyle name="60% - 강조색2 2 106" xfId="3314"/>
    <cellStyle name="60% - 강조색2 2 107" xfId="3315"/>
    <cellStyle name="60% - 강조색2 2 108" xfId="3316"/>
    <cellStyle name="60% - 강조색2 2 109" xfId="3317"/>
    <cellStyle name="60% - 강조색2 2 11" xfId="3318"/>
    <cellStyle name="60% - 강조색2 2 110" xfId="3319"/>
    <cellStyle name="60% - 강조색2 2 111" xfId="3320"/>
    <cellStyle name="60% - 강조색2 2 112" xfId="3321"/>
    <cellStyle name="60% - 강조색2 2 113" xfId="3322"/>
    <cellStyle name="60% - 강조색2 2 114" xfId="3323"/>
    <cellStyle name="60% - 강조색2 2 115" xfId="3324"/>
    <cellStyle name="60% - 강조색2 2 116" xfId="3325"/>
    <cellStyle name="60% - 강조색2 2 117" xfId="3326"/>
    <cellStyle name="60% - 강조색2 2 118" xfId="3327"/>
    <cellStyle name="60% - 강조색2 2 119" xfId="3328"/>
    <cellStyle name="60% - 강조색2 2 12" xfId="3329"/>
    <cellStyle name="60% - 강조색2 2 120" xfId="3330"/>
    <cellStyle name="60% - 강조색2 2 121" xfId="3331"/>
    <cellStyle name="60% - 강조색2 2 122" xfId="3332"/>
    <cellStyle name="60% - 강조색2 2 123" xfId="3333"/>
    <cellStyle name="60% - 강조색2 2 124" xfId="3334"/>
    <cellStyle name="60% - 강조색2 2 125" xfId="3335"/>
    <cellStyle name="60% - 강조색2 2 126" xfId="3336"/>
    <cellStyle name="60% - 강조색2 2 127" xfId="3337"/>
    <cellStyle name="60% - 강조색2 2 128" xfId="3338"/>
    <cellStyle name="60% - 강조색2 2 129" xfId="3339"/>
    <cellStyle name="60% - 강조색2 2 13" xfId="3340"/>
    <cellStyle name="60% - 강조색2 2 130" xfId="3341"/>
    <cellStyle name="60% - 강조색2 2 131" xfId="3342"/>
    <cellStyle name="60% - 강조색2 2 132" xfId="3343"/>
    <cellStyle name="60% - 강조색2 2 133" xfId="3344"/>
    <cellStyle name="60% - 강조색2 2 134" xfId="3345"/>
    <cellStyle name="60% - 강조색2 2 135" xfId="3346"/>
    <cellStyle name="60% - 강조색2 2 136" xfId="3347"/>
    <cellStyle name="60% - 강조색2 2 137" xfId="3348"/>
    <cellStyle name="60% - 강조색2 2 138" xfId="3349"/>
    <cellStyle name="60% - 강조색2 2 139" xfId="3350"/>
    <cellStyle name="60% - 강조색2 2 14" xfId="3351"/>
    <cellStyle name="60% - 강조색2 2 140" xfId="3352"/>
    <cellStyle name="60% - 강조색2 2 141" xfId="3353"/>
    <cellStyle name="60% - 강조색2 2 142" xfId="3354"/>
    <cellStyle name="60% - 강조색2 2 143" xfId="3355"/>
    <cellStyle name="60% - 강조색2 2 144" xfId="3356"/>
    <cellStyle name="60% - 강조색2 2 145" xfId="3357"/>
    <cellStyle name="60% - 강조색2 2 146" xfId="3358"/>
    <cellStyle name="60% - 강조색2 2 147" xfId="3359"/>
    <cellStyle name="60% - 강조색2 2 148" xfId="3360"/>
    <cellStyle name="60% - 강조색2 2 149" xfId="3361"/>
    <cellStyle name="60% - 강조색2 2 15" xfId="3362"/>
    <cellStyle name="60% - 강조색2 2 150" xfId="3363"/>
    <cellStyle name="60% - 강조색2 2 151" xfId="3364"/>
    <cellStyle name="60% - 강조색2 2 152" xfId="3365"/>
    <cellStyle name="60% - 강조색2 2 153" xfId="3366"/>
    <cellStyle name="60% - 강조색2 2 154" xfId="3367"/>
    <cellStyle name="60% - 강조색2 2 155" xfId="3368"/>
    <cellStyle name="60% - 강조색2 2 156" xfId="3369"/>
    <cellStyle name="60% - 강조색2 2 157" xfId="3370"/>
    <cellStyle name="60% - 강조색2 2 158" xfId="3371"/>
    <cellStyle name="60% - 강조색2 2 159" xfId="3372"/>
    <cellStyle name="60% - 강조색2 2 16" xfId="3373"/>
    <cellStyle name="60% - 강조색2 2 160" xfId="3374"/>
    <cellStyle name="60% - 강조색2 2 161" xfId="3375"/>
    <cellStyle name="60% - 강조색2 2 162" xfId="3376"/>
    <cellStyle name="60% - 강조색2 2 163" xfId="3377"/>
    <cellStyle name="60% - 강조색2 2 164" xfId="3378"/>
    <cellStyle name="60% - 강조색2 2 165" xfId="3379"/>
    <cellStyle name="60% - 강조색2 2 166" xfId="3380"/>
    <cellStyle name="60% - 강조색2 2 167" xfId="3381"/>
    <cellStyle name="60% - 강조색2 2 168" xfId="3382"/>
    <cellStyle name="60% - 강조색2 2 169" xfId="3383"/>
    <cellStyle name="60% - 강조색2 2 17" xfId="3384"/>
    <cellStyle name="60% - 강조색2 2 170" xfId="3385"/>
    <cellStyle name="60% - 강조색2 2 171" xfId="3386"/>
    <cellStyle name="60% - 강조색2 2 172" xfId="3387"/>
    <cellStyle name="60% - 강조색2 2 173" xfId="3388"/>
    <cellStyle name="60% - 강조색2 2 174" xfId="3389"/>
    <cellStyle name="60% - 강조색2 2 175" xfId="3390"/>
    <cellStyle name="60% - 강조색2 2 176" xfId="3391"/>
    <cellStyle name="60% - 강조색2 2 177" xfId="3392"/>
    <cellStyle name="60% - 강조색2 2 178" xfId="3393"/>
    <cellStyle name="60% - 강조색2 2 179" xfId="3394"/>
    <cellStyle name="60% - 강조색2 2 18" xfId="3395"/>
    <cellStyle name="60% - 강조색2 2 180" xfId="3396"/>
    <cellStyle name="60% - 강조색2 2 181" xfId="3397"/>
    <cellStyle name="60% - 강조색2 2 182" xfId="3398"/>
    <cellStyle name="60% - 강조색2 2 183" xfId="3399"/>
    <cellStyle name="60% - 강조색2 2 184" xfId="3400"/>
    <cellStyle name="60% - 강조색2 2 185" xfId="3401"/>
    <cellStyle name="60% - 강조색2 2 186" xfId="3402"/>
    <cellStyle name="60% - 강조색2 2 187" xfId="3403"/>
    <cellStyle name="60% - 강조색2 2 188" xfId="3404"/>
    <cellStyle name="60% - 강조색2 2 189" xfId="3405"/>
    <cellStyle name="60% - 강조색2 2 19" xfId="3406"/>
    <cellStyle name="60% - 강조색2 2 190" xfId="3407"/>
    <cellStyle name="60% - 강조색2 2 191" xfId="3408"/>
    <cellStyle name="60% - 강조색2 2 192" xfId="3409"/>
    <cellStyle name="60% - 강조색2 2 193" xfId="3410"/>
    <cellStyle name="60% - 강조색2 2 194" xfId="3411"/>
    <cellStyle name="60% - 강조색2 2 195" xfId="3412"/>
    <cellStyle name="60% - 강조색2 2 196" xfId="3413"/>
    <cellStyle name="60% - 강조색2 2 197" xfId="3414"/>
    <cellStyle name="60% - 강조색2 2 198" xfId="3415"/>
    <cellStyle name="60% - 강조색2 2 199" xfId="3416"/>
    <cellStyle name="60% - 강조색2 2 2" xfId="3417"/>
    <cellStyle name="60% - 강조색2 2 20" xfId="3418"/>
    <cellStyle name="60% - 강조색2 2 200" xfId="3419"/>
    <cellStyle name="60% - 강조색2 2 201" xfId="3420"/>
    <cellStyle name="60% - 강조색2 2 202" xfId="3421"/>
    <cellStyle name="60% - 강조색2 2 203" xfId="3422"/>
    <cellStyle name="60% - 강조색2 2 204" xfId="3423"/>
    <cellStyle name="60% - 강조색2 2 205" xfId="3424"/>
    <cellStyle name="60% - 강조색2 2 206" xfId="3425"/>
    <cellStyle name="60% - 강조색2 2 207" xfId="3426"/>
    <cellStyle name="60% - 강조색2 2 208" xfId="3427"/>
    <cellStyle name="60% - 강조색2 2 209" xfId="3428"/>
    <cellStyle name="60% - 강조색2 2 21" xfId="3429"/>
    <cellStyle name="60% - 강조색2 2 210" xfId="3430"/>
    <cellStyle name="60% - 강조색2 2 211" xfId="3431"/>
    <cellStyle name="60% - 강조색2 2 212" xfId="3432"/>
    <cellStyle name="60% - 강조색2 2 213" xfId="3433"/>
    <cellStyle name="60% - 강조색2 2 214" xfId="3434"/>
    <cellStyle name="60% - 강조색2 2 215" xfId="3435"/>
    <cellStyle name="60% - 강조색2 2 216" xfId="3436"/>
    <cellStyle name="60% - 강조색2 2 217" xfId="3437"/>
    <cellStyle name="60% - 강조색2 2 218" xfId="3438"/>
    <cellStyle name="60% - 강조색2 2 219" xfId="3439"/>
    <cellStyle name="60% - 강조색2 2 22" xfId="3440"/>
    <cellStyle name="60% - 강조색2 2 220" xfId="3441"/>
    <cellStyle name="60% - 강조색2 2 221" xfId="3442"/>
    <cellStyle name="60% - 강조색2 2 222" xfId="3443"/>
    <cellStyle name="60% - 강조색2 2 223" xfId="3444"/>
    <cellStyle name="60% - 강조색2 2 224" xfId="3445"/>
    <cellStyle name="60% - 강조색2 2 225" xfId="3446"/>
    <cellStyle name="60% - 강조색2 2 226" xfId="3447"/>
    <cellStyle name="60% - 강조색2 2 227" xfId="3448"/>
    <cellStyle name="60% - 강조색2 2 228" xfId="3449"/>
    <cellStyle name="60% - 강조색2 2 229" xfId="3450"/>
    <cellStyle name="60% - 강조색2 2 23" xfId="3451"/>
    <cellStyle name="60% - 강조색2 2 230" xfId="3452"/>
    <cellStyle name="60% - 강조색2 2 231" xfId="3453"/>
    <cellStyle name="60% - 강조색2 2 232" xfId="3454"/>
    <cellStyle name="60% - 강조색2 2 233" xfId="3455"/>
    <cellStyle name="60% - 강조색2 2 234" xfId="3456"/>
    <cellStyle name="60% - 강조색2 2 235" xfId="3457"/>
    <cellStyle name="60% - 강조색2 2 236" xfId="3458"/>
    <cellStyle name="60% - 강조색2 2 237" xfId="3459"/>
    <cellStyle name="60% - 강조색2 2 238" xfId="3460"/>
    <cellStyle name="60% - 강조색2 2 239" xfId="3461"/>
    <cellStyle name="60% - 강조색2 2 24" xfId="3462"/>
    <cellStyle name="60% - 강조색2 2 240" xfId="3463"/>
    <cellStyle name="60% - 강조색2 2 241" xfId="3464"/>
    <cellStyle name="60% - 강조색2 2 25" xfId="3465"/>
    <cellStyle name="60% - 강조색2 2 26" xfId="3466"/>
    <cellStyle name="60% - 강조색2 2 27" xfId="3467"/>
    <cellStyle name="60% - 강조색2 2 28" xfId="3468"/>
    <cellStyle name="60% - 강조색2 2 29" xfId="3469"/>
    <cellStyle name="60% - 강조색2 2 3" xfId="3470"/>
    <cellStyle name="60% - 강조색2 2 30" xfId="3471"/>
    <cellStyle name="60% - 강조색2 2 31" xfId="3472"/>
    <cellStyle name="60% - 강조색2 2 32" xfId="3473"/>
    <cellStyle name="60% - 강조색2 2 33" xfId="3474"/>
    <cellStyle name="60% - 강조색2 2 34" xfId="3475"/>
    <cellStyle name="60% - 강조색2 2 35" xfId="3476"/>
    <cellStyle name="60% - 강조색2 2 36" xfId="3477"/>
    <cellStyle name="60% - 강조색2 2 37" xfId="3478"/>
    <cellStyle name="60% - 강조색2 2 38" xfId="3479"/>
    <cellStyle name="60% - 강조색2 2 39" xfId="3480"/>
    <cellStyle name="60% - 강조색2 2 4" xfId="3481"/>
    <cellStyle name="60% - 강조색2 2 40" xfId="3482"/>
    <cellStyle name="60% - 강조색2 2 41" xfId="3483"/>
    <cellStyle name="60% - 강조색2 2 42" xfId="3484"/>
    <cellStyle name="60% - 강조색2 2 43" xfId="3485"/>
    <cellStyle name="60% - 강조색2 2 44" xfId="3486"/>
    <cellStyle name="60% - 강조색2 2 45" xfId="3487"/>
    <cellStyle name="60% - 강조색2 2 46" xfId="3488"/>
    <cellStyle name="60% - 강조색2 2 47" xfId="3489"/>
    <cellStyle name="60% - 강조색2 2 48" xfId="3490"/>
    <cellStyle name="60% - 강조색2 2 49" xfId="3491"/>
    <cellStyle name="60% - 강조색2 2 5" xfId="3492"/>
    <cellStyle name="60% - 강조색2 2 50" xfId="3493"/>
    <cellStyle name="60% - 강조색2 2 51" xfId="3494"/>
    <cellStyle name="60% - 강조색2 2 52" xfId="3495"/>
    <cellStyle name="60% - 강조색2 2 53" xfId="3496"/>
    <cellStyle name="60% - 강조색2 2 54" xfId="3497"/>
    <cellStyle name="60% - 강조색2 2 55" xfId="3498"/>
    <cellStyle name="60% - 강조색2 2 56" xfId="3499"/>
    <cellStyle name="60% - 강조색2 2 57" xfId="3500"/>
    <cellStyle name="60% - 강조색2 2 58" xfId="3501"/>
    <cellStyle name="60% - 강조색2 2 59" xfId="3502"/>
    <cellStyle name="60% - 강조색2 2 6" xfId="3503"/>
    <cellStyle name="60% - 강조색2 2 60" xfId="3504"/>
    <cellStyle name="60% - 강조색2 2 61" xfId="3505"/>
    <cellStyle name="60% - 강조색2 2 62" xfId="3506"/>
    <cellStyle name="60% - 강조색2 2 63" xfId="3507"/>
    <cellStyle name="60% - 강조색2 2 64" xfId="3508"/>
    <cellStyle name="60% - 강조색2 2 65" xfId="3509"/>
    <cellStyle name="60% - 강조색2 2 66" xfId="3510"/>
    <cellStyle name="60% - 강조색2 2 67" xfId="3511"/>
    <cellStyle name="60% - 강조색2 2 68" xfId="3512"/>
    <cellStyle name="60% - 강조색2 2 69" xfId="3513"/>
    <cellStyle name="60% - 강조색2 2 7" xfId="3514"/>
    <cellStyle name="60% - 강조색2 2 70" xfId="3515"/>
    <cellStyle name="60% - 강조색2 2 71" xfId="3516"/>
    <cellStyle name="60% - 강조색2 2 72" xfId="3517"/>
    <cellStyle name="60% - 강조색2 2 73" xfId="3518"/>
    <cellStyle name="60% - 강조색2 2 74" xfId="3519"/>
    <cellStyle name="60% - 강조색2 2 75" xfId="3520"/>
    <cellStyle name="60% - 강조색2 2 76" xfId="3521"/>
    <cellStyle name="60% - 강조색2 2 77" xfId="3522"/>
    <cellStyle name="60% - 강조색2 2 78" xfId="3523"/>
    <cellStyle name="60% - 강조색2 2 79" xfId="3524"/>
    <cellStyle name="60% - 강조색2 2 8" xfId="3525"/>
    <cellStyle name="60% - 강조색2 2 80" xfId="3526"/>
    <cellStyle name="60% - 강조색2 2 81" xfId="3527"/>
    <cellStyle name="60% - 강조색2 2 82" xfId="3528"/>
    <cellStyle name="60% - 강조색2 2 83" xfId="3529"/>
    <cellStyle name="60% - 강조색2 2 84" xfId="3530"/>
    <cellStyle name="60% - 강조색2 2 85" xfId="3531"/>
    <cellStyle name="60% - 강조색2 2 86" xfId="3532"/>
    <cellStyle name="60% - 강조색2 2 87" xfId="3533"/>
    <cellStyle name="60% - 강조색2 2 88" xfId="3534"/>
    <cellStyle name="60% - 강조색2 2 89" xfId="3535"/>
    <cellStyle name="60% - 강조색2 2 9" xfId="3536"/>
    <cellStyle name="60% - 강조색2 2 90" xfId="3537"/>
    <cellStyle name="60% - 강조색2 2 91" xfId="3538"/>
    <cellStyle name="60% - 강조색2 2 92" xfId="3539"/>
    <cellStyle name="60% - 강조색2 2 93" xfId="3540"/>
    <cellStyle name="60% - 강조색2 2 94" xfId="3541"/>
    <cellStyle name="60% - 강조색2 2 95" xfId="3542"/>
    <cellStyle name="60% - 강조색2 2 96" xfId="3543"/>
    <cellStyle name="60% - 강조색2 2 97" xfId="3544"/>
    <cellStyle name="60% - 강조색2 2 98" xfId="3545"/>
    <cellStyle name="60% - 강조색2 2 99" xfId="3546"/>
    <cellStyle name="60% - 강조색3 2" xfId="3547"/>
    <cellStyle name="60% - 강조색3 2 10" xfId="3548"/>
    <cellStyle name="60% - 강조색3 2 100" xfId="3549"/>
    <cellStyle name="60% - 강조색3 2 101" xfId="3550"/>
    <cellStyle name="60% - 강조색3 2 102" xfId="3551"/>
    <cellStyle name="60% - 강조색3 2 103" xfId="3552"/>
    <cellStyle name="60% - 강조색3 2 104" xfId="3553"/>
    <cellStyle name="60% - 강조색3 2 105" xfId="3554"/>
    <cellStyle name="60% - 강조색3 2 106" xfId="3555"/>
    <cellStyle name="60% - 강조색3 2 107" xfId="3556"/>
    <cellStyle name="60% - 강조색3 2 108" xfId="3557"/>
    <cellStyle name="60% - 강조색3 2 109" xfId="3558"/>
    <cellStyle name="60% - 강조색3 2 11" xfId="3559"/>
    <cellStyle name="60% - 강조색3 2 110" xfId="3560"/>
    <cellStyle name="60% - 강조색3 2 111" xfId="3561"/>
    <cellStyle name="60% - 강조색3 2 112" xfId="3562"/>
    <cellStyle name="60% - 강조색3 2 113" xfId="3563"/>
    <cellStyle name="60% - 강조색3 2 114" xfId="3564"/>
    <cellStyle name="60% - 강조색3 2 115" xfId="3565"/>
    <cellStyle name="60% - 강조색3 2 116" xfId="3566"/>
    <cellStyle name="60% - 강조색3 2 117" xfId="3567"/>
    <cellStyle name="60% - 강조색3 2 118" xfId="3568"/>
    <cellStyle name="60% - 강조색3 2 119" xfId="3569"/>
    <cellStyle name="60% - 강조색3 2 12" xfId="3570"/>
    <cellStyle name="60% - 강조색3 2 120" xfId="3571"/>
    <cellStyle name="60% - 강조색3 2 121" xfId="3572"/>
    <cellStyle name="60% - 강조색3 2 122" xfId="3573"/>
    <cellStyle name="60% - 강조색3 2 123" xfId="3574"/>
    <cellStyle name="60% - 강조색3 2 124" xfId="3575"/>
    <cellStyle name="60% - 강조색3 2 125" xfId="3576"/>
    <cellStyle name="60% - 강조색3 2 126" xfId="3577"/>
    <cellStyle name="60% - 강조색3 2 127" xfId="3578"/>
    <cellStyle name="60% - 강조색3 2 128" xfId="3579"/>
    <cellStyle name="60% - 강조색3 2 129" xfId="3580"/>
    <cellStyle name="60% - 강조색3 2 13" xfId="3581"/>
    <cellStyle name="60% - 강조색3 2 130" xfId="3582"/>
    <cellStyle name="60% - 강조색3 2 131" xfId="3583"/>
    <cellStyle name="60% - 강조색3 2 132" xfId="3584"/>
    <cellStyle name="60% - 강조색3 2 133" xfId="3585"/>
    <cellStyle name="60% - 강조색3 2 134" xfId="3586"/>
    <cellStyle name="60% - 강조색3 2 135" xfId="3587"/>
    <cellStyle name="60% - 강조색3 2 136" xfId="3588"/>
    <cellStyle name="60% - 강조색3 2 137" xfId="3589"/>
    <cellStyle name="60% - 강조색3 2 138" xfId="3590"/>
    <cellStyle name="60% - 강조색3 2 139" xfId="3591"/>
    <cellStyle name="60% - 강조색3 2 14" xfId="3592"/>
    <cellStyle name="60% - 강조색3 2 140" xfId="3593"/>
    <cellStyle name="60% - 강조색3 2 141" xfId="3594"/>
    <cellStyle name="60% - 강조색3 2 142" xfId="3595"/>
    <cellStyle name="60% - 강조색3 2 143" xfId="3596"/>
    <cellStyle name="60% - 강조색3 2 144" xfId="3597"/>
    <cellStyle name="60% - 강조색3 2 145" xfId="3598"/>
    <cellStyle name="60% - 강조색3 2 146" xfId="3599"/>
    <cellStyle name="60% - 강조색3 2 147" xfId="3600"/>
    <cellStyle name="60% - 강조색3 2 148" xfId="3601"/>
    <cellStyle name="60% - 강조색3 2 149" xfId="3602"/>
    <cellStyle name="60% - 강조색3 2 15" xfId="3603"/>
    <cellStyle name="60% - 강조색3 2 150" xfId="3604"/>
    <cellStyle name="60% - 강조색3 2 151" xfId="3605"/>
    <cellStyle name="60% - 강조색3 2 152" xfId="3606"/>
    <cellStyle name="60% - 강조색3 2 153" xfId="3607"/>
    <cellStyle name="60% - 강조색3 2 154" xfId="3608"/>
    <cellStyle name="60% - 강조색3 2 155" xfId="3609"/>
    <cellStyle name="60% - 강조색3 2 156" xfId="3610"/>
    <cellStyle name="60% - 강조색3 2 157" xfId="3611"/>
    <cellStyle name="60% - 강조색3 2 158" xfId="3612"/>
    <cellStyle name="60% - 강조색3 2 159" xfId="3613"/>
    <cellStyle name="60% - 강조색3 2 16" xfId="3614"/>
    <cellStyle name="60% - 강조색3 2 160" xfId="3615"/>
    <cellStyle name="60% - 강조색3 2 161" xfId="3616"/>
    <cellStyle name="60% - 강조색3 2 162" xfId="3617"/>
    <cellStyle name="60% - 강조색3 2 163" xfId="3618"/>
    <cellStyle name="60% - 강조색3 2 164" xfId="3619"/>
    <cellStyle name="60% - 강조색3 2 165" xfId="3620"/>
    <cellStyle name="60% - 강조색3 2 166" xfId="3621"/>
    <cellStyle name="60% - 강조색3 2 167" xfId="3622"/>
    <cellStyle name="60% - 강조색3 2 168" xfId="3623"/>
    <cellStyle name="60% - 강조색3 2 169" xfId="3624"/>
    <cellStyle name="60% - 강조색3 2 17" xfId="3625"/>
    <cellStyle name="60% - 강조색3 2 170" xfId="3626"/>
    <cellStyle name="60% - 강조색3 2 171" xfId="3627"/>
    <cellStyle name="60% - 강조색3 2 172" xfId="3628"/>
    <cellStyle name="60% - 강조색3 2 173" xfId="3629"/>
    <cellStyle name="60% - 강조색3 2 174" xfId="3630"/>
    <cellStyle name="60% - 강조색3 2 175" xfId="3631"/>
    <cellStyle name="60% - 강조색3 2 176" xfId="3632"/>
    <cellStyle name="60% - 강조색3 2 177" xfId="3633"/>
    <cellStyle name="60% - 강조색3 2 178" xfId="3634"/>
    <cellStyle name="60% - 강조색3 2 179" xfId="3635"/>
    <cellStyle name="60% - 강조색3 2 18" xfId="3636"/>
    <cellStyle name="60% - 강조색3 2 180" xfId="3637"/>
    <cellStyle name="60% - 강조색3 2 181" xfId="3638"/>
    <cellStyle name="60% - 강조색3 2 182" xfId="3639"/>
    <cellStyle name="60% - 강조색3 2 183" xfId="3640"/>
    <cellStyle name="60% - 강조색3 2 184" xfId="3641"/>
    <cellStyle name="60% - 강조색3 2 185" xfId="3642"/>
    <cellStyle name="60% - 강조색3 2 186" xfId="3643"/>
    <cellStyle name="60% - 강조색3 2 187" xfId="3644"/>
    <cellStyle name="60% - 강조색3 2 188" xfId="3645"/>
    <cellStyle name="60% - 강조색3 2 189" xfId="3646"/>
    <cellStyle name="60% - 강조색3 2 19" xfId="3647"/>
    <cellStyle name="60% - 강조색3 2 190" xfId="3648"/>
    <cellStyle name="60% - 강조색3 2 191" xfId="3649"/>
    <cellStyle name="60% - 강조색3 2 192" xfId="3650"/>
    <cellStyle name="60% - 강조색3 2 193" xfId="3651"/>
    <cellStyle name="60% - 강조색3 2 194" xfId="3652"/>
    <cellStyle name="60% - 강조색3 2 195" xfId="3653"/>
    <cellStyle name="60% - 강조색3 2 196" xfId="3654"/>
    <cellStyle name="60% - 강조색3 2 197" xfId="3655"/>
    <cellStyle name="60% - 강조색3 2 198" xfId="3656"/>
    <cellStyle name="60% - 강조색3 2 199" xfId="3657"/>
    <cellStyle name="60% - 강조색3 2 2" xfId="3658"/>
    <cellStyle name="60% - 강조색3 2 20" xfId="3659"/>
    <cellStyle name="60% - 강조색3 2 200" xfId="3660"/>
    <cellStyle name="60% - 강조색3 2 201" xfId="3661"/>
    <cellStyle name="60% - 강조색3 2 202" xfId="3662"/>
    <cellStyle name="60% - 강조색3 2 203" xfId="3663"/>
    <cellStyle name="60% - 강조색3 2 204" xfId="3664"/>
    <cellStyle name="60% - 강조색3 2 205" xfId="3665"/>
    <cellStyle name="60% - 강조색3 2 206" xfId="3666"/>
    <cellStyle name="60% - 강조색3 2 207" xfId="3667"/>
    <cellStyle name="60% - 강조색3 2 208" xfId="3668"/>
    <cellStyle name="60% - 강조색3 2 209" xfId="3669"/>
    <cellStyle name="60% - 강조색3 2 21" xfId="3670"/>
    <cellStyle name="60% - 강조색3 2 210" xfId="3671"/>
    <cellStyle name="60% - 강조색3 2 211" xfId="3672"/>
    <cellStyle name="60% - 강조색3 2 212" xfId="3673"/>
    <cellStyle name="60% - 강조색3 2 213" xfId="3674"/>
    <cellStyle name="60% - 강조색3 2 214" xfId="3675"/>
    <cellStyle name="60% - 강조색3 2 215" xfId="3676"/>
    <cellStyle name="60% - 강조색3 2 216" xfId="3677"/>
    <cellStyle name="60% - 강조색3 2 217" xfId="3678"/>
    <cellStyle name="60% - 강조색3 2 218" xfId="3679"/>
    <cellStyle name="60% - 강조색3 2 219" xfId="3680"/>
    <cellStyle name="60% - 강조색3 2 22" xfId="3681"/>
    <cellStyle name="60% - 강조색3 2 220" xfId="3682"/>
    <cellStyle name="60% - 강조색3 2 221" xfId="3683"/>
    <cellStyle name="60% - 강조색3 2 222" xfId="3684"/>
    <cellStyle name="60% - 강조색3 2 223" xfId="3685"/>
    <cellStyle name="60% - 강조색3 2 224" xfId="3686"/>
    <cellStyle name="60% - 강조색3 2 225" xfId="3687"/>
    <cellStyle name="60% - 강조색3 2 226" xfId="3688"/>
    <cellStyle name="60% - 강조색3 2 227" xfId="3689"/>
    <cellStyle name="60% - 강조색3 2 228" xfId="3690"/>
    <cellStyle name="60% - 강조색3 2 229" xfId="3691"/>
    <cellStyle name="60% - 강조색3 2 23" xfId="3692"/>
    <cellStyle name="60% - 강조색3 2 230" xfId="3693"/>
    <cellStyle name="60% - 강조색3 2 231" xfId="3694"/>
    <cellStyle name="60% - 강조색3 2 232" xfId="3695"/>
    <cellStyle name="60% - 강조색3 2 233" xfId="3696"/>
    <cellStyle name="60% - 강조색3 2 234" xfId="3697"/>
    <cellStyle name="60% - 강조색3 2 235" xfId="3698"/>
    <cellStyle name="60% - 강조색3 2 236" xfId="3699"/>
    <cellStyle name="60% - 강조색3 2 237" xfId="3700"/>
    <cellStyle name="60% - 강조색3 2 238" xfId="3701"/>
    <cellStyle name="60% - 강조색3 2 239" xfId="3702"/>
    <cellStyle name="60% - 강조색3 2 24" xfId="3703"/>
    <cellStyle name="60% - 강조색3 2 240" xfId="3704"/>
    <cellStyle name="60% - 강조색3 2 241" xfId="3705"/>
    <cellStyle name="60% - 강조색3 2 25" xfId="3706"/>
    <cellStyle name="60% - 강조색3 2 26" xfId="3707"/>
    <cellStyle name="60% - 강조색3 2 27" xfId="3708"/>
    <cellStyle name="60% - 강조색3 2 28" xfId="3709"/>
    <cellStyle name="60% - 강조색3 2 29" xfId="3710"/>
    <cellStyle name="60% - 강조색3 2 3" xfId="3711"/>
    <cellStyle name="60% - 강조색3 2 30" xfId="3712"/>
    <cellStyle name="60% - 강조색3 2 31" xfId="3713"/>
    <cellStyle name="60% - 강조색3 2 32" xfId="3714"/>
    <cellStyle name="60% - 강조색3 2 33" xfId="3715"/>
    <cellStyle name="60% - 강조색3 2 34" xfId="3716"/>
    <cellStyle name="60% - 강조색3 2 35" xfId="3717"/>
    <cellStyle name="60% - 강조색3 2 36" xfId="3718"/>
    <cellStyle name="60% - 강조색3 2 37" xfId="3719"/>
    <cellStyle name="60% - 강조색3 2 38" xfId="3720"/>
    <cellStyle name="60% - 강조색3 2 39" xfId="3721"/>
    <cellStyle name="60% - 강조색3 2 4" xfId="3722"/>
    <cellStyle name="60% - 강조색3 2 40" xfId="3723"/>
    <cellStyle name="60% - 강조색3 2 41" xfId="3724"/>
    <cellStyle name="60% - 강조색3 2 42" xfId="3725"/>
    <cellStyle name="60% - 강조색3 2 43" xfId="3726"/>
    <cellStyle name="60% - 강조색3 2 44" xfId="3727"/>
    <cellStyle name="60% - 강조색3 2 45" xfId="3728"/>
    <cellStyle name="60% - 강조색3 2 46" xfId="3729"/>
    <cellStyle name="60% - 강조색3 2 47" xfId="3730"/>
    <cellStyle name="60% - 강조색3 2 48" xfId="3731"/>
    <cellStyle name="60% - 강조색3 2 49" xfId="3732"/>
    <cellStyle name="60% - 강조색3 2 5" xfId="3733"/>
    <cellStyle name="60% - 강조색3 2 50" xfId="3734"/>
    <cellStyle name="60% - 강조색3 2 51" xfId="3735"/>
    <cellStyle name="60% - 강조색3 2 52" xfId="3736"/>
    <cellStyle name="60% - 강조색3 2 53" xfId="3737"/>
    <cellStyle name="60% - 강조색3 2 54" xfId="3738"/>
    <cellStyle name="60% - 강조색3 2 55" xfId="3739"/>
    <cellStyle name="60% - 강조색3 2 56" xfId="3740"/>
    <cellStyle name="60% - 강조색3 2 57" xfId="3741"/>
    <cellStyle name="60% - 강조색3 2 58" xfId="3742"/>
    <cellStyle name="60% - 강조색3 2 59" xfId="3743"/>
    <cellStyle name="60% - 강조색3 2 6" xfId="3744"/>
    <cellStyle name="60% - 강조색3 2 60" xfId="3745"/>
    <cellStyle name="60% - 강조색3 2 61" xfId="3746"/>
    <cellStyle name="60% - 강조색3 2 62" xfId="3747"/>
    <cellStyle name="60% - 강조색3 2 63" xfId="3748"/>
    <cellStyle name="60% - 강조색3 2 64" xfId="3749"/>
    <cellStyle name="60% - 강조색3 2 65" xfId="3750"/>
    <cellStyle name="60% - 강조색3 2 66" xfId="3751"/>
    <cellStyle name="60% - 강조색3 2 67" xfId="3752"/>
    <cellStyle name="60% - 강조색3 2 68" xfId="3753"/>
    <cellStyle name="60% - 강조색3 2 69" xfId="3754"/>
    <cellStyle name="60% - 강조색3 2 7" xfId="3755"/>
    <cellStyle name="60% - 강조색3 2 70" xfId="3756"/>
    <cellStyle name="60% - 강조색3 2 71" xfId="3757"/>
    <cellStyle name="60% - 강조색3 2 72" xfId="3758"/>
    <cellStyle name="60% - 강조색3 2 73" xfId="3759"/>
    <cellStyle name="60% - 강조색3 2 74" xfId="3760"/>
    <cellStyle name="60% - 강조색3 2 75" xfId="3761"/>
    <cellStyle name="60% - 강조색3 2 76" xfId="3762"/>
    <cellStyle name="60% - 강조색3 2 77" xfId="3763"/>
    <cellStyle name="60% - 강조색3 2 78" xfId="3764"/>
    <cellStyle name="60% - 강조색3 2 79" xfId="3765"/>
    <cellStyle name="60% - 강조색3 2 8" xfId="3766"/>
    <cellStyle name="60% - 강조색3 2 80" xfId="3767"/>
    <cellStyle name="60% - 강조색3 2 81" xfId="3768"/>
    <cellStyle name="60% - 강조색3 2 82" xfId="3769"/>
    <cellStyle name="60% - 강조색3 2 83" xfId="3770"/>
    <cellStyle name="60% - 강조색3 2 84" xfId="3771"/>
    <cellStyle name="60% - 강조색3 2 85" xfId="3772"/>
    <cellStyle name="60% - 강조색3 2 86" xfId="3773"/>
    <cellStyle name="60% - 강조색3 2 87" xfId="3774"/>
    <cellStyle name="60% - 강조색3 2 88" xfId="3775"/>
    <cellStyle name="60% - 강조색3 2 89" xfId="3776"/>
    <cellStyle name="60% - 강조색3 2 9" xfId="3777"/>
    <cellStyle name="60% - 강조색3 2 90" xfId="3778"/>
    <cellStyle name="60% - 강조색3 2 91" xfId="3779"/>
    <cellStyle name="60% - 강조색3 2 92" xfId="3780"/>
    <cellStyle name="60% - 강조색3 2 93" xfId="3781"/>
    <cellStyle name="60% - 강조색3 2 94" xfId="3782"/>
    <cellStyle name="60% - 강조색3 2 95" xfId="3783"/>
    <cellStyle name="60% - 강조색3 2 96" xfId="3784"/>
    <cellStyle name="60% - 강조색3 2 97" xfId="3785"/>
    <cellStyle name="60% - 강조색3 2 98" xfId="3786"/>
    <cellStyle name="60% - 강조색3 2 99" xfId="3787"/>
    <cellStyle name="60% - 강조색4 2" xfId="3788"/>
    <cellStyle name="60% - 강조색4 2 10" xfId="3789"/>
    <cellStyle name="60% - 강조색4 2 100" xfId="3790"/>
    <cellStyle name="60% - 강조색4 2 101" xfId="3791"/>
    <cellStyle name="60% - 강조색4 2 102" xfId="3792"/>
    <cellStyle name="60% - 강조색4 2 103" xfId="3793"/>
    <cellStyle name="60% - 강조색4 2 104" xfId="3794"/>
    <cellStyle name="60% - 강조색4 2 105" xfId="3795"/>
    <cellStyle name="60% - 강조색4 2 106" xfId="3796"/>
    <cellStyle name="60% - 강조색4 2 107" xfId="3797"/>
    <cellStyle name="60% - 강조색4 2 108" xfId="3798"/>
    <cellStyle name="60% - 강조색4 2 109" xfId="3799"/>
    <cellStyle name="60% - 강조색4 2 11" xfId="3800"/>
    <cellStyle name="60% - 강조색4 2 110" xfId="3801"/>
    <cellStyle name="60% - 강조색4 2 111" xfId="3802"/>
    <cellStyle name="60% - 강조색4 2 112" xfId="3803"/>
    <cellStyle name="60% - 강조색4 2 113" xfId="3804"/>
    <cellStyle name="60% - 강조색4 2 114" xfId="3805"/>
    <cellStyle name="60% - 강조색4 2 115" xfId="3806"/>
    <cellStyle name="60% - 강조색4 2 116" xfId="3807"/>
    <cellStyle name="60% - 강조색4 2 117" xfId="3808"/>
    <cellStyle name="60% - 강조색4 2 118" xfId="3809"/>
    <cellStyle name="60% - 강조색4 2 119" xfId="3810"/>
    <cellStyle name="60% - 강조색4 2 12" xfId="3811"/>
    <cellStyle name="60% - 강조색4 2 120" xfId="3812"/>
    <cellStyle name="60% - 강조색4 2 121" xfId="3813"/>
    <cellStyle name="60% - 강조색4 2 122" xfId="3814"/>
    <cellStyle name="60% - 강조색4 2 123" xfId="3815"/>
    <cellStyle name="60% - 강조색4 2 124" xfId="3816"/>
    <cellStyle name="60% - 강조색4 2 125" xfId="3817"/>
    <cellStyle name="60% - 강조색4 2 126" xfId="3818"/>
    <cellStyle name="60% - 강조색4 2 127" xfId="3819"/>
    <cellStyle name="60% - 강조색4 2 128" xfId="3820"/>
    <cellStyle name="60% - 강조색4 2 129" xfId="3821"/>
    <cellStyle name="60% - 강조색4 2 13" xfId="3822"/>
    <cellStyle name="60% - 강조색4 2 130" xfId="3823"/>
    <cellStyle name="60% - 강조색4 2 131" xfId="3824"/>
    <cellStyle name="60% - 강조색4 2 132" xfId="3825"/>
    <cellStyle name="60% - 강조색4 2 133" xfId="3826"/>
    <cellStyle name="60% - 강조색4 2 134" xfId="3827"/>
    <cellStyle name="60% - 강조색4 2 135" xfId="3828"/>
    <cellStyle name="60% - 강조색4 2 136" xfId="3829"/>
    <cellStyle name="60% - 강조색4 2 137" xfId="3830"/>
    <cellStyle name="60% - 강조색4 2 138" xfId="3831"/>
    <cellStyle name="60% - 강조색4 2 139" xfId="3832"/>
    <cellStyle name="60% - 강조색4 2 14" xfId="3833"/>
    <cellStyle name="60% - 강조색4 2 140" xfId="3834"/>
    <cellStyle name="60% - 강조색4 2 141" xfId="3835"/>
    <cellStyle name="60% - 강조색4 2 142" xfId="3836"/>
    <cellStyle name="60% - 강조색4 2 143" xfId="3837"/>
    <cellStyle name="60% - 강조색4 2 144" xfId="3838"/>
    <cellStyle name="60% - 강조색4 2 145" xfId="3839"/>
    <cellStyle name="60% - 강조색4 2 146" xfId="3840"/>
    <cellStyle name="60% - 강조색4 2 147" xfId="3841"/>
    <cellStyle name="60% - 강조색4 2 148" xfId="3842"/>
    <cellStyle name="60% - 강조색4 2 149" xfId="3843"/>
    <cellStyle name="60% - 강조색4 2 15" xfId="3844"/>
    <cellStyle name="60% - 강조색4 2 150" xfId="3845"/>
    <cellStyle name="60% - 강조색4 2 151" xfId="3846"/>
    <cellStyle name="60% - 강조색4 2 152" xfId="3847"/>
    <cellStyle name="60% - 강조색4 2 153" xfId="3848"/>
    <cellStyle name="60% - 강조색4 2 154" xfId="3849"/>
    <cellStyle name="60% - 강조색4 2 155" xfId="3850"/>
    <cellStyle name="60% - 강조색4 2 156" xfId="3851"/>
    <cellStyle name="60% - 강조색4 2 157" xfId="3852"/>
    <cellStyle name="60% - 강조색4 2 158" xfId="3853"/>
    <cellStyle name="60% - 강조색4 2 159" xfId="3854"/>
    <cellStyle name="60% - 강조색4 2 16" xfId="3855"/>
    <cellStyle name="60% - 강조색4 2 160" xfId="3856"/>
    <cellStyle name="60% - 강조색4 2 161" xfId="3857"/>
    <cellStyle name="60% - 강조색4 2 162" xfId="3858"/>
    <cellStyle name="60% - 강조색4 2 163" xfId="3859"/>
    <cellStyle name="60% - 강조색4 2 164" xfId="3860"/>
    <cellStyle name="60% - 강조색4 2 165" xfId="3861"/>
    <cellStyle name="60% - 강조색4 2 166" xfId="3862"/>
    <cellStyle name="60% - 강조색4 2 167" xfId="3863"/>
    <cellStyle name="60% - 강조색4 2 168" xfId="3864"/>
    <cellStyle name="60% - 강조색4 2 169" xfId="3865"/>
    <cellStyle name="60% - 강조색4 2 17" xfId="3866"/>
    <cellStyle name="60% - 강조색4 2 170" xfId="3867"/>
    <cellStyle name="60% - 강조색4 2 171" xfId="3868"/>
    <cellStyle name="60% - 강조색4 2 172" xfId="3869"/>
    <cellStyle name="60% - 강조색4 2 173" xfId="3870"/>
    <cellStyle name="60% - 강조색4 2 174" xfId="3871"/>
    <cellStyle name="60% - 강조색4 2 175" xfId="3872"/>
    <cellStyle name="60% - 강조색4 2 176" xfId="3873"/>
    <cellStyle name="60% - 강조색4 2 177" xfId="3874"/>
    <cellStyle name="60% - 강조색4 2 178" xfId="3875"/>
    <cellStyle name="60% - 강조색4 2 179" xfId="3876"/>
    <cellStyle name="60% - 강조색4 2 18" xfId="3877"/>
    <cellStyle name="60% - 강조색4 2 180" xfId="3878"/>
    <cellStyle name="60% - 강조색4 2 181" xfId="3879"/>
    <cellStyle name="60% - 강조색4 2 182" xfId="3880"/>
    <cellStyle name="60% - 강조색4 2 183" xfId="3881"/>
    <cellStyle name="60% - 강조색4 2 184" xfId="3882"/>
    <cellStyle name="60% - 강조색4 2 185" xfId="3883"/>
    <cellStyle name="60% - 강조색4 2 186" xfId="3884"/>
    <cellStyle name="60% - 강조색4 2 187" xfId="3885"/>
    <cellStyle name="60% - 강조색4 2 188" xfId="3886"/>
    <cellStyle name="60% - 강조색4 2 189" xfId="3887"/>
    <cellStyle name="60% - 강조색4 2 19" xfId="3888"/>
    <cellStyle name="60% - 강조색4 2 190" xfId="3889"/>
    <cellStyle name="60% - 강조색4 2 191" xfId="3890"/>
    <cellStyle name="60% - 강조색4 2 192" xfId="3891"/>
    <cellStyle name="60% - 강조색4 2 193" xfId="3892"/>
    <cellStyle name="60% - 강조색4 2 194" xfId="3893"/>
    <cellStyle name="60% - 강조색4 2 195" xfId="3894"/>
    <cellStyle name="60% - 강조색4 2 196" xfId="3895"/>
    <cellStyle name="60% - 강조색4 2 197" xfId="3896"/>
    <cellStyle name="60% - 강조색4 2 198" xfId="3897"/>
    <cellStyle name="60% - 강조색4 2 199" xfId="3898"/>
    <cellStyle name="60% - 강조색4 2 2" xfId="3899"/>
    <cellStyle name="60% - 강조색4 2 20" xfId="3900"/>
    <cellStyle name="60% - 강조색4 2 200" xfId="3901"/>
    <cellStyle name="60% - 강조색4 2 201" xfId="3902"/>
    <cellStyle name="60% - 강조색4 2 202" xfId="3903"/>
    <cellStyle name="60% - 강조색4 2 203" xfId="3904"/>
    <cellStyle name="60% - 강조색4 2 204" xfId="3905"/>
    <cellStyle name="60% - 강조색4 2 205" xfId="3906"/>
    <cellStyle name="60% - 강조색4 2 206" xfId="3907"/>
    <cellStyle name="60% - 강조색4 2 207" xfId="3908"/>
    <cellStyle name="60% - 강조색4 2 208" xfId="3909"/>
    <cellStyle name="60% - 강조색4 2 209" xfId="3910"/>
    <cellStyle name="60% - 강조색4 2 21" xfId="3911"/>
    <cellStyle name="60% - 강조색4 2 210" xfId="3912"/>
    <cellStyle name="60% - 강조색4 2 211" xfId="3913"/>
    <cellStyle name="60% - 강조색4 2 212" xfId="3914"/>
    <cellStyle name="60% - 강조색4 2 213" xfId="3915"/>
    <cellStyle name="60% - 강조색4 2 214" xfId="3916"/>
    <cellStyle name="60% - 강조색4 2 215" xfId="3917"/>
    <cellStyle name="60% - 강조색4 2 216" xfId="3918"/>
    <cellStyle name="60% - 강조색4 2 217" xfId="3919"/>
    <cellStyle name="60% - 강조색4 2 218" xfId="3920"/>
    <cellStyle name="60% - 강조색4 2 219" xfId="3921"/>
    <cellStyle name="60% - 강조색4 2 22" xfId="3922"/>
    <cellStyle name="60% - 강조색4 2 220" xfId="3923"/>
    <cellStyle name="60% - 강조색4 2 221" xfId="3924"/>
    <cellStyle name="60% - 강조색4 2 222" xfId="3925"/>
    <cellStyle name="60% - 강조색4 2 223" xfId="3926"/>
    <cellStyle name="60% - 강조색4 2 224" xfId="3927"/>
    <cellStyle name="60% - 강조색4 2 225" xfId="3928"/>
    <cellStyle name="60% - 강조색4 2 226" xfId="3929"/>
    <cellStyle name="60% - 강조색4 2 227" xfId="3930"/>
    <cellStyle name="60% - 강조색4 2 228" xfId="3931"/>
    <cellStyle name="60% - 강조색4 2 229" xfId="3932"/>
    <cellStyle name="60% - 강조색4 2 23" xfId="3933"/>
    <cellStyle name="60% - 강조색4 2 230" xfId="3934"/>
    <cellStyle name="60% - 강조색4 2 231" xfId="3935"/>
    <cellStyle name="60% - 강조색4 2 232" xfId="3936"/>
    <cellStyle name="60% - 강조색4 2 233" xfId="3937"/>
    <cellStyle name="60% - 강조색4 2 234" xfId="3938"/>
    <cellStyle name="60% - 강조색4 2 235" xfId="3939"/>
    <cellStyle name="60% - 강조색4 2 236" xfId="3940"/>
    <cellStyle name="60% - 강조색4 2 237" xfId="3941"/>
    <cellStyle name="60% - 강조색4 2 238" xfId="3942"/>
    <cellStyle name="60% - 강조색4 2 239" xfId="3943"/>
    <cellStyle name="60% - 강조색4 2 24" xfId="3944"/>
    <cellStyle name="60% - 강조색4 2 240" xfId="3945"/>
    <cellStyle name="60% - 강조색4 2 241" xfId="3946"/>
    <cellStyle name="60% - 강조색4 2 25" xfId="3947"/>
    <cellStyle name="60% - 강조색4 2 26" xfId="3948"/>
    <cellStyle name="60% - 강조색4 2 27" xfId="3949"/>
    <cellStyle name="60% - 강조색4 2 28" xfId="3950"/>
    <cellStyle name="60% - 강조색4 2 29" xfId="3951"/>
    <cellStyle name="60% - 강조색4 2 3" xfId="3952"/>
    <cellStyle name="60% - 강조색4 2 30" xfId="3953"/>
    <cellStyle name="60% - 강조색4 2 31" xfId="3954"/>
    <cellStyle name="60% - 강조색4 2 32" xfId="3955"/>
    <cellStyle name="60% - 강조색4 2 33" xfId="3956"/>
    <cellStyle name="60% - 강조색4 2 34" xfId="3957"/>
    <cellStyle name="60% - 강조색4 2 35" xfId="3958"/>
    <cellStyle name="60% - 강조색4 2 36" xfId="3959"/>
    <cellStyle name="60% - 강조색4 2 37" xfId="3960"/>
    <cellStyle name="60% - 강조색4 2 38" xfId="3961"/>
    <cellStyle name="60% - 강조색4 2 39" xfId="3962"/>
    <cellStyle name="60% - 강조색4 2 4" xfId="3963"/>
    <cellStyle name="60% - 강조색4 2 40" xfId="3964"/>
    <cellStyle name="60% - 강조색4 2 41" xfId="3965"/>
    <cellStyle name="60% - 강조색4 2 42" xfId="3966"/>
    <cellStyle name="60% - 강조색4 2 43" xfId="3967"/>
    <cellStyle name="60% - 강조색4 2 44" xfId="3968"/>
    <cellStyle name="60% - 강조색4 2 45" xfId="3969"/>
    <cellStyle name="60% - 강조색4 2 46" xfId="3970"/>
    <cellStyle name="60% - 강조색4 2 47" xfId="3971"/>
    <cellStyle name="60% - 강조색4 2 48" xfId="3972"/>
    <cellStyle name="60% - 강조색4 2 49" xfId="3973"/>
    <cellStyle name="60% - 강조색4 2 5" xfId="3974"/>
    <cellStyle name="60% - 강조색4 2 50" xfId="3975"/>
    <cellStyle name="60% - 강조색4 2 51" xfId="3976"/>
    <cellStyle name="60% - 강조색4 2 52" xfId="3977"/>
    <cellStyle name="60% - 강조색4 2 53" xfId="3978"/>
    <cellStyle name="60% - 강조색4 2 54" xfId="3979"/>
    <cellStyle name="60% - 강조색4 2 55" xfId="3980"/>
    <cellStyle name="60% - 강조색4 2 56" xfId="3981"/>
    <cellStyle name="60% - 강조색4 2 57" xfId="3982"/>
    <cellStyle name="60% - 강조색4 2 58" xfId="3983"/>
    <cellStyle name="60% - 강조색4 2 59" xfId="3984"/>
    <cellStyle name="60% - 강조색4 2 6" xfId="3985"/>
    <cellStyle name="60% - 강조색4 2 60" xfId="3986"/>
    <cellStyle name="60% - 강조색4 2 61" xfId="3987"/>
    <cellStyle name="60% - 강조색4 2 62" xfId="3988"/>
    <cellStyle name="60% - 강조색4 2 63" xfId="3989"/>
    <cellStyle name="60% - 강조색4 2 64" xfId="3990"/>
    <cellStyle name="60% - 강조색4 2 65" xfId="3991"/>
    <cellStyle name="60% - 강조색4 2 66" xfId="3992"/>
    <cellStyle name="60% - 강조색4 2 67" xfId="3993"/>
    <cellStyle name="60% - 강조색4 2 68" xfId="3994"/>
    <cellStyle name="60% - 강조색4 2 69" xfId="3995"/>
    <cellStyle name="60% - 강조색4 2 7" xfId="3996"/>
    <cellStyle name="60% - 강조색4 2 70" xfId="3997"/>
    <cellStyle name="60% - 강조색4 2 71" xfId="3998"/>
    <cellStyle name="60% - 강조색4 2 72" xfId="3999"/>
    <cellStyle name="60% - 강조색4 2 73" xfId="4000"/>
    <cellStyle name="60% - 강조색4 2 74" xfId="4001"/>
    <cellStyle name="60% - 강조색4 2 75" xfId="4002"/>
    <cellStyle name="60% - 강조색4 2 76" xfId="4003"/>
    <cellStyle name="60% - 강조색4 2 77" xfId="4004"/>
    <cellStyle name="60% - 강조색4 2 78" xfId="4005"/>
    <cellStyle name="60% - 강조색4 2 79" xfId="4006"/>
    <cellStyle name="60% - 강조색4 2 8" xfId="4007"/>
    <cellStyle name="60% - 강조색4 2 80" xfId="4008"/>
    <cellStyle name="60% - 강조색4 2 81" xfId="4009"/>
    <cellStyle name="60% - 강조색4 2 82" xfId="4010"/>
    <cellStyle name="60% - 강조색4 2 83" xfId="4011"/>
    <cellStyle name="60% - 강조색4 2 84" xfId="4012"/>
    <cellStyle name="60% - 강조색4 2 85" xfId="4013"/>
    <cellStyle name="60% - 강조색4 2 86" xfId="4014"/>
    <cellStyle name="60% - 강조색4 2 87" xfId="4015"/>
    <cellStyle name="60% - 강조색4 2 88" xfId="4016"/>
    <cellStyle name="60% - 강조색4 2 89" xfId="4017"/>
    <cellStyle name="60% - 강조색4 2 9" xfId="4018"/>
    <cellStyle name="60% - 강조색4 2 90" xfId="4019"/>
    <cellStyle name="60% - 강조색4 2 91" xfId="4020"/>
    <cellStyle name="60% - 강조색4 2 92" xfId="4021"/>
    <cellStyle name="60% - 강조색4 2 93" xfId="4022"/>
    <cellStyle name="60% - 강조색4 2 94" xfId="4023"/>
    <cellStyle name="60% - 강조색4 2 95" xfId="4024"/>
    <cellStyle name="60% - 강조색4 2 96" xfId="4025"/>
    <cellStyle name="60% - 강조색4 2 97" xfId="4026"/>
    <cellStyle name="60% - 강조색4 2 98" xfId="4027"/>
    <cellStyle name="60% - 강조색4 2 99" xfId="4028"/>
    <cellStyle name="60% - 강조색5 2" xfId="4029"/>
    <cellStyle name="60% - 강조색5 2 10" xfId="4030"/>
    <cellStyle name="60% - 강조색5 2 100" xfId="4031"/>
    <cellStyle name="60% - 강조색5 2 101" xfId="4032"/>
    <cellStyle name="60% - 강조색5 2 102" xfId="4033"/>
    <cellStyle name="60% - 강조색5 2 103" xfId="4034"/>
    <cellStyle name="60% - 강조색5 2 104" xfId="4035"/>
    <cellStyle name="60% - 강조색5 2 105" xfId="4036"/>
    <cellStyle name="60% - 강조색5 2 106" xfId="4037"/>
    <cellStyle name="60% - 강조색5 2 107" xfId="4038"/>
    <cellStyle name="60% - 강조색5 2 108" xfId="4039"/>
    <cellStyle name="60% - 강조색5 2 109" xfId="4040"/>
    <cellStyle name="60% - 강조색5 2 11" xfId="4041"/>
    <cellStyle name="60% - 강조색5 2 110" xfId="4042"/>
    <cellStyle name="60% - 강조색5 2 111" xfId="4043"/>
    <cellStyle name="60% - 강조색5 2 112" xfId="4044"/>
    <cellStyle name="60% - 강조색5 2 113" xfId="4045"/>
    <cellStyle name="60% - 강조색5 2 114" xfId="4046"/>
    <cellStyle name="60% - 강조색5 2 115" xfId="4047"/>
    <cellStyle name="60% - 강조색5 2 116" xfId="4048"/>
    <cellStyle name="60% - 강조색5 2 117" xfId="4049"/>
    <cellStyle name="60% - 강조색5 2 118" xfId="4050"/>
    <cellStyle name="60% - 강조색5 2 119" xfId="4051"/>
    <cellStyle name="60% - 강조색5 2 12" xfId="4052"/>
    <cellStyle name="60% - 강조색5 2 120" xfId="4053"/>
    <cellStyle name="60% - 강조색5 2 121" xfId="4054"/>
    <cellStyle name="60% - 강조색5 2 122" xfId="4055"/>
    <cellStyle name="60% - 강조색5 2 123" xfId="4056"/>
    <cellStyle name="60% - 강조색5 2 124" xfId="4057"/>
    <cellStyle name="60% - 강조색5 2 125" xfId="4058"/>
    <cellStyle name="60% - 강조색5 2 126" xfId="4059"/>
    <cellStyle name="60% - 강조색5 2 127" xfId="4060"/>
    <cellStyle name="60% - 강조색5 2 128" xfId="4061"/>
    <cellStyle name="60% - 강조색5 2 129" xfId="4062"/>
    <cellStyle name="60% - 강조색5 2 13" xfId="4063"/>
    <cellStyle name="60% - 강조색5 2 130" xfId="4064"/>
    <cellStyle name="60% - 강조색5 2 131" xfId="4065"/>
    <cellStyle name="60% - 강조색5 2 132" xfId="4066"/>
    <cellStyle name="60% - 강조색5 2 133" xfId="4067"/>
    <cellStyle name="60% - 강조색5 2 134" xfId="4068"/>
    <cellStyle name="60% - 강조색5 2 135" xfId="4069"/>
    <cellStyle name="60% - 강조색5 2 136" xfId="4070"/>
    <cellStyle name="60% - 강조색5 2 137" xfId="4071"/>
    <cellStyle name="60% - 강조색5 2 138" xfId="4072"/>
    <cellStyle name="60% - 강조색5 2 139" xfId="4073"/>
    <cellStyle name="60% - 강조색5 2 14" xfId="4074"/>
    <cellStyle name="60% - 강조색5 2 140" xfId="4075"/>
    <cellStyle name="60% - 강조색5 2 141" xfId="4076"/>
    <cellStyle name="60% - 강조색5 2 142" xfId="4077"/>
    <cellStyle name="60% - 강조색5 2 143" xfId="4078"/>
    <cellStyle name="60% - 강조색5 2 144" xfId="4079"/>
    <cellStyle name="60% - 강조색5 2 145" xfId="4080"/>
    <cellStyle name="60% - 강조색5 2 146" xfId="4081"/>
    <cellStyle name="60% - 강조색5 2 147" xfId="4082"/>
    <cellStyle name="60% - 강조색5 2 148" xfId="4083"/>
    <cellStyle name="60% - 강조색5 2 149" xfId="4084"/>
    <cellStyle name="60% - 강조색5 2 15" xfId="4085"/>
    <cellStyle name="60% - 강조색5 2 150" xfId="4086"/>
    <cellStyle name="60% - 강조색5 2 151" xfId="4087"/>
    <cellStyle name="60% - 강조색5 2 152" xfId="4088"/>
    <cellStyle name="60% - 강조색5 2 153" xfId="4089"/>
    <cellStyle name="60% - 강조색5 2 154" xfId="4090"/>
    <cellStyle name="60% - 강조색5 2 155" xfId="4091"/>
    <cellStyle name="60% - 강조색5 2 156" xfId="4092"/>
    <cellStyle name="60% - 강조색5 2 157" xfId="4093"/>
    <cellStyle name="60% - 강조색5 2 158" xfId="4094"/>
    <cellStyle name="60% - 강조색5 2 159" xfId="4095"/>
    <cellStyle name="60% - 강조색5 2 16" xfId="4096"/>
    <cellStyle name="60% - 강조색5 2 160" xfId="4097"/>
    <cellStyle name="60% - 강조색5 2 161" xfId="4098"/>
    <cellStyle name="60% - 강조색5 2 162" xfId="4099"/>
    <cellStyle name="60% - 강조색5 2 163" xfId="4100"/>
    <cellStyle name="60% - 강조색5 2 164" xfId="4101"/>
    <cellStyle name="60% - 강조색5 2 165" xfId="4102"/>
    <cellStyle name="60% - 강조색5 2 166" xfId="4103"/>
    <cellStyle name="60% - 강조색5 2 167" xfId="4104"/>
    <cellStyle name="60% - 강조색5 2 168" xfId="4105"/>
    <cellStyle name="60% - 강조색5 2 169" xfId="4106"/>
    <cellStyle name="60% - 강조색5 2 17" xfId="4107"/>
    <cellStyle name="60% - 강조색5 2 170" xfId="4108"/>
    <cellStyle name="60% - 강조색5 2 171" xfId="4109"/>
    <cellStyle name="60% - 강조색5 2 172" xfId="4110"/>
    <cellStyle name="60% - 강조색5 2 173" xfId="4111"/>
    <cellStyle name="60% - 강조색5 2 174" xfId="4112"/>
    <cellStyle name="60% - 강조색5 2 175" xfId="4113"/>
    <cellStyle name="60% - 강조색5 2 176" xfId="4114"/>
    <cellStyle name="60% - 강조색5 2 177" xfId="4115"/>
    <cellStyle name="60% - 강조색5 2 178" xfId="4116"/>
    <cellStyle name="60% - 강조색5 2 179" xfId="4117"/>
    <cellStyle name="60% - 강조색5 2 18" xfId="4118"/>
    <cellStyle name="60% - 강조색5 2 180" xfId="4119"/>
    <cellStyle name="60% - 강조색5 2 181" xfId="4120"/>
    <cellStyle name="60% - 강조색5 2 182" xfId="4121"/>
    <cellStyle name="60% - 강조색5 2 183" xfId="4122"/>
    <cellStyle name="60% - 강조색5 2 184" xfId="4123"/>
    <cellStyle name="60% - 강조색5 2 185" xfId="4124"/>
    <cellStyle name="60% - 강조색5 2 186" xfId="4125"/>
    <cellStyle name="60% - 강조색5 2 187" xfId="4126"/>
    <cellStyle name="60% - 강조색5 2 188" xfId="4127"/>
    <cellStyle name="60% - 강조색5 2 189" xfId="4128"/>
    <cellStyle name="60% - 강조색5 2 19" xfId="4129"/>
    <cellStyle name="60% - 강조색5 2 190" xfId="4130"/>
    <cellStyle name="60% - 강조색5 2 191" xfId="4131"/>
    <cellStyle name="60% - 강조색5 2 192" xfId="4132"/>
    <cellStyle name="60% - 강조색5 2 193" xfId="4133"/>
    <cellStyle name="60% - 강조색5 2 194" xfId="4134"/>
    <cellStyle name="60% - 강조색5 2 195" xfId="4135"/>
    <cellStyle name="60% - 강조색5 2 196" xfId="4136"/>
    <cellStyle name="60% - 강조색5 2 197" xfId="4137"/>
    <cellStyle name="60% - 강조색5 2 198" xfId="4138"/>
    <cellStyle name="60% - 강조색5 2 199" xfId="4139"/>
    <cellStyle name="60% - 강조색5 2 2" xfId="4140"/>
    <cellStyle name="60% - 강조색5 2 20" xfId="4141"/>
    <cellStyle name="60% - 강조색5 2 200" xfId="4142"/>
    <cellStyle name="60% - 강조색5 2 201" xfId="4143"/>
    <cellStyle name="60% - 강조색5 2 202" xfId="4144"/>
    <cellStyle name="60% - 강조색5 2 203" xfId="4145"/>
    <cellStyle name="60% - 강조색5 2 204" xfId="4146"/>
    <cellStyle name="60% - 강조색5 2 205" xfId="4147"/>
    <cellStyle name="60% - 강조색5 2 206" xfId="4148"/>
    <cellStyle name="60% - 강조색5 2 207" xfId="4149"/>
    <cellStyle name="60% - 강조색5 2 208" xfId="4150"/>
    <cellStyle name="60% - 강조색5 2 209" xfId="4151"/>
    <cellStyle name="60% - 강조색5 2 21" xfId="4152"/>
    <cellStyle name="60% - 강조색5 2 210" xfId="4153"/>
    <cellStyle name="60% - 강조색5 2 211" xfId="4154"/>
    <cellStyle name="60% - 강조색5 2 212" xfId="4155"/>
    <cellStyle name="60% - 강조색5 2 213" xfId="4156"/>
    <cellStyle name="60% - 강조색5 2 214" xfId="4157"/>
    <cellStyle name="60% - 강조색5 2 215" xfId="4158"/>
    <cellStyle name="60% - 강조색5 2 216" xfId="4159"/>
    <cellStyle name="60% - 강조색5 2 217" xfId="4160"/>
    <cellStyle name="60% - 강조색5 2 218" xfId="4161"/>
    <cellStyle name="60% - 강조색5 2 219" xfId="4162"/>
    <cellStyle name="60% - 강조색5 2 22" xfId="4163"/>
    <cellStyle name="60% - 강조색5 2 220" xfId="4164"/>
    <cellStyle name="60% - 강조색5 2 221" xfId="4165"/>
    <cellStyle name="60% - 강조색5 2 222" xfId="4166"/>
    <cellStyle name="60% - 강조색5 2 223" xfId="4167"/>
    <cellStyle name="60% - 강조색5 2 224" xfId="4168"/>
    <cellStyle name="60% - 강조색5 2 225" xfId="4169"/>
    <cellStyle name="60% - 강조색5 2 226" xfId="4170"/>
    <cellStyle name="60% - 강조색5 2 227" xfId="4171"/>
    <cellStyle name="60% - 강조색5 2 228" xfId="4172"/>
    <cellStyle name="60% - 강조색5 2 229" xfId="4173"/>
    <cellStyle name="60% - 강조색5 2 23" xfId="4174"/>
    <cellStyle name="60% - 강조색5 2 230" xfId="4175"/>
    <cellStyle name="60% - 강조색5 2 231" xfId="4176"/>
    <cellStyle name="60% - 강조색5 2 232" xfId="4177"/>
    <cellStyle name="60% - 강조색5 2 233" xfId="4178"/>
    <cellStyle name="60% - 강조색5 2 234" xfId="4179"/>
    <cellStyle name="60% - 강조색5 2 235" xfId="4180"/>
    <cellStyle name="60% - 강조색5 2 236" xfId="4181"/>
    <cellStyle name="60% - 강조색5 2 237" xfId="4182"/>
    <cellStyle name="60% - 강조색5 2 238" xfId="4183"/>
    <cellStyle name="60% - 강조색5 2 239" xfId="4184"/>
    <cellStyle name="60% - 강조색5 2 24" xfId="4185"/>
    <cellStyle name="60% - 강조색5 2 240" xfId="4186"/>
    <cellStyle name="60% - 강조색5 2 241" xfId="4187"/>
    <cellStyle name="60% - 강조색5 2 25" xfId="4188"/>
    <cellStyle name="60% - 강조색5 2 26" xfId="4189"/>
    <cellStyle name="60% - 강조색5 2 27" xfId="4190"/>
    <cellStyle name="60% - 강조색5 2 28" xfId="4191"/>
    <cellStyle name="60% - 강조색5 2 29" xfId="4192"/>
    <cellStyle name="60% - 강조색5 2 3" xfId="4193"/>
    <cellStyle name="60% - 강조색5 2 30" xfId="4194"/>
    <cellStyle name="60% - 강조색5 2 31" xfId="4195"/>
    <cellStyle name="60% - 강조색5 2 32" xfId="4196"/>
    <cellStyle name="60% - 강조색5 2 33" xfId="4197"/>
    <cellStyle name="60% - 강조색5 2 34" xfId="4198"/>
    <cellStyle name="60% - 강조색5 2 35" xfId="4199"/>
    <cellStyle name="60% - 강조색5 2 36" xfId="4200"/>
    <cellStyle name="60% - 강조색5 2 37" xfId="4201"/>
    <cellStyle name="60% - 강조색5 2 38" xfId="4202"/>
    <cellStyle name="60% - 강조색5 2 39" xfId="4203"/>
    <cellStyle name="60% - 강조색5 2 4" xfId="4204"/>
    <cellStyle name="60% - 강조색5 2 40" xfId="4205"/>
    <cellStyle name="60% - 강조색5 2 41" xfId="4206"/>
    <cellStyle name="60% - 강조색5 2 42" xfId="4207"/>
    <cellStyle name="60% - 강조색5 2 43" xfId="4208"/>
    <cellStyle name="60% - 강조색5 2 44" xfId="4209"/>
    <cellStyle name="60% - 강조색5 2 45" xfId="4210"/>
    <cellStyle name="60% - 강조색5 2 46" xfId="4211"/>
    <cellStyle name="60% - 강조색5 2 47" xfId="4212"/>
    <cellStyle name="60% - 강조색5 2 48" xfId="4213"/>
    <cellStyle name="60% - 강조색5 2 49" xfId="4214"/>
    <cellStyle name="60% - 강조색5 2 5" xfId="4215"/>
    <cellStyle name="60% - 강조색5 2 50" xfId="4216"/>
    <cellStyle name="60% - 강조색5 2 51" xfId="4217"/>
    <cellStyle name="60% - 강조색5 2 52" xfId="4218"/>
    <cellStyle name="60% - 강조색5 2 53" xfId="4219"/>
    <cellStyle name="60% - 강조색5 2 54" xfId="4220"/>
    <cellStyle name="60% - 강조색5 2 55" xfId="4221"/>
    <cellStyle name="60% - 강조색5 2 56" xfId="4222"/>
    <cellStyle name="60% - 강조색5 2 57" xfId="4223"/>
    <cellStyle name="60% - 강조색5 2 58" xfId="4224"/>
    <cellStyle name="60% - 강조색5 2 59" xfId="4225"/>
    <cellStyle name="60% - 강조색5 2 6" xfId="4226"/>
    <cellStyle name="60% - 강조색5 2 60" xfId="4227"/>
    <cellStyle name="60% - 강조색5 2 61" xfId="4228"/>
    <cellStyle name="60% - 강조색5 2 62" xfId="4229"/>
    <cellStyle name="60% - 강조색5 2 63" xfId="4230"/>
    <cellStyle name="60% - 강조색5 2 64" xfId="4231"/>
    <cellStyle name="60% - 강조색5 2 65" xfId="4232"/>
    <cellStyle name="60% - 강조색5 2 66" xfId="4233"/>
    <cellStyle name="60% - 강조색5 2 67" xfId="4234"/>
    <cellStyle name="60% - 강조색5 2 68" xfId="4235"/>
    <cellStyle name="60% - 강조색5 2 69" xfId="4236"/>
    <cellStyle name="60% - 강조색5 2 7" xfId="4237"/>
    <cellStyle name="60% - 강조색5 2 70" xfId="4238"/>
    <cellStyle name="60% - 강조색5 2 71" xfId="4239"/>
    <cellStyle name="60% - 강조색5 2 72" xfId="4240"/>
    <cellStyle name="60% - 강조색5 2 73" xfId="4241"/>
    <cellStyle name="60% - 강조색5 2 74" xfId="4242"/>
    <cellStyle name="60% - 강조색5 2 75" xfId="4243"/>
    <cellStyle name="60% - 강조색5 2 76" xfId="4244"/>
    <cellStyle name="60% - 강조색5 2 77" xfId="4245"/>
    <cellStyle name="60% - 강조색5 2 78" xfId="4246"/>
    <cellStyle name="60% - 강조색5 2 79" xfId="4247"/>
    <cellStyle name="60% - 강조색5 2 8" xfId="4248"/>
    <cellStyle name="60% - 강조색5 2 80" xfId="4249"/>
    <cellStyle name="60% - 강조색5 2 81" xfId="4250"/>
    <cellStyle name="60% - 강조색5 2 82" xfId="4251"/>
    <cellStyle name="60% - 강조색5 2 83" xfId="4252"/>
    <cellStyle name="60% - 강조색5 2 84" xfId="4253"/>
    <cellStyle name="60% - 강조색5 2 85" xfId="4254"/>
    <cellStyle name="60% - 강조색5 2 86" xfId="4255"/>
    <cellStyle name="60% - 강조색5 2 87" xfId="4256"/>
    <cellStyle name="60% - 강조색5 2 88" xfId="4257"/>
    <cellStyle name="60% - 강조색5 2 89" xfId="4258"/>
    <cellStyle name="60% - 강조색5 2 9" xfId="4259"/>
    <cellStyle name="60% - 강조색5 2 90" xfId="4260"/>
    <cellStyle name="60% - 강조색5 2 91" xfId="4261"/>
    <cellStyle name="60% - 강조색5 2 92" xfId="4262"/>
    <cellStyle name="60% - 강조색5 2 93" xfId="4263"/>
    <cellStyle name="60% - 강조색5 2 94" xfId="4264"/>
    <cellStyle name="60% - 강조색5 2 95" xfId="4265"/>
    <cellStyle name="60% - 강조색5 2 96" xfId="4266"/>
    <cellStyle name="60% - 강조색5 2 97" xfId="4267"/>
    <cellStyle name="60% - 강조색5 2 98" xfId="4268"/>
    <cellStyle name="60% - 강조색5 2 99" xfId="4269"/>
    <cellStyle name="60% - 강조색6 2" xfId="4270"/>
    <cellStyle name="60% - 강조색6 2 10" xfId="4271"/>
    <cellStyle name="60% - 강조색6 2 100" xfId="4272"/>
    <cellStyle name="60% - 강조색6 2 101" xfId="4273"/>
    <cellStyle name="60% - 강조색6 2 102" xfId="4274"/>
    <cellStyle name="60% - 강조색6 2 103" xfId="4275"/>
    <cellStyle name="60% - 강조색6 2 104" xfId="4276"/>
    <cellStyle name="60% - 강조색6 2 105" xfId="4277"/>
    <cellStyle name="60% - 강조색6 2 106" xfId="4278"/>
    <cellStyle name="60% - 강조색6 2 107" xfId="4279"/>
    <cellStyle name="60% - 강조색6 2 108" xfId="4280"/>
    <cellStyle name="60% - 강조색6 2 109" xfId="4281"/>
    <cellStyle name="60% - 강조색6 2 11" xfId="4282"/>
    <cellStyle name="60% - 강조색6 2 110" xfId="4283"/>
    <cellStyle name="60% - 강조색6 2 111" xfId="4284"/>
    <cellStyle name="60% - 강조색6 2 112" xfId="4285"/>
    <cellStyle name="60% - 강조색6 2 113" xfId="4286"/>
    <cellStyle name="60% - 강조색6 2 114" xfId="4287"/>
    <cellStyle name="60% - 강조색6 2 115" xfId="4288"/>
    <cellStyle name="60% - 강조색6 2 116" xfId="4289"/>
    <cellStyle name="60% - 강조색6 2 117" xfId="4290"/>
    <cellStyle name="60% - 강조색6 2 118" xfId="4291"/>
    <cellStyle name="60% - 강조색6 2 119" xfId="4292"/>
    <cellStyle name="60% - 강조색6 2 12" xfId="4293"/>
    <cellStyle name="60% - 강조색6 2 120" xfId="4294"/>
    <cellStyle name="60% - 강조색6 2 121" xfId="4295"/>
    <cellStyle name="60% - 강조색6 2 122" xfId="4296"/>
    <cellStyle name="60% - 강조색6 2 123" xfId="4297"/>
    <cellStyle name="60% - 강조색6 2 124" xfId="4298"/>
    <cellStyle name="60% - 강조색6 2 125" xfId="4299"/>
    <cellStyle name="60% - 강조색6 2 126" xfId="4300"/>
    <cellStyle name="60% - 강조색6 2 127" xfId="4301"/>
    <cellStyle name="60% - 강조색6 2 128" xfId="4302"/>
    <cellStyle name="60% - 강조색6 2 129" xfId="4303"/>
    <cellStyle name="60% - 강조색6 2 13" xfId="4304"/>
    <cellStyle name="60% - 강조색6 2 130" xfId="4305"/>
    <cellStyle name="60% - 강조색6 2 131" xfId="4306"/>
    <cellStyle name="60% - 강조색6 2 132" xfId="4307"/>
    <cellStyle name="60% - 강조색6 2 133" xfId="4308"/>
    <cellStyle name="60% - 강조색6 2 134" xfId="4309"/>
    <cellStyle name="60% - 강조색6 2 135" xfId="4310"/>
    <cellStyle name="60% - 강조색6 2 136" xfId="4311"/>
    <cellStyle name="60% - 강조색6 2 137" xfId="4312"/>
    <cellStyle name="60% - 강조색6 2 138" xfId="4313"/>
    <cellStyle name="60% - 강조색6 2 139" xfId="4314"/>
    <cellStyle name="60% - 강조색6 2 14" xfId="4315"/>
    <cellStyle name="60% - 강조색6 2 140" xfId="4316"/>
    <cellStyle name="60% - 강조색6 2 141" xfId="4317"/>
    <cellStyle name="60% - 강조색6 2 142" xfId="4318"/>
    <cellStyle name="60% - 강조색6 2 143" xfId="4319"/>
    <cellStyle name="60% - 강조색6 2 144" xfId="4320"/>
    <cellStyle name="60% - 강조색6 2 145" xfId="4321"/>
    <cellStyle name="60% - 강조색6 2 146" xfId="4322"/>
    <cellStyle name="60% - 강조색6 2 147" xfId="4323"/>
    <cellStyle name="60% - 강조색6 2 148" xfId="4324"/>
    <cellStyle name="60% - 강조색6 2 149" xfId="4325"/>
    <cellStyle name="60% - 강조색6 2 15" xfId="4326"/>
    <cellStyle name="60% - 강조색6 2 150" xfId="4327"/>
    <cellStyle name="60% - 강조색6 2 151" xfId="4328"/>
    <cellStyle name="60% - 강조색6 2 152" xfId="4329"/>
    <cellStyle name="60% - 강조색6 2 153" xfId="4330"/>
    <cellStyle name="60% - 강조색6 2 154" xfId="4331"/>
    <cellStyle name="60% - 강조색6 2 155" xfId="4332"/>
    <cellStyle name="60% - 강조색6 2 156" xfId="4333"/>
    <cellStyle name="60% - 강조색6 2 157" xfId="4334"/>
    <cellStyle name="60% - 강조색6 2 158" xfId="4335"/>
    <cellStyle name="60% - 강조색6 2 159" xfId="4336"/>
    <cellStyle name="60% - 강조색6 2 16" xfId="4337"/>
    <cellStyle name="60% - 강조색6 2 160" xfId="4338"/>
    <cellStyle name="60% - 강조색6 2 161" xfId="4339"/>
    <cellStyle name="60% - 강조색6 2 162" xfId="4340"/>
    <cellStyle name="60% - 강조색6 2 163" xfId="4341"/>
    <cellStyle name="60% - 강조색6 2 164" xfId="4342"/>
    <cellStyle name="60% - 강조색6 2 165" xfId="4343"/>
    <cellStyle name="60% - 강조색6 2 166" xfId="4344"/>
    <cellStyle name="60% - 강조색6 2 167" xfId="4345"/>
    <cellStyle name="60% - 강조색6 2 168" xfId="4346"/>
    <cellStyle name="60% - 강조색6 2 169" xfId="4347"/>
    <cellStyle name="60% - 강조색6 2 17" xfId="4348"/>
    <cellStyle name="60% - 강조색6 2 170" xfId="4349"/>
    <cellStyle name="60% - 강조색6 2 171" xfId="4350"/>
    <cellStyle name="60% - 강조색6 2 172" xfId="4351"/>
    <cellStyle name="60% - 강조색6 2 173" xfId="4352"/>
    <cellStyle name="60% - 강조색6 2 174" xfId="4353"/>
    <cellStyle name="60% - 강조색6 2 175" xfId="4354"/>
    <cellStyle name="60% - 강조색6 2 176" xfId="4355"/>
    <cellStyle name="60% - 강조색6 2 177" xfId="4356"/>
    <cellStyle name="60% - 강조색6 2 178" xfId="4357"/>
    <cellStyle name="60% - 강조색6 2 179" xfId="4358"/>
    <cellStyle name="60% - 강조색6 2 18" xfId="4359"/>
    <cellStyle name="60% - 강조색6 2 180" xfId="4360"/>
    <cellStyle name="60% - 강조색6 2 181" xfId="4361"/>
    <cellStyle name="60% - 강조색6 2 182" xfId="4362"/>
    <cellStyle name="60% - 강조색6 2 183" xfId="4363"/>
    <cellStyle name="60% - 강조색6 2 184" xfId="4364"/>
    <cellStyle name="60% - 강조색6 2 185" xfId="4365"/>
    <cellStyle name="60% - 강조색6 2 186" xfId="4366"/>
    <cellStyle name="60% - 강조색6 2 187" xfId="4367"/>
    <cellStyle name="60% - 강조색6 2 188" xfId="4368"/>
    <cellStyle name="60% - 강조색6 2 189" xfId="4369"/>
    <cellStyle name="60% - 강조색6 2 19" xfId="4370"/>
    <cellStyle name="60% - 강조색6 2 190" xfId="4371"/>
    <cellStyle name="60% - 강조색6 2 191" xfId="4372"/>
    <cellStyle name="60% - 강조색6 2 192" xfId="4373"/>
    <cellStyle name="60% - 강조색6 2 193" xfId="4374"/>
    <cellStyle name="60% - 강조색6 2 194" xfId="4375"/>
    <cellStyle name="60% - 강조색6 2 195" xfId="4376"/>
    <cellStyle name="60% - 강조색6 2 196" xfId="4377"/>
    <cellStyle name="60% - 강조색6 2 197" xfId="4378"/>
    <cellStyle name="60% - 강조색6 2 198" xfId="4379"/>
    <cellStyle name="60% - 강조색6 2 199" xfId="4380"/>
    <cellStyle name="60% - 강조색6 2 2" xfId="4381"/>
    <cellStyle name="60% - 강조색6 2 20" xfId="4382"/>
    <cellStyle name="60% - 강조색6 2 200" xfId="4383"/>
    <cellStyle name="60% - 강조색6 2 201" xfId="4384"/>
    <cellStyle name="60% - 강조색6 2 202" xfId="4385"/>
    <cellStyle name="60% - 강조색6 2 203" xfId="4386"/>
    <cellStyle name="60% - 강조색6 2 204" xfId="4387"/>
    <cellStyle name="60% - 강조색6 2 205" xfId="4388"/>
    <cellStyle name="60% - 강조색6 2 206" xfId="4389"/>
    <cellStyle name="60% - 강조색6 2 207" xfId="4390"/>
    <cellStyle name="60% - 강조색6 2 208" xfId="4391"/>
    <cellStyle name="60% - 강조색6 2 209" xfId="4392"/>
    <cellStyle name="60% - 강조색6 2 21" xfId="4393"/>
    <cellStyle name="60% - 강조색6 2 210" xfId="4394"/>
    <cellStyle name="60% - 강조색6 2 211" xfId="4395"/>
    <cellStyle name="60% - 강조색6 2 212" xfId="4396"/>
    <cellStyle name="60% - 강조색6 2 213" xfId="4397"/>
    <cellStyle name="60% - 강조색6 2 214" xfId="4398"/>
    <cellStyle name="60% - 강조색6 2 215" xfId="4399"/>
    <cellStyle name="60% - 강조색6 2 216" xfId="4400"/>
    <cellStyle name="60% - 강조색6 2 217" xfId="4401"/>
    <cellStyle name="60% - 강조색6 2 218" xfId="4402"/>
    <cellStyle name="60% - 강조색6 2 219" xfId="4403"/>
    <cellStyle name="60% - 강조색6 2 22" xfId="4404"/>
    <cellStyle name="60% - 강조색6 2 220" xfId="4405"/>
    <cellStyle name="60% - 강조색6 2 221" xfId="4406"/>
    <cellStyle name="60% - 강조색6 2 222" xfId="4407"/>
    <cellStyle name="60% - 강조색6 2 223" xfId="4408"/>
    <cellStyle name="60% - 강조색6 2 224" xfId="4409"/>
    <cellStyle name="60% - 강조색6 2 225" xfId="4410"/>
    <cellStyle name="60% - 강조색6 2 226" xfId="4411"/>
    <cellStyle name="60% - 강조색6 2 227" xfId="4412"/>
    <cellStyle name="60% - 강조색6 2 228" xfId="4413"/>
    <cellStyle name="60% - 강조색6 2 229" xfId="4414"/>
    <cellStyle name="60% - 강조색6 2 23" xfId="4415"/>
    <cellStyle name="60% - 강조색6 2 230" xfId="4416"/>
    <cellStyle name="60% - 강조색6 2 231" xfId="4417"/>
    <cellStyle name="60% - 강조색6 2 232" xfId="4418"/>
    <cellStyle name="60% - 강조색6 2 233" xfId="4419"/>
    <cellStyle name="60% - 강조색6 2 234" xfId="4420"/>
    <cellStyle name="60% - 강조색6 2 235" xfId="4421"/>
    <cellStyle name="60% - 강조색6 2 236" xfId="4422"/>
    <cellStyle name="60% - 강조색6 2 237" xfId="4423"/>
    <cellStyle name="60% - 강조색6 2 238" xfId="4424"/>
    <cellStyle name="60% - 강조색6 2 239" xfId="4425"/>
    <cellStyle name="60% - 강조색6 2 24" xfId="4426"/>
    <cellStyle name="60% - 강조색6 2 240" xfId="4427"/>
    <cellStyle name="60% - 강조색6 2 241" xfId="4428"/>
    <cellStyle name="60% - 강조색6 2 25" xfId="4429"/>
    <cellStyle name="60% - 강조색6 2 26" xfId="4430"/>
    <cellStyle name="60% - 강조색6 2 27" xfId="4431"/>
    <cellStyle name="60% - 강조색6 2 28" xfId="4432"/>
    <cellStyle name="60% - 강조색6 2 29" xfId="4433"/>
    <cellStyle name="60% - 강조색6 2 3" xfId="4434"/>
    <cellStyle name="60% - 강조색6 2 30" xfId="4435"/>
    <cellStyle name="60% - 강조색6 2 31" xfId="4436"/>
    <cellStyle name="60% - 강조색6 2 32" xfId="4437"/>
    <cellStyle name="60% - 강조색6 2 33" xfId="4438"/>
    <cellStyle name="60% - 강조색6 2 34" xfId="4439"/>
    <cellStyle name="60% - 강조색6 2 35" xfId="4440"/>
    <cellStyle name="60% - 강조색6 2 36" xfId="4441"/>
    <cellStyle name="60% - 강조색6 2 37" xfId="4442"/>
    <cellStyle name="60% - 강조색6 2 38" xfId="4443"/>
    <cellStyle name="60% - 강조색6 2 39" xfId="4444"/>
    <cellStyle name="60% - 강조색6 2 4" xfId="4445"/>
    <cellStyle name="60% - 강조색6 2 40" xfId="4446"/>
    <cellStyle name="60% - 강조색6 2 41" xfId="4447"/>
    <cellStyle name="60% - 강조색6 2 42" xfId="4448"/>
    <cellStyle name="60% - 강조색6 2 43" xfId="4449"/>
    <cellStyle name="60% - 강조색6 2 44" xfId="4450"/>
    <cellStyle name="60% - 강조색6 2 45" xfId="4451"/>
    <cellStyle name="60% - 강조색6 2 46" xfId="4452"/>
    <cellStyle name="60% - 강조색6 2 47" xfId="4453"/>
    <cellStyle name="60% - 강조색6 2 48" xfId="4454"/>
    <cellStyle name="60% - 강조색6 2 49" xfId="4455"/>
    <cellStyle name="60% - 강조색6 2 5" xfId="4456"/>
    <cellStyle name="60% - 강조색6 2 50" xfId="4457"/>
    <cellStyle name="60% - 강조색6 2 51" xfId="4458"/>
    <cellStyle name="60% - 강조색6 2 52" xfId="4459"/>
    <cellStyle name="60% - 강조색6 2 53" xfId="4460"/>
    <cellStyle name="60% - 강조색6 2 54" xfId="4461"/>
    <cellStyle name="60% - 강조색6 2 55" xfId="4462"/>
    <cellStyle name="60% - 강조색6 2 56" xfId="4463"/>
    <cellStyle name="60% - 강조색6 2 57" xfId="4464"/>
    <cellStyle name="60% - 강조색6 2 58" xfId="4465"/>
    <cellStyle name="60% - 강조색6 2 59" xfId="4466"/>
    <cellStyle name="60% - 강조색6 2 6" xfId="4467"/>
    <cellStyle name="60% - 강조색6 2 60" xfId="4468"/>
    <cellStyle name="60% - 강조색6 2 61" xfId="4469"/>
    <cellStyle name="60% - 강조색6 2 62" xfId="4470"/>
    <cellStyle name="60% - 강조색6 2 63" xfId="4471"/>
    <cellStyle name="60% - 강조색6 2 64" xfId="4472"/>
    <cellStyle name="60% - 강조색6 2 65" xfId="4473"/>
    <cellStyle name="60% - 강조색6 2 66" xfId="4474"/>
    <cellStyle name="60% - 강조색6 2 67" xfId="4475"/>
    <cellStyle name="60% - 강조색6 2 68" xfId="4476"/>
    <cellStyle name="60% - 강조색6 2 69" xfId="4477"/>
    <cellStyle name="60% - 강조색6 2 7" xfId="4478"/>
    <cellStyle name="60% - 강조색6 2 70" xfId="4479"/>
    <cellStyle name="60% - 강조색6 2 71" xfId="4480"/>
    <cellStyle name="60% - 강조색6 2 72" xfId="4481"/>
    <cellStyle name="60% - 강조색6 2 73" xfId="4482"/>
    <cellStyle name="60% - 강조색6 2 74" xfId="4483"/>
    <cellStyle name="60% - 강조색6 2 75" xfId="4484"/>
    <cellStyle name="60% - 강조색6 2 76" xfId="4485"/>
    <cellStyle name="60% - 강조색6 2 77" xfId="4486"/>
    <cellStyle name="60% - 강조색6 2 78" xfId="4487"/>
    <cellStyle name="60% - 강조색6 2 79" xfId="4488"/>
    <cellStyle name="60% - 강조색6 2 8" xfId="4489"/>
    <cellStyle name="60% - 강조색6 2 80" xfId="4490"/>
    <cellStyle name="60% - 강조색6 2 81" xfId="4491"/>
    <cellStyle name="60% - 강조색6 2 82" xfId="4492"/>
    <cellStyle name="60% - 강조색6 2 83" xfId="4493"/>
    <cellStyle name="60% - 강조색6 2 84" xfId="4494"/>
    <cellStyle name="60% - 강조색6 2 85" xfId="4495"/>
    <cellStyle name="60% - 강조색6 2 86" xfId="4496"/>
    <cellStyle name="60% - 강조색6 2 87" xfId="4497"/>
    <cellStyle name="60% - 강조색6 2 88" xfId="4498"/>
    <cellStyle name="60% - 강조색6 2 89" xfId="4499"/>
    <cellStyle name="60% - 강조색6 2 9" xfId="4500"/>
    <cellStyle name="60% - 강조색6 2 90" xfId="4501"/>
    <cellStyle name="60% - 강조색6 2 91" xfId="4502"/>
    <cellStyle name="60% - 강조색6 2 92" xfId="4503"/>
    <cellStyle name="60% - 강조색6 2 93" xfId="4504"/>
    <cellStyle name="60% - 강조색6 2 94" xfId="4505"/>
    <cellStyle name="60% - 강조색6 2 95" xfId="4506"/>
    <cellStyle name="60% - 강조색6 2 96" xfId="4507"/>
    <cellStyle name="60% - 강조색6 2 97" xfId="4508"/>
    <cellStyle name="60% - 강조색6 2 98" xfId="4509"/>
    <cellStyle name="60% - 강조색6 2 99" xfId="4510"/>
    <cellStyle name="7" xfId="4511"/>
    <cellStyle name="7_(정우일K)+03년+전략보고+재무구조(030702)" xfId="4512"/>
    <cellStyle name="7_★05년 매출,손익" xfId="4513"/>
    <cellStyle name="7_★05년 매출,손익_8월 예상손익 점검" xfId="4514"/>
    <cellStyle name="7_★05년 매출,손익_8월 예상손익 점검_DM_환율영향분석_본부" xfId="4515"/>
    <cellStyle name="7_★05년 매출,손익_DM_환율영향분석_본부" xfId="4516"/>
    <cellStyle name="7_01_예상매출(총액)" xfId="4517"/>
    <cellStyle name="7_01_예상매출(총액)_01년간예상손익(12월이동)" xfId="4518"/>
    <cellStyle name="7_01_예상매출(총액)_01년간예상손익(12월이동)_2" xfId="4519"/>
    <cellStyle name="7_01_예상매출(총액)_02년 2월 이동_예상손익" xfId="4520"/>
    <cellStyle name="7_01_예상매출(총액)_02년 2월 이동_예상손익_1" xfId="4521"/>
    <cellStyle name="7_01_예상매출(총액)_02년 3월 이동_예상손익(전사취합)" xfId="4522"/>
    <cellStyle name="7_01_예상매출(총액)_02년 6월 이동_예상손익(전사취합)" xfId="4523"/>
    <cellStyle name="7_01_예상매출(총액)_02년간예상손익" xfId="4524"/>
    <cellStyle name="7_01_예상매출(총액)_04월 이동계획_전사예상pl" xfId="4525"/>
    <cellStyle name="7_01_예상매출(총액)_1월이동손익_전사예상pl" xfId="4526"/>
    <cellStyle name="7_01_예상매출(총액)_obu별손익0112이동" xfId="4527"/>
    <cellStyle name="7_01년간예상손익" xfId="4528"/>
    <cellStyle name="7_01년간예상손익_01년간예상손익(12월이동)" xfId="4529"/>
    <cellStyle name="7_01년간예상손익_01년간예상손익(12월이동)_2" xfId="4530"/>
    <cellStyle name="7_01년간예상손익_02년 2월 이동_예상손익" xfId="4531"/>
    <cellStyle name="7_01년간예상손익_02년 2월 이동_예상손익_1" xfId="4532"/>
    <cellStyle name="7_01년간예상손익_02년 3월 이동_예상손익(전사취합)" xfId="4533"/>
    <cellStyle name="7_01년간예상손익_02년 6월 이동_예상손익(전사취합)" xfId="4534"/>
    <cellStyle name="7_01년간예상손익_02년간예상손익" xfId="4535"/>
    <cellStyle name="7_01년간예상손익_04월 이동계획_전사예상pl" xfId="4536"/>
    <cellStyle name="7_01년간예상손익_1월이동손익_전사예상pl" xfId="4537"/>
    <cellStyle name="7_01년간예상손익_obu별손익0112이동" xfId="4538"/>
    <cellStyle name="7_01매출손익(6월 실적반영)" xfId="4539"/>
    <cellStyle name="7_01매출손익(6월 실적반영)_01년간예상손익(12월이동)" xfId="4540"/>
    <cellStyle name="7_01매출손익(6월 실적반영)_01년간예상손익(12월이동)_2" xfId="4541"/>
    <cellStyle name="7_01매출손익(6월 실적반영)_02년 2월 이동_예상손익" xfId="4542"/>
    <cellStyle name="7_01매출손익(6월 실적반영)_02년 2월 이동_예상손익_1" xfId="4543"/>
    <cellStyle name="7_01매출손익(6월 실적반영)_02년 3월 이동_예상손익(전사취합)" xfId="4544"/>
    <cellStyle name="7_01매출손익(6월 실적반영)_02년 6월 이동_예상손익(전사취합)" xfId="4545"/>
    <cellStyle name="7_01매출손익(6월 실적반영)_02년간예상손익" xfId="4546"/>
    <cellStyle name="7_01매출손익(6월 실적반영)_04월 이동계획_전사예상pl" xfId="4547"/>
    <cellStyle name="7_01매출손익(6월 실적반영)_1월이동손익_전사예상pl" xfId="4548"/>
    <cellStyle name="7_01매출손익(6월 실적반영)_obu별손익0112이동" xfId="4549"/>
    <cellStyle name="7_02기본_종합장표" xfId="4550"/>
    <cellStyle name="7_02년사업계획양식V1.0" xfId="4551"/>
    <cellStyle name="7_02년사업계획양식V1.0_02년사업계획양식V1.0_고동욱_011205" xfId="4552"/>
    <cellStyle name="7_02년사업계획양식V1.0_02년사업계획양식V1.0_고동욱_011205_02년사업계획양식V2.0" xfId="4553"/>
    <cellStyle name="7_02년사업계획양식V1.0_02년사업계획양식V1.0_고동욱_011205_02년사업계획양식V2.0_02년사업계획양식V2.0" xfId="4554"/>
    <cellStyle name="7_02년사업계획양식V1.0_02년사업계획양식V1.0_고동욱_011205_02년사업계획양식V2.0_02년사업계획양식V2.0_02년사업계획양식V3.0" xfId="4555"/>
    <cellStyle name="7_02년사업계획양식V1.0_02년사업계획양식V1.0_고동욱_011205_02년사업계획양식V2.0_02년사업계획양식V2.0_02년사업계획양식V3.0_02년사업계획양식V3.0" xfId="4556"/>
    <cellStyle name="7_02년사업계획양식V1.0_02년사업계획양식V1.0_고동욱_011205_02년사업계획양식V2.0_02년사업계획양식V2.0_02년사업계획양식V3.0_02년사업계획양식V3.0(원본)" xfId="4557"/>
    <cellStyle name="7_02년사업계획양식V1.0_02년사업계획양식V1.0_고동욱_011205_02년사업계획양식V2.0_02년사업계획양식V2.0_02년사업계획양식V3.0_02년사업계획양식V3.0(원본)_1" xfId="4558"/>
    <cellStyle name="7_02년사업계획양식V1.0_02년사업계획양식V1.0_고동욱_011205_02년사업계획양식V2.0_02년사업계획양식V3.0" xfId="4559"/>
    <cellStyle name="7_02년사업계획양식V1.0_02년사업계획양식V1.0_고동욱_011205_02년사업계획양식V2.0_02년사업계획양식V3.0(원본)" xfId="4560"/>
    <cellStyle name="7_02년사업계획양식V1.0_02년사업계획양식V1.0_고동욱_011205_02년사업계획양식V2.0_02년사업계획양식V3.0(원본)_1" xfId="4561"/>
    <cellStyle name="7_02년사업계획양식V1.0_02년사업계획양식V1.0_고동욱_011205_02년사업계획양식V2.0_02년사업계획양식V3.0_02년사업계획양식V3.0" xfId="4562"/>
    <cellStyle name="7_02년사업계획양식V1.0_02년사업계획양식V1.0_고동욱_011205_02년사업계획양식V2.0_02년사업계획양식V3.0_02년사업계획양식V3.0_02년사업계획양식V3.0" xfId="4563"/>
    <cellStyle name="7_02년사업계획양식V1.0_02년사업계획양식V1.0_고동욱_011205_02년사업계획양식V2.0_02년사업계획양식V3.0_02년사업계획양식V3.0_02년사업계획양식V3.0(원본)" xfId="4564"/>
    <cellStyle name="7_02년사업계획양식V1.0_02년사업계획양식V1.0_고동욱_011205_02년사업계획양식V2.0_02년사업계획양식V3.0_02년사업계획양식V3.0_02년사업계획양식V3.0(원본)_1" xfId="4565"/>
    <cellStyle name="7_02년사업계획양식V1.0_02년사업계획양식V1.0_고동욱_011205_02년사업계획양식V3.0" xfId="4566"/>
    <cellStyle name="7_02년사업계획양식V1.0_02년사업계획양식V1.0_고동욱_011205_02년사업계획양식V3.0_02년사업계획양식V3.0" xfId="4567"/>
    <cellStyle name="7_02년사업계획양식V1.0_02년사업계획양식V1.0_고동욱_011205_02년사업계획양식V3.0_02년사업계획양식V3.0(원본)" xfId="4568"/>
    <cellStyle name="7_02년사업계획양식V1.0_02년사업계획양식V1.0_고동욱_011205_02년사업계획양식V3.0_02년사업계획양식V3.0(원본)_1" xfId="4569"/>
    <cellStyle name="7_02년사업계획양식V1.0_02년사업계획양식V1.0_대호(bs수정)" xfId="4570"/>
    <cellStyle name="7_02년사업계획양식V1.0_02년사업계획양식V1.0_대호(bs수정)_02년사업계획양식V2.0" xfId="4571"/>
    <cellStyle name="7_02년사업계획양식V1.0_02년사업계획양식V1.0_대호(bs수정)_02년사업계획양식V2.0_02년사업계획양식V2.0" xfId="4572"/>
    <cellStyle name="7_02년사업계획양식V1.0_02년사업계획양식V1.0_대호(bs수정)_02년사업계획양식V2.0_02년사업계획양식V2.0_02년사업계획양식V3.0" xfId="4573"/>
    <cellStyle name="7_02년사업계획양식V1.0_02년사업계획양식V1.0_대호(bs수정)_02년사업계획양식V2.0_02년사업계획양식V2.0_02년사업계획양식V3.0_02년사업계획양식V3.0" xfId="4574"/>
    <cellStyle name="7_02년사업계획양식V1.0_02년사업계획양식V1.0_대호(bs수정)_02년사업계획양식V2.0_02년사업계획양식V2.0_02년사업계획양식V3.0_02년사업계획양식V3.0(원본)" xfId="4575"/>
    <cellStyle name="7_02년사업계획양식V1.0_02년사업계획양식V1.0_대호(bs수정)_02년사업계획양식V2.0_02년사업계획양식V2.0_02년사업계획양식V3.0_02년사업계획양식V3.0(원본)_1" xfId="4576"/>
    <cellStyle name="7_02년사업계획양식V1.0_02년사업계획양식V1.0_대호(bs수정)_02년사업계획양식V2.0_02년사업계획양식V3.0" xfId="4577"/>
    <cellStyle name="7_02년사업계획양식V1.0_02년사업계획양식V1.0_대호(bs수정)_02년사업계획양식V2.0_02년사업계획양식V3.0(원본)" xfId="4578"/>
    <cellStyle name="7_02년사업계획양식V1.0_02년사업계획양식V1.0_대호(bs수정)_02년사업계획양식V2.0_02년사업계획양식V3.0(원본)_1" xfId="4579"/>
    <cellStyle name="7_02년사업계획양식V1.0_02년사업계획양식V1.0_대호(bs수정)_02년사업계획양식V2.0_02년사업계획양식V3.0_02년사업계획양식V3.0" xfId="4580"/>
    <cellStyle name="7_02년사업계획양식V1.0_02년사업계획양식V1.0_대호(bs수정)_02년사업계획양식V2.0_02년사업계획양식V3.0_02년사업계획양식V3.0_02년사업계획양식V3.0" xfId="4581"/>
    <cellStyle name="7_02년사업계획양식V1.0_02년사업계획양식V1.0_대호(bs수정)_02년사업계획양식V2.0_02년사업계획양식V3.0_02년사업계획양식V3.0_02년사업계획양식V3.0(원본)" xfId="4582"/>
    <cellStyle name="7_02년사업계획양식V1.0_02년사업계획양식V1.0_대호(bs수정)_02년사업계획양식V2.0_02년사업계획양식V3.0_02년사업계획양식V3.0_02년사업계획양식V3.0(원본)_1" xfId="4583"/>
    <cellStyle name="7_02년사업계획양식V1.0_02년사업계획양식V1.0_대호(bs수정)_02년사업계획양식V3.0" xfId="4584"/>
    <cellStyle name="7_02년사업계획양식V1.0_02년사업계획양식V1.0_대호(bs수정)_02년사업계획양식V3.0_02년사업계획양식V3.0" xfId="4585"/>
    <cellStyle name="7_02년사업계획양식V1.0_02년사업계획양식V1.0_대호(bs수정)_02년사업계획양식V3.0_02년사업계획양식V3.0(원본)" xfId="4586"/>
    <cellStyle name="7_02년사업계획양식V1.0_02년사업계획양식V1.0_대호(bs수정)_02년사업계획양식V3.0_02년사업계획양식V3.0(원본)_1" xfId="4587"/>
    <cellStyle name="7_02년사업계획양식V1.0_02년사업계획양식V2.0" xfId="4588"/>
    <cellStyle name="7_02년사업계획양식V1.0_02년사업계획양식V2.0_02년사업계획양식V3.0" xfId="4589"/>
    <cellStyle name="7_02년사업계획양식V1.0_02년사업계획양식V2.0_02년사업계획양식V3.0_02년사업계획양식V3.0" xfId="4590"/>
    <cellStyle name="7_02년사업계획양식V1.0_02년사업계획양식V2.0_02년사업계획양식V3.0_02년사업계획양식V3.0(원본)" xfId="4591"/>
    <cellStyle name="7_02년사업계획양식V1.0_02년사업계획양식V2.0_02년사업계획양식V3.0_02년사업계획양식V3.0(원본)_1" xfId="4592"/>
    <cellStyle name="7_02년사업계획양식V1.0_02년사업계획양식V3.0" xfId="4593"/>
    <cellStyle name="7_02년사업계획양식V1.0_02년사업계획양식V3.0(원본)" xfId="4594"/>
    <cellStyle name="7_02년사업계획양식V1.0_02년사업계획양식V3.0(원본)_1" xfId="4595"/>
    <cellStyle name="7_02년사업계획양식V1.0_02년사업계획양식V3.0_02년사업계획양식V3.0" xfId="4596"/>
    <cellStyle name="7_02년사업계획양식V1.0_02년사업계획양식V3.0_02년사업계획양식V3.0_02년사업계획양식V3.0" xfId="4597"/>
    <cellStyle name="7_02년사업계획양식V1.0_02년사업계획양식V3.0_02년사업계획양식V3.0_02년사업계획양식V3.0(원본)" xfId="4598"/>
    <cellStyle name="7_02년사업계획양식V1.0_02년사업계획양식V3.0_02년사업계획양식V3.0_02년사업계획양식V3.0(원본)_1" xfId="4599"/>
    <cellStyle name="7_02년사업계획양식V1.0_고동욱_011130" xfId="4600"/>
    <cellStyle name="7_02년사업계획양식V1.0_고동욱_011130_02년사업계획양식V2.0" xfId="4601"/>
    <cellStyle name="7_02년사업계획양식V1.0_고동욱_011130_02년사업계획양식V2.0_02년사업계획양식V2.0" xfId="4602"/>
    <cellStyle name="7_02년사업계획양식V1.0_고동욱_011130_02년사업계획양식V2.0_02년사업계획양식V2.0_02년사업계획양식V3.0" xfId="4603"/>
    <cellStyle name="7_02년사업계획양식V1.0_고동욱_011130_02년사업계획양식V2.0_02년사업계획양식V2.0_02년사업계획양식V3.0_02년사업계획양식V3.0" xfId="4604"/>
    <cellStyle name="7_02년사업계획양식V1.0_고동욱_011130_02년사업계획양식V2.0_02년사업계획양식V2.0_02년사업계획양식V3.0_02년사업계획양식V3.0(원본)" xfId="4605"/>
    <cellStyle name="7_02년사업계획양식V1.0_고동욱_011130_02년사업계획양식V2.0_02년사업계획양식V2.0_02년사업계획양식V3.0_02년사업계획양식V3.0(원본)_1" xfId="4606"/>
    <cellStyle name="7_02년사업계획양식V1.0_고동욱_011130_02년사업계획양식V2.0_02년사업계획양식V3.0" xfId="4607"/>
    <cellStyle name="7_02년사업계획양식V1.0_고동욱_011130_02년사업계획양식V2.0_02년사업계획양식V3.0(원본)" xfId="4608"/>
    <cellStyle name="7_02년사업계획양식V1.0_고동욱_011130_02년사업계획양식V2.0_02년사업계획양식V3.0(원본)_1" xfId="4609"/>
    <cellStyle name="7_02년사업계획양식V1.0_고동욱_011130_02년사업계획양식V2.0_02년사업계획양식V3.0_02년사업계획양식V3.0" xfId="4610"/>
    <cellStyle name="7_02년사업계획양식V1.0_고동욱_011130_02년사업계획양식V2.0_02년사업계획양식V3.0_02년사업계획양식V3.0_02년사업계획양식V3.0" xfId="4611"/>
    <cellStyle name="7_02년사업계획양식V1.0_고동욱_011130_02년사업계획양식V2.0_02년사업계획양식V3.0_02년사업계획양식V3.0_02년사업계획양식V3.0(원본)" xfId="4612"/>
    <cellStyle name="7_02년사업계획양식V1.0_고동욱_011130_02년사업계획양식V2.0_02년사업계획양식V3.0_02년사업계획양식V3.0_02년사업계획양식V3.0(원본)_1" xfId="4613"/>
    <cellStyle name="7_02년사업계획양식V1.0_고동욱_011130_02년사업계획양식V3.0" xfId="4614"/>
    <cellStyle name="7_02년사업계획양식V1.0_고동욱_011130_02년사업계획양식V3.0_02년사업계획양식V3.0" xfId="4615"/>
    <cellStyle name="7_02년사업계획양식V1.0_고동욱_011130_02년사업계획양식V3.0_02년사업계획양식V3.0(원본)" xfId="4616"/>
    <cellStyle name="7_02년사업계획양식V1.0_고동욱_011130_02년사업계획양식V3.0_02년사업계획양식V3.0(원본)_1" xfId="4617"/>
    <cellStyle name="7_02년사업계획양식V1.0_고동욱_011205" xfId="4618"/>
    <cellStyle name="7_02년사업계획양식V1.0_고동욱_011205_02년사업계획양식V2.0" xfId="4619"/>
    <cellStyle name="7_02년사업계획양식V1.0_고동욱_011205_02년사업계획양식V2.0_02년사업계획양식V2.0" xfId="4620"/>
    <cellStyle name="7_02년사업계획양식V1.0_고동욱_011205_02년사업계획양식V2.0_02년사업계획양식V2.0_02년사업계획양식V3.0" xfId="4621"/>
    <cellStyle name="7_02년사업계획양식V1.0_고동욱_011205_02년사업계획양식V2.0_02년사업계획양식V2.0_02년사업계획양식V3.0_02년사업계획양식V3.0" xfId="4622"/>
    <cellStyle name="7_02년사업계획양식V1.0_고동욱_011205_02년사업계획양식V2.0_02년사업계획양식V2.0_02년사업계획양식V3.0_02년사업계획양식V3.0(원본)" xfId="4623"/>
    <cellStyle name="7_02년사업계획양식V1.0_고동욱_011205_02년사업계획양식V2.0_02년사업계획양식V2.0_02년사업계획양식V3.0_02년사업계획양식V3.0(원본)_1" xfId="4624"/>
    <cellStyle name="7_02년사업계획양식V1.0_고동욱_011205_02년사업계획양식V2.0_02년사업계획양식V3.0" xfId="4625"/>
    <cellStyle name="7_02년사업계획양식V1.0_고동욱_011205_02년사업계획양식V2.0_02년사업계획양식V3.0(원본)" xfId="4626"/>
    <cellStyle name="7_02년사업계획양식V1.0_고동욱_011205_02년사업계획양식V2.0_02년사업계획양식V3.0(원본)_1" xfId="4627"/>
    <cellStyle name="7_02년사업계획양식V1.0_고동욱_011205_02년사업계획양식V2.0_02년사업계획양식V3.0_02년사업계획양식V3.0" xfId="4628"/>
    <cellStyle name="7_02년사업계획양식V1.0_고동욱_011205_02년사업계획양식V2.0_02년사업계획양식V3.0_02년사업계획양식V3.0_02년사업계획양식V3.0" xfId="4629"/>
    <cellStyle name="7_02년사업계획양식V1.0_고동욱_011205_02년사업계획양식V2.0_02년사업계획양식V3.0_02년사업계획양식V3.0_02년사업계획양식V3.0(원본)" xfId="4630"/>
    <cellStyle name="7_02년사업계획양식V1.0_고동욱_011205_02년사업계획양식V2.0_02년사업계획양식V3.0_02년사업계획양식V3.0_02년사업계획양식V3.0(원본)_1" xfId="4631"/>
    <cellStyle name="7_02년사업계획양식V1.0_고동욱_011205_02년사업계획양식V3.0" xfId="4632"/>
    <cellStyle name="7_02년사업계획양식V1.0_고동욱_011205_02년사업계획양식V3.0_02년사업계획양식V3.0" xfId="4633"/>
    <cellStyle name="7_02년사업계획양식V1.0_고동욱_011205_02년사업계획양식V3.0_02년사업계획양식V3.0(원본)" xfId="4634"/>
    <cellStyle name="7_02년사업계획양식V1.0_고동욱_011205_02년사업계획양식V3.0_02년사업계획양식V3.0(원본)_1" xfId="4635"/>
    <cellStyle name="7_02년사업계획양식V1.0_대호(bs수정)" xfId="4636"/>
    <cellStyle name="7_02년사업계획양식V1.0_대호(bs수정)_02년사업계획양식V2.0" xfId="4637"/>
    <cellStyle name="7_02년사업계획양식V1.0_대호(bs수정)_02년사업계획양식V2.0_02년사업계획양식V2.0" xfId="4638"/>
    <cellStyle name="7_02년사업계획양식V1.0_대호(bs수정)_02년사업계획양식V2.0_02년사업계획양식V2.0_02년사업계획양식V3.0" xfId="4639"/>
    <cellStyle name="7_02년사업계획양식V1.0_대호(bs수정)_02년사업계획양식V2.0_02년사업계획양식V2.0_02년사업계획양식V3.0_02년사업계획양식V3.0" xfId="4640"/>
    <cellStyle name="7_02년사업계획양식V1.0_대호(bs수정)_02년사업계획양식V2.0_02년사업계획양식V2.0_02년사업계획양식V3.0_02년사업계획양식V3.0(원본)" xfId="4641"/>
    <cellStyle name="7_02년사업계획양식V1.0_대호(bs수정)_02년사업계획양식V2.0_02년사업계획양식V2.0_02년사업계획양식V3.0_02년사업계획양식V3.0(원본)_1" xfId="4642"/>
    <cellStyle name="7_02년사업계획양식V1.0_대호(bs수정)_02년사업계획양식V2.0_02년사업계획양식V3.0" xfId="4643"/>
    <cellStyle name="7_02년사업계획양식V1.0_대호(bs수정)_02년사업계획양식V2.0_02년사업계획양식V3.0(원본)" xfId="4644"/>
    <cellStyle name="7_02년사업계획양식V1.0_대호(bs수정)_02년사업계획양식V2.0_02년사업계획양식V3.0(원본)_1" xfId="4645"/>
    <cellStyle name="7_02년사업계획양식V1.0_대호(bs수정)_02년사업계획양식V2.0_02년사업계획양식V3.0_02년사업계획양식V3.0" xfId="4646"/>
    <cellStyle name="7_02년사업계획양식V1.0_대호(bs수정)_02년사업계획양식V2.0_02년사업계획양식V3.0_02년사업계획양식V3.0_02년사업계획양식V3.0" xfId="4647"/>
    <cellStyle name="7_02년사업계획양식V1.0_대호(bs수정)_02년사업계획양식V2.0_02년사업계획양식V3.0_02년사업계획양식V3.0_02년사업계획양식V3.0(원본)" xfId="4648"/>
    <cellStyle name="7_02년사업계획양식V1.0_대호(bs수정)_02년사업계획양식V2.0_02년사업계획양식V3.0_02년사업계획양식V3.0_02년사업계획양식V3.0(원본)_1" xfId="4649"/>
    <cellStyle name="7_02년사업계획양식V1.0_대호(bs수정)_02년사업계획양식V3.0" xfId="4650"/>
    <cellStyle name="7_02년사업계획양식V1.0_대호(bs수정)_02년사업계획양식V3.0_02년사업계획양식V3.0" xfId="4651"/>
    <cellStyle name="7_02년사업계획양식V1.0_대호(bs수정)_02년사업계획양식V3.0_02년사업계획양식V3.0(원본)" xfId="4652"/>
    <cellStyle name="7_02년사업계획양식V1.0_대호(bs수정)_02년사업계획양식V3.0_02년사업계획양식V3.0(원본)_1" xfId="4653"/>
    <cellStyle name="7_02년사업계획양식V2.0" xfId="4654"/>
    <cellStyle name="7_02년사업계획양식V2.0_02년사업계획양식V3.0" xfId="4655"/>
    <cellStyle name="7_02년사업계획양식V2.0_02년사업계획양식V3.0_02년사업계획양식V3.0" xfId="4656"/>
    <cellStyle name="7_02년사업계획양식V2.0_02년사업계획양식V3.0_02년사업계획양식V3.0(원본)" xfId="4657"/>
    <cellStyle name="7_02년사업계획양식V2.0_02년사업계획양식V3.0_02년사업계획양식V3.0(원본)_1" xfId="4658"/>
    <cellStyle name="7_02년사업계획양식V3.0" xfId="4659"/>
    <cellStyle name="7_02년사업계획양식V3.0(원본)" xfId="4660"/>
    <cellStyle name="7_02년사업계획양식V3.0(원본)_1" xfId="4661"/>
    <cellStyle name="7_02년사업계획양식V3.0_02년사업계획양식V3.0" xfId="4662"/>
    <cellStyle name="7_02년사업계획양식V3.0_02년사업계획양식V3.0_02년사업계획양식V3.0" xfId="4663"/>
    <cellStyle name="7_02년사업계획양식V3.0_02년사업계획양식V3.0_02년사업계획양식V3.0(원본)" xfId="4664"/>
    <cellStyle name="7_02년사업계획양식V3.0_02년사업계획양식V3.0_02년사업계획양식V3.0(원본)_1" xfId="4665"/>
    <cellStyle name="7_02년예상+연결기초자료+이익율+배당금+경영지원금" xfId="4666"/>
    <cellStyle name="7_02년예상+연결자료(GSM)" xfId="4667"/>
    <cellStyle name="7_02혁신_종합장표" xfId="4668"/>
    <cellStyle name="7_03 01 10 혁신(사업부양식)" xfId="4669"/>
    <cellStyle name="7_03_사업계획양식(MASS_Link)_1104" xfId="4670"/>
    <cellStyle name="7_030124 혁신재료비9" xfId="4671"/>
    <cellStyle name="7_03기본_종합장표" xfId="4672"/>
    <cellStyle name="7_03법인비용_회수양식_AC" xfId="4673"/>
    <cellStyle name="7_03혁신_종합장표" xfId="4674"/>
    <cellStyle name="7_10월차이동계획" xfId="4675"/>
    <cellStyle name="7_10월차이동계획_01년간예상손익(12월이동)" xfId="4676"/>
    <cellStyle name="7_10월차이동계획_01년간예상손익(12월이동)_2" xfId="4677"/>
    <cellStyle name="7_10월차이동계획_02년 2월 이동_예상손익" xfId="4678"/>
    <cellStyle name="7_10월차이동계획_02년 2월 이동_예상손익_1" xfId="4679"/>
    <cellStyle name="7_10월차이동계획_02년 3월 이동_예상손익(전사취합)" xfId="4680"/>
    <cellStyle name="7_10월차이동계획_02년 6월 이동_예상손익(전사취합)" xfId="4681"/>
    <cellStyle name="7_10월차이동계획_02년간예상손익" xfId="4682"/>
    <cellStyle name="7_10월차이동계획_04월 이동계획_전사예상pl" xfId="4683"/>
    <cellStyle name="7_10월차이동계획_1월이동손익_전사예상pl" xfId="4684"/>
    <cellStyle name="7_10월차이동계획_obu별손익0112이동" xfId="4685"/>
    <cellStyle name="7_2001년 01월차 이동계획_0102" xfId="4686"/>
    <cellStyle name="7_2001년 01월차 이동계획_0102_2001년 05월 이동계획_" xfId="4687"/>
    <cellStyle name="7_2001년 01월차 이동계획_0102_2001년 06월 이동계획_(Maximum)" xfId="4688"/>
    <cellStyle name="7_2001년 01월차 이동계획_0102_2001년 07월차 이동계획보고_" xfId="4689"/>
    <cellStyle name="7_2001년 01월차 이동계획_0102_2002년_02월차_이동계획보고_" xfId="4690"/>
    <cellStyle name="7_2001년 01월차 이동계획_0102_2002년_03월차_이동계획보고_" xfId="4691"/>
    <cellStyle name="7_2001년 01월차 이동계획_0102_2002년_03월차_이동계획보고_1차수정" xfId="4692"/>
    <cellStyle name="7_2001년 01월차 이동계획_0102_2002년_05월차_이동계획보고_" xfId="4693"/>
    <cellStyle name="7_2001년 01월차 이동계획_0102_2002년_06월차_이동계획보고_기종별수정" xfId="4694"/>
    <cellStyle name="7_2001년 01월차 이동계획_0102_2002년_07월차_이동계획보고_수정중_철판 반영후_최종" xfId="4695"/>
    <cellStyle name="7_2001년 01월차 이동계획_0102_2002년_07월차_이동계획보고_수정중0628_2" xfId="4696"/>
    <cellStyle name="7_2001년 01월차 이동계획_0102_VVR0J9DV" xfId="4697"/>
    <cellStyle name="7_2001년 02월 실적예상_02월21일기준" xfId="4698"/>
    <cellStyle name="7_2001년 02월 실적예상_02월21일기준_2001년 05월 이동계획_" xfId="4699"/>
    <cellStyle name="7_2001년 02월 실적예상_02월21일기준_2001년 06월 이동계획_(Maximum)" xfId="4700"/>
    <cellStyle name="7_2001년 02월 실적예상_02월21일기준_2001년 07월차 이동계획보고_" xfId="4701"/>
    <cellStyle name="7_2001년 02월 실적예상_02월21일기준_2002년_02월차_이동계획보고_" xfId="4702"/>
    <cellStyle name="7_2001년 02월 실적예상_02월21일기준_2002년_03월차_이동계획보고_" xfId="4703"/>
    <cellStyle name="7_2001년 02월 실적예상_02월21일기준_2002년_03월차_이동계획보고_1차수정" xfId="4704"/>
    <cellStyle name="7_2001년 02월 실적예상_02월21일기준_2002년_05월차_이동계획보고_" xfId="4705"/>
    <cellStyle name="7_2001년 02월 실적예상_02월21일기준_2002년_06월차_이동계획보고_기종별수정" xfId="4706"/>
    <cellStyle name="7_2001년 02월 실적예상_02월21일기준_2002년_07월차_이동계획보고_수정중_철판 반영후_최종" xfId="4707"/>
    <cellStyle name="7_2001년 02월 실적예상_02월21일기준_2002년_07월차_이동계획보고_수정중0628_2" xfId="4708"/>
    <cellStyle name="7_2001년 02월 실적예상_02월21일기준_VVR0J9DV" xfId="4709"/>
    <cellStyle name="7_2001년 02월차 이동계획_" xfId="4710"/>
    <cellStyle name="7_2001년 02월차 이동계획__2001년 05월 이동계획_" xfId="4711"/>
    <cellStyle name="7_2001년 02월차 이동계획__2001년 06월 이동계획_(Maximum)" xfId="4712"/>
    <cellStyle name="7_2001년 02월차 이동계획__2001년 07월차 이동계획보고_" xfId="4713"/>
    <cellStyle name="7_2001년 02월차 이동계획__2002년_02월차_이동계획보고_" xfId="4714"/>
    <cellStyle name="7_2001년 02월차 이동계획__2002년_03월차_이동계획보고_" xfId="4715"/>
    <cellStyle name="7_2001년 02월차 이동계획__2002년_03월차_이동계획보고_1차수정" xfId="4716"/>
    <cellStyle name="7_2001년 02월차 이동계획__2002년_05월차_이동계획보고_" xfId="4717"/>
    <cellStyle name="7_2001년 02월차 이동계획__2002년_06월차_이동계획보고_기종별수정" xfId="4718"/>
    <cellStyle name="7_2001년 02월차 이동계획__2002년_07월차_이동계획보고_수정중_철판 반영후_최종" xfId="4719"/>
    <cellStyle name="7_2001년 02월차 이동계획__2002년_07월차_이동계획보고_수정중0628_2" xfId="4720"/>
    <cellStyle name="7_2001년 02월차 이동계획__VVR0J9DV" xfId="4721"/>
    <cellStyle name="7_2002년_월별사업계획전산_DM" xfId="4722"/>
    <cellStyle name="7_2002년_월별사업계획전산_DM_02년사업계획양식V1.0_대호(bs수정)" xfId="4723"/>
    <cellStyle name="7_2002년_월별사업계획전산_DM_02년사업계획양식V1.0_대호(bs수정)_02년사업계획양식V2.0" xfId="4724"/>
    <cellStyle name="7_2002년_월별사업계획전산_DM_02년사업계획양식V1.0_대호(bs수정)_02년사업계획양식V2.0_02년사업계획양식V2.0" xfId="4725"/>
    <cellStyle name="7_2002년_월별사업계획전산_DM_02년사업계획양식V1.0_대호(bs수정)_02년사업계획양식V2.0_02년사업계획양식V2.0_02년사업계획양식V3.0" xfId="4726"/>
    <cellStyle name="7_2002년_월별사업계획전산_DM_02년사업계획양식V1.0_대호(bs수정)_02년사업계획양식V2.0_02년사업계획양식V2.0_02년사업계획양식V3.0_02년사업계획양식V3.0" xfId="4727"/>
    <cellStyle name="7_2002년_월별사업계획전산_DM_02년사업계획양식V1.0_대호(bs수정)_02년사업계획양식V2.0_02년사업계획양식V2.0_02년사업계획양식V3.0_02년사업계획양식V3.0(원본)" xfId="4728"/>
    <cellStyle name="7_2002년_월별사업계획전산_DM_02년사업계획양식V1.0_대호(bs수정)_02년사업계획양식V2.0_02년사업계획양식V2.0_02년사업계획양식V3.0_02년사업계획양식V3.0(원본)_1" xfId="4729"/>
    <cellStyle name="7_2002년_월별사업계획전산_DM_02년사업계획양식V1.0_대호(bs수정)_02년사업계획양식V2.0_02년사업계획양식V3.0" xfId="4730"/>
    <cellStyle name="7_2002년_월별사업계획전산_DM_02년사업계획양식V1.0_대호(bs수정)_02년사업계획양식V2.0_02년사업계획양식V3.0(원본)" xfId="4731"/>
    <cellStyle name="7_2002년_월별사업계획전산_DM_02년사업계획양식V1.0_대호(bs수정)_02년사업계획양식V2.0_02년사업계획양식V3.0(원본)_1" xfId="4732"/>
    <cellStyle name="7_2002년_월별사업계획전산_DM_02년사업계획양식V1.0_대호(bs수정)_02년사업계획양식V2.0_02년사업계획양식V3.0_02년사업계획양식V3.0" xfId="4733"/>
    <cellStyle name="7_2002년_월별사업계획전산_DM_02년사업계획양식V1.0_대호(bs수정)_02년사업계획양식V2.0_02년사업계획양식V3.0_02년사업계획양식V3.0_02년사업계획양식V3.0" xfId="4734"/>
    <cellStyle name="7_2002년_월별사업계획전산_DM_02년사업계획양식V1.0_대호(bs수정)_02년사업계획양식V2.0_02년사업계획양식V3.0_02년사업계획양식V3.0_02년사업계획양식V3.0(원본)" xfId="4735"/>
    <cellStyle name="7_2002년_월별사업계획전산_DM_02년사업계획양식V1.0_대호(bs수정)_02년사업계획양식V2.0_02년사업계획양식V3.0_02년사업계획양식V3.0_02년사업계획양식V3.0(원본)_1" xfId="4736"/>
    <cellStyle name="7_2002년_월별사업계획전산_DM_02년사업계획양식V1.0_대호(bs수정)_02년사업계획양식V3.0" xfId="4737"/>
    <cellStyle name="7_2002년_월별사업계획전산_DM_02년사업계획양식V1.0_대호(bs수정)_02년사업계획양식V3.0_02년사업계획양식V3.0" xfId="4738"/>
    <cellStyle name="7_2002년_월별사업계획전산_DM_02년사업계획양식V1.0_대호(bs수정)_02년사업계획양식V3.0_02년사업계획양식V3.0(원본)" xfId="4739"/>
    <cellStyle name="7_2002년_월별사업계획전산_DM_02년사업계획양식V1.0_대호(bs수정)_02년사업계획양식V3.0_02년사업계획양식V3.0(원본)_1" xfId="4740"/>
    <cellStyle name="7_2002년_월별사업계획전산_DM_02년사업계획양식V2.0" xfId="4741"/>
    <cellStyle name="7_2002년_월별사업계획전산_DM_02년사업계획양식V2.0_02년사업계획양식V3.0" xfId="4742"/>
    <cellStyle name="7_2002년_월별사업계획전산_DM_02년사업계획양식V2.0_02년사업계획양식V3.0_02년사업계획양식V3.0" xfId="4743"/>
    <cellStyle name="7_2002년_월별사업계획전산_DM_02년사업계획양식V2.0_02년사업계획양식V3.0_02년사업계획양식V3.0(원본)" xfId="4744"/>
    <cellStyle name="7_2002년_월별사업계획전산_DM_02년사업계획양식V2.0_02년사업계획양식V3.0_02년사업계획양식V3.0(원본)_1" xfId="4745"/>
    <cellStyle name="7_2002년_월별사업계획전산_DM_02년사업계획양식V3.0" xfId="4746"/>
    <cellStyle name="7_2002년_월별사업계획전산_DM_02년사업계획양식V3.0(원본)" xfId="4747"/>
    <cellStyle name="7_2002년_월별사업계획전산_DM_02년사업계획양식V3.0(원본)_1" xfId="4748"/>
    <cellStyle name="7_2002년_월별사업계획전산_DM_02년사업계획양식V3.0_02년사업계획양식V3.0" xfId="4749"/>
    <cellStyle name="7_2002년_월별사업계획전산_DM_02년사업계획양식V3.0_02년사업계획양식V3.0_02년사업계획양식V3.0" xfId="4750"/>
    <cellStyle name="7_2002년_월별사업계획전산_DM_02년사업계획양식V3.0_02년사업계획양식V3.0_02년사업계획양식V3.0(원본)" xfId="4751"/>
    <cellStyle name="7_2002년_월별사업계획전산_DM_02년사업계획양식V3.0_02년사업계획양식V3.0_02년사업계획양식V3.0(원본)_1" xfId="4752"/>
    <cellStyle name="7_5월이동_전사손익" xfId="4753"/>
    <cellStyle name="7_5월이동_전사손익_01년간예상손익(12월이동)" xfId="4754"/>
    <cellStyle name="7_5월이동_전사손익_01년간예상손익(12월이동)_2" xfId="4755"/>
    <cellStyle name="7_5월이동_전사손익_01매출손익(6월 실적반영)" xfId="4756"/>
    <cellStyle name="7_5월이동_전사손익_01매출손익(6월 실적반영)_01년간예상손익(12월이동)" xfId="4757"/>
    <cellStyle name="7_5월이동_전사손익_01매출손익(6월 실적반영)_01년간예상손익(12월이동)_2" xfId="4758"/>
    <cellStyle name="7_5월이동_전사손익_01매출손익(6월 실적반영)_02년 2월 이동_예상손익" xfId="4759"/>
    <cellStyle name="7_5월이동_전사손익_01매출손익(6월 실적반영)_02년 2월 이동_예상손익_1" xfId="4760"/>
    <cellStyle name="7_5월이동_전사손익_01매출손익(6월 실적반영)_02년 3월 이동_예상손익(전사취합)" xfId="4761"/>
    <cellStyle name="7_5월이동_전사손익_01매출손익(6월 실적반영)_02년 6월 이동_예상손익(전사취합)" xfId="4762"/>
    <cellStyle name="7_5월이동_전사손익_01매출손익(6월 실적반영)_02년간예상손익" xfId="4763"/>
    <cellStyle name="7_5월이동_전사손익_01매출손익(6월 실적반영)_04월 이동계획_전사예상pl" xfId="4764"/>
    <cellStyle name="7_5월이동_전사손익_01매출손익(6월 실적반영)_1월이동손익_전사예상pl" xfId="4765"/>
    <cellStyle name="7_5월이동_전사손익_01매출손익(6월 실적반영)_obu별손익0112이동" xfId="4766"/>
    <cellStyle name="7_5월이동_전사손익_02년 2월 이동_예상손익" xfId="4767"/>
    <cellStyle name="7_5월이동_전사손익_02년 2월 이동_예상손익_1" xfId="4768"/>
    <cellStyle name="7_5월이동_전사손익_02년 3월 이동_예상손익(전사취합)" xfId="4769"/>
    <cellStyle name="7_5월이동_전사손익_02년 6월 이동_예상손익(전사취합)" xfId="4770"/>
    <cellStyle name="7_5월이동_전사손익_02년간예상손익" xfId="4771"/>
    <cellStyle name="7_5월이동_전사손익_04월 이동계획_전사예상pl" xfId="4772"/>
    <cellStyle name="7_5월이동_전사손익_06전사손익" xfId="4773"/>
    <cellStyle name="7_5월이동_전사손익_06전사손익_01년간예상손익(12월이동)" xfId="4774"/>
    <cellStyle name="7_5월이동_전사손익_06전사손익_01년간예상손익(12월이동)_2" xfId="4775"/>
    <cellStyle name="7_5월이동_전사손익_06전사손익_01매출손익(6월 실적반영)" xfId="4776"/>
    <cellStyle name="7_5월이동_전사손익_06전사손익_01매출손익(6월 실적반영)_01년간예상손익(12월이동)" xfId="4777"/>
    <cellStyle name="7_5월이동_전사손익_06전사손익_01매출손익(6월 실적반영)_01년간예상손익(12월이동)_2" xfId="4778"/>
    <cellStyle name="7_5월이동_전사손익_06전사손익_01매출손익(6월 실적반영)_02년 2월 이동_예상손익" xfId="4779"/>
    <cellStyle name="7_5월이동_전사손익_06전사손익_01매출손익(6월 실적반영)_02년 2월 이동_예상손익_1" xfId="4780"/>
    <cellStyle name="7_5월이동_전사손익_06전사손익_01매출손익(6월 실적반영)_02년 3월 이동_예상손익(전사취합)" xfId="4781"/>
    <cellStyle name="7_5월이동_전사손익_06전사손익_01매출손익(6월 실적반영)_02년 6월 이동_예상손익(전사취합)" xfId="4782"/>
    <cellStyle name="7_5월이동_전사손익_06전사손익_01매출손익(6월 실적반영)_02년간예상손익" xfId="4783"/>
    <cellStyle name="7_5월이동_전사손익_06전사손익_01매출손익(6월 실적반영)_04월 이동계획_전사예상pl" xfId="4784"/>
    <cellStyle name="7_5월이동_전사손익_06전사손익_01매출손익(6월 실적반영)_1월이동손익_전사예상pl" xfId="4785"/>
    <cellStyle name="7_5월이동_전사손익_06전사손익_01매출손익(6월 실적반영)_obu별손익0112이동" xfId="4786"/>
    <cellStyle name="7_5월이동_전사손익_06전사손익_02년 2월 이동_예상손익" xfId="4787"/>
    <cellStyle name="7_5월이동_전사손익_06전사손익_02년 2월 이동_예상손익_1" xfId="4788"/>
    <cellStyle name="7_5월이동_전사손익_06전사손익_02년 3월 이동_예상손익(전사취합)" xfId="4789"/>
    <cellStyle name="7_5월이동_전사손익_06전사손익_02년 6월 이동_예상손익(전사취합)" xfId="4790"/>
    <cellStyle name="7_5월이동_전사손익_06전사손익_02년간예상손익" xfId="4791"/>
    <cellStyle name="7_5월이동_전사손익_06전사손익_04월 이동계획_전사예상pl" xfId="4792"/>
    <cellStyle name="7_5월이동_전사손익_06전사손익_1월이동손익_전사예상pl" xfId="4793"/>
    <cellStyle name="7_5월이동_전사손익_06전사손익_8월예상" xfId="4794"/>
    <cellStyle name="7_5월이동_전사손익_06전사손익_8월예상_01년간예상손익(12월이동)" xfId="4795"/>
    <cellStyle name="7_5월이동_전사손익_06전사손익_8월예상_01년간예상손익(12월이동)_2" xfId="4796"/>
    <cellStyle name="7_5월이동_전사손익_06전사손익_8월예상_02년 2월 이동_예상손익" xfId="4797"/>
    <cellStyle name="7_5월이동_전사손익_06전사손익_8월예상_02년 2월 이동_예상손익_1" xfId="4798"/>
    <cellStyle name="7_5월이동_전사손익_06전사손익_8월예상_02년 3월 이동_예상손익(전사취합)" xfId="4799"/>
    <cellStyle name="7_5월이동_전사손익_06전사손익_8월예상_02년 6월 이동_예상손익(전사취합)" xfId="4800"/>
    <cellStyle name="7_5월이동_전사손익_06전사손익_8월예상_02년간예상손익" xfId="4801"/>
    <cellStyle name="7_5월이동_전사손익_06전사손익_8월예상_04월 이동계획_전사예상pl" xfId="4802"/>
    <cellStyle name="7_5월이동_전사손익_06전사손익_8월예상_1월이동손익_전사예상pl" xfId="4803"/>
    <cellStyle name="7_5월이동_전사손익_06전사손익_8월예상_obu별손익0112이동" xfId="4804"/>
    <cellStyle name="7_5월이동_전사손익_06전사손익_9-12월예상pl" xfId="4805"/>
    <cellStyle name="7_5월이동_전사손익_06전사손익_9-12월예상pl_01년간예상손익(12월이동)" xfId="4806"/>
    <cellStyle name="7_5월이동_전사손익_06전사손익_9-12월예상pl_01년간예상손익(12월이동)_2" xfId="4807"/>
    <cellStyle name="7_5월이동_전사손익_06전사손익_9-12월예상pl_02년 2월 이동_예상손익" xfId="4808"/>
    <cellStyle name="7_5월이동_전사손익_06전사손익_9-12월예상pl_02년 2월 이동_예상손익_1" xfId="4809"/>
    <cellStyle name="7_5월이동_전사손익_06전사손익_9-12월예상pl_02년 3월 이동_예상손익(전사취합)" xfId="4810"/>
    <cellStyle name="7_5월이동_전사손익_06전사손익_9-12월예상pl_02년 6월 이동_예상손익(전사취합)" xfId="4811"/>
    <cellStyle name="7_5월이동_전사손익_06전사손익_9-12월예상pl_02년간예상손익" xfId="4812"/>
    <cellStyle name="7_5월이동_전사손익_06전사손익_9-12월예상pl_04월 이동계획_전사예상pl" xfId="4813"/>
    <cellStyle name="7_5월이동_전사손익_06전사손익_9-12월예상pl_1월이동손익_전사예상pl" xfId="4814"/>
    <cellStyle name="7_5월이동_전사손익_06전사손익_9-12월예상pl_obu별손익0112이동" xfId="4815"/>
    <cellStyle name="7_5월이동_전사손익_06전사손익_obu별손익0112이동" xfId="4816"/>
    <cellStyle name="7_5월이동_전사손익_06전사손익_상반기_연간손익정리(서대호)" xfId="4817"/>
    <cellStyle name="7_5월이동_전사손익_06전사손익_상반기_연간손익정리(서대호)_01년간예상손익(12월이동)" xfId="4818"/>
    <cellStyle name="7_5월이동_전사손익_06전사손익_상반기_연간손익정리(서대호)_01년간예상손익(12월이동)_2" xfId="4819"/>
    <cellStyle name="7_5월이동_전사손익_06전사손익_상반기_연간손익정리(서대호)_01매출손익(6월 실적반영)" xfId="4820"/>
    <cellStyle name="7_5월이동_전사손익_06전사손익_상반기_연간손익정리(서대호)_01매출손익(6월 실적반영)_01년간예상손익(12월이동)" xfId="4821"/>
    <cellStyle name="7_5월이동_전사손익_06전사손익_상반기_연간손익정리(서대호)_01매출손익(6월 실적반영)_01년간예상손익(12월이동)_2" xfId="4822"/>
    <cellStyle name="7_5월이동_전사손익_06전사손익_상반기_연간손익정리(서대호)_01매출손익(6월 실적반영)_02년 2월 이동_예상손익" xfId="4823"/>
    <cellStyle name="7_5월이동_전사손익_06전사손익_상반기_연간손익정리(서대호)_01매출손익(6월 실적반영)_02년 2월 이동_예상손익_1" xfId="4824"/>
    <cellStyle name="7_5월이동_전사손익_06전사손익_상반기_연간손익정리(서대호)_01매출손익(6월 실적반영)_02년 3월 이동_예상손익(전사취합)" xfId="4825"/>
    <cellStyle name="7_5월이동_전사손익_06전사손익_상반기_연간손익정리(서대호)_01매출손익(6월 실적반영)_02년 6월 이동_예상손익(전사취합)" xfId="4826"/>
    <cellStyle name="7_5월이동_전사손익_06전사손익_상반기_연간손익정리(서대호)_01매출손익(6월 실적반영)_02년간예상손익" xfId="4827"/>
    <cellStyle name="7_5월이동_전사손익_06전사손익_상반기_연간손익정리(서대호)_01매출손익(6월 실적반영)_04월 이동계획_전사예상pl" xfId="4828"/>
    <cellStyle name="7_5월이동_전사손익_06전사손익_상반기_연간손익정리(서대호)_01매출손익(6월 실적반영)_1월이동손익_전사예상pl" xfId="4829"/>
    <cellStyle name="7_5월이동_전사손익_06전사손익_상반기_연간손익정리(서대호)_01매출손익(6월 실적반영)_obu별손익0112이동" xfId="4830"/>
    <cellStyle name="7_5월이동_전사손익_06전사손익_상반기_연간손익정리(서대호)_02년 2월 이동_예상손익" xfId="4831"/>
    <cellStyle name="7_5월이동_전사손익_06전사손익_상반기_연간손익정리(서대호)_02년 2월 이동_예상손익_1" xfId="4832"/>
    <cellStyle name="7_5월이동_전사손익_06전사손익_상반기_연간손익정리(서대호)_02년 3월 이동_예상손익(전사취합)" xfId="4833"/>
    <cellStyle name="7_5월이동_전사손익_06전사손익_상반기_연간손익정리(서대호)_02년 6월 이동_예상손익(전사취합)" xfId="4834"/>
    <cellStyle name="7_5월이동_전사손익_06전사손익_상반기_연간손익정리(서대호)_02년간예상손익" xfId="4835"/>
    <cellStyle name="7_5월이동_전사손익_06전사손익_상반기_연간손익정리(서대호)_04월 이동계획_전사예상pl" xfId="4836"/>
    <cellStyle name="7_5월이동_전사손익_06전사손익_상반기_연간손익정리(서대호)_1월이동손익_전사예상pl" xfId="4837"/>
    <cellStyle name="7_5월이동_전사손익_06전사손익_상반기_연간손익정리(서대호)_8월예상" xfId="4838"/>
    <cellStyle name="7_5월이동_전사손익_06전사손익_상반기_연간손익정리(서대호)_8월예상_01년간예상손익(12월이동)" xfId="4839"/>
    <cellStyle name="7_5월이동_전사손익_06전사손익_상반기_연간손익정리(서대호)_8월예상_01년간예상손익(12월이동)_2" xfId="4840"/>
    <cellStyle name="7_5월이동_전사손익_06전사손익_상반기_연간손익정리(서대호)_8월예상_02년 2월 이동_예상손익" xfId="4841"/>
    <cellStyle name="7_5월이동_전사손익_06전사손익_상반기_연간손익정리(서대호)_8월예상_02년 2월 이동_예상손익_1" xfId="4842"/>
    <cellStyle name="7_5월이동_전사손익_06전사손익_상반기_연간손익정리(서대호)_8월예상_02년 3월 이동_예상손익(전사취합)" xfId="4843"/>
    <cellStyle name="7_5월이동_전사손익_06전사손익_상반기_연간손익정리(서대호)_8월예상_02년 6월 이동_예상손익(전사취합)" xfId="4844"/>
    <cellStyle name="7_5월이동_전사손익_06전사손익_상반기_연간손익정리(서대호)_8월예상_02년간예상손익" xfId="4845"/>
    <cellStyle name="7_5월이동_전사손익_06전사손익_상반기_연간손익정리(서대호)_8월예상_04월 이동계획_전사예상pl" xfId="4846"/>
    <cellStyle name="7_5월이동_전사손익_06전사손익_상반기_연간손익정리(서대호)_8월예상_1월이동손익_전사예상pl" xfId="4847"/>
    <cellStyle name="7_5월이동_전사손익_06전사손익_상반기_연간손익정리(서대호)_8월예상_obu별손익0112이동" xfId="4848"/>
    <cellStyle name="7_5월이동_전사손익_06전사손익_상반기_연간손익정리(서대호)_obu별손익0112이동" xfId="4849"/>
    <cellStyle name="7_5월이동_전사손익_06전사손익_상반기_연간손익정리(서대호)_연간예상추정5886_0726" xfId="4850"/>
    <cellStyle name="7_5월이동_전사손익_06전사손익_상반기_연간손익정리(서대호)_연간예상추정5886_0726_01년간예상손익(12월이동)" xfId="4851"/>
    <cellStyle name="7_5월이동_전사손익_06전사손익_상반기_연간손익정리(서대호)_연간예상추정5886_0726_01년간예상손익(12월이동)_2" xfId="4852"/>
    <cellStyle name="7_5월이동_전사손익_06전사손익_상반기_연간손익정리(서대호)_연간예상추정5886_0726_02년 2월 이동_예상손익" xfId="4853"/>
    <cellStyle name="7_5월이동_전사손익_06전사손익_상반기_연간손익정리(서대호)_연간예상추정5886_0726_02년 2월 이동_예상손익_1" xfId="4854"/>
    <cellStyle name="7_5월이동_전사손익_06전사손익_상반기_연간손익정리(서대호)_연간예상추정5886_0726_02년 3월 이동_예상손익(전사취합)" xfId="4855"/>
    <cellStyle name="7_5월이동_전사손익_06전사손익_상반기_연간손익정리(서대호)_연간예상추정5886_0726_02년 6월 이동_예상손익(전사취합)" xfId="4856"/>
    <cellStyle name="7_5월이동_전사손익_06전사손익_상반기_연간손익정리(서대호)_연간예상추정5886_0726_02년간예상손익" xfId="4857"/>
    <cellStyle name="7_5월이동_전사손익_06전사손익_상반기_연간손익정리(서대호)_연간예상추정5886_0726_04월 이동계획_전사예상pl" xfId="4858"/>
    <cellStyle name="7_5월이동_전사손익_06전사손익_상반기_연간손익정리(서대호)_연간예상추정5886_0726_1월이동손익_전사예상pl" xfId="4859"/>
    <cellStyle name="7_5월이동_전사손익_06전사손익_상반기_연간손익정리(서대호)_연간예상추정5886_0726_obu별손익0112이동" xfId="4860"/>
    <cellStyle name="7_5월이동_전사손익_06전사손익_연간예상추정5886_0726" xfId="4861"/>
    <cellStyle name="7_5월이동_전사손익_06전사손익_연간예상추정5886_0726_01년간예상손익(12월이동)" xfId="4862"/>
    <cellStyle name="7_5월이동_전사손익_06전사손익_연간예상추정5886_0726_01년간예상손익(12월이동)_2" xfId="4863"/>
    <cellStyle name="7_5월이동_전사손익_06전사손익_연간예상추정5886_0726_02년 2월 이동_예상손익" xfId="4864"/>
    <cellStyle name="7_5월이동_전사손익_06전사손익_연간예상추정5886_0726_02년 2월 이동_예상손익_1" xfId="4865"/>
    <cellStyle name="7_5월이동_전사손익_06전사손익_연간예상추정5886_0726_02년 3월 이동_예상손익(전사취합)" xfId="4866"/>
    <cellStyle name="7_5월이동_전사손익_06전사손익_연간예상추정5886_0726_02년 6월 이동_예상손익(전사취합)" xfId="4867"/>
    <cellStyle name="7_5월이동_전사손익_06전사손익_연간예상추정5886_0726_02년간예상손익" xfId="4868"/>
    <cellStyle name="7_5월이동_전사손익_06전사손익_연간예상추정5886_0726_04월 이동계획_전사예상pl" xfId="4869"/>
    <cellStyle name="7_5월이동_전사손익_06전사손익_연간예상추정5886_0726_1월이동손익_전사예상pl" xfId="4870"/>
    <cellStyle name="7_5월이동_전사손익_06전사손익_연간예상추정5886_0726_obu별손익0112이동" xfId="4871"/>
    <cellStyle name="7_5월이동_전사손익_06전사손익1" xfId="4872"/>
    <cellStyle name="7_5월이동_전사손익_06전사손익1_01년간예상손익(12월이동)" xfId="4873"/>
    <cellStyle name="7_5월이동_전사손익_06전사손익1_01년간예상손익(12월이동)_2" xfId="4874"/>
    <cellStyle name="7_5월이동_전사손익_06전사손익1_01매출손익(6월 실적반영)" xfId="4875"/>
    <cellStyle name="7_5월이동_전사손익_06전사손익1_01매출손익(6월 실적반영)_01년간예상손익(12월이동)" xfId="4876"/>
    <cellStyle name="7_5월이동_전사손익_06전사손익1_01매출손익(6월 실적반영)_01년간예상손익(12월이동)_2" xfId="4877"/>
    <cellStyle name="7_5월이동_전사손익_06전사손익1_01매출손익(6월 실적반영)_02년 2월 이동_예상손익" xfId="4878"/>
    <cellStyle name="7_5월이동_전사손익_06전사손익1_01매출손익(6월 실적반영)_02년 2월 이동_예상손익_1" xfId="4879"/>
    <cellStyle name="7_5월이동_전사손익_06전사손익1_01매출손익(6월 실적반영)_02년 3월 이동_예상손익(전사취합)" xfId="4880"/>
    <cellStyle name="7_5월이동_전사손익_06전사손익1_01매출손익(6월 실적반영)_02년 6월 이동_예상손익(전사취합)" xfId="4881"/>
    <cellStyle name="7_5월이동_전사손익_06전사손익1_01매출손익(6월 실적반영)_02년간예상손익" xfId="4882"/>
    <cellStyle name="7_5월이동_전사손익_06전사손익1_01매출손익(6월 실적반영)_04월 이동계획_전사예상pl" xfId="4883"/>
    <cellStyle name="7_5월이동_전사손익_06전사손익1_01매출손익(6월 실적반영)_1월이동손익_전사예상pl" xfId="4884"/>
    <cellStyle name="7_5월이동_전사손익_06전사손익1_01매출손익(6월 실적반영)_obu별손익0112이동" xfId="4885"/>
    <cellStyle name="7_5월이동_전사손익_06전사손익1_02년 2월 이동_예상손익" xfId="4886"/>
    <cellStyle name="7_5월이동_전사손익_06전사손익1_02년 2월 이동_예상손익_1" xfId="4887"/>
    <cellStyle name="7_5월이동_전사손익_06전사손익1_02년 3월 이동_예상손익(전사취합)" xfId="4888"/>
    <cellStyle name="7_5월이동_전사손익_06전사손익1_02년 6월 이동_예상손익(전사취합)" xfId="4889"/>
    <cellStyle name="7_5월이동_전사손익_06전사손익1_02년간예상손익" xfId="4890"/>
    <cellStyle name="7_5월이동_전사손익_06전사손익1_04월 이동계획_전사예상pl" xfId="4891"/>
    <cellStyle name="7_5월이동_전사손익_06전사손익1_1월이동손익_전사예상pl" xfId="4892"/>
    <cellStyle name="7_5월이동_전사손익_06전사손익1_8월예상" xfId="4893"/>
    <cellStyle name="7_5월이동_전사손익_06전사손익1_8월예상_01년간예상손익(12월이동)" xfId="4894"/>
    <cellStyle name="7_5월이동_전사손익_06전사손익1_8월예상_01년간예상손익(12월이동)_2" xfId="4895"/>
    <cellStyle name="7_5월이동_전사손익_06전사손익1_8월예상_02년 2월 이동_예상손익" xfId="4896"/>
    <cellStyle name="7_5월이동_전사손익_06전사손익1_8월예상_02년 2월 이동_예상손익_1" xfId="4897"/>
    <cellStyle name="7_5월이동_전사손익_06전사손익1_8월예상_02년 3월 이동_예상손익(전사취합)" xfId="4898"/>
    <cellStyle name="7_5월이동_전사손익_06전사손익1_8월예상_02년 6월 이동_예상손익(전사취합)" xfId="4899"/>
    <cellStyle name="7_5월이동_전사손익_06전사손익1_8월예상_02년간예상손익" xfId="4900"/>
    <cellStyle name="7_5월이동_전사손익_06전사손익1_8월예상_04월 이동계획_전사예상pl" xfId="4901"/>
    <cellStyle name="7_5월이동_전사손익_06전사손익1_8월예상_1월이동손익_전사예상pl" xfId="4902"/>
    <cellStyle name="7_5월이동_전사손익_06전사손익1_8월예상_obu별손익0112이동" xfId="4903"/>
    <cellStyle name="7_5월이동_전사손익_06전사손익1_9-12월예상pl" xfId="4904"/>
    <cellStyle name="7_5월이동_전사손익_06전사손익1_9-12월예상pl_01년간예상손익(12월이동)" xfId="4905"/>
    <cellStyle name="7_5월이동_전사손익_06전사손익1_9-12월예상pl_01년간예상손익(12월이동)_2" xfId="4906"/>
    <cellStyle name="7_5월이동_전사손익_06전사손익1_9-12월예상pl_02년 2월 이동_예상손익" xfId="4907"/>
    <cellStyle name="7_5월이동_전사손익_06전사손익1_9-12월예상pl_02년 2월 이동_예상손익_1" xfId="4908"/>
    <cellStyle name="7_5월이동_전사손익_06전사손익1_9-12월예상pl_02년 3월 이동_예상손익(전사취합)" xfId="4909"/>
    <cellStyle name="7_5월이동_전사손익_06전사손익1_9-12월예상pl_02년 6월 이동_예상손익(전사취합)" xfId="4910"/>
    <cellStyle name="7_5월이동_전사손익_06전사손익1_9-12월예상pl_02년간예상손익" xfId="4911"/>
    <cellStyle name="7_5월이동_전사손익_06전사손익1_9-12월예상pl_04월 이동계획_전사예상pl" xfId="4912"/>
    <cellStyle name="7_5월이동_전사손익_06전사손익1_9-12월예상pl_1월이동손익_전사예상pl" xfId="4913"/>
    <cellStyle name="7_5월이동_전사손익_06전사손익1_9-12월예상pl_obu별손익0112이동" xfId="4914"/>
    <cellStyle name="7_5월이동_전사손익_06전사손익1_obu별손익0112이동" xfId="4915"/>
    <cellStyle name="7_5월이동_전사손익_06전사손익1_상반기_연간손익정리(서대호)" xfId="4916"/>
    <cellStyle name="7_5월이동_전사손익_06전사손익1_상반기_연간손익정리(서대호)_01년간예상손익(12월이동)" xfId="4917"/>
    <cellStyle name="7_5월이동_전사손익_06전사손익1_상반기_연간손익정리(서대호)_01년간예상손익(12월이동)_2" xfId="4918"/>
    <cellStyle name="7_5월이동_전사손익_06전사손익1_상반기_연간손익정리(서대호)_01매출손익(6월 실적반영)" xfId="4919"/>
    <cellStyle name="7_5월이동_전사손익_06전사손익1_상반기_연간손익정리(서대호)_01매출손익(6월 실적반영)_01년간예상손익(12월이동)" xfId="4920"/>
    <cellStyle name="7_5월이동_전사손익_06전사손익1_상반기_연간손익정리(서대호)_01매출손익(6월 실적반영)_01년간예상손익(12월이동)_2" xfId="4921"/>
    <cellStyle name="7_5월이동_전사손익_06전사손익1_상반기_연간손익정리(서대호)_01매출손익(6월 실적반영)_02년 2월 이동_예상손익" xfId="4922"/>
    <cellStyle name="7_5월이동_전사손익_06전사손익1_상반기_연간손익정리(서대호)_01매출손익(6월 실적반영)_02년 2월 이동_예상손익_1" xfId="4923"/>
    <cellStyle name="7_5월이동_전사손익_06전사손익1_상반기_연간손익정리(서대호)_01매출손익(6월 실적반영)_02년 3월 이동_예상손익(전사취합)" xfId="4924"/>
    <cellStyle name="7_5월이동_전사손익_06전사손익1_상반기_연간손익정리(서대호)_01매출손익(6월 실적반영)_02년 6월 이동_예상손익(전사취합)" xfId="4925"/>
    <cellStyle name="7_5월이동_전사손익_06전사손익1_상반기_연간손익정리(서대호)_01매출손익(6월 실적반영)_02년간예상손익" xfId="4926"/>
    <cellStyle name="7_5월이동_전사손익_06전사손익1_상반기_연간손익정리(서대호)_01매출손익(6월 실적반영)_04월 이동계획_전사예상pl" xfId="4927"/>
    <cellStyle name="7_5월이동_전사손익_06전사손익1_상반기_연간손익정리(서대호)_01매출손익(6월 실적반영)_1월이동손익_전사예상pl" xfId="4928"/>
    <cellStyle name="7_5월이동_전사손익_06전사손익1_상반기_연간손익정리(서대호)_01매출손익(6월 실적반영)_obu별손익0112이동" xfId="4929"/>
    <cellStyle name="7_5월이동_전사손익_06전사손익1_상반기_연간손익정리(서대호)_02년 2월 이동_예상손익" xfId="4930"/>
    <cellStyle name="7_5월이동_전사손익_06전사손익1_상반기_연간손익정리(서대호)_02년 2월 이동_예상손익_1" xfId="4931"/>
    <cellStyle name="7_5월이동_전사손익_06전사손익1_상반기_연간손익정리(서대호)_02년 3월 이동_예상손익(전사취합)" xfId="4932"/>
    <cellStyle name="7_5월이동_전사손익_06전사손익1_상반기_연간손익정리(서대호)_02년 6월 이동_예상손익(전사취합)" xfId="4933"/>
    <cellStyle name="7_5월이동_전사손익_06전사손익1_상반기_연간손익정리(서대호)_02년간예상손익" xfId="4934"/>
    <cellStyle name="7_5월이동_전사손익_06전사손익1_상반기_연간손익정리(서대호)_04월 이동계획_전사예상pl" xfId="4935"/>
    <cellStyle name="7_5월이동_전사손익_06전사손익1_상반기_연간손익정리(서대호)_1월이동손익_전사예상pl" xfId="4936"/>
    <cellStyle name="7_5월이동_전사손익_06전사손익1_상반기_연간손익정리(서대호)_8월예상" xfId="4937"/>
    <cellStyle name="7_5월이동_전사손익_06전사손익1_상반기_연간손익정리(서대호)_8월예상_01년간예상손익(12월이동)" xfId="4938"/>
    <cellStyle name="7_5월이동_전사손익_06전사손익1_상반기_연간손익정리(서대호)_8월예상_01년간예상손익(12월이동)_2" xfId="4939"/>
    <cellStyle name="7_5월이동_전사손익_06전사손익1_상반기_연간손익정리(서대호)_8월예상_02년 2월 이동_예상손익" xfId="4940"/>
    <cellStyle name="7_5월이동_전사손익_06전사손익1_상반기_연간손익정리(서대호)_8월예상_02년 2월 이동_예상손익_1" xfId="4941"/>
    <cellStyle name="7_5월이동_전사손익_06전사손익1_상반기_연간손익정리(서대호)_8월예상_02년 3월 이동_예상손익(전사취합)" xfId="4942"/>
    <cellStyle name="7_5월이동_전사손익_06전사손익1_상반기_연간손익정리(서대호)_8월예상_02년 6월 이동_예상손익(전사취합)" xfId="4943"/>
    <cellStyle name="7_5월이동_전사손익_06전사손익1_상반기_연간손익정리(서대호)_8월예상_02년간예상손익" xfId="4944"/>
    <cellStyle name="7_5월이동_전사손익_06전사손익1_상반기_연간손익정리(서대호)_8월예상_04월 이동계획_전사예상pl" xfId="4945"/>
    <cellStyle name="7_5월이동_전사손익_06전사손익1_상반기_연간손익정리(서대호)_8월예상_1월이동손익_전사예상pl" xfId="4946"/>
    <cellStyle name="7_5월이동_전사손익_06전사손익1_상반기_연간손익정리(서대호)_8월예상_obu별손익0112이동" xfId="4947"/>
    <cellStyle name="7_5월이동_전사손익_06전사손익1_상반기_연간손익정리(서대호)_obu별손익0112이동" xfId="4948"/>
    <cellStyle name="7_5월이동_전사손익_06전사손익1_상반기_연간손익정리(서대호)_연간예상추정5886_0726" xfId="4949"/>
    <cellStyle name="7_5월이동_전사손익_06전사손익1_상반기_연간손익정리(서대호)_연간예상추정5886_0726_01년간예상손익(12월이동)" xfId="4950"/>
    <cellStyle name="7_5월이동_전사손익_06전사손익1_상반기_연간손익정리(서대호)_연간예상추정5886_0726_01년간예상손익(12월이동)_2" xfId="4951"/>
    <cellStyle name="7_5월이동_전사손익_06전사손익1_상반기_연간손익정리(서대호)_연간예상추정5886_0726_02년 2월 이동_예상손익" xfId="4952"/>
    <cellStyle name="7_5월이동_전사손익_06전사손익1_상반기_연간손익정리(서대호)_연간예상추정5886_0726_02년 2월 이동_예상손익_1" xfId="4953"/>
    <cellStyle name="7_5월이동_전사손익_06전사손익1_상반기_연간손익정리(서대호)_연간예상추정5886_0726_02년 3월 이동_예상손익(전사취합)" xfId="4954"/>
    <cellStyle name="7_5월이동_전사손익_06전사손익1_상반기_연간손익정리(서대호)_연간예상추정5886_0726_02년 6월 이동_예상손익(전사취합)" xfId="4955"/>
    <cellStyle name="7_5월이동_전사손익_06전사손익1_상반기_연간손익정리(서대호)_연간예상추정5886_0726_02년간예상손익" xfId="4956"/>
    <cellStyle name="7_5월이동_전사손익_06전사손익1_상반기_연간손익정리(서대호)_연간예상추정5886_0726_04월 이동계획_전사예상pl" xfId="4957"/>
    <cellStyle name="7_5월이동_전사손익_06전사손익1_상반기_연간손익정리(서대호)_연간예상추정5886_0726_1월이동손익_전사예상pl" xfId="4958"/>
    <cellStyle name="7_5월이동_전사손익_06전사손익1_상반기_연간손익정리(서대호)_연간예상추정5886_0726_obu별손익0112이동" xfId="4959"/>
    <cellStyle name="7_5월이동_전사손익_06전사손익1_연간예상추정5886_0726" xfId="4960"/>
    <cellStyle name="7_5월이동_전사손익_06전사손익1_연간예상추정5886_0726_01년간예상손익(12월이동)" xfId="4961"/>
    <cellStyle name="7_5월이동_전사손익_06전사손익1_연간예상추정5886_0726_01년간예상손익(12월이동)_2" xfId="4962"/>
    <cellStyle name="7_5월이동_전사손익_06전사손익1_연간예상추정5886_0726_02년 2월 이동_예상손익" xfId="4963"/>
    <cellStyle name="7_5월이동_전사손익_06전사손익1_연간예상추정5886_0726_02년 2월 이동_예상손익_1" xfId="4964"/>
    <cellStyle name="7_5월이동_전사손익_06전사손익1_연간예상추정5886_0726_02년 3월 이동_예상손익(전사취합)" xfId="4965"/>
    <cellStyle name="7_5월이동_전사손익_06전사손익1_연간예상추정5886_0726_02년 6월 이동_예상손익(전사취합)" xfId="4966"/>
    <cellStyle name="7_5월이동_전사손익_06전사손익1_연간예상추정5886_0726_02년간예상손익" xfId="4967"/>
    <cellStyle name="7_5월이동_전사손익_06전사손익1_연간예상추정5886_0726_04월 이동계획_전사예상pl" xfId="4968"/>
    <cellStyle name="7_5월이동_전사손익_06전사손익1_연간예상추정5886_0726_1월이동손익_전사예상pl" xfId="4969"/>
    <cellStyle name="7_5월이동_전사손익_06전사손익1_연간예상추정5886_0726_obu별손익0112이동" xfId="4970"/>
    <cellStyle name="7_5월이동_전사손익_1월이동손익_전사예상pl" xfId="4971"/>
    <cellStyle name="7_5월이동_전사손익_8월예상" xfId="4972"/>
    <cellStyle name="7_5월이동_전사손익_8월예상_01년간예상손익(12월이동)" xfId="4973"/>
    <cellStyle name="7_5월이동_전사손익_8월예상_01년간예상손익(12월이동)_2" xfId="4974"/>
    <cellStyle name="7_5월이동_전사손익_8월예상_02년 2월 이동_예상손익" xfId="4975"/>
    <cellStyle name="7_5월이동_전사손익_8월예상_02년 2월 이동_예상손익_1" xfId="4976"/>
    <cellStyle name="7_5월이동_전사손익_8월예상_02년 3월 이동_예상손익(전사취합)" xfId="4977"/>
    <cellStyle name="7_5월이동_전사손익_8월예상_02년 6월 이동_예상손익(전사취합)" xfId="4978"/>
    <cellStyle name="7_5월이동_전사손익_8월예상_02년간예상손익" xfId="4979"/>
    <cellStyle name="7_5월이동_전사손익_8월예상_04월 이동계획_전사예상pl" xfId="4980"/>
    <cellStyle name="7_5월이동_전사손익_8월예상_1월이동손익_전사예상pl" xfId="4981"/>
    <cellStyle name="7_5월이동_전사손익_8월예상_obu별손익0112이동" xfId="4982"/>
    <cellStyle name="7_5월이동_전사손익_9-12월예상pl" xfId="4983"/>
    <cellStyle name="7_5월이동_전사손익_9-12월예상pl_01년간예상손익(12월이동)" xfId="4984"/>
    <cellStyle name="7_5월이동_전사손익_9-12월예상pl_01년간예상손익(12월이동)_2" xfId="4985"/>
    <cellStyle name="7_5월이동_전사손익_9-12월예상pl_02년 2월 이동_예상손익" xfId="4986"/>
    <cellStyle name="7_5월이동_전사손익_9-12월예상pl_02년 2월 이동_예상손익_1" xfId="4987"/>
    <cellStyle name="7_5월이동_전사손익_9-12월예상pl_02년 3월 이동_예상손익(전사취합)" xfId="4988"/>
    <cellStyle name="7_5월이동_전사손익_9-12월예상pl_02년 6월 이동_예상손익(전사취합)" xfId="4989"/>
    <cellStyle name="7_5월이동_전사손익_9-12월예상pl_02년간예상손익" xfId="4990"/>
    <cellStyle name="7_5월이동_전사손익_9-12월예상pl_04월 이동계획_전사예상pl" xfId="4991"/>
    <cellStyle name="7_5월이동_전사손익_9-12월예상pl_1월이동손익_전사예상pl" xfId="4992"/>
    <cellStyle name="7_5월이동_전사손익_9-12월예상pl_obu별손익0112이동" xfId="4993"/>
    <cellStyle name="7_5월이동_전사손익_obu별손익0112이동" xfId="4994"/>
    <cellStyle name="7_5월이동_전사손익_상반기_연간손익정리(서대호)" xfId="4995"/>
    <cellStyle name="7_5월이동_전사손익_상반기_연간손익정리(서대호)_01년간예상손익(12월이동)" xfId="4996"/>
    <cellStyle name="7_5월이동_전사손익_상반기_연간손익정리(서대호)_01년간예상손익(12월이동)_2" xfId="4997"/>
    <cellStyle name="7_5월이동_전사손익_상반기_연간손익정리(서대호)_01매출손익(6월 실적반영)" xfId="4998"/>
    <cellStyle name="7_5월이동_전사손익_상반기_연간손익정리(서대호)_01매출손익(6월 실적반영)_01년간예상손익(12월이동)" xfId="4999"/>
    <cellStyle name="7_5월이동_전사손익_상반기_연간손익정리(서대호)_01매출손익(6월 실적반영)_01년간예상손익(12월이동)_2" xfId="5000"/>
    <cellStyle name="7_5월이동_전사손익_상반기_연간손익정리(서대호)_01매출손익(6월 실적반영)_02년 2월 이동_예상손익" xfId="5001"/>
    <cellStyle name="7_5월이동_전사손익_상반기_연간손익정리(서대호)_01매출손익(6월 실적반영)_02년 2월 이동_예상손익_1" xfId="5002"/>
    <cellStyle name="7_5월이동_전사손익_상반기_연간손익정리(서대호)_01매출손익(6월 실적반영)_02년 3월 이동_예상손익(전사취합)" xfId="5003"/>
    <cellStyle name="7_5월이동_전사손익_상반기_연간손익정리(서대호)_01매출손익(6월 실적반영)_02년 6월 이동_예상손익(전사취합)" xfId="5004"/>
    <cellStyle name="7_5월이동_전사손익_상반기_연간손익정리(서대호)_01매출손익(6월 실적반영)_02년간예상손익" xfId="5005"/>
    <cellStyle name="7_5월이동_전사손익_상반기_연간손익정리(서대호)_01매출손익(6월 실적반영)_04월 이동계획_전사예상pl" xfId="5006"/>
    <cellStyle name="7_5월이동_전사손익_상반기_연간손익정리(서대호)_01매출손익(6월 실적반영)_1월이동손익_전사예상pl" xfId="5007"/>
    <cellStyle name="7_5월이동_전사손익_상반기_연간손익정리(서대호)_01매출손익(6월 실적반영)_obu별손익0112이동" xfId="5008"/>
    <cellStyle name="7_5월이동_전사손익_상반기_연간손익정리(서대호)_02년 2월 이동_예상손익" xfId="5009"/>
    <cellStyle name="7_5월이동_전사손익_상반기_연간손익정리(서대호)_02년 2월 이동_예상손익_1" xfId="5010"/>
    <cellStyle name="7_5월이동_전사손익_상반기_연간손익정리(서대호)_02년 3월 이동_예상손익(전사취합)" xfId="5011"/>
    <cellStyle name="7_5월이동_전사손익_상반기_연간손익정리(서대호)_02년 6월 이동_예상손익(전사취합)" xfId="5012"/>
    <cellStyle name="7_5월이동_전사손익_상반기_연간손익정리(서대호)_02년간예상손익" xfId="5013"/>
    <cellStyle name="7_5월이동_전사손익_상반기_연간손익정리(서대호)_04월 이동계획_전사예상pl" xfId="5014"/>
    <cellStyle name="7_5월이동_전사손익_상반기_연간손익정리(서대호)_1월이동손익_전사예상pl" xfId="5015"/>
    <cellStyle name="7_5월이동_전사손익_상반기_연간손익정리(서대호)_8월예상" xfId="5016"/>
    <cellStyle name="7_5월이동_전사손익_상반기_연간손익정리(서대호)_8월예상_01년간예상손익(12월이동)" xfId="5017"/>
    <cellStyle name="7_5월이동_전사손익_상반기_연간손익정리(서대호)_8월예상_01년간예상손익(12월이동)_2" xfId="5018"/>
    <cellStyle name="7_5월이동_전사손익_상반기_연간손익정리(서대호)_8월예상_02년 2월 이동_예상손익" xfId="5019"/>
    <cellStyle name="7_5월이동_전사손익_상반기_연간손익정리(서대호)_8월예상_02년 2월 이동_예상손익_1" xfId="5020"/>
    <cellStyle name="7_5월이동_전사손익_상반기_연간손익정리(서대호)_8월예상_02년 3월 이동_예상손익(전사취합)" xfId="5021"/>
    <cellStyle name="7_5월이동_전사손익_상반기_연간손익정리(서대호)_8월예상_02년 6월 이동_예상손익(전사취합)" xfId="5022"/>
    <cellStyle name="7_5월이동_전사손익_상반기_연간손익정리(서대호)_8월예상_02년간예상손익" xfId="5023"/>
    <cellStyle name="7_5월이동_전사손익_상반기_연간손익정리(서대호)_8월예상_04월 이동계획_전사예상pl" xfId="5024"/>
    <cellStyle name="7_5월이동_전사손익_상반기_연간손익정리(서대호)_8월예상_1월이동손익_전사예상pl" xfId="5025"/>
    <cellStyle name="7_5월이동_전사손익_상반기_연간손익정리(서대호)_8월예상_obu별손익0112이동" xfId="5026"/>
    <cellStyle name="7_5월이동_전사손익_상반기_연간손익정리(서대호)_obu별손익0112이동" xfId="5027"/>
    <cellStyle name="7_5월이동_전사손익_상반기_연간손익정리(서대호)_연간예상추정5886_0726" xfId="5028"/>
    <cellStyle name="7_5월이동_전사손익_상반기_연간손익정리(서대호)_연간예상추정5886_0726_01년간예상손익(12월이동)" xfId="5029"/>
    <cellStyle name="7_5월이동_전사손익_상반기_연간손익정리(서대호)_연간예상추정5886_0726_01년간예상손익(12월이동)_2" xfId="5030"/>
    <cellStyle name="7_5월이동_전사손익_상반기_연간손익정리(서대호)_연간예상추정5886_0726_02년 2월 이동_예상손익" xfId="5031"/>
    <cellStyle name="7_5월이동_전사손익_상반기_연간손익정리(서대호)_연간예상추정5886_0726_02년 2월 이동_예상손익_1" xfId="5032"/>
    <cellStyle name="7_5월이동_전사손익_상반기_연간손익정리(서대호)_연간예상추정5886_0726_02년 3월 이동_예상손익(전사취합)" xfId="5033"/>
    <cellStyle name="7_5월이동_전사손익_상반기_연간손익정리(서대호)_연간예상추정5886_0726_02년 6월 이동_예상손익(전사취합)" xfId="5034"/>
    <cellStyle name="7_5월이동_전사손익_상반기_연간손익정리(서대호)_연간예상추정5886_0726_02년간예상손익" xfId="5035"/>
    <cellStyle name="7_5월이동_전사손익_상반기_연간손익정리(서대호)_연간예상추정5886_0726_04월 이동계획_전사예상pl" xfId="5036"/>
    <cellStyle name="7_5월이동_전사손익_상반기_연간손익정리(서대호)_연간예상추정5886_0726_1월이동손익_전사예상pl" xfId="5037"/>
    <cellStyle name="7_5월이동_전사손익_상반기_연간손익정리(서대호)_연간예상추정5886_0726_obu별손익0112이동" xfId="5038"/>
    <cellStyle name="7_5월이동_전사손익_연간예상추정5886_0726" xfId="5039"/>
    <cellStyle name="7_5월이동_전사손익_연간예상추정5886_0726_01년간예상손익(12월이동)" xfId="5040"/>
    <cellStyle name="7_5월이동_전사손익_연간예상추정5886_0726_01년간예상손익(12월이동)_2" xfId="5041"/>
    <cellStyle name="7_5월이동_전사손익_연간예상추정5886_0726_02년 2월 이동_예상손익" xfId="5042"/>
    <cellStyle name="7_5월이동_전사손익_연간예상추정5886_0726_02년 2월 이동_예상손익_1" xfId="5043"/>
    <cellStyle name="7_5월이동_전사손익_연간예상추정5886_0726_02년 3월 이동_예상손익(전사취합)" xfId="5044"/>
    <cellStyle name="7_5월이동_전사손익_연간예상추정5886_0726_02년 6월 이동_예상손익(전사취합)" xfId="5045"/>
    <cellStyle name="7_5월이동_전사손익_연간예상추정5886_0726_02년간예상손익" xfId="5046"/>
    <cellStyle name="7_5월이동_전사손익_연간예상추정5886_0726_04월 이동계획_전사예상pl" xfId="5047"/>
    <cellStyle name="7_5월이동_전사손익_연간예상추정5886_0726_1월이동손익_전사예상pl" xfId="5048"/>
    <cellStyle name="7_5월이동_전사손익_연간예상추정5886_0726_obu별손익0112이동" xfId="5049"/>
    <cellStyle name="7_8월 예상손익 점검" xfId="5050"/>
    <cellStyle name="7_8월 예상손익 점검_8월 예상손익 점검" xfId="5051"/>
    <cellStyle name="7_8월 예상손익 점검_8월 예상손익 점검_DM_환율영향분석_본부" xfId="5052"/>
    <cellStyle name="7_8월 예상손익 점검_DM_환율영향분석_본부" xfId="5053"/>
    <cellStyle name="7_8월예상" xfId="5054"/>
    <cellStyle name="7_8월예상_01년간예상손익(12월이동)" xfId="5055"/>
    <cellStyle name="7_8월예상_01년간예상손익(12월이동)_2" xfId="5056"/>
    <cellStyle name="7_8월예상_02년 2월 이동_예상손익" xfId="5057"/>
    <cellStyle name="7_8월예상_02년 2월 이동_예상손익_1" xfId="5058"/>
    <cellStyle name="7_8월예상_02년 3월 이동_예상손익(전사취합)" xfId="5059"/>
    <cellStyle name="7_8월예상_02년 6월 이동_예상손익(전사취합)" xfId="5060"/>
    <cellStyle name="7_8월예상_02년간예상손익" xfId="5061"/>
    <cellStyle name="7_8월예상_04월 이동계획_전사예상pl" xfId="5062"/>
    <cellStyle name="7_8월예상_1월이동손익_전사예상pl" xfId="5063"/>
    <cellStyle name="7_8월예상_obu별손익0112이동" xfId="5064"/>
    <cellStyle name="7_8월전사예상(0903)" xfId="5065"/>
    <cellStyle name="7_8월전사예상(0903)_01년간예상손익(12월이동)" xfId="5066"/>
    <cellStyle name="7_8월전사예상(0903)_01년간예상손익(12월이동)_2" xfId="5067"/>
    <cellStyle name="7_8월전사예상(0903)_02년 2월 이동_예상손익" xfId="5068"/>
    <cellStyle name="7_8월전사예상(0903)_02년 2월 이동_예상손익_1" xfId="5069"/>
    <cellStyle name="7_8월전사예상(0903)_02년 3월 이동_예상손익(전사취합)" xfId="5070"/>
    <cellStyle name="7_8월전사예상(0903)_02년 6월 이동_예상손익(전사취합)" xfId="5071"/>
    <cellStyle name="7_8월전사예상(0903)_02년간예상손익" xfId="5072"/>
    <cellStyle name="7_8월전사예상(0903)_04월 이동계획_전사예상pl" xfId="5073"/>
    <cellStyle name="7_8월전사예상(0903)_1월이동손익_전사예상pl" xfId="5074"/>
    <cellStyle name="7_8월전사예상(0903)_obu별손익0112이동" xfId="5075"/>
    <cellStyle name="7_9-12월예상pl" xfId="5076"/>
    <cellStyle name="7_9-12월예상pl_01년간예상손익(12월이동)" xfId="5077"/>
    <cellStyle name="7_9-12월예상pl_01년간예상손익(12월이동)_2" xfId="5078"/>
    <cellStyle name="7_9-12월예상pl_02년 2월 이동_예상손익" xfId="5079"/>
    <cellStyle name="7_9-12월예상pl_02년 2월 이동_예상손익_1" xfId="5080"/>
    <cellStyle name="7_9-12월예상pl_02년 3월 이동_예상손익(전사취합)" xfId="5081"/>
    <cellStyle name="7_9-12월예상pl_02년 6월 이동_예상손익(전사취합)" xfId="5082"/>
    <cellStyle name="7_9-12월예상pl_02년간예상손익" xfId="5083"/>
    <cellStyle name="7_9-12월예상pl_04월 이동계획_전사예상pl" xfId="5084"/>
    <cellStyle name="7_9-12월예상pl_1월이동손익_전사예상pl" xfId="5085"/>
    <cellStyle name="7_9-12월예상pl_obu별손익0112이동" xfId="5086"/>
    <cellStyle name="7_9월차이동계획(0911)" xfId="5087"/>
    <cellStyle name="7_9월차이동계획(0911)_01년간예상손익(12월이동)" xfId="5088"/>
    <cellStyle name="7_9월차이동계획(0911)_01년간예상손익(12월이동)_2" xfId="5089"/>
    <cellStyle name="7_9월차이동계획(0911)_02년 2월 이동_예상손익" xfId="5090"/>
    <cellStyle name="7_9월차이동계획(0911)_02년 2월 이동_예상손익_1" xfId="5091"/>
    <cellStyle name="7_9월차이동계획(0911)_02년 3월 이동_예상손익(전사취합)" xfId="5092"/>
    <cellStyle name="7_9월차이동계획(0911)_02년 6월 이동_예상손익(전사취합)" xfId="5093"/>
    <cellStyle name="7_9월차이동계획(0911)_02년간예상손익" xfId="5094"/>
    <cellStyle name="7_9월차이동계획(0911)_04월 이동계획_전사예상pl" xfId="5095"/>
    <cellStyle name="7_9월차이동계획(0911)_1월이동손익_전사예상pl" xfId="5096"/>
    <cellStyle name="7_9월차이동계획(0911)_obu별손익0112이동" xfId="5097"/>
    <cellStyle name="7_Book1" xfId="5098"/>
    <cellStyle name="7_DM_환율영향분석_본부" xfId="5099"/>
    <cellStyle name="7_eva&amp;cash_02~05년 CM" xfId="5100"/>
    <cellStyle name="7_결산진실성EVA" xfId="5101"/>
    <cellStyle name="7_결산진실성EVA_(정우일K)+03년+전략보고+재무구조(030702)" xfId="5102"/>
    <cellStyle name="7_결산진실성EVA_★05년 매출,손익" xfId="5103"/>
    <cellStyle name="7_결산진실성EVA_★05년 매출,손익_8월 예상손익 점검" xfId="5104"/>
    <cellStyle name="7_결산진실성EVA_★05년 매출,손익_8월 예상손익 점검_DM_환율영향분석_본부" xfId="5105"/>
    <cellStyle name="7_결산진실성EVA_★05년 매출,손익_DM_환율영향분석_본부" xfId="5106"/>
    <cellStyle name="7_결산진실성EVA_01_예상매출(총액)" xfId="5107"/>
    <cellStyle name="7_결산진실성EVA_01_예상매출(총액)_01년간예상손익(12월이동)" xfId="5108"/>
    <cellStyle name="7_결산진실성EVA_01_예상매출(총액)_01년간예상손익(12월이동)_2" xfId="5109"/>
    <cellStyle name="7_결산진실성EVA_01_예상매출(총액)_02년 2월 이동_예상손익" xfId="5110"/>
    <cellStyle name="7_결산진실성EVA_01_예상매출(총액)_02년 2월 이동_예상손익_1" xfId="5111"/>
    <cellStyle name="7_결산진실성EVA_01_예상매출(총액)_02년 3월 이동_예상손익(전사취합)" xfId="5112"/>
    <cellStyle name="7_결산진실성EVA_01_예상매출(총액)_02년 6월 이동_예상손익(전사취합)" xfId="5113"/>
    <cellStyle name="7_결산진실성EVA_01_예상매출(총액)_02년간예상손익" xfId="5114"/>
    <cellStyle name="7_결산진실성EVA_01_예상매출(총액)_04월 이동계획_전사예상pl" xfId="5115"/>
    <cellStyle name="7_결산진실성EVA_01_예상매출(총액)_1월이동손익_전사예상pl" xfId="5116"/>
    <cellStyle name="7_결산진실성EVA_01_예상매출(총액)_obu별손익0112이동" xfId="5117"/>
    <cellStyle name="7_결산진실성EVA_01년간예상손익" xfId="5118"/>
    <cellStyle name="7_결산진실성EVA_01년간예상손익_01년간예상손익(12월이동)" xfId="5119"/>
    <cellStyle name="7_결산진실성EVA_01년간예상손익_01년간예상손익(12월이동)_2" xfId="5120"/>
    <cellStyle name="7_결산진실성EVA_01년간예상손익_02년 2월 이동_예상손익" xfId="5121"/>
    <cellStyle name="7_결산진실성EVA_01년간예상손익_02년 2월 이동_예상손익_1" xfId="5122"/>
    <cellStyle name="7_결산진실성EVA_01년간예상손익_02년 3월 이동_예상손익(전사취합)" xfId="5123"/>
    <cellStyle name="7_결산진실성EVA_01년간예상손익_02년 6월 이동_예상손익(전사취합)" xfId="5124"/>
    <cellStyle name="7_결산진실성EVA_01년간예상손익_02년간예상손익" xfId="5125"/>
    <cellStyle name="7_결산진실성EVA_01년간예상손익_04월 이동계획_전사예상pl" xfId="5126"/>
    <cellStyle name="7_결산진실성EVA_01년간예상손익_1월이동손익_전사예상pl" xfId="5127"/>
    <cellStyle name="7_결산진실성EVA_01년간예상손익_obu별손익0112이동" xfId="5128"/>
    <cellStyle name="7_결산진실성EVA_01매출손익(6월 실적반영)" xfId="5129"/>
    <cellStyle name="7_결산진실성EVA_01매출손익(6월 실적반영)_01년간예상손익(12월이동)" xfId="5130"/>
    <cellStyle name="7_결산진실성EVA_01매출손익(6월 실적반영)_01년간예상손익(12월이동)_2" xfId="5131"/>
    <cellStyle name="7_결산진실성EVA_01매출손익(6월 실적반영)_02년 2월 이동_예상손익" xfId="5132"/>
    <cellStyle name="7_결산진실성EVA_01매출손익(6월 실적반영)_02년 2월 이동_예상손익_1" xfId="5133"/>
    <cellStyle name="7_결산진실성EVA_01매출손익(6월 실적반영)_02년 3월 이동_예상손익(전사취합)" xfId="5134"/>
    <cellStyle name="7_결산진실성EVA_01매출손익(6월 실적반영)_02년 6월 이동_예상손익(전사취합)" xfId="5135"/>
    <cellStyle name="7_결산진실성EVA_01매출손익(6월 실적반영)_02년간예상손익" xfId="5136"/>
    <cellStyle name="7_결산진실성EVA_01매출손익(6월 실적반영)_04월 이동계획_전사예상pl" xfId="5137"/>
    <cellStyle name="7_결산진실성EVA_01매출손익(6월 실적반영)_1월이동손익_전사예상pl" xfId="5138"/>
    <cellStyle name="7_결산진실성EVA_01매출손익(6월 실적반영)_obu별손익0112이동" xfId="5139"/>
    <cellStyle name="7_결산진실성EVA_02기본_종합장표" xfId="5140"/>
    <cellStyle name="7_결산진실성EVA_02년사업계획양식V1.0" xfId="5141"/>
    <cellStyle name="7_결산진실성EVA_02년사업계획양식V1.0_02년사업계획양식V1.0_고동욱_011205" xfId="5142"/>
    <cellStyle name="7_결산진실성EVA_02년사업계획양식V1.0_02년사업계획양식V1.0_고동욱_011205_02년사업계획양식V2.0" xfId="5143"/>
    <cellStyle name="7_결산진실성EVA_02년사업계획양식V1.0_02년사업계획양식V1.0_고동욱_011205_02년사업계획양식V2.0_02년사업계획양식V2.0" xfId="5144"/>
    <cellStyle name="7_결산진실성EVA_02년사업계획양식V1.0_02년사업계획양식V1.0_고동욱_011205_02년사업계획양식V2.0_02년사업계획양식V2.0_02년사업계획양식V3.0" xfId="5145"/>
    <cellStyle name="7_결산진실성EVA_02년사업계획양식V1.0_02년사업계획양식V1.0_고동욱_011205_02년사업계획양식V2.0_02년사업계획양식V2.0_02년사업계획양식V3.0_02년사업계획양식V3.0" xfId="5146"/>
    <cellStyle name="7_결산진실성EVA_02년사업계획양식V1.0_02년사업계획양식V1.0_고동욱_011205_02년사업계획양식V2.0_02년사업계획양식V2.0_02년사업계획양식V3.0_02년사업계획양식V3.0(원본)" xfId="5147"/>
    <cellStyle name="7_결산진실성EVA_02년사업계획양식V1.0_02년사업계획양식V1.0_고동욱_011205_02년사업계획양식V2.0_02년사업계획양식V2.0_02년사업계획양식V3.0_02년사업계획양식V3.0(원본)_1" xfId="5148"/>
    <cellStyle name="7_결산진실성EVA_02년사업계획양식V1.0_02년사업계획양식V1.0_고동욱_011205_02년사업계획양식V2.0_02년사업계획양식V3.0" xfId="5149"/>
    <cellStyle name="7_결산진실성EVA_02년사업계획양식V1.0_02년사업계획양식V1.0_고동욱_011205_02년사업계획양식V2.0_02년사업계획양식V3.0(원본)" xfId="5150"/>
    <cellStyle name="7_결산진실성EVA_02년사업계획양식V1.0_02년사업계획양식V1.0_고동욱_011205_02년사업계획양식V2.0_02년사업계획양식V3.0(원본)_1" xfId="5151"/>
    <cellStyle name="7_결산진실성EVA_02년사업계획양식V1.0_02년사업계획양식V1.0_고동욱_011205_02년사업계획양식V2.0_02년사업계획양식V3.0_02년사업계획양식V3.0" xfId="5152"/>
    <cellStyle name="7_결산진실성EVA_02년사업계획양식V1.0_02년사업계획양식V1.0_고동욱_011205_02년사업계획양식V2.0_02년사업계획양식V3.0_02년사업계획양식V3.0_02년사업계획양식V3.0" xfId="5153"/>
    <cellStyle name="7_결산진실성EVA_02년사업계획양식V1.0_02년사업계획양식V1.0_고동욱_011205_02년사업계획양식V2.0_02년사업계획양식V3.0_02년사업계획양식V3.0_02년사업계획양식V3.0(원본)" xfId="5154"/>
    <cellStyle name="7_결산진실성EVA_02년사업계획양식V1.0_02년사업계획양식V1.0_고동욱_011205_02년사업계획양식V2.0_02년사업계획양식V3.0_02년사업계획양식V3.0_02년사업계획양식V3.0(원본)_1" xfId="5155"/>
    <cellStyle name="7_결산진실성EVA_02년사업계획양식V1.0_02년사업계획양식V1.0_고동욱_011205_02년사업계획양식V3.0" xfId="5156"/>
    <cellStyle name="7_결산진실성EVA_02년사업계획양식V1.0_02년사업계획양식V1.0_고동욱_011205_02년사업계획양식V3.0_02년사업계획양식V3.0" xfId="5157"/>
    <cellStyle name="7_결산진실성EVA_02년사업계획양식V1.0_02년사업계획양식V1.0_고동욱_011205_02년사업계획양식V3.0_02년사업계획양식V3.0(원본)" xfId="5158"/>
    <cellStyle name="7_결산진실성EVA_02년사업계획양식V1.0_02년사업계획양식V1.0_고동욱_011205_02년사업계획양식V3.0_02년사업계획양식V3.0(원본)_1" xfId="5159"/>
    <cellStyle name="7_결산진실성EVA_02년사업계획양식V1.0_02년사업계획양식V1.0_대호(bs수정)" xfId="5160"/>
    <cellStyle name="7_결산진실성EVA_02년사업계획양식V1.0_02년사업계획양식V1.0_대호(bs수정)_02년사업계획양식V2.0" xfId="5161"/>
    <cellStyle name="7_결산진실성EVA_02년사업계획양식V1.0_02년사업계획양식V1.0_대호(bs수정)_02년사업계획양식V2.0_02년사업계획양식V2.0" xfId="5162"/>
    <cellStyle name="7_결산진실성EVA_02년사업계획양식V1.0_02년사업계획양식V1.0_대호(bs수정)_02년사업계획양식V2.0_02년사업계획양식V2.0_02년사업계획양식V3.0" xfId="5163"/>
    <cellStyle name="7_결산진실성EVA_02년사업계획양식V1.0_02년사업계획양식V1.0_대호(bs수정)_02년사업계획양식V2.0_02년사업계획양식V2.0_02년사업계획양식V3.0_02년사업계획양식V3.0" xfId="5164"/>
    <cellStyle name="7_결산진실성EVA_02년사업계획양식V1.0_02년사업계획양식V1.0_대호(bs수정)_02년사업계획양식V2.0_02년사업계획양식V2.0_02년사업계획양식V3.0_02년사업계획양식V3.0(원본)" xfId="5165"/>
    <cellStyle name="7_결산진실성EVA_02년사업계획양식V1.0_02년사업계획양식V1.0_대호(bs수정)_02년사업계획양식V2.0_02년사업계획양식V2.0_02년사업계획양식V3.0_02년사업계획양식V3.0(원본)_1" xfId="5166"/>
    <cellStyle name="7_결산진실성EVA_02년사업계획양식V1.0_02년사업계획양식V1.0_대호(bs수정)_02년사업계획양식V2.0_02년사업계획양식V3.0" xfId="5167"/>
    <cellStyle name="7_결산진실성EVA_02년사업계획양식V1.0_02년사업계획양식V1.0_대호(bs수정)_02년사업계획양식V2.0_02년사업계획양식V3.0(원본)" xfId="5168"/>
    <cellStyle name="7_결산진실성EVA_02년사업계획양식V1.0_02년사업계획양식V1.0_대호(bs수정)_02년사업계획양식V2.0_02년사업계획양식V3.0(원본)_1" xfId="5169"/>
    <cellStyle name="7_결산진실성EVA_02년사업계획양식V1.0_02년사업계획양식V1.0_대호(bs수정)_02년사업계획양식V2.0_02년사업계획양식V3.0_02년사업계획양식V3.0" xfId="5170"/>
    <cellStyle name="7_결산진실성EVA_02년사업계획양식V1.0_02년사업계획양식V1.0_대호(bs수정)_02년사업계획양식V2.0_02년사업계획양식V3.0_02년사업계획양식V3.0_02년사업계획양식V3.0" xfId="5171"/>
    <cellStyle name="7_결산진실성EVA_02년사업계획양식V1.0_02년사업계획양식V1.0_대호(bs수정)_02년사업계획양식V2.0_02년사업계획양식V3.0_02년사업계획양식V3.0_02년사업계획양식V3.0(원본)" xfId="5172"/>
    <cellStyle name="7_결산진실성EVA_02년사업계획양식V1.0_02년사업계획양식V1.0_대호(bs수정)_02년사업계획양식V2.0_02년사업계획양식V3.0_02년사업계획양식V3.0_02년사업계획양식V3.0(원본)_1" xfId="5173"/>
    <cellStyle name="7_결산진실성EVA_02년사업계획양식V1.0_02년사업계획양식V1.0_대호(bs수정)_02년사업계획양식V3.0" xfId="5174"/>
    <cellStyle name="7_결산진실성EVA_02년사업계획양식V1.0_02년사업계획양식V1.0_대호(bs수정)_02년사업계획양식V3.0_02년사업계획양식V3.0" xfId="5175"/>
    <cellStyle name="7_결산진실성EVA_02년사업계획양식V1.0_02년사업계획양식V1.0_대호(bs수정)_02년사업계획양식V3.0_02년사업계획양식V3.0(원본)" xfId="5176"/>
    <cellStyle name="7_결산진실성EVA_02년사업계획양식V1.0_02년사업계획양식V1.0_대호(bs수정)_02년사업계획양식V3.0_02년사업계획양식V3.0(원본)_1" xfId="5177"/>
    <cellStyle name="7_결산진실성EVA_02년사업계획양식V1.0_02년사업계획양식V2.0" xfId="5178"/>
    <cellStyle name="7_결산진실성EVA_02년사업계획양식V1.0_02년사업계획양식V2.0_02년사업계획양식V3.0" xfId="5179"/>
    <cellStyle name="7_결산진실성EVA_02년사업계획양식V1.0_02년사업계획양식V2.0_02년사업계획양식V3.0_02년사업계획양식V3.0" xfId="5180"/>
    <cellStyle name="7_결산진실성EVA_02년사업계획양식V1.0_02년사업계획양식V2.0_02년사업계획양식V3.0_02년사업계획양식V3.0(원본)" xfId="5181"/>
    <cellStyle name="7_결산진실성EVA_02년사업계획양식V1.0_02년사업계획양식V2.0_02년사업계획양식V3.0_02년사업계획양식V3.0(원본)_1" xfId="5182"/>
    <cellStyle name="7_결산진실성EVA_02년사업계획양식V1.0_02년사업계획양식V3.0" xfId="5183"/>
    <cellStyle name="7_결산진실성EVA_02년사업계획양식V1.0_02년사업계획양식V3.0(원본)" xfId="5184"/>
    <cellStyle name="7_결산진실성EVA_02년사업계획양식V1.0_02년사업계획양식V3.0(원본)_1" xfId="5185"/>
    <cellStyle name="7_결산진실성EVA_02년사업계획양식V1.0_02년사업계획양식V3.0_02년사업계획양식V3.0" xfId="5186"/>
    <cellStyle name="7_결산진실성EVA_02년사업계획양식V1.0_02년사업계획양식V3.0_02년사업계획양식V3.0_02년사업계획양식V3.0" xfId="5187"/>
    <cellStyle name="7_결산진실성EVA_02년사업계획양식V1.0_02년사업계획양식V3.0_02년사업계획양식V3.0_02년사업계획양식V3.0(원본)" xfId="5188"/>
    <cellStyle name="7_결산진실성EVA_02년사업계획양식V1.0_02년사업계획양식V3.0_02년사업계획양식V3.0_02년사업계획양식V3.0(원본)_1" xfId="5189"/>
    <cellStyle name="7_결산진실성EVA_02년사업계획양식V1.0_고동욱_011130" xfId="5190"/>
    <cellStyle name="7_결산진실성EVA_02년사업계획양식V1.0_고동욱_011130_02년사업계획양식V2.0" xfId="5191"/>
    <cellStyle name="7_결산진실성EVA_02년사업계획양식V1.0_고동욱_011130_02년사업계획양식V2.0_02년사업계획양식V2.0" xfId="5192"/>
    <cellStyle name="7_결산진실성EVA_02년사업계획양식V1.0_고동욱_011130_02년사업계획양식V2.0_02년사업계획양식V2.0_02년사업계획양식V3.0" xfId="5193"/>
    <cellStyle name="7_결산진실성EVA_02년사업계획양식V1.0_고동욱_011130_02년사업계획양식V2.0_02년사업계획양식V2.0_02년사업계획양식V3.0_02년사업계획양식V3.0" xfId="5194"/>
    <cellStyle name="7_결산진실성EVA_02년사업계획양식V1.0_고동욱_011130_02년사업계획양식V2.0_02년사업계획양식V2.0_02년사업계획양식V3.0_02년사업계획양식V3.0(원본)" xfId="5195"/>
    <cellStyle name="7_결산진실성EVA_02년사업계획양식V1.0_고동욱_011130_02년사업계획양식V2.0_02년사업계획양식V2.0_02년사업계획양식V3.0_02년사업계획양식V3.0(원본)_1" xfId="5196"/>
    <cellStyle name="7_결산진실성EVA_02년사업계획양식V1.0_고동욱_011130_02년사업계획양식V2.0_02년사업계획양식V3.0" xfId="5197"/>
    <cellStyle name="7_결산진실성EVA_02년사업계획양식V1.0_고동욱_011130_02년사업계획양식V2.0_02년사업계획양식V3.0(원본)" xfId="5198"/>
    <cellStyle name="7_결산진실성EVA_02년사업계획양식V1.0_고동욱_011130_02년사업계획양식V2.0_02년사업계획양식V3.0(원본)_1" xfId="5199"/>
    <cellStyle name="7_결산진실성EVA_02년사업계획양식V1.0_고동욱_011130_02년사업계획양식V2.0_02년사업계획양식V3.0_02년사업계획양식V3.0" xfId="5200"/>
    <cellStyle name="7_결산진실성EVA_02년사업계획양식V1.0_고동욱_011130_02년사업계획양식V2.0_02년사업계획양식V3.0_02년사업계획양식V3.0_02년사업계획양식V3.0" xfId="5201"/>
    <cellStyle name="7_결산진실성EVA_02년사업계획양식V1.0_고동욱_011130_02년사업계획양식V2.0_02년사업계획양식V3.0_02년사업계획양식V3.0_02년사업계획양식V3.0(원본)" xfId="5202"/>
    <cellStyle name="7_결산진실성EVA_02년사업계획양식V1.0_고동욱_011130_02년사업계획양식V2.0_02년사업계획양식V3.0_02년사업계획양식V3.0_02년사업계획양식V3.0(원본)_1" xfId="5203"/>
    <cellStyle name="7_결산진실성EVA_02년사업계획양식V1.0_고동욱_011130_02년사업계획양식V3.0" xfId="5204"/>
    <cellStyle name="7_결산진실성EVA_02년사업계획양식V1.0_고동욱_011130_02년사업계획양식V3.0_02년사업계획양식V3.0" xfId="5205"/>
    <cellStyle name="7_결산진실성EVA_02년사업계획양식V1.0_고동욱_011130_02년사업계획양식V3.0_02년사업계획양식V3.0(원본)" xfId="5206"/>
    <cellStyle name="7_결산진실성EVA_02년사업계획양식V1.0_고동욱_011130_02년사업계획양식V3.0_02년사업계획양식V3.0(원본)_1" xfId="5207"/>
    <cellStyle name="7_결산진실성EVA_02년사업계획양식V1.0_고동욱_011205" xfId="5208"/>
    <cellStyle name="7_결산진실성EVA_02년사업계획양식V1.0_고동욱_011205_02년사업계획양식V2.0" xfId="5209"/>
    <cellStyle name="7_결산진실성EVA_02년사업계획양식V1.0_고동욱_011205_02년사업계획양식V2.0_02년사업계획양식V2.0" xfId="5210"/>
    <cellStyle name="7_결산진실성EVA_02년사업계획양식V1.0_고동욱_011205_02년사업계획양식V2.0_02년사업계획양식V2.0_02년사업계획양식V3.0" xfId="5211"/>
    <cellStyle name="7_결산진실성EVA_02년사업계획양식V1.0_고동욱_011205_02년사업계획양식V2.0_02년사업계획양식V2.0_02년사업계획양식V3.0_02년사업계획양식V3.0" xfId="5212"/>
    <cellStyle name="7_결산진실성EVA_02년사업계획양식V1.0_고동욱_011205_02년사업계획양식V2.0_02년사업계획양식V2.0_02년사업계획양식V3.0_02년사업계획양식V3.0(원본)" xfId="5213"/>
    <cellStyle name="7_결산진실성EVA_02년사업계획양식V1.0_고동욱_011205_02년사업계획양식V2.0_02년사업계획양식V2.0_02년사업계획양식V3.0_02년사업계획양식V3.0(원본)_1" xfId="5214"/>
    <cellStyle name="7_결산진실성EVA_02년사업계획양식V1.0_고동욱_011205_02년사업계획양식V2.0_02년사업계획양식V3.0" xfId="5215"/>
    <cellStyle name="7_결산진실성EVA_02년사업계획양식V1.0_고동욱_011205_02년사업계획양식V2.0_02년사업계획양식V3.0(원본)" xfId="5216"/>
    <cellStyle name="7_결산진실성EVA_02년사업계획양식V1.0_고동욱_011205_02년사업계획양식V2.0_02년사업계획양식V3.0(원본)_1" xfId="5217"/>
    <cellStyle name="7_결산진실성EVA_02년사업계획양식V1.0_고동욱_011205_02년사업계획양식V2.0_02년사업계획양식V3.0_02년사업계획양식V3.0" xfId="5218"/>
    <cellStyle name="7_결산진실성EVA_02년사업계획양식V1.0_고동욱_011205_02년사업계획양식V2.0_02년사업계획양식V3.0_02년사업계획양식V3.0_02년사업계획양식V3.0" xfId="5219"/>
    <cellStyle name="7_결산진실성EVA_02년사업계획양식V1.0_고동욱_011205_02년사업계획양식V2.0_02년사업계획양식V3.0_02년사업계획양식V3.0_02년사업계획양식V3.0(원본)" xfId="5220"/>
    <cellStyle name="7_결산진실성EVA_02년사업계획양식V1.0_고동욱_011205_02년사업계획양식V2.0_02년사업계획양식V3.0_02년사업계획양식V3.0_02년사업계획양식V3.0(원본)_1" xfId="5221"/>
    <cellStyle name="7_결산진실성EVA_02년사업계획양식V1.0_고동욱_011205_02년사업계획양식V3.0" xfId="5222"/>
    <cellStyle name="7_결산진실성EVA_02년사업계획양식V1.0_고동욱_011205_02년사업계획양식V3.0_02년사업계획양식V3.0" xfId="5223"/>
    <cellStyle name="7_결산진실성EVA_02년사업계획양식V1.0_고동욱_011205_02년사업계획양식V3.0_02년사업계획양식V3.0(원본)" xfId="5224"/>
    <cellStyle name="7_결산진실성EVA_02년사업계획양식V1.0_고동욱_011205_02년사업계획양식V3.0_02년사업계획양식V3.0(원본)_1" xfId="5225"/>
    <cellStyle name="7_결산진실성EVA_02년사업계획양식V1.0_대호(bs수정)" xfId="5226"/>
    <cellStyle name="7_결산진실성EVA_02년사업계획양식V1.0_대호(bs수정)_02년사업계획양식V2.0" xfId="5227"/>
    <cellStyle name="7_결산진실성EVA_02년사업계획양식V1.0_대호(bs수정)_02년사업계획양식V2.0_02년사업계획양식V2.0" xfId="5228"/>
    <cellStyle name="7_결산진실성EVA_02년사업계획양식V1.0_대호(bs수정)_02년사업계획양식V2.0_02년사업계획양식V2.0_02년사업계획양식V3.0" xfId="5229"/>
    <cellStyle name="7_결산진실성EVA_02년사업계획양식V1.0_대호(bs수정)_02년사업계획양식V2.0_02년사업계획양식V2.0_02년사업계획양식V3.0_02년사업계획양식V3.0" xfId="5230"/>
    <cellStyle name="7_결산진실성EVA_02년사업계획양식V1.0_대호(bs수정)_02년사업계획양식V2.0_02년사업계획양식V2.0_02년사업계획양식V3.0_02년사업계획양식V3.0(원본)" xfId="5231"/>
    <cellStyle name="7_결산진실성EVA_02년사업계획양식V1.0_대호(bs수정)_02년사업계획양식V2.0_02년사업계획양식V2.0_02년사업계획양식V3.0_02년사업계획양식V3.0(원본)_1" xfId="5232"/>
    <cellStyle name="7_결산진실성EVA_02년사업계획양식V1.0_대호(bs수정)_02년사업계획양식V2.0_02년사업계획양식V3.0" xfId="5233"/>
    <cellStyle name="7_결산진실성EVA_02년사업계획양식V1.0_대호(bs수정)_02년사업계획양식V2.0_02년사업계획양식V3.0(원본)" xfId="5234"/>
    <cellStyle name="7_결산진실성EVA_02년사업계획양식V1.0_대호(bs수정)_02년사업계획양식V2.0_02년사업계획양식V3.0(원본)_1" xfId="5235"/>
    <cellStyle name="7_결산진실성EVA_02년사업계획양식V1.0_대호(bs수정)_02년사업계획양식V2.0_02년사업계획양식V3.0_02년사업계획양식V3.0" xfId="5236"/>
    <cellStyle name="7_결산진실성EVA_02년사업계획양식V1.0_대호(bs수정)_02년사업계획양식V2.0_02년사업계획양식V3.0_02년사업계획양식V3.0_02년사업계획양식V3.0" xfId="5237"/>
    <cellStyle name="7_결산진실성EVA_02년사업계획양식V1.0_대호(bs수정)_02년사업계획양식V2.0_02년사업계획양식V3.0_02년사업계획양식V3.0_02년사업계획양식V3.0(원본)" xfId="5238"/>
    <cellStyle name="7_결산진실성EVA_02년사업계획양식V1.0_대호(bs수정)_02년사업계획양식V2.0_02년사업계획양식V3.0_02년사업계획양식V3.0_02년사업계획양식V3.0(원본)_1" xfId="5239"/>
    <cellStyle name="7_결산진실성EVA_02년사업계획양식V1.0_대호(bs수정)_02년사업계획양식V3.0" xfId="5240"/>
    <cellStyle name="7_결산진실성EVA_02년사업계획양식V1.0_대호(bs수정)_02년사업계획양식V3.0_02년사업계획양식V3.0" xfId="5241"/>
    <cellStyle name="7_결산진실성EVA_02년사업계획양식V1.0_대호(bs수정)_02년사업계획양식V3.0_02년사업계획양식V3.0(원본)" xfId="5242"/>
    <cellStyle name="7_결산진실성EVA_02년사업계획양식V1.0_대호(bs수정)_02년사업계획양식V3.0_02년사업계획양식V3.0(원본)_1" xfId="5243"/>
    <cellStyle name="7_결산진실성EVA_02년사업계획양식V2.0" xfId="5244"/>
    <cellStyle name="7_결산진실성EVA_02년사업계획양식V2.0_02년사업계획양식V3.0" xfId="5245"/>
    <cellStyle name="7_결산진실성EVA_02년사업계획양식V2.0_02년사업계획양식V3.0_02년사업계획양식V3.0" xfId="5246"/>
    <cellStyle name="7_결산진실성EVA_02년사업계획양식V2.0_02년사업계획양식V3.0_02년사업계획양식V3.0(원본)" xfId="5247"/>
    <cellStyle name="7_결산진실성EVA_02년사업계획양식V2.0_02년사업계획양식V3.0_02년사업계획양식V3.0(원본)_1" xfId="5248"/>
    <cellStyle name="7_결산진실성EVA_02년사업계획양식V3.0" xfId="5249"/>
    <cellStyle name="7_결산진실성EVA_02년사업계획양식V3.0(원본)" xfId="5250"/>
    <cellStyle name="7_결산진실성EVA_02년사업계획양식V3.0(원본)_1" xfId="5251"/>
    <cellStyle name="7_결산진실성EVA_02년사업계획양식V3.0_02년사업계획양식V3.0" xfId="5252"/>
    <cellStyle name="7_결산진실성EVA_02년사업계획양식V3.0_02년사업계획양식V3.0_02년사업계획양식V3.0" xfId="5253"/>
    <cellStyle name="7_결산진실성EVA_02년사업계획양식V3.0_02년사업계획양식V3.0_02년사업계획양식V3.0(원본)" xfId="5254"/>
    <cellStyle name="7_결산진실성EVA_02년사업계획양식V3.0_02년사업계획양식V3.0_02년사업계획양식V3.0(원본)_1" xfId="5255"/>
    <cellStyle name="7_결산진실성EVA_02년예상+연결기초자료+이익율+배당금+경영지원금" xfId="5256"/>
    <cellStyle name="7_결산진실성EVA_02년예상+연결자료(GSM)" xfId="5257"/>
    <cellStyle name="7_결산진실성EVA_02혁신_종합장표" xfId="5258"/>
    <cellStyle name="7_결산진실성EVA_03 01 10 혁신(사업부양식)" xfId="5259"/>
    <cellStyle name="7_결산진실성EVA_03_사업계획양식(MASS_Link)_1104" xfId="5260"/>
    <cellStyle name="7_결산진실성EVA_030124 혁신재료비9" xfId="5261"/>
    <cellStyle name="7_결산진실성EVA_03기본_종합장표" xfId="5262"/>
    <cellStyle name="7_결산진실성EVA_03법인비용_회수양식_AC" xfId="5263"/>
    <cellStyle name="7_결산진실성EVA_03혁신_종합장표" xfId="5264"/>
    <cellStyle name="7_결산진실성EVA_10월차이동계획" xfId="5265"/>
    <cellStyle name="7_결산진실성EVA_10월차이동계획_01년간예상손익(12월이동)" xfId="5266"/>
    <cellStyle name="7_결산진실성EVA_10월차이동계획_01년간예상손익(12월이동)_2" xfId="5267"/>
    <cellStyle name="7_결산진실성EVA_10월차이동계획_02년 2월 이동_예상손익" xfId="5268"/>
    <cellStyle name="7_결산진실성EVA_10월차이동계획_02년 2월 이동_예상손익_1" xfId="5269"/>
    <cellStyle name="7_결산진실성EVA_10월차이동계획_02년 3월 이동_예상손익(전사취합)" xfId="5270"/>
    <cellStyle name="7_결산진실성EVA_10월차이동계획_02년 6월 이동_예상손익(전사취합)" xfId="5271"/>
    <cellStyle name="7_결산진실성EVA_10월차이동계획_02년간예상손익" xfId="5272"/>
    <cellStyle name="7_결산진실성EVA_10월차이동계획_04월 이동계획_전사예상pl" xfId="5273"/>
    <cellStyle name="7_결산진실성EVA_10월차이동계획_1월이동손익_전사예상pl" xfId="5274"/>
    <cellStyle name="7_결산진실성EVA_10월차이동계획_obu별손익0112이동" xfId="5275"/>
    <cellStyle name="7_결산진실성EVA_2001년 01월차 이동계획_0102" xfId="5276"/>
    <cellStyle name="7_결산진실성EVA_2001년 01월차 이동계획_0102_2001년 05월 이동계획_" xfId="5277"/>
    <cellStyle name="7_결산진실성EVA_2001년 01월차 이동계획_0102_2001년 06월 이동계획_(Maximum)" xfId="5278"/>
    <cellStyle name="7_결산진실성EVA_2001년 01월차 이동계획_0102_2001년 07월차 이동계획보고_" xfId="5279"/>
    <cellStyle name="7_결산진실성EVA_2001년 01월차 이동계획_0102_2002년_02월차_이동계획보고_" xfId="5280"/>
    <cellStyle name="7_결산진실성EVA_2001년 01월차 이동계획_0102_2002년_03월차_이동계획보고_" xfId="5281"/>
    <cellStyle name="7_결산진실성EVA_2001년 01월차 이동계획_0102_2002년_03월차_이동계획보고_1차수정" xfId="5282"/>
    <cellStyle name="7_결산진실성EVA_2001년 01월차 이동계획_0102_2002년_05월차_이동계획보고_" xfId="5283"/>
    <cellStyle name="7_결산진실성EVA_2001년 01월차 이동계획_0102_2002년_06월차_이동계획보고_기종별수정" xfId="5284"/>
    <cellStyle name="7_결산진실성EVA_2001년 01월차 이동계획_0102_2002년_07월차_이동계획보고_수정중_철판 반영후_최종" xfId="5285"/>
    <cellStyle name="7_결산진실성EVA_2001년 01월차 이동계획_0102_2002년_07월차_이동계획보고_수정중0628_2" xfId="5286"/>
    <cellStyle name="7_결산진실성EVA_2001년 01월차 이동계획_0102_VVR0J9DV" xfId="5287"/>
    <cellStyle name="7_결산진실성EVA_2001년 02월 실적예상_02월21일기준" xfId="5288"/>
    <cellStyle name="7_결산진실성EVA_2001년 02월 실적예상_02월21일기준_2001년 05월 이동계획_" xfId="5289"/>
    <cellStyle name="7_결산진실성EVA_2001년 02월 실적예상_02월21일기준_2001년 06월 이동계획_(Maximum)" xfId="5290"/>
    <cellStyle name="7_결산진실성EVA_2001년 02월 실적예상_02월21일기준_2001년 07월차 이동계획보고_" xfId="5291"/>
    <cellStyle name="7_결산진실성EVA_2001년 02월 실적예상_02월21일기준_2002년_02월차_이동계획보고_" xfId="5292"/>
    <cellStyle name="7_결산진실성EVA_2001년 02월 실적예상_02월21일기준_2002년_03월차_이동계획보고_" xfId="5293"/>
    <cellStyle name="7_결산진실성EVA_2001년 02월 실적예상_02월21일기준_2002년_03월차_이동계획보고_1차수정" xfId="5294"/>
    <cellStyle name="7_결산진실성EVA_2001년 02월 실적예상_02월21일기준_2002년_05월차_이동계획보고_" xfId="5295"/>
    <cellStyle name="7_결산진실성EVA_2001년 02월 실적예상_02월21일기준_2002년_06월차_이동계획보고_기종별수정" xfId="5296"/>
    <cellStyle name="7_결산진실성EVA_2001년 02월 실적예상_02월21일기준_2002년_07월차_이동계획보고_수정중_철판 반영후_최종" xfId="5297"/>
    <cellStyle name="7_결산진실성EVA_2001년 02월 실적예상_02월21일기준_2002년_07월차_이동계획보고_수정중0628_2" xfId="5298"/>
    <cellStyle name="7_결산진실성EVA_2001년 02월 실적예상_02월21일기준_VVR0J9DV" xfId="5299"/>
    <cellStyle name="7_결산진실성EVA_2001년 02월차 이동계획_" xfId="5300"/>
    <cellStyle name="7_결산진실성EVA_2001년 02월차 이동계획__2001년 05월 이동계획_" xfId="5301"/>
    <cellStyle name="7_결산진실성EVA_2001년 02월차 이동계획__2001년 06월 이동계획_(Maximum)" xfId="5302"/>
    <cellStyle name="7_결산진실성EVA_2001년 02월차 이동계획__2001년 07월차 이동계획보고_" xfId="5303"/>
    <cellStyle name="7_결산진실성EVA_2001년 02월차 이동계획__2002년_02월차_이동계획보고_" xfId="5304"/>
    <cellStyle name="7_결산진실성EVA_2001년 02월차 이동계획__2002년_03월차_이동계획보고_" xfId="5305"/>
    <cellStyle name="7_결산진실성EVA_2001년 02월차 이동계획__2002년_03월차_이동계획보고_1차수정" xfId="5306"/>
    <cellStyle name="7_결산진실성EVA_2001년 02월차 이동계획__2002년_05월차_이동계획보고_" xfId="5307"/>
    <cellStyle name="7_결산진실성EVA_2001년 02월차 이동계획__2002년_06월차_이동계획보고_기종별수정" xfId="5308"/>
    <cellStyle name="7_결산진실성EVA_2001년 02월차 이동계획__2002년_07월차_이동계획보고_수정중_철판 반영후_최종" xfId="5309"/>
    <cellStyle name="7_결산진실성EVA_2001년 02월차 이동계획__2002년_07월차_이동계획보고_수정중0628_2" xfId="5310"/>
    <cellStyle name="7_결산진실성EVA_2001년 02월차 이동계획__VVR0J9DV" xfId="5311"/>
    <cellStyle name="7_결산진실성EVA_2002년_월별사업계획전산_DM" xfId="5312"/>
    <cellStyle name="7_결산진실성EVA_2002년_월별사업계획전산_DM_02년사업계획양식V1.0_대호(bs수정)" xfId="5313"/>
    <cellStyle name="7_결산진실성EVA_2002년_월별사업계획전산_DM_02년사업계획양식V1.0_대호(bs수정)_02년사업계획양식V2.0" xfId="5314"/>
    <cellStyle name="7_결산진실성EVA_2002년_월별사업계획전산_DM_02년사업계획양식V1.0_대호(bs수정)_02년사업계획양식V2.0_02년사업계획양식V2.0" xfId="5315"/>
    <cellStyle name="7_결산진실성EVA_2002년_월별사업계획전산_DM_02년사업계획양식V1.0_대호(bs수정)_02년사업계획양식V2.0_02년사업계획양식V2.0_02년사업계획양식V3.0" xfId="5316"/>
    <cellStyle name="7_결산진실성EVA_2002년_월별사업계획전산_DM_02년사업계획양식V1.0_대호(bs수정)_02년사업계획양식V2.0_02년사업계획양식V2.0_02년사업계획양식V3.0_02년사업계획양식V3.0" xfId="5317"/>
    <cellStyle name="7_결산진실성EVA_2002년_월별사업계획전산_DM_02년사업계획양식V1.0_대호(bs수정)_02년사업계획양식V2.0_02년사업계획양식V2.0_02년사업계획양식V3.0_02년사업계획양식V3.0(원본)" xfId="5318"/>
    <cellStyle name="7_결산진실성EVA_2002년_월별사업계획전산_DM_02년사업계획양식V1.0_대호(bs수정)_02년사업계획양식V2.0_02년사업계획양식V2.0_02년사업계획양식V3.0_02년사업계획양식V3.0(원본)_1" xfId="5319"/>
    <cellStyle name="7_결산진실성EVA_2002년_월별사업계획전산_DM_02년사업계획양식V1.0_대호(bs수정)_02년사업계획양식V2.0_02년사업계획양식V3.0" xfId="5320"/>
    <cellStyle name="7_결산진실성EVA_2002년_월별사업계획전산_DM_02년사업계획양식V1.0_대호(bs수정)_02년사업계획양식V2.0_02년사업계획양식V3.0(원본)" xfId="5321"/>
    <cellStyle name="7_결산진실성EVA_2002년_월별사업계획전산_DM_02년사업계획양식V1.0_대호(bs수정)_02년사업계획양식V2.0_02년사업계획양식V3.0(원본)_1" xfId="5322"/>
    <cellStyle name="7_결산진실성EVA_2002년_월별사업계획전산_DM_02년사업계획양식V1.0_대호(bs수정)_02년사업계획양식V2.0_02년사업계획양식V3.0_02년사업계획양식V3.0" xfId="5323"/>
    <cellStyle name="7_결산진실성EVA_2002년_월별사업계획전산_DM_02년사업계획양식V1.0_대호(bs수정)_02년사업계획양식V2.0_02년사업계획양식V3.0_02년사업계획양식V3.0_02년사업계획양식V3.0" xfId="5324"/>
    <cellStyle name="7_결산진실성EVA_2002년_월별사업계획전산_DM_02년사업계획양식V1.0_대호(bs수정)_02년사업계획양식V2.0_02년사업계획양식V3.0_02년사업계획양식V3.0_02년사업계획양식V3.0(원본)" xfId="5325"/>
    <cellStyle name="7_결산진실성EVA_2002년_월별사업계획전산_DM_02년사업계획양식V1.0_대호(bs수정)_02년사업계획양식V2.0_02년사업계획양식V3.0_02년사업계획양식V3.0_02년사업계획양식V3.0(원본)_1" xfId="5326"/>
    <cellStyle name="7_결산진실성EVA_2002년_월별사업계획전산_DM_02년사업계획양식V1.0_대호(bs수정)_02년사업계획양식V3.0" xfId="5327"/>
    <cellStyle name="7_결산진실성EVA_2002년_월별사업계획전산_DM_02년사업계획양식V1.0_대호(bs수정)_02년사업계획양식V3.0_02년사업계획양식V3.0" xfId="5328"/>
    <cellStyle name="7_결산진실성EVA_2002년_월별사업계획전산_DM_02년사업계획양식V1.0_대호(bs수정)_02년사업계획양식V3.0_02년사업계획양식V3.0(원본)" xfId="5329"/>
    <cellStyle name="7_결산진실성EVA_2002년_월별사업계획전산_DM_02년사업계획양식V1.0_대호(bs수정)_02년사업계획양식V3.0_02년사업계획양식V3.0(원본)_1" xfId="5330"/>
    <cellStyle name="7_결산진실성EVA_2002년_월별사업계획전산_DM_02년사업계획양식V2.0" xfId="5331"/>
    <cellStyle name="7_결산진실성EVA_2002년_월별사업계획전산_DM_02년사업계획양식V2.0_02년사업계획양식V3.0" xfId="5332"/>
    <cellStyle name="7_결산진실성EVA_2002년_월별사업계획전산_DM_02년사업계획양식V2.0_02년사업계획양식V3.0_02년사업계획양식V3.0" xfId="5333"/>
    <cellStyle name="7_결산진실성EVA_2002년_월별사업계획전산_DM_02년사업계획양식V2.0_02년사업계획양식V3.0_02년사업계획양식V3.0(원본)" xfId="5334"/>
    <cellStyle name="7_결산진실성EVA_2002년_월별사업계획전산_DM_02년사업계획양식V2.0_02년사업계획양식V3.0_02년사업계획양식V3.0(원본)_1" xfId="5335"/>
    <cellStyle name="7_결산진실성EVA_2002년_월별사업계획전산_DM_02년사업계획양식V3.0" xfId="5336"/>
    <cellStyle name="7_결산진실성EVA_2002년_월별사업계획전산_DM_02년사업계획양식V3.0(원본)" xfId="5337"/>
    <cellStyle name="7_결산진실성EVA_2002년_월별사업계획전산_DM_02년사업계획양식V3.0(원본)_1" xfId="5338"/>
    <cellStyle name="7_결산진실성EVA_2002년_월별사업계획전산_DM_02년사업계획양식V3.0_02년사업계획양식V3.0" xfId="5339"/>
    <cellStyle name="7_결산진실성EVA_2002년_월별사업계획전산_DM_02년사업계획양식V3.0_02년사업계획양식V3.0_02년사업계획양식V3.0" xfId="5340"/>
    <cellStyle name="7_결산진실성EVA_2002년_월별사업계획전산_DM_02년사업계획양식V3.0_02년사업계획양식V3.0_02년사업계획양식V3.0(원본)" xfId="5341"/>
    <cellStyle name="7_결산진실성EVA_2002년_월별사업계획전산_DM_02년사업계획양식V3.0_02년사업계획양식V3.0_02년사업계획양식V3.0(원본)_1" xfId="5342"/>
    <cellStyle name="7_결산진실성EVA_5월이동_전사손익" xfId="5343"/>
    <cellStyle name="7_결산진실성EVA_5월이동_전사손익_01년간예상손익(12월이동)" xfId="5344"/>
    <cellStyle name="7_결산진실성EVA_5월이동_전사손익_01년간예상손익(12월이동)_2" xfId="5345"/>
    <cellStyle name="7_결산진실성EVA_5월이동_전사손익_01매출손익(6월 실적반영)" xfId="5346"/>
    <cellStyle name="7_결산진실성EVA_5월이동_전사손익_01매출손익(6월 실적반영)_01년간예상손익(12월이동)" xfId="5347"/>
    <cellStyle name="7_결산진실성EVA_5월이동_전사손익_01매출손익(6월 실적반영)_01년간예상손익(12월이동)_2" xfId="5348"/>
    <cellStyle name="7_결산진실성EVA_5월이동_전사손익_01매출손익(6월 실적반영)_02년 2월 이동_예상손익" xfId="5349"/>
    <cellStyle name="7_결산진실성EVA_5월이동_전사손익_01매출손익(6월 실적반영)_02년 2월 이동_예상손익_1" xfId="5350"/>
    <cellStyle name="7_결산진실성EVA_5월이동_전사손익_01매출손익(6월 실적반영)_02년 3월 이동_예상손익(전사취합)" xfId="5351"/>
    <cellStyle name="7_결산진실성EVA_5월이동_전사손익_01매출손익(6월 실적반영)_02년 6월 이동_예상손익(전사취합)" xfId="5352"/>
    <cellStyle name="7_결산진실성EVA_5월이동_전사손익_01매출손익(6월 실적반영)_02년간예상손익" xfId="5353"/>
    <cellStyle name="7_결산진실성EVA_5월이동_전사손익_01매출손익(6월 실적반영)_04월 이동계획_전사예상pl" xfId="5354"/>
    <cellStyle name="7_결산진실성EVA_5월이동_전사손익_01매출손익(6월 실적반영)_1월이동손익_전사예상pl" xfId="5355"/>
    <cellStyle name="7_결산진실성EVA_5월이동_전사손익_01매출손익(6월 실적반영)_obu별손익0112이동" xfId="5356"/>
    <cellStyle name="7_결산진실성EVA_5월이동_전사손익_02년 2월 이동_예상손익" xfId="5357"/>
    <cellStyle name="7_결산진실성EVA_5월이동_전사손익_02년 2월 이동_예상손익_1" xfId="5358"/>
    <cellStyle name="7_결산진실성EVA_5월이동_전사손익_02년 3월 이동_예상손익(전사취합)" xfId="5359"/>
    <cellStyle name="7_결산진실성EVA_5월이동_전사손익_02년 6월 이동_예상손익(전사취합)" xfId="5360"/>
    <cellStyle name="7_결산진실성EVA_5월이동_전사손익_02년간예상손익" xfId="5361"/>
    <cellStyle name="7_결산진실성EVA_5월이동_전사손익_04월 이동계획_전사예상pl" xfId="5362"/>
    <cellStyle name="7_결산진실성EVA_5월이동_전사손익_06전사손익" xfId="5363"/>
    <cellStyle name="7_결산진실성EVA_5월이동_전사손익_06전사손익_01년간예상손익(12월이동)" xfId="5364"/>
    <cellStyle name="7_결산진실성EVA_5월이동_전사손익_06전사손익_01년간예상손익(12월이동)_2" xfId="5365"/>
    <cellStyle name="7_결산진실성EVA_5월이동_전사손익_06전사손익_01매출손익(6월 실적반영)" xfId="5366"/>
    <cellStyle name="7_결산진실성EVA_5월이동_전사손익_06전사손익_01매출손익(6월 실적반영)_01년간예상손익(12월이동)" xfId="5367"/>
    <cellStyle name="7_결산진실성EVA_5월이동_전사손익_06전사손익_01매출손익(6월 실적반영)_01년간예상손익(12월이동)_2" xfId="5368"/>
    <cellStyle name="7_결산진실성EVA_5월이동_전사손익_06전사손익_01매출손익(6월 실적반영)_02년 2월 이동_예상손익" xfId="5369"/>
    <cellStyle name="7_결산진실성EVA_5월이동_전사손익_06전사손익_01매출손익(6월 실적반영)_02년 2월 이동_예상손익_1" xfId="5370"/>
    <cellStyle name="7_결산진실성EVA_5월이동_전사손익_06전사손익_01매출손익(6월 실적반영)_02년 3월 이동_예상손익(전사취합)" xfId="5371"/>
    <cellStyle name="7_결산진실성EVA_5월이동_전사손익_06전사손익_01매출손익(6월 실적반영)_02년 6월 이동_예상손익(전사취합)" xfId="5372"/>
    <cellStyle name="7_결산진실성EVA_5월이동_전사손익_06전사손익_01매출손익(6월 실적반영)_02년간예상손익" xfId="5373"/>
    <cellStyle name="7_결산진실성EVA_5월이동_전사손익_06전사손익_01매출손익(6월 실적반영)_04월 이동계획_전사예상pl" xfId="5374"/>
    <cellStyle name="7_결산진실성EVA_5월이동_전사손익_06전사손익_01매출손익(6월 실적반영)_1월이동손익_전사예상pl" xfId="5375"/>
    <cellStyle name="7_결산진실성EVA_5월이동_전사손익_06전사손익_01매출손익(6월 실적반영)_obu별손익0112이동" xfId="5376"/>
    <cellStyle name="7_결산진실성EVA_5월이동_전사손익_06전사손익_02년 2월 이동_예상손익" xfId="5377"/>
    <cellStyle name="7_결산진실성EVA_5월이동_전사손익_06전사손익_02년 2월 이동_예상손익_1" xfId="5378"/>
    <cellStyle name="7_결산진실성EVA_5월이동_전사손익_06전사손익_02년 3월 이동_예상손익(전사취합)" xfId="5379"/>
    <cellStyle name="7_결산진실성EVA_5월이동_전사손익_06전사손익_02년 6월 이동_예상손익(전사취합)" xfId="5380"/>
    <cellStyle name="7_결산진실성EVA_5월이동_전사손익_06전사손익_02년간예상손익" xfId="5381"/>
    <cellStyle name="7_결산진실성EVA_5월이동_전사손익_06전사손익_04월 이동계획_전사예상pl" xfId="5382"/>
    <cellStyle name="7_결산진실성EVA_5월이동_전사손익_06전사손익_1월이동손익_전사예상pl" xfId="5383"/>
    <cellStyle name="7_결산진실성EVA_5월이동_전사손익_06전사손익_8월예상" xfId="5384"/>
    <cellStyle name="7_결산진실성EVA_5월이동_전사손익_06전사손익_8월예상_01년간예상손익(12월이동)" xfId="5385"/>
    <cellStyle name="7_결산진실성EVA_5월이동_전사손익_06전사손익_8월예상_01년간예상손익(12월이동)_2" xfId="5386"/>
    <cellStyle name="7_결산진실성EVA_5월이동_전사손익_06전사손익_8월예상_02년 2월 이동_예상손익" xfId="5387"/>
    <cellStyle name="7_결산진실성EVA_5월이동_전사손익_06전사손익_8월예상_02년 2월 이동_예상손익_1" xfId="5388"/>
    <cellStyle name="7_결산진실성EVA_5월이동_전사손익_06전사손익_8월예상_02년 3월 이동_예상손익(전사취합)" xfId="5389"/>
    <cellStyle name="7_결산진실성EVA_5월이동_전사손익_06전사손익_8월예상_02년 6월 이동_예상손익(전사취합)" xfId="5390"/>
    <cellStyle name="7_결산진실성EVA_5월이동_전사손익_06전사손익_8월예상_02년간예상손익" xfId="5391"/>
    <cellStyle name="7_결산진실성EVA_5월이동_전사손익_06전사손익_8월예상_04월 이동계획_전사예상pl" xfId="5392"/>
    <cellStyle name="7_결산진실성EVA_5월이동_전사손익_06전사손익_8월예상_1월이동손익_전사예상pl" xfId="5393"/>
    <cellStyle name="7_결산진실성EVA_5월이동_전사손익_06전사손익_8월예상_obu별손익0112이동" xfId="5394"/>
    <cellStyle name="7_결산진실성EVA_5월이동_전사손익_06전사손익_9-12월예상pl" xfId="5395"/>
    <cellStyle name="7_결산진실성EVA_5월이동_전사손익_06전사손익_9-12월예상pl_01년간예상손익(12월이동)" xfId="5396"/>
    <cellStyle name="7_결산진실성EVA_5월이동_전사손익_06전사손익_9-12월예상pl_01년간예상손익(12월이동)_2" xfId="5397"/>
    <cellStyle name="7_결산진실성EVA_5월이동_전사손익_06전사손익_9-12월예상pl_02년 2월 이동_예상손익" xfId="5398"/>
    <cellStyle name="7_결산진실성EVA_5월이동_전사손익_06전사손익_9-12월예상pl_02년 2월 이동_예상손익_1" xfId="5399"/>
    <cellStyle name="7_결산진실성EVA_5월이동_전사손익_06전사손익_9-12월예상pl_02년 3월 이동_예상손익(전사취합)" xfId="5400"/>
    <cellStyle name="7_결산진실성EVA_5월이동_전사손익_06전사손익_9-12월예상pl_02년 6월 이동_예상손익(전사취합)" xfId="5401"/>
    <cellStyle name="7_결산진실성EVA_5월이동_전사손익_06전사손익_9-12월예상pl_02년간예상손익" xfId="5402"/>
    <cellStyle name="7_결산진실성EVA_5월이동_전사손익_06전사손익_9-12월예상pl_04월 이동계획_전사예상pl" xfId="5403"/>
    <cellStyle name="7_결산진실성EVA_5월이동_전사손익_06전사손익_9-12월예상pl_1월이동손익_전사예상pl" xfId="5404"/>
    <cellStyle name="7_결산진실성EVA_5월이동_전사손익_06전사손익_9-12월예상pl_obu별손익0112이동" xfId="5405"/>
    <cellStyle name="7_결산진실성EVA_5월이동_전사손익_06전사손익_obu별손익0112이동" xfId="5406"/>
    <cellStyle name="7_결산진실성EVA_5월이동_전사손익_06전사손익_상반기_연간손익정리(서대호)" xfId="5407"/>
    <cellStyle name="7_결산진실성EVA_5월이동_전사손익_06전사손익_상반기_연간손익정리(서대호)_01년간예상손익(12월이동)" xfId="5408"/>
    <cellStyle name="7_결산진실성EVA_5월이동_전사손익_06전사손익_상반기_연간손익정리(서대호)_01년간예상손익(12월이동)_2" xfId="5409"/>
    <cellStyle name="7_결산진실성EVA_5월이동_전사손익_06전사손익_상반기_연간손익정리(서대호)_01매출손익(6월 실적반영)" xfId="5410"/>
    <cellStyle name="7_결산진실성EVA_5월이동_전사손익_06전사손익_상반기_연간손익정리(서대호)_01매출손익(6월 실적반영)_01년간예상손익(12월이동)" xfId="5411"/>
    <cellStyle name="7_결산진실성EVA_5월이동_전사손익_06전사손익_상반기_연간손익정리(서대호)_01매출손익(6월 실적반영)_01년간예상손익(12월이동)_2" xfId="5412"/>
    <cellStyle name="7_결산진실성EVA_5월이동_전사손익_06전사손익_상반기_연간손익정리(서대호)_01매출손익(6월 실적반영)_02년 2월 이동_예상손익" xfId="5413"/>
    <cellStyle name="7_결산진실성EVA_5월이동_전사손익_06전사손익_상반기_연간손익정리(서대호)_01매출손익(6월 실적반영)_02년 2월 이동_예상손익_1" xfId="5414"/>
    <cellStyle name="7_결산진실성EVA_5월이동_전사손익_06전사손익_상반기_연간손익정리(서대호)_01매출손익(6월 실적반영)_02년 3월 이동_예상손익(전사취합)" xfId="5415"/>
    <cellStyle name="7_결산진실성EVA_5월이동_전사손익_06전사손익_상반기_연간손익정리(서대호)_01매출손익(6월 실적반영)_02년 6월 이동_예상손익(전사취합)" xfId="5416"/>
    <cellStyle name="7_결산진실성EVA_5월이동_전사손익_06전사손익_상반기_연간손익정리(서대호)_01매출손익(6월 실적반영)_02년간예상손익" xfId="5417"/>
    <cellStyle name="7_결산진실성EVA_5월이동_전사손익_06전사손익_상반기_연간손익정리(서대호)_01매출손익(6월 실적반영)_04월 이동계획_전사예상pl" xfId="5418"/>
    <cellStyle name="7_결산진실성EVA_5월이동_전사손익_06전사손익_상반기_연간손익정리(서대호)_01매출손익(6월 실적반영)_1월이동손익_전사예상pl" xfId="5419"/>
    <cellStyle name="7_결산진실성EVA_5월이동_전사손익_06전사손익_상반기_연간손익정리(서대호)_01매출손익(6월 실적반영)_obu별손익0112이동" xfId="5420"/>
    <cellStyle name="7_결산진실성EVA_5월이동_전사손익_06전사손익_상반기_연간손익정리(서대호)_02년 2월 이동_예상손익" xfId="5421"/>
    <cellStyle name="7_결산진실성EVA_5월이동_전사손익_06전사손익_상반기_연간손익정리(서대호)_02년 2월 이동_예상손익_1" xfId="5422"/>
    <cellStyle name="7_결산진실성EVA_5월이동_전사손익_06전사손익_상반기_연간손익정리(서대호)_02년 3월 이동_예상손익(전사취합)" xfId="5423"/>
    <cellStyle name="7_결산진실성EVA_5월이동_전사손익_06전사손익_상반기_연간손익정리(서대호)_02년 6월 이동_예상손익(전사취합)" xfId="5424"/>
    <cellStyle name="7_결산진실성EVA_5월이동_전사손익_06전사손익_상반기_연간손익정리(서대호)_02년간예상손익" xfId="5425"/>
    <cellStyle name="7_결산진실성EVA_5월이동_전사손익_06전사손익_상반기_연간손익정리(서대호)_04월 이동계획_전사예상pl" xfId="5426"/>
    <cellStyle name="7_결산진실성EVA_5월이동_전사손익_06전사손익_상반기_연간손익정리(서대호)_1월이동손익_전사예상pl" xfId="5427"/>
    <cellStyle name="7_결산진실성EVA_5월이동_전사손익_06전사손익_상반기_연간손익정리(서대호)_8월예상" xfId="5428"/>
    <cellStyle name="7_결산진실성EVA_5월이동_전사손익_06전사손익_상반기_연간손익정리(서대호)_8월예상_01년간예상손익(12월이동)" xfId="5429"/>
    <cellStyle name="7_결산진실성EVA_5월이동_전사손익_06전사손익_상반기_연간손익정리(서대호)_8월예상_01년간예상손익(12월이동)_2" xfId="5430"/>
    <cellStyle name="7_결산진실성EVA_5월이동_전사손익_06전사손익_상반기_연간손익정리(서대호)_8월예상_02년 2월 이동_예상손익" xfId="5431"/>
    <cellStyle name="7_결산진실성EVA_5월이동_전사손익_06전사손익_상반기_연간손익정리(서대호)_8월예상_02년 2월 이동_예상손익_1" xfId="5432"/>
    <cellStyle name="7_결산진실성EVA_5월이동_전사손익_06전사손익_상반기_연간손익정리(서대호)_8월예상_02년 3월 이동_예상손익(전사취합)" xfId="5433"/>
    <cellStyle name="7_결산진실성EVA_5월이동_전사손익_06전사손익_상반기_연간손익정리(서대호)_8월예상_02년 6월 이동_예상손익(전사취합)" xfId="5434"/>
    <cellStyle name="7_결산진실성EVA_5월이동_전사손익_06전사손익_상반기_연간손익정리(서대호)_8월예상_02년간예상손익" xfId="5435"/>
    <cellStyle name="7_결산진실성EVA_5월이동_전사손익_06전사손익_상반기_연간손익정리(서대호)_8월예상_04월 이동계획_전사예상pl" xfId="5436"/>
    <cellStyle name="7_결산진실성EVA_5월이동_전사손익_06전사손익_상반기_연간손익정리(서대호)_8월예상_1월이동손익_전사예상pl" xfId="5437"/>
    <cellStyle name="7_결산진실성EVA_5월이동_전사손익_06전사손익_상반기_연간손익정리(서대호)_8월예상_obu별손익0112이동" xfId="5438"/>
    <cellStyle name="7_결산진실성EVA_5월이동_전사손익_06전사손익_상반기_연간손익정리(서대호)_obu별손익0112이동" xfId="5439"/>
    <cellStyle name="7_결산진실성EVA_5월이동_전사손익_06전사손익_상반기_연간손익정리(서대호)_연간예상추정5886_0726" xfId="5440"/>
    <cellStyle name="7_결산진실성EVA_5월이동_전사손익_06전사손익_상반기_연간손익정리(서대호)_연간예상추정5886_0726_01년간예상손익(12월이동)" xfId="5441"/>
    <cellStyle name="7_결산진실성EVA_5월이동_전사손익_06전사손익_상반기_연간손익정리(서대호)_연간예상추정5886_0726_01년간예상손익(12월이동)_2" xfId="5442"/>
    <cellStyle name="7_결산진실성EVA_5월이동_전사손익_06전사손익_상반기_연간손익정리(서대호)_연간예상추정5886_0726_02년 2월 이동_예상손익" xfId="5443"/>
    <cellStyle name="7_결산진실성EVA_5월이동_전사손익_06전사손익_상반기_연간손익정리(서대호)_연간예상추정5886_0726_02년 2월 이동_예상손익_1" xfId="5444"/>
    <cellStyle name="7_결산진실성EVA_5월이동_전사손익_06전사손익_상반기_연간손익정리(서대호)_연간예상추정5886_0726_02년 3월 이동_예상손익(전사취합)" xfId="5445"/>
    <cellStyle name="7_결산진실성EVA_5월이동_전사손익_06전사손익_상반기_연간손익정리(서대호)_연간예상추정5886_0726_02년 6월 이동_예상손익(전사취합)" xfId="5446"/>
    <cellStyle name="7_결산진실성EVA_5월이동_전사손익_06전사손익_상반기_연간손익정리(서대호)_연간예상추정5886_0726_02년간예상손익" xfId="5447"/>
    <cellStyle name="7_결산진실성EVA_5월이동_전사손익_06전사손익_상반기_연간손익정리(서대호)_연간예상추정5886_0726_04월 이동계획_전사예상pl" xfId="5448"/>
    <cellStyle name="7_결산진실성EVA_5월이동_전사손익_06전사손익_상반기_연간손익정리(서대호)_연간예상추정5886_0726_1월이동손익_전사예상pl" xfId="5449"/>
    <cellStyle name="7_결산진실성EVA_5월이동_전사손익_06전사손익_상반기_연간손익정리(서대호)_연간예상추정5886_0726_obu별손익0112이동" xfId="5450"/>
    <cellStyle name="7_결산진실성EVA_5월이동_전사손익_06전사손익_연간예상추정5886_0726" xfId="5451"/>
    <cellStyle name="7_결산진실성EVA_5월이동_전사손익_06전사손익_연간예상추정5886_0726_01년간예상손익(12월이동)" xfId="5452"/>
    <cellStyle name="7_결산진실성EVA_5월이동_전사손익_06전사손익_연간예상추정5886_0726_01년간예상손익(12월이동)_2" xfId="5453"/>
    <cellStyle name="7_결산진실성EVA_5월이동_전사손익_06전사손익_연간예상추정5886_0726_02년 2월 이동_예상손익" xfId="5454"/>
    <cellStyle name="7_결산진실성EVA_5월이동_전사손익_06전사손익_연간예상추정5886_0726_02년 2월 이동_예상손익_1" xfId="5455"/>
    <cellStyle name="7_결산진실성EVA_5월이동_전사손익_06전사손익_연간예상추정5886_0726_02년 3월 이동_예상손익(전사취합)" xfId="5456"/>
    <cellStyle name="7_결산진실성EVA_5월이동_전사손익_06전사손익_연간예상추정5886_0726_02년 6월 이동_예상손익(전사취합)" xfId="5457"/>
    <cellStyle name="7_결산진실성EVA_5월이동_전사손익_06전사손익_연간예상추정5886_0726_02년간예상손익" xfId="5458"/>
    <cellStyle name="7_결산진실성EVA_5월이동_전사손익_06전사손익_연간예상추정5886_0726_04월 이동계획_전사예상pl" xfId="5459"/>
    <cellStyle name="7_결산진실성EVA_5월이동_전사손익_06전사손익_연간예상추정5886_0726_1월이동손익_전사예상pl" xfId="5460"/>
    <cellStyle name="7_결산진실성EVA_5월이동_전사손익_06전사손익_연간예상추정5886_0726_obu별손익0112이동" xfId="5461"/>
    <cellStyle name="7_결산진실성EVA_5월이동_전사손익_06전사손익1" xfId="5462"/>
    <cellStyle name="7_결산진실성EVA_5월이동_전사손익_06전사손익1_01년간예상손익(12월이동)" xfId="5463"/>
    <cellStyle name="7_결산진실성EVA_5월이동_전사손익_06전사손익1_01년간예상손익(12월이동)_2" xfId="5464"/>
    <cellStyle name="7_결산진실성EVA_5월이동_전사손익_06전사손익1_01매출손익(6월 실적반영)" xfId="5465"/>
    <cellStyle name="7_결산진실성EVA_5월이동_전사손익_06전사손익1_01매출손익(6월 실적반영)_01년간예상손익(12월이동)" xfId="5466"/>
    <cellStyle name="7_결산진실성EVA_5월이동_전사손익_06전사손익1_01매출손익(6월 실적반영)_01년간예상손익(12월이동)_2" xfId="5467"/>
    <cellStyle name="7_결산진실성EVA_5월이동_전사손익_06전사손익1_01매출손익(6월 실적반영)_02년 2월 이동_예상손익" xfId="5468"/>
    <cellStyle name="7_결산진실성EVA_5월이동_전사손익_06전사손익1_01매출손익(6월 실적반영)_02년 2월 이동_예상손익_1" xfId="5469"/>
    <cellStyle name="7_결산진실성EVA_5월이동_전사손익_06전사손익1_01매출손익(6월 실적반영)_02년 3월 이동_예상손익(전사취합)" xfId="5470"/>
    <cellStyle name="7_결산진실성EVA_5월이동_전사손익_06전사손익1_01매출손익(6월 실적반영)_02년 6월 이동_예상손익(전사취합)" xfId="5471"/>
    <cellStyle name="7_결산진실성EVA_5월이동_전사손익_06전사손익1_01매출손익(6월 실적반영)_02년간예상손익" xfId="5472"/>
    <cellStyle name="7_결산진실성EVA_5월이동_전사손익_06전사손익1_01매출손익(6월 실적반영)_04월 이동계획_전사예상pl" xfId="5473"/>
    <cellStyle name="7_결산진실성EVA_5월이동_전사손익_06전사손익1_01매출손익(6월 실적반영)_1월이동손익_전사예상pl" xfId="5474"/>
    <cellStyle name="7_결산진실성EVA_5월이동_전사손익_06전사손익1_01매출손익(6월 실적반영)_obu별손익0112이동" xfId="5475"/>
    <cellStyle name="7_결산진실성EVA_5월이동_전사손익_06전사손익1_02년 2월 이동_예상손익" xfId="5476"/>
    <cellStyle name="7_결산진실성EVA_5월이동_전사손익_06전사손익1_02년 2월 이동_예상손익_1" xfId="5477"/>
    <cellStyle name="7_결산진실성EVA_5월이동_전사손익_06전사손익1_02년 3월 이동_예상손익(전사취합)" xfId="5478"/>
    <cellStyle name="7_결산진실성EVA_5월이동_전사손익_06전사손익1_02년 6월 이동_예상손익(전사취합)" xfId="5479"/>
    <cellStyle name="7_결산진실성EVA_5월이동_전사손익_06전사손익1_02년간예상손익" xfId="5480"/>
    <cellStyle name="7_결산진실성EVA_5월이동_전사손익_06전사손익1_04월 이동계획_전사예상pl" xfId="5481"/>
    <cellStyle name="7_결산진실성EVA_5월이동_전사손익_06전사손익1_1월이동손익_전사예상pl" xfId="5482"/>
    <cellStyle name="7_결산진실성EVA_5월이동_전사손익_06전사손익1_8월예상" xfId="5483"/>
    <cellStyle name="7_결산진실성EVA_5월이동_전사손익_06전사손익1_8월예상_01년간예상손익(12월이동)" xfId="5484"/>
    <cellStyle name="7_결산진실성EVA_5월이동_전사손익_06전사손익1_8월예상_01년간예상손익(12월이동)_2" xfId="5485"/>
    <cellStyle name="7_결산진실성EVA_5월이동_전사손익_06전사손익1_8월예상_02년 2월 이동_예상손익" xfId="5486"/>
    <cellStyle name="7_결산진실성EVA_5월이동_전사손익_06전사손익1_8월예상_02년 2월 이동_예상손익_1" xfId="5487"/>
    <cellStyle name="7_결산진실성EVA_5월이동_전사손익_06전사손익1_8월예상_02년 3월 이동_예상손익(전사취합)" xfId="5488"/>
    <cellStyle name="7_결산진실성EVA_5월이동_전사손익_06전사손익1_8월예상_02년 6월 이동_예상손익(전사취합)" xfId="5489"/>
    <cellStyle name="7_결산진실성EVA_5월이동_전사손익_06전사손익1_8월예상_02년간예상손익" xfId="5490"/>
    <cellStyle name="7_결산진실성EVA_5월이동_전사손익_06전사손익1_8월예상_04월 이동계획_전사예상pl" xfId="5491"/>
    <cellStyle name="7_결산진실성EVA_5월이동_전사손익_06전사손익1_8월예상_1월이동손익_전사예상pl" xfId="5492"/>
    <cellStyle name="7_결산진실성EVA_5월이동_전사손익_06전사손익1_8월예상_obu별손익0112이동" xfId="5493"/>
    <cellStyle name="7_결산진실성EVA_5월이동_전사손익_06전사손익1_9-12월예상pl" xfId="5494"/>
    <cellStyle name="7_결산진실성EVA_5월이동_전사손익_06전사손익1_9-12월예상pl_01년간예상손익(12월이동)" xfId="5495"/>
    <cellStyle name="7_결산진실성EVA_5월이동_전사손익_06전사손익1_9-12월예상pl_01년간예상손익(12월이동)_2" xfId="5496"/>
    <cellStyle name="7_결산진실성EVA_5월이동_전사손익_06전사손익1_9-12월예상pl_02년 2월 이동_예상손익" xfId="5497"/>
    <cellStyle name="7_결산진실성EVA_5월이동_전사손익_06전사손익1_9-12월예상pl_02년 2월 이동_예상손익_1" xfId="5498"/>
    <cellStyle name="7_결산진실성EVA_5월이동_전사손익_06전사손익1_9-12월예상pl_02년 3월 이동_예상손익(전사취합)" xfId="5499"/>
    <cellStyle name="7_결산진실성EVA_5월이동_전사손익_06전사손익1_9-12월예상pl_02년 6월 이동_예상손익(전사취합)" xfId="5500"/>
    <cellStyle name="7_결산진실성EVA_5월이동_전사손익_06전사손익1_9-12월예상pl_02년간예상손익" xfId="5501"/>
    <cellStyle name="7_결산진실성EVA_5월이동_전사손익_06전사손익1_9-12월예상pl_04월 이동계획_전사예상pl" xfId="5502"/>
    <cellStyle name="7_결산진실성EVA_5월이동_전사손익_06전사손익1_9-12월예상pl_1월이동손익_전사예상pl" xfId="5503"/>
    <cellStyle name="7_결산진실성EVA_5월이동_전사손익_06전사손익1_9-12월예상pl_obu별손익0112이동" xfId="5504"/>
    <cellStyle name="7_결산진실성EVA_5월이동_전사손익_06전사손익1_obu별손익0112이동" xfId="5505"/>
    <cellStyle name="7_결산진실성EVA_5월이동_전사손익_06전사손익1_상반기_연간손익정리(서대호)" xfId="5506"/>
    <cellStyle name="7_결산진실성EVA_5월이동_전사손익_06전사손익1_상반기_연간손익정리(서대호)_01년간예상손익(12월이동)" xfId="5507"/>
    <cellStyle name="7_결산진실성EVA_5월이동_전사손익_06전사손익1_상반기_연간손익정리(서대호)_01년간예상손익(12월이동)_2" xfId="5508"/>
    <cellStyle name="7_결산진실성EVA_5월이동_전사손익_06전사손익1_상반기_연간손익정리(서대호)_01매출손익(6월 실적반영)" xfId="5509"/>
    <cellStyle name="7_결산진실성EVA_5월이동_전사손익_06전사손익1_상반기_연간손익정리(서대호)_01매출손익(6월 실적반영)_01년간예상손익(12월이동)" xfId="5510"/>
    <cellStyle name="7_결산진실성EVA_5월이동_전사손익_06전사손익1_상반기_연간손익정리(서대호)_01매출손익(6월 실적반영)_01년간예상손익(12월이동)_2" xfId="5511"/>
    <cellStyle name="7_결산진실성EVA_5월이동_전사손익_06전사손익1_상반기_연간손익정리(서대호)_01매출손익(6월 실적반영)_02년 2월 이동_예상손익" xfId="5512"/>
    <cellStyle name="7_결산진실성EVA_5월이동_전사손익_06전사손익1_상반기_연간손익정리(서대호)_01매출손익(6월 실적반영)_02년 2월 이동_예상손익_1" xfId="5513"/>
    <cellStyle name="7_결산진실성EVA_5월이동_전사손익_06전사손익1_상반기_연간손익정리(서대호)_01매출손익(6월 실적반영)_02년 3월 이동_예상손익(전사취합)" xfId="5514"/>
    <cellStyle name="7_결산진실성EVA_5월이동_전사손익_06전사손익1_상반기_연간손익정리(서대호)_01매출손익(6월 실적반영)_02년 6월 이동_예상손익(전사취합)" xfId="5515"/>
    <cellStyle name="7_결산진실성EVA_5월이동_전사손익_06전사손익1_상반기_연간손익정리(서대호)_01매출손익(6월 실적반영)_02년간예상손익" xfId="5516"/>
    <cellStyle name="7_결산진실성EVA_5월이동_전사손익_06전사손익1_상반기_연간손익정리(서대호)_01매출손익(6월 실적반영)_04월 이동계획_전사예상pl" xfId="5517"/>
    <cellStyle name="7_결산진실성EVA_5월이동_전사손익_06전사손익1_상반기_연간손익정리(서대호)_01매출손익(6월 실적반영)_1월이동손익_전사예상pl" xfId="5518"/>
    <cellStyle name="7_결산진실성EVA_5월이동_전사손익_06전사손익1_상반기_연간손익정리(서대호)_01매출손익(6월 실적반영)_obu별손익0112이동" xfId="5519"/>
    <cellStyle name="7_결산진실성EVA_5월이동_전사손익_06전사손익1_상반기_연간손익정리(서대호)_02년 2월 이동_예상손익" xfId="5520"/>
    <cellStyle name="7_결산진실성EVA_5월이동_전사손익_06전사손익1_상반기_연간손익정리(서대호)_02년 2월 이동_예상손익_1" xfId="5521"/>
    <cellStyle name="7_결산진실성EVA_5월이동_전사손익_06전사손익1_상반기_연간손익정리(서대호)_02년 3월 이동_예상손익(전사취합)" xfId="5522"/>
    <cellStyle name="7_결산진실성EVA_5월이동_전사손익_06전사손익1_상반기_연간손익정리(서대호)_02년 6월 이동_예상손익(전사취합)" xfId="5523"/>
    <cellStyle name="7_결산진실성EVA_5월이동_전사손익_06전사손익1_상반기_연간손익정리(서대호)_02년간예상손익" xfId="5524"/>
    <cellStyle name="7_결산진실성EVA_5월이동_전사손익_06전사손익1_상반기_연간손익정리(서대호)_04월 이동계획_전사예상pl" xfId="5525"/>
    <cellStyle name="7_결산진실성EVA_5월이동_전사손익_06전사손익1_상반기_연간손익정리(서대호)_1월이동손익_전사예상pl" xfId="5526"/>
    <cellStyle name="7_결산진실성EVA_5월이동_전사손익_06전사손익1_상반기_연간손익정리(서대호)_8월예상" xfId="5527"/>
    <cellStyle name="7_결산진실성EVA_5월이동_전사손익_06전사손익1_상반기_연간손익정리(서대호)_8월예상_01년간예상손익(12월이동)" xfId="5528"/>
    <cellStyle name="7_결산진실성EVA_5월이동_전사손익_06전사손익1_상반기_연간손익정리(서대호)_8월예상_01년간예상손익(12월이동)_2" xfId="5529"/>
    <cellStyle name="7_결산진실성EVA_5월이동_전사손익_06전사손익1_상반기_연간손익정리(서대호)_8월예상_02년 2월 이동_예상손익" xfId="5530"/>
    <cellStyle name="7_결산진실성EVA_5월이동_전사손익_06전사손익1_상반기_연간손익정리(서대호)_8월예상_02년 2월 이동_예상손익_1" xfId="5531"/>
    <cellStyle name="7_결산진실성EVA_5월이동_전사손익_06전사손익1_상반기_연간손익정리(서대호)_8월예상_02년 3월 이동_예상손익(전사취합)" xfId="5532"/>
    <cellStyle name="7_결산진실성EVA_5월이동_전사손익_06전사손익1_상반기_연간손익정리(서대호)_8월예상_02년 6월 이동_예상손익(전사취합)" xfId="5533"/>
    <cellStyle name="7_결산진실성EVA_5월이동_전사손익_06전사손익1_상반기_연간손익정리(서대호)_8월예상_02년간예상손익" xfId="5534"/>
    <cellStyle name="7_결산진실성EVA_5월이동_전사손익_06전사손익1_상반기_연간손익정리(서대호)_8월예상_04월 이동계획_전사예상pl" xfId="5535"/>
    <cellStyle name="7_결산진실성EVA_5월이동_전사손익_06전사손익1_상반기_연간손익정리(서대호)_8월예상_1월이동손익_전사예상pl" xfId="5536"/>
    <cellStyle name="7_결산진실성EVA_5월이동_전사손익_06전사손익1_상반기_연간손익정리(서대호)_8월예상_obu별손익0112이동" xfId="5537"/>
    <cellStyle name="7_결산진실성EVA_5월이동_전사손익_06전사손익1_상반기_연간손익정리(서대호)_obu별손익0112이동" xfId="5538"/>
    <cellStyle name="7_결산진실성EVA_5월이동_전사손익_06전사손익1_상반기_연간손익정리(서대호)_연간예상추정5886_0726" xfId="5539"/>
    <cellStyle name="7_결산진실성EVA_5월이동_전사손익_06전사손익1_상반기_연간손익정리(서대호)_연간예상추정5886_0726_01년간예상손익(12월이동)" xfId="5540"/>
    <cellStyle name="7_결산진실성EVA_5월이동_전사손익_06전사손익1_상반기_연간손익정리(서대호)_연간예상추정5886_0726_01년간예상손익(12월이동)_2" xfId="5541"/>
    <cellStyle name="7_결산진실성EVA_5월이동_전사손익_06전사손익1_상반기_연간손익정리(서대호)_연간예상추정5886_0726_02년 2월 이동_예상손익" xfId="5542"/>
    <cellStyle name="7_결산진실성EVA_5월이동_전사손익_06전사손익1_상반기_연간손익정리(서대호)_연간예상추정5886_0726_02년 2월 이동_예상손익_1" xfId="5543"/>
    <cellStyle name="7_결산진실성EVA_5월이동_전사손익_06전사손익1_상반기_연간손익정리(서대호)_연간예상추정5886_0726_02년 3월 이동_예상손익(전사취합)" xfId="5544"/>
    <cellStyle name="7_결산진실성EVA_5월이동_전사손익_06전사손익1_상반기_연간손익정리(서대호)_연간예상추정5886_0726_02년 6월 이동_예상손익(전사취합)" xfId="5545"/>
    <cellStyle name="7_결산진실성EVA_5월이동_전사손익_06전사손익1_상반기_연간손익정리(서대호)_연간예상추정5886_0726_02년간예상손익" xfId="5546"/>
    <cellStyle name="7_결산진실성EVA_5월이동_전사손익_06전사손익1_상반기_연간손익정리(서대호)_연간예상추정5886_0726_04월 이동계획_전사예상pl" xfId="5547"/>
    <cellStyle name="7_결산진실성EVA_5월이동_전사손익_06전사손익1_상반기_연간손익정리(서대호)_연간예상추정5886_0726_1월이동손익_전사예상pl" xfId="5548"/>
    <cellStyle name="7_결산진실성EVA_5월이동_전사손익_06전사손익1_상반기_연간손익정리(서대호)_연간예상추정5886_0726_obu별손익0112이동" xfId="5549"/>
    <cellStyle name="7_결산진실성EVA_5월이동_전사손익_06전사손익1_연간예상추정5886_0726" xfId="5550"/>
    <cellStyle name="7_결산진실성EVA_5월이동_전사손익_06전사손익1_연간예상추정5886_0726_01년간예상손익(12월이동)" xfId="5551"/>
    <cellStyle name="7_결산진실성EVA_5월이동_전사손익_06전사손익1_연간예상추정5886_0726_01년간예상손익(12월이동)_2" xfId="5552"/>
    <cellStyle name="7_결산진실성EVA_5월이동_전사손익_06전사손익1_연간예상추정5886_0726_02년 2월 이동_예상손익" xfId="5553"/>
    <cellStyle name="7_결산진실성EVA_5월이동_전사손익_06전사손익1_연간예상추정5886_0726_02년 2월 이동_예상손익_1" xfId="5554"/>
    <cellStyle name="7_결산진실성EVA_5월이동_전사손익_06전사손익1_연간예상추정5886_0726_02년 3월 이동_예상손익(전사취합)" xfId="5555"/>
    <cellStyle name="7_결산진실성EVA_5월이동_전사손익_06전사손익1_연간예상추정5886_0726_02년 6월 이동_예상손익(전사취합)" xfId="5556"/>
    <cellStyle name="7_결산진실성EVA_5월이동_전사손익_06전사손익1_연간예상추정5886_0726_02년간예상손익" xfId="5557"/>
    <cellStyle name="7_결산진실성EVA_5월이동_전사손익_06전사손익1_연간예상추정5886_0726_04월 이동계획_전사예상pl" xfId="5558"/>
    <cellStyle name="7_결산진실성EVA_5월이동_전사손익_06전사손익1_연간예상추정5886_0726_1월이동손익_전사예상pl" xfId="5559"/>
    <cellStyle name="7_결산진실성EVA_5월이동_전사손익_06전사손익1_연간예상추정5886_0726_obu별손익0112이동" xfId="5560"/>
    <cellStyle name="7_결산진실성EVA_5월이동_전사손익_1월이동손익_전사예상pl" xfId="5561"/>
    <cellStyle name="7_결산진실성EVA_5월이동_전사손익_8월예상" xfId="5562"/>
    <cellStyle name="7_결산진실성EVA_5월이동_전사손익_8월예상_01년간예상손익(12월이동)" xfId="5563"/>
    <cellStyle name="7_결산진실성EVA_5월이동_전사손익_8월예상_01년간예상손익(12월이동)_2" xfId="5564"/>
    <cellStyle name="7_결산진실성EVA_5월이동_전사손익_8월예상_02년 2월 이동_예상손익" xfId="5565"/>
    <cellStyle name="7_결산진실성EVA_5월이동_전사손익_8월예상_02년 2월 이동_예상손익_1" xfId="5566"/>
    <cellStyle name="7_결산진실성EVA_5월이동_전사손익_8월예상_02년 3월 이동_예상손익(전사취합)" xfId="5567"/>
    <cellStyle name="7_결산진실성EVA_5월이동_전사손익_8월예상_02년 6월 이동_예상손익(전사취합)" xfId="5568"/>
    <cellStyle name="7_결산진실성EVA_5월이동_전사손익_8월예상_02년간예상손익" xfId="5569"/>
    <cellStyle name="7_결산진실성EVA_5월이동_전사손익_8월예상_04월 이동계획_전사예상pl" xfId="5570"/>
    <cellStyle name="7_결산진실성EVA_5월이동_전사손익_8월예상_1월이동손익_전사예상pl" xfId="5571"/>
    <cellStyle name="7_결산진실성EVA_5월이동_전사손익_8월예상_obu별손익0112이동" xfId="5572"/>
    <cellStyle name="7_결산진실성EVA_5월이동_전사손익_9-12월예상pl" xfId="5573"/>
    <cellStyle name="7_결산진실성EVA_5월이동_전사손익_9-12월예상pl_01년간예상손익(12월이동)" xfId="5574"/>
    <cellStyle name="7_결산진실성EVA_5월이동_전사손익_9-12월예상pl_01년간예상손익(12월이동)_2" xfId="5575"/>
    <cellStyle name="7_결산진실성EVA_5월이동_전사손익_9-12월예상pl_02년 2월 이동_예상손익" xfId="5576"/>
    <cellStyle name="7_결산진실성EVA_5월이동_전사손익_9-12월예상pl_02년 2월 이동_예상손익_1" xfId="5577"/>
    <cellStyle name="7_결산진실성EVA_5월이동_전사손익_9-12월예상pl_02년 3월 이동_예상손익(전사취합)" xfId="5578"/>
    <cellStyle name="7_결산진실성EVA_5월이동_전사손익_9-12월예상pl_02년 6월 이동_예상손익(전사취합)" xfId="5579"/>
    <cellStyle name="7_결산진실성EVA_5월이동_전사손익_9-12월예상pl_02년간예상손익" xfId="5580"/>
    <cellStyle name="7_결산진실성EVA_5월이동_전사손익_9-12월예상pl_04월 이동계획_전사예상pl" xfId="5581"/>
    <cellStyle name="7_결산진실성EVA_5월이동_전사손익_9-12월예상pl_1월이동손익_전사예상pl" xfId="5582"/>
    <cellStyle name="7_결산진실성EVA_5월이동_전사손익_9-12월예상pl_obu별손익0112이동" xfId="5583"/>
    <cellStyle name="7_결산진실성EVA_5월이동_전사손익_obu별손익0112이동" xfId="5584"/>
    <cellStyle name="7_결산진실성EVA_5월이동_전사손익_상반기_연간손익정리(서대호)" xfId="5585"/>
    <cellStyle name="7_결산진실성EVA_5월이동_전사손익_상반기_연간손익정리(서대호)_01년간예상손익(12월이동)" xfId="5586"/>
    <cellStyle name="7_결산진실성EVA_5월이동_전사손익_상반기_연간손익정리(서대호)_01년간예상손익(12월이동)_2" xfId="5587"/>
    <cellStyle name="7_결산진실성EVA_5월이동_전사손익_상반기_연간손익정리(서대호)_01매출손익(6월 실적반영)" xfId="5588"/>
    <cellStyle name="7_결산진실성EVA_5월이동_전사손익_상반기_연간손익정리(서대호)_01매출손익(6월 실적반영)_01년간예상손익(12월이동)" xfId="5589"/>
    <cellStyle name="7_결산진실성EVA_5월이동_전사손익_상반기_연간손익정리(서대호)_01매출손익(6월 실적반영)_01년간예상손익(12월이동)_2" xfId="5590"/>
    <cellStyle name="7_결산진실성EVA_5월이동_전사손익_상반기_연간손익정리(서대호)_01매출손익(6월 실적반영)_02년 2월 이동_예상손익" xfId="5591"/>
    <cellStyle name="7_결산진실성EVA_5월이동_전사손익_상반기_연간손익정리(서대호)_01매출손익(6월 실적반영)_02년 2월 이동_예상손익_1" xfId="5592"/>
    <cellStyle name="7_결산진실성EVA_5월이동_전사손익_상반기_연간손익정리(서대호)_01매출손익(6월 실적반영)_02년 3월 이동_예상손익(전사취합)" xfId="5593"/>
    <cellStyle name="7_결산진실성EVA_5월이동_전사손익_상반기_연간손익정리(서대호)_01매출손익(6월 실적반영)_02년 6월 이동_예상손익(전사취합)" xfId="5594"/>
    <cellStyle name="7_결산진실성EVA_5월이동_전사손익_상반기_연간손익정리(서대호)_01매출손익(6월 실적반영)_02년간예상손익" xfId="5595"/>
    <cellStyle name="7_결산진실성EVA_5월이동_전사손익_상반기_연간손익정리(서대호)_01매출손익(6월 실적반영)_04월 이동계획_전사예상pl" xfId="5596"/>
    <cellStyle name="7_결산진실성EVA_5월이동_전사손익_상반기_연간손익정리(서대호)_01매출손익(6월 실적반영)_1월이동손익_전사예상pl" xfId="5597"/>
    <cellStyle name="7_결산진실성EVA_5월이동_전사손익_상반기_연간손익정리(서대호)_01매출손익(6월 실적반영)_obu별손익0112이동" xfId="5598"/>
    <cellStyle name="7_결산진실성EVA_5월이동_전사손익_상반기_연간손익정리(서대호)_02년 2월 이동_예상손익" xfId="5599"/>
    <cellStyle name="7_결산진실성EVA_5월이동_전사손익_상반기_연간손익정리(서대호)_02년 2월 이동_예상손익_1" xfId="5600"/>
    <cellStyle name="7_결산진실성EVA_5월이동_전사손익_상반기_연간손익정리(서대호)_02년 3월 이동_예상손익(전사취합)" xfId="5601"/>
    <cellStyle name="7_결산진실성EVA_5월이동_전사손익_상반기_연간손익정리(서대호)_02년 6월 이동_예상손익(전사취합)" xfId="5602"/>
    <cellStyle name="7_결산진실성EVA_5월이동_전사손익_상반기_연간손익정리(서대호)_02년간예상손익" xfId="5603"/>
    <cellStyle name="7_결산진실성EVA_5월이동_전사손익_상반기_연간손익정리(서대호)_04월 이동계획_전사예상pl" xfId="5604"/>
    <cellStyle name="7_결산진실성EVA_5월이동_전사손익_상반기_연간손익정리(서대호)_1월이동손익_전사예상pl" xfId="5605"/>
    <cellStyle name="7_결산진실성EVA_5월이동_전사손익_상반기_연간손익정리(서대호)_8월예상" xfId="5606"/>
    <cellStyle name="7_결산진실성EVA_5월이동_전사손익_상반기_연간손익정리(서대호)_8월예상_01년간예상손익(12월이동)" xfId="5607"/>
    <cellStyle name="7_결산진실성EVA_5월이동_전사손익_상반기_연간손익정리(서대호)_8월예상_01년간예상손익(12월이동)_2" xfId="5608"/>
    <cellStyle name="7_결산진실성EVA_5월이동_전사손익_상반기_연간손익정리(서대호)_8월예상_02년 2월 이동_예상손익" xfId="5609"/>
    <cellStyle name="7_결산진실성EVA_5월이동_전사손익_상반기_연간손익정리(서대호)_8월예상_02년 2월 이동_예상손익_1" xfId="5610"/>
    <cellStyle name="7_결산진실성EVA_5월이동_전사손익_상반기_연간손익정리(서대호)_8월예상_02년 3월 이동_예상손익(전사취합)" xfId="5611"/>
    <cellStyle name="7_결산진실성EVA_5월이동_전사손익_상반기_연간손익정리(서대호)_8월예상_02년 6월 이동_예상손익(전사취합)" xfId="5612"/>
    <cellStyle name="7_결산진실성EVA_5월이동_전사손익_상반기_연간손익정리(서대호)_8월예상_02년간예상손익" xfId="5613"/>
    <cellStyle name="7_결산진실성EVA_5월이동_전사손익_상반기_연간손익정리(서대호)_8월예상_04월 이동계획_전사예상pl" xfId="5614"/>
    <cellStyle name="7_결산진실성EVA_5월이동_전사손익_상반기_연간손익정리(서대호)_8월예상_1월이동손익_전사예상pl" xfId="5615"/>
    <cellStyle name="7_결산진실성EVA_5월이동_전사손익_상반기_연간손익정리(서대호)_8월예상_obu별손익0112이동" xfId="5616"/>
    <cellStyle name="7_결산진실성EVA_5월이동_전사손익_상반기_연간손익정리(서대호)_obu별손익0112이동" xfId="5617"/>
    <cellStyle name="7_결산진실성EVA_5월이동_전사손익_상반기_연간손익정리(서대호)_연간예상추정5886_0726" xfId="5618"/>
    <cellStyle name="7_결산진실성EVA_5월이동_전사손익_상반기_연간손익정리(서대호)_연간예상추정5886_0726_01년간예상손익(12월이동)" xfId="5619"/>
    <cellStyle name="7_결산진실성EVA_5월이동_전사손익_상반기_연간손익정리(서대호)_연간예상추정5886_0726_01년간예상손익(12월이동)_2" xfId="5620"/>
    <cellStyle name="7_결산진실성EVA_5월이동_전사손익_상반기_연간손익정리(서대호)_연간예상추정5886_0726_02년 2월 이동_예상손익" xfId="5621"/>
    <cellStyle name="7_결산진실성EVA_5월이동_전사손익_상반기_연간손익정리(서대호)_연간예상추정5886_0726_02년 2월 이동_예상손익_1" xfId="5622"/>
    <cellStyle name="7_결산진실성EVA_5월이동_전사손익_상반기_연간손익정리(서대호)_연간예상추정5886_0726_02년 3월 이동_예상손익(전사취합)" xfId="5623"/>
    <cellStyle name="7_결산진실성EVA_5월이동_전사손익_상반기_연간손익정리(서대호)_연간예상추정5886_0726_02년 6월 이동_예상손익(전사취합)" xfId="5624"/>
    <cellStyle name="7_결산진실성EVA_5월이동_전사손익_상반기_연간손익정리(서대호)_연간예상추정5886_0726_02년간예상손익" xfId="5625"/>
    <cellStyle name="7_결산진실성EVA_5월이동_전사손익_상반기_연간손익정리(서대호)_연간예상추정5886_0726_04월 이동계획_전사예상pl" xfId="5626"/>
    <cellStyle name="7_결산진실성EVA_5월이동_전사손익_상반기_연간손익정리(서대호)_연간예상추정5886_0726_1월이동손익_전사예상pl" xfId="5627"/>
    <cellStyle name="7_결산진실성EVA_5월이동_전사손익_상반기_연간손익정리(서대호)_연간예상추정5886_0726_obu별손익0112이동" xfId="5628"/>
    <cellStyle name="7_결산진실성EVA_5월이동_전사손익_연간예상추정5886_0726" xfId="5629"/>
    <cellStyle name="7_결산진실성EVA_5월이동_전사손익_연간예상추정5886_0726_01년간예상손익(12월이동)" xfId="5630"/>
    <cellStyle name="7_결산진실성EVA_5월이동_전사손익_연간예상추정5886_0726_01년간예상손익(12월이동)_2" xfId="5631"/>
    <cellStyle name="7_결산진실성EVA_5월이동_전사손익_연간예상추정5886_0726_02년 2월 이동_예상손익" xfId="5632"/>
    <cellStyle name="7_결산진실성EVA_5월이동_전사손익_연간예상추정5886_0726_02년 2월 이동_예상손익_1" xfId="5633"/>
    <cellStyle name="7_결산진실성EVA_5월이동_전사손익_연간예상추정5886_0726_02년 3월 이동_예상손익(전사취합)" xfId="5634"/>
    <cellStyle name="7_결산진실성EVA_5월이동_전사손익_연간예상추정5886_0726_02년 6월 이동_예상손익(전사취합)" xfId="5635"/>
    <cellStyle name="7_결산진실성EVA_5월이동_전사손익_연간예상추정5886_0726_02년간예상손익" xfId="5636"/>
    <cellStyle name="7_결산진실성EVA_5월이동_전사손익_연간예상추정5886_0726_04월 이동계획_전사예상pl" xfId="5637"/>
    <cellStyle name="7_결산진실성EVA_5월이동_전사손익_연간예상추정5886_0726_1월이동손익_전사예상pl" xfId="5638"/>
    <cellStyle name="7_결산진실성EVA_5월이동_전사손익_연간예상추정5886_0726_obu별손익0112이동" xfId="5639"/>
    <cellStyle name="7_결산진실성EVA_8월 예상손익 점검" xfId="5640"/>
    <cellStyle name="7_결산진실성EVA_8월 예상손익 점검_8월 예상손익 점검" xfId="5641"/>
    <cellStyle name="7_결산진실성EVA_8월 예상손익 점검_8월 예상손익 점검_DM_환율영향분석_본부" xfId="5642"/>
    <cellStyle name="7_결산진실성EVA_8월 예상손익 점검_DM_환율영향분석_본부" xfId="5643"/>
    <cellStyle name="7_결산진실성EVA_8월예상" xfId="5644"/>
    <cellStyle name="7_결산진실성EVA_8월예상_01년간예상손익(12월이동)" xfId="5645"/>
    <cellStyle name="7_결산진실성EVA_8월예상_01년간예상손익(12월이동)_2" xfId="5646"/>
    <cellStyle name="7_결산진실성EVA_8월예상_02년 2월 이동_예상손익" xfId="5647"/>
    <cellStyle name="7_결산진실성EVA_8월예상_02년 2월 이동_예상손익_1" xfId="5648"/>
    <cellStyle name="7_결산진실성EVA_8월예상_02년 3월 이동_예상손익(전사취합)" xfId="5649"/>
    <cellStyle name="7_결산진실성EVA_8월예상_02년 6월 이동_예상손익(전사취합)" xfId="5650"/>
    <cellStyle name="7_결산진실성EVA_8월예상_02년간예상손익" xfId="5651"/>
    <cellStyle name="7_결산진실성EVA_8월예상_04월 이동계획_전사예상pl" xfId="5652"/>
    <cellStyle name="7_결산진실성EVA_8월예상_1월이동손익_전사예상pl" xfId="5653"/>
    <cellStyle name="7_결산진실성EVA_8월예상_obu별손익0112이동" xfId="5654"/>
    <cellStyle name="7_결산진실성EVA_8월전사예상(0903)" xfId="5655"/>
    <cellStyle name="7_결산진실성EVA_8월전사예상(0903)_01년간예상손익(12월이동)" xfId="5656"/>
    <cellStyle name="7_결산진실성EVA_8월전사예상(0903)_01년간예상손익(12월이동)_2" xfId="5657"/>
    <cellStyle name="7_결산진실성EVA_8월전사예상(0903)_02년 2월 이동_예상손익" xfId="5658"/>
    <cellStyle name="7_결산진실성EVA_8월전사예상(0903)_02년 2월 이동_예상손익_1" xfId="5659"/>
    <cellStyle name="7_결산진실성EVA_8월전사예상(0903)_02년 3월 이동_예상손익(전사취합)" xfId="5660"/>
    <cellStyle name="7_결산진실성EVA_8월전사예상(0903)_02년 6월 이동_예상손익(전사취합)" xfId="5661"/>
    <cellStyle name="7_결산진실성EVA_8월전사예상(0903)_02년간예상손익" xfId="5662"/>
    <cellStyle name="7_결산진실성EVA_8월전사예상(0903)_04월 이동계획_전사예상pl" xfId="5663"/>
    <cellStyle name="7_결산진실성EVA_8월전사예상(0903)_1월이동손익_전사예상pl" xfId="5664"/>
    <cellStyle name="7_결산진실성EVA_8월전사예상(0903)_obu별손익0112이동" xfId="5665"/>
    <cellStyle name="7_결산진실성EVA_9-12월예상pl" xfId="5666"/>
    <cellStyle name="7_결산진실성EVA_9-12월예상pl_01년간예상손익(12월이동)" xfId="5667"/>
    <cellStyle name="7_결산진실성EVA_9-12월예상pl_01년간예상손익(12월이동)_2" xfId="5668"/>
    <cellStyle name="7_결산진실성EVA_9-12월예상pl_02년 2월 이동_예상손익" xfId="5669"/>
    <cellStyle name="7_결산진실성EVA_9-12월예상pl_02년 2월 이동_예상손익_1" xfId="5670"/>
    <cellStyle name="7_결산진실성EVA_9-12월예상pl_02년 3월 이동_예상손익(전사취합)" xfId="5671"/>
    <cellStyle name="7_결산진실성EVA_9-12월예상pl_02년 6월 이동_예상손익(전사취합)" xfId="5672"/>
    <cellStyle name="7_결산진실성EVA_9-12월예상pl_02년간예상손익" xfId="5673"/>
    <cellStyle name="7_결산진실성EVA_9-12월예상pl_04월 이동계획_전사예상pl" xfId="5674"/>
    <cellStyle name="7_결산진실성EVA_9-12월예상pl_1월이동손익_전사예상pl" xfId="5675"/>
    <cellStyle name="7_결산진실성EVA_9-12월예상pl_obu별손익0112이동" xfId="5676"/>
    <cellStyle name="7_결산진실성EVA_9월차이동계획(0911)" xfId="5677"/>
    <cellStyle name="7_결산진실성EVA_9월차이동계획(0911)_01년간예상손익(12월이동)" xfId="5678"/>
    <cellStyle name="7_결산진실성EVA_9월차이동계획(0911)_01년간예상손익(12월이동)_2" xfId="5679"/>
    <cellStyle name="7_결산진실성EVA_9월차이동계획(0911)_02년 2월 이동_예상손익" xfId="5680"/>
    <cellStyle name="7_결산진실성EVA_9월차이동계획(0911)_02년 2월 이동_예상손익_1" xfId="5681"/>
    <cellStyle name="7_결산진실성EVA_9월차이동계획(0911)_02년 3월 이동_예상손익(전사취합)" xfId="5682"/>
    <cellStyle name="7_결산진실성EVA_9월차이동계획(0911)_02년 6월 이동_예상손익(전사취합)" xfId="5683"/>
    <cellStyle name="7_결산진실성EVA_9월차이동계획(0911)_02년간예상손익" xfId="5684"/>
    <cellStyle name="7_결산진실성EVA_9월차이동계획(0911)_04월 이동계획_전사예상pl" xfId="5685"/>
    <cellStyle name="7_결산진실성EVA_9월차이동계획(0911)_1월이동손익_전사예상pl" xfId="5686"/>
    <cellStyle name="7_결산진실성EVA_9월차이동계획(0911)_obu별손익0112이동" xfId="5687"/>
    <cellStyle name="7_결산진실성EVA_Book1" xfId="5688"/>
    <cellStyle name="7_결산진실성EVA_DM_환율영향분석_본부" xfId="5689"/>
    <cellStyle name="7_결산진실성EVA_eva&amp;cash_02~05년 CM" xfId="5690"/>
    <cellStyle name="7_결산진실성EVA_그룹+업적보고회+보완사항" xfId="5691"/>
    <cellStyle name="7_결산진실성EVA_본부본사배부_1022FINAL본사비축소_해외법인" xfId="5692"/>
    <cellStyle name="7_결산진실성EVA_사업계획 양식" xfId="5693"/>
    <cellStyle name="7_결산진실성EVA_사업계획 양식_02년사업계획양식V1.0_대호(bs수정)" xfId="5694"/>
    <cellStyle name="7_결산진실성EVA_사업계획 양식_02년사업계획양식V1.0_대호(bs수정)_02년사업계획양식V2.0" xfId="5695"/>
    <cellStyle name="7_결산진실성EVA_사업계획 양식_02년사업계획양식V1.0_대호(bs수정)_02년사업계획양식V2.0_02년사업계획양식V2.0" xfId="5696"/>
    <cellStyle name="7_결산진실성EVA_사업계획 양식_02년사업계획양식V1.0_대호(bs수정)_02년사업계획양식V2.0_02년사업계획양식V2.0_02년사업계획양식V3.0" xfId="5697"/>
    <cellStyle name="7_결산진실성EVA_사업계획 양식_02년사업계획양식V1.0_대호(bs수정)_02년사업계획양식V2.0_02년사업계획양식V2.0_02년사업계획양식V3.0_02년사업계획양식V3.0" xfId="5698"/>
    <cellStyle name="7_결산진실성EVA_사업계획 양식_02년사업계획양식V1.0_대호(bs수정)_02년사업계획양식V2.0_02년사업계획양식V2.0_02년사업계획양식V3.0_02년사업계획양식V3.0(원본)" xfId="5699"/>
    <cellStyle name="7_결산진실성EVA_사업계획 양식_02년사업계획양식V1.0_대호(bs수정)_02년사업계획양식V2.0_02년사업계획양식V2.0_02년사업계획양식V3.0_02년사업계획양식V3.0(원본)_1" xfId="5700"/>
    <cellStyle name="7_결산진실성EVA_사업계획 양식_02년사업계획양식V1.0_대호(bs수정)_02년사업계획양식V2.0_02년사업계획양식V3.0" xfId="5701"/>
    <cellStyle name="7_결산진실성EVA_사업계획 양식_02년사업계획양식V1.0_대호(bs수정)_02년사업계획양식V2.0_02년사업계획양식V3.0(원본)" xfId="5702"/>
    <cellStyle name="7_결산진실성EVA_사업계획 양식_02년사업계획양식V1.0_대호(bs수정)_02년사업계획양식V2.0_02년사업계획양식V3.0(원본)_1" xfId="5703"/>
    <cellStyle name="7_결산진실성EVA_사업계획 양식_02년사업계획양식V1.0_대호(bs수정)_02년사업계획양식V2.0_02년사업계획양식V3.0_02년사업계획양식V3.0" xfId="5704"/>
    <cellStyle name="7_결산진실성EVA_사업계획 양식_02년사업계획양식V1.0_대호(bs수정)_02년사업계획양식V2.0_02년사업계획양식V3.0_02년사업계획양식V3.0_02년사업계획양식V3.0" xfId="5705"/>
    <cellStyle name="7_결산진실성EVA_사업계획 양식_02년사업계획양식V1.0_대호(bs수정)_02년사업계획양식V2.0_02년사업계획양식V3.0_02년사업계획양식V3.0_02년사업계획양식V3.0(원본)" xfId="5706"/>
    <cellStyle name="7_결산진실성EVA_사업계획 양식_02년사업계획양식V1.0_대호(bs수정)_02년사업계획양식V2.0_02년사업계획양식V3.0_02년사업계획양식V3.0_02년사업계획양식V3.0(원본)_1" xfId="5707"/>
    <cellStyle name="7_결산진실성EVA_사업계획 양식_02년사업계획양식V1.0_대호(bs수정)_02년사업계획양식V3.0" xfId="5708"/>
    <cellStyle name="7_결산진실성EVA_사업계획 양식_02년사업계획양식V1.0_대호(bs수정)_02년사업계획양식V3.0_02년사업계획양식V3.0" xfId="5709"/>
    <cellStyle name="7_결산진실성EVA_사업계획 양식_02년사업계획양식V1.0_대호(bs수정)_02년사업계획양식V3.0_02년사업계획양식V3.0(원본)" xfId="5710"/>
    <cellStyle name="7_결산진실성EVA_사업계획 양식_02년사업계획양식V1.0_대호(bs수정)_02년사업계획양식V3.0_02년사업계획양식V3.0(원본)_1" xfId="5711"/>
    <cellStyle name="7_결산진실성EVA_사업계획 양식_02년사업계획양식V2.0" xfId="5712"/>
    <cellStyle name="7_결산진실성EVA_사업계획 양식_02년사업계획양식V2.0_02년사업계획양식V3.0" xfId="5713"/>
    <cellStyle name="7_결산진실성EVA_사업계획 양식_02년사업계획양식V2.0_02년사업계획양식V3.0_02년사업계획양식V3.0" xfId="5714"/>
    <cellStyle name="7_결산진실성EVA_사업계획 양식_02년사업계획양식V2.0_02년사업계획양식V3.0_02년사업계획양식V3.0(원본)" xfId="5715"/>
    <cellStyle name="7_결산진실성EVA_사업계획 양식_02년사업계획양식V2.0_02년사업계획양식V3.0_02년사업계획양식V3.0(원본)_1" xfId="5716"/>
    <cellStyle name="7_결산진실성EVA_사업계획 양식_02년사업계획양식V3.0" xfId="5717"/>
    <cellStyle name="7_결산진실성EVA_사업계획 양식_02년사업계획양식V3.0(원본)" xfId="5718"/>
    <cellStyle name="7_결산진실성EVA_사업계획 양식_02년사업계획양식V3.0(원본)_1" xfId="5719"/>
    <cellStyle name="7_결산진실성EVA_사업계획 양식_02년사업계획양식V3.0_02년사업계획양식V3.0" xfId="5720"/>
    <cellStyle name="7_결산진실성EVA_사업계획 양식_02년사업계획양식V3.0_02년사업계획양식V3.0_02년사업계획양식V3.0" xfId="5721"/>
    <cellStyle name="7_결산진실성EVA_사업계획 양식_02년사업계획양식V3.0_02년사업계획양식V3.0_02년사업계획양식V3.0(원본)" xfId="5722"/>
    <cellStyle name="7_결산진실성EVA_사업계획 양식_02년사업계획양식V3.0_02년사업계획양식V3.0_02년사업계획양식V3.0(원본)_1" xfId="5723"/>
    <cellStyle name="7_결산진실성EVA_상반기_연간손익정리(서대호)" xfId="5724"/>
    <cellStyle name="7_결산진실성EVA_상반기_연간손익정리(서대호)_01년간예상손익(12월이동)" xfId="5725"/>
    <cellStyle name="7_결산진실성EVA_상반기_연간손익정리(서대호)_01년간예상손익(12월이동)_2" xfId="5726"/>
    <cellStyle name="7_결산진실성EVA_상반기_연간손익정리(서대호)_01매출손익(6월 실적반영)" xfId="5727"/>
    <cellStyle name="7_결산진실성EVA_상반기_연간손익정리(서대호)_01매출손익(6월 실적반영)_01년간예상손익(12월이동)" xfId="5728"/>
    <cellStyle name="7_결산진실성EVA_상반기_연간손익정리(서대호)_01매출손익(6월 실적반영)_01년간예상손익(12월이동)_2" xfId="5729"/>
    <cellStyle name="7_결산진실성EVA_상반기_연간손익정리(서대호)_01매출손익(6월 실적반영)_02년 2월 이동_예상손익" xfId="5730"/>
    <cellStyle name="7_결산진실성EVA_상반기_연간손익정리(서대호)_01매출손익(6월 실적반영)_02년 2월 이동_예상손익_1" xfId="5731"/>
    <cellStyle name="7_결산진실성EVA_상반기_연간손익정리(서대호)_01매출손익(6월 실적반영)_02년 3월 이동_예상손익(전사취합)" xfId="5732"/>
    <cellStyle name="7_결산진실성EVA_상반기_연간손익정리(서대호)_01매출손익(6월 실적반영)_02년 6월 이동_예상손익(전사취합)" xfId="5733"/>
    <cellStyle name="7_결산진실성EVA_상반기_연간손익정리(서대호)_01매출손익(6월 실적반영)_02년간예상손익" xfId="5734"/>
    <cellStyle name="7_결산진실성EVA_상반기_연간손익정리(서대호)_01매출손익(6월 실적반영)_04월 이동계획_전사예상pl" xfId="5735"/>
    <cellStyle name="7_결산진실성EVA_상반기_연간손익정리(서대호)_01매출손익(6월 실적반영)_1월이동손익_전사예상pl" xfId="5736"/>
    <cellStyle name="7_결산진실성EVA_상반기_연간손익정리(서대호)_01매출손익(6월 실적반영)_obu별손익0112이동" xfId="5737"/>
    <cellStyle name="7_결산진실성EVA_상반기_연간손익정리(서대호)_02년 2월 이동_예상손익" xfId="5738"/>
    <cellStyle name="7_결산진실성EVA_상반기_연간손익정리(서대호)_02년 2월 이동_예상손익_1" xfId="5739"/>
    <cellStyle name="7_결산진실성EVA_상반기_연간손익정리(서대호)_02년 3월 이동_예상손익(전사취합)" xfId="5740"/>
    <cellStyle name="7_결산진실성EVA_상반기_연간손익정리(서대호)_02년 6월 이동_예상손익(전사취합)" xfId="5741"/>
    <cellStyle name="7_결산진실성EVA_상반기_연간손익정리(서대호)_02년간예상손익" xfId="5742"/>
    <cellStyle name="7_결산진실성EVA_상반기_연간손익정리(서대호)_04월 이동계획_전사예상pl" xfId="5743"/>
    <cellStyle name="7_결산진실성EVA_상반기_연간손익정리(서대호)_1월이동손익_전사예상pl" xfId="5744"/>
    <cellStyle name="7_결산진실성EVA_상반기_연간손익정리(서대호)_8월예상" xfId="5745"/>
    <cellStyle name="7_결산진실성EVA_상반기_연간손익정리(서대호)_8월예상_01년간예상손익(12월이동)" xfId="5746"/>
    <cellStyle name="7_결산진실성EVA_상반기_연간손익정리(서대호)_8월예상_01년간예상손익(12월이동)_2" xfId="5747"/>
    <cellStyle name="7_결산진실성EVA_상반기_연간손익정리(서대호)_8월예상_02년 2월 이동_예상손익" xfId="5748"/>
    <cellStyle name="7_결산진실성EVA_상반기_연간손익정리(서대호)_8월예상_02년 2월 이동_예상손익_1" xfId="5749"/>
    <cellStyle name="7_결산진실성EVA_상반기_연간손익정리(서대호)_8월예상_02년 3월 이동_예상손익(전사취합)" xfId="5750"/>
    <cellStyle name="7_결산진실성EVA_상반기_연간손익정리(서대호)_8월예상_02년 6월 이동_예상손익(전사취합)" xfId="5751"/>
    <cellStyle name="7_결산진실성EVA_상반기_연간손익정리(서대호)_8월예상_02년간예상손익" xfId="5752"/>
    <cellStyle name="7_결산진실성EVA_상반기_연간손익정리(서대호)_8월예상_04월 이동계획_전사예상pl" xfId="5753"/>
    <cellStyle name="7_결산진실성EVA_상반기_연간손익정리(서대호)_8월예상_1월이동손익_전사예상pl" xfId="5754"/>
    <cellStyle name="7_결산진실성EVA_상반기_연간손익정리(서대호)_8월예상_obu별손익0112이동" xfId="5755"/>
    <cellStyle name="7_결산진실성EVA_상반기_연간손익정리(서대호)_obu별손익0112이동" xfId="5756"/>
    <cellStyle name="7_결산진실성EVA_상반기_연간손익정리(서대호)_연간예상추정5886_0726" xfId="5757"/>
    <cellStyle name="7_결산진실성EVA_상반기_연간손익정리(서대호)_연간예상추정5886_0726_01년간예상손익(12월이동)" xfId="5758"/>
    <cellStyle name="7_결산진실성EVA_상반기_연간손익정리(서대호)_연간예상추정5886_0726_01년간예상손익(12월이동)_2" xfId="5759"/>
    <cellStyle name="7_결산진실성EVA_상반기_연간손익정리(서대호)_연간예상추정5886_0726_02년 2월 이동_예상손익" xfId="5760"/>
    <cellStyle name="7_결산진실성EVA_상반기_연간손익정리(서대호)_연간예상추정5886_0726_02년 2월 이동_예상손익_1" xfId="5761"/>
    <cellStyle name="7_결산진실성EVA_상반기_연간손익정리(서대호)_연간예상추정5886_0726_02년 3월 이동_예상손익(전사취합)" xfId="5762"/>
    <cellStyle name="7_결산진실성EVA_상반기_연간손익정리(서대호)_연간예상추정5886_0726_02년 6월 이동_예상손익(전사취합)" xfId="5763"/>
    <cellStyle name="7_결산진실성EVA_상반기_연간손익정리(서대호)_연간예상추정5886_0726_02년간예상손익" xfId="5764"/>
    <cellStyle name="7_결산진실성EVA_상반기_연간손익정리(서대호)_연간예상추정5886_0726_04월 이동계획_전사예상pl" xfId="5765"/>
    <cellStyle name="7_결산진실성EVA_상반기_연간손익정리(서대호)_연간예상추정5886_0726_1월이동손익_전사예상pl" xfId="5766"/>
    <cellStyle name="7_결산진실성EVA_상반기_연간손익정리(서대호)_연간예상추정5886_0726_obu별손익0112이동" xfId="5767"/>
    <cellStyle name="7_결산진실성EVA_연간예상추정5886_0726" xfId="5768"/>
    <cellStyle name="7_결산진실성EVA_연간예상추정5886_0726_01년간예상손익(12월이동)" xfId="5769"/>
    <cellStyle name="7_결산진실성EVA_연간예상추정5886_0726_01년간예상손익(12월이동)_2" xfId="5770"/>
    <cellStyle name="7_결산진실성EVA_연간예상추정5886_0726_02년 2월 이동_예상손익" xfId="5771"/>
    <cellStyle name="7_결산진실성EVA_연간예상추정5886_0726_02년 2월 이동_예상손익_1" xfId="5772"/>
    <cellStyle name="7_결산진실성EVA_연간예상추정5886_0726_02년 3월 이동_예상손익(전사취합)" xfId="5773"/>
    <cellStyle name="7_결산진실성EVA_연간예상추정5886_0726_02년 6월 이동_예상손익(전사취합)" xfId="5774"/>
    <cellStyle name="7_결산진실성EVA_연간예상추정5886_0726_02년간예상손익" xfId="5775"/>
    <cellStyle name="7_결산진실성EVA_연간예상추정5886_0726_04월 이동계획_전사예상pl" xfId="5776"/>
    <cellStyle name="7_결산진실성EVA_연간예상추정5886_0726_1월이동손익_전사예상pl" xfId="5777"/>
    <cellStyle name="7_결산진실성EVA_연간예상추정5886_0726_obu별손익0112이동" xfId="5778"/>
    <cellStyle name="7_그룹+업적보고회+보완사항" xfId="5779"/>
    <cellStyle name="7_본부본사배부_1022FINAL본사비축소_해외법인" xfId="5780"/>
    <cellStyle name="7_사업계획 양식" xfId="5781"/>
    <cellStyle name="7_사업계획 양식_02년사업계획양식V1.0_대호(bs수정)" xfId="5782"/>
    <cellStyle name="7_사업계획 양식_02년사업계획양식V1.0_대호(bs수정)_02년사업계획양식V2.0" xfId="5783"/>
    <cellStyle name="7_사업계획 양식_02년사업계획양식V1.0_대호(bs수정)_02년사업계획양식V2.0_02년사업계획양식V2.0" xfId="5784"/>
    <cellStyle name="7_사업계획 양식_02년사업계획양식V1.0_대호(bs수정)_02년사업계획양식V2.0_02년사업계획양식V2.0_02년사업계획양식V3.0" xfId="5785"/>
    <cellStyle name="7_사업계획 양식_02년사업계획양식V1.0_대호(bs수정)_02년사업계획양식V2.0_02년사업계획양식V2.0_02년사업계획양식V3.0_02년사업계획양식V3.0" xfId="5786"/>
    <cellStyle name="7_사업계획 양식_02년사업계획양식V1.0_대호(bs수정)_02년사업계획양식V2.0_02년사업계획양식V2.0_02년사업계획양식V3.0_02년사업계획양식V3.0(원본)" xfId="5787"/>
    <cellStyle name="7_사업계획 양식_02년사업계획양식V1.0_대호(bs수정)_02년사업계획양식V2.0_02년사업계획양식V2.0_02년사업계획양식V3.0_02년사업계획양식V3.0(원본)_1" xfId="5788"/>
    <cellStyle name="7_사업계획 양식_02년사업계획양식V1.0_대호(bs수정)_02년사업계획양식V2.0_02년사업계획양식V3.0" xfId="5789"/>
    <cellStyle name="7_사업계획 양식_02년사업계획양식V1.0_대호(bs수정)_02년사업계획양식V2.0_02년사업계획양식V3.0(원본)" xfId="5790"/>
    <cellStyle name="7_사업계획 양식_02년사업계획양식V1.0_대호(bs수정)_02년사업계획양식V2.0_02년사업계획양식V3.0(원본)_1" xfId="5791"/>
    <cellStyle name="7_사업계획 양식_02년사업계획양식V1.0_대호(bs수정)_02년사업계획양식V2.0_02년사업계획양식V3.0_02년사업계획양식V3.0" xfId="5792"/>
    <cellStyle name="7_사업계획 양식_02년사업계획양식V1.0_대호(bs수정)_02년사업계획양식V2.0_02년사업계획양식V3.0_02년사업계획양식V3.0_02년사업계획양식V3.0" xfId="5793"/>
    <cellStyle name="7_사업계획 양식_02년사업계획양식V1.0_대호(bs수정)_02년사업계획양식V2.0_02년사업계획양식V3.0_02년사업계획양식V3.0_02년사업계획양식V3.0(원본)" xfId="5794"/>
    <cellStyle name="7_사업계획 양식_02년사업계획양식V1.0_대호(bs수정)_02년사업계획양식V2.0_02년사업계획양식V3.0_02년사업계획양식V3.0_02년사업계획양식V3.0(원본)_1" xfId="5795"/>
    <cellStyle name="7_사업계획 양식_02년사업계획양식V1.0_대호(bs수정)_02년사업계획양식V3.0" xfId="5796"/>
    <cellStyle name="7_사업계획 양식_02년사업계획양식V1.0_대호(bs수정)_02년사업계획양식V3.0_02년사업계획양식V3.0" xfId="5797"/>
    <cellStyle name="7_사업계획 양식_02년사업계획양식V1.0_대호(bs수정)_02년사업계획양식V3.0_02년사업계획양식V3.0(원본)" xfId="5798"/>
    <cellStyle name="7_사업계획 양식_02년사업계획양식V1.0_대호(bs수정)_02년사업계획양식V3.0_02년사업계획양식V3.0(원본)_1" xfId="5799"/>
    <cellStyle name="7_사업계획 양식_02년사업계획양식V2.0" xfId="5800"/>
    <cellStyle name="7_사업계획 양식_02년사업계획양식V2.0_02년사업계획양식V3.0" xfId="5801"/>
    <cellStyle name="7_사업계획 양식_02년사업계획양식V2.0_02년사업계획양식V3.0_02년사업계획양식V3.0" xfId="5802"/>
    <cellStyle name="7_사업계획 양식_02년사업계획양식V2.0_02년사업계획양식V3.0_02년사업계획양식V3.0(원본)" xfId="5803"/>
    <cellStyle name="7_사업계획 양식_02년사업계획양식V2.0_02년사업계획양식V3.0_02년사업계획양식V3.0(원본)_1" xfId="5804"/>
    <cellStyle name="7_사업계획 양식_02년사업계획양식V3.0" xfId="5805"/>
    <cellStyle name="7_사업계획 양식_02년사업계획양식V3.0(원본)" xfId="5806"/>
    <cellStyle name="7_사업계획 양식_02년사업계획양식V3.0(원본)_1" xfId="5807"/>
    <cellStyle name="7_사업계획 양식_02년사업계획양식V3.0_02년사업계획양식V3.0" xfId="5808"/>
    <cellStyle name="7_사업계획 양식_02년사업계획양식V3.0_02년사업계획양식V3.0_02년사업계획양식V3.0" xfId="5809"/>
    <cellStyle name="7_사업계획 양식_02년사업계획양식V3.0_02년사업계획양식V3.0_02년사업계획양식V3.0(원본)" xfId="5810"/>
    <cellStyle name="7_사업계획 양식_02년사업계획양식V3.0_02년사업계획양식V3.0_02년사업계획양식V3.0(원본)_1" xfId="5811"/>
    <cellStyle name="7_상반기_연간손익정리(서대호)" xfId="5812"/>
    <cellStyle name="7_상반기_연간손익정리(서대호)_01년간예상손익(12월이동)" xfId="5813"/>
    <cellStyle name="7_상반기_연간손익정리(서대호)_01년간예상손익(12월이동)_2" xfId="5814"/>
    <cellStyle name="7_상반기_연간손익정리(서대호)_01매출손익(6월 실적반영)" xfId="5815"/>
    <cellStyle name="7_상반기_연간손익정리(서대호)_01매출손익(6월 실적반영)_01년간예상손익(12월이동)" xfId="5816"/>
    <cellStyle name="7_상반기_연간손익정리(서대호)_01매출손익(6월 실적반영)_01년간예상손익(12월이동)_2" xfId="5817"/>
    <cellStyle name="7_상반기_연간손익정리(서대호)_01매출손익(6월 실적반영)_02년 2월 이동_예상손익" xfId="5818"/>
    <cellStyle name="7_상반기_연간손익정리(서대호)_01매출손익(6월 실적반영)_02년 2월 이동_예상손익_1" xfId="5819"/>
    <cellStyle name="7_상반기_연간손익정리(서대호)_01매출손익(6월 실적반영)_02년 3월 이동_예상손익(전사취합)" xfId="5820"/>
    <cellStyle name="7_상반기_연간손익정리(서대호)_01매출손익(6월 실적반영)_02년 6월 이동_예상손익(전사취합)" xfId="5821"/>
    <cellStyle name="7_상반기_연간손익정리(서대호)_01매출손익(6월 실적반영)_02년간예상손익" xfId="5822"/>
    <cellStyle name="7_상반기_연간손익정리(서대호)_01매출손익(6월 실적반영)_04월 이동계획_전사예상pl" xfId="5823"/>
    <cellStyle name="7_상반기_연간손익정리(서대호)_01매출손익(6월 실적반영)_1월이동손익_전사예상pl" xfId="5824"/>
    <cellStyle name="7_상반기_연간손익정리(서대호)_01매출손익(6월 실적반영)_obu별손익0112이동" xfId="5825"/>
    <cellStyle name="7_상반기_연간손익정리(서대호)_02년 2월 이동_예상손익" xfId="5826"/>
    <cellStyle name="7_상반기_연간손익정리(서대호)_02년 2월 이동_예상손익_1" xfId="5827"/>
    <cellStyle name="7_상반기_연간손익정리(서대호)_02년 3월 이동_예상손익(전사취합)" xfId="5828"/>
    <cellStyle name="7_상반기_연간손익정리(서대호)_02년 6월 이동_예상손익(전사취합)" xfId="5829"/>
    <cellStyle name="7_상반기_연간손익정리(서대호)_02년간예상손익" xfId="5830"/>
    <cellStyle name="7_상반기_연간손익정리(서대호)_04월 이동계획_전사예상pl" xfId="5831"/>
    <cellStyle name="7_상반기_연간손익정리(서대호)_1월이동손익_전사예상pl" xfId="5832"/>
    <cellStyle name="7_상반기_연간손익정리(서대호)_8월예상" xfId="5833"/>
    <cellStyle name="7_상반기_연간손익정리(서대호)_8월예상_01년간예상손익(12월이동)" xfId="5834"/>
    <cellStyle name="7_상반기_연간손익정리(서대호)_8월예상_01년간예상손익(12월이동)_2" xfId="5835"/>
    <cellStyle name="7_상반기_연간손익정리(서대호)_8월예상_02년 2월 이동_예상손익" xfId="5836"/>
    <cellStyle name="7_상반기_연간손익정리(서대호)_8월예상_02년 2월 이동_예상손익_1" xfId="5837"/>
    <cellStyle name="7_상반기_연간손익정리(서대호)_8월예상_02년 3월 이동_예상손익(전사취합)" xfId="5838"/>
    <cellStyle name="7_상반기_연간손익정리(서대호)_8월예상_02년 6월 이동_예상손익(전사취합)" xfId="5839"/>
    <cellStyle name="7_상반기_연간손익정리(서대호)_8월예상_02년간예상손익" xfId="5840"/>
    <cellStyle name="7_상반기_연간손익정리(서대호)_8월예상_04월 이동계획_전사예상pl" xfId="5841"/>
    <cellStyle name="7_상반기_연간손익정리(서대호)_8월예상_1월이동손익_전사예상pl" xfId="5842"/>
    <cellStyle name="7_상반기_연간손익정리(서대호)_8월예상_obu별손익0112이동" xfId="5843"/>
    <cellStyle name="7_상반기_연간손익정리(서대호)_obu별손익0112이동" xfId="5844"/>
    <cellStyle name="7_상반기_연간손익정리(서대호)_연간예상추정5886_0726" xfId="5845"/>
    <cellStyle name="7_상반기_연간손익정리(서대호)_연간예상추정5886_0726_01년간예상손익(12월이동)" xfId="5846"/>
    <cellStyle name="7_상반기_연간손익정리(서대호)_연간예상추정5886_0726_01년간예상손익(12월이동)_2" xfId="5847"/>
    <cellStyle name="7_상반기_연간손익정리(서대호)_연간예상추정5886_0726_02년 2월 이동_예상손익" xfId="5848"/>
    <cellStyle name="7_상반기_연간손익정리(서대호)_연간예상추정5886_0726_02년 2월 이동_예상손익_1" xfId="5849"/>
    <cellStyle name="7_상반기_연간손익정리(서대호)_연간예상추정5886_0726_02년 3월 이동_예상손익(전사취합)" xfId="5850"/>
    <cellStyle name="7_상반기_연간손익정리(서대호)_연간예상추정5886_0726_02년 6월 이동_예상손익(전사취합)" xfId="5851"/>
    <cellStyle name="7_상반기_연간손익정리(서대호)_연간예상추정5886_0726_02년간예상손익" xfId="5852"/>
    <cellStyle name="7_상반기_연간손익정리(서대호)_연간예상추정5886_0726_04월 이동계획_전사예상pl" xfId="5853"/>
    <cellStyle name="7_상반기_연간손익정리(서대호)_연간예상추정5886_0726_1월이동손익_전사예상pl" xfId="5854"/>
    <cellStyle name="7_상반기_연간손익정리(서대호)_연간예상추정5886_0726_obu별손익0112이동" xfId="5855"/>
    <cellStyle name="7_연간예상추정5886_0726" xfId="5856"/>
    <cellStyle name="7_연간예상추정5886_0726_01년간예상손익(12월이동)" xfId="5857"/>
    <cellStyle name="7_연간예상추정5886_0726_01년간예상손익(12월이동)_2" xfId="5858"/>
    <cellStyle name="7_연간예상추정5886_0726_02년 2월 이동_예상손익" xfId="5859"/>
    <cellStyle name="7_연간예상추정5886_0726_02년 2월 이동_예상손익_1" xfId="5860"/>
    <cellStyle name="7_연간예상추정5886_0726_02년 3월 이동_예상손익(전사취합)" xfId="5861"/>
    <cellStyle name="7_연간예상추정5886_0726_02년 6월 이동_예상손익(전사취합)" xfId="5862"/>
    <cellStyle name="7_연간예상추정5886_0726_02년간예상손익" xfId="5863"/>
    <cellStyle name="7_연간예상추정5886_0726_04월 이동계획_전사예상pl" xfId="5864"/>
    <cellStyle name="7_연간예상추정5886_0726_1월이동손익_전사예상pl" xfId="5865"/>
    <cellStyle name="7_연간예상추정5886_0726_obu별손익0112이동" xfId="5866"/>
    <cellStyle name="7_전자98결산진실" xfId="5867"/>
    <cellStyle name="7_전자98결산진실_(정우일K)+03년+전략보고+재무구조(030702)" xfId="5868"/>
    <cellStyle name="7_전자98결산진실_★05년 매출,손익" xfId="5869"/>
    <cellStyle name="7_전자98결산진실_★05년 매출,손익_8월 예상손익 점검" xfId="5870"/>
    <cellStyle name="7_전자98결산진실_★05년 매출,손익_8월 예상손익 점검_DM_환율영향분석_본부" xfId="5871"/>
    <cellStyle name="7_전자98결산진실_★05년 매출,손익_DM_환율영향분석_본부" xfId="5872"/>
    <cellStyle name="7_전자98결산진실_01_예상매출(총액)" xfId="5873"/>
    <cellStyle name="7_전자98결산진실_01_예상매출(총액)_01년간예상손익(12월이동)" xfId="5874"/>
    <cellStyle name="7_전자98결산진실_01_예상매출(총액)_01년간예상손익(12월이동)_2" xfId="5875"/>
    <cellStyle name="7_전자98결산진실_01_예상매출(총액)_02년 2월 이동_예상손익" xfId="5876"/>
    <cellStyle name="7_전자98결산진실_01_예상매출(총액)_02년 2월 이동_예상손익_1" xfId="5877"/>
    <cellStyle name="7_전자98결산진실_01_예상매출(총액)_02년 3월 이동_예상손익(전사취합)" xfId="5878"/>
    <cellStyle name="7_전자98결산진실_01_예상매출(총액)_02년 6월 이동_예상손익(전사취합)" xfId="5879"/>
    <cellStyle name="7_전자98결산진실_01_예상매출(총액)_02년간예상손익" xfId="5880"/>
    <cellStyle name="7_전자98결산진실_01_예상매출(총액)_04월 이동계획_전사예상pl" xfId="5881"/>
    <cellStyle name="7_전자98결산진실_01_예상매출(총액)_1월이동손익_전사예상pl" xfId="5882"/>
    <cellStyle name="7_전자98결산진실_01_예상매출(총액)_obu별손익0112이동" xfId="5883"/>
    <cellStyle name="7_전자98결산진실_01년간예상손익" xfId="5884"/>
    <cellStyle name="7_전자98결산진실_01년간예상손익_01년간예상손익(12월이동)" xfId="5885"/>
    <cellStyle name="7_전자98결산진실_01년간예상손익_01년간예상손익(12월이동)_2" xfId="5886"/>
    <cellStyle name="7_전자98결산진실_01년간예상손익_02년 2월 이동_예상손익" xfId="5887"/>
    <cellStyle name="7_전자98결산진실_01년간예상손익_02년 2월 이동_예상손익_1" xfId="5888"/>
    <cellStyle name="7_전자98결산진실_01년간예상손익_02년 3월 이동_예상손익(전사취합)" xfId="5889"/>
    <cellStyle name="7_전자98결산진실_01년간예상손익_02년 6월 이동_예상손익(전사취합)" xfId="5890"/>
    <cellStyle name="7_전자98결산진실_01년간예상손익_02년간예상손익" xfId="5891"/>
    <cellStyle name="7_전자98결산진실_01년간예상손익_04월 이동계획_전사예상pl" xfId="5892"/>
    <cellStyle name="7_전자98결산진실_01년간예상손익_1월이동손익_전사예상pl" xfId="5893"/>
    <cellStyle name="7_전자98결산진실_01년간예상손익_obu별손익0112이동" xfId="5894"/>
    <cellStyle name="7_전자98결산진실_01매출손익(6월 실적반영)" xfId="5895"/>
    <cellStyle name="7_전자98결산진실_01매출손익(6월 실적반영)_01년간예상손익(12월이동)" xfId="5896"/>
    <cellStyle name="7_전자98결산진실_01매출손익(6월 실적반영)_01년간예상손익(12월이동)_2" xfId="5897"/>
    <cellStyle name="7_전자98결산진실_01매출손익(6월 실적반영)_02년 2월 이동_예상손익" xfId="5898"/>
    <cellStyle name="7_전자98결산진실_01매출손익(6월 실적반영)_02년 2월 이동_예상손익_1" xfId="5899"/>
    <cellStyle name="7_전자98결산진실_01매출손익(6월 실적반영)_02년 3월 이동_예상손익(전사취합)" xfId="5900"/>
    <cellStyle name="7_전자98결산진실_01매출손익(6월 실적반영)_02년 6월 이동_예상손익(전사취합)" xfId="5901"/>
    <cellStyle name="7_전자98결산진실_01매출손익(6월 실적반영)_02년간예상손익" xfId="5902"/>
    <cellStyle name="7_전자98결산진실_01매출손익(6월 실적반영)_04월 이동계획_전사예상pl" xfId="5903"/>
    <cellStyle name="7_전자98결산진실_01매출손익(6월 실적반영)_1월이동손익_전사예상pl" xfId="5904"/>
    <cellStyle name="7_전자98결산진실_01매출손익(6월 실적반영)_obu별손익0112이동" xfId="5905"/>
    <cellStyle name="7_전자98결산진실_02기본_종합장표" xfId="5906"/>
    <cellStyle name="7_전자98결산진실_02년사업계획양식V1.0" xfId="5907"/>
    <cellStyle name="7_전자98결산진실_02년사업계획양식V1.0_02년사업계획양식V1.0_고동욱_011205" xfId="5908"/>
    <cellStyle name="7_전자98결산진실_02년사업계획양식V1.0_02년사업계획양식V1.0_고동욱_011205_02년사업계획양식V2.0" xfId="5909"/>
    <cellStyle name="7_전자98결산진실_02년사업계획양식V1.0_02년사업계획양식V1.0_고동욱_011205_02년사업계획양식V2.0_02년사업계획양식V2.0" xfId="5910"/>
    <cellStyle name="7_전자98결산진실_02년사업계획양식V1.0_02년사업계획양식V1.0_고동욱_011205_02년사업계획양식V2.0_02년사업계획양식V2.0_02년사업계획양식V3.0" xfId="5911"/>
    <cellStyle name="7_전자98결산진실_02년사업계획양식V1.0_02년사업계획양식V1.0_고동욱_011205_02년사업계획양식V2.0_02년사업계획양식V2.0_02년사업계획양식V3.0_02년사업계획양식V3.0" xfId="5912"/>
    <cellStyle name="7_전자98결산진실_02년사업계획양식V1.0_02년사업계획양식V1.0_고동욱_011205_02년사업계획양식V2.0_02년사업계획양식V2.0_02년사업계획양식V3.0_02년사업계획양식V3.0(원본)" xfId="5913"/>
    <cellStyle name="7_전자98결산진실_02년사업계획양식V1.0_02년사업계획양식V1.0_고동욱_011205_02년사업계획양식V2.0_02년사업계획양식V2.0_02년사업계획양식V3.0_02년사업계획양식V3.0(원본)_1" xfId="5914"/>
    <cellStyle name="7_전자98결산진실_02년사업계획양식V1.0_02년사업계획양식V1.0_고동욱_011205_02년사업계획양식V2.0_02년사업계획양식V3.0" xfId="5915"/>
    <cellStyle name="7_전자98결산진실_02년사업계획양식V1.0_02년사업계획양식V1.0_고동욱_011205_02년사업계획양식V2.0_02년사업계획양식V3.0(원본)" xfId="5916"/>
    <cellStyle name="7_전자98결산진실_02년사업계획양식V1.0_02년사업계획양식V1.0_고동욱_011205_02년사업계획양식V2.0_02년사업계획양식V3.0(원본)_1" xfId="5917"/>
    <cellStyle name="7_전자98결산진실_02년사업계획양식V1.0_02년사업계획양식V1.0_고동욱_011205_02년사업계획양식V2.0_02년사업계획양식V3.0_02년사업계획양식V3.0" xfId="5918"/>
    <cellStyle name="7_전자98결산진실_02년사업계획양식V1.0_02년사업계획양식V1.0_고동욱_011205_02년사업계획양식V2.0_02년사업계획양식V3.0_02년사업계획양식V3.0_02년사업계획양식V3.0" xfId="5919"/>
    <cellStyle name="7_전자98결산진실_02년사업계획양식V1.0_02년사업계획양식V1.0_고동욱_011205_02년사업계획양식V2.0_02년사업계획양식V3.0_02년사업계획양식V3.0_02년사업계획양식V3.0(원본)" xfId="5920"/>
    <cellStyle name="7_전자98결산진실_02년사업계획양식V1.0_02년사업계획양식V1.0_고동욱_011205_02년사업계획양식V2.0_02년사업계획양식V3.0_02년사업계획양식V3.0_02년사업계획양식V3.0(원본)_1" xfId="5921"/>
    <cellStyle name="7_전자98결산진실_02년사업계획양식V1.0_02년사업계획양식V1.0_고동욱_011205_02년사업계획양식V3.0" xfId="5922"/>
    <cellStyle name="7_전자98결산진실_02년사업계획양식V1.0_02년사업계획양식V1.0_고동욱_011205_02년사업계획양식V3.0_02년사업계획양식V3.0" xfId="5923"/>
    <cellStyle name="7_전자98결산진실_02년사업계획양식V1.0_02년사업계획양식V1.0_고동욱_011205_02년사업계획양식V3.0_02년사업계획양식V3.0(원본)" xfId="5924"/>
    <cellStyle name="7_전자98결산진실_02년사업계획양식V1.0_02년사업계획양식V1.0_고동욱_011205_02년사업계획양식V3.0_02년사업계획양식V3.0(원본)_1" xfId="5925"/>
    <cellStyle name="7_전자98결산진실_02년사업계획양식V1.0_02년사업계획양식V1.0_대호(bs수정)" xfId="5926"/>
    <cellStyle name="7_전자98결산진실_02년사업계획양식V1.0_02년사업계획양식V1.0_대호(bs수정)_02년사업계획양식V2.0" xfId="5927"/>
    <cellStyle name="7_전자98결산진실_02년사업계획양식V1.0_02년사업계획양식V1.0_대호(bs수정)_02년사업계획양식V2.0_02년사업계획양식V2.0" xfId="5928"/>
    <cellStyle name="7_전자98결산진실_02년사업계획양식V1.0_02년사업계획양식V1.0_대호(bs수정)_02년사업계획양식V2.0_02년사업계획양식V2.0_02년사업계획양식V3.0" xfId="5929"/>
    <cellStyle name="7_전자98결산진실_02년사업계획양식V1.0_02년사업계획양식V1.0_대호(bs수정)_02년사업계획양식V2.0_02년사업계획양식V2.0_02년사업계획양식V3.0_02년사업계획양식V3.0" xfId="5930"/>
    <cellStyle name="7_전자98결산진실_02년사업계획양식V1.0_02년사업계획양식V1.0_대호(bs수정)_02년사업계획양식V2.0_02년사업계획양식V2.0_02년사업계획양식V3.0_02년사업계획양식V3.0(원본)" xfId="5931"/>
    <cellStyle name="7_전자98결산진실_02년사업계획양식V1.0_02년사업계획양식V1.0_대호(bs수정)_02년사업계획양식V2.0_02년사업계획양식V2.0_02년사업계획양식V3.0_02년사업계획양식V3.0(원본)_1" xfId="5932"/>
    <cellStyle name="7_전자98결산진실_02년사업계획양식V1.0_02년사업계획양식V1.0_대호(bs수정)_02년사업계획양식V2.0_02년사업계획양식V3.0" xfId="5933"/>
    <cellStyle name="7_전자98결산진실_02년사업계획양식V1.0_02년사업계획양식V1.0_대호(bs수정)_02년사업계획양식V2.0_02년사업계획양식V3.0(원본)" xfId="5934"/>
    <cellStyle name="7_전자98결산진실_02년사업계획양식V1.0_02년사업계획양식V1.0_대호(bs수정)_02년사업계획양식V2.0_02년사업계획양식V3.0(원본)_1" xfId="5935"/>
    <cellStyle name="7_전자98결산진실_02년사업계획양식V1.0_02년사업계획양식V1.0_대호(bs수정)_02년사업계획양식V2.0_02년사업계획양식V3.0_02년사업계획양식V3.0" xfId="5936"/>
    <cellStyle name="7_전자98결산진실_02년사업계획양식V1.0_02년사업계획양식V1.0_대호(bs수정)_02년사업계획양식V2.0_02년사업계획양식V3.0_02년사업계획양식V3.0_02년사업계획양식V3.0" xfId="5937"/>
    <cellStyle name="7_전자98결산진실_02년사업계획양식V1.0_02년사업계획양식V1.0_대호(bs수정)_02년사업계획양식V2.0_02년사업계획양식V3.0_02년사업계획양식V3.0_02년사업계획양식V3.0(원본)" xfId="5938"/>
    <cellStyle name="7_전자98결산진실_02년사업계획양식V1.0_02년사업계획양식V1.0_대호(bs수정)_02년사업계획양식V2.0_02년사업계획양식V3.0_02년사업계획양식V3.0_02년사업계획양식V3.0(원본)_1" xfId="5939"/>
    <cellStyle name="7_전자98결산진실_02년사업계획양식V1.0_02년사업계획양식V1.0_대호(bs수정)_02년사업계획양식V3.0" xfId="5940"/>
    <cellStyle name="7_전자98결산진실_02년사업계획양식V1.0_02년사업계획양식V1.0_대호(bs수정)_02년사업계획양식V3.0_02년사업계획양식V3.0" xfId="5941"/>
    <cellStyle name="7_전자98결산진실_02년사업계획양식V1.0_02년사업계획양식V1.0_대호(bs수정)_02년사업계획양식V3.0_02년사업계획양식V3.0(원본)" xfId="5942"/>
    <cellStyle name="7_전자98결산진실_02년사업계획양식V1.0_02년사업계획양식V1.0_대호(bs수정)_02년사업계획양식V3.0_02년사업계획양식V3.0(원본)_1" xfId="5943"/>
    <cellStyle name="7_전자98결산진실_02년사업계획양식V1.0_02년사업계획양식V2.0" xfId="5944"/>
    <cellStyle name="7_전자98결산진실_02년사업계획양식V1.0_02년사업계획양식V2.0_02년사업계획양식V3.0" xfId="5945"/>
    <cellStyle name="7_전자98결산진실_02년사업계획양식V1.0_02년사업계획양식V2.0_02년사업계획양식V3.0_02년사업계획양식V3.0" xfId="5946"/>
    <cellStyle name="7_전자98결산진실_02년사업계획양식V1.0_02년사업계획양식V2.0_02년사업계획양식V3.0_02년사업계획양식V3.0(원본)" xfId="5947"/>
    <cellStyle name="7_전자98결산진실_02년사업계획양식V1.0_02년사업계획양식V2.0_02년사업계획양식V3.0_02년사업계획양식V3.0(원본)_1" xfId="5948"/>
    <cellStyle name="7_전자98결산진실_02년사업계획양식V1.0_02년사업계획양식V3.0" xfId="5949"/>
    <cellStyle name="7_전자98결산진실_02년사업계획양식V1.0_02년사업계획양식V3.0(원본)" xfId="5950"/>
    <cellStyle name="7_전자98결산진실_02년사업계획양식V1.0_02년사업계획양식V3.0(원본)_1" xfId="5951"/>
    <cellStyle name="7_전자98결산진실_02년사업계획양식V1.0_02년사업계획양식V3.0_02년사업계획양식V3.0" xfId="5952"/>
    <cellStyle name="7_전자98결산진실_02년사업계획양식V1.0_02년사업계획양식V3.0_02년사업계획양식V3.0_02년사업계획양식V3.0" xfId="5953"/>
    <cellStyle name="7_전자98결산진실_02년사업계획양식V1.0_02년사업계획양식V3.0_02년사업계획양식V3.0_02년사업계획양식V3.0(원본)" xfId="5954"/>
    <cellStyle name="7_전자98결산진실_02년사업계획양식V1.0_02년사업계획양식V3.0_02년사업계획양식V3.0_02년사업계획양식V3.0(원본)_1" xfId="5955"/>
    <cellStyle name="7_전자98결산진실_02년사업계획양식V1.0_고동욱_011130" xfId="5956"/>
    <cellStyle name="7_전자98결산진실_02년사업계획양식V1.0_고동욱_011130_02년사업계획양식V2.0" xfId="5957"/>
    <cellStyle name="7_전자98결산진실_02년사업계획양식V1.0_고동욱_011130_02년사업계획양식V2.0_02년사업계획양식V2.0" xfId="5958"/>
    <cellStyle name="7_전자98결산진실_02년사업계획양식V1.0_고동욱_011130_02년사업계획양식V2.0_02년사업계획양식V2.0_02년사업계획양식V3.0" xfId="5959"/>
    <cellStyle name="7_전자98결산진실_02년사업계획양식V1.0_고동욱_011130_02년사업계획양식V2.0_02년사업계획양식V2.0_02년사업계획양식V3.0_02년사업계획양식V3.0" xfId="5960"/>
    <cellStyle name="7_전자98결산진실_02년사업계획양식V1.0_고동욱_011130_02년사업계획양식V2.0_02년사업계획양식V2.0_02년사업계획양식V3.0_02년사업계획양식V3.0(원본)" xfId="5961"/>
    <cellStyle name="7_전자98결산진실_02년사업계획양식V1.0_고동욱_011130_02년사업계획양식V2.0_02년사업계획양식V2.0_02년사업계획양식V3.0_02년사업계획양식V3.0(원본)_1" xfId="5962"/>
    <cellStyle name="7_전자98결산진실_02년사업계획양식V1.0_고동욱_011130_02년사업계획양식V2.0_02년사업계획양식V3.0" xfId="5963"/>
    <cellStyle name="7_전자98결산진실_02년사업계획양식V1.0_고동욱_011130_02년사업계획양식V2.0_02년사업계획양식V3.0(원본)" xfId="5964"/>
    <cellStyle name="7_전자98결산진실_02년사업계획양식V1.0_고동욱_011130_02년사업계획양식V2.0_02년사업계획양식V3.0(원본)_1" xfId="5965"/>
    <cellStyle name="7_전자98결산진실_02년사업계획양식V1.0_고동욱_011130_02년사업계획양식V2.0_02년사업계획양식V3.0_02년사업계획양식V3.0" xfId="5966"/>
    <cellStyle name="7_전자98결산진실_02년사업계획양식V1.0_고동욱_011130_02년사업계획양식V2.0_02년사업계획양식V3.0_02년사업계획양식V3.0_02년사업계획양식V3.0" xfId="5967"/>
    <cellStyle name="7_전자98결산진실_02년사업계획양식V1.0_고동욱_011130_02년사업계획양식V2.0_02년사업계획양식V3.0_02년사업계획양식V3.0_02년사업계획양식V3.0(원본)" xfId="5968"/>
    <cellStyle name="7_전자98결산진실_02년사업계획양식V1.0_고동욱_011130_02년사업계획양식V2.0_02년사업계획양식V3.0_02년사업계획양식V3.0_02년사업계획양식V3.0(원본)_1" xfId="5969"/>
    <cellStyle name="7_전자98결산진실_02년사업계획양식V1.0_고동욱_011130_02년사업계획양식V3.0" xfId="5970"/>
    <cellStyle name="7_전자98결산진실_02년사업계획양식V1.0_고동욱_011130_02년사업계획양식V3.0_02년사업계획양식V3.0" xfId="5971"/>
    <cellStyle name="7_전자98결산진실_02년사업계획양식V1.0_고동욱_011130_02년사업계획양식V3.0_02년사업계획양식V3.0(원본)" xfId="5972"/>
    <cellStyle name="7_전자98결산진실_02년사업계획양식V1.0_고동욱_011130_02년사업계획양식V3.0_02년사업계획양식V3.0(원본)_1" xfId="5973"/>
    <cellStyle name="7_전자98결산진실_02년사업계획양식V1.0_고동욱_011205" xfId="5974"/>
    <cellStyle name="7_전자98결산진실_02년사업계획양식V1.0_고동욱_011205_02년사업계획양식V2.0" xfId="5975"/>
    <cellStyle name="7_전자98결산진실_02년사업계획양식V1.0_고동욱_011205_02년사업계획양식V2.0_02년사업계획양식V2.0" xfId="5976"/>
    <cellStyle name="7_전자98결산진실_02년사업계획양식V1.0_고동욱_011205_02년사업계획양식V2.0_02년사업계획양식V2.0_02년사업계획양식V3.0" xfId="5977"/>
    <cellStyle name="7_전자98결산진실_02년사업계획양식V1.0_고동욱_011205_02년사업계획양식V2.0_02년사업계획양식V2.0_02년사업계획양식V3.0_02년사업계획양식V3.0" xfId="5978"/>
    <cellStyle name="7_전자98결산진실_02년사업계획양식V1.0_고동욱_011205_02년사업계획양식V2.0_02년사업계획양식V2.0_02년사업계획양식V3.0_02년사업계획양식V3.0(원본)" xfId="5979"/>
    <cellStyle name="7_전자98결산진실_02년사업계획양식V1.0_고동욱_011205_02년사업계획양식V2.0_02년사업계획양식V2.0_02년사업계획양식V3.0_02년사업계획양식V3.0(원본)_1" xfId="5980"/>
    <cellStyle name="7_전자98결산진실_02년사업계획양식V1.0_고동욱_011205_02년사업계획양식V2.0_02년사업계획양식V3.0" xfId="5981"/>
    <cellStyle name="7_전자98결산진실_02년사업계획양식V1.0_고동욱_011205_02년사업계획양식V2.0_02년사업계획양식V3.0(원본)" xfId="5982"/>
    <cellStyle name="7_전자98결산진실_02년사업계획양식V1.0_고동욱_011205_02년사업계획양식V2.0_02년사업계획양식V3.0(원본)_1" xfId="5983"/>
    <cellStyle name="7_전자98결산진실_02년사업계획양식V1.0_고동욱_011205_02년사업계획양식V2.0_02년사업계획양식V3.0_02년사업계획양식V3.0" xfId="5984"/>
    <cellStyle name="7_전자98결산진실_02년사업계획양식V1.0_고동욱_011205_02년사업계획양식V2.0_02년사업계획양식V3.0_02년사업계획양식V3.0_02년사업계획양식V3.0" xfId="5985"/>
    <cellStyle name="7_전자98결산진실_02년사업계획양식V1.0_고동욱_011205_02년사업계획양식V2.0_02년사업계획양식V3.0_02년사업계획양식V3.0_02년사업계획양식V3.0(원본)" xfId="5986"/>
    <cellStyle name="7_전자98결산진실_02년사업계획양식V1.0_고동욱_011205_02년사업계획양식V2.0_02년사업계획양식V3.0_02년사업계획양식V3.0_02년사업계획양식V3.0(원본)_1" xfId="5987"/>
    <cellStyle name="7_전자98결산진실_02년사업계획양식V1.0_고동욱_011205_02년사업계획양식V3.0" xfId="5988"/>
    <cellStyle name="7_전자98결산진실_02년사업계획양식V1.0_고동욱_011205_02년사업계획양식V3.0_02년사업계획양식V3.0" xfId="5989"/>
    <cellStyle name="7_전자98결산진실_02년사업계획양식V1.0_고동욱_011205_02년사업계획양식V3.0_02년사업계획양식V3.0(원본)" xfId="5990"/>
    <cellStyle name="7_전자98결산진실_02년사업계획양식V1.0_고동욱_011205_02년사업계획양식V3.0_02년사업계획양식V3.0(원본)_1" xfId="5991"/>
    <cellStyle name="7_전자98결산진실_02년사업계획양식V1.0_대호(bs수정)" xfId="5992"/>
    <cellStyle name="7_전자98결산진실_02년사업계획양식V1.0_대호(bs수정)_02년사업계획양식V2.0" xfId="5993"/>
    <cellStyle name="7_전자98결산진실_02년사업계획양식V1.0_대호(bs수정)_02년사업계획양식V2.0_02년사업계획양식V2.0" xfId="5994"/>
    <cellStyle name="7_전자98결산진실_02년사업계획양식V1.0_대호(bs수정)_02년사업계획양식V2.0_02년사업계획양식V2.0_02년사업계획양식V3.0" xfId="5995"/>
    <cellStyle name="7_전자98결산진실_02년사업계획양식V1.0_대호(bs수정)_02년사업계획양식V2.0_02년사업계획양식V2.0_02년사업계획양식V3.0_02년사업계획양식V3.0" xfId="5996"/>
    <cellStyle name="7_전자98결산진실_02년사업계획양식V1.0_대호(bs수정)_02년사업계획양식V2.0_02년사업계획양식V2.0_02년사업계획양식V3.0_02년사업계획양식V3.0(원본)" xfId="5997"/>
    <cellStyle name="7_전자98결산진실_02년사업계획양식V1.0_대호(bs수정)_02년사업계획양식V2.0_02년사업계획양식V2.0_02년사업계획양식V3.0_02년사업계획양식V3.0(원본)_1" xfId="5998"/>
    <cellStyle name="7_전자98결산진실_02년사업계획양식V1.0_대호(bs수정)_02년사업계획양식V2.0_02년사업계획양식V3.0" xfId="5999"/>
    <cellStyle name="7_전자98결산진실_02년사업계획양식V1.0_대호(bs수정)_02년사업계획양식V2.0_02년사업계획양식V3.0(원본)" xfId="6000"/>
    <cellStyle name="7_전자98결산진실_02년사업계획양식V1.0_대호(bs수정)_02년사업계획양식V2.0_02년사업계획양식V3.0(원본)_1" xfId="6001"/>
    <cellStyle name="7_전자98결산진실_02년사업계획양식V1.0_대호(bs수정)_02년사업계획양식V2.0_02년사업계획양식V3.0_02년사업계획양식V3.0" xfId="6002"/>
    <cellStyle name="7_전자98결산진실_02년사업계획양식V1.0_대호(bs수정)_02년사업계획양식V2.0_02년사업계획양식V3.0_02년사업계획양식V3.0_02년사업계획양식V3.0" xfId="6003"/>
    <cellStyle name="7_전자98결산진실_02년사업계획양식V1.0_대호(bs수정)_02년사업계획양식V2.0_02년사업계획양식V3.0_02년사업계획양식V3.0_02년사업계획양식V3.0(원본)" xfId="6004"/>
    <cellStyle name="7_전자98결산진실_02년사업계획양식V1.0_대호(bs수정)_02년사업계획양식V2.0_02년사업계획양식V3.0_02년사업계획양식V3.0_02년사업계획양식V3.0(원본)_1" xfId="6005"/>
    <cellStyle name="7_전자98결산진실_02년사업계획양식V1.0_대호(bs수정)_02년사업계획양식V3.0" xfId="6006"/>
    <cellStyle name="7_전자98결산진실_02년사업계획양식V1.0_대호(bs수정)_02년사업계획양식V3.0_02년사업계획양식V3.0" xfId="6007"/>
    <cellStyle name="7_전자98결산진실_02년사업계획양식V1.0_대호(bs수정)_02년사업계획양식V3.0_02년사업계획양식V3.0(원본)" xfId="6008"/>
    <cellStyle name="7_전자98결산진실_02년사업계획양식V1.0_대호(bs수정)_02년사업계획양식V3.0_02년사업계획양식V3.0(원본)_1" xfId="6009"/>
    <cellStyle name="7_전자98결산진실_02년사업계획양식V2.0" xfId="6010"/>
    <cellStyle name="7_전자98결산진실_02년사업계획양식V2.0_02년사업계획양식V3.0" xfId="6011"/>
    <cellStyle name="7_전자98결산진실_02년사업계획양식V2.0_02년사업계획양식V3.0_02년사업계획양식V3.0" xfId="6012"/>
    <cellStyle name="7_전자98결산진실_02년사업계획양식V2.0_02년사업계획양식V3.0_02년사업계획양식V3.0(원본)" xfId="6013"/>
    <cellStyle name="7_전자98결산진실_02년사업계획양식V2.0_02년사업계획양식V3.0_02년사업계획양식V3.0(원본)_1" xfId="6014"/>
    <cellStyle name="7_전자98결산진실_02년사업계획양식V3.0" xfId="6015"/>
    <cellStyle name="7_전자98결산진실_02년사업계획양식V3.0(원본)" xfId="6016"/>
    <cellStyle name="7_전자98결산진실_02년사업계획양식V3.0(원본)_1" xfId="6017"/>
    <cellStyle name="7_전자98결산진실_02년사업계획양식V3.0_02년사업계획양식V3.0" xfId="6018"/>
    <cellStyle name="7_전자98결산진실_02년사업계획양식V3.0_02년사업계획양식V3.0_02년사업계획양식V3.0" xfId="6019"/>
    <cellStyle name="7_전자98결산진실_02년사업계획양식V3.0_02년사업계획양식V3.0_02년사업계획양식V3.0(원본)" xfId="6020"/>
    <cellStyle name="7_전자98결산진실_02년사업계획양식V3.0_02년사업계획양식V3.0_02년사업계획양식V3.0(원본)_1" xfId="6021"/>
    <cellStyle name="7_전자98결산진실_02년예상+연결기초자료+이익율+배당금+경영지원금" xfId="6022"/>
    <cellStyle name="7_전자98결산진실_02년예상+연결자료(GSM)" xfId="6023"/>
    <cellStyle name="7_전자98결산진실_02혁신_종합장표" xfId="6024"/>
    <cellStyle name="7_전자98결산진실_03 01 10 혁신(사업부양식)" xfId="6025"/>
    <cellStyle name="7_전자98결산진실_03_사업계획양식(MASS_Link)_1104" xfId="6026"/>
    <cellStyle name="7_전자98결산진실_030124 혁신재료비9" xfId="6027"/>
    <cellStyle name="7_전자98결산진실_03기본_종합장표" xfId="6028"/>
    <cellStyle name="7_전자98결산진실_03법인비용_회수양식_AC" xfId="6029"/>
    <cellStyle name="7_전자98결산진실_03혁신_종합장표" xfId="6030"/>
    <cellStyle name="7_전자98결산진실_10월차이동계획" xfId="6031"/>
    <cellStyle name="7_전자98결산진실_10월차이동계획_01년간예상손익(12월이동)" xfId="6032"/>
    <cellStyle name="7_전자98결산진실_10월차이동계획_01년간예상손익(12월이동)_2" xfId="6033"/>
    <cellStyle name="7_전자98결산진실_10월차이동계획_02년 2월 이동_예상손익" xfId="6034"/>
    <cellStyle name="7_전자98결산진실_10월차이동계획_02년 2월 이동_예상손익_1" xfId="6035"/>
    <cellStyle name="7_전자98결산진실_10월차이동계획_02년 3월 이동_예상손익(전사취합)" xfId="6036"/>
    <cellStyle name="7_전자98결산진실_10월차이동계획_02년 6월 이동_예상손익(전사취합)" xfId="6037"/>
    <cellStyle name="7_전자98결산진실_10월차이동계획_02년간예상손익" xfId="6038"/>
    <cellStyle name="7_전자98결산진실_10월차이동계획_04월 이동계획_전사예상pl" xfId="6039"/>
    <cellStyle name="7_전자98결산진실_10월차이동계획_1월이동손익_전사예상pl" xfId="6040"/>
    <cellStyle name="7_전자98결산진실_10월차이동계획_obu별손익0112이동" xfId="6041"/>
    <cellStyle name="7_전자98결산진실_2001년 01월차 이동계획_0102" xfId="6042"/>
    <cellStyle name="7_전자98결산진실_2001년 01월차 이동계획_0102_2001년 05월 이동계획_" xfId="6043"/>
    <cellStyle name="7_전자98결산진실_2001년 01월차 이동계획_0102_2001년 06월 이동계획_(Maximum)" xfId="6044"/>
    <cellStyle name="7_전자98결산진실_2001년 01월차 이동계획_0102_2001년 07월차 이동계획보고_" xfId="6045"/>
    <cellStyle name="7_전자98결산진실_2001년 01월차 이동계획_0102_2002년_02월차_이동계획보고_" xfId="6046"/>
    <cellStyle name="7_전자98결산진실_2001년 01월차 이동계획_0102_2002년_03월차_이동계획보고_" xfId="6047"/>
    <cellStyle name="7_전자98결산진실_2001년 01월차 이동계획_0102_2002년_03월차_이동계획보고_1차수정" xfId="6048"/>
    <cellStyle name="7_전자98결산진실_2001년 01월차 이동계획_0102_2002년_05월차_이동계획보고_" xfId="6049"/>
    <cellStyle name="7_전자98결산진실_2001년 01월차 이동계획_0102_2002년_06월차_이동계획보고_기종별수정" xfId="6050"/>
    <cellStyle name="7_전자98결산진실_2001년 01월차 이동계획_0102_2002년_07월차_이동계획보고_수정중_철판 반영후_최종" xfId="6051"/>
    <cellStyle name="7_전자98결산진실_2001년 01월차 이동계획_0102_2002년_07월차_이동계획보고_수정중0628_2" xfId="6052"/>
    <cellStyle name="7_전자98결산진실_2001년 01월차 이동계획_0102_VVR0J9DV" xfId="6053"/>
    <cellStyle name="7_전자98결산진실_2001년 02월 실적예상_02월21일기준" xfId="6054"/>
    <cellStyle name="7_전자98결산진실_2001년 02월 실적예상_02월21일기준_2001년 05월 이동계획_" xfId="6055"/>
    <cellStyle name="7_전자98결산진실_2001년 02월 실적예상_02월21일기준_2001년 06월 이동계획_(Maximum)" xfId="6056"/>
    <cellStyle name="7_전자98결산진실_2001년 02월 실적예상_02월21일기준_2001년 07월차 이동계획보고_" xfId="6057"/>
    <cellStyle name="7_전자98결산진실_2001년 02월 실적예상_02월21일기준_2002년_02월차_이동계획보고_" xfId="6058"/>
    <cellStyle name="7_전자98결산진실_2001년 02월 실적예상_02월21일기준_2002년_03월차_이동계획보고_" xfId="6059"/>
    <cellStyle name="7_전자98결산진실_2001년 02월 실적예상_02월21일기준_2002년_03월차_이동계획보고_1차수정" xfId="6060"/>
    <cellStyle name="7_전자98결산진실_2001년 02월 실적예상_02월21일기준_2002년_05월차_이동계획보고_" xfId="6061"/>
    <cellStyle name="7_전자98결산진실_2001년 02월 실적예상_02월21일기준_2002년_06월차_이동계획보고_기종별수정" xfId="6062"/>
    <cellStyle name="7_전자98결산진실_2001년 02월 실적예상_02월21일기준_2002년_07월차_이동계획보고_수정중_철판 반영후_최종" xfId="6063"/>
    <cellStyle name="7_전자98결산진실_2001년 02월 실적예상_02월21일기준_2002년_07월차_이동계획보고_수정중0628_2" xfId="6064"/>
    <cellStyle name="7_전자98결산진실_2001년 02월 실적예상_02월21일기준_VVR0J9DV" xfId="6065"/>
    <cellStyle name="7_전자98결산진실_2001년 02월차 이동계획_" xfId="6066"/>
    <cellStyle name="7_전자98결산진실_2001년 02월차 이동계획__2001년 05월 이동계획_" xfId="6067"/>
    <cellStyle name="7_전자98결산진실_2001년 02월차 이동계획__2001년 06월 이동계획_(Maximum)" xfId="6068"/>
    <cellStyle name="7_전자98결산진실_2001년 02월차 이동계획__2001년 07월차 이동계획보고_" xfId="6069"/>
    <cellStyle name="7_전자98결산진실_2001년 02월차 이동계획__2002년_02월차_이동계획보고_" xfId="6070"/>
    <cellStyle name="7_전자98결산진실_2001년 02월차 이동계획__2002년_03월차_이동계획보고_" xfId="6071"/>
    <cellStyle name="7_전자98결산진실_2001년 02월차 이동계획__2002년_03월차_이동계획보고_1차수정" xfId="6072"/>
    <cellStyle name="7_전자98결산진실_2001년 02월차 이동계획__2002년_05월차_이동계획보고_" xfId="6073"/>
    <cellStyle name="7_전자98결산진실_2001년 02월차 이동계획__2002년_06월차_이동계획보고_기종별수정" xfId="6074"/>
    <cellStyle name="7_전자98결산진실_2001년 02월차 이동계획__2002년_07월차_이동계획보고_수정중_철판 반영후_최종" xfId="6075"/>
    <cellStyle name="7_전자98결산진실_2001년 02월차 이동계획__2002년_07월차_이동계획보고_수정중0628_2" xfId="6076"/>
    <cellStyle name="7_전자98결산진실_2001년 02월차 이동계획__VVR0J9DV" xfId="6077"/>
    <cellStyle name="7_전자98결산진실_2002년_월별사업계획전산_DM" xfId="6078"/>
    <cellStyle name="7_전자98결산진실_2002년_월별사업계획전산_DM_02년사업계획양식V1.0_대호(bs수정)" xfId="6079"/>
    <cellStyle name="7_전자98결산진실_2002년_월별사업계획전산_DM_02년사업계획양식V1.0_대호(bs수정)_02년사업계획양식V2.0" xfId="6080"/>
    <cellStyle name="7_전자98결산진실_2002년_월별사업계획전산_DM_02년사업계획양식V1.0_대호(bs수정)_02년사업계획양식V2.0_02년사업계획양식V2.0" xfId="6081"/>
    <cellStyle name="7_전자98결산진실_2002년_월별사업계획전산_DM_02년사업계획양식V1.0_대호(bs수정)_02년사업계획양식V2.0_02년사업계획양식V2.0_02년사업계획양식V3.0" xfId="6082"/>
    <cellStyle name="7_전자98결산진실_2002년_월별사업계획전산_DM_02년사업계획양식V1.0_대호(bs수정)_02년사업계획양식V2.0_02년사업계획양식V2.0_02년사업계획양식V3.0_02년사업계획양식V3.0" xfId="6083"/>
    <cellStyle name="7_전자98결산진실_2002년_월별사업계획전산_DM_02년사업계획양식V1.0_대호(bs수정)_02년사업계획양식V2.0_02년사업계획양식V2.0_02년사업계획양식V3.0_02년사업계획양식V3.0(원본)" xfId="6084"/>
    <cellStyle name="7_전자98결산진실_2002년_월별사업계획전산_DM_02년사업계획양식V1.0_대호(bs수정)_02년사업계획양식V2.0_02년사업계획양식V2.0_02년사업계획양식V3.0_02년사업계획양식V3.0(원본)_1" xfId="6085"/>
    <cellStyle name="7_전자98결산진실_2002년_월별사업계획전산_DM_02년사업계획양식V1.0_대호(bs수정)_02년사업계획양식V2.0_02년사업계획양식V3.0" xfId="6086"/>
    <cellStyle name="7_전자98결산진실_2002년_월별사업계획전산_DM_02년사업계획양식V1.0_대호(bs수정)_02년사업계획양식V2.0_02년사업계획양식V3.0(원본)" xfId="6087"/>
    <cellStyle name="7_전자98결산진실_2002년_월별사업계획전산_DM_02년사업계획양식V1.0_대호(bs수정)_02년사업계획양식V2.0_02년사업계획양식V3.0(원본)_1" xfId="6088"/>
    <cellStyle name="7_전자98결산진실_2002년_월별사업계획전산_DM_02년사업계획양식V1.0_대호(bs수정)_02년사업계획양식V2.0_02년사업계획양식V3.0_02년사업계획양식V3.0" xfId="6089"/>
    <cellStyle name="7_전자98결산진실_2002년_월별사업계획전산_DM_02년사업계획양식V1.0_대호(bs수정)_02년사업계획양식V2.0_02년사업계획양식V3.0_02년사업계획양식V3.0_02년사업계획양식V3.0" xfId="6090"/>
    <cellStyle name="7_전자98결산진실_2002년_월별사업계획전산_DM_02년사업계획양식V1.0_대호(bs수정)_02년사업계획양식V2.0_02년사업계획양식V3.0_02년사업계획양식V3.0_02년사업계획양식V3.0(원본)" xfId="6091"/>
    <cellStyle name="7_전자98결산진실_2002년_월별사업계획전산_DM_02년사업계획양식V1.0_대호(bs수정)_02년사업계획양식V2.0_02년사업계획양식V3.0_02년사업계획양식V3.0_02년사업계획양식V3.0(원본)_1" xfId="6092"/>
    <cellStyle name="7_전자98결산진실_2002년_월별사업계획전산_DM_02년사업계획양식V1.0_대호(bs수정)_02년사업계획양식V3.0" xfId="6093"/>
    <cellStyle name="7_전자98결산진실_2002년_월별사업계획전산_DM_02년사업계획양식V1.0_대호(bs수정)_02년사업계획양식V3.0_02년사업계획양식V3.0" xfId="6094"/>
    <cellStyle name="7_전자98결산진실_2002년_월별사업계획전산_DM_02년사업계획양식V1.0_대호(bs수정)_02년사업계획양식V3.0_02년사업계획양식V3.0(원본)" xfId="6095"/>
    <cellStyle name="7_전자98결산진실_2002년_월별사업계획전산_DM_02년사업계획양식V1.0_대호(bs수정)_02년사업계획양식V3.0_02년사업계획양식V3.0(원본)_1" xfId="6096"/>
    <cellStyle name="7_전자98결산진실_2002년_월별사업계획전산_DM_02년사업계획양식V2.0" xfId="6097"/>
    <cellStyle name="7_전자98결산진실_2002년_월별사업계획전산_DM_02년사업계획양식V2.0_02년사업계획양식V3.0" xfId="6098"/>
    <cellStyle name="7_전자98결산진실_2002년_월별사업계획전산_DM_02년사업계획양식V2.0_02년사업계획양식V3.0_02년사업계획양식V3.0" xfId="6099"/>
    <cellStyle name="7_전자98결산진실_2002년_월별사업계획전산_DM_02년사업계획양식V2.0_02년사업계획양식V3.0_02년사업계획양식V3.0(원본)" xfId="6100"/>
    <cellStyle name="7_전자98결산진실_2002년_월별사업계획전산_DM_02년사업계획양식V2.0_02년사업계획양식V3.0_02년사업계획양식V3.0(원본)_1" xfId="6101"/>
    <cellStyle name="7_전자98결산진실_2002년_월별사업계획전산_DM_02년사업계획양식V3.0" xfId="6102"/>
    <cellStyle name="7_전자98결산진실_2002년_월별사업계획전산_DM_02년사업계획양식V3.0(원본)" xfId="6103"/>
    <cellStyle name="7_전자98결산진실_2002년_월별사업계획전산_DM_02년사업계획양식V3.0(원본)_1" xfId="6104"/>
    <cellStyle name="7_전자98결산진실_2002년_월별사업계획전산_DM_02년사업계획양식V3.0_02년사업계획양식V3.0" xfId="6105"/>
    <cellStyle name="7_전자98결산진실_2002년_월별사업계획전산_DM_02년사업계획양식V3.0_02년사업계획양식V3.0_02년사업계획양식V3.0" xfId="6106"/>
    <cellStyle name="7_전자98결산진실_2002년_월별사업계획전산_DM_02년사업계획양식V3.0_02년사업계획양식V3.0_02년사업계획양식V3.0(원본)" xfId="6107"/>
    <cellStyle name="7_전자98결산진실_2002년_월별사업계획전산_DM_02년사업계획양식V3.0_02년사업계획양식V3.0_02년사업계획양식V3.0(원본)_1" xfId="6108"/>
    <cellStyle name="7_전자98결산진실_5월이동_전사손익" xfId="6109"/>
    <cellStyle name="7_전자98결산진실_5월이동_전사손익_01년간예상손익(12월이동)" xfId="6110"/>
    <cellStyle name="7_전자98결산진실_5월이동_전사손익_01년간예상손익(12월이동)_2" xfId="6111"/>
    <cellStyle name="7_전자98결산진실_5월이동_전사손익_01매출손익(6월 실적반영)" xfId="6112"/>
    <cellStyle name="7_전자98결산진실_5월이동_전사손익_01매출손익(6월 실적반영)_01년간예상손익(12월이동)" xfId="6113"/>
    <cellStyle name="7_전자98결산진실_5월이동_전사손익_01매출손익(6월 실적반영)_01년간예상손익(12월이동)_2" xfId="6114"/>
    <cellStyle name="7_전자98결산진실_5월이동_전사손익_01매출손익(6월 실적반영)_02년 2월 이동_예상손익" xfId="6115"/>
    <cellStyle name="7_전자98결산진실_5월이동_전사손익_01매출손익(6월 실적반영)_02년 2월 이동_예상손익_1" xfId="6116"/>
    <cellStyle name="7_전자98결산진실_5월이동_전사손익_01매출손익(6월 실적반영)_02년 3월 이동_예상손익(전사취합)" xfId="6117"/>
    <cellStyle name="7_전자98결산진실_5월이동_전사손익_01매출손익(6월 실적반영)_02년 6월 이동_예상손익(전사취합)" xfId="6118"/>
    <cellStyle name="7_전자98결산진실_5월이동_전사손익_01매출손익(6월 실적반영)_02년간예상손익" xfId="6119"/>
    <cellStyle name="7_전자98결산진실_5월이동_전사손익_01매출손익(6월 실적반영)_04월 이동계획_전사예상pl" xfId="6120"/>
    <cellStyle name="7_전자98결산진실_5월이동_전사손익_01매출손익(6월 실적반영)_1월이동손익_전사예상pl" xfId="6121"/>
    <cellStyle name="7_전자98결산진실_5월이동_전사손익_01매출손익(6월 실적반영)_obu별손익0112이동" xfId="6122"/>
    <cellStyle name="7_전자98결산진실_5월이동_전사손익_02년 2월 이동_예상손익" xfId="6123"/>
    <cellStyle name="7_전자98결산진실_5월이동_전사손익_02년 2월 이동_예상손익_1" xfId="6124"/>
    <cellStyle name="7_전자98결산진실_5월이동_전사손익_02년 3월 이동_예상손익(전사취합)" xfId="6125"/>
    <cellStyle name="7_전자98결산진실_5월이동_전사손익_02년 6월 이동_예상손익(전사취합)" xfId="6126"/>
    <cellStyle name="7_전자98결산진실_5월이동_전사손익_02년간예상손익" xfId="6127"/>
    <cellStyle name="7_전자98결산진실_5월이동_전사손익_04월 이동계획_전사예상pl" xfId="6128"/>
    <cellStyle name="7_전자98결산진실_5월이동_전사손익_06전사손익" xfId="6129"/>
    <cellStyle name="7_전자98결산진실_5월이동_전사손익_06전사손익_01년간예상손익(12월이동)" xfId="6130"/>
    <cellStyle name="7_전자98결산진실_5월이동_전사손익_06전사손익_01년간예상손익(12월이동)_2" xfId="6131"/>
    <cellStyle name="7_전자98결산진실_5월이동_전사손익_06전사손익_01매출손익(6월 실적반영)" xfId="6132"/>
    <cellStyle name="7_전자98결산진실_5월이동_전사손익_06전사손익_01매출손익(6월 실적반영)_01년간예상손익(12월이동)" xfId="6133"/>
    <cellStyle name="7_전자98결산진실_5월이동_전사손익_06전사손익_01매출손익(6월 실적반영)_01년간예상손익(12월이동)_2" xfId="6134"/>
    <cellStyle name="7_전자98결산진실_5월이동_전사손익_06전사손익_01매출손익(6월 실적반영)_02년 2월 이동_예상손익" xfId="6135"/>
    <cellStyle name="7_전자98결산진실_5월이동_전사손익_06전사손익_01매출손익(6월 실적반영)_02년 2월 이동_예상손익_1" xfId="6136"/>
    <cellStyle name="7_전자98결산진실_5월이동_전사손익_06전사손익_01매출손익(6월 실적반영)_02년 3월 이동_예상손익(전사취합)" xfId="6137"/>
    <cellStyle name="7_전자98결산진실_5월이동_전사손익_06전사손익_01매출손익(6월 실적반영)_02년 6월 이동_예상손익(전사취합)" xfId="6138"/>
    <cellStyle name="7_전자98결산진실_5월이동_전사손익_06전사손익_01매출손익(6월 실적반영)_02년간예상손익" xfId="6139"/>
    <cellStyle name="7_전자98결산진실_5월이동_전사손익_06전사손익_01매출손익(6월 실적반영)_04월 이동계획_전사예상pl" xfId="6140"/>
    <cellStyle name="7_전자98결산진실_5월이동_전사손익_06전사손익_01매출손익(6월 실적반영)_1월이동손익_전사예상pl" xfId="6141"/>
    <cellStyle name="7_전자98결산진실_5월이동_전사손익_06전사손익_01매출손익(6월 실적반영)_obu별손익0112이동" xfId="6142"/>
    <cellStyle name="7_전자98결산진실_5월이동_전사손익_06전사손익_02년 2월 이동_예상손익" xfId="6143"/>
    <cellStyle name="7_전자98결산진실_5월이동_전사손익_06전사손익_02년 2월 이동_예상손익_1" xfId="6144"/>
    <cellStyle name="7_전자98결산진실_5월이동_전사손익_06전사손익_02년 3월 이동_예상손익(전사취합)" xfId="6145"/>
    <cellStyle name="7_전자98결산진실_5월이동_전사손익_06전사손익_02년 6월 이동_예상손익(전사취합)" xfId="6146"/>
    <cellStyle name="7_전자98결산진실_5월이동_전사손익_06전사손익_02년간예상손익" xfId="6147"/>
    <cellStyle name="7_전자98결산진실_5월이동_전사손익_06전사손익_04월 이동계획_전사예상pl" xfId="6148"/>
    <cellStyle name="7_전자98결산진실_5월이동_전사손익_06전사손익_1월이동손익_전사예상pl" xfId="6149"/>
    <cellStyle name="7_전자98결산진실_5월이동_전사손익_06전사손익_8월예상" xfId="6150"/>
    <cellStyle name="7_전자98결산진실_5월이동_전사손익_06전사손익_8월예상_01년간예상손익(12월이동)" xfId="6151"/>
    <cellStyle name="7_전자98결산진실_5월이동_전사손익_06전사손익_8월예상_01년간예상손익(12월이동)_2" xfId="6152"/>
    <cellStyle name="7_전자98결산진실_5월이동_전사손익_06전사손익_8월예상_02년 2월 이동_예상손익" xfId="6153"/>
    <cellStyle name="7_전자98결산진실_5월이동_전사손익_06전사손익_8월예상_02년 2월 이동_예상손익_1" xfId="6154"/>
    <cellStyle name="7_전자98결산진실_5월이동_전사손익_06전사손익_8월예상_02년 3월 이동_예상손익(전사취합)" xfId="6155"/>
    <cellStyle name="7_전자98결산진실_5월이동_전사손익_06전사손익_8월예상_02년 6월 이동_예상손익(전사취합)" xfId="6156"/>
    <cellStyle name="7_전자98결산진실_5월이동_전사손익_06전사손익_8월예상_02년간예상손익" xfId="6157"/>
    <cellStyle name="7_전자98결산진실_5월이동_전사손익_06전사손익_8월예상_04월 이동계획_전사예상pl" xfId="6158"/>
    <cellStyle name="7_전자98결산진실_5월이동_전사손익_06전사손익_8월예상_1월이동손익_전사예상pl" xfId="6159"/>
    <cellStyle name="7_전자98결산진실_5월이동_전사손익_06전사손익_8월예상_obu별손익0112이동" xfId="6160"/>
    <cellStyle name="7_전자98결산진실_5월이동_전사손익_06전사손익_9-12월예상pl" xfId="6161"/>
    <cellStyle name="7_전자98결산진실_5월이동_전사손익_06전사손익_9-12월예상pl_01년간예상손익(12월이동)" xfId="6162"/>
    <cellStyle name="7_전자98결산진실_5월이동_전사손익_06전사손익_9-12월예상pl_01년간예상손익(12월이동)_2" xfId="6163"/>
    <cellStyle name="7_전자98결산진실_5월이동_전사손익_06전사손익_9-12월예상pl_02년 2월 이동_예상손익" xfId="6164"/>
    <cellStyle name="7_전자98결산진실_5월이동_전사손익_06전사손익_9-12월예상pl_02년 2월 이동_예상손익_1" xfId="6165"/>
    <cellStyle name="7_전자98결산진실_5월이동_전사손익_06전사손익_9-12월예상pl_02년 3월 이동_예상손익(전사취합)" xfId="6166"/>
    <cellStyle name="7_전자98결산진실_5월이동_전사손익_06전사손익_9-12월예상pl_02년 6월 이동_예상손익(전사취합)" xfId="6167"/>
    <cellStyle name="7_전자98결산진실_5월이동_전사손익_06전사손익_9-12월예상pl_02년간예상손익" xfId="6168"/>
    <cellStyle name="7_전자98결산진실_5월이동_전사손익_06전사손익_9-12월예상pl_04월 이동계획_전사예상pl" xfId="6169"/>
    <cellStyle name="7_전자98결산진실_5월이동_전사손익_06전사손익_9-12월예상pl_1월이동손익_전사예상pl" xfId="6170"/>
    <cellStyle name="7_전자98결산진실_5월이동_전사손익_06전사손익_9-12월예상pl_obu별손익0112이동" xfId="6171"/>
    <cellStyle name="7_전자98결산진실_5월이동_전사손익_06전사손익_obu별손익0112이동" xfId="6172"/>
    <cellStyle name="7_전자98결산진실_5월이동_전사손익_06전사손익_상반기_연간손익정리(서대호)" xfId="6173"/>
    <cellStyle name="7_전자98결산진실_5월이동_전사손익_06전사손익_상반기_연간손익정리(서대호)_01년간예상손익(12월이동)" xfId="6174"/>
    <cellStyle name="7_전자98결산진실_5월이동_전사손익_06전사손익_상반기_연간손익정리(서대호)_01년간예상손익(12월이동)_2" xfId="6175"/>
    <cellStyle name="7_전자98결산진실_5월이동_전사손익_06전사손익_상반기_연간손익정리(서대호)_01매출손익(6월 실적반영)" xfId="6176"/>
    <cellStyle name="7_전자98결산진실_5월이동_전사손익_06전사손익_상반기_연간손익정리(서대호)_01매출손익(6월 실적반영)_01년간예상손익(12월이동)" xfId="6177"/>
    <cellStyle name="7_전자98결산진실_5월이동_전사손익_06전사손익_상반기_연간손익정리(서대호)_01매출손익(6월 실적반영)_01년간예상손익(12월이동)_2" xfId="6178"/>
    <cellStyle name="7_전자98결산진실_5월이동_전사손익_06전사손익_상반기_연간손익정리(서대호)_01매출손익(6월 실적반영)_02년 2월 이동_예상손익" xfId="6179"/>
    <cellStyle name="7_전자98결산진실_5월이동_전사손익_06전사손익_상반기_연간손익정리(서대호)_01매출손익(6월 실적반영)_02년 2월 이동_예상손익_1" xfId="6180"/>
    <cellStyle name="7_전자98결산진실_5월이동_전사손익_06전사손익_상반기_연간손익정리(서대호)_01매출손익(6월 실적반영)_02년 3월 이동_예상손익(전사취합)" xfId="6181"/>
    <cellStyle name="7_전자98결산진실_5월이동_전사손익_06전사손익_상반기_연간손익정리(서대호)_01매출손익(6월 실적반영)_02년 6월 이동_예상손익(전사취합)" xfId="6182"/>
    <cellStyle name="7_전자98결산진실_5월이동_전사손익_06전사손익_상반기_연간손익정리(서대호)_01매출손익(6월 실적반영)_02년간예상손익" xfId="6183"/>
    <cellStyle name="7_전자98결산진실_5월이동_전사손익_06전사손익_상반기_연간손익정리(서대호)_01매출손익(6월 실적반영)_04월 이동계획_전사예상pl" xfId="6184"/>
    <cellStyle name="7_전자98결산진실_5월이동_전사손익_06전사손익_상반기_연간손익정리(서대호)_01매출손익(6월 실적반영)_1월이동손익_전사예상pl" xfId="6185"/>
    <cellStyle name="7_전자98결산진실_5월이동_전사손익_06전사손익_상반기_연간손익정리(서대호)_01매출손익(6월 실적반영)_obu별손익0112이동" xfId="6186"/>
    <cellStyle name="7_전자98결산진실_5월이동_전사손익_06전사손익_상반기_연간손익정리(서대호)_02년 2월 이동_예상손익" xfId="6187"/>
    <cellStyle name="7_전자98결산진실_5월이동_전사손익_06전사손익_상반기_연간손익정리(서대호)_02년 2월 이동_예상손익_1" xfId="6188"/>
    <cellStyle name="7_전자98결산진실_5월이동_전사손익_06전사손익_상반기_연간손익정리(서대호)_02년 3월 이동_예상손익(전사취합)" xfId="6189"/>
    <cellStyle name="7_전자98결산진실_5월이동_전사손익_06전사손익_상반기_연간손익정리(서대호)_02년 6월 이동_예상손익(전사취합)" xfId="6190"/>
    <cellStyle name="7_전자98결산진실_5월이동_전사손익_06전사손익_상반기_연간손익정리(서대호)_02년간예상손익" xfId="6191"/>
    <cellStyle name="7_전자98결산진실_5월이동_전사손익_06전사손익_상반기_연간손익정리(서대호)_04월 이동계획_전사예상pl" xfId="6192"/>
    <cellStyle name="7_전자98결산진실_5월이동_전사손익_06전사손익_상반기_연간손익정리(서대호)_1월이동손익_전사예상pl" xfId="6193"/>
    <cellStyle name="7_전자98결산진실_5월이동_전사손익_06전사손익_상반기_연간손익정리(서대호)_8월예상" xfId="6194"/>
    <cellStyle name="7_전자98결산진실_5월이동_전사손익_06전사손익_상반기_연간손익정리(서대호)_8월예상_01년간예상손익(12월이동)" xfId="6195"/>
    <cellStyle name="7_전자98결산진실_5월이동_전사손익_06전사손익_상반기_연간손익정리(서대호)_8월예상_01년간예상손익(12월이동)_2" xfId="6196"/>
    <cellStyle name="7_전자98결산진실_5월이동_전사손익_06전사손익_상반기_연간손익정리(서대호)_8월예상_02년 2월 이동_예상손익" xfId="6197"/>
    <cellStyle name="7_전자98결산진실_5월이동_전사손익_06전사손익_상반기_연간손익정리(서대호)_8월예상_02년 2월 이동_예상손익_1" xfId="6198"/>
    <cellStyle name="7_전자98결산진실_5월이동_전사손익_06전사손익_상반기_연간손익정리(서대호)_8월예상_02년 3월 이동_예상손익(전사취합)" xfId="6199"/>
    <cellStyle name="7_전자98결산진실_5월이동_전사손익_06전사손익_상반기_연간손익정리(서대호)_8월예상_02년 6월 이동_예상손익(전사취합)" xfId="6200"/>
    <cellStyle name="7_전자98결산진실_5월이동_전사손익_06전사손익_상반기_연간손익정리(서대호)_8월예상_02년간예상손익" xfId="6201"/>
    <cellStyle name="7_전자98결산진실_5월이동_전사손익_06전사손익_상반기_연간손익정리(서대호)_8월예상_04월 이동계획_전사예상pl" xfId="6202"/>
    <cellStyle name="7_전자98결산진실_5월이동_전사손익_06전사손익_상반기_연간손익정리(서대호)_8월예상_1월이동손익_전사예상pl" xfId="6203"/>
    <cellStyle name="7_전자98결산진실_5월이동_전사손익_06전사손익_상반기_연간손익정리(서대호)_8월예상_obu별손익0112이동" xfId="6204"/>
    <cellStyle name="7_전자98결산진실_5월이동_전사손익_06전사손익_상반기_연간손익정리(서대호)_obu별손익0112이동" xfId="6205"/>
    <cellStyle name="7_전자98결산진실_5월이동_전사손익_06전사손익_상반기_연간손익정리(서대호)_연간예상추정5886_0726" xfId="6206"/>
    <cellStyle name="7_전자98결산진실_5월이동_전사손익_06전사손익_상반기_연간손익정리(서대호)_연간예상추정5886_0726_01년간예상손익(12월이동)" xfId="6207"/>
    <cellStyle name="7_전자98결산진실_5월이동_전사손익_06전사손익_상반기_연간손익정리(서대호)_연간예상추정5886_0726_01년간예상손익(12월이동)_2" xfId="6208"/>
    <cellStyle name="7_전자98결산진실_5월이동_전사손익_06전사손익_상반기_연간손익정리(서대호)_연간예상추정5886_0726_02년 2월 이동_예상손익" xfId="6209"/>
    <cellStyle name="7_전자98결산진실_5월이동_전사손익_06전사손익_상반기_연간손익정리(서대호)_연간예상추정5886_0726_02년 2월 이동_예상손익_1" xfId="6210"/>
    <cellStyle name="7_전자98결산진실_5월이동_전사손익_06전사손익_상반기_연간손익정리(서대호)_연간예상추정5886_0726_02년 3월 이동_예상손익(전사취합)" xfId="6211"/>
    <cellStyle name="7_전자98결산진실_5월이동_전사손익_06전사손익_상반기_연간손익정리(서대호)_연간예상추정5886_0726_02년 6월 이동_예상손익(전사취합)" xfId="6212"/>
    <cellStyle name="7_전자98결산진실_5월이동_전사손익_06전사손익_상반기_연간손익정리(서대호)_연간예상추정5886_0726_02년간예상손익" xfId="6213"/>
    <cellStyle name="7_전자98결산진실_5월이동_전사손익_06전사손익_상반기_연간손익정리(서대호)_연간예상추정5886_0726_04월 이동계획_전사예상pl" xfId="6214"/>
    <cellStyle name="7_전자98결산진실_5월이동_전사손익_06전사손익_상반기_연간손익정리(서대호)_연간예상추정5886_0726_1월이동손익_전사예상pl" xfId="6215"/>
    <cellStyle name="7_전자98결산진실_5월이동_전사손익_06전사손익_상반기_연간손익정리(서대호)_연간예상추정5886_0726_obu별손익0112이동" xfId="6216"/>
    <cellStyle name="7_전자98결산진실_5월이동_전사손익_06전사손익_연간예상추정5886_0726" xfId="6217"/>
    <cellStyle name="7_전자98결산진실_5월이동_전사손익_06전사손익_연간예상추정5886_0726_01년간예상손익(12월이동)" xfId="6218"/>
    <cellStyle name="7_전자98결산진실_5월이동_전사손익_06전사손익_연간예상추정5886_0726_01년간예상손익(12월이동)_2" xfId="6219"/>
    <cellStyle name="7_전자98결산진실_5월이동_전사손익_06전사손익_연간예상추정5886_0726_02년 2월 이동_예상손익" xfId="6220"/>
    <cellStyle name="7_전자98결산진실_5월이동_전사손익_06전사손익_연간예상추정5886_0726_02년 2월 이동_예상손익_1" xfId="6221"/>
    <cellStyle name="7_전자98결산진실_5월이동_전사손익_06전사손익_연간예상추정5886_0726_02년 3월 이동_예상손익(전사취합)" xfId="6222"/>
    <cellStyle name="7_전자98결산진실_5월이동_전사손익_06전사손익_연간예상추정5886_0726_02년 6월 이동_예상손익(전사취합)" xfId="6223"/>
    <cellStyle name="7_전자98결산진실_5월이동_전사손익_06전사손익_연간예상추정5886_0726_02년간예상손익" xfId="6224"/>
    <cellStyle name="7_전자98결산진실_5월이동_전사손익_06전사손익_연간예상추정5886_0726_04월 이동계획_전사예상pl" xfId="6225"/>
    <cellStyle name="7_전자98결산진실_5월이동_전사손익_06전사손익_연간예상추정5886_0726_1월이동손익_전사예상pl" xfId="6226"/>
    <cellStyle name="7_전자98결산진실_5월이동_전사손익_06전사손익_연간예상추정5886_0726_obu별손익0112이동" xfId="6227"/>
    <cellStyle name="7_전자98결산진실_5월이동_전사손익_06전사손익1" xfId="6228"/>
    <cellStyle name="7_전자98결산진실_5월이동_전사손익_06전사손익1_01년간예상손익(12월이동)" xfId="6229"/>
    <cellStyle name="7_전자98결산진실_5월이동_전사손익_06전사손익1_01년간예상손익(12월이동)_2" xfId="6230"/>
    <cellStyle name="7_전자98결산진실_5월이동_전사손익_06전사손익1_01매출손익(6월 실적반영)" xfId="6231"/>
    <cellStyle name="7_전자98결산진실_5월이동_전사손익_06전사손익1_01매출손익(6월 실적반영)_01년간예상손익(12월이동)" xfId="6232"/>
    <cellStyle name="7_전자98결산진실_5월이동_전사손익_06전사손익1_01매출손익(6월 실적반영)_01년간예상손익(12월이동)_2" xfId="6233"/>
    <cellStyle name="7_전자98결산진실_5월이동_전사손익_06전사손익1_01매출손익(6월 실적반영)_02년 2월 이동_예상손익" xfId="6234"/>
    <cellStyle name="7_전자98결산진실_5월이동_전사손익_06전사손익1_01매출손익(6월 실적반영)_02년 2월 이동_예상손익_1" xfId="6235"/>
    <cellStyle name="7_전자98결산진실_5월이동_전사손익_06전사손익1_01매출손익(6월 실적반영)_02년 3월 이동_예상손익(전사취합)" xfId="6236"/>
    <cellStyle name="7_전자98결산진실_5월이동_전사손익_06전사손익1_01매출손익(6월 실적반영)_02년 6월 이동_예상손익(전사취합)" xfId="6237"/>
    <cellStyle name="7_전자98결산진실_5월이동_전사손익_06전사손익1_01매출손익(6월 실적반영)_02년간예상손익" xfId="6238"/>
    <cellStyle name="7_전자98결산진실_5월이동_전사손익_06전사손익1_01매출손익(6월 실적반영)_04월 이동계획_전사예상pl" xfId="6239"/>
    <cellStyle name="7_전자98결산진실_5월이동_전사손익_06전사손익1_01매출손익(6월 실적반영)_1월이동손익_전사예상pl" xfId="6240"/>
    <cellStyle name="7_전자98결산진실_5월이동_전사손익_06전사손익1_01매출손익(6월 실적반영)_obu별손익0112이동" xfId="6241"/>
    <cellStyle name="7_전자98결산진실_5월이동_전사손익_06전사손익1_02년 2월 이동_예상손익" xfId="6242"/>
    <cellStyle name="7_전자98결산진실_5월이동_전사손익_06전사손익1_02년 2월 이동_예상손익_1" xfId="6243"/>
    <cellStyle name="7_전자98결산진실_5월이동_전사손익_06전사손익1_02년 3월 이동_예상손익(전사취합)" xfId="6244"/>
    <cellStyle name="7_전자98결산진실_5월이동_전사손익_06전사손익1_02년 6월 이동_예상손익(전사취합)" xfId="6245"/>
    <cellStyle name="7_전자98결산진실_5월이동_전사손익_06전사손익1_02년간예상손익" xfId="6246"/>
    <cellStyle name="7_전자98결산진실_5월이동_전사손익_06전사손익1_04월 이동계획_전사예상pl" xfId="6247"/>
    <cellStyle name="7_전자98결산진실_5월이동_전사손익_06전사손익1_1월이동손익_전사예상pl" xfId="6248"/>
    <cellStyle name="7_전자98결산진실_5월이동_전사손익_06전사손익1_8월예상" xfId="6249"/>
    <cellStyle name="7_전자98결산진실_5월이동_전사손익_06전사손익1_8월예상_01년간예상손익(12월이동)" xfId="6250"/>
    <cellStyle name="7_전자98결산진실_5월이동_전사손익_06전사손익1_8월예상_01년간예상손익(12월이동)_2" xfId="6251"/>
    <cellStyle name="7_전자98결산진실_5월이동_전사손익_06전사손익1_8월예상_02년 2월 이동_예상손익" xfId="6252"/>
    <cellStyle name="7_전자98결산진실_5월이동_전사손익_06전사손익1_8월예상_02년 2월 이동_예상손익_1" xfId="6253"/>
    <cellStyle name="7_전자98결산진실_5월이동_전사손익_06전사손익1_8월예상_02년 3월 이동_예상손익(전사취합)" xfId="6254"/>
    <cellStyle name="7_전자98결산진실_5월이동_전사손익_06전사손익1_8월예상_02년 6월 이동_예상손익(전사취합)" xfId="6255"/>
    <cellStyle name="7_전자98결산진실_5월이동_전사손익_06전사손익1_8월예상_02년간예상손익" xfId="6256"/>
    <cellStyle name="7_전자98결산진실_5월이동_전사손익_06전사손익1_8월예상_04월 이동계획_전사예상pl" xfId="6257"/>
    <cellStyle name="7_전자98결산진실_5월이동_전사손익_06전사손익1_8월예상_1월이동손익_전사예상pl" xfId="6258"/>
    <cellStyle name="7_전자98결산진실_5월이동_전사손익_06전사손익1_8월예상_obu별손익0112이동" xfId="6259"/>
    <cellStyle name="7_전자98결산진실_5월이동_전사손익_06전사손익1_9-12월예상pl" xfId="6260"/>
    <cellStyle name="7_전자98결산진실_5월이동_전사손익_06전사손익1_9-12월예상pl_01년간예상손익(12월이동)" xfId="6261"/>
    <cellStyle name="7_전자98결산진실_5월이동_전사손익_06전사손익1_9-12월예상pl_01년간예상손익(12월이동)_2" xfId="6262"/>
    <cellStyle name="7_전자98결산진실_5월이동_전사손익_06전사손익1_9-12월예상pl_02년 2월 이동_예상손익" xfId="6263"/>
    <cellStyle name="7_전자98결산진실_5월이동_전사손익_06전사손익1_9-12월예상pl_02년 2월 이동_예상손익_1" xfId="6264"/>
    <cellStyle name="7_전자98결산진실_5월이동_전사손익_06전사손익1_9-12월예상pl_02년 3월 이동_예상손익(전사취합)" xfId="6265"/>
    <cellStyle name="7_전자98결산진실_5월이동_전사손익_06전사손익1_9-12월예상pl_02년 6월 이동_예상손익(전사취합)" xfId="6266"/>
    <cellStyle name="7_전자98결산진실_5월이동_전사손익_06전사손익1_9-12월예상pl_02년간예상손익" xfId="6267"/>
    <cellStyle name="7_전자98결산진실_5월이동_전사손익_06전사손익1_9-12월예상pl_04월 이동계획_전사예상pl" xfId="6268"/>
    <cellStyle name="7_전자98결산진실_5월이동_전사손익_06전사손익1_9-12월예상pl_1월이동손익_전사예상pl" xfId="6269"/>
    <cellStyle name="7_전자98결산진실_5월이동_전사손익_06전사손익1_9-12월예상pl_obu별손익0112이동" xfId="6270"/>
    <cellStyle name="7_전자98결산진실_5월이동_전사손익_06전사손익1_obu별손익0112이동" xfId="6271"/>
    <cellStyle name="7_전자98결산진실_5월이동_전사손익_06전사손익1_상반기_연간손익정리(서대호)" xfId="6272"/>
    <cellStyle name="7_전자98결산진실_5월이동_전사손익_06전사손익1_상반기_연간손익정리(서대호)_01년간예상손익(12월이동)" xfId="6273"/>
    <cellStyle name="7_전자98결산진실_5월이동_전사손익_06전사손익1_상반기_연간손익정리(서대호)_01년간예상손익(12월이동)_2" xfId="6274"/>
    <cellStyle name="7_전자98결산진실_5월이동_전사손익_06전사손익1_상반기_연간손익정리(서대호)_01매출손익(6월 실적반영)" xfId="6275"/>
    <cellStyle name="7_전자98결산진실_5월이동_전사손익_06전사손익1_상반기_연간손익정리(서대호)_01매출손익(6월 실적반영)_01년간예상손익(12월이동)" xfId="6276"/>
    <cellStyle name="7_전자98결산진실_5월이동_전사손익_06전사손익1_상반기_연간손익정리(서대호)_01매출손익(6월 실적반영)_01년간예상손익(12월이동)_2" xfId="6277"/>
    <cellStyle name="7_전자98결산진실_5월이동_전사손익_06전사손익1_상반기_연간손익정리(서대호)_01매출손익(6월 실적반영)_02년 2월 이동_예상손익" xfId="6278"/>
    <cellStyle name="7_전자98결산진실_5월이동_전사손익_06전사손익1_상반기_연간손익정리(서대호)_01매출손익(6월 실적반영)_02년 2월 이동_예상손익_1" xfId="6279"/>
    <cellStyle name="7_전자98결산진실_5월이동_전사손익_06전사손익1_상반기_연간손익정리(서대호)_01매출손익(6월 실적반영)_02년 3월 이동_예상손익(전사취합)" xfId="6280"/>
    <cellStyle name="7_전자98결산진실_5월이동_전사손익_06전사손익1_상반기_연간손익정리(서대호)_01매출손익(6월 실적반영)_02년 6월 이동_예상손익(전사취합)" xfId="6281"/>
    <cellStyle name="7_전자98결산진실_5월이동_전사손익_06전사손익1_상반기_연간손익정리(서대호)_01매출손익(6월 실적반영)_02년간예상손익" xfId="6282"/>
    <cellStyle name="7_전자98결산진실_5월이동_전사손익_06전사손익1_상반기_연간손익정리(서대호)_01매출손익(6월 실적반영)_04월 이동계획_전사예상pl" xfId="6283"/>
    <cellStyle name="7_전자98결산진실_5월이동_전사손익_06전사손익1_상반기_연간손익정리(서대호)_01매출손익(6월 실적반영)_1월이동손익_전사예상pl" xfId="6284"/>
    <cellStyle name="7_전자98결산진실_5월이동_전사손익_06전사손익1_상반기_연간손익정리(서대호)_01매출손익(6월 실적반영)_obu별손익0112이동" xfId="6285"/>
    <cellStyle name="7_전자98결산진실_5월이동_전사손익_06전사손익1_상반기_연간손익정리(서대호)_02년 2월 이동_예상손익" xfId="6286"/>
    <cellStyle name="7_전자98결산진실_5월이동_전사손익_06전사손익1_상반기_연간손익정리(서대호)_02년 2월 이동_예상손익_1" xfId="6287"/>
    <cellStyle name="7_전자98결산진실_5월이동_전사손익_06전사손익1_상반기_연간손익정리(서대호)_02년 3월 이동_예상손익(전사취합)" xfId="6288"/>
    <cellStyle name="7_전자98결산진실_5월이동_전사손익_06전사손익1_상반기_연간손익정리(서대호)_02년 6월 이동_예상손익(전사취합)" xfId="6289"/>
    <cellStyle name="7_전자98결산진실_5월이동_전사손익_06전사손익1_상반기_연간손익정리(서대호)_02년간예상손익" xfId="6290"/>
    <cellStyle name="7_전자98결산진실_5월이동_전사손익_06전사손익1_상반기_연간손익정리(서대호)_04월 이동계획_전사예상pl" xfId="6291"/>
    <cellStyle name="7_전자98결산진실_5월이동_전사손익_06전사손익1_상반기_연간손익정리(서대호)_1월이동손익_전사예상pl" xfId="6292"/>
    <cellStyle name="7_전자98결산진실_5월이동_전사손익_06전사손익1_상반기_연간손익정리(서대호)_8월예상" xfId="6293"/>
    <cellStyle name="7_전자98결산진실_5월이동_전사손익_06전사손익1_상반기_연간손익정리(서대호)_8월예상_01년간예상손익(12월이동)" xfId="6294"/>
    <cellStyle name="7_전자98결산진실_5월이동_전사손익_06전사손익1_상반기_연간손익정리(서대호)_8월예상_01년간예상손익(12월이동)_2" xfId="6295"/>
    <cellStyle name="7_전자98결산진실_5월이동_전사손익_06전사손익1_상반기_연간손익정리(서대호)_8월예상_02년 2월 이동_예상손익" xfId="6296"/>
    <cellStyle name="7_전자98결산진실_5월이동_전사손익_06전사손익1_상반기_연간손익정리(서대호)_8월예상_02년 2월 이동_예상손익_1" xfId="6297"/>
    <cellStyle name="7_전자98결산진실_5월이동_전사손익_06전사손익1_상반기_연간손익정리(서대호)_8월예상_02년 3월 이동_예상손익(전사취합)" xfId="6298"/>
    <cellStyle name="7_전자98결산진실_5월이동_전사손익_06전사손익1_상반기_연간손익정리(서대호)_8월예상_02년 6월 이동_예상손익(전사취합)" xfId="6299"/>
    <cellStyle name="7_전자98결산진실_5월이동_전사손익_06전사손익1_상반기_연간손익정리(서대호)_8월예상_02년간예상손익" xfId="6300"/>
    <cellStyle name="7_전자98결산진실_5월이동_전사손익_06전사손익1_상반기_연간손익정리(서대호)_8월예상_04월 이동계획_전사예상pl" xfId="6301"/>
    <cellStyle name="7_전자98결산진실_5월이동_전사손익_06전사손익1_상반기_연간손익정리(서대호)_8월예상_1월이동손익_전사예상pl" xfId="6302"/>
    <cellStyle name="7_전자98결산진실_5월이동_전사손익_06전사손익1_상반기_연간손익정리(서대호)_8월예상_obu별손익0112이동" xfId="6303"/>
    <cellStyle name="7_전자98결산진실_5월이동_전사손익_06전사손익1_상반기_연간손익정리(서대호)_obu별손익0112이동" xfId="6304"/>
    <cellStyle name="7_전자98결산진실_5월이동_전사손익_06전사손익1_상반기_연간손익정리(서대호)_연간예상추정5886_0726" xfId="6305"/>
    <cellStyle name="7_전자98결산진실_5월이동_전사손익_06전사손익1_상반기_연간손익정리(서대호)_연간예상추정5886_0726_01년간예상손익(12월이동)" xfId="6306"/>
    <cellStyle name="7_전자98결산진실_5월이동_전사손익_06전사손익1_상반기_연간손익정리(서대호)_연간예상추정5886_0726_01년간예상손익(12월이동)_2" xfId="6307"/>
    <cellStyle name="7_전자98결산진실_5월이동_전사손익_06전사손익1_상반기_연간손익정리(서대호)_연간예상추정5886_0726_02년 2월 이동_예상손익" xfId="6308"/>
    <cellStyle name="7_전자98결산진실_5월이동_전사손익_06전사손익1_상반기_연간손익정리(서대호)_연간예상추정5886_0726_02년 2월 이동_예상손익_1" xfId="6309"/>
    <cellStyle name="7_전자98결산진실_5월이동_전사손익_06전사손익1_상반기_연간손익정리(서대호)_연간예상추정5886_0726_02년 3월 이동_예상손익(전사취합)" xfId="6310"/>
    <cellStyle name="7_전자98결산진실_5월이동_전사손익_06전사손익1_상반기_연간손익정리(서대호)_연간예상추정5886_0726_02년 6월 이동_예상손익(전사취합)" xfId="6311"/>
    <cellStyle name="7_전자98결산진실_5월이동_전사손익_06전사손익1_상반기_연간손익정리(서대호)_연간예상추정5886_0726_02년간예상손익" xfId="6312"/>
    <cellStyle name="7_전자98결산진실_5월이동_전사손익_06전사손익1_상반기_연간손익정리(서대호)_연간예상추정5886_0726_04월 이동계획_전사예상pl" xfId="6313"/>
    <cellStyle name="7_전자98결산진실_5월이동_전사손익_06전사손익1_상반기_연간손익정리(서대호)_연간예상추정5886_0726_1월이동손익_전사예상pl" xfId="6314"/>
    <cellStyle name="7_전자98결산진실_5월이동_전사손익_06전사손익1_상반기_연간손익정리(서대호)_연간예상추정5886_0726_obu별손익0112이동" xfId="6315"/>
    <cellStyle name="7_전자98결산진실_5월이동_전사손익_06전사손익1_연간예상추정5886_0726" xfId="6316"/>
    <cellStyle name="7_전자98결산진실_5월이동_전사손익_06전사손익1_연간예상추정5886_0726_01년간예상손익(12월이동)" xfId="6317"/>
    <cellStyle name="7_전자98결산진실_5월이동_전사손익_06전사손익1_연간예상추정5886_0726_01년간예상손익(12월이동)_2" xfId="6318"/>
    <cellStyle name="7_전자98결산진실_5월이동_전사손익_06전사손익1_연간예상추정5886_0726_02년 2월 이동_예상손익" xfId="6319"/>
    <cellStyle name="7_전자98결산진실_5월이동_전사손익_06전사손익1_연간예상추정5886_0726_02년 2월 이동_예상손익_1" xfId="6320"/>
    <cellStyle name="7_전자98결산진실_5월이동_전사손익_06전사손익1_연간예상추정5886_0726_02년 3월 이동_예상손익(전사취합)" xfId="6321"/>
    <cellStyle name="7_전자98결산진실_5월이동_전사손익_06전사손익1_연간예상추정5886_0726_02년 6월 이동_예상손익(전사취합)" xfId="6322"/>
    <cellStyle name="7_전자98결산진실_5월이동_전사손익_06전사손익1_연간예상추정5886_0726_02년간예상손익" xfId="6323"/>
    <cellStyle name="7_전자98결산진실_5월이동_전사손익_06전사손익1_연간예상추정5886_0726_04월 이동계획_전사예상pl" xfId="6324"/>
    <cellStyle name="7_전자98결산진실_5월이동_전사손익_06전사손익1_연간예상추정5886_0726_1월이동손익_전사예상pl" xfId="6325"/>
    <cellStyle name="7_전자98결산진실_5월이동_전사손익_06전사손익1_연간예상추정5886_0726_obu별손익0112이동" xfId="6326"/>
    <cellStyle name="7_전자98결산진실_5월이동_전사손익_1월이동손익_전사예상pl" xfId="6327"/>
    <cellStyle name="7_전자98결산진실_5월이동_전사손익_8월예상" xfId="6328"/>
    <cellStyle name="7_전자98결산진실_5월이동_전사손익_8월예상_01년간예상손익(12월이동)" xfId="6329"/>
    <cellStyle name="7_전자98결산진실_5월이동_전사손익_8월예상_01년간예상손익(12월이동)_2" xfId="6330"/>
    <cellStyle name="7_전자98결산진실_5월이동_전사손익_8월예상_02년 2월 이동_예상손익" xfId="6331"/>
    <cellStyle name="7_전자98결산진실_5월이동_전사손익_8월예상_02년 2월 이동_예상손익_1" xfId="6332"/>
    <cellStyle name="7_전자98결산진실_5월이동_전사손익_8월예상_02년 3월 이동_예상손익(전사취합)" xfId="6333"/>
    <cellStyle name="7_전자98결산진실_5월이동_전사손익_8월예상_02년 6월 이동_예상손익(전사취합)" xfId="6334"/>
    <cellStyle name="7_전자98결산진실_5월이동_전사손익_8월예상_02년간예상손익" xfId="6335"/>
    <cellStyle name="7_전자98결산진실_5월이동_전사손익_8월예상_04월 이동계획_전사예상pl" xfId="6336"/>
    <cellStyle name="7_전자98결산진실_5월이동_전사손익_8월예상_1월이동손익_전사예상pl" xfId="6337"/>
    <cellStyle name="7_전자98결산진실_5월이동_전사손익_8월예상_obu별손익0112이동" xfId="6338"/>
    <cellStyle name="7_전자98결산진실_5월이동_전사손익_9-12월예상pl" xfId="6339"/>
    <cellStyle name="7_전자98결산진실_5월이동_전사손익_9-12월예상pl_01년간예상손익(12월이동)" xfId="6340"/>
    <cellStyle name="7_전자98결산진실_5월이동_전사손익_9-12월예상pl_01년간예상손익(12월이동)_2" xfId="6341"/>
    <cellStyle name="7_전자98결산진실_5월이동_전사손익_9-12월예상pl_02년 2월 이동_예상손익" xfId="6342"/>
    <cellStyle name="7_전자98결산진실_5월이동_전사손익_9-12월예상pl_02년 2월 이동_예상손익_1" xfId="6343"/>
    <cellStyle name="7_전자98결산진실_5월이동_전사손익_9-12월예상pl_02년 3월 이동_예상손익(전사취합)" xfId="6344"/>
    <cellStyle name="7_전자98결산진실_5월이동_전사손익_9-12월예상pl_02년 6월 이동_예상손익(전사취합)" xfId="6345"/>
    <cellStyle name="7_전자98결산진실_5월이동_전사손익_9-12월예상pl_02년간예상손익" xfId="6346"/>
    <cellStyle name="7_전자98결산진실_5월이동_전사손익_9-12월예상pl_04월 이동계획_전사예상pl" xfId="6347"/>
    <cellStyle name="7_전자98결산진실_5월이동_전사손익_9-12월예상pl_1월이동손익_전사예상pl" xfId="6348"/>
    <cellStyle name="7_전자98결산진실_5월이동_전사손익_9-12월예상pl_obu별손익0112이동" xfId="6349"/>
    <cellStyle name="7_전자98결산진실_5월이동_전사손익_obu별손익0112이동" xfId="6350"/>
    <cellStyle name="7_전자98결산진실_5월이동_전사손익_상반기_연간손익정리(서대호)" xfId="6351"/>
    <cellStyle name="7_전자98결산진실_5월이동_전사손익_상반기_연간손익정리(서대호)_01년간예상손익(12월이동)" xfId="6352"/>
    <cellStyle name="7_전자98결산진실_5월이동_전사손익_상반기_연간손익정리(서대호)_01년간예상손익(12월이동)_2" xfId="6353"/>
    <cellStyle name="7_전자98결산진실_5월이동_전사손익_상반기_연간손익정리(서대호)_01매출손익(6월 실적반영)" xfId="6354"/>
    <cellStyle name="7_전자98결산진실_5월이동_전사손익_상반기_연간손익정리(서대호)_01매출손익(6월 실적반영)_01년간예상손익(12월이동)" xfId="6355"/>
    <cellStyle name="7_전자98결산진실_5월이동_전사손익_상반기_연간손익정리(서대호)_01매출손익(6월 실적반영)_01년간예상손익(12월이동)_2" xfId="6356"/>
    <cellStyle name="7_전자98결산진실_5월이동_전사손익_상반기_연간손익정리(서대호)_01매출손익(6월 실적반영)_02년 2월 이동_예상손익" xfId="6357"/>
    <cellStyle name="7_전자98결산진실_5월이동_전사손익_상반기_연간손익정리(서대호)_01매출손익(6월 실적반영)_02년 2월 이동_예상손익_1" xfId="6358"/>
    <cellStyle name="7_전자98결산진실_5월이동_전사손익_상반기_연간손익정리(서대호)_01매출손익(6월 실적반영)_02년 3월 이동_예상손익(전사취합)" xfId="6359"/>
    <cellStyle name="7_전자98결산진실_5월이동_전사손익_상반기_연간손익정리(서대호)_01매출손익(6월 실적반영)_02년 6월 이동_예상손익(전사취합)" xfId="6360"/>
    <cellStyle name="7_전자98결산진실_5월이동_전사손익_상반기_연간손익정리(서대호)_01매출손익(6월 실적반영)_02년간예상손익" xfId="6361"/>
    <cellStyle name="7_전자98결산진실_5월이동_전사손익_상반기_연간손익정리(서대호)_01매출손익(6월 실적반영)_04월 이동계획_전사예상pl" xfId="6362"/>
    <cellStyle name="7_전자98결산진실_5월이동_전사손익_상반기_연간손익정리(서대호)_01매출손익(6월 실적반영)_1월이동손익_전사예상pl" xfId="6363"/>
    <cellStyle name="7_전자98결산진실_5월이동_전사손익_상반기_연간손익정리(서대호)_01매출손익(6월 실적반영)_obu별손익0112이동" xfId="6364"/>
    <cellStyle name="7_전자98결산진실_5월이동_전사손익_상반기_연간손익정리(서대호)_02년 2월 이동_예상손익" xfId="6365"/>
    <cellStyle name="7_전자98결산진실_5월이동_전사손익_상반기_연간손익정리(서대호)_02년 2월 이동_예상손익_1" xfId="6366"/>
    <cellStyle name="7_전자98결산진실_5월이동_전사손익_상반기_연간손익정리(서대호)_02년 3월 이동_예상손익(전사취합)" xfId="6367"/>
    <cellStyle name="7_전자98결산진실_5월이동_전사손익_상반기_연간손익정리(서대호)_02년 6월 이동_예상손익(전사취합)" xfId="6368"/>
    <cellStyle name="7_전자98결산진실_5월이동_전사손익_상반기_연간손익정리(서대호)_02년간예상손익" xfId="6369"/>
    <cellStyle name="7_전자98결산진실_5월이동_전사손익_상반기_연간손익정리(서대호)_04월 이동계획_전사예상pl" xfId="6370"/>
    <cellStyle name="7_전자98결산진실_5월이동_전사손익_상반기_연간손익정리(서대호)_1월이동손익_전사예상pl" xfId="6371"/>
    <cellStyle name="7_전자98결산진실_5월이동_전사손익_상반기_연간손익정리(서대호)_8월예상" xfId="6372"/>
    <cellStyle name="7_전자98결산진실_5월이동_전사손익_상반기_연간손익정리(서대호)_8월예상_01년간예상손익(12월이동)" xfId="6373"/>
    <cellStyle name="7_전자98결산진실_5월이동_전사손익_상반기_연간손익정리(서대호)_8월예상_01년간예상손익(12월이동)_2" xfId="6374"/>
    <cellStyle name="7_전자98결산진실_5월이동_전사손익_상반기_연간손익정리(서대호)_8월예상_02년 2월 이동_예상손익" xfId="6375"/>
    <cellStyle name="7_전자98결산진실_5월이동_전사손익_상반기_연간손익정리(서대호)_8월예상_02년 2월 이동_예상손익_1" xfId="6376"/>
    <cellStyle name="7_전자98결산진실_5월이동_전사손익_상반기_연간손익정리(서대호)_8월예상_02년 3월 이동_예상손익(전사취합)" xfId="6377"/>
    <cellStyle name="7_전자98결산진실_5월이동_전사손익_상반기_연간손익정리(서대호)_8월예상_02년 6월 이동_예상손익(전사취합)" xfId="6378"/>
    <cellStyle name="7_전자98결산진실_5월이동_전사손익_상반기_연간손익정리(서대호)_8월예상_02년간예상손익" xfId="6379"/>
    <cellStyle name="7_전자98결산진실_5월이동_전사손익_상반기_연간손익정리(서대호)_8월예상_04월 이동계획_전사예상pl" xfId="6380"/>
    <cellStyle name="7_전자98결산진실_5월이동_전사손익_상반기_연간손익정리(서대호)_8월예상_1월이동손익_전사예상pl" xfId="6381"/>
    <cellStyle name="7_전자98결산진실_5월이동_전사손익_상반기_연간손익정리(서대호)_8월예상_obu별손익0112이동" xfId="6382"/>
    <cellStyle name="7_전자98결산진실_5월이동_전사손익_상반기_연간손익정리(서대호)_obu별손익0112이동" xfId="6383"/>
    <cellStyle name="7_전자98결산진실_5월이동_전사손익_상반기_연간손익정리(서대호)_연간예상추정5886_0726" xfId="6384"/>
    <cellStyle name="7_전자98결산진실_5월이동_전사손익_상반기_연간손익정리(서대호)_연간예상추정5886_0726_01년간예상손익(12월이동)" xfId="6385"/>
    <cellStyle name="7_전자98결산진실_5월이동_전사손익_상반기_연간손익정리(서대호)_연간예상추정5886_0726_01년간예상손익(12월이동)_2" xfId="6386"/>
    <cellStyle name="7_전자98결산진실_5월이동_전사손익_상반기_연간손익정리(서대호)_연간예상추정5886_0726_02년 2월 이동_예상손익" xfId="6387"/>
    <cellStyle name="7_전자98결산진실_5월이동_전사손익_상반기_연간손익정리(서대호)_연간예상추정5886_0726_02년 2월 이동_예상손익_1" xfId="6388"/>
    <cellStyle name="7_전자98결산진실_5월이동_전사손익_상반기_연간손익정리(서대호)_연간예상추정5886_0726_02년 3월 이동_예상손익(전사취합)" xfId="6389"/>
    <cellStyle name="7_전자98결산진실_5월이동_전사손익_상반기_연간손익정리(서대호)_연간예상추정5886_0726_02년 6월 이동_예상손익(전사취합)" xfId="6390"/>
    <cellStyle name="7_전자98결산진실_5월이동_전사손익_상반기_연간손익정리(서대호)_연간예상추정5886_0726_02년간예상손익" xfId="6391"/>
    <cellStyle name="7_전자98결산진실_5월이동_전사손익_상반기_연간손익정리(서대호)_연간예상추정5886_0726_04월 이동계획_전사예상pl" xfId="6392"/>
    <cellStyle name="7_전자98결산진실_5월이동_전사손익_상반기_연간손익정리(서대호)_연간예상추정5886_0726_1월이동손익_전사예상pl" xfId="6393"/>
    <cellStyle name="7_전자98결산진실_5월이동_전사손익_상반기_연간손익정리(서대호)_연간예상추정5886_0726_obu별손익0112이동" xfId="6394"/>
    <cellStyle name="7_전자98결산진실_5월이동_전사손익_연간예상추정5886_0726" xfId="6395"/>
    <cellStyle name="7_전자98결산진실_5월이동_전사손익_연간예상추정5886_0726_01년간예상손익(12월이동)" xfId="6396"/>
    <cellStyle name="7_전자98결산진실_5월이동_전사손익_연간예상추정5886_0726_01년간예상손익(12월이동)_2" xfId="6397"/>
    <cellStyle name="7_전자98결산진실_5월이동_전사손익_연간예상추정5886_0726_02년 2월 이동_예상손익" xfId="6398"/>
    <cellStyle name="7_전자98결산진실_5월이동_전사손익_연간예상추정5886_0726_02년 2월 이동_예상손익_1" xfId="6399"/>
    <cellStyle name="7_전자98결산진실_5월이동_전사손익_연간예상추정5886_0726_02년 3월 이동_예상손익(전사취합)" xfId="6400"/>
    <cellStyle name="7_전자98결산진실_5월이동_전사손익_연간예상추정5886_0726_02년 6월 이동_예상손익(전사취합)" xfId="6401"/>
    <cellStyle name="7_전자98결산진실_5월이동_전사손익_연간예상추정5886_0726_02년간예상손익" xfId="6402"/>
    <cellStyle name="7_전자98결산진실_5월이동_전사손익_연간예상추정5886_0726_04월 이동계획_전사예상pl" xfId="6403"/>
    <cellStyle name="7_전자98결산진실_5월이동_전사손익_연간예상추정5886_0726_1월이동손익_전사예상pl" xfId="6404"/>
    <cellStyle name="7_전자98결산진실_5월이동_전사손익_연간예상추정5886_0726_obu별손익0112이동" xfId="6405"/>
    <cellStyle name="7_전자98결산진실_8월 예상손익 점검" xfId="6406"/>
    <cellStyle name="7_전자98결산진실_8월 예상손익 점검_8월 예상손익 점검" xfId="6407"/>
    <cellStyle name="7_전자98결산진실_8월 예상손익 점검_8월 예상손익 점검_DM_환율영향분석_본부" xfId="6408"/>
    <cellStyle name="7_전자98결산진실_8월 예상손익 점검_DM_환율영향분석_본부" xfId="6409"/>
    <cellStyle name="7_전자98결산진실_8월예상" xfId="6410"/>
    <cellStyle name="7_전자98결산진실_8월예상_01년간예상손익(12월이동)" xfId="6411"/>
    <cellStyle name="7_전자98결산진실_8월예상_01년간예상손익(12월이동)_2" xfId="6412"/>
    <cellStyle name="7_전자98결산진실_8월예상_02년 2월 이동_예상손익" xfId="6413"/>
    <cellStyle name="7_전자98결산진실_8월예상_02년 2월 이동_예상손익_1" xfId="6414"/>
    <cellStyle name="7_전자98결산진실_8월예상_02년 3월 이동_예상손익(전사취합)" xfId="6415"/>
    <cellStyle name="7_전자98결산진실_8월예상_02년 6월 이동_예상손익(전사취합)" xfId="6416"/>
    <cellStyle name="7_전자98결산진실_8월예상_02년간예상손익" xfId="6417"/>
    <cellStyle name="7_전자98결산진실_8월예상_04월 이동계획_전사예상pl" xfId="6418"/>
    <cellStyle name="7_전자98결산진실_8월예상_1월이동손익_전사예상pl" xfId="6419"/>
    <cellStyle name="7_전자98결산진실_8월예상_obu별손익0112이동" xfId="6420"/>
    <cellStyle name="7_전자98결산진실_8월전사예상(0903)" xfId="6421"/>
    <cellStyle name="7_전자98결산진실_8월전사예상(0903)_01년간예상손익(12월이동)" xfId="6422"/>
    <cellStyle name="7_전자98결산진실_8월전사예상(0903)_01년간예상손익(12월이동)_2" xfId="6423"/>
    <cellStyle name="7_전자98결산진실_8월전사예상(0903)_02년 2월 이동_예상손익" xfId="6424"/>
    <cellStyle name="7_전자98결산진실_8월전사예상(0903)_02년 2월 이동_예상손익_1" xfId="6425"/>
    <cellStyle name="7_전자98결산진실_8월전사예상(0903)_02년 3월 이동_예상손익(전사취합)" xfId="6426"/>
    <cellStyle name="7_전자98결산진실_8월전사예상(0903)_02년 6월 이동_예상손익(전사취합)" xfId="6427"/>
    <cellStyle name="7_전자98결산진실_8월전사예상(0903)_02년간예상손익" xfId="6428"/>
    <cellStyle name="7_전자98결산진실_8월전사예상(0903)_04월 이동계획_전사예상pl" xfId="6429"/>
    <cellStyle name="7_전자98결산진실_8월전사예상(0903)_1월이동손익_전사예상pl" xfId="6430"/>
    <cellStyle name="7_전자98결산진실_8월전사예상(0903)_obu별손익0112이동" xfId="6431"/>
    <cellStyle name="7_전자98결산진실_9-12월예상pl" xfId="6432"/>
    <cellStyle name="7_전자98결산진실_9-12월예상pl_01년간예상손익(12월이동)" xfId="6433"/>
    <cellStyle name="7_전자98결산진실_9-12월예상pl_01년간예상손익(12월이동)_2" xfId="6434"/>
    <cellStyle name="7_전자98결산진실_9-12월예상pl_02년 2월 이동_예상손익" xfId="6435"/>
    <cellStyle name="7_전자98결산진실_9-12월예상pl_02년 2월 이동_예상손익_1" xfId="6436"/>
    <cellStyle name="7_전자98결산진실_9-12월예상pl_02년 3월 이동_예상손익(전사취합)" xfId="6437"/>
    <cellStyle name="7_전자98결산진실_9-12월예상pl_02년 6월 이동_예상손익(전사취합)" xfId="6438"/>
    <cellStyle name="7_전자98결산진실_9-12월예상pl_02년간예상손익" xfId="6439"/>
    <cellStyle name="7_전자98결산진실_9-12월예상pl_04월 이동계획_전사예상pl" xfId="6440"/>
    <cellStyle name="7_전자98결산진실_9-12월예상pl_1월이동손익_전사예상pl" xfId="6441"/>
    <cellStyle name="7_전자98결산진실_9-12월예상pl_obu별손익0112이동" xfId="6442"/>
    <cellStyle name="7_전자98결산진실_9월차이동계획(0911)" xfId="6443"/>
    <cellStyle name="7_전자98결산진실_9월차이동계획(0911)_01년간예상손익(12월이동)" xfId="6444"/>
    <cellStyle name="7_전자98결산진실_9월차이동계획(0911)_01년간예상손익(12월이동)_2" xfId="6445"/>
    <cellStyle name="7_전자98결산진실_9월차이동계획(0911)_02년 2월 이동_예상손익" xfId="6446"/>
    <cellStyle name="7_전자98결산진실_9월차이동계획(0911)_02년 2월 이동_예상손익_1" xfId="6447"/>
    <cellStyle name="7_전자98결산진실_9월차이동계획(0911)_02년 3월 이동_예상손익(전사취합)" xfId="6448"/>
    <cellStyle name="7_전자98결산진실_9월차이동계획(0911)_02년 6월 이동_예상손익(전사취합)" xfId="6449"/>
    <cellStyle name="7_전자98결산진실_9월차이동계획(0911)_02년간예상손익" xfId="6450"/>
    <cellStyle name="7_전자98결산진실_9월차이동계획(0911)_04월 이동계획_전사예상pl" xfId="6451"/>
    <cellStyle name="7_전자98결산진실_9월차이동계획(0911)_1월이동손익_전사예상pl" xfId="6452"/>
    <cellStyle name="7_전자98결산진실_9월차이동계획(0911)_obu별손익0112이동" xfId="6453"/>
    <cellStyle name="7_전자98결산진실_Book1" xfId="6454"/>
    <cellStyle name="7_전자98결산진실_DM_환율영향분석_본부" xfId="6455"/>
    <cellStyle name="7_전자98결산진실_eva&amp;cash_02~05년 CM" xfId="6456"/>
    <cellStyle name="7_전자98결산진실_그룹+업적보고회+보완사항" xfId="6457"/>
    <cellStyle name="7_전자98결산진실_본부본사배부_1022FINAL본사비축소_해외법인" xfId="6458"/>
    <cellStyle name="7_전자98결산진실_사업계획 양식" xfId="6459"/>
    <cellStyle name="7_전자98결산진실_사업계획 양식_02년사업계획양식V1.0_대호(bs수정)" xfId="6460"/>
    <cellStyle name="7_전자98결산진실_사업계획 양식_02년사업계획양식V1.0_대호(bs수정)_02년사업계획양식V2.0" xfId="6461"/>
    <cellStyle name="7_전자98결산진실_사업계획 양식_02년사업계획양식V1.0_대호(bs수정)_02년사업계획양식V2.0_02년사업계획양식V2.0" xfId="6462"/>
    <cellStyle name="7_전자98결산진실_사업계획 양식_02년사업계획양식V1.0_대호(bs수정)_02년사업계획양식V2.0_02년사업계획양식V2.0_02년사업계획양식V3.0" xfId="6463"/>
    <cellStyle name="7_전자98결산진실_사업계획 양식_02년사업계획양식V1.0_대호(bs수정)_02년사업계획양식V2.0_02년사업계획양식V2.0_02년사업계획양식V3.0_02년사업계획양식V3.0" xfId="6464"/>
    <cellStyle name="7_전자98결산진실_사업계획 양식_02년사업계획양식V1.0_대호(bs수정)_02년사업계획양식V2.0_02년사업계획양식V2.0_02년사업계획양식V3.0_02년사업계획양식V3.0(원본)" xfId="6465"/>
    <cellStyle name="7_전자98결산진실_사업계획 양식_02년사업계획양식V1.0_대호(bs수정)_02년사업계획양식V2.0_02년사업계획양식V2.0_02년사업계획양식V3.0_02년사업계획양식V3.0(원본)_1" xfId="6466"/>
    <cellStyle name="7_전자98결산진실_사업계획 양식_02년사업계획양식V1.0_대호(bs수정)_02년사업계획양식V2.0_02년사업계획양식V3.0" xfId="6467"/>
    <cellStyle name="7_전자98결산진실_사업계획 양식_02년사업계획양식V1.0_대호(bs수정)_02년사업계획양식V2.0_02년사업계획양식V3.0(원본)" xfId="6468"/>
    <cellStyle name="7_전자98결산진실_사업계획 양식_02년사업계획양식V1.0_대호(bs수정)_02년사업계획양식V2.0_02년사업계획양식V3.0(원본)_1" xfId="6469"/>
    <cellStyle name="7_전자98결산진실_사업계획 양식_02년사업계획양식V1.0_대호(bs수정)_02년사업계획양식V2.0_02년사업계획양식V3.0_02년사업계획양식V3.0" xfId="6470"/>
    <cellStyle name="7_전자98결산진실_사업계획 양식_02년사업계획양식V1.0_대호(bs수정)_02년사업계획양식V2.0_02년사업계획양식V3.0_02년사업계획양식V3.0_02년사업계획양식V3.0" xfId="6471"/>
    <cellStyle name="7_전자98결산진실_사업계획 양식_02년사업계획양식V1.0_대호(bs수정)_02년사업계획양식V2.0_02년사업계획양식V3.0_02년사업계획양식V3.0_02년사업계획양식V3.0(원본)" xfId="6472"/>
    <cellStyle name="7_전자98결산진실_사업계획 양식_02년사업계획양식V1.0_대호(bs수정)_02년사업계획양식V2.0_02년사업계획양식V3.0_02년사업계획양식V3.0_02년사업계획양식V3.0(원본)_1" xfId="6473"/>
    <cellStyle name="7_전자98결산진실_사업계획 양식_02년사업계획양식V1.0_대호(bs수정)_02년사업계획양식V3.0" xfId="6474"/>
    <cellStyle name="7_전자98결산진실_사업계획 양식_02년사업계획양식V1.0_대호(bs수정)_02년사업계획양식V3.0_02년사업계획양식V3.0" xfId="6475"/>
    <cellStyle name="7_전자98결산진실_사업계획 양식_02년사업계획양식V1.0_대호(bs수정)_02년사업계획양식V3.0_02년사업계획양식V3.0(원본)" xfId="6476"/>
    <cellStyle name="7_전자98결산진실_사업계획 양식_02년사업계획양식V1.0_대호(bs수정)_02년사업계획양식V3.0_02년사업계획양식V3.0(원본)_1" xfId="6477"/>
    <cellStyle name="7_전자98결산진실_사업계획 양식_02년사업계획양식V2.0" xfId="6478"/>
    <cellStyle name="7_전자98결산진실_사업계획 양식_02년사업계획양식V2.0_02년사업계획양식V3.0" xfId="6479"/>
    <cellStyle name="7_전자98결산진실_사업계획 양식_02년사업계획양식V2.0_02년사업계획양식V3.0_02년사업계획양식V3.0" xfId="6480"/>
    <cellStyle name="7_전자98결산진실_사업계획 양식_02년사업계획양식V2.0_02년사업계획양식V3.0_02년사업계획양식V3.0(원본)" xfId="6481"/>
    <cellStyle name="7_전자98결산진실_사업계획 양식_02년사업계획양식V2.0_02년사업계획양식V3.0_02년사업계획양식V3.0(원본)_1" xfId="6482"/>
    <cellStyle name="7_전자98결산진실_사업계획 양식_02년사업계획양식V3.0" xfId="6483"/>
    <cellStyle name="7_전자98결산진실_사업계획 양식_02년사업계획양식V3.0(원본)" xfId="6484"/>
    <cellStyle name="7_전자98결산진실_사업계획 양식_02년사업계획양식V3.0(원본)_1" xfId="6485"/>
    <cellStyle name="7_전자98결산진실_사업계획 양식_02년사업계획양식V3.0_02년사업계획양식V3.0" xfId="6486"/>
    <cellStyle name="7_전자98결산진실_사업계획 양식_02년사업계획양식V3.0_02년사업계획양식V3.0_02년사업계획양식V3.0" xfId="6487"/>
    <cellStyle name="7_전자98결산진실_사업계획 양식_02년사업계획양식V3.0_02년사업계획양식V3.0_02년사업계획양식V3.0(원본)" xfId="6488"/>
    <cellStyle name="7_전자98결산진실_사업계획 양식_02년사업계획양식V3.0_02년사업계획양식V3.0_02년사업계획양식V3.0(원본)_1" xfId="6489"/>
    <cellStyle name="7_전자98결산진실_상반기_연간손익정리(서대호)" xfId="6490"/>
    <cellStyle name="7_전자98결산진실_상반기_연간손익정리(서대호)_01년간예상손익(12월이동)" xfId="6491"/>
    <cellStyle name="7_전자98결산진실_상반기_연간손익정리(서대호)_01년간예상손익(12월이동)_2" xfId="6492"/>
    <cellStyle name="7_전자98결산진실_상반기_연간손익정리(서대호)_01매출손익(6월 실적반영)" xfId="6493"/>
    <cellStyle name="7_전자98결산진실_상반기_연간손익정리(서대호)_01매출손익(6월 실적반영)_01년간예상손익(12월이동)" xfId="6494"/>
    <cellStyle name="7_전자98결산진실_상반기_연간손익정리(서대호)_01매출손익(6월 실적반영)_01년간예상손익(12월이동)_2" xfId="6495"/>
    <cellStyle name="7_전자98결산진실_상반기_연간손익정리(서대호)_01매출손익(6월 실적반영)_02년 2월 이동_예상손익" xfId="6496"/>
    <cellStyle name="7_전자98결산진실_상반기_연간손익정리(서대호)_01매출손익(6월 실적반영)_02년 2월 이동_예상손익_1" xfId="6497"/>
    <cellStyle name="7_전자98결산진실_상반기_연간손익정리(서대호)_01매출손익(6월 실적반영)_02년 3월 이동_예상손익(전사취합)" xfId="6498"/>
    <cellStyle name="7_전자98결산진실_상반기_연간손익정리(서대호)_01매출손익(6월 실적반영)_02년 6월 이동_예상손익(전사취합)" xfId="6499"/>
    <cellStyle name="7_전자98결산진실_상반기_연간손익정리(서대호)_01매출손익(6월 실적반영)_02년간예상손익" xfId="6500"/>
    <cellStyle name="7_전자98결산진실_상반기_연간손익정리(서대호)_01매출손익(6월 실적반영)_04월 이동계획_전사예상pl" xfId="6501"/>
    <cellStyle name="7_전자98결산진실_상반기_연간손익정리(서대호)_01매출손익(6월 실적반영)_1월이동손익_전사예상pl" xfId="6502"/>
    <cellStyle name="7_전자98결산진실_상반기_연간손익정리(서대호)_01매출손익(6월 실적반영)_obu별손익0112이동" xfId="6503"/>
    <cellStyle name="7_전자98결산진실_상반기_연간손익정리(서대호)_02년 2월 이동_예상손익" xfId="6504"/>
    <cellStyle name="7_전자98결산진실_상반기_연간손익정리(서대호)_02년 2월 이동_예상손익_1" xfId="6505"/>
    <cellStyle name="7_전자98결산진실_상반기_연간손익정리(서대호)_02년 3월 이동_예상손익(전사취합)" xfId="6506"/>
    <cellStyle name="7_전자98결산진실_상반기_연간손익정리(서대호)_02년 6월 이동_예상손익(전사취합)" xfId="6507"/>
    <cellStyle name="7_전자98결산진실_상반기_연간손익정리(서대호)_02년간예상손익" xfId="6508"/>
    <cellStyle name="7_전자98결산진실_상반기_연간손익정리(서대호)_04월 이동계획_전사예상pl" xfId="6509"/>
    <cellStyle name="7_전자98결산진실_상반기_연간손익정리(서대호)_1월이동손익_전사예상pl" xfId="6510"/>
    <cellStyle name="7_전자98결산진실_상반기_연간손익정리(서대호)_8월예상" xfId="6511"/>
    <cellStyle name="7_전자98결산진실_상반기_연간손익정리(서대호)_8월예상_01년간예상손익(12월이동)" xfId="6512"/>
    <cellStyle name="7_전자98결산진실_상반기_연간손익정리(서대호)_8월예상_01년간예상손익(12월이동)_2" xfId="6513"/>
    <cellStyle name="7_전자98결산진실_상반기_연간손익정리(서대호)_8월예상_02년 2월 이동_예상손익" xfId="6514"/>
    <cellStyle name="7_전자98결산진실_상반기_연간손익정리(서대호)_8월예상_02년 2월 이동_예상손익_1" xfId="6515"/>
    <cellStyle name="7_전자98결산진실_상반기_연간손익정리(서대호)_8월예상_02년 3월 이동_예상손익(전사취합)" xfId="6516"/>
    <cellStyle name="7_전자98결산진실_상반기_연간손익정리(서대호)_8월예상_02년 6월 이동_예상손익(전사취합)" xfId="6517"/>
    <cellStyle name="7_전자98결산진실_상반기_연간손익정리(서대호)_8월예상_02년간예상손익" xfId="6518"/>
    <cellStyle name="7_전자98결산진실_상반기_연간손익정리(서대호)_8월예상_04월 이동계획_전사예상pl" xfId="6519"/>
    <cellStyle name="7_전자98결산진실_상반기_연간손익정리(서대호)_8월예상_1월이동손익_전사예상pl" xfId="6520"/>
    <cellStyle name="7_전자98결산진실_상반기_연간손익정리(서대호)_8월예상_obu별손익0112이동" xfId="6521"/>
    <cellStyle name="7_전자98결산진실_상반기_연간손익정리(서대호)_obu별손익0112이동" xfId="6522"/>
    <cellStyle name="7_전자98결산진실_상반기_연간손익정리(서대호)_연간예상추정5886_0726" xfId="6523"/>
    <cellStyle name="7_전자98결산진실_상반기_연간손익정리(서대호)_연간예상추정5886_0726_01년간예상손익(12월이동)" xfId="6524"/>
    <cellStyle name="7_전자98결산진실_상반기_연간손익정리(서대호)_연간예상추정5886_0726_01년간예상손익(12월이동)_2" xfId="6525"/>
    <cellStyle name="7_전자98결산진실_상반기_연간손익정리(서대호)_연간예상추정5886_0726_02년 2월 이동_예상손익" xfId="6526"/>
    <cellStyle name="7_전자98결산진실_상반기_연간손익정리(서대호)_연간예상추정5886_0726_02년 2월 이동_예상손익_1" xfId="6527"/>
    <cellStyle name="7_전자98결산진실_상반기_연간손익정리(서대호)_연간예상추정5886_0726_02년 3월 이동_예상손익(전사취합)" xfId="6528"/>
    <cellStyle name="7_전자98결산진실_상반기_연간손익정리(서대호)_연간예상추정5886_0726_02년 6월 이동_예상손익(전사취합)" xfId="6529"/>
    <cellStyle name="7_전자98결산진실_상반기_연간손익정리(서대호)_연간예상추정5886_0726_02년간예상손익" xfId="6530"/>
    <cellStyle name="7_전자98결산진실_상반기_연간손익정리(서대호)_연간예상추정5886_0726_04월 이동계획_전사예상pl" xfId="6531"/>
    <cellStyle name="7_전자98결산진실_상반기_연간손익정리(서대호)_연간예상추정5886_0726_1월이동손익_전사예상pl" xfId="6532"/>
    <cellStyle name="7_전자98결산진실_상반기_연간손익정리(서대호)_연간예상추정5886_0726_obu별손익0112이동" xfId="6533"/>
    <cellStyle name="7_전자98결산진실_연간예상추정5886_0726" xfId="6534"/>
    <cellStyle name="7_전자98결산진실_연간예상추정5886_0726_01년간예상손익(12월이동)" xfId="6535"/>
    <cellStyle name="7_전자98결산진실_연간예상추정5886_0726_01년간예상손익(12월이동)_2" xfId="6536"/>
    <cellStyle name="7_전자98결산진실_연간예상추정5886_0726_02년 2월 이동_예상손익" xfId="6537"/>
    <cellStyle name="7_전자98결산진실_연간예상추정5886_0726_02년 2월 이동_예상손익_1" xfId="6538"/>
    <cellStyle name="7_전자98결산진실_연간예상추정5886_0726_02년 3월 이동_예상손익(전사취합)" xfId="6539"/>
    <cellStyle name="7_전자98결산진실_연간예상추정5886_0726_02년 6월 이동_예상손익(전사취합)" xfId="6540"/>
    <cellStyle name="7_전자98결산진실_연간예상추정5886_0726_02년간예상손익" xfId="6541"/>
    <cellStyle name="7_전자98결산진실_연간예상추정5886_0726_04월 이동계획_전사예상pl" xfId="6542"/>
    <cellStyle name="7_전자98결산진실_연간예상추정5886_0726_1월이동손익_전사예상pl" xfId="6543"/>
    <cellStyle name="7_전자98결산진실_연간예상추정5886_0726_obu별손익0112이동" xfId="6544"/>
    <cellStyle name="7_전자99상결산진실" xfId="6545"/>
    <cellStyle name="7_전자99상결산진실_(정우일K)+03년+전략보고+재무구조(030702)" xfId="6546"/>
    <cellStyle name="7_전자99상결산진실_★05년 매출,손익" xfId="6547"/>
    <cellStyle name="7_전자99상결산진실_★05년 매출,손익_8월 예상손익 점검" xfId="6548"/>
    <cellStyle name="7_전자99상결산진실_★05년 매출,손익_8월 예상손익 점검_DM_환율영향분석_본부" xfId="6549"/>
    <cellStyle name="7_전자99상결산진실_★05년 매출,손익_DM_환율영향분석_본부" xfId="6550"/>
    <cellStyle name="7_전자99상결산진실_01_예상매출(총액)" xfId="6551"/>
    <cellStyle name="7_전자99상결산진실_01_예상매출(총액)_01년간예상손익(12월이동)" xfId="6552"/>
    <cellStyle name="7_전자99상결산진실_01_예상매출(총액)_01년간예상손익(12월이동)_2" xfId="6553"/>
    <cellStyle name="7_전자99상결산진실_01_예상매출(총액)_02년 2월 이동_예상손익" xfId="6554"/>
    <cellStyle name="7_전자99상결산진실_01_예상매출(총액)_02년 2월 이동_예상손익_1" xfId="6555"/>
    <cellStyle name="7_전자99상결산진실_01_예상매출(총액)_02년 3월 이동_예상손익(전사취합)" xfId="6556"/>
    <cellStyle name="7_전자99상결산진실_01_예상매출(총액)_02년 6월 이동_예상손익(전사취합)" xfId="6557"/>
    <cellStyle name="7_전자99상결산진실_01_예상매출(총액)_02년간예상손익" xfId="6558"/>
    <cellStyle name="7_전자99상결산진실_01_예상매출(총액)_04월 이동계획_전사예상pl" xfId="6559"/>
    <cellStyle name="7_전자99상결산진실_01_예상매출(총액)_1월이동손익_전사예상pl" xfId="6560"/>
    <cellStyle name="7_전자99상결산진실_01_예상매출(총액)_obu별손익0112이동" xfId="6561"/>
    <cellStyle name="7_전자99상결산진실_01년간예상손익" xfId="6562"/>
    <cellStyle name="7_전자99상결산진실_01년간예상손익_01년간예상손익(12월이동)" xfId="6563"/>
    <cellStyle name="7_전자99상결산진실_01년간예상손익_01년간예상손익(12월이동)_2" xfId="6564"/>
    <cellStyle name="7_전자99상결산진실_01년간예상손익_02년 2월 이동_예상손익" xfId="6565"/>
    <cellStyle name="7_전자99상결산진실_01년간예상손익_02년 2월 이동_예상손익_1" xfId="6566"/>
    <cellStyle name="7_전자99상결산진실_01년간예상손익_02년 3월 이동_예상손익(전사취합)" xfId="6567"/>
    <cellStyle name="7_전자99상결산진실_01년간예상손익_02년 6월 이동_예상손익(전사취합)" xfId="6568"/>
    <cellStyle name="7_전자99상결산진실_01년간예상손익_02년간예상손익" xfId="6569"/>
    <cellStyle name="7_전자99상결산진실_01년간예상손익_04월 이동계획_전사예상pl" xfId="6570"/>
    <cellStyle name="7_전자99상결산진실_01년간예상손익_1월이동손익_전사예상pl" xfId="6571"/>
    <cellStyle name="7_전자99상결산진실_01년간예상손익_obu별손익0112이동" xfId="6572"/>
    <cellStyle name="7_전자99상결산진실_01매출손익(6월 실적반영)" xfId="6573"/>
    <cellStyle name="7_전자99상결산진실_01매출손익(6월 실적반영)_01년간예상손익(12월이동)" xfId="6574"/>
    <cellStyle name="7_전자99상결산진실_01매출손익(6월 실적반영)_01년간예상손익(12월이동)_2" xfId="6575"/>
    <cellStyle name="7_전자99상결산진실_01매출손익(6월 실적반영)_02년 2월 이동_예상손익" xfId="6576"/>
    <cellStyle name="7_전자99상결산진실_01매출손익(6월 실적반영)_02년 2월 이동_예상손익_1" xfId="6577"/>
    <cellStyle name="7_전자99상결산진실_01매출손익(6월 실적반영)_02년 3월 이동_예상손익(전사취합)" xfId="6578"/>
    <cellStyle name="7_전자99상결산진실_01매출손익(6월 실적반영)_02년 6월 이동_예상손익(전사취합)" xfId="6579"/>
    <cellStyle name="7_전자99상결산진실_01매출손익(6월 실적반영)_02년간예상손익" xfId="6580"/>
    <cellStyle name="7_전자99상결산진실_01매출손익(6월 실적반영)_04월 이동계획_전사예상pl" xfId="6581"/>
    <cellStyle name="7_전자99상결산진실_01매출손익(6월 실적반영)_1월이동손익_전사예상pl" xfId="6582"/>
    <cellStyle name="7_전자99상결산진실_01매출손익(6월 실적반영)_obu별손익0112이동" xfId="6583"/>
    <cellStyle name="7_전자99상결산진실_02기본_종합장표" xfId="6584"/>
    <cellStyle name="7_전자99상결산진실_02년사업계획양식V1.0" xfId="6585"/>
    <cellStyle name="7_전자99상결산진실_02년사업계획양식V1.0_02년사업계획양식V1.0_고동욱_011205" xfId="6586"/>
    <cellStyle name="7_전자99상결산진실_02년사업계획양식V1.0_02년사업계획양식V1.0_고동욱_011205_02년사업계획양식V2.0" xfId="6587"/>
    <cellStyle name="7_전자99상결산진실_02년사업계획양식V1.0_02년사업계획양식V1.0_고동욱_011205_02년사업계획양식V2.0_02년사업계획양식V2.0" xfId="6588"/>
    <cellStyle name="7_전자99상결산진실_02년사업계획양식V1.0_02년사업계획양식V1.0_고동욱_011205_02년사업계획양식V2.0_02년사업계획양식V2.0_02년사업계획양식V3.0" xfId="6589"/>
    <cellStyle name="7_전자99상결산진실_02년사업계획양식V1.0_02년사업계획양식V1.0_고동욱_011205_02년사업계획양식V2.0_02년사업계획양식V2.0_02년사업계획양식V3.0_02년사업계획양식V3.0" xfId="6590"/>
    <cellStyle name="7_전자99상결산진실_02년사업계획양식V1.0_02년사업계획양식V1.0_고동욱_011205_02년사업계획양식V2.0_02년사업계획양식V2.0_02년사업계획양식V3.0_02년사업계획양식V3.0(원본)" xfId="6591"/>
    <cellStyle name="7_전자99상결산진실_02년사업계획양식V1.0_02년사업계획양식V1.0_고동욱_011205_02년사업계획양식V2.0_02년사업계획양식V2.0_02년사업계획양식V3.0_02년사업계획양식V3.0(원본)_1" xfId="6592"/>
    <cellStyle name="7_전자99상결산진실_02년사업계획양식V1.0_02년사업계획양식V1.0_고동욱_011205_02년사업계획양식V2.0_02년사업계획양식V3.0" xfId="6593"/>
    <cellStyle name="7_전자99상결산진실_02년사업계획양식V1.0_02년사업계획양식V1.0_고동욱_011205_02년사업계획양식V2.0_02년사업계획양식V3.0(원본)" xfId="6594"/>
    <cellStyle name="7_전자99상결산진실_02년사업계획양식V1.0_02년사업계획양식V1.0_고동욱_011205_02년사업계획양식V2.0_02년사업계획양식V3.0(원본)_1" xfId="6595"/>
    <cellStyle name="7_전자99상결산진실_02년사업계획양식V1.0_02년사업계획양식V1.0_고동욱_011205_02년사업계획양식V2.0_02년사업계획양식V3.0_02년사업계획양식V3.0" xfId="6596"/>
    <cellStyle name="7_전자99상결산진실_02년사업계획양식V1.0_02년사업계획양식V1.0_고동욱_011205_02년사업계획양식V2.0_02년사업계획양식V3.0_02년사업계획양식V3.0_02년사업계획양식V3.0" xfId="6597"/>
    <cellStyle name="7_전자99상결산진실_02년사업계획양식V1.0_02년사업계획양식V1.0_고동욱_011205_02년사업계획양식V2.0_02년사업계획양식V3.0_02년사업계획양식V3.0_02년사업계획양식V3.0(원본)" xfId="6598"/>
    <cellStyle name="7_전자99상결산진실_02년사업계획양식V1.0_02년사업계획양식V1.0_고동욱_011205_02년사업계획양식V2.0_02년사업계획양식V3.0_02년사업계획양식V3.0_02년사업계획양식V3.0(원본)_1" xfId="6599"/>
    <cellStyle name="7_전자99상결산진실_02년사업계획양식V1.0_02년사업계획양식V1.0_고동욱_011205_02년사업계획양식V3.0" xfId="6600"/>
    <cellStyle name="7_전자99상결산진실_02년사업계획양식V1.0_02년사업계획양식V1.0_고동욱_011205_02년사업계획양식V3.0_02년사업계획양식V3.0" xfId="6601"/>
    <cellStyle name="7_전자99상결산진실_02년사업계획양식V1.0_02년사업계획양식V1.0_고동욱_011205_02년사업계획양식V3.0_02년사업계획양식V3.0(원본)" xfId="6602"/>
    <cellStyle name="7_전자99상결산진실_02년사업계획양식V1.0_02년사업계획양식V1.0_고동욱_011205_02년사업계획양식V3.0_02년사업계획양식V3.0(원본)_1" xfId="6603"/>
    <cellStyle name="7_전자99상결산진실_02년사업계획양식V1.0_02년사업계획양식V1.0_대호(bs수정)" xfId="6604"/>
    <cellStyle name="7_전자99상결산진실_02년사업계획양식V1.0_02년사업계획양식V1.0_대호(bs수정)_02년사업계획양식V2.0" xfId="6605"/>
    <cellStyle name="7_전자99상결산진실_02년사업계획양식V1.0_02년사업계획양식V1.0_대호(bs수정)_02년사업계획양식V2.0_02년사업계획양식V2.0" xfId="6606"/>
    <cellStyle name="7_전자99상결산진실_02년사업계획양식V1.0_02년사업계획양식V1.0_대호(bs수정)_02년사업계획양식V2.0_02년사업계획양식V2.0_02년사업계획양식V3.0" xfId="6607"/>
    <cellStyle name="7_전자99상결산진실_02년사업계획양식V1.0_02년사업계획양식V1.0_대호(bs수정)_02년사업계획양식V2.0_02년사업계획양식V2.0_02년사업계획양식V3.0_02년사업계획양식V3.0" xfId="6608"/>
    <cellStyle name="7_전자99상결산진실_02년사업계획양식V1.0_02년사업계획양식V1.0_대호(bs수정)_02년사업계획양식V2.0_02년사업계획양식V2.0_02년사업계획양식V3.0_02년사업계획양식V3.0(원본)" xfId="6609"/>
    <cellStyle name="7_전자99상결산진실_02년사업계획양식V1.0_02년사업계획양식V1.0_대호(bs수정)_02년사업계획양식V2.0_02년사업계획양식V2.0_02년사업계획양식V3.0_02년사업계획양식V3.0(원본)_1" xfId="6610"/>
    <cellStyle name="7_전자99상결산진실_02년사업계획양식V1.0_02년사업계획양식V1.0_대호(bs수정)_02년사업계획양식V2.0_02년사업계획양식V3.0" xfId="6611"/>
    <cellStyle name="7_전자99상결산진실_02년사업계획양식V1.0_02년사업계획양식V1.0_대호(bs수정)_02년사업계획양식V2.0_02년사업계획양식V3.0(원본)" xfId="6612"/>
    <cellStyle name="7_전자99상결산진실_02년사업계획양식V1.0_02년사업계획양식V1.0_대호(bs수정)_02년사업계획양식V2.0_02년사업계획양식V3.0(원본)_1" xfId="6613"/>
    <cellStyle name="7_전자99상결산진실_02년사업계획양식V1.0_02년사업계획양식V1.0_대호(bs수정)_02년사업계획양식V2.0_02년사업계획양식V3.0_02년사업계획양식V3.0" xfId="6614"/>
    <cellStyle name="7_전자99상결산진실_02년사업계획양식V1.0_02년사업계획양식V1.0_대호(bs수정)_02년사업계획양식V2.0_02년사업계획양식V3.0_02년사업계획양식V3.0_02년사업계획양식V3.0" xfId="6615"/>
    <cellStyle name="7_전자99상결산진실_02년사업계획양식V1.0_02년사업계획양식V1.0_대호(bs수정)_02년사업계획양식V2.0_02년사업계획양식V3.0_02년사업계획양식V3.0_02년사업계획양식V3.0(원본)" xfId="6616"/>
    <cellStyle name="7_전자99상결산진실_02년사업계획양식V1.0_02년사업계획양식V1.0_대호(bs수정)_02년사업계획양식V2.0_02년사업계획양식V3.0_02년사업계획양식V3.0_02년사업계획양식V3.0(원본)_1" xfId="6617"/>
    <cellStyle name="7_전자99상결산진실_02년사업계획양식V1.0_02년사업계획양식V1.0_대호(bs수정)_02년사업계획양식V3.0" xfId="6618"/>
    <cellStyle name="7_전자99상결산진실_02년사업계획양식V1.0_02년사업계획양식V1.0_대호(bs수정)_02년사업계획양식V3.0_02년사업계획양식V3.0" xfId="6619"/>
    <cellStyle name="7_전자99상결산진실_02년사업계획양식V1.0_02년사업계획양식V1.0_대호(bs수정)_02년사업계획양식V3.0_02년사업계획양식V3.0(원본)" xfId="6620"/>
    <cellStyle name="7_전자99상결산진실_02년사업계획양식V1.0_02년사업계획양식V1.0_대호(bs수정)_02년사업계획양식V3.0_02년사업계획양식V3.0(원본)_1" xfId="6621"/>
    <cellStyle name="7_전자99상결산진실_02년사업계획양식V1.0_02년사업계획양식V2.0" xfId="6622"/>
    <cellStyle name="7_전자99상결산진실_02년사업계획양식V1.0_02년사업계획양식V2.0_02년사업계획양식V3.0" xfId="6623"/>
    <cellStyle name="7_전자99상결산진실_02년사업계획양식V1.0_02년사업계획양식V2.0_02년사업계획양식V3.0_02년사업계획양식V3.0" xfId="6624"/>
    <cellStyle name="7_전자99상결산진실_02년사업계획양식V1.0_02년사업계획양식V2.0_02년사업계획양식V3.0_02년사업계획양식V3.0(원본)" xfId="6625"/>
    <cellStyle name="7_전자99상결산진실_02년사업계획양식V1.0_02년사업계획양식V2.0_02년사업계획양식V3.0_02년사업계획양식V3.0(원본)_1" xfId="6626"/>
    <cellStyle name="7_전자99상결산진실_02년사업계획양식V1.0_02년사업계획양식V3.0" xfId="6627"/>
    <cellStyle name="7_전자99상결산진실_02년사업계획양식V1.0_02년사업계획양식V3.0(원본)" xfId="6628"/>
    <cellStyle name="7_전자99상결산진실_02년사업계획양식V1.0_02년사업계획양식V3.0(원본)_1" xfId="6629"/>
    <cellStyle name="7_전자99상결산진실_02년사업계획양식V1.0_02년사업계획양식V3.0_02년사업계획양식V3.0" xfId="6630"/>
    <cellStyle name="7_전자99상결산진실_02년사업계획양식V1.0_02년사업계획양식V3.0_02년사업계획양식V3.0_02년사업계획양식V3.0" xfId="6631"/>
    <cellStyle name="7_전자99상결산진실_02년사업계획양식V1.0_02년사업계획양식V3.0_02년사업계획양식V3.0_02년사업계획양식V3.0(원본)" xfId="6632"/>
    <cellStyle name="7_전자99상결산진실_02년사업계획양식V1.0_02년사업계획양식V3.0_02년사업계획양식V3.0_02년사업계획양식V3.0(원본)_1" xfId="6633"/>
    <cellStyle name="7_전자99상결산진실_02년사업계획양식V1.0_고동욱_011130" xfId="6634"/>
    <cellStyle name="7_전자99상결산진실_02년사업계획양식V1.0_고동욱_011130_02년사업계획양식V2.0" xfId="6635"/>
    <cellStyle name="7_전자99상결산진실_02년사업계획양식V1.0_고동욱_011130_02년사업계획양식V2.0_02년사업계획양식V2.0" xfId="6636"/>
    <cellStyle name="7_전자99상결산진실_02년사업계획양식V1.0_고동욱_011130_02년사업계획양식V2.0_02년사업계획양식V2.0_02년사업계획양식V3.0" xfId="6637"/>
    <cellStyle name="7_전자99상결산진실_02년사업계획양식V1.0_고동욱_011130_02년사업계획양식V2.0_02년사업계획양식V2.0_02년사업계획양식V3.0_02년사업계획양식V3.0" xfId="6638"/>
    <cellStyle name="7_전자99상결산진실_02년사업계획양식V1.0_고동욱_011130_02년사업계획양식V2.0_02년사업계획양식V2.0_02년사업계획양식V3.0_02년사업계획양식V3.0(원본)" xfId="6639"/>
    <cellStyle name="7_전자99상결산진실_02년사업계획양식V1.0_고동욱_011130_02년사업계획양식V2.0_02년사업계획양식V2.0_02년사업계획양식V3.0_02년사업계획양식V3.0(원본)_1" xfId="6640"/>
    <cellStyle name="7_전자99상결산진실_02년사업계획양식V1.0_고동욱_011130_02년사업계획양식V2.0_02년사업계획양식V3.0" xfId="6641"/>
    <cellStyle name="7_전자99상결산진실_02년사업계획양식V1.0_고동욱_011130_02년사업계획양식V2.0_02년사업계획양식V3.0(원본)" xfId="6642"/>
    <cellStyle name="7_전자99상결산진실_02년사업계획양식V1.0_고동욱_011130_02년사업계획양식V2.0_02년사업계획양식V3.0(원본)_1" xfId="6643"/>
    <cellStyle name="7_전자99상결산진실_02년사업계획양식V1.0_고동욱_011130_02년사업계획양식V2.0_02년사업계획양식V3.0_02년사업계획양식V3.0" xfId="6644"/>
    <cellStyle name="7_전자99상결산진실_02년사업계획양식V1.0_고동욱_011130_02년사업계획양식V2.0_02년사업계획양식V3.0_02년사업계획양식V3.0_02년사업계획양식V3.0" xfId="6645"/>
    <cellStyle name="7_전자99상결산진실_02년사업계획양식V1.0_고동욱_011130_02년사업계획양식V2.0_02년사업계획양식V3.0_02년사업계획양식V3.0_02년사업계획양식V3.0(원본)" xfId="6646"/>
    <cellStyle name="7_전자99상결산진실_02년사업계획양식V1.0_고동욱_011130_02년사업계획양식V2.0_02년사업계획양식V3.0_02년사업계획양식V3.0_02년사업계획양식V3.0(원본)_1" xfId="6647"/>
    <cellStyle name="7_전자99상결산진실_02년사업계획양식V1.0_고동욱_011130_02년사업계획양식V3.0" xfId="6648"/>
    <cellStyle name="7_전자99상결산진실_02년사업계획양식V1.0_고동욱_011130_02년사업계획양식V3.0_02년사업계획양식V3.0" xfId="6649"/>
    <cellStyle name="7_전자99상결산진실_02년사업계획양식V1.0_고동욱_011130_02년사업계획양식V3.0_02년사업계획양식V3.0(원본)" xfId="6650"/>
    <cellStyle name="7_전자99상결산진실_02년사업계획양식V1.0_고동욱_011130_02년사업계획양식V3.0_02년사업계획양식V3.0(원본)_1" xfId="6651"/>
    <cellStyle name="7_전자99상결산진실_02년사업계획양식V1.0_고동욱_011205" xfId="6652"/>
    <cellStyle name="7_전자99상결산진실_02년사업계획양식V1.0_고동욱_011205_02년사업계획양식V2.0" xfId="6653"/>
    <cellStyle name="7_전자99상결산진실_02년사업계획양식V1.0_고동욱_011205_02년사업계획양식V2.0_02년사업계획양식V2.0" xfId="6654"/>
    <cellStyle name="7_전자99상결산진실_02년사업계획양식V1.0_고동욱_011205_02년사업계획양식V2.0_02년사업계획양식V2.0_02년사업계획양식V3.0" xfId="6655"/>
    <cellStyle name="7_전자99상결산진실_02년사업계획양식V1.0_고동욱_011205_02년사업계획양식V2.0_02년사업계획양식V2.0_02년사업계획양식V3.0_02년사업계획양식V3.0" xfId="6656"/>
    <cellStyle name="7_전자99상결산진실_02년사업계획양식V1.0_고동욱_011205_02년사업계획양식V2.0_02년사업계획양식V2.0_02년사업계획양식V3.0_02년사업계획양식V3.0(원본)" xfId="6657"/>
    <cellStyle name="7_전자99상결산진실_02년사업계획양식V1.0_고동욱_011205_02년사업계획양식V2.0_02년사업계획양식V2.0_02년사업계획양식V3.0_02년사업계획양식V3.0(원본)_1" xfId="6658"/>
    <cellStyle name="7_전자99상결산진실_02년사업계획양식V1.0_고동욱_011205_02년사업계획양식V2.0_02년사업계획양식V3.0" xfId="6659"/>
    <cellStyle name="7_전자99상결산진실_02년사업계획양식V1.0_고동욱_011205_02년사업계획양식V2.0_02년사업계획양식V3.0(원본)" xfId="6660"/>
    <cellStyle name="7_전자99상결산진실_02년사업계획양식V1.0_고동욱_011205_02년사업계획양식V2.0_02년사업계획양식V3.0(원본)_1" xfId="6661"/>
    <cellStyle name="7_전자99상결산진실_02년사업계획양식V1.0_고동욱_011205_02년사업계획양식V2.0_02년사업계획양식V3.0_02년사업계획양식V3.0" xfId="6662"/>
    <cellStyle name="7_전자99상결산진실_02년사업계획양식V1.0_고동욱_011205_02년사업계획양식V2.0_02년사업계획양식V3.0_02년사업계획양식V3.0_02년사업계획양식V3.0" xfId="6663"/>
    <cellStyle name="7_전자99상결산진실_02년사업계획양식V1.0_고동욱_011205_02년사업계획양식V2.0_02년사업계획양식V3.0_02년사업계획양식V3.0_02년사업계획양식V3.0(원본)" xfId="6664"/>
    <cellStyle name="7_전자99상결산진실_02년사업계획양식V1.0_고동욱_011205_02년사업계획양식V2.0_02년사업계획양식V3.0_02년사업계획양식V3.0_02년사업계획양식V3.0(원본)_1" xfId="6665"/>
    <cellStyle name="7_전자99상결산진실_02년사업계획양식V1.0_고동욱_011205_02년사업계획양식V3.0" xfId="6666"/>
    <cellStyle name="7_전자99상결산진실_02년사업계획양식V1.0_고동욱_011205_02년사업계획양식V3.0_02년사업계획양식V3.0" xfId="6667"/>
    <cellStyle name="7_전자99상결산진실_02년사업계획양식V1.0_고동욱_011205_02년사업계획양식V3.0_02년사업계획양식V3.0(원본)" xfId="6668"/>
    <cellStyle name="7_전자99상결산진실_02년사업계획양식V1.0_고동욱_011205_02년사업계획양식V3.0_02년사업계획양식V3.0(원본)_1" xfId="6669"/>
    <cellStyle name="7_전자99상결산진실_02년사업계획양식V1.0_대호(bs수정)" xfId="6670"/>
    <cellStyle name="7_전자99상결산진실_02년사업계획양식V1.0_대호(bs수정)_02년사업계획양식V2.0" xfId="6671"/>
    <cellStyle name="7_전자99상결산진실_02년사업계획양식V1.0_대호(bs수정)_02년사업계획양식V2.0_02년사업계획양식V2.0" xfId="6672"/>
    <cellStyle name="7_전자99상결산진실_02년사업계획양식V1.0_대호(bs수정)_02년사업계획양식V2.0_02년사업계획양식V2.0_02년사업계획양식V3.0" xfId="6673"/>
    <cellStyle name="7_전자99상결산진실_02년사업계획양식V1.0_대호(bs수정)_02년사업계획양식V2.0_02년사업계획양식V2.0_02년사업계획양식V3.0_02년사업계획양식V3.0" xfId="6674"/>
    <cellStyle name="7_전자99상결산진실_02년사업계획양식V1.0_대호(bs수정)_02년사업계획양식V2.0_02년사업계획양식V2.0_02년사업계획양식V3.0_02년사업계획양식V3.0(원본)" xfId="6675"/>
    <cellStyle name="7_전자99상결산진실_02년사업계획양식V1.0_대호(bs수정)_02년사업계획양식V2.0_02년사업계획양식V2.0_02년사업계획양식V3.0_02년사업계획양식V3.0(원본)_1" xfId="6676"/>
    <cellStyle name="7_전자99상결산진실_02년사업계획양식V1.0_대호(bs수정)_02년사업계획양식V2.0_02년사업계획양식V3.0" xfId="6677"/>
    <cellStyle name="7_전자99상결산진실_02년사업계획양식V1.0_대호(bs수정)_02년사업계획양식V2.0_02년사업계획양식V3.0(원본)" xfId="6678"/>
    <cellStyle name="7_전자99상결산진실_02년사업계획양식V1.0_대호(bs수정)_02년사업계획양식V2.0_02년사업계획양식V3.0(원본)_1" xfId="6679"/>
    <cellStyle name="7_전자99상결산진실_02년사업계획양식V1.0_대호(bs수정)_02년사업계획양식V2.0_02년사업계획양식V3.0_02년사업계획양식V3.0" xfId="6680"/>
    <cellStyle name="7_전자99상결산진실_02년사업계획양식V1.0_대호(bs수정)_02년사업계획양식V2.0_02년사업계획양식V3.0_02년사업계획양식V3.0_02년사업계획양식V3.0" xfId="6681"/>
    <cellStyle name="7_전자99상결산진실_02년사업계획양식V1.0_대호(bs수정)_02년사업계획양식V2.0_02년사업계획양식V3.0_02년사업계획양식V3.0_02년사업계획양식V3.0(원본)" xfId="6682"/>
    <cellStyle name="7_전자99상결산진실_02년사업계획양식V1.0_대호(bs수정)_02년사업계획양식V2.0_02년사업계획양식V3.0_02년사업계획양식V3.0_02년사업계획양식V3.0(원본)_1" xfId="6683"/>
    <cellStyle name="7_전자99상결산진실_02년사업계획양식V1.0_대호(bs수정)_02년사업계획양식V3.0" xfId="6684"/>
    <cellStyle name="7_전자99상결산진실_02년사업계획양식V1.0_대호(bs수정)_02년사업계획양식V3.0_02년사업계획양식V3.0" xfId="6685"/>
    <cellStyle name="7_전자99상결산진실_02년사업계획양식V1.0_대호(bs수정)_02년사업계획양식V3.0_02년사업계획양식V3.0(원본)" xfId="6686"/>
    <cellStyle name="7_전자99상결산진실_02년사업계획양식V1.0_대호(bs수정)_02년사업계획양식V3.0_02년사업계획양식V3.0(원본)_1" xfId="6687"/>
    <cellStyle name="7_전자99상결산진실_02년사업계획양식V2.0" xfId="6688"/>
    <cellStyle name="7_전자99상결산진실_02년사업계획양식V2.0_02년사업계획양식V3.0" xfId="6689"/>
    <cellStyle name="7_전자99상결산진실_02년사업계획양식V2.0_02년사업계획양식V3.0_02년사업계획양식V3.0" xfId="6690"/>
    <cellStyle name="7_전자99상결산진실_02년사업계획양식V2.0_02년사업계획양식V3.0_02년사업계획양식V3.0(원본)" xfId="6691"/>
    <cellStyle name="7_전자99상결산진실_02년사업계획양식V2.0_02년사업계획양식V3.0_02년사업계획양식V3.0(원본)_1" xfId="6692"/>
    <cellStyle name="7_전자99상결산진실_02년사업계획양식V3.0" xfId="6693"/>
    <cellStyle name="7_전자99상결산진실_02년사업계획양식V3.0(원본)" xfId="6694"/>
    <cellStyle name="7_전자99상결산진실_02년사업계획양식V3.0(원본)_1" xfId="6695"/>
    <cellStyle name="7_전자99상결산진실_02년사업계획양식V3.0_02년사업계획양식V3.0" xfId="6696"/>
    <cellStyle name="7_전자99상결산진실_02년사업계획양식V3.0_02년사업계획양식V3.0_02년사업계획양식V3.0" xfId="6697"/>
    <cellStyle name="7_전자99상결산진실_02년사업계획양식V3.0_02년사업계획양식V3.0_02년사업계획양식V3.0(원본)" xfId="6698"/>
    <cellStyle name="7_전자99상결산진실_02년사업계획양식V3.0_02년사업계획양식V3.0_02년사업계획양식V3.0(원본)_1" xfId="6699"/>
    <cellStyle name="7_전자99상결산진실_02년예상+연결기초자료+이익율+배당금+경영지원금" xfId="6700"/>
    <cellStyle name="7_전자99상결산진실_02년예상+연결자료(GSM)" xfId="6701"/>
    <cellStyle name="7_전자99상결산진실_02혁신_종합장표" xfId="6702"/>
    <cellStyle name="7_전자99상결산진실_03 01 10 혁신(사업부양식)" xfId="6703"/>
    <cellStyle name="7_전자99상결산진실_03_사업계획양식(MASS_Link)_1104" xfId="6704"/>
    <cellStyle name="7_전자99상결산진실_030124 혁신재료비9" xfId="6705"/>
    <cellStyle name="7_전자99상결산진실_03기본_종합장표" xfId="6706"/>
    <cellStyle name="7_전자99상결산진실_03법인비용_회수양식_AC" xfId="6707"/>
    <cellStyle name="7_전자99상결산진실_03혁신_종합장표" xfId="6708"/>
    <cellStyle name="7_전자99상결산진실_10월차이동계획" xfId="6709"/>
    <cellStyle name="7_전자99상결산진실_10월차이동계획_01년간예상손익(12월이동)" xfId="6710"/>
    <cellStyle name="7_전자99상결산진실_10월차이동계획_01년간예상손익(12월이동)_2" xfId="6711"/>
    <cellStyle name="7_전자99상결산진실_10월차이동계획_02년 2월 이동_예상손익" xfId="6712"/>
    <cellStyle name="7_전자99상결산진실_10월차이동계획_02년 2월 이동_예상손익_1" xfId="6713"/>
    <cellStyle name="7_전자99상결산진실_10월차이동계획_02년 3월 이동_예상손익(전사취합)" xfId="6714"/>
    <cellStyle name="7_전자99상결산진실_10월차이동계획_02년 6월 이동_예상손익(전사취합)" xfId="6715"/>
    <cellStyle name="7_전자99상결산진실_10월차이동계획_02년간예상손익" xfId="6716"/>
    <cellStyle name="7_전자99상결산진실_10월차이동계획_04월 이동계획_전사예상pl" xfId="6717"/>
    <cellStyle name="7_전자99상결산진실_10월차이동계획_1월이동손익_전사예상pl" xfId="6718"/>
    <cellStyle name="7_전자99상결산진실_10월차이동계획_obu별손익0112이동" xfId="6719"/>
    <cellStyle name="7_전자99상결산진실_2001년 01월차 이동계획_0102" xfId="6720"/>
    <cellStyle name="7_전자99상결산진실_2001년 01월차 이동계획_0102_2001년 05월 이동계획_" xfId="6721"/>
    <cellStyle name="7_전자99상결산진실_2001년 01월차 이동계획_0102_2001년 06월 이동계획_(Maximum)" xfId="6722"/>
    <cellStyle name="7_전자99상결산진실_2001년 01월차 이동계획_0102_2001년 07월차 이동계획보고_" xfId="6723"/>
    <cellStyle name="7_전자99상결산진실_2001년 01월차 이동계획_0102_2002년_02월차_이동계획보고_" xfId="6724"/>
    <cellStyle name="7_전자99상결산진실_2001년 01월차 이동계획_0102_2002년_03월차_이동계획보고_" xfId="6725"/>
    <cellStyle name="7_전자99상결산진실_2001년 01월차 이동계획_0102_2002년_03월차_이동계획보고_1차수정" xfId="6726"/>
    <cellStyle name="7_전자99상결산진실_2001년 01월차 이동계획_0102_2002년_05월차_이동계획보고_" xfId="6727"/>
    <cellStyle name="7_전자99상결산진실_2001년 01월차 이동계획_0102_2002년_06월차_이동계획보고_기종별수정" xfId="6728"/>
    <cellStyle name="7_전자99상결산진실_2001년 01월차 이동계획_0102_2002년_07월차_이동계획보고_수정중_철판 반영후_최종" xfId="6729"/>
    <cellStyle name="7_전자99상결산진실_2001년 01월차 이동계획_0102_2002년_07월차_이동계획보고_수정중0628_2" xfId="6730"/>
    <cellStyle name="7_전자99상결산진실_2001년 01월차 이동계획_0102_VVR0J9DV" xfId="6731"/>
    <cellStyle name="7_전자99상결산진실_2001년 02월 실적예상_02월21일기준" xfId="6732"/>
    <cellStyle name="7_전자99상결산진실_2001년 02월 실적예상_02월21일기준_2001년 05월 이동계획_" xfId="6733"/>
    <cellStyle name="7_전자99상결산진실_2001년 02월 실적예상_02월21일기준_2001년 06월 이동계획_(Maximum)" xfId="6734"/>
    <cellStyle name="7_전자99상결산진실_2001년 02월 실적예상_02월21일기준_2001년 07월차 이동계획보고_" xfId="6735"/>
    <cellStyle name="7_전자99상결산진실_2001년 02월 실적예상_02월21일기준_2002년_02월차_이동계획보고_" xfId="6736"/>
    <cellStyle name="7_전자99상결산진실_2001년 02월 실적예상_02월21일기준_2002년_03월차_이동계획보고_" xfId="6737"/>
    <cellStyle name="7_전자99상결산진실_2001년 02월 실적예상_02월21일기준_2002년_03월차_이동계획보고_1차수정" xfId="6738"/>
    <cellStyle name="7_전자99상결산진실_2001년 02월 실적예상_02월21일기준_2002년_05월차_이동계획보고_" xfId="6739"/>
    <cellStyle name="7_전자99상결산진실_2001년 02월 실적예상_02월21일기준_2002년_06월차_이동계획보고_기종별수정" xfId="6740"/>
    <cellStyle name="7_전자99상결산진실_2001년 02월 실적예상_02월21일기준_2002년_07월차_이동계획보고_수정중_철판 반영후_최종" xfId="6741"/>
    <cellStyle name="7_전자99상결산진실_2001년 02월 실적예상_02월21일기준_2002년_07월차_이동계획보고_수정중0628_2" xfId="6742"/>
    <cellStyle name="7_전자99상결산진실_2001년 02월 실적예상_02월21일기준_VVR0J9DV" xfId="6743"/>
    <cellStyle name="7_전자99상결산진실_2001년 02월차 이동계획_" xfId="6744"/>
    <cellStyle name="7_전자99상결산진실_2001년 02월차 이동계획__2001년 05월 이동계획_" xfId="6745"/>
    <cellStyle name="7_전자99상결산진실_2001년 02월차 이동계획__2001년 06월 이동계획_(Maximum)" xfId="6746"/>
    <cellStyle name="7_전자99상결산진실_2001년 02월차 이동계획__2001년 07월차 이동계획보고_" xfId="6747"/>
    <cellStyle name="7_전자99상결산진실_2001년 02월차 이동계획__2002년_02월차_이동계획보고_" xfId="6748"/>
    <cellStyle name="7_전자99상결산진실_2001년 02월차 이동계획__2002년_03월차_이동계획보고_" xfId="6749"/>
    <cellStyle name="7_전자99상결산진실_2001년 02월차 이동계획__2002년_03월차_이동계획보고_1차수정" xfId="6750"/>
    <cellStyle name="7_전자99상결산진실_2001년 02월차 이동계획__2002년_05월차_이동계획보고_" xfId="6751"/>
    <cellStyle name="7_전자99상결산진실_2001년 02월차 이동계획__2002년_06월차_이동계획보고_기종별수정" xfId="6752"/>
    <cellStyle name="7_전자99상결산진실_2001년 02월차 이동계획__2002년_07월차_이동계획보고_수정중_철판 반영후_최종" xfId="6753"/>
    <cellStyle name="7_전자99상결산진실_2001년 02월차 이동계획__2002년_07월차_이동계획보고_수정중0628_2" xfId="6754"/>
    <cellStyle name="7_전자99상결산진실_2001년 02월차 이동계획__VVR0J9DV" xfId="6755"/>
    <cellStyle name="7_전자99상결산진실_2002년_월별사업계획전산_DM" xfId="6756"/>
    <cellStyle name="7_전자99상결산진실_2002년_월별사업계획전산_DM_02년사업계획양식V1.0_대호(bs수정)" xfId="6757"/>
    <cellStyle name="7_전자99상결산진실_2002년_월별사업계획전산_DM_02년사업계획양식V1.0_대호(bs수정)_02년사업계획양식V2.0" xfId="6758"/>
    <cellStyle name="7_전자99상결산진실_2002년_월별사업계획전산_DM_02년사업계획양식V1.0_대호(bs수정)_02년사업계획양식V2.0_02년사업계획양식V2.0" xfId="6759"/>
    <cellStyle name="7_전자99상결산진실_2002년_월별사업계획전산_DM_02년사업계획양식V1.0_대호(bs수정)_02년사업계획양식V2.0_02년사업계획양식V2.0_02년사업계획양식V3.0" xfId="6760"/>
    <cellStyle name="7_전자99상결산진실_2002년_월별사업계획전산_DM_02년사업계획양식V1.0_대호(bs수정)_02년사업계획양식V2.0_02년사업계획양식V2.0_02년사업계획양식V3.0_02년사업계획양식V3.0" xfId="6761"/>
    <cellStyle name="7_전자99상결산진실_2002년_월별사업계획전산_DM_02년사업계획양식V1.0_대호(bs수정)_02년사업계획양식V2.0_02년사업계획양식V2.0_02년사업계획양식V3.0_02년사업계획양식V3.0(원본)" xfId="6762"/>
    <cellStyle name="7_전자99상결산진실_2002년_월별사업계획전산_DM_02년사업계획양식V1.0_대호(bs수정)_02년사업계획양식V2.0_02년사업계획양식V2.0_02년사업계획양식V3.0_02년사업계획양식V3.0(원본)_1" xfId="6763"/>
    <cellStyle name="7_전자99상결산진실_2002년_월별사업계획전산_DM_02년사업계획양식V1.0_대호(bs수정)_02년사업계획양식V2.0_02년사업계획양식V3.0" xfId="6764"/>
    <cellStyle name="7_전자99상결산진실_2002년_월별사업계획전산_DM_02년사업계획양식V1.0_대호(bs수정)_02년사업계획양식V2.0_02년사업계획양식V3.0(원본)" xfId="6765"/>
    <cellStyle name="7_전자99상결산진실_2002년_월별사업계획전산_DM_02년사업계획양식V1.0_대호(bs수정)_02년사업계획양식V2.0_02년사업계획양식V3.0(원본)_1" xfId="6766"/>
    <cellStyle name="7_전자99상결산진실_2002년_월별사업계획전산_DM_02년사업계획양식V1.0_대호(bs수정)_02년사업계획양식V2.0_02년사업계획양식V3.0_02년사업계획양식V3.0" xfId="6767"/>
    <cellStyle name="7_전자99상결산진실_2002년_월별사업계획전산_DM_02년사업계획양식V1.0_대호(bs수정)_02년사업계획양식V2.0_02년사업계획양식V3.0_02년사업계획양식V3.0_02년사업계획양식V3.0" xfId="6768"/>
    <cellStyle name="7_전자99상결산진실_2002년_월별사업계획전산_DM_02년사업계획양식V1.0_대호(bs수정)_02년사업계획양식V2.0_02년사업계획양식V3.0_02년사업계획양식V3.0_02년사업계획양식V3.0(원본)" xfId="6769"/>
    <cellStyle name="7_전자99상결산진실_2002년_월별사업계획전산_DM_02년사업계획양식V1.0_대호(bs수정)_02년사업계획양식V2.0_02년사업계획양식V3.0_02년사업계획양식V3.0_02년사업계획양식V3.0(원본)_1" xfId="6770"/>
    <cellStyle name="7_전자99상결산진실_2002년_월별사업계획전산_DM_02년사업계획양식V1.0_대호(bs수정)_02년사업계획양식V3.0" xfId="6771"/>
    <cellStyle name="7_전자99상결산진실_2002년_월별사업계획전산_DM_02년사업계획양식V1.0_대호(bs수정)_02년사업계획양식V3.0_02년사업계획양식V3.0" xfId="6772"/>
    <cellStyle name="7_전자99상결산진실_2002년_월별사업계획전산_DM_02년사업계획양식V1.0_대호(bs수정)_02년사업계획양식V3.0_02년사업계획양식V3.0(원본)" xfId="6773"/>
    <cellStyle name="7_전자99상결산진실_2002년_월별사업계획전산_DM_02년사업계획양식V1.0_대호(bs수정)_02년사업계획양식V3.0_02년사업계획양식V3.0(원본)_1" xfId="6774"/>
    <cellStyle name="7_전자99상결산진실_2002년_월별사업계획전산_DM_02년사업계획양식V2.0" xfId="6775"/>
    <cellStyle name="7_전자99상결산진실_2002년_월별사업계획전산_DM_02년사업계획양식V2.0_02년사업계획양식V3.0" xfId="6776"/>
    <cellStyle name="7_전자99상결산진실_2002년_월별사업계획전산_DM_02년사업계획양식V2.0_02년사업계획양식V3.0_02년사업계획양식V3.0" xfId="6777"/>
    <cellStyle name="7_전자99상결산진실_2002년_월별사업계획전산_DM_02년사업계획양식V2.0_02년사업계획양식V3.0_02년사업계획양식V3.0(원본)" xfId="6778"/>
    <cellStyle name="7_전자99상결산진실_2002년_월별사업계획전산_DM_02년사업계획양식V2.0_02년사업계획양식V3.0_02년사업계획양식V3.0(원본)_1" xfId="6779"/>
    <cellStyle name="7_전자99상결산진실_2002년_월별사업계획전산_DM_02년사업계획양식V3.0" xfId="6780"/>
    <cellStyle name="7_전자99상결산진실_2002년_월별사업계획전산_DM_02년사업계획양식V3.0(원본)" xfId="6781"/>
    <cellStyle name="7_전자99상결산진실_2002년_월별사업계획전산_DM_02년사업계획양식V3.0(원본)_1" xfId="6782"/>
    <cellStyle name="7_전자99상결산진실_2002년_월별사업계획전산_DM_02년사업계획양식V3.0_02년사업계획양식V3.0" xfId="6783"/>
    <cellStyle name="7_전자99상결산진실_2002년_월별사업계획전산_DM_02년사업계획양식V3.0_02년사업계획양식V3.0_02년사업계획양식V3.0" xfId="6784"/>
    <cellStyle name="7_전자99상결산진실_2002년_월별사업계획전산_DM_02년사업계획양식V3.0_02년사업계획양식V3.0_02년사업계획양식V3.0(원본)" xfId="6785"/>
    <cellStyle name="7_전자99상결산진실_2002년_월별사업계획전산_DM_02년사업계획양식V3.0_02년사업계획양식V3.0_02년사업계획양식V3.0(원본)_1" xfId="6786"/>
    <cellStyle name="7_전자99상결산진실_5월이동_전사손익" xfId="6787"/>
    <cellStyle name="7_전자99상결산진실_5월이동_전사손익_01년간예상손익(12월이동)" xfId="6788"/>
    <cellStyle name="7_전자99상결산진실_5월이동_전사손익_01년간예상손익(12월이동)_2" xfId="6789"/>
    <cellStyle name="7_전자99상결산진실_5월이동_전사손익_01매출손익(6월 실적반영)" xfId="6790"/>
    <cellStyle name="7_전자99상결산진실_5월이동_전사손익_01매출손익(6월 실적반영)_01년간예상손익(12월이동)" xfId="6791"/>
    <cellStyle name="7_전자99상결산진실_5월이동_전사손익_01매출손익(6월 실적반영)_01년간예상손익(12월이동)_2" xfId="6792"/>
    <cellStyle name="7_전자99상결산진실_5월이동_전사손익_01매출손익(6월 실적반영)_02년 2월 이동_예상손익" xfId="6793"/>
    <cellStyle name="7_전자99상결산진실_5월이동_전사손익_01매출손익(6월 실적반영)_02년 2월 이동_예상손익_1" xfId="6794"/>
    <cellStyle name="7_전자99상결산진실_5월이동_전사손익_01매출손익(6월 실적반영)_02년 3월 이동_예상손익(전사취합)" xfId="6795"/>
    <cellStyle name="7_전자99상결산진실_5월이동_전사손익_01매출손익(6월 실적반영)_02년 6월 이동_예상손익(전사취합)" xfId="6796"/>
    <cellStyle name="7_전자99상결산진실_5월이동_전사손익_01매출손익(6월 실적반영)_02년간예상손익" xfId="6797"/>
    <cellStyle name="7_전자99상결산진실_5월이동_전사손익_01매출손익(6월 실적반영)_04월 이동계획_전사예상pl" xfId="6798"/>
    <cellStyle name="7_전자99상결산진실_5월이동_전사손익_01매출손익(6월 실적반영)_1월이동손익_전사예상pl" xfId="6799"/>
    <cellStyle name="7_전자99상결산진실_5월이동_전사손익_01매출손익(6월 실적반영)_obu별손익0112이동" xfId="6800"/>
    <cellStyle name="7_전자99상결산진실_5월이동_전사손익_02년 2월 이동_예상손익" xfId="6801"/>
    <cellStyle name="7_전자99상결산진실_5월이동_전사손익_02년 2월 이동_예상손익_1" xfId="6802"/>
    <cellStyle name="7_전자99상결산진실_5월이동_전사손익_02년 3월 이동_예상손익(전사취합)" xfId="6803"/>
    <cellStyle name="7_전자99상결산진실_5월이동_전사손익_02년 6월 이동_예상손익(전사취합)" xfId="6804"/>
    <cellStyle name="7_전자99상결산진실_5월이동_전사손익_02년간예상손익" xfId="6805"/>
    <cellStyle name="7_전자99상결산진실_5월이동_전사손익_04월 이동계획_전사예상pl" xfId="6806"/>
    <cellStyle name="7_전자99상결산진실_5월이동_전사손익_06전사손익" xfId="6807"/>
    <cellStyle name="7_전자99상결산진실_5월이동_전사손익_06전사손익_01년간예상손익(12월이동)" xfId="6808"/>
    <cellStyle name="7_전자99상결산진실_5월이동_전사손익_06전사손익_01년간예상손익(12월이동)_2" xfId="6809"/>
    <cellStyle name="7_전자99상결산진실_5월이동_전사손익_06전사손익_01매출손익(6월 실적반영)" xfId="6810"/>
    <cellStyle name="7_전자99상결산진실_5월이동_전사손익_06전사손익_01매출손익(6월 실적반영)_01년간예상손익(12월이동)" xfId="6811"/>
    <cellStyle name="7_전자99상결산진실_5월이동_전사손익_06전사손익_01매출손익(6월 실적반영)_01년간예상손익(12월이동)_2" xfId="6812"/>
    <cellStyle name="7_전자99상결산진실_5월이동_전사손익_06전사손익_01매출손익(6월 실적반영)_02년 2월 이동_예상손익" xfId="6813"/>
    <cellStyle name="7_전자99상결산진실_5월이동_전사손익_06전사손익_01매출손익(6월 실적반영)_02년 2월 이동_예상손익_1" xfId="6814"/>
    <cellStyle name="7_전자99상결산진실_5월이동_전사손익_06전사손익_01매출손익(6월 실적반영)_02년 3월 이동_예상손익(전사취합)" xfId="6815"/>
    <cellStyle name="7_전자99상결산진실_5월이동_전사손익_06전사손익_01매출손익(6월 실적반영)_02년 6월 이동_예상손익(전사취합)" xfId="6816"/>
    <cellStyle name="7_전자99상결산진실_5월이동_전사손익_06전사손익_01매출손익(6월 실적반영)_02년간예상손익" xfId="6817"/>
    <cellStyle name="7_전자99상결산진실_5월이동_전사손익_06전사손익_01매출손익(6월 실적반영)_04월 이동계획_전사예상pl" xfId="6818"/>
    <cellStyle name="7_전자99상결산진실_5월이동_전사손익_06전사손익_01매출손익(6월 실적반영)_1월이동손익_전사예상pl" xfId="6819"/>
    <cellStyle name="7_전자99상결산진실_5월이동_전사손익_06전사손익_01매출손익(6월 실적반영)_obu별손익0112이동" xfId="6820"/>
    <cellStyle name="7_전자99상결산진실_5월이동_전사손익_06전사손익_02년 2월 이동_예상손익" xfId="6821"/>
    <cellStyle name="7_전자99상결산진실_5월이동_전사손익_06전사손익_02년 2월 이동_예상손익_1" xfId="6822"/>
    <cellStyle name="7_전자99상결산진실_5월이동_전사손익_06전사손익_02년 3월 이동_예상손익(전사취합)" xfId="6823"/>
    <cellStyle name="7_전자99상결산진실_5월이동_전사손익_06전사손익_02년 6월 이동_예상손익(전사취합)" xfId="6824"/>
    <cellStyle name="7_전자99상결산진실_5월이동_전사손익_06전사손익_02년간예상손익" xfId="6825"/>
    <cellStyle name="7_전자99상결산진실_5월이동_전사손익_06전사손익_04월 이동계획_전사예상pl" xfId="6826"/>
    <cellStyle name="7_전자99상결산진실_5월이동_전사손익_06전사손익_1월이동손익_전사예상pl" xfId="6827"/>
    <cellStyle name="7_전자99상결산진실_5월이동_전사손익_06전사손익_8월예상" xfId="6828"/>
    <cellStyle name="7_전자99상결산진실_5월이동_전사손익_06전사손익_8월예상_01년간예상손익(12월이동)" xfId="6829"/>
    <cellStyle name="7_전자99상결산진실_5월이동_전사손익_06전사손익_8월예상_01년간예상손익(12월이동)_2" xfId="6830"/>
    <cellStyle name="7_전자99상결산진실_5월이동_전사손익_06전사손익_8월예상_02년 2월 이동_예상손익" xfId="6831"/>
    <cellStyle name="7_전자99상결산진실_5월이동_전사손익_06전사손익_8월예상_02년 2월 이동_예상손익_1" xfId="6832"/>
    <cellStyle name="7_전자99상결산진실_5월이동_전사손익_06전사손익_8월예상_02년 3월 이동_예상손익(전사취합)" xfId="6833"/>
    <cellStyle name="7_전자99상결산진실_5월이동_전사손익_06전사손익_8월예상_02년 6월 이동_예상손익(전사취합)" xfId="6834"/>
    <cellStyle name="7_전자99상결산진실_5월이동_전사손익_06전사손익_8월예상_02년간예상손익" xfId="6835"/>
    <cellStyle name="7_전자99상결산진실_5월이동_전사손익_06전사손익_8월예상_04월 이동계획_전사예상pl" xfId="6836"/>
    <cellStyle name="7_전자99상결산진실_5월이동_전사손익_06전사손익_8월예상_1월이동손익_전사예상pl" xfId="6837"/>
    <cellStyle name="7_전자99상결산진실_5월이동_전사손익_06전사손익_8월예상_obu별손익0112이동" xfId="6838"/>
    <cellStyle name="7_전자99상결산진실_5월이동_전사손익_06전사손익_9-12월예상pl" xfId="6839"/>
    <cellStyle name="7_전자99상결산진실_5월이동_전사손익_06전사손익_9-12월예상pl_01년간예상손익(12월이동)" xfId="6840"/>
    <cellStyle name="7_전자99상결산진실_5월이동_전사손익_06전사손익_9-12월예상pl_01년간예상손익(12월이동)_2" xfId="6841"/>
    <cellStyle name="7_전자99상결산진실_5월이동_전사손익_06전사손익_9-12월예상pl_02년 2월 이동_예상손익" xfId="6842"/>
    <cellStyle name="7_전자99상결산진실_5월이동_전사손익_06전사손익_9-12월예상pl_02년 2월 이동_예상손익_1" xfId="6843"/>
    <cellStyle name="7_전자99상결산진실_5월이동_전사손익_06전사손익_9-12월예상pl_02년 3월 이동_예상손익(전사취합)" xfId="6844"/>
    <cellStyle name="7_전자99상결산진실_5월이동_전사손익_06전사손익_9-12월예상pl_02년 6월 이동_예상손익(전사취합)" xfId="6845"/>
    <cellStyle name="7_전자99상결산진실_5월이동_전사손익_06전사손익_9-12월예상pl_02년간예상손익" xfId="6846"/>
    <cellStyle name="7_전자99상결산진실_5월이동_전사손익_06전사손익_9-12월예상pl_04월 이동계획_전사예상pl" xfId="6847"/>
    <cellStyle name="7_전자99상결산진실_5월이동_전사손익_06전사손익_9-12월예상pl_1월이동손익_전사예상pl" xfId="6848"/>
    <cellStyle name="7_전자99상결산진실_5월이동_전사손익_06전사손익_9-12월예상pl_obu별손익0112이동" xfId="6849"/>
    <cellStyle name="7_전자99상결산진실_5월이동_전사손익_06전사손익_obu별손익0112이동" xfId="6850"/>
    <cellStyle name="7_전자99상결산진실_5월이동_전사손익_06전사손익_상반기_연간손익정리(서대호)" xfId="6851"/>
    <cellStyle name="7_전자99상결산진실_5월이동_전사손익_06전사손익_상반기_연간손익정리(서대호)_01년간예상손익(12월이동)" xfId="6852"/>
    <cellStyle name="7_전자99상결산진실_5월이동_전사손익_06전사손익_상반기_연간손익정리(서대호)_01년간예상손익(12월이동)_2" xfId="6853"/>
    <cellStyle name="7_전자99상결산진실_5월이동_전사손익_06전사손익_상반기_연간손익정리(서대호)_01매출손익(6월 실적반영)" xfId="6854"/>
    <cellStyle name="7_전자99상결산진실_5월이동_전사손익_06전사손익_상반기_연간손익정리(서대호)_01매출손익(6월 실적반영)_01년간예상손익(12월이동)" xfId="6855"/>
    <cellStyle name="7_전자99상결산진실_5월이동_전사손익_06전사손익_상반기_연간손익정리(서대호)_01매출손익(6월 실적반영)_01년간예상손익(12월이동)_2" xfId="6856"/>
    <cellStyle name="7_전자99상결산진실_5월이동_전사손익_06전사손익_상반기_연간손익정리(서대호)_01매출손익(6월 실적반영)_02년 2월 이동_예상손익" xfId="6857"/>
    <cellStyle name="7_전자99상결산진실_5월이동_전사손익_06전사손익_상반기_연간손익정리(서대호)_01매출손익(6월 실적반영)_02년 2월 이동_예상손익_1" xfId="6858"/>
    <cellStyle name="7_전자99상결산진실_5월이동_전사손익_06전사손익_상반기_연간손익정리(서대호)_01매출손익(6월 실적반영)_02년 3월 이동_예상손익(전사취합)" xfId="6859"/>
    <cellStyle name="7_전자99상결산진실_5월이동_전사손익_06전사손익_상반기_연간손익정리(서대호)_01매출손익(6월 실적반영)_02년 6월 이동_예상손익(전사취합)" xfId="6860"/>
    <cellStyle name="7_전자99상결산진실_5월이동_전사손익_06전사손익_상반기_연간손익정리(서대호)_01매출손익(6월 실적반영)_02년간예상손익" xfId="6861"/>
    <cellStyle name="7_전자99상결산진실_5월이동_전사손익_06전사손익_상반기_연간손익정리(서대호)_01매출손익(6월 실적반영)_04월 이동계획_전사예상pl" xfId="6862"/>
    <cellStyle name="7_전자99상결산진실_5월이동_전사손익_06전사손익_상반기_연간손익정리(서대호)_01매출손익(6월 실적반영)_1월이동손익_전사예상pl" xfId="6863"/>
    <cellStyle name="7_전자99상결산진실_5월이동_전사손익_06전사손익_상반기_연간손익정리(서대호)_01매출손익(6월 실적반영)_obu별손익0112이동" xfId="6864"/>
    <cellStyle name="7_전자99상결산진실_5월이동_전사손익_06전사손익_상반기_연간손익정리(서대호)_02년 2월 이동_예상손익" xfId="6865"/>
    <cellStyle name="7_전자99상결산진실_5월이동_전사손익_06전사손익_상반기_연간손익정리(서대호)_02년 2월 이동_예상손익_1" xfId="6866"/>
    <cellStyle name="7_전자99상결산진실_5월이동_전사손익_06전사손익_상반기_연간손익정리(서대호)_02년 3월 이동_예상손익(전사취합)" xfId="6867"/>
    <cellStyle name="7_전자99상결산진실_5월이동_전사손익_06전사손익_상반기_연간손익정리(서대호)_02년 6월 이동_예상손익(전사취합)" xfId="6868"/>
    <cellStyle name="7_전자99상결산진실_5월이동_전사손익_06전사손익_상반기_연간손익정리(서대호)_02년간예상손익" xfId="6869"/>
    <cellStyle name="7_전자99상결산진실_5월이동_전사손익_06전사손익_상반기_연간손익정리(서대호)_04월 이동계획_전사예상pl" xfId="6870"/>
    <cellStyle name="7_전자99상결산진실_5월이동_전사손익_06전사손익_상반기_연간손익정리(서대호)_1월이동손익_전사예상pl" xfId="6871"/>
    <cellStyle name="7_전자99상결산진실_5월이동_전사손익_06전사손익_상반기_연간손익정리(서대호)_8월예상" xfId="6872"/>
    <cellStyle name="7_전자99상결산진실_5월이동_전사손익_06전사손익_상반기_연간손익정리(서대호)_8월예상_01년간예상손익(12월이동)" xfId="6873"/>
    <cellStyle name="7_전자99상결산진실_5월이동_전사손익_06전사손익_상반기_연간손익정리(서대호)_8월예상_01년간예상손익(12월이동)_2" xfId="6874"/>
    <cellStyle name="7_전자99상결산진실_5월이동_전사손익_06전사손익_상반기_연간손익정리(서대호)_8월예상_02년 2월 이동_예상손익" xfId="6875"/>
    <cellStyle name="7_전자99상결산진실_5월이동_전사손익_06전사손익_상반기_연간손익정리(서대호)_8월예상_02년 2월 이동_예상손익_1" xfId="6876"/>
    <cellStyle name="7_전자99상결산진실_5월이동_전사손익_06전사손익_상반기_연간손익정리(서대호)_8월예상_02년 3월 이동_예상손익(전사취합)" xfId="6877"/>
    <cellStyle name="7_전자99상결산진실_5월이동_전사손익_06전사손익_상반기_연간손익정리(서대호)_8월예상_02년 6월 이동_예상손익(전사취합)" xfId="6878"/>
    <cellStyle name="7_전자99상결산진실_5월이동_전사손익_06전사손익_상반기_연간손익정리(서대호)_8월예상_02년간예상손익" xfId="6879"/>
    <cellStyle name="7_전자99상결산진실_5월이동_전사손익_06전사손익_상반기_연간손익정리(서대호)_8월예상_04월 이동계획_전사예상pl" xfId="6880"/>
    <cellStyle name="7_전자99상결산진실_5월이동_전사손익_06전사손익_상반기_연간손익정리(서대호)_8월예상_1월이동손익_전사예상pl" xfId="6881"/>
    <cellStyle name="7_전자99상결산진실_5월이동_전사손익_06전사손익_상반기_연간손익정리(서대호)_8월예상_obu별손익0112이동" xfId="6882"/>
    <cellStyle name="7_전자99상결산진실_5월이동_전사손익_06전사손익_상반기_연간손익정리(서대호)_obu별손익0112이동" xfId="6883"/>
    <cellStyle name="7_전자99상결산진실_5월이동_전사손익_06전사손익_상반기_연간손익정리(서대호)_연간예상추정5886_0726" xfId="6884"/>
    <cellStyle name="7_전자99상결산진실_5월이동_전사손익_06전사손익_상반기_연간손익정리(서대호)_연간예상추정5886_0726_01년간예상손익(12월이동)" xfId="6885"/>
    <cellStyle name="7_전자99상결산진실_5월이동_전사손익_06전사손익_상반기_연간손익정리(서대호)_연간예상추정5886_0726_01년간예상손익(12월이동)_2" xfId="6886"/>
    <cellStyle name="7_전자99상결산진실_5월이동_전사손익_06전사손익_상반기_연간손익정리(서대호)_연간예상추정5886_0726_02년 2월 이동_예상손익" xfId="6887"/>
    <cellStyle name="7_전자99상결산진실_5월이동_전사손익_06전사손익_상반기_연간손익정리(서대호)_연간예상추정5886_0726_02년 2월 이동_예상손익_1" xfId="6888"/>
    <cellStyle name="7_전자99상결산진실_5월이동_전사손익_06전사손익_상반기_연간손익정리(서대호)_연간예상추정5886_0726_02년 3월 이동_예상손익(전사취합)" xfId="6889"/>
    <cellStyle name="7_전자99상결산진실_5월이동_전사손익_06전사손익_상반기_연간손익정리(서대호)_연간예상추정5886_0726_02년 6월 이동_예상손익(전사취합)" xfId="6890"/>
    <cellStyle name="7_전자99상결산진실_5월이동_전사손익_06전사손익_상반기_연간손익정리(서대호)_연간예상추정5886_0726_02년간예상손익" xfId="6891"/>
    <cellStyle name="7_전자99상결산진실_5월이동_전사손익_06전사손익_상반기_연간손익정리(서대호)_연간예상추정5886_0726_04월 이동계획_전사예상pl" xfId="6892"/>
    <cellStyle name="7_전자99상결산진실_5월이동_전사손익_06전사손익_상반기_연간손익정리(서대호)_연간예상추정5886_0726_1월이동손익_전사예상pl" xfId="6893"/>
    <cellStyle name="7_전자99상결산진실_5월이동_전사손익_06전사손익_상반기_연간손익정리(서대호)_연간예상추정5886_0726_obu별손익0112이동" xfId="6894"/>
    <cellStyle name="7_전자99상결산진실_5월이동_전사손익_06전사손익_연간예상추정5886_0726" xfId="6895"/>
    <cellStyle name="7_전자99상결산진실_5월이동_전사손익_06전사손익_연간예상추정5886_0726_01년간예상손익(12월이동)" xfId="6896"/>
    <cellStyle name="7_전자99상결산진실_5월이동_전사손익_06전사손익_연간예상추정5886_0726_01년간예상손익(12월이동)_2" xfId="6897"/>
    <cellStyle name="7_전자99상결산진실_5월이동_전사손익_06전사손익_연간예상추정5886_0726_02년 2월 이동_예상손익" xfId="6898"/>
    <cellStyle name="7_전자99상결산진실_5월이동_전사손익_06전사손익_연간예상추정5886_0726_02년 2월 이동_예상손익_1" xfId="6899"/>
    <cellStyle name="7_전자99상결산진실_5월이동_전사손익_06전사손익_연간예상추정5886_0726_02년 3월 이동_예상손익(전사취합)" xfId="6900"/>
    <cellStyle name="7_전자99상결산진실_5월이동_전사손익_06전사손익_연간예상추정5886_0726_02년 6월 이동_예상손익(전사취합)" xfId="6901"/>
    <cellStyle name="7_전자99상결산진실_5월이동_전사손익_06전사손익_연간예상추정5886_0726_02년간예상손익" xfId="6902"/>
    <cellStyle name="7_전자99상결산진실_5월이동_전사손익_06전사손익_연간예상추정5886_0726_04월 이동계획_전사예상pl" xfId="6903"/>
    <cellStyle name="7_전자99상결산진실_5월이동_전사손익_06전사손익_연간예상추정5886_0726_1월이동손익_전사예상pl" xfId="6904"/>
    <cellStyle name="7_전자99상결산진실_5월이동_전사손익_06전사손익_연간예상추정5886_0726_obu별손익0112이동" xfId="6905"/>
    <cellStyle name="7_전자99상결산진실_5월이동_전사손익_06전사손익1" xfId="6906"/>
    <cellStyle name="7_전자99상결산진실_5월이동_전사손익_06전사손익1_01년간예상손익(12월이동)" xfId="6907"/>
    <cellStyle name="7_전자99상결산진실_5월이동_전사손익_06전사손익1_01년간예상손익(12월이동)_2" xfId="6908"/>
    <cellStyle name="7_전자99상결산진실_5월이동_전사손익_06전사손익1_01매출손익(6월 실적반영)" xfId="6909"/>
    <cellStyle name="7_전자99상결산진실_5월이동_전사손익_06전사손익1_01매출손익(6월 실적반영)_01년간예상손익(12월이동)" xfId="6910"/>
    <cellStyle name="7_전자99상결산진실_5월이동_전사손익_06전사손익1_01매출손익(6월 실적반영)_01년간예상손익(12월이동)_2" xfId="6911"/>
    <cellStyle name="7_전자99상결산진실_5월이동_전사손익_06전사손익1_01매출손익(6월 실적반영)_02년 2월 이동_예상손익" xfId="6912"/>
    <cellStyle name="7_전자99상결산진실_5월이동_전사손익_06전사손익1_01매출손익(6월 실적반영)_02년 2월 이동_예상손익_1" xfId="6913"/>
    <cellStyle name="7_전자99상결산진실_5월이동_전사손익_06전사손익1_01매출손익(6월 실적반영)_02년 3월 이동_예상손익(전사취합)" xfId="6914"/>
    <cellStyle name="7_전자99상결산진실_5월이동_전사손익_06전사손익1_01매출손익(6월 실적반영)_02년 6월 이동_예상손익(전사취합)" xfId="6915"/>
    <cellStyle name="7_전자99상결산진실_5월이동_전사손익_06전사손익1_01매출손익(6월 실적반영)_02년간예상손익" xfId="6916"/>
    <cellStyle name="7_전자99상결산진실_5월이동_전사손익_06전사손익1_01매출손익(6월 실적반영)_04월 이동계획_전사예상pl" xfId="6917"/>
    <cellStyle name="7_전자99상결산진실_5월이동_전사손익_06전사손익1_01매출손익(6월 실적반영)_1월이동손익_전사예상pl" xfId="6918"/>
    <cellStyle name="7_전자99상결산진실_5월이동_전사손익_06전사손익1_01매출손익(6월 실적반영)_obu별손익0112이동" xfId="6919"/>
    <cellStyle name="7_전자99상결산진실_5월이동_전사손익_06전사손익1_02년 2월 이동_예상손익" xfId="6920"/>
    <cellStyle name="7_전자99상결산진실_5월이동_전사손익_06전사손익1_02년 2월 이동_예상손익_1" xfId="6921"/>
    <cellStyle name="7_전자99상결산진실_5월이동_전사손익_06전사손익1_02년 3월 이동_예상손익(전사취합)" xfId="6922"/>
    <cellStyle name="7_전자99상결산진실_5월이동_전사손익_06전사손익1_02년 6월 이동_예상손익(전사취합)" xfId="6923"/>
    <cellStyle name="7_전자99상결산진실_5월이동_전사손익_06전사손익1_02년간예상손익" xfId="6924"/>
    <cellStyle name="7_전자99상결산진실_5월이동_전사손익_06전사손익1_04월 이동계획_전사예상pl" xfId="6925"/>
    <cellStyle name="7_전자99상결산진실_5월이동_전사손익_06전사손익1_1월이동손익_전사예상pl" xfId="6926"/>
    <cellStyle name="7_전자99상결산진실_5월이동_전사손익_06전사손익1_8월예상" xfId="6927"/>
    <cellStyle name="7_전자99상결산진실_5월이동_전사손익_06전사손익1_8월예상_01년간예상손익(12월이동)" xfId="6928"/>
    <cellStyle name="7_전자99상결산진실_5월이동_전사손익_06전사손익1_8월예상_01년간예상손익(12월이동)_2" xfId="6929"/>
    <cellStyle name="7_전자99상결산진실_5월이동_전사손익_06전사손익1_8월예상_02년 2월 이동_예상손익" xfId="6930"/>
    <cellStyle name="7_전자99상결산진실_5월이동_전사손익_06전사손익1_8월예상_02년 2월 이동_예상손익_1" xfId="6931"/>
    <cellStyle name="7_전자99상결산진실_5월이동_전사손익_06전사손익1_8월예상_02년 3월 이동_예상손익(전사취합)" xfId="6932"/>
    <cellStyle name="7_전자99상결산진실_5월이동_전사손익_06전사손익1_8월예상_02년 6월 이동_예상손익(전사취합)" xfId="6933"/>
    <cellStyle name="7_전자99상결산진실_5월이동_전사손익_06전사손익1_8월예상_02년간예상손익" xfId="6934"/>
    <cellStyle name="7_전자99상결산진실_5월이동_전사손익_06전사손익1_8월예상_04월 이동계획_전사예상pl" xfId="6935"/>
    <cellStyle name="7_전자99상결산진실_5월이동_전사손익_06전사손익1_8월예상_1월이동손익_전사예상pl" xfId="6936"/>
    <cellStyle name="7_전자99상결산진실_5월이동_전사손익_06전사손익1_8월예상_obu별손익0112이동" xfId="6937"/>
    <cellStyle name="7_전자99상결산진실_5월이동_전사손익_06전사손익1_9-12월예상pl" xfId="6938"/>
    <cellStyle name="7_전자99상결산진실_5월이동_전사손익_06전사손익1_9-12월예상pl_01년간예상손익(12월이동)" xfId="6939"/>
    <cellStyle name="7_전자99상결산진실_5월이동_전사손익_06전사손익1_9-12월예상pl_01년간예상손익(12월이동)_2" xfId="6940"/>
    <cellStyle name="7_전자99상결산진실_5월이동_전사손익_06전사손익1_9-12월예상pl_02년 2월 이동_예상손익" xfId="6941"/>
    <cellStyle name="7_전자99상결산진실_5월이동_전사손익_06전사손익1_9-12월예상pl_02년 2월 이동_예상손익_1" xfId="6942"/>
    <cellStyle name="7_전자99상결산진실_5월이동_전사손익_06전사손익1_9-12월예상pl_02년 3월 이동_예상손익(전사취합)" xfId="6943"/>
    <cellStyle name="7_전자99상결산진실_5월이동_전사손익_06전사손익1_9-12월예상pl_02년 6월 이동_예상손익(전사취합)" xfId="6944"/>
    <cellStyle name="7_전자99상결산진실_5월이동_전사손익_06전사손익1_9-12월예상pl_02년간예상손익" xfId="6945"/>
    <cellStyle name="7_전자99상결산진실_5월이동_전사손익_06전사손익1_9-12월예상pl_04월 이동계획_전사예상pl" xfId="6946"/>
    <cellStyle name="7_전자99상결산진실_5월이동_전사손익_06전사손익1_9-12월예상pl_1월이동손익_전사예상pl" xfId="6947"/>
    <cellStyle name="7_전자99상결산진실_5월이동_전사손익_06전사손익1_9-12월예상pl_obu별손익0112이동" xfId="6948"/>
    <cellStyle name="7_전자99상결산진실_5월이동_전사손익_06전사손익1_obu별손익0112이동" xfId="6949"/>
    <cellStyle name="7_전자99상결산진실_5월이동_전사손익_06전사손익1_상반기_연간손익정리(서대호)" xfId="6950"/>
    <cellStyle name="7_전자99상결산진실_5월이동_전사손익_06전사손익1_상반기_연간손익정리(서대호)_01년간예상손익(12월이동)" xfId="6951"/>
    <cellStyle name="7_전자99상결산진실_5월이동_전사손익_06전사손익1_상반기_연간손익정리(서대호)_01년간예상손익(12월이동)_2" xfId="6952"/>
    <cellStyle name="7_전자99상결산진실_5월이동_전사손익_06전사손익1_상반기_연간손익정리(서대호)_01매출손익(6월 실적반영)" xfId="6953"/>
    <cellStyle name="7_전자99상결산진실_5월이동_전사손익_06전사손익1_상반기_연간손익정리(서대호)_01매출손익(6월 실적반영)_01년간예상손익(12월이동)" xfId="6954"/>
    <cellStyle name="7_전자99상결산진실_5월이동_전사손익_06전사손익1_상반기_연간손익정리(서대호)_01매출손익(6월 실적반영)_01년간예상손익(12월이동)_2" xfId="6955"/>
    <cellStyle name="7_전자99상결산진실_5월이동_전사손익_06전사손익1_상반기_연간손익정리(서대호)_01매출손익(6월 실적반영)_02년 2월 이동_예상손익" xfId="6956"/>
    <cellStyle name="7_전자99상결산진실_5월이동_전사손익_06전사손익1_상반기_연간손익정리(서대호)_01매출손익(6월 실적반영)_02년 2월 이동_예상손익_1" xfId="6957"/>
    <cellStyle name="7_전자99상결산진실_5월이동_전사손익_06전사손익1_상반기_연간손익정리(서대호)_01매출손익(6월 실적반영)_02년 3월 이동_예상손익(전사취합)" xfId="6958"/>
    <cellStyle name="7_전자99상결산진실_5월이동_전사손익_06전사손익1_상반기_연간손익정리(서대호)_01매출손익(6월 실적반영)_02년 6월 이동_예상손익(전사취합)" xfId="6959"/>
    <cellStyle name="7_전자99상결산진실_5월이동_전사손익_06전사손익1_상반기_연간손익정리(서대호)_01매출손익(6월 실적반영)_02년간예상손익" xfId="6960"/>
    <cellStyle name="7_전자99상결산진실_5월이동_전사손익_06전사손익1_상반기_연간손익정리(서대호)_01매출손익(6월 실적반영)_04월 이동계획_전사예상pl" xfId="6961"/>
    <cellStyle name="7_전자99상결산진실_5월이동_전사손익_06전사손익1_상반기_연간손익정리(서대호)_01매출손익(6월 실적반영)_1월이동손익_전사예상pl" xfId="6962"/>
    <cellStyle name="7_전자99상결산진실_5월이동_전사손익_06전사손익1_상반기_연간손익정리(서대호)_01매출손익(6월 실적반영)_obu별손익0112이동" xfId="6963"/>
    <cellStyle name="7_전자99상결산진실_5월이동_전사손익_06전사손익1_상반기_연간손익정리(서대호)_02년 2월 이동_예상손익" xfId="6964"/>
    <cellStyle name="7_전자99상결산진실_5월이동_전사손익_06전사손익1_상반기_연간손익정리(서대호)_02년 2월 이동_예상손익_1" xfId="6965"/>
    <cellStyle name="7_전자99상결산진실_5월이동_전사손익_06전사손익1_상반기_연간손익정리(서대호)_02년 3월 이동_예상손익(전사취합)" xfId="6966"/>
    <cellStyle name="7_전자99상결산진실_5월이동_전사손익_06전사손익1_상반기_연간손익정리(서대호)_02년 6월 이동_예상손익(전사취합)" xfId="6967"/>
    <cellStyle name="7_전자99상결산진실_5월이동_전사손익_06전사손익1_상반기_연간손익정리(서대호)_02년간예상손익" xfId="6968"/>
    <cellStyle name="7_전자99상결산진실_5월이동_전사손익_06전사손익1_상반기_연간손익정리(서대호)_04월 이동계획_전사예상pl" xfId="6969"/>
    <cellStyle name="7_전자99상결산진실_5월이동_전사손익_06전사손익1_상반기_연간손익정리(서대호)_1월이동손익_전사예상pl" xfId="6970"/>
    <cellStyle name="7_전자99상결산진실_5월이동_전사손익_06전사손익1_상반기_연간손익정리(서대호)_8월예상" xfId="6971"/>
    <cellStyle name="7_전자99상결산진실_5월이동_전사손익_06전사손익1_상반기_연간손익정리(서대호)_8월예상_01년간예상손익(12월이동)" xfId="6972"/>
    <cellStyle name="7_전자99상결산진실_5월이동_전사손익_06전사손익1_상반기_연간손익정리(서대호)_8월예상_01년간예상손익(12월이동)_2" xfId="6973"/>
    <cellStyle name="7_전자99상결산진실_5월이동_전사손익_06전사손익1_상반기_연간손익정리(서대호)_8월예상_02년 2월 이동_예상손익" xfId="6974"/>
    <cellStyle name="7_전자99상결산진실_5월이동_전사손익_06전사손익1_상반기_연간손익정리(서대호)_8월예상_02년 2월 이동_예상손익_1" xfId="6975"/>
    <cellStyle name="7_전자99상결산진실_5월이동_전사손익_06전사손익1_상반기_연간손익정리(서대호)_8월예상_02년 3월 이동_예상손익(전사취합)" xfId="6976"/>
    <cellStyle name="7_전자99상결산진실_5월이동_전사손익_06전사손익1_상반기_연간손익정리(서대호)_8월예상_02년 6월 이동_예상손익(전사취합)" xfId="6977"/>
    <cellStyle name="7_전자99상결산진실_5월이동_전사손익_06전사손익1_상반기_연간손익정리(서대호)_8월예상_02년간예상손익" xfId="6978"/>
    <cellStyle name="7_전자99상결산진실_5월이동_전사손익_06전사손익1_상반기_연간손익정리(서대호)_8월예상_04월 이동계획_전사예상pl" xfId="6979"/>
    <cellStyle name="7_전자99상결산진실_5월이동_전사손익_06전사손익1_상반기_연간손익정리(서대호)_8월예상_1월이동손익_전사예상pl" xfId="6980"/>
    <cellStyle name="7_전자99상결산진실_5월이동_전사손익_06전사손익1_상반기_연간손익정리(서대호)_8월예상_obu별손익0112이동" xfId="6981"/>
    <cellStyle name="7_전자99상결산진실_5월이동_전사손익_06전사손익1_상반기_연간손익정리(서대호)_obu별손익0112이동" xfId="6982"/>
    <cellStyle name="7_전자99상결산진실_5월이동_전사손익_06전사손익1_상반기_연간손익정리(서대호)_연간예상추정5886_0726" xfId="6983"/>
    <cellStyle name="7_전자99상결산진실_5월이동_전사손익_06전사손익1_상반기_연간손익정리(서대호)_연간예상추정5886_0726_01년간예상손익(12월이동)" xfId="6984"/>
    <cellStyle name="7_전자99상결산진실_5월이동_전사손익_06전사손익1_상반기_연간손익정리(서대호)_연간예상추정5886_0726_01년간예상손익(12월이동)_2" xfId="6985"/>
    <cellStyle name="7_전자99상결산진실_5월이동_전사손익_06전사손익1_상반기_연간손익정리(서대호)_연간예상추정5886_0726_02년 2월 이동_예상손익" xfId="6986"/>
    <cellStyle name="7_전자99상결산진실_5월이동_전사손익_06전사손익1_상반기_연간손익정리(서대호)_연간예상추정5886_0726_02년 2월 이동_예상손익_1" xfId="6987"/>
    <cellStyle name="7_전자99상결산진실_5월이동_전사손익_06전사손익1_상반기_연간손익정리(서대호)_연간예상추정5886_0726_02년 3월 이동_예상손익(전사취합)" xfId="6988"/>
    <cellStyle name="7_전자99상결산진실_5월이동_전사손익_06전사손익1_상반기_연간손익정리(서대호)_연간예상추정5886_0726_02년 6월 이동_예상손익(전사취합)" xfId="6989"/>
    <cellStyle name="7_전자99상결산진실_5월이동_전사손익_06전사손익1_상반기_연간손익정리(서대호)_연간예상추정5886_0726_02년간예상손익" xfId="6990"/>
    <cellStyle name="7_전자99상결산진실_5월이동_전사손익_06전사손익1_상반기_연간손익정리(서대호)_연간예상추정5886_0726_04월 이동계획_전사예상pl" xfId="6991"/>
    <cellStyle name="7_전자99상결산진실_5월이동_전사손익_06전사손익1_상반기_연간손익정리(서대호)_연간예상추정5886_0726_1월이동손익_전사예상pl" xfId="6992"/>
    <cellStyle name="7_전자99상결산진실_5월이동_전사손익_06전사손익1_상반기_연간손익정리(서대호)_연간예상추정5886_0726_obu별손익0112이동" xfId="6993"/>
    <cellStyle name="7_전자99상결산진실_5월이동_전사손익_06전사손익1_연간예상추정5886_0726" xfId="6994"/>
    <cellStyle name="7_전자99상결산진실_5월이동_전사손익_06전사손익1_연간예상추정5886_0726_01년간예상손익(12월이동)" xfId="6995"/>
    <cellStyle name="7_전자99상결산진실_5월이동_전사손익_06전사손익1_연간예상추정5886_0726_01년간예상손익(12월이동)_2" xfId="6996"/>
    <cellStyle name="7_전자99상결산진실_5월이동_전사손익_06전사손익1_연간예상추정5886_0726_02년 2월 이동_예상손익" xfId="6997"/>
    <cellStyle name="7_전자99상결산진실_5월이동_전사손익_06전사손익1_연간예상추정5886_0726_02년 2월 이동_예상손익_1" xfId="6998"/>
    <cellStyle name="7_전자99상결산진실_5월이동_전사손익_06전사손익1_연간예상추정5886_0726_02년 3월 이동_예상손익(전사취합)" xfId="6999"/>
    <cellStyle name="7_전자99상결산진실_5월이동_전사손익_06전사손익1_연간예상추정5886_0726_02년 6월 이동_예상손익(전사취합)" xfId="7000"/>
    <cellStyle name="7_전자99상결산진실_5월이동_전사손익_06전사손익1_연간예상추정5886_0726_02년간예상손익" xfId="7001"/>
    <cellStyle name="7_전자99상결산진실_5월이동_전사손익_06전사손익1_연간예상추정5886_0726_04월 이동계획_전사예상pl" xfId="7002"/>
    <cellStyle name="7_전자99상결산진실_5월이동_전사손익_06전사손익1_연간예상추정5886_0726_1월이동손익_전사예상pl" xfId="7003"/>
    <cellStyle name="7_전자99상결산진실_5월이동_전사손익_06전사손익1_연간예상추정5886_0726_obu별손익0112이동" xfId="7004"/>
    <cellStyle name="7_전자99상결산진실_5월이동_전사손익_1월이동손익_전사예상pl" xfId="7005"/>
    <cellStyle name="7_전자99상결산진실_5월이동_전사손익_8월예상" xfId="7006"/>
    <cellStyle name="7_전자99상결산진실_5월이동_전사손익_8월예상_01년간예상손익(12월이동)" xfId="7007"/>
    <cellStyle name="7_전자99상결산진실_5월이동_전사손익_8월예상_01년간예상손익(12월이동)_2" xfId="7008"/>
    <cellStyle name="7_전자99상결산진실_5월이동_전사손익_8월예상_02년 2월 이동_예상손익" xfId="7009"/>
    <cellStyle name="7_전자99상결산진실_5월이동_전사손익_8월예상_02년 2월 이동_예상손익_1" xfId="7010"/>
    <cellStyle name="7_전자99상결산진실_5월이동_전사손익_8월예상_02년 3월 이동_예상손익(전사취합)" xfId="7011"/>
    <cellStyle name="7_전자99상결산진실_5월이동_전사손익_8월예상_02년 6월 이동_예상손익(전사취합)" xfId="7012"/>
    <cellStyle name="7_전자99상결산진실_5월이동_전사손익_8월예상_02년간예상손익" xfId="7013"/>
    <cellStyle name="7_전자99상결산진실_5월이동_전사손익_8월예상_04월 이동계획_전사예상pl" xfId="7014"/>
    <cellStyle name="7_전자99상결산진실_5월이동_전사손익_8월예상_1월이동손익_전사예상pl" xfId="7015"/>
    <cellStyle name="7_전자99상결산진실_5월이동_전사손익_8월예상_obu별손익0112이동" xfId="7016"/>
    <cellStyle name="7_전자99상결산진실_5월이동_전사손익_9-12월예상pl" xfId="7017"/>
    <cellStyle name="7_전자99상결산진실_5월이동_전사손익_9-12월예상pl_01년간예상손익(12월이동)" xfId="7018"/>
    <cellStyle name="7_전자99상결산진실_5월이동_전사손익_9-12월예상pl_01년간예상손익(12월이동)_2" xfId="7019"/>
    <cellStyle name="7_전자99상결산진실_5월이동_전사손익_9-12월예상pl_02년 2월 이동_예상손익" xfId="7020"/>
    <cellStyle name="7_전자99상결산진실_5월이동_전사손익_9-12월예상pl_02년 2월 이동_예상손익_1" xfId="7021"/>
    <cellStyle name="7_전자99상결산진실_5월이동_전사손익_9-12월예상pl_02년 3월 이동_예상손익(전사취합)" xfId="7022"/>
    <cellStyle name="7_전자99상결산진실_5월이동_전사손익_9-12월예상pl_02년 6월 이동_예상손익(전사취합)" xfId="7023"/>
    <cellStyle name="7_전자99상결산진실_5월이동_전사손익_9-12월예상pl_02년간예상손익" xfId="7024"/>
    <cellStyle name="7_전자99상결산진실_5월이동_전사손익_9-12월예상pl_04월 이동계획_전사예상pl" xfId="7025"/>
    <cellStyle name="7_전자99상결산진실_5월이동_전사손익_9-12월예상pl_1월이동손익_전사예상pl" xfId="7026"/>
    <cellStyle name="7_전자99상결산진실_5월이동_전사손익_9-12월예상pl_obu별손익0112이동" xfId="7027"/>
    <cellStyle name="7_전자99상결산진실_5월이동_전사손익_obu별손익0112이동" xfId="7028"/>
    <cellStyle name="7_전자99상결산진실_5월이동_전사손익_상반기_연간손익정리(서대호)" xfId="7029"/>
    <cellStyle name="7_전자99상결산진실_5월이동_전사손익_상반기_연간손익정리(서대호)_01년간예상손익(12월이동)" xfId="7030"/>
    <cellStyle name="7_전자99상결산진실_5월이동_전사손익_상반기_연간손익정리(서대호)_01년간예상손익(12월이동)_2" xfId="7031"/>
    <cellStyle name="7_전자99상결산진실_5월이동_전사손익_상반기_연간손익정리(서대호)_01매출손익(6월 실적반영)" xfId="7032"/>
    <cellStyle name="7_전자99상결산진실_5월이동_전사손익_상반기_연간손익정리(서대호)_01매출손익(6월 실적반영)_01년간예상손익(12월이동)" xfId="7033"/>
    <cellStyle name="7_전자99상결산진실_5월이동_전사손익_상반기_연간손익정리(서대호)_01매출손익(6월 실적반영)_01년간예상손익(12월이동)_2" xfId="7034"/>
    <cellStyle name="7_전자99상결산진실_5월이동_전사손익_상반기_연간손익정리(서대호)_01매출손익(6월 실적반영)_02년 2월 이동_예상손익" xfId="7035"/>
    <cellStyle name="7_전자99상결산진실_5월이동_전사손익_상반기_연간손익정리(서대호)_01매출손익(6월 실적반영)_02년 2월 이동_예상손익_1" xfId="7036"/>
    <cellStyle name="7_전자99상결산진실_5월이동_전사손익_상반기_연간손익정리(서대호)_01매출손익(6월 실적반영)_02년 3월 이동_예상손익(전사취합)" xfId="7037"/>
    <cellStyle name="7_전자99상결산진실_5월이동_전사손익_상반기_연간손익정리(서대호)_01매출손익(6월 실적반영)_02년 6월 이동_예상손익(전사취합)" xfId="7038"/>
    <cellStyle name="7_전자99상결산진실_5월이동_전사손익_상반기_연간손익정리(서대호)_01매출손익(6월 실적반영)_02년간예상손익" xfId="7039"/>
    <cellStyle name="7_전자99상결산진실_5월이동_전사손익_상반기_연간손익정리(서대호)_01매출손익(6월 실적반영)_04월 이동계획_전사예상pl" xfId="7040"/>
    <cellStyle name="7_전자99상결산진실_5월이동_전사손익_상반기_연간손익정리(서대호)_01매출손익(6월 실적반영)_1월이동손익_전사예상pl" xfId="7041"/>
    <cellStyle name="7_전자99상결산진실_5월이동_전사손익_상반기_연간손익정리(서대호)_01매출손익(6월 실적반영)_obu별손익0112이동" xfId="7042"/>
    <cellStyle name="7_전자99상결산진실_5월이동_전사손익_상반기_연간손익정리(서대호)_02년 2월 이동_예상손익" xfId="7043"/>
    <cellStyle name="7_전자99상결산진실_5월이동_전사손익_상반기_연간손익정리(서대호)_02년 2월 이동_예상손익_1" xfId="7044"/>
    <cellStyle name="7_전자99상결산진실_5월이동_전사손익_상반기_연간손익정리(서대호)_02년 3월 이동_예상손익(전사취합)" xfId="7045"/>
    <cellStyle name="7_전자99상결산진실_5월이동_전사손익_상반기_연간손익정리(서대호)_02년 6월 이동_예상손익(전사취합)" xfId="7046"/>
    <cellStyle name="7_전자99상결산진실_5월이동_전사손익_상반기_연간손익정리(서대호)_02년간예상손익" xfId="7047"/>
    <cellStyle name="7_전자99상결산진실_5월이동_전사손익_상반기_연간손익정리(서대호)_04월 이동계획_전사예상pl" xfId="7048"/>
    <cellStyle name="7_전자99상결산진실_5월이동_전사손익_상반기_연간손익정리(서대호)_1월이동손익_전사예상pl" xfId="7049"/>
    <cellStyle name="7_전자99상결산진실_5월이동_전사손익_상반기_연간손익정리(서대호)_8월예상" xfId="7050"/>
    <cellStyle name="7_전자99상결산진실_5월이동_전사손익_상반기_연간손익정리(서대호)_8월예상_01년간예상손익(12월이동)" xfId="7051"/>
    <cellStyle name="7_전자99상결산진실_5월이동_전사손익_상반기_연간손익정리(서대호)_8월예상_01년간예상손익(12월이동)_2" xfId="7052"/>
    <cellStyle name="7_전자99상결산진실_5월이동_전사손익_상반기_연간손익정리(서대호)_8월예상_02년 2월 이동_예상손익" xfId="7053"/>
    <cellStyle name="7_전자99상결산진실_5월이동_전사손익_상반기_연간손익정리(서대호)_8월예상_02년 2월 이동_예상손익_1" xfId="7054"/>
    <cellStyle name="7_전자99상결산진실_5월이동_전사손익_상반기_연간손익정리(서대호)_8월예상_02년 3월 이동_예상손익(전사취합)" xfId="7055"/>
    <cellStyle name="7_전자99상결산진실_5월이동_전사손익_상반기_연간손익정리(서대호)_8월예상_02년 6월 이동_예상손익(전사취합)" xfId="7056"/>
    <cellStyle name="7_전자99상결산진실_5월이동_전사손익_상반기_연간손익정리(서대호)_8월예상_02년간예상손익" xfId="7057"/>
    <cellStyle name="7_전자99상결산진실_5월이동_전사손익_상반기_연간손익정리(서대호)_8월예상_04월 이동계획_전사예상pl" xfId="7058"/>
    <cellStyle name="7_전자99상결산진실_5월이동_전사손익_상반기_연간손익정리(서대호)_8월예상_1월이동손익_전사예상pl" xfId="7059"/>
    <cellStyle name="7_전자99상결산진실_5월이동_전사손익_상반기_연간손익정리(서대호)_8월예상_obu별손익0112이동" xfId="7060"/>
    <cellStyle name="7_전자99상결산진실_5월이동_전사손익_상반기_연간손익정리(서대호)_obu별손익0112이동" xfId="7061"/>
    <cellStyle name="7_전자99상결산진실_5월이동_전사손익_상반기_연간손익정리(서대호)_연간예상추정5886_0726" xfId="7062"/>
    <cellStyle name="7_전자99상결산진실_5월이동_전사손익_상반기_연간손익정리(서대호)_연간예상추정5886_0726_01년간예상손익(12월이동)" xfId="7063"/>
    <cellStyle name="7_전자99상결산진실_5월이동_전사손익_상반기_연간손익정리(서대호)_연간예상추정5886_0726_01년간예상손익(12월이동)_2" xfId="7064"/>
    <cellStyle name="7_전자99상결산진실_5월이동_전사손익_상반기_연간손익정리(서대호)_연간예상추정5886_0726_02년 2월 이동_예상손익" xfId="7065"/>
    <cellStyle name="7_전자99상결산진실_5월이동_전사손익_상반기_연간손익정리(서대호)_연간예상추정5886_0726_02년 2월 이동_예상손익_1" xfId="7066"/>
    <cellStyle name="7_전자99상결산진실_5월이동_전사손익_상반기_연간손익정리(서대호)_연간예상추정5886_0726_02년 3월 이동_예상손익(전사취합)" xfId="7067"/>
    <cellStyle name="7_전자99상결산진실_5월이동_전사손익_상반기_연간손익정리(서대호)_연간예상추정5886_0726_02년 6월 이동_예상손익(전사취합)" xfId="7068"/>
    <cellStyle name="7_전자99상결산진실_5월이동_전사손익_상반기_연간손익정리(서대호)_연간예상추정5886_0726_02년간예상손익" xfId="7069"/>
    <cellStyle name="7_전자99상결산진실_5월이동_전사손익_상반기_연간손익정리(서대호)_연간예상추정5886_0726_04월 이동계획_전사예상pl" xfId="7070"/>
    <cellStyle name="7_전자99상결산진실_5월이동_전사손익_상반기_연간손익정리(서대호)_연간예상추정5886_0726_1월이동손익_전사예상pl" xfId="7071"/>
    <cellStyle name="7_전자99상결산진실_5월이동_전사손익_상반기_연간손익정리(서대호)_연간예상추정5886_0726_obu별손익0112이동" xfId="7072"/>
    <cellStyle name="7_전자99상결산진실_5월이동_전사손익_연간예상추정5886_0726" xfId="7073"/>
    <cellStyle name="7_전자99상결산진실_5월이동_전사손익_연간예상추정5886_0726_01년간예상손익(12월이동)" xfId="7074"/>
    <cellStyle name="7_전자99상결산진실_5월이동_전사손익_연간예상추정5886_0726_01년간예상손익(12월이동)_2" xfId="7075"/>
    <cellStyle name="7_전자99상결산진실_5월이동_전사손익_연간예상추정5886_0726_02년 2월 이동_예상손익" xfId="7076"/>
    <cellStyle name="7_전자99상결산진실_5월이동_전사손익_연간예상추정5886_0726_02년 2월 이동_예상손익_1" xfId="7077"/>
    <cellStyle name="7_전자99상결산진실_5월이동_전사손익_연간예상추정5886_0726_02년 3월 이동_예상손익(전사취합)" xfId="7078"/>
    <cellStyle name="7_전자99상결산진실_5월이동_전사손익_연간예상추정5886_0726_02년 6월 이동_예상손익(전사취합)" xfId="7079"/>
    <cellStyle name="7_전자99상결산진실_5월이동_전사손익_연간예상추정5886_0726_02년간예상손익" xfId="7080"/>
    <cellStyle name="7_전자99상결산진실_5월이동_전사손익_연간예상추정5886_0726_04월 이동계획_전사예상pl" xfId="7081"/>
    <cellStyle name="7_전자99상결산진실_5월이동_전사손익_연간예상추정5886_0726_1월이동손익_전사예상pl" xfId="7082"/>
    <cellStyle name="7_전자99상결산진실_5월이동_전사손익_연간예상추정5886_0726_obu별손익0112이동" xfId="7083"/>
    <cellStyle name="7_전자99상결산진실_8월 예상손익 점검" xfId="7084"/>
    <cellStyle name="7_전자99상결산진실_8월 예상손익 점검_8월 예상손익 점검" xfId="7085"/>
    <cellStyle name="7_전자99상결산진실_8월 예상손익 점검_8월 예상손익 점검_DM_환율영향분석_본부" xfId="7086"/>
    <cellStyle name="7_전자99상결산진실_8월 예상손익 점검_DM_환율영향분석_본부" xfId="7087"/>
    <cellStyle name="7_전자99상결산진실_8월예상" xfId="7088"/>
    <cellStyle name="7_전자99상결산진실_8월예상_01년간예상손익(12월이동)" xfId="7089"/>
    <cellStyle name="7_전자99상결산진실_8월예상_01년간예상손익(12월이동)_2" xfId="7090"/>
    <cellStyle name="7_전자99상결산진실_8월예상_02년 2월 이동_예상손익" xfId="7091"/>
    <cellStyle name="7_전자99상결산진실_8월예상_02년 2월 이동_예상손익_1" xfId="7092"/>
    <cellStyle name="7_전자99상결산진실_8월예상_02년 3월 이동_예상손익(전사취합)" xfId="7093"/>
    <cellStyle name="7_전자99상결산진실_8월예상_02년 6월 이동_예상손익(전사취합)" xfId="7094"/>
    <cellStyle name="7_전자99상결산진실_8월예상_02년간예상손익" xfId="7095"/>
    <cellStyle name="7_전자99상결산진실_8월예상_04월 이동계획_전사예상pl" xfId="7096"/>
    <cellStyle name="7_전자99상결산진실_8월예상_1월이동손익_전사예상pl" xfId="7097"/>
    <cellStyle name="7_전자99상결산진실_8월예상_obu별손익0112이동" xfId="7098"/>
    <cellStyle name="7_전자99상결산진실_8월전사예상(0903)" xfId="7099"/>
    <cellStyle name="7_전자99상결산진실_8월전사예상(0903)_01년간예상손익(12월이동)" xfId="7100"/>
    <cellStyle name="7_전자99상결산진실_8월전사예상(0903)_01년간예상손익(12월이동)_2" xfId="7101"/>
    <cellStyle name="7_전자99상결산진실_8월전사예상(0903)_02년 2월 이동_예상손익" xfId="7102"/>
    <cellStyle name="7_전자99상결산진실_8월전사예상(0903)_02년 2월 이동_예상손익_1" xfId="7103"/>
    <cellStyle name="7_전자99상결산진실_8월전사예상(0903)_02년 3월 이동_예상손익(전사취합)" xfId="7104"/>
    <cellStyle name="7_전자99상결산진실_8월전사예상(0903)_02년 6월 이동_예상손익(전사취합)" xfId="7105"/>
    <cellStyle name="7_전자99상결산진실_8월전사예상(0903)_02년간예상손익" xfId="7106"/>
    <cellStyle name="7_전자99상결산진실_8월전사예상(0903)_04월 이동계획_전사예상pl" xfId="7107"/>
    <cellStyle name="7_전자99상결산진실_8월전사예상(0903)_1월이동손익_전사예상pl" xfId="7108"/>
    <cellStyle name="7_전자99상결산진실_8월전사예상(0903)_obu별손익0112이동" xfId="7109"/>
    <cellStyle name="7_전자99상결산진실_9-12월예상pl" xfId="7110"/>
    <cellStyle name="7_전자99상결산진실_9-12월예상pl_01년간예상손익(12월이동)" xfId="7111"/>
    <cellStyle name="7_전자99상결산진실_9-12월예상pl_01년간예상손익(12월이동)_2" xfId="7112"/>
    <cellStyle name="7_전자99상결산진실_9-12월예상pl_02년 2월 이동_예상손익" xfId="7113"/>
    <cellStyle name="7_전자99상결산진실_9-12월예상pl_02년 2월 이동_예상손익_1" xfId="7114"/>
    <cellStyle name="7_전자99상결산진실_9-12월예상pl_02년 3월 이동_예상손익(전사취합)" xfId="7115"/>
    <cellStyle name="7_전자99상결산진실_9-12월예상pl_02년 6월 이동_예상손익(전사취합)" xfId="7116"/>
    <cellStyle name="7_전자99상결산진실_9-12월예상pl_02년간예상손익" xfId="7117"/>
    <cellStyle name="7_전자99상결산진실_9-12월예상pl_04월 이동계획_전사예상pl" xfId="7118"/>
    <cellStyle name="7_전자99상결산진실_9-12월예상pl_1월이동손익_전사예상pl" xfId="7119"/>
    <cellStyle name="7_전자99상결산진실_9-12월예상pl_obu별손익0112이동" xfId="7120"/>
    <cellStyle name="7_전자99상결산진실_9월차이동계획(0911)" xfId="7121"/>
    <cellStyle name="7_전자99상결산진실_9월차이동계획(0911)_01년간예상손익(12월이동)" xfId="7122"/>
    <cellStyle name="7_전자99상결산진실_9월차이동계획(0911)_01년간예상손익(12월이동)_2" xfId="7123"/>
    <cellStyle name="7_전자99상결산진실_9월차이동계획(0911)_02년 2월 이동_예상손익" xfId="7124"/>
    <cellStyle name="7_전자99상결산진실_9월차이동계획(0911)_02년 2월 이동_예상손익_1" xfId="7125"/>
    <cellStyle name="7_전자99상결산진실_9월차이동계획(0911)_02년 3월 이동_예상손익(전사취합)" xfId="7126"/>
    <cellStyle name="7_전자99상결산진실_9월차이동계획(0911)_02년 6월 이동_예상손익(전사취합)" xfId="7127"/>
    <cellStyle name="7_전자99상결산진실_9월차이동계획(0911)_02년간예상손익" xfId="7128"/>
    <cellStyle name="7_전자99상결산진실_9월차이동계획(0911)_04월 이동계획_전사예상pl" xfId="7129"/>
    <cellStyle name="7_전자99상결산진실_9월차이동계획(0911)_1월이동손익_전사예상pl" xfId="7130"/>
    <cellStyle name="7_전자99상결산진실_9월차이동계획(0911)_obu별손익0112이동" xfId="7131"/>
    <cellStyle name="7_전자99상결산진실_Book1" xfId="7132"/>
    <cellStyle name="7_전자99상결산진실_DM_환율영향분석_본부" xfId="7133"/>
    <cellStyle name="7_전자99상결산진실_eva&amp;cash_02~05년 CM" xfId="7134"/>
    <cellStyle name="7_전자99상결산진실_그룹+업적보고회+보완사항" xfId="7135"/>
    <cellStyle name="7_전자99상결산진실_본부본사배부_1022FINAL본사비축소_해외법인" xfId="7136"/>
    <cellStyle name="7_전자99상결산진실_사업계획 양식" xfId="7137"/>
    <cellStyle name="7_전자99상결산진실_사업계획 양식_02년사업계획양식V1.0_대호(bs수정)" xfId="7138"/>
    <cellStyle name="7_전자99상결산진실_사업계획 양식_02년사업계획양식V1.0_대호(bs수정)_02년사업계획양식V2.0" xfId="7139"/>
    <cellStyle name="7_전자99상결산진실_사업계획 양식_02년사업계획양식V1.0_대호(bs수정)_02년사업계획양식V2.0_02년사업계획양식V2.0" xfId="7140"/>
    <cellStyle name="7_전자99상결산진실_사업계획 양식_02년사업계획양식V1.0_대호(bs수정)_02년사업계획양식V2.0_02년사업계획양식V2.0_02년사업계획양식V3.0" xfId="7141"/>
    <cellStyle name="7_전자99상결산진실_사업계획 양식_02년사업계획양식V1.0_대호(bs수정)_02년사업계획양식V2.0_02년사업계획양식V2.0_02년사업계획양식V3.0_02년사업계획양식V3.0" xfId="7142"/>
    <cellStyle name="7_전자99상결산진실_사업계획 양식_02년사업계획양식V1.0_대호(bs수정)_02년사업계획양식V2.0_02년사업계획양식V2.0_02년사업계획양식V3.0_02년사업계획양식V3.0(원본)" xfId="7143"/>
    <cellStyle name="7_전자99상결산진실_사업계획 양식_02년사업계획양식V1.0_대호(bs수정)_02년사업계획양식V2.0_02년사업계획양식V2.0_02년사업계획양식V3.0_02년사업계획양식V3.0(원본)_1" xfId="7144"/>
    <cellStyle name="7_전자99상결산진실_사업계획 양식_02년사업계획양식V1.0_대호(bs수정)_02년사업계획양식V2.0_02년사업계획양식V3.0" xfId="7145"/>
    <cellStyle name="7_전자99상결산진실_사업계획 양식_02년사업계획양식V1.0_대호(bs수정)_02년사업계획양식V2.0_02년사업계획양식V3.0(원본)" xfId="7146"/>
    <cellStyle name="7_전자99상결산진실_사업계획 양식_02년사업계획양식V1.0_대호(bs수정)_02년사업계획양식V2.0_02년사업계획양식V3.0(원본)_1" xfId="7147"/>
    <cellStyle name="7_전자99상결산진실_사업계획 양식_02년사업계획양식V1.0_대호(bs수정)_02년사업계획양식V2.0_02년사업계획양식V3.0_02년사업계획양식V3.0" xfId="7148"/>
    <cellStyle name="7_전자99상결산진실_사업계획 양식_02년사업계획양식V1.0_대호(bs수정)_02년사업계획양식V2.0_02년사업계획양식V3.0_02년사업계획양식V3.0_02년사업계획양식V3.0" xfId="7149"/>
    <cellStyle name="7_전자99상결산진실_사업계획 양식_02년사업계획양식V1.0_대호(bs수정)_02년사업계획양식V2.0_02년사업계획양식V3.0_02년사업계획양식V3.0_02년사업계획양식V3.0(원본)" xfId="7150"/>
    <cellStyle name="7_전자99상결산진실_사업계획 양식_02년사업계획양식V1.0_대호(bs수정)_02년사업계획양식V2.0_02년사업계획양식V3.0_02년사업계획양식V3.0_02년사업계획양식V3.0(원본)_1" xfId="7151"/>
    <cellStyle name="7_전자99상결산진실_사업계획 양식_02년사업계획양식V1.0_대호(bs수정)_02년사업계획양식V3.0" xfId="7152"/>
    <cellStyle name="7_전자99상결산진실_사업계획 양식_02년사업계획양식V1.0_대호(bs수정)_02년사업계획양식V3.0_02년사업계획양식V3.0" xfId="7153"/>
    <cellStyle name="7_전자99상결산진실_사업계획 양식_02년사업계획양식V1.0_대호(bs수정)_02년사업계획양식V3.0_02년사업계획양식V3.0(원본)" xfId="7154"/>
    <cellStyle name="7_전자99상결산진실_사업계획 양식_02년사업계획양식V1.0_대호(bs수정)_02년사업계획양식V3.0_02년사업계획양식V3.0(원본)_1" xfId="7155"/>
    <cellStyle name="7_전자99상결산진실_사업계획 양식_02년사업계획양식V2.0" xfId="7156"/>
    <cellStyle name="7_전자99상결산진실_사업계획 양식_02년사업계획양식V2.0_02년사업계획양식V3.0" xfId="7157"/>
    <cellStyle name="7_전자99상결산진실_사업계획 양식_02년사업계획양식V2.0_02년사업계획양식V3.0_02년사업계획양식V3.0" xfId="7158"/>
    <cellStyle name="7_전자99상결산진실_사업계획 양식_02년사업계획양식V2.0_02년사업계획양식V3.0_02년사업계획양식V3.0(원본)" xfId="7159"/>
    <cellStyle name="7_전자99상결산진실_사업계획 양식_02년사업계획양식V2.0_02년사업계획양식V3.0_02년사업계획양식V3.0(원본)_1" xfId="7160"/>
    <cellStyle name="7_전자99상결산진실_사업계획 양식_02년사업계획양식V3.0" xfId="7161"/>
    <cellStyle name="7_전자99상결산진실_사업계획 양식_02년사업계획양식V3.0(원본)" xfId="7162"/>
    <cellStyle name="7_전자99상결산진실_사업계획 양식_02년사업계획양식V3.0(원본)_1" xfId="7163"/>
    <cellStyle name="7_전자99상결산진실_사업계획 양식_02년사업계획양식V3.0_02년사업계획양식V3.0" xfId="7164"/>
    <cellStyle name="7_전자99상결산진실_사업계획 양식_02년사업계획양식V3.0_02년사업계획양식V3.0_02년사업계획양식V3.0" xfId="7165"/>
    <cellStyle name="7_전자99상결산진실_사업계획 양식_02년사업계획양식V3.0_02년사업계획양식V3.0_02년사업계획양식V3.0(원본)" xfId="7166"/>
    <cellStyle name="7_전자99상결산진실_사업계획 양식_02년사업계획양식V3.0_02년사업계획양식V3.0_02년사업계획양식V3.0(원본)_1" xfId="7167"/>
    <cellStyle name="7_전자99상결산진실_상반기_연간손익정리(서대호)" xfId="7168"/>
    <cellStyle name="7_전자99상결산진실_상반기_연간손익정리(서대호)_01년간예상손익(12월이동)" xfId="7169"/>
    <cellStyle name="7_전자99상결산진실_상반기_연간손익정리(서대호)_01년간예상손익(12월이동)_2" xfId="7170"/>
    <cellStyle name="7_전자99상결산진실_상반기_연간손익정리(서대호)_01매출손익(6월 실적반영)" xfId="7171"/>
    <cellStyle name="7_전자99상결산진실_상반기_연간손익정리(서대호)_01매출손익(6월 실적반영)_01년간예상손익(12월이동)" xfId="7172"/>
    <cellStyle name="7_전자99상결산진실_상반기_연간손익정리(서대호)_01매출손익(6월 실적반영)_01년간예상손익(12월이동)_2" xfId="7173"/>
    <cellStyle name="7_전자99상결산진실_상반기_연간손익정리(서대호)_01매출손익(6월 실적반영)_02년 2월 이동_예상손익" xfId="7174"/>
    <cellStyle name="7_전자99상결산진실_상반기_연간손익정리(서대호)_01매출손익(6월 실적반영)_02년 2월 이동_예상손익_1" xfId="7175"/>
    <cellStyle name="7_전자99상결산진실_상반기_연간손익정리(서대호)_01매출손익(6월 실적반영)_02년 3월 이동_예상손익(전사취합)" xfId="7176"/>
    <cellStyle name="7_전자99상결산진실_상반기_연간손익정리(서대호)_01매출손익(6월 실적반영)_02년 6월 이동_예상손익(전사취합)" xfId="7177"/>
    <cellStyle name="7_전자99상결산진실_상반기_연간손익정리(서대호)_01매출손익(6월 실적반영)_02년간예상손익" xfId="7178"/>
    <cellStyle name="7_전자99상결산진실_상반기_연간손익정리(서대호)_01매출손익(6월 실적반영)_04월 이동계획_전사예상pl" xfId="7179"/>
    <cellStyle name="7_전자99상결산진실_상반기_연간손익정리(서대호)_01매출손익(6월 실적반영)_1월이동손익_전사예상pl" xfId="7180"/>
    <cellStyle name="7_전자99상결산진실_상반기_연간손익정리(서대호)_01매출손익(6월 실적반영)_obu별손익0112이동" xfId="7181"/>
    <cellStyle name="7_전자99상결산진실_상반기_연간손익정리(서대호)_02년 2월 이동_예상손익" xfId="7182"/>
    <cellStyle name="7_전자99상결산진실_상반기_연간손익정리(서대호)_02년 2월 이동_예상손익_1" xfId="7183"/>
    <cellStyle name="7_전자99상결산진실_상반기_연간손익정리(서대호)_02년 3월 이동_예상손익(전사취합)" xfId="7184"/>
    <cellStyle name="7_전자99상결산진실_상반기_연간손익정리(서대호)_02년 6월 이동_예상손익(전사취합)" xfId="7185"/>
    <cellStyle name="7_전자99상결산진실_상반기_연간손익정리(서대호)_02년간예상손익" xfId="7186"/>
    <cellStyle name="7_전자99상결산진실_상반기_연간손익정리(서대호)_04월 이동계획_전사예상pl" xfId="7187"/>
    <cellStyle name="7_전자99상결산진실_상반기_연간손익정리(서대호)_1월이동손익_전사예상pl" xfId="7188"/>
    <cellStyle name="7_전자99상결산진실_상반기_연간손익정리(서대호)_8월예상" xfId="7189"/>
    <cellStyle name="7_전자99상결산진실_상반기_연간손익정리(서대호)_8월예상_01년간예상손익(12월이동)" xfId="7190"/>
    <cellStyle name="7_전자99상결산진실_상반기_연간손익정리(서대호)_8월예상_01년간예상손익(12월이동)_2" xfId="7191"/>
    <cellStyle name="7_전자99상결산진실_상반기_연간손익정리(서대호)_8월예상_02년 2월 이동_예상손익" xfId="7192"/>
    <cellStyle name="7_전자99상결산진실_상반기_연간손익정리(서대호)_8월예상_02년 2월 이동_예상손익_1" xfId="7193"/>
    <cellStyle name="7_전자99상결산진실_상반기_연간손익정리(서대호)_8월예상_02년 3월 이동_예상손익(전사취합)" xfId="7194"/>
    <cellStyle name="7_전자99상결산진실_상반기_연간손익정리(서대호)_8월예상_02년 6월 이동_예상손익(전사취합)" xfId="7195"/>
    <cellStyle name="7_전자99상결산진실_상반기_연간손익정리(서대호)_8월예상_02년간예상손익" xfId="7196"/>
    <cellStyle name="7_전자99상결산진실_상반기_연간손익정리(서대호)_8월예상_04월 이동계획_전사예상pl" xfId="7197"/>
    <cellStyle name="7_전자99상결산진실_상반기_연간손익정리(서대호)_8월예상_1월이동손익_전사예상pl" xfId="7198"/>
    <cellStyle name="7_전자99상결산진실_상반기_연간손익정리(서대호)_8월예상_obu별손익0112이동" xfId="7199"/>
    <cellStyle name="7_전자99상결산진실_상반기_연간손익정리(서대호)_obu별손익0112이동" xfId="7200"/>
    <cellStyle name="7_전자99상결산진실_상반기_연간손익정리(서대호)_연간예상추정5886_0726" xfId="7201"/>
    <cellStyle name="7_전자99상결산진실_상반기_연간손익정리(서대호)_연간예상추정5886_0726_01년간예상손익(12월이동)" xfId="7202"/>
    <cellStyle name="7_전자99상결산진실_상반기_연간손익정리(서대호)_연간예상추정5886_0726_01년간예상손익(12월이동)_2" xfId="7203"/>
    <cellStyle name="7_전자99상결산진실_상반기_연간손익정리(서대호)_연간예상추정5886_0726_02년 2월 이동_예상손익" xfId="7204"/>
    <cellStyle name="7_전자99상결산진실_상반기_연간손익정리(서대호)_연간예상추정5886_0726_02년 2월 이동_예상손익_1" xfId="7205"/>
    <cellStyle name="7_전자99상결산진실_상반기_연간손익정리(서대호)_연간예상추정5886_0726_02년 3월 이동_예상손익(전사취합)" xfId="7206"/>
    <cellStyle name="7_전자99상결산진실_상반기_연간손익정리(서대호)_연간예상추정5886_0726_02년 6월 이동_예상손익(전사취합)" xfId="7207"/>
    <cellStyle name="7_전자99상결산진실_상반기_연간손익정리(서대호)_연간예상추정5886_0726_02년간예상손익" xfId="7208"/>
    <cellStyle name="7_전자99상결산진실_상반기_연간손익정리(서대호)_연간예상추정5886_0726_04월 이동계획_전사예상pl" xfId="7209"/>
    <cellStyle name="7_전자99상결산진실_상반기_연간손익정리(서대호)_연간예상추정5886_0726_1월이동손익_전사예상pl" xfId="7210"/>
    <cellStyle name="7_전자99상결산진실_상반기_연간손익정리(서대호)_연간예상추정5886_0726_obu별손익0112이동" xfId="7211"/>
    <cellStyle name="7_전자99상결산진실_연간예상추정5886_0726" xfId="7212"/>
    <cellStyle name="7_전자99상결산진실_연간예상추정5886_0726_01년간예상손익(12월이동)" xfId="7213"/>
    <cellStyle name="7_전자99상결산진실_연간예상추정5886_0726_01년간예상손익(12월이동)_2" xfId="7214"/>
    <cellStyle name="7_전자99상결산진실_연간예상추정5886_0726_02년 2월 이동_예상손익" xfId="7215"/>
    <cellStyle name="7_전자99상결산진실_연간예상추정5886_0726_02년 2월 이동_예상손익_1" xfId="7216"/>
    <cellStyle name="7_전자99상결산진실_연간예상추정5886_0726_02년 3월 이동_예상손익(전사취합)" xfId="7217"/>
    <cellStyle name="7_전자99상결산진실_연간예상추정5886_0726_02년 6월 이동_예상손익(전사취합)" xfId="7218"/>
    <cellStyle name="7_전자99상결산진실_연간예상추정5886_0726_02년간예상손익" xfId="7219"/>
    <cellStyle name="7_전자99상결산진실_연간예상추정5886_0726_04월 이동계획_전사예상pl" xfId="7220"/>
    <cellStyle name="7_전자99상결산진실_연간예상추정5886_0726_1월이동손익_전사예상pl" xfId="7221"/>
    <cellStyle name="7_전자99상결산진실_연간예상추정5886_0726_obu별손익0112이동" xfId="7222"/>
    <cellStyle name="7_전자99연간결산진실" xfId="7223"/>
    <cellStyle name="7_전자99연간결산진실_(정우일K)+03년+전략보고+재무구조(030702)" xfId="7224"/>
    <cellStyle name="7_전자99연간결산진실_★05년 매출,손익" xfId="7225"/>
    <cellStyle name="7_전자99연간결산진실_★05년 매출,손익_8월 예상손익 점검" xfId="7226"/>
    <cellStyle name="7_전자99연간결산진실_★05년 매출,손익_8월 예상손익 점검_DM_환율영향분석_본부" xfId="7227"/>
    <cellStyle name="7_전자99연간결산진실_★05년 매출,손익_DM_환율영향분석_본부" xfId="7228"/>
    <cellStyle name="7_전자99연간결산진실_01_예상매출(총액)" xfId="7229"/>
    <cellStyle name="7_전자99연간결산진실_01_예상매출(총액)_01년간예상손익(12월이동)" xfId="7230"/>
    <cellStyle name="7_전자99연간결산진실_01_예상매출(총액)_01년간예상손익(12월이동)_2" xfId="7231"/>
    <cellStyle name="7_전자99연간결산진실_01_예상매출(총액)_02년 2월 이동_예상손익" xfId="7232"/>
    <cellStyle name="7_전자99연간결산진실_01_예상매출(총액)_02년 2월 이동_예상손익_1" xfId="7233"/>
    <cellStyle name="7_전자99연간결산진실_01_예상매출(총액)_02년 3월 이동_예상손익(전사취합)" xfId="7234"/>
    <cellStyle name="7_전자99연간결산진실_01_예상매출(총액)_02년 6월 이동_예상손익(전사취합)" xfId="7235"/>
    <cellStyle name="7_전자99연간결산진실_01_예상매출(총액)_02년간예상손익" xfId="7236"/>
    <cellStyle name="7_전자99연간결산진실_01_예상매출(총액)_04월 이동계획_전사예상pl" xfId="7237"/>
    <cellStyle name="7_전자99연간결산진실_01_예상매출(총액)_1월이동손익_전사예상pl" xfId="7238"/>
    <cellStyle name="7_전자99연간결산진실_01_예상매출(총액)_obu별손익0112이동" xfId="7239"/>
    <cellStyle name="7_전자99연간결산진실_01년간예상손익" xfId="7240"/>
    <cellStyle name="7_전자99연간결산진실_01년간예상손익_01년간예상손익(12월이동)" xfId="7241"/>
    <cellStyle name="7_전자99연간결산진실_01년간예상손익_01년간예상손익(12월이동)_2" xfId="7242"/>
    <cellStyle name="7_전자99연간결산진실_01년간예상손익_02년 2월 이동_예상손익" xfId="7243"/>
    <cellStyle name="7_전자99연간결산진실_01년간예상손익_02년 2월 이동_예상손익_1" xfId="7244"/>
    <cellStyle name="7_전자99연간결산진실_01년간예상손익_02년 3월 이동_예상손익(전사취합)" xfId="7245"/>
    <cellStyle name="7_전자99연간결산진실_01년간예상손익_02년 6월 이동_예상손익(전사취합)" xfId="7246"/>
    <cellStyle name="7_전자99연간결산진실_01년간예상손익_02년간예상손익" xfId="7247"/>
    <cellStyle name="7_전자99연간결산진실_01년간예상손익_04월 이동계획_전사예상pl" xfId="7248"/>
    <cellStyle name="7_전자99연간결산진실_01년간예상손익_1월이동손익_전사예상pl" xfId="7249"/>
    <cellStyle name="7_전자99연간결산진실_01년간예상손익_obu별손익0112이동" xfId="7250"/>
    <cellStyle name="7_전자99연간결산진실_01매출손익(6월 실적반영)" xfId="7251"/>
    <cellStyle name="7_전자99연간결산진실_01매출손익(6월 실적반영)_01년간예상손익(12월이동)" xfId="7252"/>
    <cellStyle name="7_전자99연간결산진실_01매출손익(6월 실적반영)_01년간예상손익(12월이동)_2" xfId="7253"/>
    <cellStyle name="7_전자99연간결산진실_01매출손익(6월 실적반영)_02년 2월 이동_예상손익" xfId="7254"/>
    <cellStyle name="7_전자99연간결산진실_01매출손익(6월 실적반영)_02년 2월 이동_예상손익_1" xfId="7255"/>
    <cellStyle name="7_전자99연간결산진실_01매출손익(6월 실적반영)_02년 3월 이동_예상손익(전사취합)" xfId="7256"/>
    <cellStyle name="7_전자99연간결산진실_01매출손익(6월 실적반영)_02년 6월 이동_예상손익(전사취합)" xfId="7257"/>
    <cellStyle name="7_전자99연간결산진실_01매출손익(6월 실적반영)_02년간예상손익" xfId="7258"/>
    <cellStyle name="7_전자99연간결산진실_01매출손익(6월 실적반영)_04월 이동계획_전사예상pl" xfId="7259"/>
    <cellStyle name="7_전자99연간결산진실_01매출손익(6월 실적반영)_1월이동손익_전사예상pl" xfId="7260"/>
    <cellStyle name="7_전자99연간결산진실_01매출손익(6월 실적반영)_obu별손익0112이동" xfId="7261"/>
    <cellStyle name="7_전자99연간결산진실_02기본_종합장표" xfId="7262"/>
    <cellStyle name="7_전자99연간결산진실_02년사업계획양식V1.0" xfId="7263"/>
    <cellStyle name="7_전자99연간결산진실_02년사업계획양식V1.0_02년사업계획양식V1.0_고동욱_011205" xfId="7264"/>
    <cellStyle name="7_전자99연간결산진실_02년사업계획양식V1.0_02년사업계획양식V1.0_고동욱_011205_02년사업계획양식V2.0" xfId="7265"/>
    <cellStyle name="7_전자99연간결산진실_02년사업계획양식V1.0_02년사업계획양식V1.0_고동욱_011205_02년사업계획양식V2.0_02년사업계획양식V2.0" xfId="7266"/>
    <cellStyle name="7_전자99연간결산진실_02년사업계획양식V1.0_02년사업계획양식V1.0_고동욱_011205_02년사업계획양식V2.0_02년사업계획양식V2.0_02년사업계획양식V3.0" xfId="7267"/>
    <cellStyle name="7_전자99연간결산진실_02년사업계획양식V1.0_02년사업계획양식V1.0_고동욱_011205_02년사업계획양식V2.0_02년사업계획양식V2.0_02년사업계획양식V3.0_02년사업계획양식V3.0" xfId="7268"/>
    <cellStyle name="7_전자99연간결산진실_02년사업계획양식V1.0_02년사업계획양식V1.0_고동욱_011205_02년사업계획양식V2.0_02년사업계획양식V2.0_02년사업계획양식V3.0_02년사업계획양식V3.0(원본)" xfId="7269"/>
    <cellStyle name="7_전자99연간결산진실_02년사업계획양식V1.0_02년사업계획양식V1.0_고동욱_011205_02년사업계획양식V2.0_02년사업계획양식V2.0_02년사업계획양식V3.0_02년사업계획양식V3.0(원본)_1" xfId="7270"/>
    <cellStyle name="7_전자99연간결산진실_02년사업계획양식V1.0_02년사업계획양식V1.0_고동욱_011205_02년사업계획양식V2.0_02년사업계획양식V3.0" xfId="7271"/>
    <cellStyle name="7_전자99연간결산진실_02년사업계획양식V1.0_02년사업계획양식V1.0_고동욱_011205_02년사업계획양식V2.0_02년사업계획양식V3.0(원본)" xfId="7272"/>
    <cellStyle name="7_전자99연간결산진실_02년사업계획양식V1.0_02년사업계획양식V1.0_고동욱_011205_02년사업계획양식V2.0_02년사업계획양식V3.0(원본)_1" xfId="7273"/>
    <cellStyle name="7_전자99연간결산진실_02년사업계획양식V1.0_02년사업계획양식V1.0_고동욱_011205_02년사업계획양식V2.0_02년사업계획양식V3.0_02년사업계획양식V3.0" xfId="7274"/>
    <cellStyle name="7_전자99연간결산진실_02년사업계획양식V1.0_02년사업계획양식V1.0_고동욱_011205_02년사업계획양식V2.0_02년사업계획양식V3.0_02년사업계획양식V3.0_02년사업계획양식V3.0" xfId="7275"/>
    <cellStyle name="7_전자99연간결산진실_02년사업계획양식V1.0_02년사업계획양식V1.0_고동욱_011205_02년사업계획양식V2.0_02년사업계획양식V3.0_02년사업계획양식V3.0_02년사업계획양식V3.0(원본)" xfId="7276"/>
    <cellStyle name="7_전자99연간결산진실_02년사업계획양식V1.0_02년사업계획양식V1.0_고동욱_011205_02년사업계획양식V2.0_02년사업계획양식V3.0_02년사업계획양식V3.0_02년사업계획양식V3.0(원본)_1" xfId="7277"/>
    <cellStyle name="7_전자99연간결산진실_02년사업계획양식V1.0_02년사업계획양식V1.0_고동욱_011205_02년사업계획양식V3.0" xfId="7278"/>
    <cellStyle name="7_전자99연간결산진실_02년사업계획양식V1.0_02년사업계획양식V1.0_고동욱_011205_02년사업계획양식V3.0_02년사업계획양식V3.0" xfId="7279"/>
    <cellStyle name="7_전자99연간결산진실_02년사업계획양식V1.0_02년사업계획양식V1.0_고동욱_011205_02년사업계획양식V3.0_02년사업계획양식V3.0(원본)" xfId="7280"/>
    <cellStyle name="7_전자99연간결산진실_02년사업계획양식V1.0_02년사업계획양식V1.0_고동욱_011205_02년사업계획양식V3.0_02년사업계획양식V3.0(원본)_1" xfId="7281"/>
    <cellStyle name="7_전자99연간결산진실_02년사업계획양식V1.0_02년사업계획양식V1.0_대호(bs수정)" xfId="7282"/>
    <cellStyle name="7_전자99연간결산진실_02년사업계획양식V1.0_02년사업계획양식V1.0_대호(bs수정)_02년사업계획양식V2.0" xfId="7283"/>
    <cellStyle name="7_전자99연간결산진실_02년사업계획양식V1.0_02년사업계획양식V1.0_대호(bs수정)_02년사업계획양식V2.0_02년사업계획양식V2.0" xfId="7284"/>
    <cellStyle name="7_전자99연간결산진실_02년사업계획양식V1.0_02년사업계획양식V1.0_대호(bs수정)_02년사업계획양식V2.0_02년사업계획양식V2.0_02년사업계획양식V3.0" xfId="7285"/>
    <cellStyle name="7_전자99연간결산진실_02년사업계획양식V1.0_02년사업계획양식V1.0_대호(bs수정)_02년사업계획양식V2.0_02년사업계획양식V2.0_02년사업계획양식V3.0_02년사업계획양식V3.0" xfId="7286"/>
    <cellStyle name="7_전자99연간결산진실_02년사업계획양식V1.0_02년사업계획양식V1.0_대호(bs수정)_02년사업계획양식V2.0_02년사업계획양식V2.0_02년사업계획양식V3.0_02년사업계획양식V3.0(원본)" xfId="7287"/>
    <cellStyle name="7_전자99연간결산진실_02년사업계획양식V1.0_02년사업계획양식V1.0_대호(bs수정)_02년사업계획양식V2.0_02년사업계획양식V2.0_02년사업계획양식V3.0_02년사업계획양식V3.0(원본)_1" xfId="7288"/>
    <cellStyle name="7_전자99연간결산진실_02년사업계획양식V1.0_02년사업계획양식V1.0_대호(bs수정)_02년사업계획양식V2.0_02년사업계획양식V3.0" xfId="7289"/>
    <cellStyle name="7_전자99연간결산진실_02년사업계획양식V1.0_02년사업계획양식V1.0_대호(bs수정)_02년사업계획양식V2.0_02년사업계획양식V3.0(원본)" xfId="7290"/>
    <cellStyle name="7_전자99연간결산진실_02년사업계획양식V1.0_02년사업계획양식V1.0_대호(bs수정)_02년사업계획양식V2.0_02년사업계획양식V3.0(원본)_1" xfId="7291"/>
    <cellStyle name="7_전자99연간결산진실_02년사업계획양식V1.0_02년사업계획양식V1.0_대호(bs수정)_02년사업계획양식V2.0_02년사업계획양식V3.0_02년사업계획양식V3.0" xfId="7292"/>
    <cellStyle name="7_전자99연간결산진실_02년사업계획양식V1.0_02년사업계획양식V1.0_대호(bs수정)_02년사업계획양식V2.0_02년사업계획양식V3.0_02년사업계획양식V3.0_02년사업계획양식V3.0" xfId="7293"/>
    <cellStyle name="7_전자99연간결산진실_02년사업계획양식V1.0_02년사업계획양식V1.0_대호(bs수정)_02년사업계획양식V2.0_02년사업계획양식V3.0_02년사업계획양식V3.0_02년사업계획양식V3.0(원본)" xfId="7294"/>
    <cellStyle name="7_전자99연간결산진실_02년사업계획양식V1.0_02년사업계획양식V1.0_대호(bs수정)_02년사업계획양식V2.0_02년사업계획양식V3.0_02년사업계획양식V3.0_02년사업계획양식V3.0(원본)_1" xfId="7295"/>
    <cellStyle name="7_전자99연간결산진실_02년사업계획양식V1.0_02년사업계획양식V1.0_대호(bs수정)_02년사업계획양식V3.0" xfId="7296"/>
    <cellStyle name="7_전자99연간결산진실_02년사업계획양식V1.0_02년사업계획양식V1.0_대호(bs수정)_02년사업계획양식V3.0_02년사업계획양식V3.0" xfId="7297"/>
    <cellStyle name="7_전자99연간결산진실_02년사업계획양식V1.0_02년사업계획양식V1.0_대호(bs수정)_02년사업계획양식V3.0_02년사업계획양식V3.0(원본)" xfId="7298"/>
    <cellStyle name="7_전자99연간결산진실_02년사업계획양식V1.0_02년사업계획양식V1.0_대호(bs수정)_02년사업계획양식V3.0_02년사업계획양식V3.0(원본)_1" xfId="7299"/>
    <cellStyle name="7_전자99연간결산진실_02년사업계획양식V1.0_02년사업계획양식V2.0" xfId="7300"/>
    <cellStyle name="7_전자99연간결산진실_02년사업계획양식V1.0_02년사업계획양식V2.0_02년사업계획양식V3.0" xfId="7301"/>
    <cellStyle name="7_전자99연간결산진실_02년사업계획양식V1.0_02년사업계획양식V2.0_02년사업계획양식V3.0_02년사업계획양식V3.0" xfId="7302"/>
    <cellStyle name="7_전자99연간결산진실_02년사업계획양식V1.0_02년사업계획양식V2.0_02년사업계획양식V3.0_02년사업계획양식V3.0(원본)" xfId="7303"/>
    <cellStyle name="7_전자99연간결산진실_02년사업계획양식V1.0_02년사업계획양식V2.0_02년사업계획양식V3.0_02년사업계획양식V3.0(원본)_1" xfId="7304"/>
    <cellStyle name="7_전자99연간결산진실_02년사업계획양식V1.0_02년사업계획양식V3.0" xfId="7305"/>
    <cellStyle name="7_전자99연간결산진실_02년사업계획양식V1.0_02년사업계획양식V3.0(원본)" xfId="7306"/>
    <cellStyle name="7_전자99연간결산진실_02년사업계획양식V1.0_02년사업계획양식V3.0(원본)_1" xfId="7307"/>
    <cellStyle name="7_전자99연간결산진실_02년사업계획양식V1.0_02년사업계획양식V3.0_02년사업계획양식V3.0" xfId="7308"/>
    <cellStyle name="7_전자99연간결산진실_02년사업계획양식V1.0_02년사업계획양식V3.0_02년사업계획양식V3.0_02년사업계획양식V3.0" xfId="7309"/>
    <cellStyle name="7_전자99연간결산진실_02년사업계획양식V1.0_02년사업계획양식V3.0_02년사업계획양식V3.0_02년사업계획양식V3.0(원본)" xfId="7310"/>
    <cellStyle name="7_전자99연간결산진실_02년사업계획양식V1.0_02년사업계획양식V3.0_02년사업계획양식V3.0_02년사업계획양식V3.0(원본)_1" xfId="7311"/>
    <cellStyle name="7_전자99연간결산진실_02년사업계획양식V1.0_고동욱_011130" xfId="7312"/>
    <cellStyle name="7_전자99연간결산진실_02년사업계획양식V1.0_고동욱_011130_02년사업계획양식V2.0" xfId="7313"/>
    <cellStyle name="7_전자99연간결산진실_02년사업계획양식V1.0_고동욱_011130_02년사업계획양식V2.0_02년사업계획양식V2.0" xfId="7314"/>
    <cellStyle name="7_전자99연간결산진실_02년사업계획양식V1.0_고동욱_011130_02년사업계획양식V2.0_02년사업계획양식V2.0_02년사업계획양식V3.0" xfId="7315"/>
    <cellStyle name="7_전자99연간결산진실_02년사업계획양식V1.0_고동욱_011130_02년사업계획양식V2.0_02년사업계획양식V2.0_02년사업계획양식V3.0_02년사업계획양식V3.0" xfId="7316"/>
    <cellStyle name="7_전자99연간결산진실_02년사업계획양식V1.0_고동욱_011130_02년사업계획양식V2.0_02년사업계획양식V2.0_02년사업계획양식V3.0_02년사업계획양식V3.0(원본)" xfId="7317"/>
    <cellStyle name="7_전자99연간결산진실_02년사업계획양식V1.0_고동욱_011130_02년사업계획양식V2.0_02년사업계획양식V2.0_02년사업계획양식V3.0_02년사업계획양식V3.0(원본)_1" xfId="7318"/>
    <cellStyle name="7_전자99연간결산진실_02년사업계획양식V1.0_고동욱_011130_02년사업계획양식V2.0_02년사업계획양식V3.0" xfId="7319"/>
    <cellStyle name="7_전자99연간결산진실_02년사업계획양식V1.0_고동욱_011130_02년사업계획양식V2.0_02년사업계획양식V3.0(원본)" xfId="7320"/>
    <cellStyle name="7_전자99연간결산진실_02년사업계획양식V1.0_고동욱_011130_02년사업계획양식V2.0_02년사업계획양식V3.0(원본)_1" xfId="7321"/>
    <cellStyle name="7_전자99연간결산진실_02년사업계획양식V1.0_고동욱_011130_02년사업계획양식V2.0_02년사업계획양식V3.0_02년사업계획양식V3.0" xfId="7322"/>
    <cellStyle name="7_전자99연간결산진실_02년사업계획양식V1.0_고동욱_011130_02년사업계획양식V2.0_02년사업계획양식V3.0_02년사업계획양식V3.0_02년사업계획양식V3.0" xfId="7323"/>
    <cellStyle name="7_전자99연간결산진실_02년사업계획양식V1.0_고동욱_011130_02년사업계획양식V2.0_02년사업계획양식V3.0_02년사업계획양식V3.0_02년사업계획양식V3.0(원본)" xfId="7324"/>
    <cellStyle name="7_전자99연간결산진실_02년사업계획양식V1.0_고동욱_011130_02년사업계획양식V2.0_02년사업계획양식V3.0_02년사업계획양식V3.0_02년사업계획양식V3.0(원본)_1" xfId="7325"/>
    <cellStyle name="7_전자99연간결산진실_02년사업계획양식V1.0_고동욱_011130_02년사업계획양식V3.0" xfId="7326"/>
    <cellStyle name="7_전자99연간결산진실_02년사업계획양식V1.0_고동욱_011130_02년사업계획양식V3.0_02년사업계획양식V3.0" xfId="7327"/>
    <cellStyle name="7_전자99연간결산진실_02년사업계획양식V1.0_고동욱_011130_02년사업계획양식V3.0_02년사업계획양식V3.0(원본)" xfId="7328"/>
    <cellStyle name="7_전자99연간결산진실_02년사업계획양식V1.0_고동욱_011130_02년사업계획양식V3.0_02년사업계획양식V3.0(원본)_1" xfId="7329"/>
    <cellStyle name="7_전자99연간결산진실_02년사업계획양식V1.0_고동욱_011205" xfId="7330"/>
    <cellStyle name="7_전자99연간결산진실_02년사업계획양식V1.0_고동욱_011205_02년사업계획양식V2.0" xfId="7331"/>
    <cellStyle name="7_전자99연간결산진실_02년사업계획양식V1.0_고동욱_011205_02년사업계획양식V2.0_02년사업계획양식V2.0" xfId="7332"/>
    <cellStyle name="7_전자99연간결산진실_02년사업계획양식V1.0_고동욱_011205_02년사업계획양식V2.0_02년사업계획양식V2.0_02년사업계획양식V3.0" xfId="7333"/>
    <cellStyle name="7_전자99연간결산진실_02년사업계획양식V1.0_고동욱_011205_02년사업계획양식V2.0_02년사업계획양식V2.0_02년사업계획양식V3.0_02년사업계획양식V3.0" xfId="7334"/>
    <cellStyle name="7_전자99연간결산진실_02년사업계획양식V1.0_고동욱_011205_02년사업계획양식V2.0_02년사업계획양식V2.0_02년사업계획양식V3.0_02년사업계획양식V3.0(원본)" xfId="7335"/>
    <cellStyle name="7_전자99연간결산진실_02년사업계획양식V1.0_고동욱_011205_02년사업계획양식V2.0_02년사업계획양식V2.0_02년사업계획양식V3.0_02년사업계획양식V3.0(원본)_1" xfId="7336"/>
    <cellStyle name="7_전자99연간결산진실_02년사업계획양식V1.0_고동욱_011205_02년사업계획양식V2.0_02년사업계획양식V3.0" xfId="7337"/>
    <cellStyle name="7_전자99연간결산진실_02년사업계획양식V1.0_고동욱_011205_02년사업계획양식V2.0_02년사업계획양식V3.0(원본)" xfId="7338"/>
    <cellStyle name="7_전자99연간결산진실_02년사업계획양식V1.0_고동욱_011205_02년사업계획양식V2.0_02년사업계획양식V3.0(원본)_1" xfId="7339"/>
    <cellStyle name="7_전자99연간결산진실_02년사업계획양식V1.0_고동욱_011205_02년사업계획양식V2.0_02년사업계획양식V3.0_02년사업계획양식V3.0" xfId="7340"/>
    <cellStyle name="7_전자99연간결산진실_02년사업계획양식V1.0_고동욱_011205_02년사업계획양식V2.0_02년사업계획양식V3.0_02년사업계획양식V3.0_02년사업계획양식V3.0" xfId="7341"/>
    <cellStyle name="7_전자99연간결산진실_02년사업계획양식V1.0_고동욱_011205_02년사업계획양식V2.0_02년사업계획양식V3.0_02년사업계획양식V3.0_02년사업계획양식V3.0(원본)" xfId="7342"/>
    <cellStyle name="7_전자99연간결산진실_02년사업계획양식V1.0_고동욱_011205_02년사업계획양식V2.0_02년사업계획양식V3.0_02년사업계획양식V3.0_02년사업계획양식V3.0(원본)_1" xfId="7343"/>
    <cellStyle name="7_전자99연간결산진실_02년사업계획양식V1.0_고동욱_011205_02년사업계획양식V3.0" xfId="7344"/>
    <cellStyle name="7_전자99연간결산진실_02년사업계획양식V1.0_고동욱_011205_02년사업계획양식V3.0_02년사업계획양식V3.0" xfId="7345"/>
    <cellStyle name="7_전자99연간결산진실_02년사업계획양식V1.0_고동욱_011205_02년사업계획양식V3.0_02년사업계획양식V3.0(원본)" xfId="7346"/>
    <cellStyle name="7_전자99연간결산진실_02년사업계획양식V1.0_고동욱_011205_02년사업계획양식V3.0_02년사업계획양식V3.0(원본)_1" xfId="7347"/>
    <cellStyle name="7_전자99연간결산진실_02년사업계획양식V1.0_대호(bs수정)" xfId="7348"/>
    <cellStyle name="7_전자99연간결산진실_02년사업계획양식V1.0_대호(bs수정)_02년사업계획양식V2.0" xfId="7349"/>
    <cellStyle name="7_전자99연간결산진실_02년사업계획양식V1.0_대호(bs수정)_02년사업계획양식V2.0_02년사업계획양식V2.0" xfId="7350"/>
    <cellStyle name="7_전자99연간결산진실_02년사업계획양식V1.0_대호(bs수정)_02년사업계획양식V2.0_02년사업계획양식V2.0_02년사업계획양식V3.0" xfId="7351"/>
    <cellStyle name="7_전자99연간결산진실_02년사업계획양식V1.0_대호(bs수정)_02년사업계획양식V2.0_02년사업계획양식V2.0_02년사업계획양식V3.0_02년사업계획양식V3.0" xfId="7352"/>
    <cellStyle name="7_전자99연간결산진실_02년사업계획양식V1.0_대호(bs수정)_02년사업계획양식V2.0_02년사업계획양식V2.0_02년사업계획양식V3.0_02년사업계획양식V3.0(원본)" xfId="7353"/>
    <cellStyle name="7_전자99연간결산진실_02년사업계획양식V1.0_대호(bs수정)_02년사업계획양식V2.0_02년사업계획양식V2.0_02년사업계획양식V3.0_02년사업계획양식V3.0(원본)_1" xfId="7354"/>
    <cellStyle name="7_전자99연간결산진실_02년사업계획양식V1.0_대호(bs수정)_02년사업계획양식V2.0_02년사업계획양식V3.0" xfId="7355"/>
    <cellStyle name="7_전자99연간결산진실_02년사업계획양식V1.0_대호(bs수정)_02년사업계획양식V2.0_02년사업계획양식V3.0(원본)" xfId="7356"/>
    <cellStyle name="7_전자99연간결산진실_02년사업계획양식V1.0_대호(bs수정)_02년사업계획양식V2.0_02년사업계획양식V3.0(원본)_1" xfId="7357"/>
    <cellStyle name="7_전자99연간결산진실_02년사업계획양식V1.0_대호(bs수정)_02년사업계획양식V2.0_02년사업계획양식V3.0_02년사업계획양식V3.0" xfId="7358"/>
    <cellStyle name="7_전자99연간결산진실_02년사업계획양식V1.0_대호(bs수정)_02년사업계획양식V2.0_02년사업계획양식V3.0_02년사업계획양식V3.0_02년사업계획양식V3.0" xfId="7359"/>
    <cellStyle name="7_전자99연간결산진실_02년사업계획양식V1.0_대호(bs수정)_02년사업계획양식V2.0_02년사업계획양식V3.0_02년사업계획양식V3.0_02년사업계획양식V3.0(원본)" xfId="7360"/>
    <cellStyle name="7_전자99연간결산진실_02년사업계획양식V1.0_대호(bs수정)_02년사업계획양식V2.0_02년사업계획양식V3.0_02년사업계획양식V3.0_02년사업계획양식V3.0(원본)_1" xfId="7361"/>
    <cellStyle name="7_전자99연간결산진실_02년사업계획양식V1.0_대호(bs수정)_02년사업계획양식V3.0" xfId="7362"/>
    <cellStyle name="7_전자99연간결산진실_02년사업계획양식V1.0_대호(bs수정)_02년사업계획양식V3.0_02년사업계획양식V3.0" xfId="7363"/>
    <cellStyle name="7_전자99연간결산진실_02년사업계획양식V1.0_대호(bs수정)_02년사업계획양식V3.0_02년사업계획양식V3.0(원본)" xfId="7364"/>
    <cellStyle name="7_전자99연간결산진실_02년사업계획양식V1.0_대호(bs수정)_02년사업계획양식V3.0_02년사업계획양식V3.0(원본)_1" xfId="7365"/>
    <cellStyle name="7_전자99연간결산진실_02년사업계획양식V2.0" xfId="7366"/>
    <cellStyle name="7_전자99연간결산진실_02년사업계획양식V2.0_02년사업계획양식V3.0" xfId="7367"/>
    <cellStyle name="7_전자99연간결산진실_02년사업계획양식V2.0_02년사업계획양식V3.0_02년사업계획양식V3.0" xfId="7368"/>
    <cellStyle name="7_전자99연간결산진실_02년사업계획양식V2.0_02년사업계획양식V3.0_02년사업계획양식V3.0(원본)" xfId="7369"/>
    <cellStyle name="7_전자99연간결산진실_02년사업계획양식V2.0_02년사업계획양식V3.0_02년사업계획양식V3.0(원본)_1" xfId="7370"/>
    <cellStyle name="7_전자99연간결산진실_02년사업계획양식V3.0" xfId="7371"/>
    <cellStyle name="7_전자99연간결산진실_02년사업계획양식V3.0(원본)" xfId="7372"/>
    <cellStyle name="7_전자99연간결산진실_02년사업계획양식V3.0(원본)_1" xfId="7373"/>
    <cellStyle name="7_전자99연간결산진실_02년사업계획양식V3.0_02년사업계획양식V3.0" xfId="7374"/>
    <cellStyle name="7_전자99연간결산진실_02년사업계획양식V3.0_02년사업계획양식V3.0_02년사업계획양식V3.0" xfId="7375"/>
    <cellStyle name="7_전자99연간결산진실_02년사업계획양식V3.0_02년사업계획양식V3.0_02년사업계획양식V3.0(원본)" xfId="7376"/>
    <cellStyle name="7_전자99연간결산진실_02년사업계획양식V3.0_02년사업계획양식V3.0_02년사업계획양식V3.0(원본)_1" xfId="7377"/>
    <cellStyle name="7_전자99연간결산진실_02년예상+연결기초자료+이익율+배당금+경영지원금" xfId="7378"/>
    <cellStyle name="7_전자99연간결산진실_02년예상+연결자료(GSM)" xfId="7379"/>
    <cellStyle name="7_전자99연간결산진실_02혁신_종합장표" xfId="7380"/>
    <cellStyle name="7_전자99연간결산진실_03 01 10 혁신(사업부양식)" xfId="7381"/>
    <cellStyle name="7_전자99연간결산진실_03_사업계획양식(MASS_Link)_1104" xfId="7382"/>
    <cellStyle name="7_전자99연간결산진실_030124 혁신재료비9" xfId="7383"/>
    <cellStyle name="7_전자99연간결산진실_03기본_종합장표" xfId="7384"/>
    <cellStyle name="7_전자99연간결산진실_03법인비용_회수양식_AC" xfId="7385"/>
    <cellStyle name="7_전자99연간결산진실_03혁신_종합장표" xfId="7386"/>
    <cellStyle name="7_전자99연간결산진실_10월차이동계획" xfId="7387"/>
    <cellStyle name="7_전자99연간결산진실_10월차이동계획_01년간예상손익(12월이동)" xfId="7388"/>
    <cellStyle name="7_전자99연간결산진실_10월차이동계획_01년간예상손익(12월이동)_2" xfId="7389"/>
    <cellStyle name="7_전자99연간결산진실_10월차이동계획_02년 2월 이동_예상손익" xfId="7390"/>
    <cellStyle name="7_전자99연간결산진실_10월차이동계획_02년 2월 이동_예상손익_1" xfId="7391"/>
    <cellStyle name="7_전자99연간결산진실_10월차이동계획_02년 3월 이동_예상손익(전사취합)" xfId="7392"/>
    <cellStyle name="7_전자99연간결산진실_10월차이동계획_02년 6월 이동_예상손익(전사취합)" xfId="7393"/>
    <cellStyle name="7_전자99연간결산진실_10월차이동계획_02년간예상손익" xfId="7394"/>
    <cellStyle name="7_전자99연간결산진실_10월차이동계획_04월 이동계획_전사예상pl" xfId="7395"/>
    <cellStyle name="7_전자99연간결산진실_10월차이동계획_1월이동손익_전사예상pl" xfId="7396"/>
    <cellStyle name="7_전자99연간결산진실_10월차이동계획_obu별손익0112이동" xfId="7397"/>
    <cellStyle name="7_전자99연간결산진실_2001년 01월차 이동계획_0102" xfId="7398"/>
    <cellStyle name="7_전자99연간결산진실_2001년 01월차 이동계획_0102_2001년 05월 이동계획_" xfId="7399"/>
    <cellStyle name="7_전자99연간결산진실_2001년 01월차 이동계획_0102_2001년 06월 이동계획_(Maximum)" xfId="7400"/>
    <cellStyle name="7_전자99연간결산진실_2001년 01월차 이동계획_0102_2001년 07월차 이동계획보고_" xfId="7401"/>
    <cellStyle name="7_전자99연간결산진실_2001년 01월차 이동계획_0102_2002년_02월차_이동계획보고_" xfId="7402"/>
    <cellStyle name="7_전자99연간결산진실_2001년 01월차 이동계획_0102_2002년_03월차_이동계획보고_" xfId="7403"/>
    <cellStyle name="7_전자99연간결산진실_2001년 01월차 이동계획_0102_2002년_03월차_이동계획보고_1차수정" xfId="7404"/>
    <cellStyle name="7_전자99연간결산진실_2001년 01월차 이동계획_0102_2002년_05월차_이동계획보고_" xfId="7405"/>
    <cellStyle name="7_전자99연간결산진실_2001년 01월차 이동계획_0102_2002년_06월차_이동계획보고_기종별수정" xfId="7406"/>
    <cellStyle name="7_전자99연간결산진실_2001년 01월차 이동계획_0102_2002년_07월차_이동계획보고_수정중_철판 반영후_최종" xfId="7407"/>
    <cellStyle name="7_전자99연간결산진실_2001년 01월차 이동계획_0102_2002년_07월차_이동계획보고_수정중0628_2" xfId="7408"/>
    <cellStyle name="7_전자99연간결산진실_2001년 01월차 이동계획_0102_VVR0J9DV" xfId="7409"/>
    <cellStyle name="7_전자99연간결산진실_2001년 02월 실적예상_02월21일기준" xfId="7410"/>
    <cellStyle name="7_전자99연간결산진실_2001년 02월 실적예상_02월21일기준_2001년 05월 이동계획_" xfId="7411"/>
    <cellStyle name="7_전자99연간결산진실_2001년 02월 실적예상_02월21일기준_2001년 06월 이동계획_(Maximum)" xfId="7412"/>
    <cellStyle name="7_전자99연간결산진실_2001년 02월 실적예상_02월21일기준_2001년 07월차 이동계획보고_" xfId="7413"/>
    <cellStyle name="7_전자99연간결산진실_2001년 02월 실적예상_02월21일기준_2002년_02월차_이동계획보고_" xfId="7414"/>
    <cellStyle name="7_전자99연간결산진실_2001년 02월 실적예상_02월21일기준_2002년_03월차_이동계획보고_" xfId="7415"/>
    <cellStyle name="7_전자99연간결산진실_2001년 02월 실적예상_02월21일기준_2002년_03월차_이동계획보고_1차수정" xfId="7416"/>
    <cellStyle name="7_전자99연간결산진실_2001년 02월 실적예상_02월21일기준_2002년_05월차_이동계획보고_" xfId="7417"/>
    <cellStyle name="7_전자99연간결산진실_2001년 02월 실적예상_02월21일기준_2002년_06월차_이동계획보고_기종별수정" xfId="7418"/>
    <cellStyle name="7_전자99연간결산진실_2001년 02월 실적예상_02월21일기준_2002년_07월차_이동계획보고_수정중_철판 반영후_최종" xfId="7419"/>
    <cellStyle name="7_전자99연간결산진실_2001년 02월 실적예상_02월21일기준_2002년_07월차_이동계획보고_수정중0628_2" xfId="7420"/>
    <cellStyle name="7_전자99연간결산진실_2001년 02월 실적예상_02월21일기준_VVR0J9DV" xfId="7421"/>
    <cellStyle name="7_전자99연간결산진실_2001년 02월차 이동계획_" xfId="7422"/>
    <cellStyle name="7_전자99연간결산진실_2001년 02월차 이동계획__2001년 05월 이동계획_" xfId="7423"/>
    <cellStyle name="7_전자99연간결산진실_2001년 02월차 이동계획__2001년 06월 이동계획_(Maximum)" xfId="7424"/>
    <cellStyle name="7_전자99연간결산진실_2001년 02월차 이동계획__2001년 07월차 이동계획보고_" xfId="7425"/>
    <cellStyle name="7_전자99연간결산진실_2001년 02월차 이동계획__2002년_02월차_이동계획보고_" xfId="7426"/>
    <cellStyle name="7_전자99연간결산진실_2001년 02월차 이동계획__2002년_03월차_이동계획보고_" xfId="7427"/>
    <cellStyle name="7_전자99연간결산진실_2001년 02월차 이동계획__2002년_03월차_이동계획보고_1차수정" xfId="7428"/>
    <cellStyle name="7_전자99연간결산진실_2001년 02월차 이동계획__2002년_05월차_이동계획보고_" xfId="7429"/>
    <cellStyle name="7_전자99연간결산진실_2001년 02월차 이동계획__2002년_06월차_이동계획보고_기종별수정" xfId="7430"/>
    <cellStyle name="7_전자99연간결산진실_2001년 02월차 이동계획__2002년_07월차_이동계획보고_수정중_철판 반영후_최종" xfId="7431"/>
    <cellStyle name="7_전자99연간결산진실_2001년 02월차 이동계획__2002년_07월차_이동계획보고_수정중0628_2" xfId="7432"/>
    <cellStyle name="7_전자99연간결산진실_2001년 02월차 이동계획__VVR0J9DV" xfId="7433"/>
    <cellStyle name="7_전자99연간결산진실_2002년_월별사업계획전산_DM" xfId="7434"/>
    <cellStyle name="7_전자99연간결산진실_2002년_월별사업계획전산_DM_02년사업계획양식V1.0_대호(bs수정)" xfId="7435"/>
    <cellStyle name="7_전자99연간결산진실_2002년_월별사업계획전산_DM_02년사업계획양식V1.0_대호(bs수정)_02년사업계획양식V2.0" xfId="7436"/>
    <cellStyle name="7_전자99연간결산진실_2002년_월별사업계획전산_DM_02년사업계획양식V1.0_대호(bs수정)_02년사업계획양식V2.0_02년사업계획양식V2.0" xfId="7437"/>
    <cellStyle name="7_전자99연간결산진실_2002년_월별사업계획전산_DM_02년사업계획양식V1.0_대호(bs수정)_02년사업계획양식V2.0_02년사업계획양식V2.0_02년사업계획양식V3.0" xfId="7438"/>
    <cellStyle name="7_전자99연간결산진실_2002년_월별사업계획전산_DM_02년사업계획양식V1.0_대호(bs수정)_02년사업계획양식V2.0_02년사업계획양식V2.0_02년사업계획양식V3.0_02년사업계획양식V3.0" xfId="7439"/>
    <cellStyle name="7_전자99연간결산진실_2002년_월별사업계획전산_DM_02년사업계획양식V1.0_대호(bs수정)_02년사업계획양식V2.0_02년사업계획양식V2.0_02년사업계획양식V3.0_02년사업계획양식V3.0(원본)" xfId="7440"/>
    <cellStyle name="7_전자99연간결산진실_2002년_월별사업계획전산_DM_02년사업계획양식V1.0_대호(bs수정)_02년사업계획양식V2.0_02년사업계획양식V2.0_02년사업계획양식V3.0_02년사업계획양식V3.0(원본)_1" xfId="7441"/>
    <cellStyle name="7_전자99연간결산진실_2002년_월별사업계획전산_DM_02년사업계획양식V1.0_대호(bs수정)_02년사업계획양식V2.0_02년사업계획양식V3.0" xfId="7442"/>
    <cellStyle name="7_전자99연간결산진실_2002년_월별사업계획전산_DM_02년사업계획양식V1.0_대호(bs수정)_02년사업계획양식V2.0_02년사업계획양식V3.0(원본)" xfId="7443"/>
    <cellStyle name="7_전자99연간결산진실_2002년_월별사업계획전산_DM_02년사업계획양식V1.0_대호(bs수정)_02년사업계획양식V2.0_02년사업계획양식V3.0(원본)_1" xfId="7444"/>
    <cellStyle name="7_전자99연간결산진실_2002년_월별사업계획전산_DM_02년사업계획양식V1.0_대호(bs수정)_02년사업계획양식V2.0_02년사업계획양식V3.0_02년사업계획양식V3.0" xfId="7445"/>
    <cellStyle name="7_전자99연간결산진실_2002년_월별사업계획전산_DM_02년사업계획양식V1.0_대호(bs수정)_02년사업계획양식V2.0_02년사업계획양식V3.0_02년사업계획양식V3.0_02년사업계획양식V3.0" xfId="7446"/>
    <cellStyle name="7_전자99연간결산진실_2002년_월별사업계획전산_DM_02년사업계획양식V1.0_대호(bs수정)_02년사업계획양식V2.0_02년사업계획양식V3.0_02년사업계획양식V3.0_02년사업계획양식V3.0(원본)" xfId="7447"/>
    <cellStyle name="7_전자99연간결산진실_2002년_월별사업계획전산_DM_02년사업계획양식V1.0_대호(bs수정)_02년사업계획양식V2.0_02년사업계획양식V3.0_02년사업계획양식V3.0_02년사업계획양식V3.0(원본)_1" xfId="7448"/>
    <cellStyle name="7_전자99연간결산진실_2002년_월별사업계획전산_DM_02년사업계획양식V1.0_대호(bs수정)_02년사업계획양식V3.0" xfId="7449"/>
    <cellStyle name="7_전자99연간결산진실_2002년_월별사업계획전산_DM_02년사업계획양식V1.0_대호(bs수정)_02년사업계획양식V3.0_02년사업계획양식V3.0" xfId="7450"/>
    <cellStyle name="7_전자99연간결산진실_2002년_월별사업계획전산_DM_02년사업계획양식V1.0_대호(bs수정)_02년사업계획양식V3.0_02년사업계획양식V3.0(원본)" xfId="7451"/>
    <cellStyle name="7_전자99연간결산진실_2002년_월별사업계획전산_DM_02년사업계획양식V1.0_대호(bs수정)_02년사업계획양식V3.0_02년사업계획양식V3.0(원본)_1" xfId="7452"/>
    <cellStyle name="7_전자99연간결산진실_2002년_월별사업계획전산_DM_02년사업계획양식V2.0" xfId="7453"/>
    <cellStyle name="7_전자99연간결산진실_2002년_월별사업계획전산_DM_02년사업계획양식V2.0_02년사업계획양식V3.0" xfId="7454"/>
    <cellStyle name="7_전자99연간결산진실_2002년_월별사업계획전산_DM_02년사업계획양식V2.0_02년사업계획양식V3.0_02년사업계획양식V3.0" xfId="7455"/>
    <cellStyle name="7_전자99연간결산진실_2002년_월별사업계획전산_DM_02년사업계획양식V2.0_02년사업계획양식V3.0_02년사업계획양식V3.0(원본)" xfId="7456"/>
    <cellStyle name="7_전자99연간결산진실_2002년_월별사업계획전산_DM_02년사업계획양식V2.0_02년사업계획양식V3.0_02년사업계획양식V3.0(원본)_1" xfId="7457"/>
    <cellStyle name="7_전자99연간결산진실_2002년_월별사업계획전산_DM_02년사업계획양식V3.0" xfId="7458"/>
    <cellStyle name="7_전자99연간결산진실_2002년_월별사업계획전산_DM_02년사업계획양식V3.0(원본)" xfId="7459"/>
    <cellStyle name="7_전자99연간결산진실_2002년_월별사업계획전산_DM_02년사업계획양식V3.0(원본)_1" xfId="7460"/>
    <cellStyle name="7_전자99연간결산진실_2002년_월별사업계획전산_DM_02년사업계획양식V3.0_02년사업계획양식V3.0" xfId="7461"/>
    <cellStyle name="7_전자99연간결산진실_2002년_월별사업계획전산_DM_02년사업계획양식V3.0_02년사업계획양식V3.0_02년사업계획양식V3.0" xfId="7462"/>
    <cellStyle name="7_전자99연간결산진실_2002년_월별사업계획전산_DM_02년사업계획양식V3.0_02년사업계획양식V3.0_02년사업계획양식V3.0(원본)" xfId="7463"/>
    <cellStyle name="7_전자99연간결산진실_2002년_월별사업계획전산_DM_02년사업계획양식V3.0_02년사업계획양식V3.0_02년사업계획양식V3.0(원본)_1" xfId="7464"/>
    <cellStyle name="7_전자99연간결산진실_5월이동_전사손익" xfId="7465"/>
    <cellStyle name="7_전자99연간결산진실_5월이동_전사손익_01년간예상손익(12월이동)" xfId="7466"/>
    <cellStyle name="7_전자99연간결산진실_5월이동_전사손익_01년간예상손익(12월이동)_2" xfId="7467"/>
    <cellStyle name="7_전자99연간결산진실_5월이동_전사손익_01매출손익(6월 실적반영)" xfId="7468"/>
    <cellStyle name="7_전자99연간결산진실_5월이동_전사손익_01매출손익(6월 실적반영)_01년간예상손익(12월이동)" xfId="7469"/>
    <cellStyle name="7_전자99연간결산진실_5월이동_전사손익_01매출손익(6월 실적반영)_01년간예상손익(12월이동)_2" xfId="7470"/>
    <cellStyle name="7_전자99연간결산진실_5월이동_전사손익_01매출손익(6월 실적반영)_02년 2월 이동_예상손익" xfId="7471"/>
    <cellStyle name="7_전자99연간결산진실_5월이동_전사손익_01매출손익(6월 실적반영)_02년 2월 이동_예상손익_1" xfId="7472"/>
    <cellStyle name="7_전자99연간결산진실_5월이동_전사손익_01매출손익(6월 실적반영)_02년 3월 이동_예상손익(전사취합)" xfId="7473"/>
    <cellStyle name="7_전자99연간결산진실_5월이동_전사손익_01매출손익(6월 실적반영)_02년 6월 이동_예상손익(전사취합)" xfId="7474"/>
    <cellStyle name="7_전자99연간결산진실_5월이동_전사손익_01매출손익(6월 실적반영)_02년간예상손익" xfId="7475"/>
    <cellStyle name="7_전자99연간결산진실_5월이동_전사손익_01매출손익(6월 실적반영)_04월 이동계획_전사예상pl" xfId="7476"/>
    <cellStyle name="7_전자99연간결산진실_5월이동_전사손익_01매출손익(6월 실적반영)_1월이동손익_전사예상pl" xfId="7477"/>
    <cellStyle name="7_전자99연간결산진실_5월이동_전사손익_01매출손익(6월 실적반영)_obu별손익0112이동" xfId="7478"/>
    <cellStyle name="7_전자99연간결산진실_5월이동_전사손익_02년 2월 이동_예상손익" xfId="7479"/>
    <cellStyle name="7_전자99연간결산진실_5월이동_전사손익_02년 2월 이동_예상손익_1" xfId="7480"/>
    <cellStyle name="7_전자99연간결산진실_5월이동_전사손익_02년 3월 이동_예상손익(전사취합)" xfId="7481"/>
    <cellStyle name="7_전자99연간결산진실_5월이동_전사손익_02년 6월 이동_예상손익(전사취합)" xfId="7482"/>
    <cellStyle name="7_전자99연간결산진실_5월이동_전사손익_02년간예상손익" xfId="7483"/>
    <cellStyle name="7_전자99연간결산진실_5월이동_전사손익_04월 이동계획_전사예상pl" xfId="7484"/>
    <cellStyle name="7_전자99연간결산진실_5월이동_전사손익_06전사손익" xfId="7485"/>
    <cellStyle name="7_전자99연간결산진실_5월이동_전사손익_06전사손익_01년간예상손익(12월이동)" xfId="7486"/>
    <cellStyle name="7_전자99연간결산진실_5월이동_전사손익_06전사손익_01년간예상손익(12월이동)_2" xfId="7487"/>
    <cellStyle name="7_전자99연간결산진실_5월이동_전사손익_06전사손익_01매출손익(6월 실적반영)" xfId="7488"/>
    <cellStyle name="7_전자99연간결산진실_5월이동_전사손익_06전사손익_01매출손익(6월 실적반영)_01년간예상손익(12월이동)" xfId="7489"/>
    <cellStyle name="7_전자99연간결산진실_5월이동_전사손익_06전사손익_01매출손익(6월 실적반영)_01년간예상손익(12월이동)_2" xfId="7490"/>
    <cellStyle name="7_전자99연간결산진실_5월이동_전사손익_06전사손익_01매출손익(6월 실적반영)_02년 2월 이동_예상손익" xfId="7491"/>
    <cellStyle name="7_전자99연간결산진실_5월이동_전사손익_06전사손익_01매출손익(6월 실적반영)_02년 2월 이동_예상손익_1" xfId="7492"/>
    <cellStyle name="7_전자99연간결산진실_5월이동_전사손익_06전사손익_01매출손익(6월 실적반영)_02년 3월 이동_예상손익(전사취합)" xfId="7493"/>
    <cellStyle name="7_전자99연간결산진실_5월이동_전사손익_06전사손익_01매출손익(6월 실적반영)_02년 6월 이동_예상손익(전사취합)" xfId="7494"/>
    <cellStyle name="7_전자99연간결산진실_5월이동_전사손익_06전사손익_01매출손익(6월 실적반영)_02년간예상손익" xfId="7495"/>
    <cellStyle name="7_전자99연간결산진실_5월이동_전사손익_06전사손익_01매출손익(6월 실적반영)_04월 이동계획_전사예상pl" xfId="7496"/>
    <cellStyle name="7_전자99연간결산진실_5월이동_전사손익_06전사손익_01매출손익(6월 실적반영)_1월이동손익_전사예상pl" xfId="7497"/>
    <cellStyle name="7_전자99연간결산진실_5월이동_전사손익_06전사손익_01매출손익(6월 실적반영)_obu별손익0112이동" xfId="7498"/>
    <cellStyle name="7_전자99연간결산진실_5월이동_전사손익_06전사손익_02년 2월 이동_예상손익" xfId="7499"/>
    <cellStyle name="7_전자99연간결산진실_5월이동_전사손익_06전사손익_02년 2월 이동_예상손익_1" xfId="7500"/>
    <cellStyle name="7_전자99연간결산진실_5월이동_전사손익_06전사손익_02년 3월 이동_예상손익(전사취합)" xfId="7501"/>
    <cellStyle name="7_전자99연간결산진실_5월이동_전사손익_06전사손익_02년 6월 이동_예상손익(전사취합)" xfId="7502"/>
    <cellStyle name="7_전자99연간결산진실_5월이동_전사손익_06전사손익_02년간예상손익" xfId="7503"/>
    <cellStyle name="7_전자99연간결산진실_5월이동_전사손익_06전사손익_04월 이동계획_전사예상pl" xfId="7504"/>
    <cellStyle name="7_전자99연간결산진실_5월이동_전사손익_06전사손익_1월이동손익_전사예상pl" xfId="7505"/>
    <cellStyle name="7_전자99연간결산진실_5월이동_전사손익_06전사손익_8월예상" xfId="7506"/>
    <cellStyle name="7_전자99연간결산진실_5월이동_전사손익_06전사손익_8월예상_01년간예상손익(12월이동)" xfId="7507"/>
    <cellStyle name="7_전자99연간결산진실_5월이동_전사손익_06전사손익_8월예상_01년간예상손익(12월이동)_2" xfId="7508"/>
    <cellStyle name="7_전자99연간결산진실_5월이동_전사손익_06전사손익_8월예상_02년 2월 이동_예상손익" xfId="7509"/>
    <cellStyle name="7_전자99연간결산진실_5월이동_전사손익_06전사손익_8월예상_02년 2월 이동_예상손익_1" xfId="7510"/>
    <cellStyle name="7_전자99연간결산진실_5월이동_전사손익_06전사손익_8월예상_02년 3월 이동_예상손익(전사취합)" xfId="7511"/>
    <cellStyle name="7_전자99연간결산진실_5월이동_전사손익_06전사손익_8월예상_02년 6월 이동_예상손익(전사취합)" xfId="7512"/>
    <cellStyle name="7_전자99연간결산진실_5월이동_전사손익_06전사손익_8월예상_02년간예상손익" xfId="7513"/>
    <cellStyle name="7_전자99연간결산진실_5월이동_전사손익_06전사손익_8월예상_04월 이동계획_전사예상pl" xfId="7514"/>
    <cellStyle name="7_전자99연간결산진실_5월이동_전사손익_06전사손익_8월예상_1월이동손익_전사예상pl" xfId="7515"/>
    <cellStyle name="7_전자99연간결산진실_5월이동_전사손익_06전사손익_8월예상_obu별손익0112이동" xfId="7516"/>
    <cellStyle name="7_전자99연간결산진실_5월이동_전사손익_06전사손익_9-12월예상pl" xfId="7517"/>
    <cellStyle name="7_전자99연간결산진실_5월이동_전사손익_06전사손익_9-12월예상pl_01년간예상손익(12월이동)" xfId="7518"/>
    <cellStyle name="7_전자99연간결산진실_5월이동_전사손익_06전사손익_9-12월예상pl_01년간예상손익(12월이동)_2" xfId="7519"/>
    <cellStyle name="7_전자99연간결산진실_5월이동_전사손익_06전사손익_9-12월예상pl_02년 2월 이동_예상손익" xfId="7520"/>
    <cellStyle name="7_전자99연간결산진실_5월이동_전사손익_06전사손익_9-12월예상pl_02년 2월 이동_예상손익_1" xfId="7521"/>
    <cellStyle name="7_전자99연간결산진실_5월이동_전사손익_06전사손익_9-12월예상pl_02년 3월 이동_예상손익(전사취합)" xfId="7522"/>
    <cellStyle name="7_전자99연간결산진실_5월이동_전사손익_06전사손익_9-12월예상pl_02년 6월 이동_예상손익(전사취합)" xfId="7523"/>
    <cellStyle name="7_전자99연간결산진실_5월이동_전사손익_06전사손익_9-12월예상pl_02년간예상손익" xfId="7524"/>
    <cellStyle name="7_전자99연간결산진실_5월이동_전사손익_06전사손익_9-12월예상pl_04월 이동계획_전사예상pl" xfId="7525"/>
    <cellStyle name="7_전자99연간결산진실_5월이동_전사손익_06전사손익_9-12월예상pl_1월이동손익_전사예상pl" xfId="7526"/>
    <cellStyle name="7_전자99연간결산진실_5월이동_전사손익_06전사손익_9-12월예상pl_obu별손익0112이동" xfId="7527"/>
    <cellStyle name="7_전자99연간결산진실_5월이동_전사손익_06전사손익_obu별손익0112이동" xfId="7528"/>
    <cellStyle name="7_전자99연간결산진실_5월이동_전사손익_06전사손익_상반기_연간손익정리(서대호)" xfId="7529"/>
    <cellStyle name="7_전자99연간결산진실_5월이동_전사손익_06전사손익_상반기_연간손익정리(서대호)_01년간예상손익(12월이동)" xfId="7530"/>
    <cellStyle name="7_전자99연간결산진실_5월이동_전사손익_06전사손익_상반기_연간손익정리(서대호)_01년간예상손익(12월이동)_2" xfId="7531"/>
    <cellStyle name="7_전자99연간결산진실_5월이동_전사손익_06전사손익_상반기_연간손익정리(서대호)_01매출손익(6월 실적반영)" xfId="7532"/>
    <cellStyle name="7_전자99연간결산진실_5월이동_전사손익_06전사손익_상반기_연간손익정리(서대호)_01매출손익(6월 실적반영)_01년간예상손익(12월이동)" xfId="7533"/>
    <cellStyle name="7_전자99연간결산진실_5월이동_전사손익_06전사손익_상반기_연간손익정리(서대호)_01매출손익(6월 실적반영)_01년간예상손익(12월이동)_2" xfId="7534"/>
    <cellStyle name="7_전자99연간결산진실_5월이동_전사손익_06전사손익_상반기_연간손익정리(서대호)_01매출손익(6월 실적반영)_02년 2월 이동_예상손익" xfId="7535"/>
    <cellStyle name="7_전자99연간결산진실_5월이동_전사손익_06전사손익_상반기_연간손익정리(서대호)_01매출손익(6월 실적반영)_02년 2월 이동_예상손익_1" xfId="7536"/>
    <cellStyle name="7_전자99연간결산진실_5월이동_전사손익_06전사손익_상반기_연간손익정리(서대호)_01매출손익(6월 실적반영)_02년 3월 이동_예상손익(전사취합)" xfId="7537"/>
    <cellStyle name="7_전자99연간결산진실_5월이동_전사손익_06전사손익_상반기_연간손익정리(서대호)_01매출손익(6월 실적반영)_02년 6월 이동_예상손익(전사취합)" xfId="7538"/>
    <cellStyle name="7_전자99연간결산진실_5월이동_전사손익_06전사손익_상반기_연간손익정리(서대호)_01매출손익(6월 실적반영)_02년간예상손익" xfId="7539"/>
    <cellStyle name="7_전자99연간결산진실_5월이동_전사손익_06전사손익_상반기_연간손익정리(서대호)_01매출손익(6월 실적반영)_04월 이동계획_전사예상pl" xfId="7540"/>
    <cellStyle name="7_전자99연간결산진실_5월이동_전사손익_06전사손익_상반기_연간손익정리(서대호)_01매출손익(6월 실적반영)_1월이동손익_전사예상pl" xfId="7541"/>
    <cellStyle name="7_전자99연간결산진실_5월이동_전사손익_06전사손익_상반기_연간손익정리(서대호)_01매출손익(6월 실적반영)_obu별손익0112이동" xfId="7542"/>
    <cellStyle name="7_전자99연간결산진실_5월이동_전사손익_06전사손익_상반기_연간손익정리(서대호)_02년 2월 이동_예상손익" xfId="7543"/>
    <cellStyle name="7_전자99연간결산진실_5월이동_전사손익_06전사손익_상반기_연간손익정리(서대호)_02년 2월 이동_예상손익_1" xfId="7544"/>
    <cellStyle name="7_전자99연간결산진실_5월이동_전사손익_06전사손익_상반기_연간손익정리(서대호)_02년 3월 이동_예상손익(전사취합)" xfId="7545"/>
    <cellStyle name="7_전자99연간결산진실_5월이동_전사손익_06전사손익_상반기_연간손익정리(서대호)_02년 6월 이동_예상손익(전사취합)" xfId="7546"/>
    <cellStyle name="7_전자99연간결산진실_5월이동_전사손익_06전사손익_상반기_연간손익정리(서대호)_02년간예상손익" xfId="7547"/>
    <cellStyle name="7_전자99연간결산진실_5월이동_전사손익_06전사손익_상반기_연간손익정리(서대호)_04월 이동계획_전사예상pl" xfId="7548"/>
    <cellStyle name="7_전자99연간결산진실_5월이동_전사손익_06전사손익_상반기_연간손익정리(서대호)_1월이동손익_전사예상pl" xfId="7549"/>
    <cellStyle name="7_전자99연간결산진실_5월이동_전사손익_06전사손익_상반기_연간손익정리(서대호)_8월예상" xfId="7550"/>
    <cellStyle name="7_전자99연간결산진실_5월이동_전사손익_06전사손익_상반기_연간손익정리(서대호)_8월예상_01년간예상손익(12월이동)" xfId="7551"/>
    <cellStyle name="7_전자99연간결산진실_5월이동_전사손익_06전사손익_상반기_연간손익정리(서대호)_8월예상_01년간예상손익(12월이동)_2" xfId="7552"/>
    <cellStyle name="7_전자99연간결산진실_5월이동_전사손익_06전사손익_상반기_연간손익정리(서대호)_8월예상_02년 2월 이동_예상손익" xfId="7553"/>
    <cellStyle name="7_전자99연간결산진실_5월이동_전사손익_06전사손익_상반기_연간손익정리(서대호)_8월예상_02년 2월 이동_예상손익_1" xfId="7554"/>
    <cellStyle name="7_전자99연간결산진실_5월이동_전사손익_06전사손익_상반기_연간손익정리(서대호)_8월예상_02년 3월 이동_예상손익(전사취합)" xfId="7555"/>
    <cellStyle name="7_전자99연간결산진실_5월이동_전사손익_06전사손익_상반기_연간손익정리(서대호)_8월예상_02년 6월 이동_예상손익(전사취합)" xfId="7556"/>
    <cellStyle name="7_전자99연간결산진실_5월이동_전사손익_06전사손익_상반기_연간손익정리(서대호)_8월예상_02년간예상손익" xfId="7557"/>
    <cellStyle name="7_전자99연간결산진실_5월이동_전사손익_06전사손익_상반기_연간손익정리(서대호)_8월예상_04월 이동계획_전사예상pl" xfId="7558"/>
    <cellStyle name="7_전자99연간결산진실_5월이동_전사손익_06전사손익_상반기_연간손익정리(서대호)_8월예상_1월이동손익_전사예상pl" xfId="7559"/>
    <cellStyle name="7_전자99연간결산진실_5월이동_전사손익_06전사손익_상반기_연간손익정리(서대호)_8월예상_obu별손익0112이동" xfId="7560"/>
    <cellStyle name="7_전자99연간결산진실_5월이동_전사손익_06전사손익_상반기_연간손익정리(서대호)_obu별손익0112이동" xfId="7561"/>
    <cellStyle name="7_전자99연간결산진실_5월이동_전사손익_06전사손익_상반기_연간손익정리(서대호)_연간예상추정5886_0726" xfId="7562"/>
    <cellStyle name="7_전자99연간결산진실_5월이동_전사손익_06전사손익_상반기_연간손익정리(서대호)_연간예상추정5886_0726_01년간예상손익(12월이동)" xfId="7563"/>
    <cellStyle name="7_전자99연간결산진실_5월이동_전사손익_06전사손익_상반기_연간손익정리(서대호)_연간예상추정5886_0726_01년간예상손익(12월이동)_2" xfId="7564"/>
    <cellStyle name="7_전자99연간결산진실_5월이동_전사손익_06전사손익_상반기_연간손익정리(서대호)_연간예상추정5886_0726_02년 2월 이동_예상손익" xfId="7565"/>
    <cellStyle name="7_전자99연간결산진실_5월이동_전사손익_06전사손익_상반기_연간손익정리(서대호)_연간예상추정5886_0726_02년 2월 이동_예상손익_1" xfId="7566"/>
    <cellStyle name="7_전자99연간결산진실_5월이동_전사손익_06전사손익_상반기_연간손익정리(서대호)_연간예상추정5886_0726_02년 3월 이동_예상손익(전사취합)" xfId="7567"/>
    <cellStyle name="7_전자99연간결산진실_5월이동_전사손익_06전사손익_상반기_연간손익정리(서대호)_연간예상추정5886_0726_02년 6월 이동_예상손익(전사취합)" xfId="7568"/>
    <cellStyle name="7_전자99연간결산진실_5월이동_전사손익_06전사손익_상반기_연간손익정리(서대호)_연간예상추정5886_0726_02년간예상손익" xfId="7569"/>
    <cellStyle name="7_전자99연간결산진실_5월이동_전사손익_06전사손익_상반기_연간손익정리(서대호)_연간예상추정5886_0726_04월 이동계획_전사예상pl" xfId="7570"/>
    <cellStyle name="7_전자99연간결산진실_5월이동_전사손익_06전사손익_상반기_연간손익정리(서대호)_연간예상추정5886_0726_1월이동손익_전사예상pl" xfId="7571"/>
    <cellStyle name="7_전자99연간결산진실_5월이동_전사손익_06전사손익_상반기_연간손익정리(서대호)_연간예상추정5886_0726_obu별손익0112이동" xfId="7572"/>
    <cellStyle name="7_전자99연간결산진실_5월이동_전사손익_06전사손익_연간예상추정5886_0726" xfId="7573"/>
    <cellStyle name="7_전자99연간결산진실_5월이동_전사손익_06전사손익_연간예상추정5886_0726_01년간예상손익(12월이동)" xfId="7574"/>
    <cellStyle name="7_전자99연간결산진실_5월이동_전사손익_06전사손익_연간예상추정5886_0726_01년간예상손익(12월이동)_2" xfId="7575"/>
    <cellStyle name="7_전자99연간결산진실_5월이동_전사손익_06전사손익_연간예상추정5886_0726_02년 2월 이동_예상손익" xfId="7576"/>
    <cellStyle name="7_전자99연간결산진실_5월이동_전사손익_06전사손익_연간예상추정5886_0726_02년 2월 이동_예상손익_1" xfId="7577"/>
    <cellStyle name="7_전자99연간결산진실_5월이동_전사손익_06전사손익_연간예상추정5886_0726_02년 3월 이동_예상손익(전사취합)" xfId="7578"/>
    <cellStyle name="7_전자99연간결산진실_5월이동_전사손익_06전사손익_연간예상추정5886_0726_02년 6월 이동_예상손익(전사취합)" xfId="7579"/>
    <cellStyle name="7_전자99연간결산진실_5월이동_전사손익_06전사손익_연간예상추정5886_0726_02년간예상손익" xfId="7580"/>
    <cellStyle name="7_전자99연간결산진실_5월이동_전사손익_06전사손익_연간예상추정5886_0726_04월 이동계획_전사예상pl" xfId="7581"/>
    <cellStyle name="7_전자99연간결산진실_5월이동_전사손익_06전사손익_연간예상추정5886_0726_1월이동손익_전사예상pl" xfId="7582"/>
    <cellStyle name="7_전자99연간결산진실_5월이동_전사손익_06전사손익_연간예상추정5886_0726_obu별손익0112이동" xfId="7583"/>
    <cellStyle name="7_전자99연간결산진실_5월이동_전사손익_06전사손익1" xfId="7584"/>
    <cellStyle name="7_전자99연간결산진실_5월이동_전사손익_06전사손익1_01년간예상손익(12월이동)" xfId="7585"/>
    <cellStyle name="7_전자99연간결산진실_5월이동_전사손익_06전사손익1_01년간예상손익(12월이동)_2" xfId="7586"/>
    <cellStyle name="7_전자99연간결산진실_5월이동_전사손익_06전사손익1_01매출손익(6월 실적반영)" xfId="7587"/>
    <cellStyle name="7_전자99연간결산진실_5월이동_전사손익_06전사손익1_01매출손익(6월 실적반영)_01년간예상손익(12월이동)" xfId="7588"/>
    <cellStyle name="7_전자99연간결산진실_5월이동_전사손익_06전사손익1_01매출손익(6월 실적반영)_01년간예상손익(12월이동)_2" xfId="7589"/>
    <cellStyle name="7_전자99연간결산진실_5월이동_전사손익_06전사손익1_01매출손익(6월 실적반영)_02년 2월 이동_예상손익" xfId="7590"/>
    <cellStyle name="7_전자99연간결산진실_5월이동_전사손익_06전사손익1_01매출손익(6월 실적반영)_02년 2월 이동_예상손익_1" xfId="7591"/>
    <cellStyle name="7_전자99연간결산진실_5월이동_전사손익_06전사손익1_01매출손익(6월 실적반영)_02년 3월 이동_예상손익(전사취합)" xfId="7592"/>
    <cellStyle name="7_전자99연간결산진실_5월이동_전사손익_06전사손익1_01매출손익(6월 실적반영)_02년 6월 이동_예상손익(전사취합)" xfId="7593"/>
    <cellStyle name="7_전자99연간결산진실_5월이동_전사손익_06전사손익1_01매출손익(6월 실적반영)_02년간예상손익" xfId="7594"/>
    <cellStyle name="7_전자99연간결산진실_5월이동_전사손익_06전사손익1_01매출손익(6월 실적반영)_04월 이동계획_전사예상pl" xfId="7595"/>
    <cellStyle name="7_전자99연간결산진실_5월이동_전사손익_06전사손익1_01매출손익(6월 실적반영)_1월이동손익_전사예상pl" xfId="7596"/>
    <cellStyle name="7_전자99연간결산진실_5월이동_전사손익_06전사손익1_01매출손익(6월 실적반영)_obu별손익0112이동" xfId="7597"/>
    <cellStyle name="7_전자99연간결산진실_5월이동_전사손익_06전사손익1_02년 2월 이동_예상손익" xfId="7598"/>
    <cellStyle name="7_전자99연간결산진실_5월이동_전사손익_06전사손익1_02년 2월 이동_예상손익_1" xfId="7599"/>
    <cellStyle name="7_전자99연간결산진실_5월이동_전사손익_06전사손익1_02년 3월 이동_예상손익(전사취합)" xfId="7600"/>
    <cellStyle name="7_전자99연간결산진실_5월이동_전사손익_06전사손익1_02년 6월 이동_예상손익(전사취합)" xfId="7601"/>
    <cellStyle name="7_전자99연간결산진실_5월이동_전사손익_06전사손익1_02년간예상손익" xfId="7602"/>
    <cellStyle name="7_전자99연간결산진실_5월이동_전사손익_06전사손익1_04월 이동계획_전사예상pl" xfId="7603"/>
    <cellStyle name="7_전자99연간결산진실_5월이동_전사손익_06전사손익1_1월이동손익_전사예상pl" xfId="7604"/>
    <cellStyle name="7_전자99연간결산진실_5월이동_전사손익_06전사손익1_8월예상" xfId="7605"/>
    <cellStyle name="7_전자99연간결산진실_5월이동_전사손익_06전사손익1_8월예상_01년간예상손익(12월이동)" xfId="7606"/>
    <cellStyle name="7_전자99연간결산진실_5월이동_전사손익_06전사손익1_8월예상_01년간예상손익(12월이동)_2" xfId="7607"/>
    <cellStyle name="7_전자99연간결산진실_5월이동_전사손익_06전사손익1_8월예상_02년 2월 이동_예상손익" xfId="7608"/>
    <cellStyle name="7_전자99연간결산진실_5월이동_전사손익_06전사손익1_8월예상_02년 2월 이동_예상손익_1" xfId="7609"/>
    <cellStyle name="7_전자99연간결산진실_5월이동_전사손익_06전사손익1_8월예상_02년 3월 이동_예상손익(전사취합)" xfId="7610"/>
    <cellStyle name="7_전자99연간결산진실_5월이동_전사손익_06전사손익1_8월예상_02년 6월 이동_예상손익(전사취합)" xfId="7611"/>
    <cellStyle name="7_전자99연간결산진실_5월이동_전사손익_06전사손익1_8월예상_02년간예상손익" xfId="7612"/>
    <cellStyle name="7_전자99연간결산진실_5월이동_전사손익_06전사손익1_8월예상_04월 이동계획_전사예상pl" xfId="7613"/>
    <cellStyle name="7_전자99연간결산진실_5월이동_전사손익_06전사손익1_8월예상_1월이동손익_전사예상pl" xfId="7614"/>
    <cellStyle name="7_전자99연간결산진실_5월이동_전사손익_06전사손익1_8월예상_obu별손익0112이동" xfId="7615"/>
    <cellStyle name="7_전자99연간결산진실_5월이동_전사손익_06전사손익1_9-12월예상pl" xfId="7616"/>
    <cellStyle name="7_전자99연간결산진실_5월이동_전사손익_06전사손익1_9-12월예상pl_01년간예상손익(12월이동)" xfId="7617"/>
    <cellStyle name="7_전자99연간결산진실_5월이동_전사손익_06전사손익1_9-12월예상pl_01년간예상손익(12월이동)_2" xfId="7618"/>
    <cellStyle name="7_전자99연간결산진실_5월이동_전사손익_06전사손익1_9-12월예상pl_02년 2월 이동_예상손익" xfId="7619"/>
    <cellStyle name="7_전자99연간결산진실_5월이동_전사손익_06전사손익1_9-12월예상pl_02년 2월 이동_예상손익_1" xfId="7620"/>
    <cellStyle name="7_전자99연간결산진실_5월이동_전사손익_06전사손익1_9-12월예상pl_02년 3월 이동_예상손익(전사취합)" xfId="7621"/>
    <cellStyle name="7_전자99연간결산진실_5월이동_전사손익_06전사손익1_9-12월예상pl_02년 6월 이동_예상손익(전사취합)" xfId="7622"/>
    <cellStyle name="7_전자99연간결산진실_5월이동_전사손익_06전사손익1_9-12월예상pl_02년간예상손익" xfId="7623"/>
    <cellStyle name="7_전자99연간결산진실_5월이동_전사손익_06전사손익1_9-12월예상pl_04월 이동계획_전사예상pl" xfId="7624"/>
    <cellStyle name="7_전자99연간결산진실_5월이동_전사손익_06전사손익1_9-12월예상pl_1월이동손익_전사예상pl" xfId="7625"/>
    <cellStyle name="7_전자99연간결산진실_5월이동_전사손익_06전사손익1_9-12월예상pl_obu별손익0112이동" xfId="7626"/>
    <cellStyle name="7_전자99연간결산진실_5월이동_전사손익_06전사손익1_obu별손익0112이동" xfId="7627"/>
    <cellStyle name="7_전자99연간결산진실_5월이동_전사손익_06전사손익1_상반기_연간손익정리(서대호)" xfId="7628"/>
    <cellStyle name="7_전자99연간결산진실_5월이동_전사손익_06전사손익1_상반기_연간손익정리(서대호)_01년간예상손익(12월이동)" xfId="7629"/>
    <cellStyle name="7_전자99연간결산진실_5월이동_전사손익_06전사손익1_상반기_연간손익정리(서대호)_01년간예상손익(12월이동)_2" xfId="7630"/>
    <cellStyle name="7_전자99연간결산진실_5월이동_전사손익_06전사손익1_상반기_연간손익정리(서대호)_01매출손익(6월 실적반영)" xfId="7631"/>
    <cellStyle name="7_전자99연간결산진실_5월이동_전사손익_06전사손익1_상반기_연간손익정리(서대호)_01매출손익(6월 실적반영)_01년간예상손익(12월이동)" xfId="7632"/>
    <cellStyle name="7_전자99연간결산진실_5월이동_전사손익_06전사손익1_상반기_연간손익정리(서대호)_01매출손익(6월 실적반영)_01년간예상손익(12월이동)_2" xfId="7633"/>
    <cellStyle name="7_전자99연간결산진실_5월이동_전사손익_06전사손익1_상반기_연간손익정리(서대호)_01매출손익(6월 실적반영)_02년 2월 이동_예상손익" xfId="7634"/>
    <cellStyle name="7_전자99연간결산진실_5월이동_전사손익_06전사손익1_상반기_연간손익정리(서대호)_01매출손익(6월 실적반영)_02년 2월 이동_예상손익_1" xfId="7635"/>
    <cellStyle name="7_전자99연간결산진실_5월이동_전사손익_06전사손익1_상반기_연간손익정리(서대호)_01매출손익(6월 실적반영)_02년 3월 이동_예상손익(전사취합)" xfId="7636"/>
    <cellStyle name="7_전자99연간결산진실_5월이동_전사손익_06전사손익1_상반기_연간손익정리(서대호)_01매출손익(6월 실적반영)_02년 6월 이동_예상손익(전사취합)" xfId="7637"/>
    <cellStyle name="7_전자99연간결산진실_5월이동_전사손익_06전사손익1_상반기_연간손익정리(서대호)_01매출손익(6월 실적반영)_02년간예상손익" xfId="7638"/>
    <cellStyle name="7_전자99연간결산진실_5월이동_전사손익_06전사손익1_상반기_연간손익정리(서대호)_01매출손익(6월 실적반영)_04월 이동계획_전사예상pl" xfId="7639"/>
    <cellStyle name="7_전자99연간결산진실_5월이동_전사손익_06전사손익1_상반기_연간손익정리(서대호)_01매출손익(6월 실적반영)_1월이동손익_전사예상pl" xfId="7640"/>
    <cellStyle name="7_전자99연간결산진실_5월이동_전사손익_06전사손익1_상반기_연간손익정리(서대호)_01매출손익(6월 실적반영)_obu별손익0112이동" xfId="7641"/>
    <cellStyle name="7_전자99연간결산진실_5월이동_전사손익_06전사손익1_상반기_연간손익정리(서대호)_02년 2월 이동_예상손익" xfId="7642"/>
    <cellStyle name="7_전자99연간결산진실_5월이동_전사손익_06전사손익1_상반기_연간손익정리(서대호)_02년 2월 이동_예상손익_1" xfId="7643"/>
    <cellStyle name="7_전자99연간결산진실_5월이동_전사손익_06전사손익1_상반기_연간손익정리(서대호)_02년 3월 이동_예상손익(전사취합)" xfId="7644"/>
    <cellStyle name="7_전자99연간결산진실_5월이동_전사손익_06전사손익1_상반기_연간손익정리(서대호)_02년 6월 이동_예상손익(전사취합)" xfId="7645"/>
    <cellStyle name="7_전자99연간결산진실_5월이동_전사손익_06전사손익1_상반기_연간손익정리(서대호)_02년간예상손익" xfId="7646"/>
    <cellStyle name="7_전자99연간결산진실_5월이동_전사손익_06전사손익1_상반기_연간손익정리(서대호)_04월 이동계획_전사예상pl" xfId="7647"/>
    <cellStyle name="7_전자99연간결산진실_5월이동_전사손익_06전사손익1_상반기_연간손익정리(서대호)_1월이동손익_전사예상pl" xfId="7648"/>
    <cellStyle name="7_전자99연간결산진실_5월이동_전사손익_06전사손익1_상반기_연간손익정리(서대호)_8월예상" xfId="7649"/>
    <cellStyle name="7_전자99연간결산진실_5월이동_전사손익_06전사손익1_상반기_연간손익정리(서대호)_8월예상_01년간예상손익(12월이동)" xfId="7650"/>
    <cellStyle name="7_전자99연간결산진실_5월이동_전사손익_06전사손익1_상반기_연간손익정리(서대호)_8월예상_01년간예상손익(12월이동)_2" xfId="7651"/>
    <cellStyle name="7_전자99연간결산진실_5월이동_전사손익_06전사손익1_상반기_연간손익정리(서대호)_8월예상_02년 2월 이동_예상손익" xfId="7652"/>
    <cellStyle name="7_전자99연간결산진실_5월이동_전사손익_06전사손익1_상반기_연간손익정리(서대호)_8월예상_02년 2월 이동_예상손익_1" xfId="7653"/>
    <cellStyle name="7_전자99연간결산진실_5월이동_전사손익_06전사손익1_상반기_연간손익정리(서대호)_8월예상_02년 3월 이동_예상손익(전사취합)" xfId="7654"/>
    <cellStyle name="7_전자99연간결산진실_5월이동_전사손익_06전사손익1_상반기_연간손익정리(서대호)_8월예상_02년 6월 이동_예상손익(전사취합)" xfId="7655"/>
    <cellStyle name="7_전자99연간결산진실_5월이동_전사손익_06전사손익1_상반기_연간손익정리(서대호)_8월예상_02년간예상손익" xfId="7656"/>
    <cellStyle name="7_전자99연간결산진실_5월이동_전사손익_06전사손익1_상반기_연간손익정리(서대호)_8월예상_04월 이동계획_전사예상pl" xfId="7657"/>
    <cellStyle name="7_전자99연간결산진실_5월이동_전사손익_06전사손익1_상반기_연간손익정리(서대호)_8월예상_1월이동손익_전사예상pl" xfId="7658"/>
    <cellStyle name="7_전자99연간결산진실_5월이동_전사손익_06전사손익1_상반기_연간손익정리(서대호)_8월예상_obu별손익0112이동" xfId="7659"/>
    <cellStyle name="7_전자99연간결산진실_5월이동_전사손익_06전사손익1_상반기_연간손익정리(서대호)_obu별손익0112이동" xfId="7660"/>
    <cellStyle name="7_전자99연간결산진실_5월이동_전사손익_06전사손익1_상반기_연간손익정리(서대호)_연간예상추정5886_0726" xfId="7661"/>
    <cellStyle name="7_전자99연간결산진실_5월이동_전사손익_06전사손익1_상반기_연간손익정리(서대호)_연간예상추정5886_0726_01년간예상손익(12월이동)" xfId="7662"/>
    <cellStyle name="7_전자99연간결산진실_5월이동_전사손익_06전사손익1_상반기_연간손익정리(서대호)_연간예상추정5886_0726_01년간예상손익(12월이동)_2" xfId="7663"/>
    <cellStyle name="7_전자99연간결산진실_5월이동_전사손익_06전사손익1_상반기_연간손익정리(서대호)_연간예상추정5886_0726_02년 2월 이동_예상손익" xfId="7664"/>
    <cellStyle name="7_전자99연간결산진실_5월이동_전사손익_06전사손익1_상반기_연간손익정리(서대호)_연간예상추정5886_0726_02년 2월 이동_예상손익_1" xfId="7665"/>
    <cellStyle name="7_전자99연간결산진실_5월이동_전사손익_06전사손익1_상반기_연간손익정리(서대호)_연간예상추정5886_0726_02년 3월 이동_예상손익(전사취합)" xfId="7666"/>
    <cellStyle name="7_전자99연간결산진실_5월이동_전사손익_06전사손익1_상반기_연간손익정리(서대호)_연간예상추정5886_0726_02년 6월 이동_예상손익(전사취합)" xfId="7667"/>
    <cellStyle name="7_전자99연간결산진실_5월이동_전사손익_06전사손익1_상반기_연간손익정리(서대호)_연간예상추정5886_0726_02년간예상손익" xfId="7668"/>
    <cellStyle name="7_전자99연간결산진실_5월이동_전사손익_06전사손익1_상반기_연간손익정리(서대호)_연간예상추정5886_0726_04월 이동계획_전사예상pl" xfId="7669"/>
    <cellStyle name="7_전자99연간결산진실_5월이동_전사손익_06전사손익1_상반기_연간손익정리(서대호)_연간예상추정5886_0726_1월이동손익_전사예상pl" xfId="7670"/>
    <cellStyle name="7_전자99연간결산진실_5월이동_전사손익_06전사손익1_상반기_연간손익정리(서대호)_연간예상추정5886_0726_obu별손익0112이동" xfId="7671"/>
    <cellStyle name="7_전자99연간결산진실_5월이동_전사손익_06전사손익1_연간예상추정5886_0726" xfId="7672"/>
    <cellStyle name="7_전자99연간결산진실_5월이동_전사손익_06전사손익1_연간예상추정5886_0726_01년간예상손익(12월이동)" xfId="7673"/>
    <cellStyle name="7_전자99연간결산진실_5월이동_전사손익_06전사손익1_연간예상추정5886_0726_01년간예상손익(12월이동)_2" xfId="7674"/>
    <cellStyle name="7_전자99연간결산진실_5월이동_전사손익_06전사손익1_연간예상추정5886_0726_02년 2월 이동_예상손익" xfId="7675"/>
    <cellStyle name="7_전자99연간결산진실_5월이동_전사손익_06전사손익1_연간예상추정5886_0726_02년 2월 이동_예상손익_1" xfId="7676"/>
    <cellStyle name="7_전자99연간결산진실_5월이동_전사손익_06전사손익1_연간예상추정5886_0726_02년 3월 이동_예상손익(전사취합)" xfId="7677"/>
    <cellStyle name="7_전자99연간결산진실_5월이동_전사손익_06전사손익1_연간예상추정5886_0726_02년 6월 이동_예상손익(전사취합)" xfId="7678"/>
    <cellStyle name="7_전자99연간결산진실_5월이동_전사손익_06전사손익1_연간예상추정5886_0726_02년간예상손익" xfId="7679"/>
    <cellStyle name="7_전자99연간결산진실_5월이동_전사손익_06전사손익1_연간예상추정5886_0726_04월 이동계획_전사예상pl" xfId="7680"/>
    <cellStyle name="7_전자99연간결산진실_5월이동_전사손익_06전사손익1_연간예상추정5886_0726_1월이동손익_전사예상pl" xfId="7681"/>
    <cellStyle name="7_전자99연간결산진실_5월이동_전사손익_06전사손익1_연간예상추정5886_0726_obu별손익0112이동" xfId="7682"/>
    <cellStyle name="7_전자99연간결산진실_5월이동_전사손익_1월이동손익_전사예상pl" xfId="7683"/>
    <cellStyle name="7_전자99연간결산진실_5월이동_전사손익_8월예상" xfId="7684"/>
    <cellStyle name="7_전자99연간결산진실_5월이동_전사손익_8월예상_01년간예상손익(12월이동)" xfId="7685"/>
    <cellStyle name="7_전자99연간결산진실_5월이동_전사손익_8월예상_01년간예상손익(12월이동)_2" xfId="7686"/>
    <cellStyle name="7_전자99연간결산진실_5월이동_전사손익_8월예상_02년 2월 이동_예상손익" xfId="7687"/>
    <cellStyle name="7_전자99연간결산진실_5월이동_전사손익_8월예상_02년 2월 이동_예상손익_1" xfId="7688"/>
    <cellStyle name="7_전자99연간결산진실_5월이동_전사손익_8월예상_02년 3월 이동_예상손익(전사취합)" xfId="7689"/>
    <cellStyle name="7_전자99연간결산진실_5월이동_전사손익_8월예상_02년 6월 이동_예상손익(전사취합)" xfId="7690"/>
    <cellStyle name="7_전자99연간결산진실_5월이동_전사손익_8월예상_02년간예상손익" xfId="7691"/>
    <cellStyle name="7_전자99연간결산진실_5월이동_전사손익_8월예상_04월 이동계획_전사예상pl" xfId="7692"/>
    <cellStyle name="7_전자99연간결산진실_5월이동_전사손익_8월예상_1월이동손익_전사예상pl" xfId="7693"/>
    <cellStyle name="7_전자99연간결산진실_5월이동_전사손익_8월예상_obu별손익0112이동" xfId="7694"/>
    <cellStyle name="7_전자99연간결산진실_5월이동_전사손익_9-12월예상pl" xfId="7695"/>
    <cellStyle name="7_전자99연간결산진실_5월이동_전사손익_9-12월예상pl_01년간예상손익(12월이동)" xfId="7696"/>
    <cellStyle name="7_전자99연간결산진실_5월이동_전사손익_9-12월예상pl_01년간예상손익(12월이동)_2" xfId="7697"/>
    <cellStyle name="7_전자99연간결산진실_5월이동_전사손익_9-12월예상pl_02년 2월 이동_예상손익" xfId="7698"/>
    <cellStyle name="7_전자99연간결산진실_5월이동_전사손익_9-12월예상pl_02년 2월 이동_예상손익_1" xfId="7699"/>
    <cellStyle name="7_전자99연간결산진실_5월이동_전사손익_9-12월예상pl_02년 3월 이동_예상손익(전사취합)" xfId="7700"/>
    <cellStyle name="7_전자99연간결산진실_5월이동_전사손익_9-12월예상pl_02년 6월 이동_예상손익(전사취합)" xfId="7701"/>
    <cellStyle name="7_전자99연간결산진실_5월이동_전사손익_9-12월예상pl_02년간예상손익" xfId="7702"/>
    <cellStyle name="7_전자99연간결산진실_5월이동_전사손익_9-12월예상pl_04월 이동계획_전사예상pl" xfId="7703"/>
    <cellStyle name="7_전자99연간결산진실_5월이동_전사손익_9-12월예상pl_1월이동손익_전사예상pl" xfId="7704"/>
    <cellStyle name="7_전자99연간결산진실_5월이동_전사손익_9-12월예상pl_obu별손익0112이동" xfId="7705"/>
    <cellStyle name="7_전자99연간결산진실_5월이동_전사손익_obu별손익0112이동" xfId="7706"/>
    <cellStyle name="7_전자99연간결산진실_5월이동_전사손익_상반기_연간손익정리(서대호)" xfId="7707"/>
    <cellStyle name="7_전자99연간결산진실_5월이동_전사손익_상반기_연간손익정리(서대호)_01년간예상손익(12월이동)" xfId="7708"/>
    <cellStyle name="7_전자99연간결산진실_5월이동_전사손익_상반기_연간손익정리(서대호)_01년간예상손익(12월이동)_2" xfId="7709"/>
    <cellStyle name="7_전자99연간결산진실_5월이동_전사손익_상반기_연간손익정리(서대호)_01매출손익(6월 실적반영)" xfId="7710"/>
    <cellStyle name="7_전자99연간결산진실_5월이동_전사손익_상반기_연간손익정리(서대호)_01매출손익(6월 실적반영)_01년간예상손익(12월이동)" xfId="7711"/>
    <cellStyle name="7_전자99연간결산진실_5월이동_전사손익_상반기_연간손익정리(서대호)_01매출손익(6월 실적반영)_01년간예상손익(12월이동)_2" xfId="7712"/>
    <cellStyle name="7_전자99연간결산진실_5월이동_전사손익_상반기_연간손익정리(서대호)_01매출손익(6월 실적반영)_02년 2월 이동_예상손익" xfId="7713"/>
    <cellStyle name="7_전자99연간결산진실_5월이동_전사손익_상반기_연간손익정리(서대호)_01매출손익(6월 실적반영)_02년 2월 이동_예상손익_1" xfId="7714"/>
    <cellStyle name="7_전자99연간결산진실_5월이동_전사손익_상반기_연간손익정리(서대호)_01매출손익(6월 실적반영)_02년 3월 이동_예상손익(전사취합)" xfId="7715"/>
    <cellStyle name="7_전자99연간결산진실_5월이동_전사손익_상반기_연간손익정리(서대호)_01매출손익(6월 실적반영)_02년 6월 이동_예상손익(전사취합)" xfId="7716"/>
    <cellStyle name="7_전자99연간결산진실_5월이동_전사손익_상반기_연간손익정리(서대호)_01매출손익(6월 실적반영)_02년간예상손익" xfId="7717"/>
    <cellStyle name="7_전자99연간결산진실_5월이동_전사손익_상반기_연간손익정리(서대호)_01매출손익(6월 실적반영)_04월 이동계획_전사예상pl" xfId="7718"/>
    <cellStyle name="7_전자99연간결산진실_5월이동_전사손익_상반기_연간손익정리(서대호)_01매출손익(6월 실적반영)_1월이동손익_전사예상pl" xfId="7719"/>
    <cellStyle name="7_전자99연간결산진실_5월이동_전사손익_상반기_연간손익정리(서대호)_01매출손익(6월 실적반영)_obu별손익0112이동" xfId="7720"/>
    <cellStyle name="7_전자99연간결산진실_5월이동_전사손익_상반기_연간손익정리(서대호)_02년 2월 이동_예상손익" xfId="7721"/>
    <cellStyle name="7_전자99연간결산진실_5월이동_전사손익_상반기_연간손익정리(서대호)_02년 2월 이동_예상손익_1" xfId="7722"/>
    <cellStyle name="7_전자99연간결산진실_5월이동_전사손익_상반기_연간손익정리(서대호)_02년 3월 이동_예상손익(전사취합)" xfId="7723"/>
    <cellStyle name="7_전자99연간결산진실_5월이동_전사손익_상반기_연간손익정리(서대호)_02년 6월 이동_예상손익(전사취합)" xfId="7724"/>
    <cellStyle name="7_전자99연간결산진실_5월이동_전사손익_상반기_연간손익정리(서대호)_02년간예상손익" xfId="7725"/>
    <cellStyle name="7_전자99연간결산진실_5월이동_전사손익_상반기_연간손익정리(서대호)_04월 이동계획_전사예상pl" xfId="7726"/>
    <cellStyle name="7_전자99연간결산진실_5월이동_전사손익_상반기_연간손익정리(서대호)_1월이동손익_전사예상pl" xfId="7727"/>
    <cellStyle name="7_전자99연간결산진실_5월이동_전사손익_상반기_연간손익정리(서대호)_8월예상" xfId="7728"/>
    <cellStyle name="7_전자99연간결산진실_5월이동_전사손익_상반기_연간손익정리(서대호)_8월예상_01년간예상손익(12월이동)" xfId="7729"/>
    <cellStyle name="7_전자99연간결산진실_5월이동_전사손익_상반기_연간손익정리(서대호)_8월예상_01년간예상손익(12월이동)_2" xfId="7730"/>
    <cellStyle name="7_전자99연간결산진실_5월이동_전사손익_상반기_연간손익정리(서대호)_8월예상_02년 2월 이동_예상손익" xfId="7731"/>
    <cellStyle name="7_전자99연간결산진실_5월이동_전사손익_상반기_연간손익정리(서대호)_8월예상_02년 2월 이동_예상손익_1" xfId="7732"/>
    <cellStyle name="7_전자99연간결산진실_5월이동_전사손익_상반기_연간손익정리(서대호)_8월예상_02년 3월 이동_예상손익(전사취합)" xfId="7733"/>
    <cellStyle name="7_전자99연간결산진실_5월이동_전사손익_상반기_연간손익정리(서대호)_8월예상_02년 6월 이동_예상손익(전사취합)" xfId="7734"/>
    <cellStyle name="7_전자99연간결산진실_5월이동_전사손익_상반기_연간손익정리(서대호)_8월예상_02년간예상손익" xfId="7735"/>
    <cellStyle name="7_전자99연간결산진실_5월이동_전사손익_상반기_연간손익정리(서대호)_8월예상_04월 이동계획_전사예상pl" xfId="7736"/>
    <cellStyle name="7_전자99연간결산진실_5월이동_전사손익_상반기_연간손익정리(서대호)_8월예상_1월이동손익_전사예상pl" xfId="7737"/>
    <cellStyle name="7_전자99연간결산진실_5월이동_전사손익_상반기_연간손익정리(서대호)_8월예상_obu별손익0112이동" xfId="7738"/>
    <cellStyle name="7_전자99연간결산진실_5월이동_전사손익_상반기_연간손익정리(서대호)_obu별손익0112이동" xfId="7739"/>
    <cellStyle name="7_전자99연간결산진실_5월이동_전사손익_상반기_연간손익정리(서대호)_연간예상추정5886_0726" xfId="7740"/>
    <cellStyle name="7_전자99연간결산진실_5월이동_전사손익_상반기_연간손익정리(서대호)_연간예상추정5886_0726_01년간예상손익(12월이동)" xfId="7741"/>
    <cellStyle name="7_전자99연간결산진실_5월이동_전사손익_상반기_연간손익정리(서대호)_연간예상추정5886_0726_01년간예상손익(12월이동)_2" xfId="7742"/>
    <cellStyle name="7_전자99연간결산진실_5월이동_전사손익_상반기_연간손익정리(서대호)_연간예상추정5886_0726_02년 2월 이동_예상손익" xfId="7743"/>
    <cellStyle name="7_전자99연간결산진실_5월이동_전사손익_상반기_연간손익정리(서대호)_연간예상추정5886_0726_02년 2월 이동_예상손익_1" xfId="7744"/>
    <cellStyle name="7_전자99연간결산진실_5월이동_전사손익_상반기_연간손익정리(서대호)_연간예상추정5886_0726_02년 3월 이동_예상손익(전사취합)" xfId="7745"/>
    <cellStyle name="7_전자99연간결산진실_5월이동_전사손익_상반기_연간손익정리(서대호)_연간예상추정5886_0726_02년 6월 이동_예상손익(전사취합)" xfId="7746"/>
    <cellStyle name="7_전자99연간결산진실_5월이동_전사손익_상반기_연간손익정리(서대호)_연간예상추정5886_0726_02년간예상손익" xfId="7747"/>
    <cellStyle name="7_전자99연간결산진실_5월이동_전사손익_상반기_연간손익정리(서대호)_연간예상추정5886_0726_04월 이동계획_전사예상pl" xfId="7748"/>
    <cellStyle name="7_전자99연간결산진실_5월이동_전사손익_상반기_연간손익정리(서대호)_연간예상추정5886_0726_1월이동손익_전사예상pl" xfId="7749"/>
    <cellStyle name="7_전자99연간결산진실_5월이동_전사손익_상반기_연간손익정리(서대호)_연간예상추정5886_0726_obu별손익0112이동" xfId="7750"/>
    <cellStyle name="7_전자99연간결산진실_5월이동_전사손익_연간예상추정5886_0726" xfId="7751"/>
    <cellStyle name="7_전자99연간결산진실_5월이동_전사손익_연간예상추정5886_0726_01년간예상손익(12월이동)" xfId="7752"/>
    <cellStyle name="7_전자99연간결산진실_5월이동_전사손익_연간예상추정5886_0726_01년간예상손익(12월이동)_2" xfId="7753"/>
    <cellStyle name="7_전자99연간결산진실_5월이동_전사손익_연간예상추정5886_0726_02년 2월 이동_예상손익" xfId="7754"/>
    <cellStyle name="7_전자99연간결산진실_5월이동_전사손익_연간예상추정5886_0726_02년 2월 이동_예상손익_1" xfId="7755"/>
    <cellStyle name="7_전자99연간결산진실_5월이동_전사손익_연간예상추정5886_0726_02년 3월 이동_예상손익(전사취합)" xfId="7756"/>
    <cellStyle name="7_전자99연간결산진실_5월이동_전사손익_연간예상추정5886_0726_02년 6월 이동_예상손익(전사취합)" xfId="7757"/>
    <cellStyle name="7_전자99연간결산진실_5월이동_전사손익_연간예상추정5886_0726_02년간예상손익" xfId="7758"/>
    <cellStyle name="7_전자99연간결산진실_5월이동_전사손익_연간예상추정5886_0726_04월 이동계획_전사예상pl" xfId="7759"/>
    <cellStyle name="7_전자99연간결산진실_5월이동_전사손익_연간예상추정5886_0726_1월이동손익_전사예상pl" xfId="7760"/>
    <cellStyle name="7_전자99연간결산진실_5월이동_전사손익_연간예상추정5886_0726_obu별손익0112이동" xfId="7761"/>
    <cellStyle name="7_전자99연간결산진실_8월 예상손익 점검" xfId="7762"/>
    <cellStyle name="7_전자99연간결산진실_8월 예상손익 점검_8월 예상손익 점검" xfId="7763"/>
    <cellStyle name="7_전자99연간결산진실_8월 예상손익 점검_8월 예상손익 점검_DM_환율영향분석_본부" xfId="7764"/>
    <cellStyle name="7_전자99연간결산진실_8월 예상손익 점검_DM_환율영향분석_본부" xfId="7765"/>
    <cellStyle name="7_전자99연간결산진실_8월예상" xfId="7766"/>
    <cellStyle name="7_전자99연간결산진실_8월예상_01년간예상손익(12월이동)" xfId="7767"/>
    <cellStyle name="7_전자99연간결산진실_8월예상_01년간예상손익(12월이동)_2" xfId="7768"/>
    <cellStyle name="7_전자99연간결산진실_8월예상_02년 2월 이동_예상손익" xfId="7769"/>
    <cellStyle name="7_전자99연간결산진실_8월예상_02년 2월 이동_예상손익_1" xfId="7770"/>
    <cellStyle name="7_전자99연간결산진실_8월예상_02년 3월 이동_예상손익(전사취합)" xfId="7771"/>
    <cellStyle name="7_전자99연간결산진실_8월예상_02년 6월 이동_예상손익(전사취합)" xfId="7772"/>
    <cellStyle name="7_전자99연간결산진실_8월예상_02년간예상손익" xfId="7773"/>
    <cellStyle name="7_전자99연간결산진실_8월예상_04월 이동계획_전사예상pl" xfId="7774"/>
    <cellStyle name="7_전자99연간결산진실_8월예상_1월이동손익_전사예상pl" xfId="7775"/>
    <cellStyle name="7_전자99연간결산진실_8월예상_obu별손익0112이동" xfId="7776"/>
    <cellStyle name="7_전자99연간결산진실_8월전사예상(0903)" xfId="7777"/>
    <cellStyle name="7_전자99연간결산진실_8월전사예상(0903)_01년간예상손익(12월이동)" xfId="7778"/>
    <cellStyle name="7_전자99연간결산진실_8월전사예상(0903)_01년간예상손익(12월이동)_2" xfId="7779"/>
    <cellStyle name="7_전자99연간결산진실_8월전사예상(0903)_02년 2월 이동_예상손익" xfId="7780"/>
    <cellStyle name="7_전자99연간결산진실_8월전사예상(0903)_02년 2월 이동_예상손익_1" xfId="7781"/>
    <cellStyle name="7_전자99연간결산진실_8월전사예상(0903)_02년 3월 이동_예상손익(전사취합)" xfId="7782"/>
    <cellStyle name="7_전자99연간결산진실_8월전사예상(0903)_02년 6월 이동_예상손익(전사취합)" xfId="7783"/>
    <cellStyle name="7_전자99연간결산진실_8월전사예상(0903)_02년간예상손익" xfId="7784"/>
    <cellStyle name="7_전자99연간결산진실_8월전사예상(0903)_04월 이동계획_전사예상pl" xfId="7785"/>
    <cellStyle name="7_전자99연간결산진실_8월전사예상(0903)_1월이동손익_전사예상pl" xfId="7786"/>
    <cellStyle name="7_전자99연간결산진실_8월전사예상(0903)_obu별손익0112이동" xfId="7787"/>
    <cellStyle name="7_전자99연간결산진실_9-12월예상pl" xfId="7788"/>
    <cellStyle name="7_전자99연간결산진실_9-12월예상pl_01년간예상손익(12월이동)" xfId="7789"/>
    <cellStyle name="7_전자99연간결산진실_9-12월예상pl_01년간예상손익(12월이동)_2" xfId="7790"/>
    <cellStyle name="7_전자99연간결산진실_9-12월예상pl_02년 2월 이동_예상손익" xfId="7791"/>
    <cellStyle name="7_전자99연간결산진실_9-12월예상pl_02년 2월 이동_예상손익_1" xfId="7792"/>
    <cellStyle name="7_전자99연간결산진실_9-12월예상pl_02년 3월 이동_예상손익(전사취합)" xfId="7793"/>
    <cellStyle name="7_전자99연간결산진실_9-12월예상pl_02년 6월 이동_예상손익(전사취합)" xfId="7794"/>
    <cellStyle name="7_전자99연간결산진실_9-12월예상pl_02년간예상손익" xfId="7795"/>
    <cellStyle name="7_전자99연간결산진실_9-12월예상pl_04월 이동계획_전사예상pl" xfId="7796"/>
    <cellStyle name="7_전자99연간결산진실_9-12월예상pl_1월이동손익_전사예상pl" xfId="7797"/>
    <cellStyle name="7_전자99연간결산진실_9-12월예상pl_obu별손익0112이동" xfId="7798"/>
    <cellStyle name="7_전자99연간결산진실_9월차이동계획(0911)" xfId="7799"/>
    <cellStyle name="7_전자99연간결산진실_9월차이동계획(0911)_01년간예상손익(12월이동)" xfId="7800"/>
    <cellStyle name="7_전자99연간결산진실_9월차이동계획(0911)_01년간예상손익(12월이동)_2" xfId="7801"/>
    <cellStyle name="7_전자99연간결산진실_9월차이동계획(0911)_02년 2월 이동_예상손익" xfId="7802"/>
    <cellStyle name="7_전자99연간결산진실_9월차이동계획(0911)_02년 2월 이동_예상손익_1" xfId="7803"/>
    <cellStyle name="7_전자99연간결산진실_9월차이동계획(0911)_02년 3월 이동_예상손익(전사취합)" xfId="7804"/>
    <cellStyle name="7_전자99연간결산진실_9월차이동계획(0911)_02년 6월 이동_예상손익(전사취합)" xfId="7805"/>
    <cellStyle name="7_전자99연간결산진실_9월차이동계획(0911)_02년간예상손익" xfId="7806"/>
    <cellStyle name="7_전자99연간결산진실_9월차이동계획(0911)_04월 이동계획_전사예상pl" xfId="7807"/>
    <cellStyle name="7_전자99연간결산진실_9월차이동계획(0911)_1월이동손익_전사예상pl" xfId="7808"/>
    <cellStyle name="7_전자99연간결산진실_9월차이동계획(0911)_obu별손익0112이동" xfId="7809"/>
    <cellStyle name="7_전자99연간결산진실_Book1" xfId="7810"/>
    <cellStyle name="7_전자99연간결산진실_DM_환율영향분석_본부" xfId="7811"/>
    <cellStyle name="7_전자99연간결산진실_eva&amp;cash_02~05년 CM" xfId="7812"/>
    <cellStyle name="7_전자99연간결산진실_그룹+업적보고회+보완사항" xfId="7813"/>
    <cellStyle name="7_전자99연간결산진실_본부본사배부_1022FINAL본사비축소_해외법인" xfId="7814"/>
    <cellStyle name="7_전자99연간결산진실_사업계획 양식" xfId="7815"/>
    <cellStyle name="7_전자99연간결산진실_사업계획 양식_02년사업계획양식V1.0_대호(bs수정)" xfId="7816"/>
    <cellStyle name="7_전자99연간결산진실_사업계획 양식_02년사업계획양식V1.0_대호(bs수정)_02년사업계획양식V2.0" xfId="7817"/>
    <cellStyle name="7_전자99연간결산진실_사업계획 양식_02년사업계획양식V1.0_대호(bs수정)_02년사업계획양식V2.0_02년사업계획양식V2.0" xfId="7818"/>
    <cellStyle name="7_전자99연간결산진실_사업계획 양식_02년사업계획양식V1.0_대호(bs수정)_02년사업계획양식V2.0_02년사업계획양식V2.0_02년사업계획양식V3.0" xfId="7819"/>
    <cellStyle name="7_전자99연간결산진실_사업계획 양식_02년사업계획양식V1.0_대호(bs수정)_02년사업계획양식V2.0_02년사업계획양식V2.0_02년사업계획양식V3.0_02년사업계획양식V3.0" xfId="7820"/>
    <cellStyle name="7_전자99연간결산진실_사업계획 양식_02년사업계획양식V1.0_대호(bs수정)_02년사업계획양식V2.0_02년사업계획양식V2.0_02년사업계획양식V3.0_02년사업계획양식V3.0(원본)" xfId="7821"/>
    <cellStyle name="7_전자99연간결산진실_사업계획 양식_02년사업계획양식V1.0_대호(bs수정)_02년사업계획양식V2.0_02년사업계획양식V2.0_02년사업계획양식V3.0_02년사업계획양식V3.0(원본)_1" xfId="7822"/>
    <cellStyle name="7_전자99연간결산진실_사업계획 양식_02년사업계획양식V1.0_대호(bs수정)_02년사업계획양식V2.0_02년사업계획양식V3.0" xfId="7823"/>
    <cellStyle name="7_전자99연간결산진실_사업계획 양식_02년사업계획양식V1.0_대호(bs수정)_02년사업계획양식V2.0_02년사업계획양식V3.0(원본)" xfId="7824"/>
    <cellStyle name="7_전자99연간결산진실_사업계획 양식_02년사업계획양식V1.0_대호(bs수정)_02년사업계획양식V2.0_02년사업계획양식V3.0(원본)_1" xfId="7825"/>
    <cellStyle name="7_전자99연간결산진실_사업계획 양식_02년사업계획양식V1.0_대호(bs수정)_02년사업계획양식V2.0_02년사업계획양식V3.0_02년사업계획양식V3.0" xfId="7826"/>
    <cellStyle name="7_전자99연간결산진실_사업계획 양식_02년사업계획양식V1.0_대호(bs수정)_02년사업계획양식V2.0_02년사업계획양식V3.0_02년사업계획양식V3.0_02년사업계획양식V3.0" xfId="7827"/>
    <cellStyle name="7_전자99연간결산진실_사업계획 양식_02년사업계획양식V1.0_대호(bs수정)_02년사업계획양식V2.0_02년사업계획양식V3.0_02년사업계획양식V3.0_02년사업계획양식V3.0(원본)" xfId="7828"/>
    <cellStyle name="7_전자99연간결산진실_사업계획 양식_02년사업계획양식V1.0_대호(bs수정)_02년사업계획양식V2.0_02년사업계획양식V3.0_02년사업계획양식V3.0_02년사업계획양식V3.0(원본)_1" xfId="7829"/>
    <cellStyle name="7_전자99연간결산진실_사업계획 양식_02년사업계획양식V1.0_대호(bs수정)_02년사업계획양식V3.0" xfId="7830"/>
    <cellStyle name="7_전자99연간결산진실_사업계획 양식_02년사업계획양식V1.0_대호(bs수정)_02년사업계획양식V3.0_02년사업계획양식V3.0" xfId="7831"/>
    <cellStyle name="7_전자99연간결산진실_사업계획 양식_02년사업계획양식V1.0_대호(bs수정)_02년사업계획양식V3.0_02년사업계획양식V3.0(원본)" xfId="7832"/>
    <cellStyle name="7_전자99연간결산진실_사업계획 양식_02년사업계획양식V1.0_대호(bs수정)_02년사업계획양식V3.0_02년사업계획양식V3.0(원본)_1" xfId="7833"/>
    <cellStyle name="7_전자99연간결산진실_사업계획 양식_02년사업계획양식V2.0" xfId="7834"/>
    <cellStyle name="7_전자99연간결산진실_사업계획 양식_02년사업계획양식V2.0_02년사업계획양식V3.0" xfId="7835"/>
    <cellStyle name="7_전자99연간결산진실_사업계획 양식_02년사업계획양식V2.0_02년사업계획양식V3.0_02년사업계획양식V3.0" xfId="7836"/>
    <cellStyle name="7_전자99연간결산진실_사업계획 양식_02년사업계획양식V2.0_02년사업계획양식V3.0_02년사업계획양식V3.0(원본)" xfId="7837"/>
    <cellStyle name="7_전자99연간결산진실_사업계획 양식_02년사업계획양식V2.0_02년사업계획양식V3.0_02년사업계획양식V3.0(원본)_1" xfId="7838"/>
    <cellStyle name="7_전자99연간결산진실_사업계획 양식_02년사업계획양식V3.0" xfId="7839"/>
    <cellStyle name="7_전자99연간결산진실_사업계획 양식_02년사업계획양식V3.0(원본)" xfId="7840"/>
    <cellStyle name="7_전자99연간결산진실_사업계획 양식_02년사업계획양식V3.0(원본)_1" xfId="7841"/>
    <cellStyle name="7_전자99연간결산진실_사업계획 양식_02년사업계획양식V3.0_02년사업계획양식V3.0" xfId="7842"/>
    <cellStyle name="7_전자99연간결산진실_사업계획 양식_02년사업계획양식V3.0_02년사업계획양식V3.0_02년사업계획양식V3.0" xfId="7843"/>
    <cellStyle name="7_전자99연간결산진실_사업계획 양식_02년사업계획양식V3.0_02년사업계획양식V3.0_02년사업계획양식V3.0(원본)" xfId="7844"/>
    <cellStyle name="7_전자99연간결산진실_사업계획 양식_02년사업계획양식V3.0_02년사업계획양식V3.0_02년사업계획양식V3.0(원본)_1" xfId="7845"/>
    <cellStyle name="7_전자99연간결산진실_상반기_연간손익정리(서대호)" xfId="7846"/>
    <cellStyle name="7_전자99연간결산진실_상반기_연간손익정리(서대호)_01년간예상손익(12월이동)" xfId="7847"/>
    <cellStyle name="7_전자99연간결산진실_상반기_연간손익정리(서대호)_01년간예상손익(12월이동)_2" xfId="7848"/>
    <cellStyle name="7_전자99연간결산진실_상반기_연간손익정리(서대호)_01매출손익(6월 실적반영)" xfId="7849"/>
    <cellStyle name="7_전자99연간결산진실_상반기_연간손익정리(서대호)_01매출손익(6월 실적반영)_01년간예상손익(12월이동)" xfId="7850"/>
    <cellStyle name="7_전자99연간결산진실_상반기_연간손익정리(서대호)_01매출손익(6월 실적반영)_01년간예상손익(12월이동)_2" xfId="7851"/>
    <cellStyle name="7_전자99연간결산진실_상반기_연간손익정리(서대호)_01매출손익(6월 실적반영)_02년 2월 이동_예상손익" xfId="7852"/>
    <cellStyle name="7_전자99연간결산진실_상반기_연간손익정리(서대호)_01매출손익(6월 실적반영)_02년 2월 이동_예상손익_1" xfId="7853"/>
    <cellStyle name="7_전자99연간결산진실_상반기_연간손익정리(서대호)_01매출손익(6월 실적반영)_02년 3월 이동_예상손익(전사취합)" xfId="7854"/>
    <cellStyle name="7_전자99연간결산진실_상반기_연간손익정리(서대호)_01매출손익(6월 실적반영)_02년 6월 이동_예상손익(전사취합)" xfId="7855"/>
    <cellStyle name="7_전자99연간결산진실_상반기_연간손익정리(서대호)_01매출손익(6월 실적반영)_02년간예상손익" xfId="7856"/>
    <cellStyle name="7_전자99연간결산진실_상반기_연간손익정리(서대호)_01매출손익(6월 실적반영)_04월 이동계획_전사예상pl" xfId="7857"/>
    <cellStyle name="7_전자99연간결산진실_상반기_연간손익정리(서대호)_01매출손익(6월 실적반영)_1월이동손익_전사예상pl" xfId="7858"/>
    <cellStyle name="7_전자99연간결산진실_상반기_연간손익정리(서대호)_01매출손익(6월 실적반영)_obu별손익0112이동" xfId="7859"/>
    <cellStyle name="7_전자99연간결산진실_상반기_연간손익정리(서대호)_02년 2월 이동_예상손익" xfId="7860"/>
    <cellStyle name="7_전자99연간결산진실_상반기_연간손익정리(서대호)_02년 2월 이동_예상손익_1" xfId="7861"/>
    <cellStyle name="7_전자99연간결산진실_상반기_연간손익정리(서대호)_02년 3월 이동_예상손익(전사취합)" xfId="7862"/>
    <cellStyle name="7_전자99연간결산진실_상반기_연간손익정리(서대호)_02년 6월 이동_예상손익(전사취합)" xfId="7863"/>
    <cellStyle name="7_전자99연간결산진실_상반기_연간손익정리(서대호)_02년간예상손익" xfId="7864"/>
    <cellStyle name="7_전자99연간결산진실_상반기_연간손익정리(서대호)_04월 이동계획_전사예상pl" xfId="7865"/>
    <cellStyle name="7_전자99연간결산진실_상반기_연간손익정리(서대호)_1월이동손익_전사예상pl" xfId="7866"/>
    <cellStyle name="7_전자99연간결산진실_상반기_연간손익정리(서대호)_8월예상" xfId="7867"/>
    <cellStyle name="7_전자99연간결산진실_상반기_연간손익정리(서대호)_8월예상_01년간예상손익(12월이동)" xfId="7868"/>
    <cellStyle name="7_전자99연간결산진실_상반기_연간손익정리(서대호)_8월예상_01년간예상손익(12월이동)_2" xfId="7869"/>
    <cellStyle name="7_전자99연간결산진실_상반기_연간손익정리(서대호)_8월예상_02년 2월 이동_예상손익" xfId="7870"/>
    <cellStyle name="7_전자99연간결산진실_상반기_연간손익정리(서대호)_8월예상_02년 2월 이동_예상손익_1" xfId="7871"/>
    <cellStyle name="7_전자99연간결산진실_상반기_연간손익정리(서대호)_8월예상_02년 3월 이동_예상손익(전사취합)" xfId="7872"/>
    <cellStyle name="7_전자99연간결산진실_상반기_연간손익정리(서대호)_8월예상_02년 6월 이동_예상손익(전사취합)" xfId="7873"/>
    <cellStyle name="7_전자99연간결산진실_상반기_연간손익정리(서대호)_8월예상_02년간예상손익" xfId="7874"/>
    <cellStyle name="7_전자99연간결산진실_상반기_연간손익정리(서대호)_8월예상_04월 이동계획_전사예상pl" xfId="7875"/>
    <cellStyle name="7_전자99연간결산진실_상반기_연간손익정리(서대호)_8월예상_1월이동손익_전사예상pl" xfId="7876"/>
    <cellStyle name="7_전자99연간결산진실_상반기_연간손익정리(서대호)_8월예상_obu별손익0112이동" xfId="7877"/>
    <cellStyle name="7_전자99연간결산진실_상반기_연간손익정리(서대호)_obu별손익0112이동" xfId="7878"/>
    <cellStyle name="7_전자99연간결산진실_상반기_연간손익정리(서대호)_연간예상추정5886_0726" xfId="7879"/>
    <cellStyle name="7_전자99연간결산진실_상반기_연간손익정리(서대호)_연간예상추정5886_0726_01년간예상손익(12월이동)" xfId="7880"/>
    <cellStyle name="7_전자99연간결산진실_상반기_연간손익정리(서대호)_연간예상추정5886_0726_01년간예상손익(12월이동)_2" xfId="7881"/>
    <cellStyle name="7_전자99연간결산진실_상반기_연간손익정리(서대호)_연간예상추정5886_0726_02년 2월 이동_예상손익" xfId="7882"/>
    <cellStyle name="7_전자99연간결산진실_상반기_연간손익정리(서대호)_연간예상추정5886_0726_02년 2월 이동_예상손익_1" xfId="7883"/>
    <cellStyle name="7_전자99연간결산진실_상반기_연간손익정리(서대호)_연간예상추정5886_0726_02년 3월 이동_예상손익(전사취합)" xfId="7884"/>
    <cellStyle name="7_전자99연간결산진실_상반기_연간손익정리(서대호)_연간예상추정5886_0726_02년 6월 이동_예상손익(전사취합)" xfId="7885"/>
    <cellStyle name="7_전자99연간결산진실_상반기_연간손익정리(서대호)_연간예상추정5886_0726_02년간예상손익" xfId="7886"/>
    <cellStyle name="7_전자99연간결산진실_상반기_연간손익정리(서대호)_연간예상추정5886_0726_04월 이동계획_전사예상pl" xfId="7887"/>
    <cellStyle name="7_전자99연간결산진실_상반기_연간손익정리(서대호)_연간예상추정5886_0726_1월이동손익_전사예상pl" xfId="7888"/>
    <cellStyle name="7_전자99연간결산진실_상반기_연간손익정리(서대호)_연간예상추정5886_0726_obu별손익0112이동" xfId="7889"/>
    <cellStyle name="7_전자99연간결산진실_연간예상추정5886_0726" xfId="7890"/>
    <cellStyle name="7_전자99연간결산진실_연간예상추정5886_0726_01년간예상손익(12월이동)" xfId="7891"/>
    <cellStyle name="7_전자99연간결산진실_연간예상추정5886_0726_01년간예상손익(12월이동)_2" xfId="7892"/>
    <cellStyle name="7_전자99연간결산진실_연간예상추정5886_0726_02년 2월 이동_예상손익" xfId="7893"/>
    <cellStyle name="7_전자99연간결산진실_연간예상추정5886_0726_02년 2월 이동_예상손익_1" xfId="7894"/>
    <cellStyle name="7_전자99연간결산진실_연간예상추정5886_0726_02년 3월 이동_예상손익(전사취합)" xfId="7895"/>
    <cellStyle name="7_전자99연간결산진실_연간예상추정5886_0726_02년 6월 이동_예상손익(전사취합)" xfId="7896"/>
    <cellStyle name="7_전자99연간결산진실_연간예상추정5886_0726_02년간예상손익" xfId="7897"/>
    <cellStyle name="7_전자99연간결산진실_연간예상추정5886_0726_04월 이동계획_전사예상pl" xfId="7898"/>
    <cellStyle name="7_전자99연간결산진실_연간예상추정5886_0726_1월이동손익_전사예상pl" xfId="7899"/>
    <cellStyle name="7_전자99연간결산진실_연간예상추정5886_0726_obu별손익0112이동" xfId="7900"/>
    <cellStyle name="A¨­￠￢￠O [0]_SP ⓒo¡Æ￥i￠?ⓒo¡¿ ￠?UAO " xfId="7901"/>
    <cellStyle name="A¨­￠￢￠O_SP ⓒo¡Æ￥i￠?ⓒo¡¿ ￠?UAO " xfId="7902"/>
    <cellStyle name="Accent1" xfId="7903"/>
    <cellStyle name="Accent2" xfId="7904"/>
    <cellStyle name="Accent3" xfId="7905"/>
    <cellStyle name="Accent4" xfId="7906"/>
    <cellStyle name="Accent5" xfId="7907"/>
    <cellStyle name="Accent6" xfId="7908"/>
    <cellStyle name="AeE­ [0]_°u¸RC×¸n_¾÷A¾º° " xfId="7909"/>
    <cellStyle name="AeE­_°u¸RC×¸n_¾÷A¾º° " xfId="7910"/>
    <cellStyle name="AeE¡ⓒ [0]_SP ⓒo¡Æ￥i￠?ⓒo¡¿ ￠?UAO " xfId="7911"/>
    <cellStyle name="AeE¡ⓒ_SP ⓒo¡Æ￥i￠?ⓒo¡¿ ￠?UAO " xfId="7912"/>
    <cellStyle name="ÆÕÍ¨_Sheet1 (2)" xfId="7913"/>
    <cellStyle name="Arial 10" xfId="7914"/>
    <cellStyle name="Arial 12" xfId="7915"/>
    <cellStyle name="AÞ¸¶ [0]_°¡³ª´U " xfId="7916"/>
    <cellStyle name="ÄÞ¸¶ [0]_°ü¸®Ç×¸ñ_¾÷Á¾º° " xfId="7917"/>
    <cellStyle name="AÞ¸¶ [0]_°u¸RBS('98) " xfId="7918"/>
    <cellStyle name="ÄÞ¸¶_´ëÇü»çÃâ" xfId="7919"/>
    <cellStyle name="AÞ¸¶_°u¸RC×¸n_¾÷A¾º° " xfId="7920"/>
    <cellStyle name="Bad" xfId="7921"/>
    <cellStyle name="blue$00" xfId="7922"/>
    <cellStyle name="Body" xfId="7923"/>
    <cellStyle name="British Pound" xfId="7924"/>
    <cellStyle name="C¡IA¨ª_¨uOAIA¡AAI ￠?ⓒªAI " xfId="7925"/>
    <cellStyle name="C¡ÍA¨ª_3.¨ùOAI " xfId="7926"/>
    <cellStyle name="C￥AØ_  FAB AIA¤  " xfId="7927"/>
    <cellStyle name="Ç¥ÁØ_´ëÇü»çÃâ" xfId="7928"/>
    <cellStyle name="C￥AØ_¸nA÷2 " xfId="7929"/>
    <cellStyle name="Ç¥ÁØ_Àç°íÀÚ»ê" xfId="7930"/>
    <cellStyle name="Ç§Î»·Ö¸ô[0]_city" xfId="7931"/>
    <cellStyle name="Ç§Î»·Ö¸ô_city" xfId="7932"/>
    <cellStyle name="Calc" xfId="7933"/>
    <cellStyle name="Calc Currency (0)" xfId="7934"/>
    <cellStyle name="Calculation" xfId="7935"/>
    <cellStyle name="Case" xfId="7936"/>
    <cellStyle name="Check Cell" xfId="7937"/>
    <cellStyle name="Comma" xfId="7938"/>
    <cellStyle name="Comma [0]" xfId="7939"/>
    <cellStyle name="Comma [0] 2" xfId="7940"/>
    <cellStyle name="comma zerodec" xfId="7941"/>
    <cellStyle name="Comma_ SG&amp;A Bridge " xfId="7942"/>
    <cellStyle name="Currency" xfId="7943"/>
    <cellStyle name="Currency [0]" xfId="7944"/>
    <cellStyle name="Currency_ SG&amp;A Bridge " xfId="7945"/>
    <cellStyle name="Currency1" xfId="7946"/>
    <cellStyle name="Curren啈y [0]_97회비_97회비 (2)_1월회비내역 (2)" xfId="7947"/>
    <cellStyle name="Data" xfId="7948"/>
    <cellStyle name="Dezimal [0]_laroux" xfId="7949"/>
    <cellStyle name="Dezimal_laroux" xfId="7950"/>
    <cellStyle name="Dollar (zero dec)" xfId="7951"/>
    <cellStyle name="Double Accounting" xfId="7952"/>
    <cellStyle name="Euro" xfId="7953"/>
    <cellStyle name="Explanatory Text" xfId="7954"/>
    <cellStyle name="Forecast" xfId="7955"/>
    <cellStyle name="Good" xfId="7956"/>
    <cellStyle name="Grey" xfId="7957"/>
    <cellStyle name="Header1" xfId="7958"/>
    <cellStyle name="Header2" xfId="7959"/>
    <cellStyle name="Heading 1" xfId="7960"/>
    <cellStyle name="Heading 2" xfId="7961"/>
    <cellStyle name="Heading 3" xfId="7962"/>
    <cellStyle name="Heading 4" xfId="7963"/>
    <cellStyle name="HeadingS" xfId="7964"/>
    <cellStyle name="History" xfId="7965"/>
    <cellStyle name="Hyperlink" xfId="7966"/>
    <cellStyle name="Input" xfId="7967"/>
    <cellStyle name="Input [yellow]" xfId="7968"/>
    <cellStyle name="Input_`12년 전략CM_투자_2_Reply_0329_TH법인" xfId="7969"/>
    <cellStyle name="Linked" xfId="7970"/>
    <cellStyle name="Linked Cell" xfId="7971"/>
    <cellStyle name="Migliaia_SR - Supply Plan Overview per Customer" xfId="7972"/>
    <cellStyle name="Millares [0]_IMPAGOS" xfId="7973"/>
    <cellStyle name="Millares_IMPAGOS" xfId="7974"/>
    <cellStyle name="Milliers [0]_Arabian Spec" xfId="7975"/>
    <cellStyle name="Milliers_Arabian Spec" xfId="7976"/>
    <cellStyle name="Moeda [0]_~0036490" xfId="7977"/>
    <cellStyle name="Moeda_~0036490" xfId="7978"/>
    <cellStyle name="Mon?aire [0]_Arabian Spec" xfId="7979"/>
    <cellStyle name="Mon?aire_Arabian Spec" xfId="7980"/>
    <cellStyle name="Moneda [0]_IMPAGOS" xfId="7981"/>
    <cellStyle name="Moneda_IMPAGOS" xfId="7982"/>
    <cellStyle name="mtxPvtDataStyle" xfId="7983"/>
    <cellStyle name="Neutral" xfId="7984"/>
    <cellStyle name="no dec" xfId="7985"/>
    <cellStyle name="Normal - Style1" xfId="7986"/>
    <cellStyle name="Normal - Style2" xfId="7987"/>
    <cellStyle name="Normal - Style3" xfId="7988"/>
    <cellStyle name="Normal - Style4" xfId="7989"/>
    <cellStyle name="Normal - Style5" xfId="7990"/>
    <cellStyle name="Normal - Style6" xfId="7991"/>
    <cellStyle name="Normal - Style7" xfId="7992"/>
    <cellStyle name="Normal - Style8" xfId="7993"/>
    <cellStyle name="Normal_ SG&amp;A Bridge " xfId="7994"/>
    <cellStyle name="Normale_CPT---27 FABIO GOLINELLI TRIAL" xfId="7995"/>
    <cellStyle name="Note" xfId="7996"/>
    <cellStyle name="_x000f_O" xfId="7997"/>
    <cellStyle name="Output" xfId="7998"/>
    <cellStyle name="Percent" xfId="7999"/>
    <cellStyle name="Percent [2]" xfId="8000"/>
    <cellStyle name="Percent_@DDM_04전략보고_재무지표_v9_final_인도수정" xfId="8001"/>
    <cellStyle name="Placeholder" xfId="8002"/>
    <cellStyle name="Regular Area" xfId="8003"/>
    <cellStyle name="Separador de milhares [0]_~0036490" xfId="8004"/>
    <cellStyle name="Separador de milhares_~0036490" xfId="8005"/>
    <cellStyle name="Single Accounting" xfId="8006"/>
    <cellStyle name="Source Line" xfId="8007"/>
    <cellStyle name="Standard_laroux" xfId="8008"/>
    <cellStyle name="Style 1" xfId="8009"/>
    <cellStyle name="Table Heading" xfId="8010"/>
    <cellStyle name="Temp" xfId="8011"/>
    <cellStyle name="Title" xfId="8012"/>
    <cellStyle name="Title Line" xfId="8013"/>
    <cellStyle name="Title_전략CM 요약_1_LGESA" xfId="8014"/>
    <cellStyle name="Top Row" xfId="8015"/>
    <cellStyle name="Total" xfId="8016"/>
    <cellStyle name="Total Row" xfId="8017"/>
    <cellStyle name="Total_전략CM 요약_1_LGESA" xfId="8018"/>
    <cellStyle name="Value" xfId="8019"/>
    <cellStyle name="W?rung [0]_laroux" xfId="8020"/>
    <cellStyle name="W?rung_laroux" xfId="8021"/>
    <cellStyle name="Warning Text" xfId="8022"/>
    <cellStyle name="Yen" xfId="8023"/>
    <cellStyle name="عادي_ق . 12 2000" xfId="8024"/>
    <cellStyle name="" xfId="8025"/>
    <cellStyle name="" xfId="8026"/>
    <cellStyle name="强调文字颜色 1" xfId="8027"/>
    <cellStyle name="强调文字颜色 2" xfId="8028"/>
    <cellStyle name="强调文字颜色 3" xfId="8029"/>
    <cellStyle name="强调文字颜色 4" xfId="8030"/>
    <cellStyle name="强调文字颜色 5" xfId="8031"/>
    <cellStyle name="强调文字颜色 6" xfId="8032"/>
    <cellStyle name="강조색1 2" xfId="8033"/>
    <cellStyle name="강조색1 2 10" xfId="8034"/>
    <cellStyle name="강조색1 2 100" xfId="8035"/>
    <cellStyle name="강조색1 2 101" xfId="8036"/>
    <cellStyle name="강조색1 2 102" xfId="8037"/>
    <cellStyle name="강조색1 2 103" xfId="8038"/>
    <cellStyle name="강조색1 2 104" xfId="8039"/>
    <cellStyle name="강조색1 2 105" xfId="8040"/>
    <cellStyle name="강조색1 2 106" xfId="8041"/>
    <cellStyle name="강조색1 2 107" xfId="8042"/>
    <cellStyle name="강조색1 2 108" xfId="8043"/>
    <cellStyle name="강조색1 2 109" xfId="8044"/>
    <cellStyle name="강조색1 2 11" xfId="8045"/>
    <cellStyle name="강조색1 2 110" xfId="8046"/>
    <cellStyle name="강조색1 2 111" xfId="8047"/>
    <cellStyle name="강조색1 2 112" xfId="8048"/>
    <cellStyle name="강조색1 2 113" xfId="8049"/>
    <cellStyle name="강조색1 2 114" xfId="8050"/>
    <cellStyle name="강조색1 2 115" xfId="8051"/>
    <cellStyle name="강조색1 2 116" xfId="8052"/>
    <cellStyle name="강조색1 2 117" xfId="8053"/>
    <cellStyle name="강조색1 2 118" xfId="8054"/>
    <cellStyle name="강조색1 2 119" xfId="8055"/>
    <cellStyle name="강조색1 2 12" xfId="8056"/>
    <cellStyle name="강조색1 2 120" xfId="8057"/>
    <cellStyle name="강조색1 2 121" xfId="8058"/>
    <cellStyle name="강조색1 2 122" xfId="8059"/>
    <cellStyle name="강조색1 2 123" xfId="8060"/>
    <cellStyle name="강조색1 2 124" xfId="8061"/>
    <cellStyle name="강조색1 2 125" xfId="8062"/>
    <cellStyle name="강조색1 2 126" xfId="8063"/>
    <cellStyle name="강조색1 2 127" xfId="8064"/>
    <cellStyle name="강조색1 2 128" xfId="8065"/>
    <cellStyle name="강조색1 2 129" xfId="8066"/>
    <cellStyle name="강조색1 2 13" xfId="8067"/>
    <cellStyle name="강조색1 2 130" xfId="8068"/>
    <cellStyle name="강조색1 2 131" xfId="8069"/>
    <cellStyle name="강조색1 2 132" xfId="8070"/>
    <cellStyle name="강조색1 2 133" xfId="8071"/>
    <cellStyle name="강조색1 2 134" xfId="8072"/>
    <cellStyle name="강조색1 2 135" xfId="8073"/>
    <cellStyle name="강조색1 2 136" xfId="8074"/>
    <cellStyle name="강조색1 2 137" xfId="8075"/>
    <cellStyle name="강조색1 2 138" xfId="8076"/>
    <cellStyle name="강조색1 2 139" xfId="8077"/>
    <cellStyle name="강조색1 2 14" xfId="8078"/>
    <cellStyle name="강조색1 2 140" xfId="8079"/>
    <cellStyle name="강조색1 2 141" xfId="8080"/>
    <cellStyle name="강조색1 2 142" xfId="8081"/>
    <cellStyle name="강조색1 2 143" xfId="8082"/>
    <cellStyle name="강조색1 2 144" xfId="8083"/>
    <cellStyle name="강조색1 2 145" xfId="8084"/>
    <cellStyle name="강조색1 2 146" xfId="8085"/>
    <cellStyle name="강조색1 2 147" xfId="8086"/>
    <cellStyle name="강조색1 2 148" xfId="8087"/>
    <cellStyle name="강조색1 2 149" xfId="8088"/>
    <cellStyle name="강조색1 2 15" xfId="8089"/>
    <cellStyle name="강조색1 2 150" xfId="8090"/>
    <cellStyle name="강조색1 2 151" xfId="8091"/>
    <cellStyle name="강조색1 2 152" xfId="8092"/>
    <cellStyle name="강조색1 2 153" xfId="8093"/>
    <cellStyle name="강조색1 2 154" xfId="8094"/>
    <cellStyle name="강조색1 2 155" xfId="8095"/>
    <cellStyle name="강조색1 2 156" xfId="8096"/>
    <cellStyle name="강조색1 2 157" xfId="8097"/>
    <cellStyle name="강조색1 2 158" xfId="8098"/>
    <cellStyle name="강조색1 2 159" xfId="8099"/>
    <cellStyle name="강조색1 2 16" xfId="8100"/>
    <cellStyle name="강조색1 2 160" xfId="8101"/>
    <cellStyle name="강조색1 2 161" xfId="8102"/>
    <cellStyle name="강조색1 2 162" xfId="8103"/>
    <cellStyle name="강조색1 2 163" xfId="8104"/>
    <cellStyle name="강조색1 2 164" xfId="8105"/>
    <cellStyle name="강조색1 2 165" xfId="8106"/>
    <cellStyle name="강조색1 2 166" xfId="8107"/>
    <cellStyle name="강조색1 2 167" xfId="8108"/>
    <cellStyle name="강조색1 2 168" xfId="8109"/>
    <cellStyle name="강조색1 2 169" xfId="8110"/>
    <cellStyle name="강조색1 2 17" xfId="8111"/>
    <cellStyle name="강조색1 2 170" xfId="8112"/>
    <cellStyle name="강조색1 2 171" xfId="8113"/>
    <cellStyle name="강조색1 2 172" xfId="8114"/>
    <cellStyle name="강조색1 2 173" xfId="8115"/>
    <cellStyle name="강조색1 2 174" xfId="8116"/>
    <cellStyle name="강조색1 2 175" xfId="8117"/>
    <cellStyle name="강조색1 2 176" xfId="8118"/>
    <cellStyle name="강조색1 2 177" xfId="8119"/>
    <cellStyle name="강조색1 2 178" xfId="8120"/>
    <cellStyle name="강조색1 2 179" xfId="8121"/>
    <cellStyle name="강조색1 2 18" xfId="8122"/>
    <cellStyle name="강조색1 2 180" xfId="8123"/>
    <cellStyle name="강조색1 2 181" xfId="8124"/>
    <cellStyle name="강조색1 2 182" xfId="8125"/>
    <cellStyle name="강조색1 2 183" xfId="8126"/>
    <cellStyle name="강조색1 2 184" xfId="8127"/>
    <cellStyle name="강조색1 2 185" xfId="8128"/>
    <cellStyle name="강조색1 2 186" xfId="8129"/>
    <cellStyle name="강조색1 2 187" xfId="8130"/>
    <cellStyle name="강조색1 2 188" xfId="8131"/>
    <cellStyle name="강조색1 2 189" xfId="8132"/>
    <cellStyle name="강조색1 2 19" xfId="8133"/>
    <cellStyle name="강조색1 2 190" xfId="8134"/>
    <cellStyle name="강조색1 2 191" xfId="8135"/>
    <cellStyle name="강조색1 2 192" xfId="8136"/>
    <cellStyle name="강조색1 2 193" xfId="8137"/>
    <cellStyle name="강조색1 2 194" xfId="8138"/>
    <cellStyle name="강조색1 2 195" xfId="8139"/>
    <cellStyle name="강조색1 2 196" xfId="8140"/>
    <cellStyle name="강조색1 2 197" xfId="8141"/>
    <cellStyle name="강조색1 2 198" xfId="8142"/>
    <cellStyle name="강조색1 2 199" xfId="8143"/>
    <cellStyle name="강조색1 2 2" xfId="8144"/>
    <cellStyle name="강조색1 2 20" xfId="8145"/>
    <cellStyle name="강조색1 2 200" xfId="8146"/>
    <cellStyle name="강조색1 2 201" xfId="8147"/>
    <cellStyle name="강조색1 2 202" xfId="8148"/>
    <cellStyle name="강조색1 2 203" xfId="8149"/>
    <cellStyle name="강조색1 2 204" xfId="8150"/>
    <cellStyle name="강조색1 2 205" xfId="8151"/>
    <cellStyle name="강조색1 2 206" xfId="8152"/>
    <cellStyle name="강조색1 2 207" xfId="8153"/>
    <cellStyle name="강조색1 2 208" xfId="8154"/>
    <cellStyle name="강조색1 2 209" xfId="8155"/>
    <cellStyle name="강조색1 2 21" xfId="8156"/>
    <cellStyle name="강조색1 2 210" xfId="8157"/>
    <cellStyle name="강조색1 2 211" xfId="8158"/>
    <cellStyle name="강조색1 2 212" xfId="8159"/>
    <cellStyle name="강조색1 2 213" xfId="8160"/>
    <cellStyle name="강조색1 2 214" xfId="8161"/>
    <cellStyle name="강조색1 2 215" xfId="8162"/>
    <cellStyle name="강조색1 2 216" xfId="8163"/>
    <cellStyle name="강조색1 2 217" xfId="8164"/>
    <cellStyle name="강조색1 2 218" xfId="8165"/>
    <cellStyle name="강조색1 2 219" xfId="8166"/>
    <cellStyle name="강조색1 2 22" xfId="8167"/>
    <cellStyle name="강조색1 2 220" xfId="8168"/>
    <cellStyle name="강조색1 2 221" xfId="8169"/>
    <cellStyle name="강조색1 2 222" xfId="8170"/>
    <cellStyle name="강조색1 2 223" xfId="8171"/>
    <cellStyle name="강조색1 2 224" xfId="8172"/>
    <cellStyle name="강조색1 2 225" xfId="8173"/>
    <cellStyle name="강조색1 2 226" xfId="8174"/>
    <cellStyle name="강조색1 2 227" xfId="8175"/>
    <cellStyle name="강조색1 2 228" xfId="8176"/>
    <cellStyle name="강조색1 2 229" xfId="8177"/>
    <cellStyle name="강조색1 2 23" xfId="8178"/>
    <cellStyle name="강조색1 2 230" xfId="8179"/>
    <cellStyle name="강조색1 2 231" xfId="8180"/>
    <cellStyle name="강조색1 2 232" xfId="8181"/>
    <cellStyle name="강조색1 2 233" xfId="8182"/>
    <cellStyle name="강조색1 2 234" xfId="8183"/>
    <cellStyle name="강조색1 2 235" xfId="8184"/>
    <cellStyle name="강조색1 2 236" xfId="8185"/>
    <cellStyle name="강조색1 2 237" xfId="8186"/>
    <cellStyle name="강조색1 2 238" xfId="8187"/>
    <cellStyle name="강조색1 2 239" xfId="8188"/>
    <cellStyle name="강조색1 2 24" xfId="8189"/>
    <cellStyle name="강조색1 2 240" xfId="8190"/>
    <cellStyle name="강조색1 2 241" xfId="8191"/>
    <cellStyle name="강조색1 2 25" xfId="8192"/>
    <cellStyle name="강조색1 2 26" xfId="8193"/>
    <cellStyle name="강조색1 2 27" xfId="8194"/>
    <cellStyle name="강조색1 2 28" xfId="8195"/>
    <cellStyle name="강조색1 2 29" xfId="8196"/>
    <cellStyle name="강조색1 2 3" xfId="8197"/>
    <cellStyle name="강조색1 2 30" xfId="8198"/>
    <cellStyle name="강조색1 2 31" xfId="8199"/>
    <cellStyle name="강조색1 2 32" xfId="8200"/>
    <cellStyle name="강조색1 2 33" xfId="8201"/>
    <cellStyle name="강조색1 2 34" xfId="8202"/>
    <cellStyle name="강조색1 2 35" xfId="8203"/>
    <cellStyle name="강조색1 2 36" xfId="8204"/>
    <cellStyle name="강조색1 2 37" xfId="8205"/>
    <cellStyle name="강조색1 2 38" xfId="8206"/>
    <cellStyle name="강조색1 2 39" xfId="8207"/>
    <cellStyle name="강조색1 2 4" xfId="8208"/>
    <cellStyle name="강조색1 2 40" xfId="8209"/>
    <cellStyle name="강조색1 2 41" xfId="8210"/>
    <cellStyle name="강조색1 2 42" xfId="8211"/>
    <cellStyle name="강조색1 2 43" xfId="8212"/>
    <cellStyle name="강조색1 2 44" xfId="8213"/>
    <cellStyle name="강조색1 2 45" xfId="8214"/>
    <cellStyle name="강조색1 2 46" xfId="8215"/>
    <cellStyle name="강조색1 2 47" xfId="8216"/>
    <cellStyle name="강조색1 2 48" xfId="8217"/>
    <cellStyle name="강조색1 2 49" xfId="8218"/>
    <cellStyle name="강조색1 2 5" xfId="8219"/>
    <cellStyle name="강조색1 2 50" xfId="8220"/>
    <cellStyle name="강조색1 2 51" xfId="8221"/>
    <cellStyle name="강조색1 2 52" xfId="8222"/>
    <cellStyle name="강조색1 2 53" xfId="8223"/>
    <cellStyle name="강조색1 2 54" xfId="8224"/>
    <cellStyle name="강조색1 2 55" xfId="8225"/>
    <cellStyle name="강조색1 2 56" xfId="8226"/>
    <cellStyle name="강조색1 2 57" xfId="8227"/>
    <cellStyle name="강조색1 2 58" xfId="8228"/>
    <cellStyle name="강조색1 2 59" xfId="8229"/>
    <cellStyle name="강조색1 2 6" xfId="8230"/>
    <cellStyle name="강조색1 2 60" xfId="8231"/>
    <cellStyle name="강조색1 2 61" xfId="8232"/>
    <cellStyle name="강조색1 2 62" xfId="8233"/>
    <cellStyle name="강조색1 2 63" xfId="8234"/>
    <cellStyle name="강조색1 2 64" xfId="8235"/>
    <cellStyle name="강조색1 2 65" xfId="8236"/>
    <cellStyle name="강조색1 2 66" xfId="8237"/>
    <cellStyle name="강조색1 2 67" xfId="8238"/>
    <cellStyle name="강조색1 2 68" xfId="8239"/>
    <cellStyle name="강조색1 2 69" xfId="8240"/>
    <cellStyle name="강조색1 2 7" xfId="8241"/>
    <cellStyle name="강조색1 2 70" xfId="8242"/>
    <cellStyle name="강조색1 2 71" xfId="8243"/>
    <cellStyle name="강조색1 2 72" xfId="8244"/>
    <cellStyle name="강조색1 2 73" xfId="8245"/>
    <cellStyle name="강조색1 2 74" xfId="8246"/>
    <cellStyle name="강조색1 2 75" xfId="8247"/>
    <cellStyle name="강조색1 2 76" xfId="8248"/>
    <cellStyle name="강조색1 2 77" xfId="8249"/>
    <cellStyle name="강조색1 2 78" xfId="8250"/>
    <cellStyle name="강조색1 2 79" xfId="8251"/>
    <cellStyle name="강조색1 2 8" xfId="8252"/>
    <cellStyle name="강조색1 2 80" xfId="8253"/>
    <cellStyle name="강조색1 2 81" xfId="8254"/>
    <cellStyle name="강조색1 2 82" xfId="8255"/>
    <cellStyle name="강조색1 2 83" xfId="8256"/>
    <cellStyle name="강조색1 2 84" xfId="8257"/>
    <cellStyle name="강조색1 2 85" xfId="8258"/>
    <cellStyle name="강조색1 2 86" xfId="8259"/>
    <cellStyle name="강조색1 2 87" xfId="8260"/>
    <cellStyle name="강조색1 2 88" xfId="8261"/>
    <cellStyle name="강조색1 2 89" xfId="8262"/>
    <cellStyle name="강조색1 2 9" xfId="8263"/>
    <cellStyle name="강조색1 2 90" xfId="8264"/>
    <cellStyle name="강조색1 2 91" xfId="8265"/>
    <cellStyle name="강조색1 2 92" xfId="8266"/>
    <cellStyle name="강조색1 2 93" xfId="8267"/>
    <cellStyle name="강조색1 2 94" xfId="8268"/>
    <cellStyle name="강조색1 2 95" xfId="8269"/>
    <cellStyle name="강조색1 2 96" xfId="8270"/>
    <cellStyle name="강조색1 2 97" xfId="8271"/>
    <cellStyle name="강조색1 2 98" xfId="8272"/>
    <cellStyle name="강조색1 2 99" xfId="8273"/>
    <cellStyle name="강조색2 2" xfId="8274"/>
    <cellStyle name="강조색2 2 10" xfId="8275"/>
    <cellStyle name="강조색2 2 100" xfId="8276"/>
    <cellStyle name="강조색2 2 101" xfId="8277"/>
    <cellStyle name="강조색2 2 102" xfId="8278"/>
    <cellStyle name="강조색2 2 103" xfId="8279"/>
    <cellStyle name="강조색2 2 104" xfId="8280"/>
    <cellStyle name="강조색2 2 105" xfId="8281"/>
    <cellStyle name="강조색2 2 106" xfId="8282"/>
    <cellStyle name="강조색2 2 107" xfId="8283"/>
    <cellStyle name="강조색2 2 108" xfId="8284"/>
    <cellStyle name="강조색2 2 109" xfId="8285"/>
    <cellStyle name="강조색2 2 11" xfId="8286"/>
    <cellStyle name="강조색2 2 110" xfId="8287"/>
    <cellStyle name="강조색2 2 111" xfId="8288"/>
    <cellStyle name="강조색2 2 112" xfId="8289"/>
    <cellStyle name="강조색2 2 113" xfId="8290"/>
    <cellStyle name="강조색2 2 114" xfId="8291"/>
    <cellStyle name="강조색2 2 115" xfId="8292"/>
    <cellStyle name="강조색2 2 116" xfId="8293"/>
    <cellStyle name="강조색2 2 117" xfId="8294"/>
    <cellStyle name="강조색2 2 118" xfId="8295"/>
    <cellStyle name="강조색2 2 119" xfId="8296"/>
    <cellStyle name="강조색2 2 12" xfId="8297"/>
    <cellStyle name="강조색2 2 120" xfId="8298"/>
    <cellStyle name="강조색2 2 121" xfId="8299"/>
    <cellStyle name="강조색2 2 122" xfId="8300"/>
    <cellStyle name="강조색2 2 123" xfId="8301"/>
    <cellStyle name="강조색2 2 124" xfId="8302"/>
    <cellStyle name="강조색2 2 125" xfId="8303"/>
    <cellStyle name="강조색2 2 126" xfId="8304"/>
    <cellStyle name="강조색2 2 127" xfId="8305"/>
    <cellStyle name="강조색2 2 128" xfId="8306"/>
    <cellStyle name="강조색2 2 129" xfId="8307"/>
    <cellStyle name="강조색2 2 13" xfId="8308"/>
    <cellStyle name="강조색2 2 130" xfId="8309"/>
    <cellStyle name="강조색2 2 131" xfId="8310"/>
    <cellStyle name="강조색2 2 132" xfId="8311"/>
    <cellStyle name="강조색2 2 133" xfId="8312"/>
    <cellStyle name="강조색2 2 134" xfId="8313"/>
    <cellStyle name="강조색2 2 135" xfId="8314"/>
    <cellStyle name="강조색2 2 136" xfId="8315"/>
    <cellStyle name="강조색2 2 137" xfId="8316"/>
    <cellStyle name="강조색2 2 138" xfId="8317"/>
    <cellStyle name="강조색2 2 139" xfId="8318"/>
    <cellStyle name="강조색2 2 14" xfId="8319"/>
    <cellStyle name="강조색2 2 140" xfId="8320"/>
    <cellStyle name="강조색2 2 141" xfId="8321"/>
    <cellStyle name="강조색2 2 142" xfId="8322"/>
    <cellStyle name="강조색2 2 143" xfId="8323"/>
    <cellStyle name="강조색2 2 144" xfId="8324"/>
    <cellStyle name="강조색2 2 145" xfId="8325"/>
    <cellStyle name="강조색2 2 146" xfId="8326"/>
    <cellStyle name="강조색2 2 147" xfId="8327"/>
    <cellStyle name="강조색2 2 148" xfId="8328"/>
    <cellStyle name="강조색2 2 149" xfId="8329"/>
    <cellStyle name="강조색2 2 15" xfId="8330"/>
    <cellStyle name="강조색2 2 150" xfId="8331"/>
    <cellStyle name="강조색2 2 151" xfId="8332"/>
    <cellStyle name="강조색2 2 152" xfId="8333"/>
    <cellStyle name="강조색2 2 153" xfId="8334"/>
    <cellStyle name="강조색2 2 154" xfId="8335"/>
    <cellStyle name="강조색2 2 155" xfId="8336"/>
    <cellStyle name="강조색2 2 156" xfId="8337"/>
    <cellStyle name="강조색2 2 157" xfId="8338"/>
    <cellStyle name="강조색2 2 158" xfId="8339"/>
    <cellStyle name="강조색2 2 159" xfId="8340"/>
    <cellStyle name="강조색2 2 16" xfId="8341"/>
    <cellStyle name="강조색2 2 160" xfId="8342"/>
    <cellStyle name="강조색2 2 161" xfId="8343"/>
    <cellStyle name="강조색2 2 162" xfId="8344"/>
    <cellStyle name="강조색2 2 163" xfId="8345"/>
    <cellStyle name="강조색2 2 164" xfId="8346"/>
    <cellStyle name="강조색2 2 165" xfId="8347"/>
    <cellStyle name="강조색2 2 166" xfId="8348"/>
    <cellStyle name="강조색2 2 167" xfId="8349"/>
    <cellStyle name="강조색2 2 168" xfId="8350"/>
    <cellStyle name="강조색2 2 169" xfId="8351"/>
    <cellStyle name="강조색2 2 17" xfId="8352"/>
    <cellStyle name="강조색2 2 170" xfId="8353"/>
    <cellStyle name="강조색2 2 171" xfId="8354"/>
    <cellStyle name="강조색2 2 172" xfId="8355"/>
    <cellStyle name="강조색2 2 173" xfId="8356"/>
    <cellStyle name="강조색2 2 174" xfId="8357"/>
    <cellStyle name="강조색2 2 175" xfId="8358"/>
    <cellStyle name="강조색2 2 176" xfId="8359"/>
    <cellStyle name="강조색2 2 177" xfId="8360"/>
    <cellStyle name="강조색2 2 178" xfId="8361"/>
    <cellStyle name="강조색2 2 179" xfId="8362"/>
    <cellStyle name="강조색2 2 18" xfId="8363"/>
    <cellStyle name="강조색2 2 180" xfId="8364"/>
    <cellStyle name="강조색2 2 181" xfId="8365"/>
    <cellStyle name="강조색2 2 182" xfId="8366"/>
    <cellStyle name="강조색2 2 183" xfId="8367"/>
    <cellStyle name="강조색2 2 184" xfId="8368"/>
    <cellStyle name="강조색2 2 185" xfId="8369"/>
    <cellStyle name="강조색2 2 186" xfId="8370"/>
    <cellStyle name="강조색2 2 187" xfId="8371"/>
    <cellStyle name="강조색2 2 188" xfId="8372"/>
    <cellStyle name="강조색2 2 189" xfId="8373"/>
    <cellStyle name="강조색2 2 19" xfId="8374"/>
    <cellStyle name="강조색2 2 190" xfId="8375"/>
    <cellStyle name="강조색2 2 191" xfId="8376"/>
    <cellStyle name="강조색2 2 192" xfId="8377"/>
    <cellStyle name="강조색2 2 193" xfId="8378"/>
    <cellStyle name="강조색2 2 194" xfId="8379"/>
    <cellStyle name="강조색2 2 195" xfId="8380"/>
    <cellStyle name="강조색2 2 196" xfId="8381"/>
    <cellStyle name="강조색2 2 197" xfId="8382"/>
    <cellStyle name="강조색2 2 198" xfId="8383"/>
    <cellStyle name="강조색2 2 199" xfId="8384"/>
    <cellStyle name="강조색2 2 2" xfId="8385"/>
    <cellStyle name="강조색2 2 20" xfId="8386"/>
    <cellStyle name="강조색2 2 200" xfId="8387"/>
    <cellStyle name="강조색2 2 201" xfId="8388"/>
    <cellStyle name="강조색2 2 202" xfId="8389"/>
    <cellStyle name="강조색2 2 203" xfId="8390"/>
    <cellStyle name="강조색2 2 204" xfId="8391"/>
    <cellStyle name="강조색2 2 205" xfId="8392"/>
    <cellStyle name="강조색2 2 206" xfId="8393"/>
    <cellStyle name="강조색2 2 207" xfId="8394"/>
    <cellStyle name="강조색2 2 208" xfId="8395"/>
    <cellStyle name="강조색2 2 209" xfId="8396"/>
    <cellStyle name="강조색2 2 21" xfId="8397"/>
    <cellStyle name="강조색2 2 210" xfId="8398"/>
    <cellStyle name="강조색2 2 211" xfId="8399"/>
    <cellStyle name="강조색2 2 212" xfId="8400"/>
    <cellStyle name="강조색2 2 213" xfId="8401"/>
    <cellStyle name="강조색2 2 214" xfId="8402"/>
    <cellStyle name="강조색2 2 215" xfId="8403"/>
    <cellStyle name="강조색2 2 216" xfId="8404"/>
    <cellStyle name="강조색2 2 217" xfId="8405"/>
    <cellStyle name="강조색2 2 218" xfId="8406"/>
    <cellStyle name="강조색2 2 219" xfId="8407"/>
    <cellStyle name="강조색2 2 22" xfId="8408"/>
    <cellStyle name="강조색2 2 220" xfId="8409"/>
    <cellStyle name="강조색2 2 221" xfId="8410"/>
    <cellStyle name="강조색2 2 222" xfId="8411"/>
    <cellStyle name="강조색2 2 223" xfId="8412"/>
    <cellStyle name="강조색2 2 224" xfId="8413"/>
    <cellStyle name="강조색2 2 225" xfId="8414"/>
    <cellStyle name="강조색2 2 226" xfId="8415"/>
    <cellStyle name="강조색2 2 227" xfId="8416"/>
    <cellStyle name="강조색2 2 228" xfId="8417"/>
    <cellStyle name="강조색2 2 229" xfId="8418"/>
    <cellStyle name="강조색2 2 23" xfId="8419"/>
    <cellStyle name="강조색2 2 230" xfId="8420"/>
    <cellStyle name="강조색2 2 231" xfId="8421"/>
    <cellStyle name="강조색2 2 232" xfId="8422"/>
    <cellStyle name="강조색2 2 233" xfId="8423"/>
    <cellStyle name="강조색2 2 234" xfId="8424"/>
    <cellStyle name="강조색2 2 235" xfId="8425"/>
    <cellStyle name="강조색2 2 236" xfId="8426"/>
    <cellStyle name="강조색2 2 237" xfId="8427"/>
    <cellStyle name="강조색2 2 238" xfId="8428"/>
    <cellStyle name="강조색2 2 239" xfId="8429"/>
    <cellStyle name="강조색2 2 24" xfId="8430"/>
    <cellStyle name="강조색2 2 240" xfId="8431"/>
    <cellStyle name="강조색2 2 241" xfId="8432"/>
    <cellStyle name="강조색2 2 25" xfId="8433"/>
    <cellStyle name="강조색2 2 26" xfId="8434"/>
    <cellStyle name="강조색2 2 27" xfId="8435"/>
    <cellStyle name="강조색2 2 28" xfId="8436"/>
    <cellStyle name="강조색2 2 29" xfId="8437"/>
    <cellStyle name="강조색2 2 3" xfId="8438"/>
    <cellStyle name="강조색2 2 30" xfId="8439"/>
    <cellStyle name="강조색2 2 31" xfId="8440"/>
    <cellStyle name="강조색2 2 32" xfId="8441"/>
    <cellStyle name="강조색2 2 33" xfId="8442"/>
    <cellStyle name="강조색2 2 34" xfId="8443"/>
    <cellStyle name="강조색2 2 35" xfId="8444"/>
    <cellStyle name="강조색2 2 36" xfId="8445"/>
    <cellStyle name="강조색2 2 37" xfId="8446"/>
    <cellStyle name="강조색2 2 38" xfId="8447"/>
    <cellStyle name="강조색2 2 39" xfId="8448"/>
    <cellStyle name="강조색2 2 4" xfId="8449"/>
    <cellStyle name="강조색2 2 40" xfId="8450"/>
    <cellStyle name="강조색2 2 41" xfId="8451"/>
    <cellStyle name="강조색2 2 42" xfId="8452"/>
    <cellStyle name="강조색2 2 43" xfId="8453"/>
    <cellStyle name="강조색2 2 44" xfId="8454"/>
    <cellStyle name="강조색2 2 45" xfId="8455"/>
    <cellStyle name="강조색2 2 46" xfId="8456"/>
    <cellStyle name="강조색2 2 47" xfId="8457"/>
    <cellStyle name="강조색2 2 48" xfId="8458"/>
    <cellStyle name="강조색2 2 49" xfId="8459"/>
    <cellStyle name="강조색2 2 5" xfId="8460"/>
    <cellStyle name="강조색2 2 50" xfId="8461"/>
    <cellStyle name="강조색2 2 51" xfId="8462"/>
    <cellStyle name="강조색2 2 52" xfId="8463"/>
    <cellStyle name="강조색2 2 53" xfId="8464"/>
    <cellStyle name="강조색2 2 54" xfId="8465"/>
    <cellStyle name="강조색2 2 55" xfId="8466"/>
    <cellStyle name="강조색2 2 56" xfId="8467"/>
    <cellStyle name="강조색2 2 57" xfId="8468"/>
    <cellStyle name="강조색2 2 58" xfId="8469"/>
    <cellStyle name="강조색2 2 59" xfId="8470"/>
    <cellStyle name="강조색2 2 6" xfId="8471"/>
    <cellStyle name="강조색2 2 60" xfId="8472"/>
    <cellStyle name="강조색2 2 61" xfId="8473"/>
    <cellStyle name="강조색2 2 62" xfId="8474"/>
    <cellStyle name="강조색2 2 63" xfId="8475"/>
    <cellStyle name="강조색2 2 64" xfId="8476"/>
    <cellStyle name="강조색2 2 65" xfId="8477"/>
    <cellStyle name="강조색2 2 66" xfId="8478"/>
    <cellStyle name="강조색2 2 67" xfId="8479"/>
    <cellStyle name="강조색2 2 68" xfId="8480"/>
    <cellStyle name="강조색2 2 69" xfId="8481"/>
    <cellStyle name="강조색2 2 7" xfId="8482"/>
    <cellStyle name="강조색2 2 70" xfId="8483"/>
    <cellStyle name="강조색2 2 71" xfId="8484"/>
    <cellStyle name="강조색2 2 72" xfId="8485"/>
    <cellStyle name="강조색2 2 73" xfId="8486"/>
    <cellStyle name="강조색2 2 74" xfId="8487"/>
    <cellStyle name="강조색2 2 75" xfId="8488"/>
    <cellStyle name="강조색2 2 76" xfId="8489"/>
    <cellStyle name="강조색2 2 77" xfId="8490"/>
    <cellStyle name="강조색2 2 78" xfId="8491"/>
    <cellStyle name="강조색2 2 79" xfId="8492"/>
    <cellStyle name="강조색2 2 8" xfId="8493"/>
    <cellStyle name="강조색2 2 80" xfId="8494"/>
    <cellStyle name="강조색2 2 81" xfId="8495"/>
    <cellStyle name="강조색2 2 82" xfId="8496"/>
    <cellStyle name="강조색2 2 83" xfId="8497"/>
    <cellStyle name="강조색2 2 84" xfId="8498"/>
    <cellStyle name="강조색2 2 85" xfId="8499"/>
    <cellStyle name="강조색2 2 86" xfId="8500"/>
    <cellStyle name="강조색2 2 87" xfId="8501"/>
    <cellStyle name="강조색2 2 88" xfId="8502"/>
    <cellStyle name="강조색2 2 89" xfId="8503"/>
    <cellStyle name="강조색2 2 9" xfId="8504"/>
    <cellStyle name="강조색2 2 90" xfId="8505"/>
    <cellStyle name="강조색2 2 91" xfId="8506"/>
    <cellStyle name="강조색2 2 92" xfId="8507"/>
    <cellStyle name="강조색2 2 93" xfId="8508"/>
    <cellStyle name="강조색2 2 94" xfId="8509"/>
    <cellStyle name="강조색2 2 95" xfId="8510"/>
    <cellStyle name="강조색2 2 96" xfId="8511"/>
    <cellStyle name="강조색2 2 97" xfId="8512"/>
    <cellStyle name="강조색2 2 98" xfId="8513"/>
    <cellStyle name="강조색2 2 99" xfId="8514"/>
    <cellStyle name="강조색3 2" xfId="8515"/>
    <cellStyle name="강조색3 2 10" xfId="8516"/>
    <cellStyle name="강조색3 2 100" xfId="8517"/>
    <cellStyle name="강조색3 2 101" xfId="8518"/>
    <cellStyle name="강조색3 2 102" xfId="8519"/>
    <cellStyle name="강조색3 2 103" xfId="8520"/>
    <cellStyle name="강조색3 2 104" xfId="8521"/>
    <cellStyle name="강조색3 2 105" xfId="8522"/>
    <cellStyle name="강조색3 2 106" xfId="8523"/>
    <cellStyle name="강조색3 2 107" xfId="8524"/>
    <cellStyle name="강조색3 2 108" xfId="8525"/>
    <cellStyle name="강조색3 2 109" xfId="8526"/>
    <cellStyle name="강조색3 2 11" xfId="8527"/>
    <cellStyle name="강조색3 2 110" xfId="8528"/>
    <cellStyle name="강조색3 2 111" xfId="8529"/>
    <cellStyle name="강조색3 2 112" xfId="8530"/>
    <cellStyle name="강조색3 2 113" xfId="8531"/>
    <cellStyle name="강조색3 2 114" xfId="8532"/>
    <cellStyle name="강조색3 2 115" xfId="8533"/>
    <cellStyle name="강조색3 2 116" xfId="8534"/>
    <cellStyle name="강조색3 2 117" xfId="8535"/>
    <cellStyle name="강조색3 2 118" xfId="8536"/>
    <cellStyle name="강조색3 2 119" xfId="8537"/>
    <cellStyle name="강조색3 2 12" xfId="8538"/>
    <cellStyle name="강조색3 2 120" xfId="8539"/>
    <cellStyle name="강조색3 2 121" xfId="8540"/>
    <cellStyle name="강조색3 2 122" xfId="8541"/>
    <cellStyle name="강조색3 2 123" xfId="8542"/>
    <cellStyle name="강조색3 2 124" xfId="8543"/>
    <cellStyle name="강조색3 2 125" xfId="8544"/>
    <cellStyle name="강조색3 2 126" xfId="8545"/>
    <cellStyle name="강조색3 2 127" xfId="8546"/>
    <cellStyle name="강조색3 2 128" xfId="8547"/>
    <cellStyle name="강조색3 2 129" xfId="8548"/>
    <cellStyle name="강조색3 2 13" xfId="8549"/>
    <cellStyle name="강조색3 2 130" xfId="8550"/>
    <cellStyle name="강조색3 2 131" xfId="8551"/>
    <cellStyle name="강조색3 2 132" xfId="8552"/>
    <cellStyle name="강조색3 2 133" xfId="8553"/>
    <cellStyle name="강조색3 2 134" xfId="8554"/>
    <cellStyle name="강조색3 2 135" xfId="8555"/>
    <cellStyle name="강조색3 2 136" xfId="8556"/>
    <cellStyle name="강조색3 2 137" xfId="8557"/>
    <cellStyle name="강조색3 2 138" xfId="8558"/>
    <cellStyle name="강조색3 2 139" xfId="8559"/>
    <cellStyle name="강조색3 2 14" xfId="8560"/>
    <cellStyle name="강조색3 2 140" xfId="8561"/>
    <cellStyle name="강조색3 2 141" xfId="8562"/>
    <cellStyle name="강조색3 2 142" xfId="8563"/>
    <cellStyle name="강조색3 2 143" xfId="8564"/>
    <cellStyle name="강조색3 2 144" xfId="8565"/>
    <cellStyle name="강조색3 2 145" xfId="8566"/>
    <cellStyle name="강조색3 2 146" xfId="8567"/>
    <cellStyle name="강조색3 2 147" xfId="8568"/>
    <cellStyle name="강조색3 2 148" xfId="8569"/>
    <cellStyle name="강조색3 2 149" xfId="8570"/>
    <cellStyle name="강조색3 2 15" xfId="8571"/>
    <cellStyle name="강조색3 2 150" xfId="8572"/>
    <cellStyle name="강조색3 2 151" xfId="8573"/>
    <cellStyle name="강조색3 2 152" xfId="8574"/>
    <cellStyle name="강조색3 2 153" xfId="8575"/>
    <cellStyle name="강조색3 2 154" xfId="8576"/>
    <cellStyle name="강조색3 2 155" xfId="8577"/>
    <cellStyle name="강조색3 2 156" xfId="8578"/>
    <cellStyle name="강조색3 2 157" xfId="8579"/>
    <cellStyle name="강조색3 2 158" xfId="8580"/>
    <cellStyle name="강조색3 2 159" xfId="8581"/>
    <cellStyle name="강조색3 2 16" xfId="8582"/>
    <cellStyle name="강조색3 2 160" xfId="8583"/>
    <cellStyle name="강조색3 2 161" xfId="8584"/>
    <cellStyle name="강조색3 2 162" xfId="8585"/>
    <cellStyle name="강조색3 2 163" xfId="8586"/>
    <cellStyle name="강조색3 2 164" xfId="8587"/>
    <cellStyle name="강조색3 2 165" xfId="8588"/>
    <cellStyle name="강조색3 2 166" xfId="8589"/>
    <cellStyle name="강조색3 2 167" xfId="8590"/>
    <cellStyle name="강조색3 2 168" xfId="8591"/>
    <cellStyle name="강조색3 2 169" xfId="8592"/>
    <cellStyle name="강조색3 2 17" xfId="8593"/>
    <cellStyle name="강조색3 2 170" xfId="8594"/>
    <cellStyle name="강조색3 2 171" xfId="8595"/>
    <cellStyle name="강조색3 2 172" xfId="8596"/>
    <cellStyle name="강조색3 2 173" xfId="8597"/>
    <cellStyle name="강조색3 2 174" xfId="8598"/>
    <cellStyle name="강조색3 2 175" xfId="8599"/>
    <cellStyle name="강조색3 2 176" xfId="8600"/>
    <cellStyle name="강조색3 2 177" xfId="8601"/>
    <cellStyle name="강조색3 2 178" xfId="8602"/>
    <cellStyle name="강조색3 2 179" xfId="8603"/>
    <cellStyle name="강조색3 2 18" xfId="8604"/>
    <cellStyle name="강조색3 2 180" xfId="8605"/>
    <cellStyle name="강조색3 2 181" xfId="8606"/>
    <cellStyle name="강조색3 2 182" xfId="8607"/>
    <cellStyle name="강조색3 2 183" xfId="8608"/>
    <cellStyle name="강조색3 2 184" xfId="8609"/>
    <cellStyle name="강조색3 2 185" xfId="8610"/>
    <cellStyle name="강조색3 2 186" xfId="8611"/>
    <cellStyle name="강조색3 2 187" xfId="8612"/>
    <cellStyle name="강조색3 2 188" xfId="8613"/>
    <cellStyle name="강조색3 2 189" xfId="8614"/>
    <cellStyle name="강조색3 2 19" xfId="8615"/>
    <cellStyle name="강조색3 2 190" xfId="8616"/>
    <cellStyle name="강조색3 2 191" xfId="8617"/>
    <cellStyle name="강조색3 2 192" xfId="8618"/>
    <cellStyle name="강조색3 2 193" xfId="8619"/>
    <cellStyle name="강조색3 2 194" xfId="8620"/>
    <cellStyle name="강조색3 2 195" xfId="8621"/>
    <cellStyle name="강조색3 2 196" xfId="8622"/>
    <cellStyle name="강조색3 2 197" xfId="8623"/>
    <cellStyle name="강조색3 2 198" xfId="8624"/>
    <cellStyle name="강조색3 2 199" xfId="8625"/>
    <cellStyle name="강조색3 2 2" xfId="8626"/>
    <cellStyle name="강조색3 2 20" xfId="8627"/>
    <cellStyle name="강조색3 2 200" xfId="8628"/>
    <cellStyle name="강조색3 2 201" xfId="8629"/>
    <cellStyle name="강조색3 2 202" xfId="8630"/>
    <cellStyle name="강조색3 2 203" xfId="8631"/>
    <cellStyle name="강조색3 2 204" xfId="8632"/>
    <cellStyle name="강조색3 2 205" xfId="8633"/>
    <cellStyle name="강조색3 2 206" xfId="8634"/>
    <cellStyle name="강조색3 2 207" xfId="8635"/>
    <cellStyle name="강조색3 2 208" xfId="8636"/>
    <cellStyle name="강조색3 2 209" xfId="8637"/>
    <cellStyle name="강조색3 2 21" xfId="8638"/>
    <cellStyle name="강조색3 2 210" xfId="8639"/>
    <cellStyle name="강조색3 2 211" xfId="8640"/>
    <cellStyle name="강조색3 2 212" xfId="8641"/>
    <cellStyle name="강조색3 2 213" xfId="8642"/>
    <cellStyle name="강조색3 2 214" xfId="8643"/>
    <cellStyle name="강조색3 2 215" xfId="8644"/>
    <cellStyle name="강조색3 2 216" xfId="8645"/>
    <cellStyle name="강조색3 2 217" xfId="8646"/>
    <cellStyle name="강조색3 2 218" xfId="8647"/>
    <cellStyle name="강조색3 2 219" xfId="8648"/>
    <cellStyle name="강조색3 2 22" xfId="8649"/>
    <cellStyle name="강조색3 2 220" xfId="8650"/>
    <cellStyle name="강조색3 2 221" xfId="8651"/>
    <cellStyle name="강조색3 2 222" xfId="8652"/>
    <cellStyle name="강조색3 2 223" xfId="8653"/>
    <cellStyle name="강조색3 2 224" xfId="8654"/>
    <cellStyle name="강조색3 2 225" xfId="8655"/>
    <cellStyle name="강조색3 2 226" xfId="8656"/>
    <cellStyle name="강조색3 2 227" xfId="8657"/>
    <cellStyle name="강조색3 2 228" xfId="8658"/>
    <cellStyle name="강조색3 2 229" xfId="8659"/>
    <cellStyle name="강조색3 2 23" xfId="8660"/>
    <cellStyle name="강조색3 2 230" xfId="8661"/>
    <cellStyle name="강조색3 2 231" xfId="8662"/>
    <cellStyle name="강조색3 2 232" xfId="8663"/>
    <cellStyle name="강조색3 2 233" xfId="8664"/>
    <cellStyle name="강조색3 2 234" xfId="8665"/>
    <cellStyle name="강조색3 2 235" xfId="8666"/>
    <cellStyle name="강조색3 2 236" xfId="8667"/>
    <cellStyle name="강조색3 2 237" xfId="8668"/>
    <cellStyle name="강조색3 2 238" xfId="8669"/>
    <cellStyle name="강조색3 2 239" xfId="8670"/>
    <cellStyle name="강조색3 2 24" xfId="8671"/>
    <cellStyle name="강조색3 2 240" xfId="8672"/>
    <cellStyle name="강조색3 2 241" xfId="8673"/>
    <cellStyle name="강조색3 2 25" xfId="8674"/>
    <cellStyle name="강조색3 2 26" xfId="8675"/>
    <cellStyle name="강조색3 2 27" xfId="8676"/>
    <cellStyle name="강조색3 2 28" xfId="8677"/>
    <cellStyle name="강조색3 2 29" xfId="8678"/>
    <cellStyle name="강조색3 2 3" xfId="8679"/>
    <cellStyle name="강조색3 2 30" xfId="8680"/>
    <cellStyle name="강조색3 2 31" xfId="8681"/>
    <cellStyle name="강조색3 2 32" xfId="8682"/>
    <cellStyle name="강조색3 2 33" xfId="8683"/>
    <cellStyle name="강조색3 2 34" xfId="8684"/>
    <cellStyle name="강조색3 2 35" xfId="8685"/>
    <cellStyle name="강조색3 2 36" xfId="8686"/>
    <cellStyle name="강조색3 2 37" xfId="8687"/>
    <cellStyle name="강조색3 2 38" xfId="8688"/>
    <cellStyle name="강조색3 2 39" xfId="8689"/>
    <cellStyle name="강조색3 2 4" xfId="8690"/>
    <cellStyle name="강조색3 2 40" xfId="8691"/>
    <cellStyle name="강조색3 2 41" xfId="8692"/>
    <cellStyle name="강조색3 2 42" xfId="8693"/>
    <cellStyle name="강조색3 2 43" xfId="8694"/>
    <cellStyle name="강조색3 2 44" xfId="8695"/>
    <cellStyle name="강조색3 2 45" xfId="8696"/>
    <cellStyle name="강조색3 2 46" xfId="8697"/>
    <cellStyle name="강조색3 2 47" xfId="8698"/>
    <cellStyle name="강조색3 2 48" xfId="8699"/>
    <cellStyle name="강조색3 2 49" xfId="8700"/>
    <cellStyle name="강조색3 2 5" xfId="8701"/>
    <cellStyle name="강조색3 2 50" xfId="8702"/>
    <cellStyle name="강조색3 2 51" xfId="8703"/>
    <cellStyle name="강조색3 2 52" xfId="8704"/>
    <cellStyle name="강조색3 2 53" xfId="8705"/>
    <cellStyle name="강조색3 2 54" xfId="8706"/>
    <cellStyle name="강조색3 2 55" xfId="8707"/>
    <cellStyle name="강조색3 2 56" xfId="8708"/>
    <cellStyle name="강조색3 2 57" xfId="8709"/>
    <cellStyle name="강조색3 2 58" xfId="8710"/>
    <cellStyle name="강조색3 2 59" xfId="8711"/>
    <cellStyle name="강조색3 2 6" xfId="8712"/>
    <cellStyle name="강조색3 2 60" xfId="8713"/>
    <cellStyle name="강조색3 2 61" xfId="8714"/>
    <cellStyle name="강조색3 2 62" xfId="8715"/>
    <cellStyle name="강조색3 2 63" xfId="8716"/>
    <cellStyle name="강조색3 2 64" xfId="8717"/>
    <cellStyle name="강조색3 2 65" xfId="8718"/>
    <cellStyle name="강조색3 2 66" xfId="8719"/>
    <cellStyle name="강조색3 2 67" xfId="8720"/>
    <cellStyle name="강조색3 2 68" xfId="8721"/>
    <cellStyle name="강조색3 2 69" xfId="8722"/>
    <cellStyle name="강조색3 2 7" xfId="8723"/>
    <cellStyle name="강조색3 2 70" xfId="8724"/>
    <cellStyle name="강조색3 2 71" xfId="8725"/>
    <cellStyle name="강조색3 2 72" xfId="8726"/>
    <cellStyle name="강조색3 2 73" xfId="8727"/>
    <cellStyle name="강조색3 2 74" xfId="8728"/>
    <cellStyle name="강조색3 2 75" xfId="8729"/>
    <cellStyle name="강조색3 2 76" xfId="8730"/>
    <cellStyle name="강조색3 2 77" xfId="8731"/>
    <cellStyle name="강조색3 2 78" xfId="8732"/>
    <cellStyle name="강조색3 2 79" xfId="8733"/>
    <cellStyle name="강조색3 2 8" xfId="8734"/>
    <cellStyle name="강조색3 2 80" xfId="8735"/>
    <cellStyle name="강조색3 2 81" xfId="8736"/>
    <cellStyle name="강조색3 2 82" xfId="8737"/>
    <cellStyle name="강조색3 2 83" xfId="8738"/>
    <cellStyle name="강조색3 2 84" xfId="8739"/>
    <cellStyle name="강조색3 2 85" xfId="8740"/>
    <cellStyle name="강조색3 2 86" xfId="8741"/>
    <cellStyle name="강조색3 2 87" xfId="8742"/>
    <cellStyle name="강조색3 2 88" xfId="8743"/>
    <cellStyle name="강조색3 2 89" xfId="8744"/>
    <cellStyle name="강조색3 2 9" xfId="8745"/>
    <cellStyle name="강조색3 2 90" xfId="8746"/>
    <cellStyle name="강조색3 2 91" xfId="8747"/>
    <cellStyle name="강조색3 2 92" xfId="8748"/>
    <cellStyle name="강조색3 2 93" xfId="8749"/>
    <cellStyle name="강조색3 2 94" xfId="8750"/>
    <cellStyle name="강조색3 2 95" xfId="8751"/>
    <cellStyle name="강조색3 2 96" xfId="8752"/>
    <cellStyle name="강조색3 2 97" xfId="8753"/>
    <cellStyle name="강조색3 2 98" xfId="8754"/>
    <cellStyle name="강조색3 2 99" xfId="8755"/>
    <cellStyle name="강조색4 2" xfId="8756"/>
    <cellStyle name="강조색4 2 10" xfId="8757"/>
    <cellStyle name="강조색4 2 100" xfId="8758"/>
    <cellStyle name="강조색4 2 101" xfId="8759"/>
    <cellStyle name="강조색4 2 102" xfId="8760"/>
    <cellStyle name="강조색4 2 103" xfId="8761"/>
    <cellStyle name="강조색4 2 104" xfId="8762"/>
    <cellStyle name="강조색4 2 105" xfId="8763"/>
    <cellStyle name="강조색4 2 106" xfId="8764"/>
    <cellStyle name="강조색4 2 107" xfId="8765"/>
    <cellStyle name="강조색4 2 108" xfId="8766"/>
    <cellStyle name="강조색4 2 109" xfId="8767"/>
    <cellStyle name="강조색4 2 11" xfId="8768"/>
    <cellStyle name="강조색4 2 110" xfId="8769"/>
    <cellStyle name="강조색4 2 111" xfId="8770"/>
    <cellStyle name="강조색4 2 112" xfId="8771"/>
    <cellStyle name="강조색4 2 113" xfId="8772"/>
    <cellStyle name="강조색4 2 114" xfId="8773"/>
    <cellStyle name="강조색4 2 115" xfId="8774"/>
    <cellStyle name="강조색4 2 116" xfId="8775"/>
    <cellStyle name="강조색4 2 117" xfId="8776"/>
    <cellStyle name="강조색4 2 118" xfId="8777"/>
    <cellStyle name="강조색4 2 119" xfId="8778"/>
    <cellStyle name="강조색4 2 12" xfId="8779"/>
    <cellStyle name="강조색4 2 120" xfId="8780"/>
    <cellStyle name="강조색4 2 121" xfId="8781"/>
    <cellStyle name="강조색4 2 122" xfId="8782"/>
    <cellStyle name="강조색4 2 123" xfId="8783"/>
    <cellStyle name="강조색4 2 124" xfId="8784"/>
    <cellStyle name="강조색4 2 125" xfId="8785"/>
    <cellStyle name="강조색4 2 126" xfId="8786"/>
    <cellStyle name="강조색4 2 127" xfId="8787"/>
    <cellStyle name="강조색4 2 128" xfId="8788"/>
    <cellStyle name="강조색4 2 129" xfId="8789"/>
    <cellStyle name="강조색4 2 13" xfId="8790"/>
    <cellStyle name="강조색4 2 130" xfId="8791"/>
    <cellStyle name="강조색4 2 131" xfId="8792"/>
    <cellStyle name="강조색4 2 132" xfId="8793"/>
    <cellStyle name="강조색4 2 133" xfId="8794"/>
    <cellStyle name="강조색4 2 134" xfId="8795"/>
    <cellStyle name="강조색4 2 135" xfId="8796"/>
    <cellStyle name="강조색4 2 136" xfId="8797"/>
    <cellStyle name="강조색4 2 137" xfId="8798"/>
    <cellStyle name="강조색4 2 138" xfId="8799"/>
    <cellStyle name="강조색4 2 139" xfId="8800"/>
    <cellStyle name="강조색4 2 14" xfId="8801"/>
    <cellStyle name="강조색4 2 140" xfId="8802"/>
    <cellStyle name="강조색4 2 141" xfId="8803"/>
    <cellStyle name="강조색4 2 142" xfId="8804"/>
    <cellStyle name="강조색4 2 143" xfId="8805"/>
    <cellStyle name="강조색4 2 144" xfId="8806"/>
    <cellStyle name="강조색4 2 145" xfId="8807"/>
    <cellStyle name="강조색4 2 146" xfId="8808"/>
    <cellStyle name="강조색4 2 147" xfId="8809"/>
    <cellStyle name="강조색4 2 148" xfId="8810"/>
    <cellStyle name="강조색4 2 149" xfId="8811"/>
    <cellStyle name="강조색4 2 15" xfId="8812"/>
    <cellStyle name="강조색4 2 150" xfId="8813"/>
    <cellStyle name="강조색4 2 151" xfId="8814"/>
    <cellStyle name="강조색4 2 152" xfId="8815"/>
    <cellStyle name="강조색4 2 153" xfId="8816"/>
    <cellStyle name="강조색4 2 154" xfId="8817"/>
    <cellStyle name="강조색4 2 155" xfId="8818"/>
    <cellStyle name="강조색4 2 156" xfId="8819"/>
    <cellStyle name="강조색4 2 157" xfId="8820"/>
    <cellStyle name="강조색4 2 158" xfId="8821"/>
    <cellStyle name="강조색4 2 159" xfId="8822"/>
    <cellStyle name="강조색4 2 16" xfId="8823"/>
    <cellStyle name="강조색4 2 160" xfId="8824"/>
    <cellStyle name="강조색4 2 161" xfId="8825"/>
    <cellStyle name="강조색4 2 162" xfId="8826"/>
    <cellStyle name="강조색4 2 163" xfId="8827"/>
    <cellStyle name="강조색4 2 164" xfId="8828"/>
    <cellStyle name="강조색4 2 165" xfId="8829"/>
    <cellStyle name="강조색4 2 166" xfId="8830"/>
    <cellStyle name="강조색4 2 167" xfId="8831"/>
    <cellStyle name="강조색4 2 168" xfId="8832"/>
    <cellStyle name="강조색4 2 169" xfId="8833"/>
    <cellStyle name="강조색4 2 17" xfId="8834"/>
    <cellStyle name="강조색4 2 170" xfId="8835"/>
    <cellStyle name="강조색4 2 171" xfId="8836"/>
    <cellStyle name="강조색4 2 172" xfId="8837"/>
    <cellStyle name="강조색4 2 173" xfId="8838"/>
    <cellStyle name="강조색4 2 174" xfId="8839"/>
    <cellStyle name="강조색4 2 175" xfId="8840"/>
    <cellStyle name="강조색4 2 176" xfId="8841"/>
    <cellStyle name="강조색4 2 177" xfId="8842"/>
    <cellStyle name="강조색4 2 178" xfId="8843"/>
    <cellStyle name="강조색4 2 179" xfId="8844"/>
    <cellStyle name="강조색4 2 18" xfId="8845"/>
    <cellStyle name="강조색4 2 180" xfId="8846"/>
    <cellStyle name="강조색4 2 181" xfId="8847"/>
    <cellStyle name="강조색4 2 182" xfId="8848"/>
    <cellStyle name="강조색4 2 183" xfId="8849"/>
    <cellStyle name="강조색4 2 184" xfId="8850"/>
    <cellStyle name="강조색4 2 185" xfId="8851"/>
    <cellStyle name="강조색4 2 186" xfId="8852"/>
    <cellStyle name="강조색4 2 187" xfId="8853"/>
    <cellStyle name="강조색4 2 188" xfId="8854"/>
    <cellStyle name="강조색4 2 189" xfId="8855"/>
    <cellStyle name="강조색4 2 19" xfId="8856"/>
    <cellStyle name="강조색4 2 190" xfId="8857"/>
    <cellStyle name="강조색4 2 191" xfId="8858"/>
    <cellStyle name="강조색4 2 192" xfId="8859"/>
    <cellStyle name="강조색4 2 193" xfId="8860"/>
    <cellStyle name="강조색4 2 194" xfId="8861"/>
    <cellStyle name="강조색4 2 195" xfId="8862"/>
    <cellStyle name="강조색4 2 196" xfId="8863"/>
    <cellStyle name="강조색4 2 197" xfId="8864"/>
    <cellStyle name="강조색4 2 198" xfId="8865"/>
    <cellStyle name="강조색4 2 199" xfId="8866"/>
    <cellStyle name="강조색4 2 2" xfId="8867"/>
    <cellStyle name="강조색4 2 20" xfId="8868"/>
    <cellStyle name="강조색4 2 200" xfId="8869"/>
    <cellStyle name="강조색4 2 201" xfId="8870"/>
    <cellStyle name="강조색4 2 202" xfId="8871"/>
    <cellStyle name="강조색4 2 203" xfId="8872"/>
    <cellStyle name="강조색4 2 204" xfId="8873"/>
    <cellStyle name="강조색4 2 205" xfId="8874"/>
    <cellStyle name="강조색4 2 206" xfId="8875"/>
    <cellStyle name="강조색4 2 207" xfId="8876"/>
    <cellStyle name="강조색4 2 208" xfId="8877"/>
    <cellStyle name="강조색4 2 209" xfId="8878"/>
    <cellStyle name="강조색4 2 21" xfId="8879"/>
    <cellStyle name="강조색4 2 210" xfId="8880"/>
    <cellStyle name="강조색4 2 211" xfId="8881"/>
    <cellStyle name="강조색4 2 212" xfId="8882"/>
    <cellStyle name="강조색4 2 213" xfId="8883"/>
    <cellStyle name="강조색4 2 214" xfId="8884"/>
    <cellStyle name="강조색4 2 215" xfId="8885"/>
    <cellStyle name="강조색4 2 216" xfId="8886"/>
    <cellStyle name="강조색4 2 217" xfId="8887"/>
    <cellStyle name="강조색4 2 218" xfId="8888"/>
    <cellStyle name="강조색4 2 219" xfId="8889"/>
    <cellStyle name="강조색4 2 22" xfId="8890"/>
    <cellStyle name="강조색4 2 220" xfId="8891"/>
    <cellStyle name="강조색4 2 221" xfId="8892"/>
    <cellStyle name="강조색4 2 222" xfId="8893"/>
    <cellStyle name="강조색4 2 223" xfId="8894"/>
    <cellStyle name="강조색4 2 224" xfId="8895"/>
    <cellStyle name="강조색4 2 225" xfId="8896"/>
    <cellStyle name="강조색4 2 226" xfId="8897"/>
    <cellStyle name="강조색4 2 227" xfId="8898"/>
    <cellStyle name="강조색4 2 228" xfId="8899"/>
    <cellStyle name="강조색4 2 229" xfId="8900"/>
    <cellStyle name="강조색4 2 23" xfId="8901"/>
    <cellStyle name="강조색4 2 230" xfId="8902"/>
    <cellStyle name="강조색4 2 231" xfId="8903"/>
    <cellStyle name="강조색4 2 232" xfId="8904"/>
    <cellStyle name="강조색4 2 233" xfId="8905"/>
    <cellStyle name="강조색4 2 234" xfId="8906"/>
    <cellStyle name="강조색4 2 235" xfId="8907"/>
    <cellStyle name="강조색4 2 236" xfId="8908"/>
    <cellStyle name="강조색4 2 237" xfId="8909"/>
    <cellStyle name="강조색4 2 238" xfId="8910"/>
    <cellStyle name="강조색4 2 239" xfId="8911"/>
    <cellStyle name="강조색4 2 24" xfId="8912"/>
    <cellStyle name="강조색4 2 240" xfId="8913"/>
    <cellStyle name="강조색4 2 241" xfId="8914"/>
    <cellStyle name="강조색4 2 25" xfId="8915"/>
    <cellStyle name="강조색4 2 26" xfId="8916"/>
    <cellStyle name="강조색4 2 27" xfId="8917"/>
    <cellStyle name="강조색4 2 28" xfId="8918"/>
    <cellStyle name="강조색4 2 29" xfId="8919"/>
    <cellStyle name="강조색4 2 3" xfId="8920"/>
    <cellStyle name="강조색4 2 30" xfId="8921"/>
    <cellStyle name="강조색4 2 31" xfId="8922"/>
    <cellStyle name="강조색4 2 32" xfId="8923"/>
    <cellStyle name="강조색4 2 33" xfId="8924"/>
    <cellStyle name="강조색4 2 34" xfId="8925"/>
    <cellStyle name="강조색4 2 35" xfId="8926"/>
    <cellStyle name="강조색4 2 36" xfId="8927"/>
    <cellStyle name="강조색4 2 37" xfId="8928"/>
    <cellStyle name="강조색4 2 38" xfId="8929"/>
    <cellStyle name="강조색4 2 39" xfId="8930"/>
    <cellStyle name="강조색4 2 4" xfId="8931"/>
    <cellStyle name="강조색4 2 40" xfId="8932"/>
    <cellStyle name="강조색4 2 41" xfId="8933"/>
    <cellStyle name="강조색4 2 42" xfId="8934"/>
    <cellStyle name="강조색4 2 43" xfId="8935"/>
    <cellStyle name="강조색4 2 44" xfId="8936"/>
    <cellStyle name="강조색4 2 45" xfId="8937"/>
    <cellStyle name="강조색4 2 46" xfId="8938"/>
    <cellStyle name="강조색4 2 47" xfId="8939"/>
    <cellStyle name="강조색4 2 48" xfId="8940"/>
    <cellStyle name="강조색4 2 49" xfId="8941"/>
    <cellStyle name="강조색4 2 5" xfId="8942"/>
    <cellStyle name="강조색4 2 50" xfId="8943"/>
    <cellStyle name="강조색4 2 51" xfId="8944"/>
    <cellStyle name="강조색4 2 52" xfId="8945"/>
    <cellStyle name="강조색4 2 53" xfId="8946"/>
    <cellStyle name="강조색4 2 54" xfId="8947"/>
    <cellStyle name="강조색4 2 55" xfId="8948"/>
    <cellStyle name="강조색4 2 56" xfId="8949"/>
    <cellStyle name="강조색4 2 57" xfId="8950"/>
    <cellStyle name="강조색4 2 58" xfId="8951"/>
    <cellStyle name="강조색4 2 59" xfId="8952"/>
    <cellStyle name="강조색4 2 6" xfId="8953"/>
    <cellStyle name="강조색4 2 60" xfId="8954"/>
    <cellStyle name="강조색4 2 61" xfId="8955"/>
    <cellStyle name="강조색4 2 62" xfId="8956"/>
    <cellStyle name="강조색4 2 63" xfId="8957"/>
    <cellStyle name="강조색4 2 64" xfId="8958"/>
    <cellStyle name="강조색4 2 65" xfId="8959"/>
    <cellStyle name="강조색4 2 66" xfId="8960"/>
    <cellStyle name="강조색4 2 67" xfId="8961"/>
    <cellStyle name="강조색4 2 68" xfId="8962"/>
    <cellStyle name="강조색4 2 69" xfId="8963"/>
    <cellStyle name="강조색4 2 7" xfId="8964"/>
    <cellStyle name="강조색4 2 70" xfId="8965"/>
    <cellStyle name="강조색4 2 71" xfId="8966"/>
    <cellStyle name="강조색4 2 72" xfId="8967"/>
    <cellStyle name="강조색4 2 73" xfId="8968"/>
    <cellStyle name="강조색4 2 74" xfId="8969"/>
    <cellStyle name="강조색4 2 75" xfId="8970"/>
    <cellStyle name="강조색4 2 76" xfId="8971"/>
    <cellStyle name="강조색4 2 77" xfId="8972"/>
    <cellStyle name="강조색4 2 78" xfId="8973"/>
    <cellStyle name="강조색4 2 79" xfId="8974"/>
    <cellStyle name="강조색4 2 8" xfId="8975"/>
    <cellStyle name="강조색4 2 80" xfId="8976"/>
    <cellStyle name="강조색4 2 81" xfId="8977"/>
    <cellStyle name="강조색4 2 82" xfId="8978"/>
    <cellStyle name="강조색4 2 83" xfId="8979"/>
    <cellStyle name="강조색4 2 84" xfId="8980"/>
    <cellStyle name="강조색4 2 85" xfId="8981"/>
    <cellStyle name="강조색4 2 86" xfId="8982"/>
    <cellStyle name="강조색4 2 87" xfId="8983"/>
    <cellStyle name="강조색4 2 88" xfId="8984"/>
    <cellStyle name="강조색4 2 89" xfId="8985"/>
    <cellStyle name="강조색4 2 9" xfId="8986"/>
    <cellStyle name="강조색4 2 90" xfId="8987"/>
    <cellStyle name="강조색4 2 91" xfId="8988"/>
    <cellStyle name="강조색4 2 92" xfId="8989"/>
    <cellStyle name="강조색4 2 93" xfId="8990"/>
    <cellStyle name="강조색4 2 94" xfId="8991"/>
    <cellStyle name="강조색4 2 95" xfId="8992"/>
    <cellStyle name="강조색4 2 96" xfId="8993"/>
    <cellStyle name="강조색4 2 97" xfId="8994"/>
    <cellStyle name="강조색4 2 98" xfId="8995"/>
    <cellStyle name="강조색4 2 99" xfId="8996"/>
    <cellStyle name="강조색5 2" xfId="8997"/>
    <cellStyle name="강조색5 2 10" xfId="8998"/>
    <cellStyle name="강조색5 2 100" xfId="8999"/>
    <cellStyle name="강조색5 2 101" xfId="9000"/>
    <cellStyle name="강조색5 2 102" xfId="9001"/>
    <cellStyle name="강조색5 2 103" xfId="9002"/>
    <cellStyle name="강조색5 2 104" xfId="9003"/>
    <cellStyle name="강조색5 2 105" xfId="9004"/>
    <cellStyle name="강조색5 2 106" xfId="9005"/>
    <cellStyle name="강조색5 2 107" xfId="9006"/>
    <cellStyle name="강조색5 2 108" xfId="9007"/>
    <cellStyle name="강조색5 2 109" xfId="9008"/>
    <cellStyle name="강조색5 2 11" xfId="9009"/>
    <cellStyle name="강조색5 2 110" xfId="9010"/>
    <cellStyle name="강조색5 2 111" xfId="9011"/>
    <cellStyle name="강조색5 2 112" xfId="9012"/>
    <cellStyle name="강조색5 2 113" xfId="9013"/>
    <cellStyle name="강조색5 2 114" xfId="9014"/>
    <cellStyle name="강조색5 2 115" xfId="9015"/>
    <cellStyle name="강조색5 2 116" xfId="9016"/>
    <cellStyle name="강조색5 2 117" xfId="9017"/>
    <cellStyle name="강조색5 2 118" xfId="9018"/>
    <cellStyle name="강조색5 2 119" xfId="9019"/>
    <cellStyle name="강조색5 2 12" xfId="9020"/>
    <cellStyle name="강조색5 2 120" xfId="9021"/>
    <cellStyle name="강조색5 2 121" xfId="9022"/>
    <cellStyle name="강조색5 2 122" xfId="9023"/>
    <cellStyle name="강조색5 2 123" xfId="9024"/>
    <cellStyle name="강조색5 2 124" xfId="9025"/>
    <cellStyle name="강조색5 2 125" xfId="9026"/>
    <cellStyle name="강조색5 2 126" xfId="9027"/>
    <cellStyle name="강조색5 2 127" xfId="9028"/>
    <cellStyle name="강조색5 2 128" xfId="9029"/>
    <cellStyle name="강조색5 2 129" xfId="9030"/>
    <cellStyle name="강조색5 2 13" xfId="9031"/>
    <cellStyle name="강조색5 2 130" xfId="9032"/>
    <cellStyle name="강조색5 2 131" xfId="9033"/>
    <cellStyle name="강조색5 2 132" xfId="9034"/>
    <cellStyle name="강조색5 2 133" xfId="9035"/>
    <cellStyle name="강조색5 2 134" xfId="9036"/>
    <cellStyle name="강조색5 2 135" xfId="9037"/>
    <cellStyle name="강조색5 2 136" xfId="9038"/>
    <cellStyle name="강조색5 2 137" xfId="9039"/>
    <cellStyle name="강조색5 2 138" xfId="9040"/>
    <cellStyle name="강조색5 2 139" xfId="9041"/>
    <cellStyle name="강조색5 2 14" xfId="9042"/>
    <cellStyle name="강조색5 2 140" xfId="9043"/>
    <cellStyle name="강조색5 2 141" xfId="9044"/>
    <cellStyle name="강조색5 2 142" xfId="9045"/>
    <cellStyle name="강조색5 2 143" xfId="9046"/>
    <cellStyle name="강조색5 2 144" xfId="9047"/>
    <cellStyle name="강조색5 2 145" xfId="9048"/>
    <cellStyle name="강조색5 2 146" xfId="9049"/>
    <cellStyle name="강조색5 2 147" xfId="9050"/>
    <cellStyle name="강조색5 2 148" xfId="9051"/>
    <cellStyle name="강조색5 2 149" xfId="9052"/>
    <cellStyle name="강조색5 2 15" xfId="9053"/>
    <cellStyle name="강조색5 2 150" xfId="9054"/>
    <cellStyle name="강조색5 2 151" xfId="9055"/>
    <cellStyle name="강조색5 2 152" xfId="9056"/>
    <cellStyle name="강조색5 2 153" xfId="9057"/>
    <cellStyle name="강조색5 2 154" xfId="9058"/>
    <cellStyle name="강조색5 2 155" xfId="9059"/>
    <cellStyle name="강조색5 2 156" xfId="9060"/>
    <cellStyle name="강조색5 2 157" xfId="9061"/>
    <cellStyle name="강조색5 2 158" xfId="9062"/>
    <cellStyle name="강조색5 2 159" xfId="9063"/>
    <cellStyle name="강조색5 2 16" xfId="9064"/>
    <cellStyle name="강조색5 2 160" xfId="9065"/>
    <cellStyle name="강조색5 2 161" xfId="9066"/>
    <cellStyle name="강조색5 2 162" xfId="9067"/>
    <cellStyle name="강조색5 2 163" xfId="9068"/>
    <cellStyle name="강조색5 2 164" xfId="9069"/>
    <cellStyle name="강조색5 2 165" xfId="9070"/>
    <cellStyle name="강조색5 2 166" xfId="9071"/>
    <cellStyle name="강조색5 2 167" xfId="9072"/>
    <cellStyle name="강조색5 2 168" xfId="9073"/>
    <cellStyle name="강조색5 2 169" xfId="9074"/>
    <cellStyle name="강조색5 2 17" xfId="9075"/>
    <cellStyle name="강조색5 2 170" xfId="9076"/>
    <cellStyle name="강조색5 2 171" xfId="9077"/>
    <cellStyle name="강조색5 2 172" xfId="9078"/>
    <cellStyle name="강조색5 2 173" xfId="9079"/>
    <cellStyle name="강조색5 2 174" xfId="9080"/>
    <cellStyle name="강조색5 2 175" xfId="9081"/>
    <cellStyle name="강조색5 2 176" xfId="9082"/>
    <cellStyle name="강조색5 2 177" xfId="9083"/>
    <cellStyle name="강조색5 2 178" xfId="9084"/>
    <cellStyle name="강조색5 2 179" xfId="9085"/>
    <cellStyle name="강조색5 2 18" xfId="9086"/>
    <cellStyle name="강조색5 2 180" xfId="9087"/>
    <cellStyle name="강조색5 2 181" xfId="9088"/>
    <cellStyle name="강조색5 2 182" xfId="9089"/>
    <cellStyle name="강조색5 2 183" xfId="9090"/>
    <cellStyle name="강조색5 2 184" xfId="9091"/>
    <cellStyle name="강조색5 2 185" xfId="9092"/>
    <cellStyle name="강조색5 2 186" xfId="9093"/>
    <cellStyle name="강조색5 2 187" xfId="9094"/>
    <cellStyle name="강조색5 2 188" xfId="9095"/>
    <cellStyle name="강조색5 2 189" xfId="9096"/>
    <cellStyle name="강조색5 2 19" xfId="9097"/>
    <cellStyle name="강조색5 2 190" xfId="9098"/>
    <cellStyle name="강조색5 2 191" xfId="9099"/>
    <cellStyle name="강조색5 2 192" xfId="9100"/>
    <cellStyle name="강조색5 2 193" xfId="9101"/>
    <cellStyle name="강조색5 2 194" xfId="9102"/>
    <cellStyle name="강조색5 2 195" xfId="9103"/>
    <cellStyle name="강조색5 2 196" xfId="9104"/>
    <cellStyle name="강조색5 2 197" xfId="9105"/>
    <cellStyle name="강조색5 2 198" xfId="9106"/>
    <cellStyle name="강조색5 2 199" xfId="9107"/>
    <cellStyle name="강조색5 2 2" xfId="9108"/>
    <cellStyle name="강조색5 2 20" xfId="9109"/>
    <cellStyle name="강조색5 2 200" xfId="9110"/>
    <cellStyle name="강조색5 2 201" xfId="9111"/>
    <cellStyle name="강조색5 2 202" xfId="9112"/>
    <cellStyle name="강조색5 2 203" xfId="9113"/>
    <cellStyle name="강조색5 2 204" xfId="9114"/>
    <cellStyle name="강조색5 2 205" xfId="9115"/>
    <cellStyle name="강조색5 2 206" xfId="9116"/>
    <cellStyle name="강조색5 2 207" xfId="9117"/>
    <cellStyle name="강조색5 2 208" xfId="9118"/>
    <cellStyle name="강조색5 2 209" xfId="9119"/>
    <cellStyle name="강조색5 2 21" xfId="9120"/>
    <cellStyle name="강조색5 2 210" xfId="9121"/>
    <cellStyle name="강조색5 2 211" xfId="9122"/>
    <cellStyle name="강조색5 2 212" xfId="9123"/>
    <cellStyle name="강조색5 2 213" xfId="9124"/>
    <cellStyle name="강조색5 2 214" xfId="9125"/>
    <cellStyle name="강조색5 2 215" xfId="9126"/>
    <cellStyle name="강조색5 2 216" xfId="9127"/>
    <cellStyle name="강조색5 2 217" xfId="9128"/>
    <cellStyle name="강조색5 2 218" xfId="9129"/>
    <cellStyle name="강조색5 2 219" xfId="9130"/>
    <cellStyle name="강조색5 2 22" xfId="9131"/>
    <cellStyle name="강조색5 2 220" xfId="9132"/>
    <cellStyle name="강조색5 2 221" xfId="9133"/>
    <cellStyle name="강조색5 2 222" xfId="9134"/>
    <cellStyle name="강조색5 2 223" xfId="9135"/>
    <cellStyle name="강조색5 2 224" xfId="9136"/>
    <cellStyle name="강조색5 2 225" xfId="9137"/>
    <cellStyle name="강조색5 2 226" xfId="9138"/>
    <cellStyle name="강조색5 2 227" xfId="9139"/>
    <cellStyle name="강조색5 2 228" xfId="9140"/>
    <cellStyle name="강조색5 2 229" xfId="9141"/>
    <cellStyle name="강조색5 2 23" xfId="9142"/>
    <cellStyle name="강조색5 2 230" xfId="9143"/>
    <cellStyle name="강조색5 2 231" xfId="9144"/>
    <cellStyle name="강조색5 2 232" xfId="9145"/>
    <cellStyle name="강조색5 2 233" xfId="9146"/>
    <cellStyle name="강조색5 2 234" xfId="9147"/>
    <cellStyle name="강조색5 2 235" xfId="9148"/>
    <cellStyle name="강조색5 2 236" xfId="9149"/>
    <cellStyle name="강조색5 2 237" xfId="9150"/>
    <cellStyle name="강조색5 2 238" xfId="9151"/>
    <cellStyle name="강조색5 2 239" xfId="9152"/>
    <cellStyle name="강조색5 2 24" xfId="9153"/>
    <cellStyle name="강조색5 2 240" xfId="9154"/>
    <cellStyle name="강조색5 2 241" xfId="9155"/>
    <cellStyle name="강조색5 2 25" xfId="9156"/>
    <cellStyle name="강조색5 2 26" xfId="9157"/>
    <cellStyle name="강조색5 2 27" xfId="9158"/>
    <cellStyle name="강조색5 2 28" xfId="9159"/>
    <cellStyle name="강조색5 2 29" xfId="9160"/>
    <cellStyle name="강조색5 2 3" xfId="9161"/>
    <cellStyle name="강조색5 2 30" xfId="9162"/>
    <cellStyle name="강조색5 2 31" xfId="9163"/>
    <cellStyle name="강조색5 2 32" xfId="9164"/>
    <cellStyle name="강조색5 2 33" xfId="9165"/>
    <cellStyle name="강조색5 2 34" xfId="9166"/>
    <cellStyle name="강조색5 2 35" xfId="9167"/>
    <cellStyle name="강조색5 2 36" xfId="9168"/>
    <cellStyle name="강조색5 2 37" xfId="9169"/>
    <cellStyle name="강조색5 2 38" xfId="9170"/>
    <cellStyle name="강조색5 2 39" xfId="9171"/>
    <cellStyle name="강조색5 2 4" xfId="9172"/>
    <cellStyle name="강조색5 2 40" xfId="9173"/>
    <cellStyle name="강조색5 2 41" xfId="9174"/>
    <cellStyle name="강조색5 2 42" xfId="9175"/>
    <cellStyle name="강조색5 2 43" xfId="9176"/>
    <cellStyle name="강조색5 2 44" xfId="9177"/>
    <cellStyle name="강조색5 2 45" xfId="9178"/>
    <cellStyle name="강조색5 2 46" xfId="9179"/>
    <cellStyle name="강조색5 2 47" xfId="9180"/>
    <cellStyle name="강조색5 2 48" xfId="9181"/>
    <cellStyle name="강조색5 2 49" xfId="9182"/>
    <cellStyle name="강조색5 2 5" xfId="9183"/>
    <cellStyle name="강조색5 2 50" xfId="9184"/>
    <cellStyle name="강조색5 2 51" xfId="9185"/>
    <cellStyle name="강조색5 2 52" xfId="9186"/>
    <cellStyle name="강조색5 2 53" xfId="9187"/>
    <cellStyle name="강조색5 2 54" xfId="9188"/>
    <cellStyle name="강조색5 2 55" xfId="9189"/>
    <cellStyle name="강조색5 2 56" xfId="9190"/>
    <cellStyle name="강조색5 2 57" xfId="9191"/>
    <cellStyle name="강조색5 2 58" xfId="9192"/>
    <cellStyle name="강조색5 2 59" xfId="9193"/>
    <cellStyle name="강조색5 2 6" xfId="9194"/>
    <cellStyle name="강조색5 2 60" xfId="9195"/>
    <cellStyle name="강조색5 2 61" xfId="9196"/>
    <cellStyle name="강조색5 2 62" xfId="9197"/>
    <cellStyle name="강조색5 2 63" xfId="9198"/>
    <cellStyle name="강조색5 2 64" xfId="9199"/>
    <cellStyle name="강조색5 2 65" xfId="9200"/>
    <cellStyle name="강조색5 2 66" xfId="9201"/>
    <cellStyle name="강조색5 2 67" xfId="9202"/>
    <cellStyle name="강조색5 2 68" xfId="9203"/>
    <cellStyle name="강조색5 2 69" xfId="9204"/>
    <cellStyle name="강조색5 2 7" xfId="9205"/>
    <cellStyle name="강조색5 2 70" xfId="9206"/>
    <cellStyle name="강조색5 2 71" xfId="9207"/>
    <cellStyle name="강조색5 2 72" xfId="9208"/>
    <cellStyle name="강조색5 2 73" xfId="9209"/>
    <cellStyle name="강조색5 2 74" xfId="9210"/>
    <cellStyle name="강조색5 2 75" xfId="9211"/>
    <cellStyle name="강조색5 2 76" xfId="9212"/>
    <cellStyle name="강조색5 2 77" xfId="9213"/>
    <cellStyle name="강조색5 2 78" xfId="9214"/>
    <cellStyle name="강조색5 2 79" xfId="9215"/>
    <cellStyle name="강조색5 2 8" xfId="9216"/>
    <cellStyle name="강조색5 2 80" xfId="9217"/>
    <cellStyle name="강조색5 2 81" xfId="9218"/>
    <cellStyle name="강조색5 2 82" xfId="9219"/>
    <cellStyle name="강조색5 2 83" xfId="9220"/>
    <cellStyle name="강조색5 2 84" xfId="9221"/>
    <cellStyle name="강조색5 2 85" xfId="9222"/>
    <cellStyle name="강조색5 2 86" xfId="9223"/>
    <cellStyle name="강조색5 2 87" xfId="9224"/>
    <cellStyle name="강조색5 2 88" xfId="9225"/>
    <cellStyle name="강조색5 2 89" xfId="9226"/>
    <cellStyle name="강조색5 2 9" xfId="9227"/>
    <cellStyle name="강조색5 2 90" xfId="9228"/>
    <cellStyle name="강조색5 2 91" xfId="9229"/>
    <cellStyle name="강조색5 2 92" xfId="9230"/>
    <cellStyle name="강조색5 2 93" xfId="9231"/>
    <cellStyle name="강조색5 2 94" xfId="9232"/>
    <cellStyle name="강조색5 2 95" xfId="9233"/>
    <cellStyle name="강조색5 2 96" xfId="9234"/>
    <cellStyle name="강조색5 2 97" xfId="9235"/>
    <cellStyle name="강조색5 2 98" xfId="9236"/>
    <cellStyle name="강조색5 2 99" xfId="9237"/>
    <cellStyle name="강조색6 2" xfId="9238"/>
    <cellStyle name="강조색6 2 10" xfId="9239"/>
    <cellStyle name="강조색6 2 100" xfId="9240"/>
    <cellStyle name="강조색6 2 101" xfId="9241"/>
    <cellStyle name="강조색6 2 102" xfId="9242"/>
    <cellStyle name="강조색6 2 103" xfId="9243"/>
    <cellStyle name="강조색6 2 104" xfId="9244"/>
    <cellStyle name="강조색6 2 105" xfId="9245"/>
    <cellStyle name="강조색6 2 106" xfId="9246"/>
    <cellStyle name="강조색6 2 107" xfId="9247"/>
    <cellStyle name="강조색6 2 108" xfId="9248"/>
    <cellStyle name="강조색6 2 109" xfId="9249"/>
    <cellStyle name="강조색6 2 11" xfId="9250"/>
    <cellStyle name="강조색6 2 110" xfId="9251"/>
    <cellStyle name="강조색6 2 111" xfId="9252"/>
    <cellStyle name="강조색6 2 112" xfId="9253"/>
    <cellStyle name="강조색6 2 113" xfId="9254"/>
    <cellStyle name="강조색6 2 114" xfId="9255"/>
    <cellStyle name="강조색6 2 115" xfId="9256"/>
    <cellStyle name="강조색6 2 116" xfId="9257"/>
    <cellStyle name="강조색6 2 117" xfId="9258"/>
    <cellStyle name="강조색6 2 118" xfId="9259"/>
    <cellStyle name="강조색6 2 119" xfId="9260"/>
    <cellStyle name="강조색6 2 12" xfId="9261"/>
    <cellStyle name="강조색6 2 120" xfId="9262"/>
    <cellStyle name="강조색6 2 121" xfId="9263"/>
    <cellStyle name="강조색6 2 122" xfId="9264"/>
    <cellStyle name="강조색6 2 123" xfId="9265"/>
    <cellStyle name="강조색6 2 124" xfId="9266"/>
    <cellStyle name="강조색6 2 125" xfId="9267"/>
    <cellStyle name="강조색6 2 126" xfId="9268"/>
    <cellStyle name="강조색6 2 127" xfId="9269"/>
    <cellStyle name="강조색6 2 128" xfId="9270"/>
    <cellStyle name="강조색6 2 129" xfId="9271"/>
    <cellStyle name="강조색6 2 13" xfId="9272"/>
    <cellStyle name="강조색6 2 130" xfId="9273"/>
    <cellStyle name="강조색6 2 131" xfId="9274"/>
    <cellStyle name="강조색6 2 132" xfId="9275"/>
    <cellStyle name="강조색6 2 133" xfId="9276"/>
    <cellStyle name="강조색6 2 134" xfId="9277"/>
    <cellStyle name="강조색6 2 135" xfId="9278"/>
    <cellStyle name="강조색6 2 136" xfId="9279"/>
    <cellStyle name="강조색6 2 137" xfId="9280"/>
    <cellStyle name="강조색6 2 138" xfId="9281"/>
    <cellStyle name="강조색6 2 139" xfId="9282"/>
    <cellStyle name="강조색6 2 14" xfId="9283"/>
    <cellStyle name="강조색6 2 140" xfId="9284"/>
    <cellStyle name="강조색6 2 141" xfId="9285"/>
    <cellStyle name="강조색6 2 142" xfId="9286"/>
    <cellStyle name="강조색6 2 143" xfId="9287"/>
    <cellStyle name="강조색6 2 144" xfId="9288"/>
    <cellStyle name="강조색6 2 145" xfId="9289"/>
    <cellStyle name="강조색6 2 146" xfId="9290"/>
    <cellStyle name="강조색6 2 147" xfId="9291"/>
    <cellStyle name="강조색6 2 148" xfId="9292"/>
    <cellStyle name="강조색6 2 149" xfId="9293"/>
    <cellStyle name="강조색6 2 15" xfId="9294"/>
    <cellStyle name="강조색6 2 150" xfId="9295"/>
    <cellStyle name="강조색6 2 151" xfId="9296"/>
    <cellStyle name="강조색6 2 152" xfId="9297"/>
    <cellStyle name="강조색6 2 153" xfId="9298"/>
    <cellStyle name="강조색6 2 154" xfId="9299"/>
    <cellStyle name="강조색6 2 155" xfId="9300"/>
    <cellStyle name="강조색6 2 156" xfId="9301"/>
    <cellStyle name="강조색6 2 157" xfId="9302"/>
    <cellStyle name="강조색6 2 158" xfId="9303"/>
    <cellStyle name="강조색6 2 159" xfId="9304"/>
    <cellStyle name="강조색6 2 16" xfId="9305"/>
    <cellStyle name="강조색6 2 160" xfId="9306"/>
    <cellStyle name="강조색6 2 161" xfId="9307"/>
    <cellStyle name="강조색6 2 162" xfId="9308"/>
    <cellStyle name="강조색6 2 163" xfId="9309"/>
    <cellStyle name="강조색6 2 164" xfId="9310"/>
    <cellStyle name="강조색6 2 165" xfId="9311"/>
    <cellStyle name="강조색6 2 166" xfId="9312"/>
    <cellStyle name="강조색6 2 167" xfId="9313"/>
    <cellStyle name="강조색6 2 168" xfId="9314"/>
    <cellStyle name="강조색6 2 169" xfId="9315"/>
    <cellStyle name="강조색6 2 17" xfId="9316"/>
    <cellStyle name="강조색6 2 170" xfId="9317"/>
    <cellStyle name="강조색6 2 171" xfId="9318"/>
    <cellStyle name="강조색6 2 172" xfId="9319"/>
    <cellStyle name="강조색6 2 173" xfId="9320"/>
    <cellStyle name="강조색6 2 174" xfId="9321"/>
    <cellStyle name="강조색6 2 175" xfId="9322"/>
    <cellStyle name="강조색6 2 176" xfId="9323"/>
    <cellStyle name="강조색6 2 177" xfId="9324"/>
    <cellStyle name="강조색6 2 178" xfId="9325"/>
    <cellStyle name="강조색6 2 179" xfId="9326"/>
    <cellStyle name="강조색6 2 18" xfId="9327"/>
    <cellStyle name="강조색6 2 180" xfId="9328"/>
    <cellStyle name="강조색6 2 181" xfId="9329"/>
    <cellStyle name="강조색6 2 182" xfId="9330"/>
    <cellStyle name="강조색6 2 183" xfId="9331"/>
    <cellStyle name="강조색6 2 184" xfId="9332"/>
    <cellStyle name="강조색6 2 185" xfId="9333"/>
    <cellStyle name="강조색6 2 186" xfId="9334"/>
    <cellStyle name="강조색6 2 187" xfId="9335"/>
    <cellStyle name="강조색6 2 188" xfId="9336"/>
    <cellStyle name="강조색6 2 189" xfId="9337"/>
    <cellStyle name="강조색6 2 19" xfId="9338"/>
    <cellStyle name="강조색6 2 190" xfId="9339"/>
    <cellStyle name="강조색6 2 191" xfId="9340"/>
    <cellStyle name="강조색6 2 192" xfId="9341"/>
    <cellStyle name="강조색6 2 193" xfId="9342"/>
    <cellStyle name="강조색6 2 194" xfId="9343"/>
    <cellStyle name="강조색6 2 195" xfId="9344"/>
    <cellStyle name="강조색6 2 196" xfId="9345"/>
    <cellStyle name="강조색6 2 197" xfId="9346"/>
    <cellStyle name="강조색6 2 198" xfId="9347"/>
    <cellStyle name="강조색6 2 199" xfId="9348"/>
    <cellStyle name="강조색6 2 2" xfId="9349"/>
    <cellStyle name="강조색6 2 20" xfId="9350"/>
    <cellStyle name="강조색6 2 200" xfId="9351"/>
    <cellStyle name="강조색6 2 201" xfId="9352"/>
    <cellStyle name="강조색6 2 202" xfId="9353"/>
    <cellStyle name="강조색6 2 203" xfId="9354"/>
    <cellStyle name="강조색6 2 204" xfId="9355"/>
    <cellStyle name="강조색6 2 205" xfId="9356"/>
    <cellStyle name="강조색6 2 206" xfId="9357"/>
    <cellStyle name="강조색6 2 207" xfId="9358"/>
    <cellStyle name="강조색6 2 208" xfId="9359"/>
    <cellStyle name="강조색6 2 209" xfId="9360"/>
    <cellStyle name="강조색6 2 21" xfId="9361"/>
    <cellStyle name="강조색6 2 210" xfId="9362"/>
    <cellStyle name="강조색6 2 211" xfId="9363"/>
    <cellStyle name="강조색6 2 212" xfId="9364"/>
    <cellStyle name="강조색6 2 213" xfId="9365"/>
    <cellStyle name="강조색6 2 214" xfId="9366"/>
    <cellStyle name="강조색6 2 215" xfId="9367"/>
    <cellStyle name="강조색6 2 216" xfId="9368"/>
    <cellStyle name="강조색6 2 217" xfId="9369"/>
    <cellStyle name="강조색6 2 218" xfId="9370"/>
    <cellStyle name="강조색6 2 219" xfId="9371"/>
    <cellStyle name="강조색6 2 22" xfId="9372"/>
    <cellStyle name="강조색6 2 220" xfId="9373"/>
    <cellStyle name="강조색6 2 221" xfId="9374"/>
    <cellStyle name="강조색6 2 222" xfId="9375"/>
    <cellStyle name="강조색6 2 223" xfId="9376"/>
    <cellStyle name="강조색6 2 224" xfId="9377"/>
    <cellStyle name="강조색6 2 225" xfId="9378"/>
    <cellStyle name="강조색6 2 226" xfId="9379"/>
    <cellStyle name="강조색6 2 227" xfId="9380"/>
    <cellStyle name="강조색6 2 228" xfId="9381"/>
    <cellStyle name="강조색6 2 229" xfId="9382"/>
    <cellStyle name="강조색6 2 23" xfId="9383"/>
    <cellStyle name="강조색6 2 230" xfId="9384"/>
    <cellStyle name="강조색6 2 231" xfId="9385"/>
    <cellStyle name="강조색6 2 232" xfId="9386"/>
    <cellStyle name="강조색6 2 233" xfId="9387"/>
    <cellStyle name="강조색6 2 234" xfId="9388"/>
    <cellStyle name="강조색6 2 235" xfId="9389"/>
    <cellStyle name="강조색6 2 236" xfId="9390"/>
    <cellStyle name="강조색6 2 237" xfId="9391"/>
    <cellStyle name="강조색6 2 238" xfId="9392"/>
    <cellStyle name="강조색6 2 239" xfId="9393"/>
    <cellStyle name="강조색6 2 24" xfId="9394"/>
    <cellStyle name="강조색6 2 240" xfId="9395"/>
    <cellStyle name="강조색6 2 241" xfId="9396"/>
    <cellStyle name="강조색6 2 25" xfId="9397"/>
    <cellStyle name="강조색6 2 26" xfId="9398"/>
    <cellStyle name="강조색6 2 27" xfId="9399"/>
    <cellStyle name="강조색6 2 28" xfId="9400"/>
    <cellStyle name="강조색6 2 29" xfId="9401"/>
    <cellStyle name="강조색6 2 3" xfId="9402"/>
    <cellStyle name="강조색6 2 30" xfId="9403"/>
    <cellStyle name="강조색6 2 31" xfId="9404"/>
    <cellStyle name="강조색6 2 32" xfId="9405"/>
    <cellStyle name="강조색6 2 33" xfId="9406"/>
    <cellStyle name="강조색6 2 34" xfId="9407"/>
    <cellStyle name="강조색6 2 35" xfId="9408"/>
    <cellStyle name="강조색6 2 36" xfId="9409"/>
    <cellStyle name="강조색6 2 37" xfId="9410"/>
    <cellStyle name="강조색6 2 38" xfId="9411"/>
    <cellStyle name="강조색6 2 39" xfId="9412"/>
    <cellStyle name="강조색6 2 4" xfId="9413"/>
    <cellStyle name="강조색6 2 40" xfId="9414"/>
    <cellStyle name="강조색6 2 41" xfId="9415"/>
    <cellStyle name="강조색6 2 42" xfId="9416"/>
    <cellStyle name="강조색6 2 43" xfId="9417"/>
    <cellStyle name="강조색6 2 44" xfId="9418"/>
    <cellStyle name="강조색6 2 45" xfId="9419"/>
    <cellStyle name="강조색6 2 46" xfId="9420"/>
    <cellStyle name="강조색6 2 47" xfId="9421"/>
    <cellStyle name="강조색6 2 48" xfId="9422"/>
    <cellStyle name="강조색6 2 49" xfId="9423"/>
    <cellStyle name="강조색6 2 5" xfId="9424"/>
    <cellStyle name="강조색6 2 50" xfId="9425"/>
    <cellStyle name="강조색6 2 51" xfId="9426"/>
    <cellStyle name="강조색6 2 52" xfId="9427"/>
    <cellStyle name="강조색6 2 53" xfId="9428"/>
    <cellStyle name="강조색6 2 54" xfId="9429"/>
    <cellStyle name="강조색6 2 55" xfId="9430"/>
    <cellStyle name="강조색6 2 56" xfId="9431"/>
    <cellStyle name="강조색6 2 57" xfId="9432"/>
    <cellStyle name="강조색6 2 58" xfId="9433"/>
    <cellStyle name="강조색6 2 59" xfId="9434"/>
    <cellStyle name="강조색6 2 6" xfId="9435"/>
    <cellStyle name="강조색6 2 60" xfId="9436"/>
    <cellStyle name="강조색6 2 61" xfId="9437"/>
    <cellStyle name="강조색6 2 62" xfId="9438"/>
    <cellStyle name="강조색6 2 63" xfId="9439"/>
    <cellStyle name="강조색6 2 64" xfId="9440"/>
    <cellStyle name="강조색6 2 65" xfId="9441"/>
    <cellStyle name="강조색6 2 66" xfId="9442"/>
    <cellStyle name="강조색6 2 67" xfId="9443"/>
    <cellStyle name="강조색6 2 68" xfId="9444"/>
    <cellStyle name="강조색6 2 69" xfId="9445"/>
    <cellStyle name="강조색6 2 7" xfId="9446"/>
    <cellStyle name="강조색6 2 70" xfId="9447"/>
    <cellStyle name="강조색6 2 71" xfId="9448"/>
    <cellStyle name="강조색6 2 72" xfId="9449"/>
    <cellStyle name="강조색6 2 73" xfId="9450"/>
    <cellStyle name="강조색6 2 74" xfId="9451"/>
    <cellStyle name="강조색6 2 75" xfId="9452"/>
    <cellStyle name="강조색6 2 76" xfId="9453"/>
    <cellStyle name="강조색6 2 77" xfId="9454"/>
    <cellStyle name="강조색6 2 78" xfId="9455"/>
    <cellStyle name="강조색6 2 79" xfId="9456"/>
    <cellStyle name="강조색6 2 8" xfId="9457"/>
    <cellStyle name="강조색6 2 80" xfId="9458"/>
    <cellStyle name="강조색6 2 81" xfId="9459"/>
    <cellStyle name="강조색6 2 82" xfId="9460"/>
    <cellStyle name="강조색6 2 83" xfId="9461"/>
    <cellStyle name="강조색6 2 84" xfId="9462"/>
    <cellStyle name="강조색6 2 85" xfId="9463"/>
    <cellStyle name="강조색6 2 86" xfId="9464"/>
    <cellStyle name="강조색6 2 87" xfId="9465"/>
    <cellStyle name="강조색6 2 88" xfId="9466"/>
    <cellStyle name="강조색6 2 89" xfId="9467"/>
    <cellStyle name="강조색6 2 9" xfId="9468"/>
    <cellStyle name="강조색6 2 90" xfId="9469"/>
    <cellStyle name="강조색6 2 91" xfId="9470"/>
    <cellStyle name="강조색6 2 92" xfId="9471"/>
    <cellStyle name="강조색6 2 93" xfId="9472"/>
    <cellStyle name="강조색6 2 94" xfId="9473"/>
    <cellStyle name="강조색6 2 95" xfId="9474"/>
    <cellStyle name="강조색6 2 96" xfId="9475"/>
    <cellStyle name="강조색6 2 97" xfId="9476"/>
    <cellStyle name="강조색6 2 98" xfId="9477"/>
    <cellStyle name="강조색6 2 99" xfId="9478"/>
    <cellStyle name="检查单元格" xfId="9479"/>
    <cellStyle name="경고문 2" xfId="9480"/>
    <cellStyle name="경고문 2 10" xfId="9481"/>
    <cellStyle name="경고문 2 100" xfId="9482"/>
    <cellStyle name="경고문 2 101" xfId="9483"/>
    <cellStyle name="경고문 2 102" xfId="9484"/>
    <cellStyle name="경고문 2 103" xfId="9485"/>
    <cellStyle name="경고문 2 104" xfId="9486"/>
    <cellStyle name="경고문 2 105" xfId="9487"/>
    <cellStyle name="경고문 2 106" xfId="9488"/>
    <cellStyle name="경고문 2 107" xfId="9489"/>
    <cellStyle name="경고문 2 108" xfId="9490"/>
    <cellStyle name="경고문 2 109" xfId="9491"/>
    <cellStyle name="경고문 2 11" xfId="9492"/>
    <cellStyle name="경고문 2 110" xfId="9493"/>
    <cellStyle name="경고문 2 111" xfId="9494"/>
    <cellStyle name="경고문 2 112" xfId="9495"/>
    <cellStyle name="경고문 2 113" xfId="9496"/>
    <cellStyle name="경고문 2 114" xfId="9497"/>
    <cellStyle name="경고문 2 115" xfId="9498"/>
    <cellStyle name="경고문 2 116" xfId="9499"/>
    <cellStyle name="경고문 2 117" xfId="9500"/>
    <cellStyle name="경고문 2 118" xfId="9501"/>
    <cellStyle name="경고문 2 119" xfId="9502"/>
    <cellStyle name="경고문 2 12" xfId="9503"/>
    <cellStyle name="경고문 2 120" xfId="9504"/>
    <cellStyle name="경고문 2 121" xfId="9505"/>
    <cellStyle name="경고문 2 122" xfId="9506"/>
    <cellStyle name="경고문 2 123" xfId="9507"/>
    <cellStyle name="경고문 2 124" xfId="9508"/>
    <cellStyle name="경고문 2 125" xfId="9509"/>
    <cellStyle name="경고문 2 126" xfId="9510"/>
    <cellStyle name="경고문 2 127" xfId="9511"/>
    <cellStyle name="경고문 2 128" xfId="9512"/>
    <cellStyle name="경고문 2 129" xfId="9513"/>
    <cellStyle name="경고문 2 13" xfId="9514"/>
    <cellStyle name="경고문 2 130" xfId="9515"/>
    <cellStyle name="경고문 2 131" xfId="9516"/>
    <cellStyle name="경고문 2 132" xfId="9517"/>
    <cellStyle name="경고문 2 133" xfId="9518"/>
    <cellStyle name="경고문 2 134" xfId="9519"/>
    <cellStyle name="경고문 2 135" xfId="9520"/>
    <cellStyle name="경고문 2 136" xfId="9521"/>
    <cellStyle name="경고문 2 137" xfId="9522"/>
    <cellStyle name="경고문 2 138" xfId="9523"/>
    <cellStyle name="경고문 2 139" xfId="9524"/>
    <cellStyle name="경고문 2 14" xfId="9525"/>
    <cellStyle name="경고문 2 140" xfId="9526"/>
    <cellStyle name="경고문 2 141" xfId="9527"/>
    <cellStyle name="경고문 2 142" xfId="9528"/>
    <cellStyle name="경고문 2 143" xfId="9529"/>
    <cellStyle name="경고문 2 144" xfId="9530"/>
    <cellStyle name="경고문 2 145" xfId="9531"/>
    <cellStyle name="경고문 2 146" xfId="9532"/>
    <cellStyle name="경고문 2 147" xfId="9533"/>
    <cellStyle name="경고문 2 148" xfId="9534"/>
    <cellStyle name="경고문 2 149" xfId="9535"/>
    <cellStyle name="경고문 2 15" xfId="9536"/>
    <cellStyle name="경고문 2 150" xfId="9537"/>
    <cellStyle name="경고문 2 151" xfId="9538"/>
    <cellStyle name="경고문 2 152" xfId="9539"/>
    <cellStyle name="경고문 2 153" xfId="9540"/>
    <cellStyle name="경고문 2 154" xfId="9541"/>
    <cellStyle name="경고문 2 155" xfId="9542"/>
    <cellStyle name="경고문 2 156" xfId="9543"/>
    <cellStyle name="경고문 2 157" xfId="9544"/>
    <cellStyle name="경고문 2 158" xfId="9545"/>
    <cellStyle name="경고문 2 159" xfId="9546"/>
    <cellStyle name="경고문 2 16" xfId="9547"/>
    <cellStyle name="경고문 2 160" xfId="9548"/>
    <cellStyle name="경고문 2 161" xfId="9549"/>
    <cellStyle name="경고문 2 162" xfId="9550"/>
    <cellStyle name="경고문 2 163" xfId="9551"/>
    <cellStyle name="경고문 2 164" xfId="9552"/>
    <cellStyle name="경고문 2 165" xfId="9553"/>
    <cellStyle name="경고문 2 166" xfId="9554"/>
    <cellStyle name="경고문 2 167" xfId="9555"/>
    <cellStyle name="경고문 2 168" xfId="9556"/>
    <cellStyle name="경고문 2 169" xfId="9557"/>
    <cellStyle name="경고문 2 17" xfId="9558"/>
    <cellStyle name="경고문 2 170" xfId="9559"/>
    <cellStyle name="경고문 2 171" xfId="9560"/>
    <cellStyle name="경고문 2 172" xfId="9561"/>
    <cellStyle name="경고문 2 173" xfId="9562"/>
    <cellStyle name="경고문 2 174" xfId="9563"/>
    <cellStyle name="경고문 2 175" xfId="9564"/>
    <cellStyle name="경고문 2 176" xfId="9565"/>
    <cellStyle name="경고문 2 177" xfId="9566"/>
    <cellStyle name="경고문 2 178" xfId="9567"/>
    <cellStyle name="경고문 2 179" xfId="9568"/>
    <cellStyle name="경고문 2 18" xfId="9569"/>
    <cellStyle name="경고문 2 180" xfId="9570"/>
    <cellStyle name="경고문 2 181" xfId="9571"/>
    <cellStyle name="경고문 2 182" xfId="9572"/>
    <cellStyle name="경고문 2 183" xfId="9573"/>
    <cellStyle name="경고문 2 184" xfId="9574"/>
    <cellStyle name="경고문 2 185" xfId="9575"/>
    <cellStyle name="경고문 2 186" xfId="9576"/>
    <cellStyle name="경고문 2 187" xfId="9577"/>
    <cellStyle name="경고문 2 188" xfId="9578"/>
    <cellStyle name="경고문 2 189" xfId="9579"/>
    <cellStyle name="경고문 2 19" xfId="9580"/>
    <cellStyle name="경고문 2 190" xfId="9581"/>
    <cellStyle name="경고문 2 191" xfId="9582"/>
    <cellStyle name="경고문 2 192" xfId="9583"/>
    <cellStyle name="경고문 2 193" xfId="9584"/>
    <cellStyle name="경고문 2 194" xfId="9585"/>
    <cellStyle name="경고문 2 195" xfId="9586"/>
    <cellStyle name="경고문 2 196" xfId="9587"/>
    <cellStyle name="경고문 2 197" xfId="9588"/>
    <cellStyle name="경고문 2 198" xfId="9589"/>
    <cellStyle name="경고문 2 199" xfId="9590"/>
    <cellStyle name="경고문 2 2" xfId="9591"/>
    <cellStyle name="경고문 2 20" xfId="9592"/>
    <cellStyle name="경고문 2 200" xfId="9593"/>
    <cellStyle name="경고문 2 201" xfId="9594"/>
    <cellStyle name="경고문 2 202" xfId="9595"/>
    <cellStyle name="경고문 2 203" xfId="9596"/>
    <cellStyle name="경고문 2 204" xfId="9597"/>
    <cellStyle name="경고문 2 205" xfId="9598"/>
    <cellStyle name="경고문 2 206" xfId="9599"/>
    <cellStyle name="경고문 2 207" xfId="9600"/>
    <cellStyle name="경고문 2 208" xfId="9601"/>
    <cellStyle name="경고문 2 209" xfId="9602"/>
    <cellStyle name="경고문 2 21" xfId="9603"/>
    <cellStyle name="경고문 2 210" xfId="9604"/>
    <cellStyle name="경고문 2 211" xfId="9605"/>
    <cellStyle name="경고문 2 212" xfId="9606"/>
    <cellStyle name="경고문 2 213" xfId="9607"/>
    <cellStyle name="경고문 2 214" xfId="9608"/>
    <cellStyle name="경고문 2 215" xfId="9609"/>
    <cellStyle name="경고문 2 216" xfId="9610"/>
    <cellStyle name="경고문 2 217" xfId="9611"/>
    <cellStyle name="경고문 2 218" xfId="9612"/>
    <cellStyle name="경고문 2 219" xfId="9613"/>
    <cellStyle name="경고문 2 22" xfId="9614"/>
    <cellStyle name="경고문 2 220" xfId="9615"/>
    <cellStyle name="경고문 2 221" xfId="9616"/>
    <cellStyle name="경고문 2 222" xfId="9617"/>
    <cellStyle name="경고문 2 223" xfId="9618"/>
    <cellStyle name="경고문 2 224" xfId="9619"/>
    <cellStyle name="경고문 2 225" xfId="9620"/>
    <cellStyle name="경고문 2 226" xfId="9621"/>
    <cellStyle name="경고문 2 227" xfId="9622"/>
    <cellStyle name="경고문 2 228" xfId="9623"/>
    <cellStyle name="경고문 2 229" xfId="9624"/>
    <cellStyle name="경고문 2 23" xfId="9625"/>
    <cellStyle name="경고문 2 230" xfId="9626"/>
    <cellStyle name="경고문 2 231" xfId="9627"/>
    <cellStyle name="경고문 2 232" xfId="9628"/>
    <cellStyle name="경고문 2 233" xfId="9629"/>
    <cellStyle name="경고문 2 234" xfId="9630"/>
    <cellStyle name="경고문 2 235" xfId="9631"/>
    <cellStyle name="경고문 2 236" xfId="9632"/>
    <cellStyle name="경고문 2 237" xfId="9633"/>
    <cellStyle name="경고문 2 238" xfId="9634"/>
    <cellStyle name="경고문 2 239" xfId="9635"/>
    <cellStyle name="경고문 2 24" xfId="9636"/>
    <cellStyle name="경고문 2 240" xfId="9637"/>
    <cellStyle name="경고문 2 241" xfId="9638"/>
    <cellStyle name="경고문 2 25" xfId="9639"/>
    <cellStyle name="경고문 2 26" xfId="9640"/>
    <cellStyle name="경고문 2 27" xfId="9641"/>
    <cellStyle name="경고문 2 28" xfId="9642"/>
    <cellStyle name="경고문 2 29" xfId="9643"/>
    <cellStyle name="경고문 2 3" xfId="9644"/>
    <cellStyle name="경고문 2 30" xfId="9645"/>
    <cellStyle name="경고문 2 31" xfId="9646"/>
    <cellStyle name="경고문 2 32" xfId="9647"/>
    <cellStyle name="경고문 2 33" xfId="9648"/>
    <cellStyle name="경고문 2 34" xfId="9649"/>
    <cellStyle name="경고문 2 35" xfId="9650"/>
    <cellStyle name="경고문 2 36" xfId="9651"/>
    <cellStyle name="경고문 2 37" xfId="9652"/>
    <cellStyle name="경고문 2 38" xfId="9653"/>
    <cellStyle name="경고문 2 39" xfId="9654"/>
    <cellStyle name="경고문 2 4" xfId="9655"/>
    <cellStyle name="경고문 2 40" xfId="9656"/>
    <cellStyle name="경고문 2 41" xfId="9657"/>
    <cellStyle name="경고문 2 42" xfId="9658"/>
    <cellStyle name="경고문 2 43" xfId="9659"/>
    <cellStyle name="경고문 2 44" xfId="9660"/>
    <cellStyle name="경고문 2 45" xfId="9661"/>
    <cellStyle name="경고문 2 46" xfId="9662"/>
    <cellStyle name="경고문 2 47" xfId="9663"/>
    <cellStyle name="경고문 2 48" xfId="9664"/>
    <cellStyle name="경고문 2 49" xfId="9665"/>
    <cellStyle name="경고문 2 5" xfId="9666"/>
    <cellStyle name="경고문 2 50" xfId="9667"/>
    <cellStyle name="경고문 2 51" xfId="9668"/>
    <cellStyle name="경고문 2 52" xfId="9669"/>
    <cellStyle name="경고문 2 53" xfId="9670"/>
    <cellStyle name="경고문 2 54" xfId="9671"/>
    <cellStyle name="경고문 2 55" xfId="9672"/>
    <cellStyle name="경고문 2 56" xfId="9673"/>
    <cellStyle name="경고문 2 57" xfId="9674"/>
    <cellStyle name="경고문 2 58" xfId="9675"/>
    <cellStyle name="경고문 2 59" xfId="9676"/>
    <cellStyle name="경고문 2 6" xfId="9677"/>
    <cellStyle name="경고문 2 60" xfId="9678"/>
    <cellStyle name="경고문 2 61" xfId="9679"/>
    <cellStyle name="경고문 2 62" xfId="9680"/>
    <cellStyle name="경고문 2 63" xfId="9681"/>
    <cellStyle name="경고문 2 64" xfId="9682"/>
    <cellStyle name="경고문 2 65" xfId="9683"/>
    <cellStyle name="경고문 2 66" xfId="9684"/>
    <cellStyle name="경고문 2 67" xfId="9685"/>
    <cellStyle name="경고문 2 68" xfId="9686"/>
    <cellStyle name="경고문 2 69" xfId="9687"/>
    <cellStyle name="경고문 2 7" xfId="9688"/>
    <cellStyle name="경고문 2 70" xfId="9689"/>
    <cellStyle name="경고문 2 71" xfId="9690"/>
    <cellStyle name="경고문 2 72" xfId="9691"/>
    <cellStyle name="경고문 2 73" xfId="9692"/>
    <cellStyle name="경고문 2 74" xfId="9693"/>
    <cellStyle name="경고문 2 75" xfId="9694"/>
    <cellStyle name="경고문 2 76" xfId="9695"/>
    <cellStyle name="경고문 2 77" xfId="9696"/>
    <cellStyle name="경고문 2 78" xfId="9697"/>
    <cellStyle name="경고문 2 79" xfId="9698"/>
    <cellStyle name="경고문 2 8" xfId="9699"/>
    <cellStyle name="경고문 2 80" xfId="9700"/>
    <cellStyle name="경고문 2 81" xfId="9701"/>
    <cellStyle name="경고문 2 82" xfId="9702"/>
    <cellStyle name="경고문 2 83" xfId="9703"/>
    <cellStyle name="경고문 2 84" xfId="9704"/>
    <cellStyle name="경고문 2 85" xfId="9705"/>
    <cellStyle name="경고문 2 86" xfId="9706"/>
    <cellStyle name="경고문 2 87" xfId="9707"/>
    <cellStyle name="경고문 2 88" xfId="9708"/>
    <cellStyle name="경고문 2 89" xfId="9709"/>
    <cellStyle name="경고문 2 9" xfId="9710"/>
    <cellStyle name="경고문 2 90" xfId="9711"/>
    <cellStyle name="경고문 2 91" xfId="9712"/>
    <cellStyle name="경고문 2 92" xfId="9713"/>
    <cellStyle name="경고문 2 93" xfId="9714"/>
    <cellStyle name="경고문 2 94" xfId="9715"/>
    <cellStyle name="경고문 2 95" xfId="9716"/>
    <cellStyle name="경고문 2 96" xfId="9717"/>
    <cellStyle name="경고문 2 97" xfId="9718"/>
    <cellStyle name="경고문 2 98" xfId="9719"/>
    <cellStyle name="경고문 2 99" xfId="9720"/>
    <cellStyle name="警告文本" xfId="9721"/>
    <cellStyle name="计算" xfId="9722"/>
    <cellStyle name="계산 2" xfId="9723"/>
    <cellStyle name="계산 2 10" xfId="9724"/>
    <cellStyle name="계산 2 100" xfId="9725"/>
    <cellStyle name="계산 2 101" xfId="9726"/>
    <cellStyle name="계산 2 102" xfId="9727"/>
    <cellStyle name="계산 2 103" xfId="9728"/>
    <cellStyle name="계산 2 104" xfId="9729"/>
    <cellStyle name="계산 2 105" xfId="9730"/>
    <cellStyle name="계산 2 106" xfId="9731"/>
    <cellStyle name="계산 2 107" xfId="9732"/>
    <cellStyle name="계산 2 108" xfId="9733"/>
    <cellStyle name="계산 2 109" xfId="9734"/>
    <cellStyle name="계산 2 11" xfId="9735"/>
    <cellStyle name="계산 2 110" xfId="9736"/>
    <cellStyle name="계산 2 111" xfId="9737"/>
    <cellStyle name="계산 2 112" xfId="9738"/>
    <cellStyle name="계산 2 113" xfId="9739"/>
    <cellStyle name="계산 2 114" xfId="9740"/>
    <cellStyle name="계산 2 115" xfId="9741"/>
    <cellStyle name="계산 2 116" xfId="9742"/>
    <cellStyle name="계산 2 117" xfId="9743"/>
    <cellStyle name="계산 2 118" xfId="9744"/>
    <cellStyle name="계산 2 119" xfId="9745"/>
    <cellStyle name="계산 2 12" xfId="9746"/>
    <cellStyle name="계산 2 120" xfId="9747"/>
    <cellStyle name="계산 2 121" xfId="9748"/>
    <cellStyle name="계산 2 122" xfId="9749"/>
    <cellStyle name="계산 2 123" xfId="9750"/>
    <cellStyle name="계산 2 124" xfId="9751"/>
    <cellStyle name="계산 2 125" xfId="9752"/>
    <cellStyle name="계산 2 126" xfId="9753"/>
    <cellStyle name="계산 2 127" xfId="9754"/>
    <cellStyle name="계산 2 128" xfId="9755"/>
    <cellStyle name="계산 2 129" xfId="9756"/>
    <cellStyle name="계산 2 13" xfId="9757"/>
    <cellStyle name="계산 2 130" xfId="9758"/>
    <cellStyle name="계산 2 131" xfId="9759"/>
    <cellStyle name="계산 2 132" xfId="9760"/>
    <cellStyle name="계산 2 133" xfId="9761"/>
    <cellStyle name="계산 2 134" xfId="9762"/>
    <cellStyle name="계산 2 135" xfId="9763"/>
    <cellStyle name="계산 2 136" xfId="9764"/>
    <cellStyle name="계산 2 137" xfId="9765"/>
    <cellStyle name="계산 2 138" xfId="9766"/>
    <cellStyle name="계산 2 139" xfId="9767"/>
    <cellStyle name="계산 2 14" xfId="9768"/>
    <cellStyle name="계산 2 140" xfId="9769"/>
    <cellStyle name="계산 2 141" xfId="9770"/>
    <cellStyle name="계산 2 142" xfId="9771"/>
    <cellStyle name="계산 2 143" xfId="9772"/>
    <cellStyle name="계산 2 144" xfId="9773"/>
    <cellStyle name="계산 2 145" xfId="9774"/>
    <cellStyle name="계산 2 146" xfId="9775"/>
    <cellStyle name="계산 2 147" xfId="9776"/>
    <cellStyle name="계산 2 148" xfId="9777"/>
    <cellStyle name="계산 2 149" xfId="9778"/>
    <cellStyle name="계산 2 15" xfId="9779"/>
    <cellStyle name="계산 2 150" xfId="9780"/>
    <cellStyle name="계산 2 151" xfId="9781"/>
    <cellStyle name="계산 2 152" xfId="9782"/>
    <cellStyle name="계산 2 153" xfId="9783"/>
    <cellStyle name="계산 2 154" xfId="9784"/>
    <cellStyle name="계산 2 155" xfId="9785"/>
    <cellStyle name="계산 2 156" xfId="9786"/>
    <cellStyle name="계산 2 157" xfId="9787"/>
    <cellStyle name="계산 2 158" xfId="9788"/>
    <cellStyle name="계산 2 159" xfId="9789"/>
    <cellStyle name="계산 2 16" xfId="9790"/>
    <cellStyle name="계산 2 160" xfId="9791"/>
    <cellStyle name="계산 2 161" xfId="9792"/>
    <cellStyle name="계산 2 162" xfId="9793"/>
    <cellStyle name="계산 2 163" xfId="9794"/>
    <cellStyle name="계산 2 164" xfId="9795"/>
    <cellStyle name="계산 2 165" xfId="9796"/>
    <cellStyle name="계산 2 166" xfId="9797"/>
    <cellStyle name="계산 2 167" xfId="9798"/>
    <cellStyle name="계산 2 168" xfId="9799"/>
    <cellStyle name="계산 2 169" xfId="9800"/>
    <cellStyle name="계산 2 17" xfId="9801"/>
    <cellStyle name="계산 2 170" xfId="9802"/>
    <cellStyle name="계산 2 171" xfId="9803"/>
    <cellStyle name="계산 2 172" xfId="9804"/>
    <cellStyle name="계산 2 173" xfId="9805"/>
    <cellStyle name="계산 2 174" xfId="9806"/>
    <cellStyle name="계산 2 175" xfId="9807"/>
    <cellStyle name="계산 2 176" xfId="9808"/>
    <cellStyle name="계산 2 177" xfId="9809"/>
    <cellStyle name="계산 2 178" xfId="9810"/>
    <cellStyle name="계산 2 179" xfId="9811"/>
    <cellStyle name="계산 2 18" xfId="9812"/>
    <cellStyle name="계산 2 180" xfId="9813"/>
    <cellStyle name="계산 2 181" xfId="9814"/>
    <cellStyle name="계산 2 182" xfId="9815"/>
    <cellStyle name="계산 2 183" xfId="9816"/>
    <cellStyle name="계산 2 184" xfId="9817"/>
    <cellStyle name="계산 2 185" xfId="9818"/>
    <cellStyle name="계산 2 186" xfId="9819"/>
    <cellStyle name="계산 2 187" xfId="9820"/>
    <cellStyle name="계산 2 188" xfId="9821"/>
    <cellStyle name="계산 2 189" xfId="9822"/>
    <cellStyle name="계산 2 19" xfId="9823"/>
    <cellStyle name="계산 2 190" xfId="9824"/>
    <cellStyle name="계산 2 191" xfId="9825"/>
    <cellStyle name="계산 2 192" xfId="9826"/>
    <cellStyle name="계산 2 193" xfId="9827"/>
    <cellStyle name="계산 2 194" xfId="9828"/>
    <cellStyle name="계산 2 195" xfId="9829"/>
    <cellStyle name="계산 2 196" xfId="9830"/>
    <cellStyle name="계산 2 197" xfId="9831"/>
    <cellStyle name="계산 2 198" xfId="9832"/>
    <cellStyle name="계산 2 199" xfId="9833"/>
    <cellStyle name="계산 2 2" xfId="9834"/>
    <cellStyle name="계산 2 20" xfId="9835"/>
    <cellStyle name="계산 2 200" xfId="9836"/>
    <cellStyle name="계산 2 201" xfId="9837"/>
    <cellStyle name="계산 2 202" xfId="9838"/>
    <cellStyle name="계산 2 203" xfId="9839"/>
    <cellStyle name="계산 2 204" xfId="9840"/>
    <cellStyle name="계산 2 205" xfId="9841"/>
    <cellStyle name="계산 2 206" xfId="9842"/>
    <cellStyle name="계산 2 207" xfId="9843"/>
    <cellStyle name="계산 2 208" xfId="9844"/>
    <cellStyle name="계산 2 209" xfId="9845"/>
    <cellStyle name="계산 2 21" xfId="9846"/>
    <cellStyle name="계산 2 210" xfId="9847"/>
    <cellStyle name="계산 2 211" xfId="9848"/>
    <cellStyle name="계산 2 212" xfId="9849"/>
    <cellStyle name="계산 2 213" xfId="9850"/>
    <cellStyle name="계산 2 214" xfId="9851"/>
    <cellStyle name="계산 2 215" xfId="9852"/>
    <cellStyle name="계산 2 216" xfId="9853"/>
    <cellStyle name="계산 2 217" xfId="9854"/>
    <cellStyle name="계산 2 218" xfId="9855"/>
    <cellStyle name="계산 2 219" xfId="9856"/>
    <cellStyle name="계산 2 22" xfId="9857"/>
    <cellStyle name="계산 2 220" xfId="9858"/>
    <cellStyle name="계산 2 221" xfId="9859"/>
    <cellStyle name="계산 2 222" xfId="9860"/>
    <cellStyle name="계산 2 223" xfId="9861"/>
    <cellStyle name="계산 2 224" xfId="9862"/>
    <cellStyle name="계산 2 225" xfId="9863"/>
    <cellStyle name="계산 2 226" xfId="9864"/>
    <cellStyle name="계산 2 227" xfId="9865"/>
    <cellStyle name="계산 2 228" xfId="9866"/>
    <cellStyle name="계산 2 229" xfId="9867"/>
    <cellStyle name="계산 2 23" xfId="9868"/>
    <cellStyle name="계산 2 230" xfId="9869"/>
    <cellStyle name="계산 2 231" xfId="9870"/>
    <cellStyle name="계산 2 232" xfId="9871"/>
    <cellStyle name="계산 2 233" xfId="9872"/>
    <cellStyle name="계산 2 234" xfId="9873"/>
    <cellStyle name="계산 2 235" xfId="9874"/>
    <cellStyle name="계산 2 236" xfId="9875"/>
    <cellStyle name="계산 2 237" xfId="9876"/>
    <cellStyle name="계산 2 238" xfId="9877"/>
    <cellStyle name="계산 2 239" xfId="9878"/>
    <cellStyle name="계산 2 24" xfId="9879"/>
    <cellStyle name="계산 2 240" xfId="9880"/>
    <cellStyle name="계산 2 241" xfId="9881"/>
    <cellStyle name="계산 2 25" xfId="9882"/>
    <cellStyle name="계산 2 26" xfId="9883"/>
    <cellStyle name="계산 2 27" xfId="9884"/>
    <cellStyle name="계산 2 28" xfId="9885"/>
    <cellStyle name="계산 2 29" xfId="9886"/>
    <cellStyle name="계산 2 3" xfId="9887"/>
    <cellStyle name="계산 2 30" xfId="9888"/>
    <cellStyle name="계산 2 31" xfId="9889"/>
    <cellStyle name="계산 2 32" xfId="9890"/>
    <cellStyle name="계산 2 33" xfId="9891"/>
    <cellStyle name="계산 2 34" xfId="9892"/>
    <cellStyle name="계산 2 35" xfId="9893"/>
    <cellStyle name="계산 2 36" xfId="9894"/>
    <cellStyle name="계산 2 37" xfId="9895"/>
    <cellStyle name="계산 2 38" xfId="9896"/>
    <cellStyle name="계산 2 39" xfId="9897"/>
    <cellStyle name="계산 2 4" xfId="9898"/>
    <cellStyle name="계산 2 40" xfId="9899"/>
    <cellStyle name="계산 2 41" xfId="9900"/>
    <cellStyle name="계산 2 42" xfId="9901"/>
    <cellStyle name="계산 2 43" xfId="9902"/>
    <cellStyle name="계산 2 44" xfId="9903"/>
    <cellStyle name="계산 2 45" xfId="9904"/>
    <cellStyle name="계산 2 46" xfId="9905"/>
    <cellStyle name="계산 2 47" xfId="9906"/>
    <cellStyle name="계산 2 48" xfId="9907"/>
    <cellStyle name="계산 2 49" xfId="9908"/>
    <cellStyle name="계산 2 5" xfId="9909"/>
    <cellStyle name="계산 2 50" xfId="9910"/>
    <cellStyle name="계산 2 51" xfId="9911"/>
    <cellStyle name="계산 2 52" xfId="9912"/>
    <cellStyle name="계산 2 53" xfId="9913"/>
    <cellStyle name="계산 2 54" xfId="9914"/>
    <cellStyle name="계산 2 55" xfId="9915"/>
    <cellStyle name="계산 2 56" xfId="9916"/>
    <cellStyle name="계산 2 57" xfId="9917"/>
    <cellStyle name="계산 2 58" xfId="9918"/>
    <cellStyle name="계산 2 59" xfId="9919"/>
    <cellStyle name="계산 2 6" xfId="9920"/>
    <cellStyle name="계산 2 60" xfId="9921"/>
    <cellStyle name="계산 2 61" xfId="9922"/>
    <cellStyle name="계산 2 62" xfId="9923"/>
    <cellStyle name="계산 2 63" xfId="9924"/>
    <cellStyle name="계산 2 64" xfId="9925"/>
    <cellStyle name="계산 2 65" xfId="9926"/>
    <cellStyle name="계산 2 66" xfId="9927"/>
    <cellStyle name="계산 2 67" xfId="9928"/>
    <cellStyle name="계산 2 68" xfId="9929"/>
    <cellStyle name="계산 2 69" xfId="9930"/>
    <cellStyle name="계산 2 7" xfId="9931"/>
    <cellStyle name="계산 2 70" xfId="9932"/>
    <cellStyle name="계산 2 71" xfId="9933"/>
    <cellStyle name="계산 2 72" xfId="9934"/>
    <cellStyle name="계산 2 73" xfId="9935"/>
    <cellStyle name="계산 2 74" xfId="9936"/>
    <cellStyle name="계산 2 75" xfId="9937"/>
    <cellStyle name="계산 2 76" xfId="9938"/>
    <cellStyle name="계산 2 77" xfId="9939"/>
    <cellStyle name="계산 2 78" xfId="9940"/>
    <cellStyle name="계산 2 79" xfId="9941"/>
    <cellStyle name="계산 2 8" xfId="9942"/>
    <cellStyle name="계산 2 80" xfId="9943"/>
    <cellStyle name="계산 2 81" xfId="9944"/>
    <cellStyle name="계산 2 82" xfId="9945"/>
    <cellStyle name="계산 2 83" xfId="9946"/>
    <cellStyle name="계산 2 84" xfId="9947"/>
    <cellStyle name="계산 2 85" xfId="9948"/>
    <cellStyle name="계산 2 86" xfId="9949"/>
    <cellStyle name="계산 2 87" xfId="9950"/>
    <cellStyle name="계산 2 88" xfId="9951"/>
    <cellStyle name="계산 2 89" xfId="9952"/>
    <cellStyle name="계산 2 9" xfId="9953"/>
    <cellStyle name="계산 2 90" xfId="9954"/>
    <cellStyle name="계산 2 91" xfId="9955"/>
    <cellStyle name="계산 2 92" xfId="9956"/>
    <cellStyle name="계산 2 93" xfId="9957"/>
    <cellStyle name="계산 2 94" xfId="9958"/>
    <cellStyle name="계산 2 95" xfId="9959"/>
    <cellStyle name="계산 2 96" xfId="9960"/>
    <cellStyle name="계산 2 97" xfId="9961"/>
    <cellStyle name="계산 2 98" xfId="9962"/>
    <cellStyle name="계산 2 99" xfId="9963"/>
    <cellStyle name="고정소숫점" xfId="9964"/>
    <cellStyle name="고정출력1" xfId="9965"/>
    <cellStyle name="고정출력2" xfId="9966"/>
    <cellStyle name="适中" xfId="9967"/>
    <cellStyle name="금액" xfId="9968"/>
    <cellStyle name="나쁨 2" xfId="9969"/>
    <cellStyle name="나쁨 2 10" xfId="9970"/>
    <cellStyle name="나쁨 2 100" xfId="9971"/>
    <cellStyle name="나쁨 2 101" xfId="9972"/>
    <cellStyle name="나쁨 2 102" xfId="9973"/>
    <cellStyle name="나쁨 2 103" xfId="9974"/>
    <cellStyle name="나쁨 2 104" xfId="9975"/>
    <cellStyle name="나쁨 2 105" xfId="9976"/>
    <cellStyle name="나쁨 2 106" xfId="9977"/>
    <cellStyle name="나쁨 2 107" xfId="9978"/>
    <cellStyle name="나쁨 2 108" xfId="9979"/>
    <cellStyle name="나쁨 2 109" xfId="9980"/>
    <cellStyle name="나쁨 2 11" xfId="9981"/>
    <cellStyle name="나쁨 2 110" xfId="9982"/>
    <cellStyle name="나쁨 2 111" xfId="9983"/>
    <cellStyle name="나쁨 2 112" xfId="9984"/>
    <cellStyle name="나쁨 2 113" xfId="9985"/>
    <cellStyle name="나쁨 2 114" xfId="9986"/>
    <cellStyle name="나쁨 2 115" xfId="9987"/>
    <cellStyle name="나쁨 2 116" xfId="9988"/>
    <cellStyle name="나쁨 2 117" xfId="9989"/>
    <cellStyle name="나쁨 2 118" xfId="9990"/>
    <cellStyle name="나쁨 2 119" xfId="9991"/>
    <cellStyle name="나쁨 2 12" xfId="9992"/>
    <cellStyle name="나쁨 2 120" xfId="9993"/>
    <cellStyle name="나쁨 2 121" xfId="9994"/>
    <cellStyle name="나쁨 2 122" xfId="9995"/>
    <cellStyle name="나쁨 2 123" xfId="9996"/>
    <cellStyle name="나쁨 2 124" xfId="9997"/>
    <cellStyle name="나쁨 2 125" xfId="9998"/>
    <cellStyle name="나쁨 2 126" xfId="9999"/>
    <cellStyle name="나쁨 2 127" xfId="10000"/>
    <cellStyle name="나쁨 2 128" xfId="10001"/>
    <cellStyle name="나쁨 2 129" xfId="10002"/>
    <cellStyle name="나쁨 2 13" xfId="10003"/>
    <cellStyle name="나쁨 2 130" xfId="10004"/>
    <cellStyle name="나쁨 2 131" xfId="10005"/>
    <cellStyle name="나쁨 2 132" xfId="10006"/>
    <cellStyle name="나쁨 2 133" xfId="10007"/>
    <cellStyle name="나쁨 2 134" xfId="10008"/>
    <cellStyle name="나쁨 2 135" xfId="10009"/>
    <cellStyle name="나쁨 2 136" xfId="10010"/>
    <cellStyle name="나쁨 2 137" xfId="10011"/>
    <cellStyle name="나쁨 2 138" xfId="10012"/>
    <cellStyle name="나쁨 2 139" xfId="10013"/>
    <cellStyle name="나쁨 2 14" xfId="10014"/>
    <cellStyle name="나쁨 2 140" xfId="10015"/>
    <cellStyle name="나쁨 2 141" xfId="10016"/>
    <cellStyle name="나쁨 2 142" xfId="10017"/>
    <cellStyle name="나쁨 2 143" xfId="10018"/>
    <cellStyle name="나쁨 2 144" xfId="10019"/>
    <cellStyle name="나쁨 2 145" xfId="10020"/>
    <cellStyle name="나쁨 2 146" xfId="10021"/>
    <cellStyle name="나쁨 2 147" xfId="10022"/>
    <cellStyle name="나쁨 2 148" xfId="10023"/>
    <cellStyle name="나쁨 2 149" xfId="10024"/>
    <cellStyle name="나쁨 2 15" xfId="10025"/>
    <cellStyle name="나쁨 2 150" xfId="10026"/>
    <cellStyle name="나쁨 2 151" xfId="10027"/>
    <cellStyle name="나쁨 2 152" xfId="10028"/>
    <cellStyle name="나쁨 2 153" xfId="10029"/>
    <cellStyle name="나쁨 2 154" xfId="10030"/>
    <cellStyle name="나쁨 2 155" xfId="10031"/>
    <cellStyle name="나쁨 2 156" xfId="10032"/>
    <cellStyle name="나쁨 2 157" xfId="10033"/>
    <cellStyle name="나쁨 2 158" xfId="10034"/>
    <cellStyle name="나쁨 2 159" xfId="10035"/>
    <cellStyle name="나쁨 2 16" xfId="10036"/>
    <cellStyle name="나쁨 2 160" xfId="10037"/>
    <cellStyle name="나쁨 2 161" xfId="10038"/>
    <cellStyle name="나쁨 2 162" xfId="10039"/>
    <cellStyle name="나쁨 2 163" xfId="10040"/>
    <cellStyle name="나쁨 2 164" xfId="10041"/>
    <cellStyle name="나쁨 2 165" xfId="10042"/>
    <cellStyle name="나쁨 2 166" xfId="10043"/>
    <cellStyle name="나쁨 2 167" xfId="10044"/>
    <cellStyle name="나쁨 2 168" xfId="10045"/>
    <cellStyle name="나쁨 2 169" xfId="10046"/>
    <cellStyle name="나쁨 2 17" xfId="10047"/>
    <cellStyle name="나쁨 2 170" xfId="10048"/>
    <cellStyle name="나쁨 2 171" xfId="10049"/>
    <cellStyle name="나쁨 2 172" xfId="10050"/>
    <cellStyle name="나쁨 2 173" xfId="10051"/>
    <cellStyle name="나쁨 2 174" xfId="10052"/>
    <cellStyle name="나쁨 2 175" xfId="10053"/>
    <cellStyle name="나쁨 2 176" xfId="10054"/>
    <cellStyle name="나쁨 2 177" xfId="10055"/>
    <cellStyle name="나쁨 2 178" xfId="10056"/>
    <cellStyle name="나쁨 2 179" xfId="10057"/>
    <cellStyle name="나쁨 2 18" xfId="10058"/>
    <cellStyle name="나쁨 2 180" xfId="10059"/>
    <cellStyle name="나쁨 2 181" xfId="10060"/>
    <cellStyle name="나쁨 2 182" xfId="10061"/>
    <cellStyle name="나쁨 2 183" xfId="10062"/>
    <cellStyle name="나쁨 2 184" xfId="10063"/>
    <cellStyle name="나쁨 2 185" xfId="10064"/>
    <cellStyle name="나쁨 2 186" xfId="10065"/>
    <cellStyle name="나쁨 2 187" xfId="10066"/>
    <cellStyle name="나쁨 2 188" xfId="10067"/>
    <cellStyle name="나쁨 2 189" xfId="10068"/>
    <cellStyle name="나쁨 2 19" xfId="10069"/>
    <cellStyle name="나쁨 2 190" xfId="10070"/>
    <cellStyle name="나쁨 2 191" xfId="10071"/>
    <cellStyle name="나쁨 2 192" xfId="10072"/>
    <cellStyle name="나쁨 2 193" xfId="10073"/>
    <cellStyle name="나쁨 2 194" xfId="10074"/>
    <cellStyle name="나쁨 2 195" xfId="10075"/>
    <cellStyle name="나쁨 2 196" xfId="10076"/>
    <cellStyle name="나쁨 2 197" xfId="10077"/>
    <cellStyle name="나쁨 2 198" xfId="10078"/>
    <cellStyle name="나쁨 2 199" xfId="10079"/>
    <cellStyle name="나쁨 2 2" xfId="10080"/>
    <cellStyle name="나쁨 2 20" xfId="10081"/>
    <cellStyle name="나쁨 2 200" xfId="10082"/>
    <cellStyle name="나쁨 2 201" xfId="10083"/>
    <cellStyle name="나쁨 2 202" xfId="10084"/>
    <cellStyle name="나쁨 2 203" xfId="10085"/>
    <cellStyle name="나쁨 2 204" xfId="10086"/>
    <cellStyle name="나쁨 2 205" xfId="10087"/>
    <cellStyle name="나쁨 2 206" xfId="10088"/>
    <cellStyle name="나쁨 2 207" xfId="10089"/>
    <cellStyle name="나쁨 2 208" xfId="10090"/>
    <cellStyle name="나쁨 2 209" xfId="10091"/>
    <cellStyle name="나쁨 2 21" xfId="10092"/>
    <cellStyle name="나쁨 2 210" xfId="10093"/>
    <cellStyle name="나쁨 2 211" xfId="10094"/>
    <cellStyle name="나쁨 2 212" xfId="10095"/>
    <cellStyle name="나쁨 2 213" xfId="10096"/>
    <cellStyle name="나쁨 2 214" xfId="10097"/>
    <cellStyle name="나쁨 2 215" xfId="10098"/>
    <cellStyle name="나쁨 2 216" xfId="10099"/>
    <cellStyle name="나쁨 2 217" xfId="10100"/>
    <cellStyle name="나쁨 2 218" xfId="10101"/>
    <cellStyle name="나쁨 2 219" xfId="10102"/>
    <cellStyle name="나쁨 2 22" xfId="10103"/>
    <cellStyle name="나쁨 2 220" xfId="10104"/>
    <cellStyle name="나쁨 2 221" xfId="10105"/>
    <cellStyle name="나쁨 2 222" xfId="10106"/>
    <cellStyle name="나쁨 2 223" xfId="10107"/>
    <cellStyle name="나쁨 2 224" xfId="10108"/>
    <cellStyle name="나쁨 2 225" xfId="10109"/>
    <cellStyle name="나쁨 2 226" xfId="10110"/>
    <cellStyle name="나쁨 2 227" xfId="10111"/>
    <cellStyle name="나쁨 2 228" xfId="10112"/>
    <cellStyle name="나쁨 2 229" xfId="10113"/>
    <cellStyle name="나쁨 2 23" xfId="10114"/>
    <cellStyle name="나쁨 2 230" xfId="10115"/>
    <cellStyle name="나쁨 2 231" xfId="10116"/>
    <cellStyle name="나쁨 2 232" xfId="10117"/>
    <cellStyle name="나쁨 2 233" xfId="10118"/>
    <cellStyle name="나쁨 2 234" xfId="10119"/>
    <cellStyle name="나쁨 2 235" xfId="10120"/>
    <cellStyle name="나쁨 2 236" xfId="10121"/>
    <cellStyle name="나쁨 2 237" xfId="10122"/>
    <cellStyle name="나쁨 2 238" xfId="10123"/>
    <cellStyle name="나쁨 2 239" xfId="10124"/>
    <cellStyle name="나쁨 2 24" xfId="10125"/>
    <cellStyle name="나쁨 2 240" xfId="10126"/>
    <cellStyle name="나쁨 2 241" xfId="10127"/>
    <cellStyle name="나쁨 2 25" xfId="10128"/>
    <cellStyle name="나쁨 2 26" xfId="10129"/>
    <cellStyle name="나쁨 2 27" xfId="10130"/>
    <cellStyle name="나쁨 2 28" xfId="10131"/>
    <cellStyle name="나쁨 2 29" xfId="10132"/>
    <cellStyle name="나쁨 2 3" xfId="10133"/>
    <cellStyle name="나쁨 2 30" xfId="10134"/>
    <cellStyle name="나쁨 2 31" xfId="10135"/>
    <cellStyle name="나쁨 2 32" xfId="10136"/>
    <cellStyle name="나쁨 2 33" xfId="10137"/>
    <cellStyle name="나쁨 2 34" xfId="10138"/>
    <cellStyle name="나쁨 2 35" xfId="10139"/>
    <cellStyle name="나쁨 2 36" xfId="10140"/>
    <cellStyle name="나쁨 2 37" xfId="10141"/>
    <cellStyle name="나쁨 2 38" xfId="10142"/>
    <cellStyle name="나쁨 2 39" xfId="10143"/>
    <cellStyle name="나쁨 2 4" xfId="10144"/>
    <cellStyle name="나쁨 2 40" xfId="10145"/>
    <cellStyle name="나쁨 2 41" xfId="10146"/>
    <cellStyle name="나쁨 2 42" xfId="10147"/>
    <cellStyle name="나쁨 2 43" xfId="10148"/>
    <cellStyle name="나쁨 2 44" xfId="10149"/>
    <cellStyle name="나쁨 2 45" xfId="10150"/>
    <cellStyle name="나쁨 2 46" xfId="10151"/>
    <cellStyle name="나쁨 2 47" xfId="10152"/>
    <cellStyle name="나쁨 2 48" xfId="10153"/>
    <cellStyle name="나쁨 2 49" xfId="10154"/>
    <cellStyle name="나쁨 2 5" xfId="10155"/>
    <cellStyle name="나쁨 2 50" xfId="10156"/>
    <cellStyle name="나쁨 2 51" xfId="10157"/>
    <cellStyle name="나쁨 2 52" xfId="10158"/>
    <cellStyle name="나쁨 2 53" xfId="10159"/>
    <cellStyle name="나쁨 2 54" xfId="10160"/>
    <cellStyle name="나쁨 2 55" xfId="10161"/>
    <cellStyle name="나쁨 2 56" xfId="10162"/>
    <cellStyle name="나쁨 2 57" xfId="10163"/>
    <cellStyle name="나쁨 2 58" xfId="10164"/>
    <cellStyle name="나쁨 2 59" xfId="10165"/>
    <cellStyle name="나쁨 2 6" xfId="10166"/>
    <cellStyle name="나쁨 2 60" xfId="10167"/>
    <cellStyle name="나쁨 2 61" xfId="10168"/>
    <cellStyle name="나쁨 2 62" xfId="10169"/>
    <cellStyle name="나쁨 2 63" xfId="10170"/>
    <cellStyle name="나쁨 2 64" xfId="10171"/>
    <cellStyle name="나쁨 2 65" xfId="10172"/>
    <cellStyle name="나쁨 2 66" xfId="10173"/>
    <cellStyle name="나쁨 2 67" xfId="10174"/>
    <cellStyle name="나쁨 2 68" xfId="10175"/>
    <cellStyle name="나쁨 2 69" xfId="10176"/>
    <cellStyle name="나쁨 2 7" xfId="10177"/>
    <cellStyle name="나쁨 2 70" xfId="10178"/>
    <cellStyle name="나쁨 2 71" xfId="10179"/>
    <cellStyle name="나쁨 2 72" xfId="10180"/>
    <cellStyle name="나쁨 2 73" xfId="10181"/>
    <cellStyle name="나쁨 2 74" xfId="10182"/>
    <cellStyle name="나쁨 2 75" xfId="10183"/>
    <cellStyle name="나쁨 2 76" xfId="10184"/>
    <cellStyle name="나쁨 2 77" xfId="10185"/>
    <cellStyle name="나쁨 2 78" xfId="10186"/>
    <cellStyle name="나쁨 2 79" xfId="10187"/>
    <cellStyle name="나쁨 2 8" xfId="10188"/>
    <cellStyle name="나쁨 2 80" xfId="10189"/>
    <cellStyle name="나쁨 2 81" xfId="10190"/>
    <cellStyle name="나쁨 2 82" xfId="10191"/>
    <cellStyle name="나쁨 2 83" xfId="10192"/>
    <cellStyle name="나쁨 2 84" xfId="10193"/>
    <cellStyle name="나쁨 2 85" xfId="10194"/>
    <cellStyle name="나쁨 2 86" xfId="10195"/>
    <cellStyle name="나쁨 2 87" xfId="10196"/>
    <cellStyle name="나쁨 2 88" xfId="10197"/>
    <cellStyle name="나쁨 2 89" xfId="10198"/>
    <cellStyle name="나쁨 2 9" xfId="10199"/>
    <cellStyle name="나쁨 2 90" xfId="10200"/>
    <cellStyle name="나쁨 2 91" xfId="10201"/>
    <cellStyle name="나쁨 2 92" xfId="10202"/>
    <cellStyle name="나쁨 2 93" xfId="10203"/>
    <cellStyle name="나쁨 2 94" xfId="10204"/>
    <cellStyle name="나쁨 2 95" xfId="10205"/>
    <cellStyle name="나쁨 2 96" xfId="10206"/>
    <cellStyle name="나쁨 2 97" xfId="10207"/>
    <cellStyle name="나쁨 2 98" xfId="10208"/>
    <cellStyle name="나쁨 2 99" xfId="10209"/>
    <cellStyle name="날짜" xfId="10210"/>
    <cellStyle name="달러" xfId="10211"/>
    <cellStyle name="뒤에 오는 하이퍼링크_01_09 WITHOUT" xfId="10212"/>
    <cellStyle name="똿뗦먛귟 [0.00]_PRODUCT DETAIL Q1" xfId="10213"/>
    <cellStyle name="똿뗦먛귟_laroux" xfId="10214"/>
    <cellStyle name="链接单元格" xfId="10215"/>
    <cellStyle name="메모 2" xfId="10216"/>
    <cellStyle name="메모 2 10" xfId="10217"/>
    <cellStyle name="메모 2 100" xfId="10218"/>
    <cellStyle name="메모 2 101" xfId="10219"/>
    <cellStyle name="메모 2 102" xfId="10220"/>
    <cellStyle name="메모 2 103" xfId="10221"/>
    <cellStyle name="메모 2 104" xfId="10222"/>
    <cellStyle name="메모 2 105" xfId="10223"/>
    <cellStyle name="메모 2 106" xfId="10224"/>
    <cellStyle name="메모 2 107" xfId="10225"/>
    <cellStyle name="메모 2 108" xfId="10226"/>
    <cellStyle name="메모 2 109" xfId="10227"/>
    <cellStyle name="메모 2 11" xfId="10228"/>
    <cellStyle name="메모 2 110" xfId="10229"/>
    <cellStyle name="메모 2 111" xfId="10230"/>
    <cellStyle name="메모 2 112" xfId="10231"/>
    <cellStyle name="메모 2 113" xfId="10232"/>
    <cellStyle name="메모 2 114" xfId="10233"/>
    <cellStyle name="메모 2 115" xfId="10234"/>
    <cellStyle name="메모 2 116" xfId="10235"/>
    <cellStyle name="메모 2 117" xfId="10236"/>
    <cellStyle name="메모 2 118" xfId="10237"/>
    <cellStyle name="메모 2 119" xfId="10238"/>
    <cellStyle name="메모 2 12" xfId="10239"/>
    <cellStyle name="메모 2 120" xfId="10240"/>
    <cellStyle name="메모 2 121" xfId="10241"/>
    <cellStyle name="메모 2 122" xfId="10242"/>
    <cellStyle name="메모 2 123" xfId="10243"/>
    <cellStyle name="메모 2 124" xfId="10244"/>
    <cellStyle name="메모 2 125" xfId="10245"/>
    <cellStyle name="메모 2 126" xfId="10246"/>
    <cellStyle name="메모 2 127" xfId="10247"/>
    <cellStyle name="메모 2 128" xfId="10248"/>
    <cellStyle name="메모 2 129" xfId="10249"/>
    <cellStyle name="메모 2 13" xfId="10250"/>
    <cellStyle name="메모 2 130" xfId="10251"/>
    <cellStyle name="메모 2 131" xfId="10252"/>
    <cellStyle name="메모 2 132" xfId="10253"/>
    <cellStyle name="메모 2 133" xfId="10254"/>
    <cellStyle name="메모 2 134" xfId="10255"/>
    <cellStyle name="메모 2 135" xfId="10256"/>
    <cellStyle name="메모 2 136" xfId="10257"/>
    <cellStyle name="메모 2 137" xfId="10258"/>
    <cellStyle name="메모 2 138" xfId="10259"/>
    <cellStyle name="메모 2 139" xfId="10260"/>
    <cellStyle name="메모 2 14" xfId="10261"/>
    <cellStyle name="메모 2 140" xfId="10262"/>
    <cellStyle name="메모 2 141" xfId="10263"/>
    <cellStyle name="메모 2 142" xfId="10264"/>
    <cellStyle name="메모 2 143" xfId="10265"/>
    <cellStyle name="메모 2 144" xfId="10266"/>
    <cellStyle name="메모 2 145" xfId="10267"/>
    <cellStyle name="메모 2 146" xfId="10268"/>
    <cellStyle name="메모 2 147" xfId="10269"/>
    <cellStyle name="메모 2 148" xfId="10270"/>
    <cellStyle name="메모 2 149" xfId="10271"/>
    <cellStyle name="메모 2 15" xfId="10272"/>
    <cellStyle name="메모 2 150" xfId="10273"/>
    <cellStyle name="메모 2 151" xfId="10274"/>
    <cellStyle name="메모 2 152" xfId="10275"/>
    <cellStyle name="메모 2 153" xfId="10276"/>
    <cellStyle name="메모 2 154" xfId="10277"/>
    <cellStyle name="메모 2 155" xfId="10278"/>
    <cellStyle name="메모 2 156" xfId="10279"/>
    <cellStyle name="메모 2 157" xfId="10280"/>
    <cellStyle name="메모 2 158" xfId="10281"/>
    <cellStyle name="메모 2 159" xfId="10282"/>
    <cellStyle name="메모 2 16" xfId="10283"/>
    <cellStyle name="메모 2 160" xfId="10284"/>
    <cellStyle name="메모 2 161" xfId="10285"/>
    <cellStyle name="메모 2 162" xfId="10286"/>
    <cellStyle name="메모 2 163" xfId="10287"/>
    <cellStyle name="메모 2 164" xfId="10288"/>
    <cellStyle name="메모 2 165" xfId="10289"/>
    <cellStyle name="메모 2 166" xfId="10290"/>
    <cellStyle name="메모 2 167" xfId="10291"/>
    <cellStyle name="메모 2 168" xfId="10292"/>
    <cellStyle name="메모 2 169" xfId="10293"/>
    <cellStyle name="메모 2 17" xfId="10294"/>
    <cellStyle name="메모 2 170" xfId="10295"/>
    <cellStyle name="메모 2 171" xfId="10296"/>
    <cellStyle name="메모 2 172" xfId="10297"/>
    <cellStyle name="메모 2 173" xfId="10298"/>
    <cellStyle name="메모 2 174" xfId="10299"/>
    <cellStyle name="메모 2 175" xfId="10300"/>
    <cellStyle name="메모 2 176" xfId="10301"/>
    <cellStyle name="메모 2 177" xfId="10302"/>
    <cellStyle name="메모 2 178" xfId="10303"/>
    <cellStyle name="메모 2 179" xfId="10304"/>
    <cellStyle name="메모 2 18" xfId="10305"/>
    <cellStyle name="메모 2 180" xfId="10306"/>
    <cellStyle name="메모 2 181" xfId="10307"/>
    <cellStyle name="메모 2 182" xfId="10308"/>
    <cellStyle name="메모 2 183" xfId="10309"/>
    <cellStyle name="메모 2 184" xfId="10310"/>
    <cellStyle name="메모 2 185" xfId="10311"/>
    <cellStyle name="메모 2 186" xfId="10312"/>
    <cellStyle name="메모 2 187" xfId="10313"/>
    <cellStyle name="메모 2 188" xfId="10314"/>
    <cellStyle name="메모 2 189" xfId="10315"/>
    <cellStyle name="메모 2 19" xfId="10316"/>
    <cellStyle name="메모 2 190" xfId="10317"/>
    <cellStyle name="메모 2 191" xfId="10318"/>
    <cellStyle name="메모 2 192" xfId="10319"/>
    <cellStyle name="메모 2 193" xfId="10320"/>
    <cellStyle name="메모 2 194" xfId="10321"/>
    <cellStyle name="메모 2 195" xfId="10322"/>
    <cellStyle name="메모 2 196" xfId="10323"/>
    <cellStyle name="메모 2 197" xfId="10324"/>
    <cellStyle name="메모 2 198" xfId="10325"/>
    <cellStyle name="메모 2 199" xfId="10326"/>
    <cellStyle name="메모 2 2" xfId="10327"/>
    <cellStyle name="메모 2 20" xfId="10328"/>
    <cellStyle name="메모 2 200" xfId="10329"/>
    <cellStyle name="메모 2 201" xfId="10330"/>
    <cellStyle name="메모 2 202" xfId="10331"/>
    <cellStyle name="메모 2 203" xfId="10332"/>
    <cellStyle name="메모 2 204" xfId="10333"/>
    <cellStyle name="메모 2 205" xfId="10334"/>
    <cellStyle name="메모 2 206" xfId="10335"/>
    <cellStyle name="메모 2 207" xfId="10336"/>
    <cellStyle name="메모 2 208" xfId="10337"/>
    <cellStyle name="메모 2 209" xfId="10338"/>
    <cellStyle name="메모 2 21" xfId="10339"/>
    <cellStyle name="메모 2 210" xfId="10340"/>
    <cellStyle name="메모 2 211" xfId="10341"/>
    <cellStyle name="메모 2 212" xfId="10342"/>
    <cellStyle name="메모 2 213" xfId="10343"/>
    <cellStyle name="메모 2 214" xfId="10344"/>
    <cellStyle name="메모 2 215" xfId="10345"/>
    <cellStyle name="메모 2 216" xfId="10346"/>
    <cellStyle name="메모 2 217" xfId="10347"/>
    <cellStyle name="메모 2 218" xfId="10348"/>
    <cellStyle name="메모 2 219" xfId="10349"/>
    <cellStyle name="메모 2 22" xfId="10350"/>
    <cellStyle name="메모 2 220" xfId="10351"/>
    <cellStyle name="메모 2 221" xfId="10352"/>
    <cellStyle name="메모 2 222" xfId="10353"/>
    <cellStyle name="메모 2 223" xfId="10354"/>
    <cellStyle name="메모 2 224" xfId="10355"/>
    <cellStyle name="메모 2 225" xfId="10356"/>
    <cellStyle name="메모 2 226" xfId="10357"/>
    <cellStyle name="메모 2 227" xfId="10358"/>
    <cellStyle name="메모 2 228" xfId="10359"/>
    <cellStyle name="메모 2 229" xfId="10360"/>
    <cellStyle name="메모 2 23" xfId="10361"/>
    <cellStyle name="메모 2 230" xfId="10362"/>
    <cellStyle name="메모 2 231" xfId="10363"/>
    <cellStyle name="메모 2 232" xfId="10364"/>
    <cellStyle name="메모 2 233" xfId="10365"/>
    <cellStyle name="메모 2 234" xfId="10366"/>
    <cellStyle name="메모 2 235" xfId="10367"/>
    <cellStyle name="메모 2 236" xfId="10368"/>
    <cellStyle name="메모 2 237" xfId="10369"/>
    <cellStyle name="메모 2 238" xfId="10370"/>
    <cellStyle name="메모 2 239" xfId="10371"/>
    <cellStyle name="메모 2 24" xfId="10372"/>
    <cellStyle name="메모 2 240" xfId="10373"/>
    <cellStyle name="메모 2 241" xfId="10374"/>
    <cellStyle name="메모 2 242" xfId="10375"/>
    <cellStyle name="메모 2 25" xfId="10376"/>
    <cellStyle name="메모 2 26" xfId="10377"/>
    <cellStyle name="메모 2 27" xfId="10378"/>
    <cellStyle name="메모 2 28" xfId="10379"/>
    <cellStyle name="메모 2 29" xfId="10380"/>
    <cellStyle name="메모 2 3" xfId="10381"/>
    <cellStyle name="메모 2 30" xfId="10382"/>
    <cellStyle name="메모 2 31" xfId="10383"/>
    <cellStyle name="메모 2 32" xfId="10384"/>
    <cellStyle name="메모 2 33" xfId="10385"/>
    <cellStyle name="메모 2 34" xfId="10386"/>
    <cellStyle name="메모 2 35" xfId="10387"/>
    <cellStyle name="메모 2 36" xfId="10388"/>
    <cellStyle name="메모 2 37" xfId="10389"/>
    <cellStyle name="메모 2 38" xfId="10390"/>
    <cellStyle name="메모 2 39" xfId="10391"/>
    <cellStyle name="메모 2 4" xfId="10392"/>
    <cellStyle name="메모 2 40" xfId="10393"/>
    <cellStyle name="메모 2 41" xfId="10394"/>
    <cellStyle name="메모 2 42" xfId="10395"/>
    <cellStyle name="메모 2 43" xfId="10396"/>
    <cellStyle name="메모 2 44" xfId="10397"/>
    <cellStyle name="메모 2 45" xfId="10398"/>
    <cellStyle name="메모 2 46" xfId="10399"/>
    <cellStyle name="메모 2 47" xfId="10400"/>
    <cellStyle name="메모 2 48" xfId="10401"/>
    <cellStyle name="메모 2 49" xfId="10402"/>
    <cellStyle name="메모 2 5" xfId="10403"/>
    <cellStyle name="메모 2 50" xfId="10404"/>
    <cellStyle name="메모 2 51" xfId="10405"/>
    <cellStyle name="메모 2 52" xfId="10406"/>
    <cellStyle name="메모 2 53" xfId="10407"/>
    <cellStyle name="메모 2 54" xfId="10408"/>
    <cellStyle name="메모 2 55" xfId="10409"/>
    <cellStyle name="메모 2 56" xfId="10410"/>
    <cellStyle name="메모 2 57" xfId="10411"/>
    <cellStyle name="메모 2 58" xfId="10412"/>
    <cellStyle name="메모 2 59" xfId="10413"/>
    <cellStyle name="메모 2 6" xfId="10414"/>
    <cellStyle name="메모 2 60" xfId="10415"/>
    <cellStyle name="메모 2 61" xfId="10416"/>
    <cellStyle name="메모 2 62" xfId="10417"/>
    <cellStyle name="메모 2 63" xfId="10418"/>
    <cellStyle name="메모 2 64" xfId="10419"/>
    <cellStyle name="메모 2 65" xfId="10420"/>
    <cellStyle name="메모 2 66" xfId="10421"/>
    <cellStyle name="메모 2 67" xfId="10422"/>
    <cellStyle name="메모 2 68" xfId="10423"/>
    <cellStyle name="메모 2 69" xfId="10424"/>
    <cellStyle name="메모 2 7" xfId="10425"/>
    <cellStyle name="메모 2 70" xfId="10426"/>
    <cellStyle name="메모 2 71" xfId="10427"/>
    <cellStyle name="메모 2 72" xfId="10428"/>
    <cellStyle name="메모 2 73" xfId="10429"/>
    <cellStyle name="메모 2 74" xfId="10430"/>
    <cellStyle name="메모 2 75" xfId="10431"/>
    <cellStyle name="메모 2 76" xfId="10432"/>
    <cellStyle name="메모 2 77" xfId="10433"/>
    <cellStyle name="메모 2 78" xfId="10434"/>
    <cellStyle name="메모 2 79" xfId="10435"/>
    <cellStyle name="메모 2 8" xfId="10436"/>
    <cellStyle name="메모 2 80" xfId="10437"/>
    <cellStyle name="메모 2 81" xfId="10438"/>
    <cellStyle name="메모 2 82" xfId="10439"/>
    <cellStyle name="메모 2 83" xfId="10440"/>
    <cellStyle name="메모 2 84" xfId="10441"/>
    <cellStyle name="메모 2 85" xfId="10442"/>
    <cellStyle name="메모 2 86" xfId="10443"/>
    <cellStyle name="메모 2 87" xfId="10444"/>
    <cellStyle name="메모 2 88" xfId="10445"/>
    <cellStyle name="메모 2 89" xfId="10446"/>
    <cellStyle name="메모 2 9" xfId="10447"/>
    <cellStyle name="메모 2 90" xfId="10448"/>
    <cellStyle name="메모 2 91" xfId="10449"/>
    <cellStyle name="메모 2 92" xfId="10450"/>
    <cellStyle name="메모 2 93" xfId="10451"/>
    <cellStyle name="메모 2 94" xfId="10452"/>
    <cellStyle name="메모 2 95" xfId="10453"/>
    <cellStyle name="메모 2 96" xfId="10454"/>
    <cellStyle name="메모 2 97" xfId="10455"/>
    <cellStyle name="메모 2 98" xfId="10456"/>
    <cellStyle name="메모 2 99" xfId="10457"/>
    <cellStyle name="믅됞 [0.00]_laroux" xfId="10458"/>
    <cellStyle name="믅됞_laroux" xfId="10459"/>
    <cellStyle name="백분율" xfId="2" builtinId="5"/>
    <cellStyle name="백분율 10" xfId="10460"/>
    <cellStyle name="백분율 2" xfId="5"/>
    <cellStyle name="백분율 2 10" xfId="10461"/>
    <cellStyle name="백분율 2 11" xfId="10462"/>
    <cellStyle name="백분율 2 12" xfId="10463"/>
    <cellStyle name="백분율 2 12 10" xfId="10464"/>
    <cellStyle name="백분율 2 12 11" xfId="10465"/>
    <cellStyle name="백분율 2 12 2" xfId="10466"/>
    <cellStyle name="백분율 2 12 3" xfId="10467"/>
    <cellStyle name="백분율 2 12 4" xfId="10468"/>
    <cellStyle name="백분율 2 12 5" xfId="10469"/>
    <cellStyle name="백분율 2 12 6" xfId="10470"/>
    <cellStyle name="백분율 2 12 7" xfId="10471"/>
    <cellStyle name="백분율 2 12 8" xfId="10472"/>
    <cellStyle name="백분율 2 12 9" xfId="10473"/>
    <cellStyle name="백분율 2 2" xfId="10474"/>
    <cellStyle name="백분율 2 2 10" xfId="10475"/>
    <cellStyle name="백분율 2 2 11" xfId="10476"/>
    <cellStyle name="백분율 2 2 12" xfId="10477"/>
    <cellStyle name="백분율 2 2 2" xfId="10478"/>
    <cellStyle name="백분율 2 2 3" xfId="10479"/>
    <cellStyle name="백분율 2 2 4" xfId="10480"/>
    <cellStyle name="백분율 2 2 5" xfId="10481"/>
    <cellStyle name="백분율 2 2 6" xfId="10482"/>
    <cellStyle name="백분율 2 2 7" xfId="10483"/>
    <cellStyle name="백분율 2 2 8" xfId="10484"/>
    <cellStyle name="백분율 2 2 9" xfId="10485"/>
    <cellStyle name="백분율 2 3" xfId="10486"/>
    <cellStyle name="백분율 2 4" xfId="10487"/>
    <cellStyle name="백분율 2 5" xfId="10488"/>
    <cellStyle name="백분율 2 6" xfId="10489"/>
    <cellStyle name="백분율 2 7" xfId="10490"/>
    <cellStyle name="백분율 2 8" xfId="10491"/>
    <cellStyle name="백분율 2 9" xfId="10492"/>
    <cellStyle name="백분율 3" xfId="10493"/>
    <cellStyle name="백분율 3 2" xfId="10494"/>
    <cellStyle name="백분율 3 2 2" xfId="10495"/>
    <cellStyle name="백분율 3 3" xfId="10496"/>
    <cellStyle name="백분율 3 4" xfId="10497"/>
    <cellStyle name="백분율 3 5" xfId="10498"/>
    <cellStyle name="백분율 3 6" xfId="10499"/>
    <cellStyle name="백분율 4" xfId="10500"/>
    <cellStyle name="백분율 4 2" xfId="10501"/>
    <cellStyle name="백분율 5" xfId="10502"/>
    <cellStyle name="백분율 6" xfId="10503"/>
    <cellStyle name="백분율 6 2" xfId="10504"/>
    <cellStyle name="백분율 7" xfId="10505"/>
    <cellStyle name="백분율 7 2" xfId="10506"/>
    <cellStyle name="백분율 8" xfId="10507"/>
    <cellStyle name="백분율 8 2" xfId="10508"/>
    <cellStyle name="백분율 9" xfId="10509"/>
    <cellStyle name="백분율 9 2" xfId="10510"/>
    <cellStyle name="보통 2" xfId="10511"/>
    <cellStyle name="보통 2 10" xfId="10512"/>
    <cellStyle name="보통 2 100" xfId="10513"/>
    <cellStyle name="보통 2 101" xfId="10514"/>
    <cellStyle name="보통 2 102" xfId="10515"/>
    <cellStyle name="보통 2 103" xfId="10516"/>
    <cellStyle name="보통 2 104" xfId="10517"/>
    <cellStyle name="보통 2 105" xfId="10518"/>
    <cellStyle name="보통 2 106" xfId="10519"/>
    <cellStyle name="보통 2 107" xfId="10520"/>
    <cellStyle name="보통 2 108" xfId="10521"/>
    <cellStyle name="보통 2 109" xfId="10522"/>
    <cellStyle name="보통 2 11" xfId="10523"/>
    <cellStyle name="보통 2 110" xfId="10524"/>
    <cellStyle name="보통 2 111" xfId="10525"/>
    <cellStyle name="보통 2 112" xfId="10526"/>
    <cellStyle name="보통 2 113" xfId="10527"/>
    <cellStyle name="보통 2 114" xfId="10528"/>
    <cellStyle name="보통 2 115" xfId="10529"/>
    <cellStyle name="보통 2 116" xfId="10530"/>
    <cellStyle name="보통 2 117" xfId="10531"/>
    <cellStyle name="보통 2 118" xfId="10532"/>
    <cellStyle name="보통 2 119" xfId="10533"/>
    <cellStyle name="보통 2 12" xfId="10534"/>
    <cellStyle name="보통 2 120" xfId="10535"/>
    <cellStyle name="보통 2 121" xfId="10536"/>
    <cellStyle name="보통 2 122" xfId="10537"/>
    <cellStyle name="보통 2 123" xfId="10538"/>
    <cellStyle name="보통 2 124" xfId="10539"/>
    <cellStyle name="보통 2 125" xfId="10540"/>
    <cellStyle name="보통 2 126" xfId="10541"/>
    <cellStyle name="보통 2 127" xfId="10542"/>
    <cellStyle name="보통 2 128" xfId="10543"/>
    <cellStyle name="보통 2 129" xfId="10544"/>
    <cellStyle name="보통 2 13" xfId="10545"/>
    <cellStyle name="보통 2 130" xfId="10546"/>
    <cellStyle name="보통 2 131" xfId="10547"/>
    <cellStyle name="보통 2 132" xfId="10548"/>
    <cellStyle name="보통 2 133" xfId="10549"/>
    <cellStyle name="보통 2 134" xfId="10550"/>
    <cellStyle name="보통 2 135" xfId="10551"/>
    <cellStyle name="보통 2 136" xfId="10552"/>
    <cellStyle name="보통 2 137" xfId="10553"/>
    <cellStyle name="보통 2 138" xfId="10554"/>
    <cellStyle name="보통 2 139" xfId="10555"/>
    <cellStyle name="보통 2 14" xfId="10556"/>
    <cellStyle name="보통 2 140" xfId="10557"/>
    <cellStyle name="보통 2 141" xfId="10558"/>
    <cellStyle name="보통 2 142" xfId="10559"/>
    <cellStyle name="보통 2 143" xfId="10560"/>
    <cellStyle name="보통 2 144" xfId="10561"/>
    <cellStyle name="보통 2 145" xfId="10562"/>
    <cellStyle name="보통 2 146" xfId="10563"/>
    <cellStyle name="보통 2 147" xfId="10564"/>
    <cellStyle name="보통 2 148" xfId="10565"/>
    <cellStyle name="보통 2 149" xfId="10566"/>
    <cellStyle name="보통 2 15" xfId="10567"/>
    <cellStyle name="보통 2 150" xfId="10568"/>
    <cellStyle name="보통 2 151" xfId="10569"/>
    <cellStyle name="보통 2 152" xfId="10570"/>
    <cellStyle name="보통 2 153" xfId="10571"/>
    <cellStyle name="보통 2 154" xfId="10572"/>
    <cellStyle name="보통 2 155" xfId="10573"/>
    <cellStyle name="보통 2 156" xfId="10574"/>
    <cellStyle name="보통 2 157" xfId="10575"/>
    <cellStyle name="보통 2 158" xfId="10576"/>
    <cellStyle name="보통 2 159" xfId="10577"/>
    <cellStyle name="보통 2 16" xfId="10578"/>
    <cellStyle name="보통 2 160" xfId="10579"/>
    <cellStyle name="보통 2 161" xfId="10580"/>
    <cellStyle name="보통 2 162" xfId="10581"/>
    <cellStyle name="보통 2 163" xfId="10582"/>
    <cellStyle name="보통 2 164" xfId="10583"/>
    <cellStyle name="보통 2 165" xfId="10584"/>
    <cellStyle name="보통 2 166" xfId="10585"/>
    <cellStyle name="보통 2 167" xfId="10586"/>
    <cellStyle name="보통 2 168" xfId="10587"/>
    <cellStyle name="보통 2 169" xfId="10588"/>
    <cellStyle name="보통 2 17" xfId="10589"/>
    <cellStyle name="보통 2 170" xfId="10590"/>
    <cellStyle name="보통 2 171" xfId="10591"/>
    <cellStyle name="보통 2 172" xfId="10592"/>
    <cellStyle name="보통 2 173" xfId="10593"/>
    <cellStyle name="보통 2 174" xfId="10594"/>
    <cellStyle name="보통 2 175" xfId="10595"/>
    <cellStyle name="보통 2 176" xfId="10596"/>
    <cellStyle name="보통 2 177" xfId="10597"/>
    <cellStyle name="보통 2 178" xfId="10598"/>
    <cellStyle name="보통 2 179" xfId="10599"/>
    <cellStyle name="보통 2 18" xfId="10600"/>
    <cellStyle name="보통 2 180" xfId="10601"/>
    <cellStyle name="보통 2 181" xfId="10602"/>
    <cellStyle name="보통 2 182" xfId="10603"/>
    <cellStyle name="보통 2 183" xfId="10604"/>
    <cellStyle name="보통 2 184" xfId="10605"/>
    <cellStyle name="보통 2 185" xfId="10606"/>
    <cellStyle name="보통 2 186" xfId="10607"/>
    <cellStyle name="보통 2 187" xfId="10608"/>
    <cellStyle name="보통 2 188" xfId="10609"/>
    <cellStyle name="보통 2 189" xfId="10610"/>
    <cellStyle name="보통 2 19" xfId="10611"/>
    <cellStyle name="보통 2 190" xfId="10612"/>
    <cellStyle name="보통 2 191" xfId="10613"/>
    <cellStyle name="보통 2 192" xfId="10614"/>
    <cellStyle name="보통 2 193" xfId="10615"/>
    <cellStyle name="보통 2 194" xfId="10616"/>
    <cellStyle name="보통 2 195" xfId="10617"/>
    <cellStyle name="보통 2 196" xfId="10618"/>
    <cellStyle name="보통 2 197" xfId="10619"/>
    <cellStyle name="보통 2 198" xfId="10620"/>
    <cellStyle name="보통 2 199" xfId="10621"/>
    <cellStyle name="보통 2 2" xfId="10622"/>
    <cellStyle name="보통 2 20" xfId="10623"/>
    <cellStyle name="보통 2 200" xfId="10624"/>
    <cellStyle name="보통 2 201" xfId="10625"/>
    <cellStyle name="보통 2 202" xfId="10626"/>
    <cellStyle name="보통 2 203" xfId="10627"/>
    <cellStyle name="보통 2 204" xfId="10628"/>
    <cellStyle name="보통 2 205" xfId="10629"/>
    <cellStyle name="보통 2 206" xfId="10630"/>
    <cellStyle name="보통 2 207" xfId="10631"/>
    <cellStyle name="보통 2 208" xfId="10632"/>
    <cellStyle name="보통 2 209" xfId="10633"/>
    <cellStyle name="보통 2 21" xfId="10634"/>
    <cellStyle name="보통 2 210" xfId="10635"/>
    <cellStyle name="보통 2 211" xfId="10636"/>
    <cellStyle name="보통 2 212" xfId="10637"/>
    <cellStyle name="보통 2 213" xfId="10638"/>
    <cellStyle name="보통 2 214" xfId="10639"/>
    <cellStyle name="보통 2 215" xfId="10640"/>
    <cellStyle name="보통 2 216" xfId="10641"/>
    <cellStyle name="보통 2 217" xfId="10642"/>
    <cellStyle name="보통 2 218" xfId="10643"/>
    <cellStyle name="보통 2 219" xfId="10644"/>
    <cellStyle name="보통 2 22" xfId="10645"/>
    <cellStyle name="보통 2 220" xfId="10646"/>
    <cellStyle name="보통 2 221" xfId="10647"/>
    <cellStyle name="보통 2 222" xfId="10648"/>
    <cellStyle name="보통 2 223" xfId="10649"/>
    <cellStyle name="보통 2 224" xfId="10650"/>
    <cellStyle name="보통 2 225" xfId="10651"/>
    <cellStyle name="보통 2 226" xfId="10652"/>
    <cellStyle name="보통 2 227" xfId="10653"/>
    <cellStyle name="보통 2 228" xfId="10654"/>
    <cellStyle name="보통 2 229" xfId="10655"/>
    <cellStyle name="보통 2 23" xfId="10656"/>
    <cellStyle name="보통 2 230" xfId="10657"/>
    <cellStyle name="보통 2 231" xfId="10658"/>
    <cellStyle name="보통 2 232" xfId="10659"/>
    <cellStyle name="보통 2 233" xfId="10660"/>
    <cellStyle name="보통 2 234" xfId="10661"/>
    <cellStyle name="보통 2 235" xfId="10662"/>
    <cellStyle name="보통 2 236" xfId="10663"/>
    <cellStyle name="보통 2 237" xfId="10664"/>
    <cellStyle name="보통 2 238" xfId="10665"/>
    <cellStyle name="보통 2 239" xfId="10666"/>
    <cellStyle name="보통 2 24" xfId="10667"/>
    <cellStyle name="보통 2 240" xfId="10668"/>
    <cellStyle name="보통 2 241" xfId="10669"/>
    <cellStyle name="보통 2 25" xfId="10670"/>
    <cellStyle name="보통 2 26" xfId="10671"/>
    <cellStyle name="보통 2 27" xfId="10672"/>
    <cellStyle name="보통 2 28" xfId="10673"/>
    <cellStyle name="보통 2 29" xfId="10674"/>
    <cellStyle name="보통 2 3" xfId="10675"/>
    <cellStyle name="보통 2 30" xfId="10676"/>
    <cellStyle name="보통 2 31" xfId="10677"/>
    <cellStyle name="보통 2 32" xfId="10678"/>
    <cellStyle name="보통 2 33" xfId="10679"/>
    <cellStyle name="보통 2 34" xfId="10680"/>
    <cellStyle name="보통 2 35" xfId="10681"/>
    <cellStyle name="보통 2 36" xfId="10682"/>
    <cellStyle name="보통 2 37" xfId="10683"/>
    <cellStyle name="보통 2 38" xfId="10684"/>
    <cellStyle name="보통 2 39" xfId="10685"/>
    <cellStyle name="보통 2 4" xfId="10686"/>
    <cellStyle name="보통 2 40" xfId="10687"/>
    <cellStyle name="보통 2 41" xfId="10688"/>
    <cellStyle name="보통 2 42" xfId="10689"/>
    <cellStyle name="보통 2 43" xfId="10690"/>
    <cellStyle name="보통 2 44" xfId="10691"/>
    <cellStyle name="보통 2 45" xfId="10692"/>
    <cellStyle name="보통 2 46" xfId="10693"/>
    <cellStyle name="보통 2 47" xfId="10694"/>
    <cellStyle name="보통 2 48" xfId="10695"/>
    <cellStyle name="보통 2 49" xfId="10696"/>
    <cellStyle name="보통 2 5" xfId="10697"/>
    <cellStyle name="보통 2 50" xfId="10698"/>
    <cellStyle name="보통 2 51" xfId="10699"/>
    <cellStyle name="보통 2 52" xfId="10700"/>
    <cellStyle name="보통 2 53" xfId="10701"/>
    <cellStyle name="보통 2 54" xfId="10702"/>
    <cellStyle name="보통 2 55" xfId="10703"/>
    <cellStyle name="보통 2 56" xfId="10704"/>
    <cellStyle name="보통 2 57" xfId="10705"/>
    <cellStyle name="보통 2 58" xfId="10706"/>
    <cellStyle name="보통 2 59" xfId="10707"/>
    <cellStyle name="보통 2 6" xfId="10708"/>
    <cellStyle name="보통 2 60" xfId="10709"/>
    <cellStyle name="보통 2 61" xfId="10710"/>
    <cellStyle name="보통 2 62" xfId="10711"/>
    <cellStyle name="보통 2 63" xfId="10712"/>
    <cellStyle name="보통 2 64" xfId="10713"/>
    <cellStyle name="보통 2 65" xfId="10714"/>
    <cellStyle name="보통 2 66" xfId="10715"/>
    <cellStyle name="보통 2 67" xfId="10716"/>
    <cellStyle name="보통 2 68" xfId="10717"/>
    <cellStyle name="보통 2 69" xfId="10718"/>
    <cellStyle name="보통 2 7" xfId="10719"/>
    <cellStyle name="보통 2 70" xfId="10720"/>
    <cellStyle name="보통 2 71" xfId="10721"/>
    <cellStyle name="보통 2 72" xfId="10722"/>
    <cellStyle name="보통 2 73" xfId="10723"/>
    <cellStyle name="보통 2 74" xfId="10724"/>
    <cellStyle name="보통 2 75" xfId="10725"/>
    <cellStyle name="보통 2 76" xfId="10726"/>
    <cellStyle name="보통 2 77" xfId="10727"/>
    <cellStyle name="보통 2 78" xfId="10728"/>
    <cellStyle name="보통 2 79" xfId="10729"/>
    <cellStyle name="보통 2 8" xfId="10730"/>
    <cellStyle name="보통 2 80" xfId="10731"/>
    <cellStyle name="보통 2 81" xfId="10732"/>
    <cellStyle name="보통 2 82" xfId="10733"/>
    <cellStyle name="보통 2 83" xfId="10734"/>
    <cellStyle name="보통 2 84" xfId="10735"/>
    <cellStyle name="보통 2 85" xfId="10736"/>
    <cellStyle name="보통 2 86" xfId="10737"/>
    <cellStyle name="보통 2 87" xfId="10738"/>
    <cellStyle name="보통 2 88" xfId="10739"/>
    <cellStyle name="보통 2 89" xfId="10740"/>
    <cellStyle name="보통 2 9" xfId="10741"/>
    <cellStyle name="보통 2 90" xfId="10742"/>
    <cellStyle name="보통 2 91" xfId="10743"/>
    <cellStyle name="보통 2 92" xfId="10744"/>
    <cellStyle name="보통 2 93" xfId="10745"/>
    <cellStyle name="보통 2 94" xfId="10746"/>
    <cellStyle name="보통 2 95" xfId="10747"/>
    <cellStyle name="보통 2 96" xfId="10748"/>
    <cellStyle name="보통 2 97" xfId="10749"/>
    <cellStyle name="보통 2 98" xfId="10750"/>
    <cellStyle name="보통 2 99" xfId="10751"/>
    <cellStyle name="普通_Sheet1 (2)" xfId="10752"/>
    <cellStyle name="뷭?_BOOKSHIP" xfId="10753"/>
    <cellStyle name="常?_BOOK1" xfId="10754"/>
    <cellStyle name="常规_综述" xfId="10755"/>
    <cellStyle name="새귑[0]_롤痰삠悧 " xfId="10756"/>
    <cellStyle name="새귑_롤痰삠悧 " xfId="10757"/>
    <cellStyle name="설명 텍스트 2" xfId="10758"/>
    <cellStyle name="설명 텍스트 2 10" xfId="10759"/>
    <cellStyle name="설명 텍스트 2 100" xfId="10760"/>
    <cellStyle name="설명 텍스트 2 101" xfId="10761"/>
    <cellStyle name="설명 텍스트 2 102" xfId="10762"/>
    <cellStyle name="설명 텍스트 2 103" xfId="10763"/>
    <cellStyle name="설명 텍스트 2 104" xfId="10764"/>
    <cellStyle name="설명 텍스트 2 105" xfId="10765"/>
    <cellStyle name="설명 텍스트 2 106" xfId="10766"/>
    <cellStyle name="설명 텍스트 2 107" xfId="10767"/>
    <cellStyle name="설명 텍스트 2 108" xfId="10768"/>
    <cellStyle name="설명 텍스트 2 109" xfId="10769"/>
    <cellStyle name="설명 텍스트 2 11" xfId="10770"/>
    <cellStyle name="설명 텍스트 2 110" xfId="10771"/>
    <cellStyle name="설명 텍스트 2 111" xfId="10772"/>
    <cellStyle name="설명 텍스트 2 112" xfId="10773"/>
    <cellStyle name="설명 텍스트 2 113" xfId="10774"/>
    <cellStyle name="설명 텍스트 2 114" xfId="10775"/>
    <cellStyle name="설명 텍스트 2 115" xfId="10776"/>
    <cellStyle name="설명 텍스트 2 116" xfId="10777"/>
    <cellStyle name="설명 텍스트 2 117" xfId="10778"/>
    <cellStyle name="설명 텍스트 2 118" xfId="10779"/>
    <cellStyle name="설명 텍스트 2 119" xfId="10780"/>
    <cellStyle name="설명 텍스트 2 12" xfId="10781"/>
    <cellStyle name="설명 텍스트 2 120" xfId="10782"/>
    <cellStyle name="설명 텍스트 2 121" xfId="10783"/>
    <cellStyle name="설명 텍스트 2 122" xfId="10784"/>
    <cellStyle name="설명 텍스트 2 123" xfId="10785"/>
    <cellStyle name="설명 텍스트 2 124" xfId="10786"/>
    <cellStyle name="설명 텍스트 2 125" xfId="10787"/>
    <cellStyle name="설명 텍스트 2 126" xfId="10788"/>
    <cellStyle name="설명 텍스트 2 127" xfId="10789"/>
    <cellStyle name="설명 텍스트 2 128" xfId="10790"/>
    <cellStyle name="설명 텍스트 2 129" xfId="10791"/>
    <cellStyle name="설명 텍스트 2 13" xfId="10792"/>
    <cellStyle name="설명 텍스트 2 130" xfId="10793"/>
    <cellStyle name="설명 텍스트 2 131" xfId="10794"/>
    <cellStyle name="설명 텍스트 2 132" xfId="10795"/>
    <cellStyle name="설명 텍스트 2 133" xfId="10796"/>
    <cellStyle name="설명 텍스트 2 134" xfId="10797"/>
    <cellStyle name="설명 텍스트 2 135" xfId="10798"/>
    <cellStyle name="설명 텍스트 2 136" xfId="10799"/>
    <cellStyle name="설명 텍스트 2 137" xfId="10800"/>
    <cellStyle name="설명 텍스트 2 138" xfId="10801"/>
    <cellStyle name="설명 텍스트 2 139" xfId="10802"/>
    <cellStyle name="설명 텍스트 2 14" xfId="10803"/>
    <cellStyle name="설명 텍스트 2 140" xfId="10804"/>
    <cellStyle name="설명 텍스트 2 141" xfId="10805"/>
    <cellStyle name="설명 텍스트 2 142" xfId="10806"/>
    <cellStyle name="설명 텍스트 2 143" xfId="10807"/>
    <cellStyle name="설명 텍스트 2 144" xfId="10808"/>
    <cellStyle name="설명 텍스트 2 145" xfId="10809"/>
    <cellStyle name="설명 텍스트 2 146" xfId="10810"/>
    <cellStyle name="설명 텍스트 2 147" xfId="10811"/>
    <cellStyle name="설명 텍스트 2 148" xfId="10812"/>
    <cellStyle name="설명 텍스트 2 149" xfId="10813"/>
    <cellStyle name="설명 텍스트 2 15" xfId="10814"/>
    <cellStyle name="설명 텍스트 2 150" xfId="10815"/>
    <cellStyle name="설명 텍스트 2 151" xfId="10816"/>
    <cellStyle name="설명 텍스트 2 152" xfId="10817"/>
    <cellStyle name="설명 텍스트 2 153" xfId="10818"/>
    <cellStyle name="설명 텍스트 2 154" xfId="10819"/>
    <cellStyle name="설명 텍스트 2 155" xfId="10820"/>
    <cellStyle name="설명 텍스트 2 156" xfId="10821"/>
    <cellStyle name="설명 텍스트 2 157" xfId="10822"/>
    <cellStyle name="설명 텍스트 2 158" xfId="10823"/>
    <cellStyle name="설명 텍스트 2 159" xfId="10824"/>
    <cellStyle name="설명 텍스트 2 16" xfId="10825"/>
    <cellStyle name="설명 텍스트 2 160" xfId="10826"/>
    <cellStyle name="설명 텍스트 2 161" xfId="10827"/>
    <cellStyle name="설명 텍스트 2 162" xfId="10828"/>
    <cellStyle name="설명 텍스트 2 163" xfId="10829"/>
    <cellStyle name="설명 텍스트 2 164" xfId="10830"/>
    <cellStyle name="설명 텍스트 2 165" xfId="10831"/>
    <cellStyle name="설명 텍스트 2 166" xfId="10832"/>
    <cellStyle name="설명 텍스트 2 167" xfId="10833"/>
    <cellStyle name="설명 텍스트 2 168" xfId="10834"/>
    <cellStyle name="설명 텍스트 2 169" xfId="10835"/>
    <cellStyle name="설명 텍스트 2 17" xfId="10836"/>
    <cellStyle name="설명 텍스트 2 170" xfId="10837"/>
    <cellStyle name="설명 텍스트 2 171" xfId="10838"/>
    <cellStyle name="설명 텍스트 2 172" xfId="10839"/>
    <cellStyle name="설명 텍스트 2 173" xfId="10840"/>
    <cellStyle name="설명 텍스트 2 174" xfId="10841"/>
    <cellStyle name="설명 텍스트 2 175" xfId="10842"/>
    <cellStyle name="설명 텍스트 2 176" xfId="10843"/>
    <cellStyle name="설명 텍스트 2 177" xfId="10844"/>
    <cellStyle name="설명 텍스트 2 178" xfId="10845"/>
    <cellStyle name="설명 텍스트 2 179" xfId="10846"/>
    <cellStyle name="설명 텍스트 2 18" xfId="10847"/>
    <cellStyle name="설명 텍스트 2 180" xfId="10848"/>
    <cellStyle name="설명 텍스트 2 181" xfId="10849"/>
    <cellStyle name="설명 텍스트 2 182" xfId="10850"/>
    <cellStyle name="설명 텍스트 2 183" xfId="10851"/>
    <cellStyle name="설명 텍스트 2 184" xfId="10852"/>
    <cellStyle name="설명 텍스트 2 185" xfId="10853"/>
    <cellStyle name="설명 텍스트 2 186" xfId="10854"/>
    <cellStyle name="설명 텍스트 2 187" xfId="10855"/>
    <cellStyle name="설명 텍스트 2 188" xfId="10856"/>
    <cellStyle name="설명 텍스트 2 189" xfId="10857"/>
    <cellStyle name="설명 텍스트 2 19" xfId="10858"/>
    <cellStyle name="설명 텍스트 2 190" xfId="10859"/>
    <cellStyle name="설명 텍스트 2 191" xfId="10860"/>
    <cellStyle name="설명 텍스트 2 192" xfId="10861"/>
    <cellStyle name="설명 텍스트 2 193" xfId="10862"/>
    <cellStyle name="설명 텍스트 2 194" xfId="10863"/>
    <cellStyle name="설명 텍스트 2 195" xfId="10864"/>
    <cellStyle name="설명 텍스트 2 196" xfId="10865"/>
    <cellStyle name="설명 텍스트 2 197" xfId="10866"/>
    <cellStyle name="설명 텍스트 2 198" xfId="10867"/>
    <cellStyle name="설명 텍스트 2 199" xfId="10868"/>
    <cellStyle name="설명 텍스트 2 2" xfId="10869"/>
    <cellStyle name="설명 텍스트 2 20" xfId="10870"/>
    <cellStyle name="설명 텍스트 2 200" xfId="10871"/>
    <cellStyle name="설명 텍스트 2 201" xfId="10872"/>
    <cellStyle name="설명 텍스트 2 202" xfId="10873"/>
    <cellStyle name="설명 텍스트 2 203" xfId="10874"/>
    <cellStyle name="설명 텍스트 2 204" xfId="10875"/>
    <cellStyle name="설명 텍스트 2 205" xfId="10876"/>
    <cellStyle name="설명 텍스트 2 206" xfId="10877"/>
    <cellStyle name="설명 텍스트 2 207" xfId="10878"/>
    <cellStyle name="설명 텍스트 2 208" xfId="10879"/>
    <cellStyle name="설명 텍스트 2 209" xfId="10880"/>
    <cellStyle name="설명 텍스트 2 21" xfId="10881"/>
    <cellStyle name="설명 텍스트 2 210" xfId="10882"/>
    <cellStyle name="설명 텍스트 2 211" xfId="10883"/>
    <cellStyle name="설명 텍스트 2 212" xfId="10884"/>
    <cellStyle name="설명 텍스트 2 213" xfId="10885"/>
    <cellStyle name="설명 텍스트 2 214" xfId="10886"/>
    <cellStyle name="설명 텍스트 2 215" xfId="10887"/>
    <cellStyle name="설명 텍스트 2 216" xfId="10888"/>
    <cellStyle name="설명 텍스트 2 217" xfId="10889"/>
    <cellStyle name="설명 텍스트 2 218" xfId="10890"/>
    <cellStyle name="설명 텍스트 2 219" xfId="10891"/>
    <cellStyle name="설명 텍스트 2 22" xfId="10892"/>
    <cellStyle name="설명 텍스트 2 220" xfId="10893"/>
    <cellStyle name="설명 텍스트 2 221" xfId="10894"/>
    <cellStyle name="설명 텍스트 2 222" xfId="10895"/>
    <cellStyle name="설명 텍스트 2 223" xfId="10896"/>
    <cellStyle name="설명 텍스트 2 224" xfId="10897"/>
    <cellStyle name="설명 텍스트 2 225" xfId="10898"/>
    <cellStyle name="설명 텍스트 2 226" xfId="10899"/>
    <cellStyle name="설명 텍스트 2 227" xfId="10900"/>
    <cellStyle name="설명 텍스트 2 228" xfId="10901"/>
    <cellStyle name="설명 텍스트 2 229" xfId="10902"/>
    <cellStyle name="설명 텍스트 2 23" xfId="10903"/>
    <cellStyle name="설명 텍스트 2 230" xfId="10904"/>
    <cellStyle name="설명 텍스트 2 231" xfId="10905"/>
    <cellStyle name="설명 텍스트 2 232" xfId="10906"/>
    <cellStyle name="설명 텍스트 2 233" xfId="10907"/>
    <cellStyle name="설명 텍스트 2 234" xfId="10908"/>
    <cellStyle name="설명 텍스트 2 235" xfId="10909"/>
    <cellStyle name="설명 텍스트 2 236" xfId="10910"/>
    <cellStyle name="설명 텍스트 2 237" xfId="10911"/>
    <cellStyle name="설명 텍스트 2 238" xfId="10912"/>
    <cellStyle name="설명 텍스트 2 239" xfId="10913"/>
    <cellStyle name="설명 텍스트 2 24" xfId="10914"/>
    <cellStyle name="설명 텍스트 2 240" xfId="10915"/>
    <cellStyle name="설명 텍스트 2 241" xfId="10916"/>
    <cellStyle name="설명 텍스트 2 25" xfId="10917"/>
    <cellStyle name="설명 텍스트 2 26" xfId="10918"/>
    <cellStyle name="설명 텍스트 2 27" xfId="10919"/>
    <cellStyle name="설명 텍스트 2 28" xfId="10920"/>
    <cellStyle name="설명 텍스트 2 29" xfId="10921"/>
    <cellStyle name="설명 텍스트 2 3" xfId="10922"/>
    <cellStyle name="설명 텍스트 2 30" xfId="10923"/>
    <cellStyle name="설명 텍스트 2 31" xfId="10924"/>
    <cellStyle name="설명 텍스트 2 32" xfId="10925"/>
    <cellStyle name="설명 텍스트 2 33" xfId="10926"/>
    <cellStyle name="설명 텍스트 2 34" xfId="10927"/>
    <cellStyle name="설명 텍스트 2 35" xfId="10928"/>
    <cellStyle name="설명 텍스트 2 36" xfId="10929"/>
    <cellStyle name="설명 텍스트 2 37" xfId="10930"/>
    <cellStyle name="설명 텍스트 2 38" xfId="10931"/>
    <cellStyle name="설명 텍스트 2 39" xfId="10932"/>
    <cellStyle name="설명 텍스트 2 4" xfId="10933"/>
    <cellStyle name="설명 텍스트 2 40" xfId="10934"/>
    <cellStyle name="설명 텍스트 2 41" xfId="10935"/>
    <cellStyle name="설명 텍스트 2 42" xfId="10936"/>
    <cellStyle name="설명 텍스트 2 43" xfId="10937"/>
    <cellStyle name="설명 텍스트 2 44" xfId="10938"/>
    <cellStyle name="설명 텍스트 2 45" xfId="10939"/>
    <cellStyle name="설명 텍스트 2 46" xfId="10940"/>
    <cellStyle name="설명 텍스트 2 47" xfId="10941"/>
    <cellStyle name="설명 텍스트 2 48" xfId="10942"/>
    <cellStyle name="설명 텍스트 2 49" xfId="10943"/>
    <cellStyle name="설명 텍스트 2 5" xfId="10944"/>
    <cellStyle name="설명 텍스트 2 50" xfId="10945"/>
    <cellStyle name="설명 텍스트 2 51" xfId="10946"/>
    <cellStyle name="설명 텍스트 2 52" xfId="10947"/>
    <cellStyle name="설명 텍스트 2 53" xfId="10948"/>
    <cellStyle name="설명 텍스트 2 54" xfId="10949"/>
    <cellStyle name="설명 텍스트 2 55" xfId="10950"/>
    <cellStyle name="설명 텍스트 2 56" xfId="10951"/>
    <cellStyle name="설명 텍스트 2 57" xfId="10952"/>
    <cellStyle name="설명 텍스트 2 58" xfId="10953"/>
    <cellStyle name="설명 텍스트 2 59" xfId="10954"/>
    <cellStyle name="설명 텍스트 2 6" xfId="10955"/>
    <cellStyle name="설명 텍스트 2 60" xfId="10956"/>
    <cellStyle name="설명 텍스트 2 61" xfId="10957"/>
    <cellStyle name="설명 텍스트 2 62" xfId="10958"/>
    <cellStyle name="설명 텍스트 2 63" xfId="10959"/>
    <cellStyle name="설명 텍스트 2 64" xfId="10960"/>
    <cellStyle name="설명 텍스트 2 65" xfId="10961"/>
    <cellStyle name="설명 텍스트 2 66" xfId="10962"/>
    <cellStyle name="설명 텍스트 2 67" xfId="10963"/>
    <cellStyle name="설명 텍스트 2 68" xfId="10964"/>
    <cellStyle name="설명 텍스트 2 69" xfId="10965"/>
    <cellStyle name="설명 텍스트 2 7" xfId="10966"/>
    <cellStyle name="설명 텍스트 2 70" xfId="10967"/>
    <cellStyle name="설명 텍스트 2 71" xfId="10968"/>
    <cellStyle name="설명 텍스트 2 72" xfId="10969"/>
    <cellStyle name="설명 텍스트 2 73" xfId="10970"/>
    <cellStyle name="설명 텍스트 2 74" xfId="10971"/>
    <cellStyle name="설명 텍스트 2 75" xfId="10972"/>
    <cellStyle name="설명 텍스트 2 76" xfId="10973"/>
    <cellStyle name="설명 텍스트 2 77" xfId="10974"/>
    <cellStyle name="설명 텍스트 2 78" xfId="10975"/>
    <cellStyle name="설명 텍스트 2 79" xfId="10976"/>
    <cellStyle name="설명 텍스트 2 8" xfId="10977"/>
    <cellStyle name="설명 텍스트 2 80" xfId="10978"/>
    <cellStyle name="설명 텍스트 2 81" xfId="10979"/>
    <cellStyle name="설명 텍스트 2 82" xfId="10980"/>
    <cellStyle name="설명 텍스트 2 83" xfId="10981"/>
    <cellStyle name="설명 텍스트 2 84" xfId="10982"/>
    <cellStyle name="설명 텍스트 2 85" xfId="10983"/>
    <cellStyle name="설명 텍스트 2 86" xfId="10984"/>
    <cellStyle name="설명 텍스트 2 87" xfId="10985"/>
    <cellStyle name="설명 텍스트 2 88" xfId="10986"/>
    <cellStyle name="설명 텍스트 2 89" xfId="10987"/>
    <cellStyle name="설명 텍스트 2 9" xfId="10988"/>
    <cellStyle name="설명 텍스트 2 90" xfId="10989"/>
    <cellStyle name="설명 텍스트 2 91" xfId="10990"/>
    <cellStyle name="설명 텍스트 2 92" xfId="10991"/>
    <cellStyle name="설명 텍스트 2 93" xfId="10992"/>
    <cellStyle name="설명 텍스트 2 94" xfId="10993"/>
    <cellStyle name="설명 텍스트 2 95" xfId="10994"/>
    <cellStyle name="설명 텍스트 2 96" xfId="10995"/>
    <cellStyle name="설명 텍스트 2 97" xfId="10996"/>
    <cellStyle name="설명 텍스트 2 98" xfId="10997"/>
    <cellStyle name="설명 텍스트 2 99" xfId="10998"/>
    <cellStyle name="셀 확인 2" xfId="10999"/>
    <cellStyle name="셀 확인 2 10" xfId="11000"/>
    <cellStyle name="셀 확인 2 100" xfId="11001"/>
    <cellStyle name="셀 확인 2 101" xfId="11002"/>
    <cellStyle name="셀 확인 2 102" xfId="11003"/>
    <cellStyle name="셀 확인 2 103" xfId="11004"/>
    <cellStyle name="셀 확인 2 104" xfId="11005"/>
    <cellStyle name="셀 확인 2 105" xfId="11006"/>
    <cellStyle name="셀 확인 2 106" xfId="11007"/>
    <cellStyle name="셀 확인 2 107" xfId="11008"/>
    <cellStyle name="셀 확인 2 108" xfId="11009"/>
    <cellStyle name="셀 확인 2 109" xfId="11010"/>
    <cellStyle name="셀 확인 2 11" xfId="11011"/>
    <cellStyle name="셀 확인 2 110" xfId="11012"/>
    <cellStyle name="셀 확인 2 111" xfId="11013"/>
    <cellStyle name="셀 확인 2 112" xfId="11014"/>
    <cellStyle name="셀 확인 2 113" xfId="11015"/>
    <cellStyle name="셀 확인 2 114" xfId="11016"/>
    <cellStyle name="셀 확인 2 115" xfId="11017"/>
    <cellStyle name="셀 확인 2 116" xfId="11018"/>
    <cellStyle name="셀 확인 2 117" xfId="11019"/>
    <cellStyle name="셀 확인 2 118" xfId="11020"/>
    <cellStyle name="셀 확인 2 119" xfId="11021"/>
    <cellStyle name="셀 확인 2 12" xfId="11022"/>
    <cellStyle name="셀 확인 2 120" xfId="11023"/>
    <cellStyle name="셀 확인 2 121" xfId="11024"/>
    <cellStyle name="셀 확인 2 122" xfId="11025"/>
    <cellStyle name="셀 확인 2 123" xfId="11026"/>
    <cellStyle name="셀 확인 2 124" xfId="11027"/>
    <cellStyle name="셀 확인 2 125" xfId="11028"/>
    <cellStyle name="셀 확인 2 126" xfId="11029"/>
    <cellStyle name="셀 확인 2 127" xfId="11030"/>
    <cellStyle name="셀 확인 2 128" xfId="11031"/>
    <cellStyle name="셀 확인 2 129" xfId="11032"/>
    <cellStyle name="셀 확인 2 13" xfId="11033"/>
    <cellStyle name="셀 확인 2 130" xfId="11034"/>
    <cellStyle name="셀 확인 2 131" xfId="11035"/>
    <cellStyle name="셀 확인 2 132" xfId="11036"/>
    <cellStyle name="셀 확인 2 133" xfId="11037"/>
    <cellStyle name="셀 확인 2 134" xfId="11038"/>
    <cellStyle name="셀 확인 2 135" xfId="11039"/>
    <cellStyle name="셀 확인 2 136" xfId="11040"/>
    <cellStyle name="셀 확인 2 137" xfId="11041"/>
    <cellStyle name="셀 확인 2 138" xfId="11042"/>
    <cellStyle name="셀 확인 2 139" xfId="11043"/>
    <cellStyle name="셀 확인 2 14" xfId="11044"/>
    <cellStyle name="셀 확인 2 140" xfId="11045"/>
    <cellStyle name="셀 확인 2 141" xfId="11046"/>
    <cellStyle name="셀 확인 2 142" xfId="11047"/>
    <cellStyle name="셀 확인 2 143" xfId="11048"/>
    <cellStyle name="셀 확인 2 144" xfId="11049"/>
    <cellStyle name="셀 확인 2 145" xfId="11050"/>
    <cellStyle name="셀 확인 2 146" xfId="11051"/>
    <cellStyle name="셀 확인 2 147" xfId="11052"/>
    <cellStyle name="셀 확인 2 148" xfId="11053"/>
    <cellStyle name="셀 확인 2 149" xfId="11054"/>
    <cellStyle name="셀 확인 2 15" xfId="11055"/>
    <cellStyle name="셀 확인 2 150" xfId="11056"/>
    <cellStyle name="셀 확인 2 151" xfId="11057"/>
    <cellStyle name="셀 확인 2 152" xfId="11058"/>
    <cellStyle name="셀 확인 2 153" xfId="11059"/>
    <cellStyle name="셀 확인 2 154" xfId="11060"/>
    <cellStyle name="셀 확인 2 155" xfId="11061"/>
    <cellStyle name="셀 확인 2 156" xfId="11062"/>
    <cellStyle name="셀 확인 2 157" xfId="11063"/>
    <cellStyle name="셀 확인 2 158" xfId="11064"/>
    <cellStyle name="셀 확인 2 159" xfId="11065"/>
    <cellStyle name="셀 확인 2 16" xfId="11066"/>
    <cellStyle name="셀 확인 2 160" xfId="11067"/>
    <cellStyle name="셀 확인 2 161" xfId="11068"/>
    <cellStyle name="셀 확인 2 162" xfId="11069"/>
    <cellStyle name="셀 확인 2 163" xfId="11070"/>
    <cellStyle name="셀 확인 2 164" xfId="11071"/>
    <cellStyle name="셀 확인 2 165" xfId="11072"/>
    <cellStyle name="셀 확인 2 166" xfId="11073"/>
    <cellStyle name="셀 확인 2 167" xfId="11074"/>
    <cellStyle name="셀 확인 2 168" xfId="11075"/>
    <cellStyle name="셀 확인 2 169" xfId="11076"/>
    <cellStyle name="셀 확인 2 17" xfId="11077"/>
    <cellStyle name="셀 확인 2 170" xfId="11078"/>
    <cellStyle name="셀 확인 2 171" xfId="11079"/>
    <cellStyle name="셀 확인 2 172" xfId="11080"/>
    <cellStyle name="셀 확인 2 173" xfId="11081"/>
    <cellStyle name="셀 확인 2 174" xfId="11082"/>
    <cellStyle name="셀 확인 2 175" xfId="11083"/>
    <cellStyle name="셀 확인 2 176" xfId="11084"/>
    <cellStyle name="셀 확인 2 177" xfId="11085"/>
    <cellStyle name="셀 확인 2 178" xfId="11086"/>
    <cellStyle name="셀 확인 2 179" xfId="11087"/>
    <cellStyle name="셀 확인 2 18" xfId="11088"/>
    <cellStyle name="셀 확인 2 180" xfId="11089"/>
    <cellStyle name="셀 확인 2 181" xfId="11090"/>
    <cellStyle name="셀 확인 2 182" xfId="11091"/>
    <cellStyle name="셀 확인 2 183" xfId="11092"/>
    <cellStyle name="셀 확인 2 184" xfId="11093"/>
    <cellStyle name="셀 확인 2 185" xfId="11094"/>
    <cellStyle name="셀 확인 2 186" xfId="11095"/>
    <cellStyle name="셀 확인 2 187" xfId="11096"/>
    <cellStyle name="셀 확인 2 188" xfId="11097"/>
    <cellStyle name="셀 확인 2 189" xfId="11098"/>
    <cellStyle name="셀 확인 2 19" xfId="11099"/>
    <cellStyle name="셀 확인 2 190" xfId="11100"/>
    <cellStyle name="셀 확인 2 191" xfId="11101"/>
    <cellStyle name="셀 확인 2 192" xfId="11102"/>
    <cellStyle name="셀 확인 2 193" xfId="11103"/>
    <cellStyle name="셀 확인 2 194" xfId="11104"/>
    <cellStyle name="셀 확인 2 195" xfId="11105"/>
    <cellStyle name="셀 확인 2 196" xfId="11106"/>
    <cellStyle name="셀 확인 2 197" xfId="11107"/>
    <cellStyle name="셀 확인 2 198" xfId="11108"/>
    <cellStyle name="셀 확인 2 199" xfId="11109"/>
    <cellStyle name="셀 확인 2 2" xfId="11110"/>
    <cellStyle name="셀 확인 2 20" xfId="11111"/>
    <cellStyle name="셀 확인 2 200" xfId="11112"/>
    <cellStyle name="셀 확인 2 201" xfId="11113"/>
    <cellStyle name="셀 확인 2 202" xfId="11114"/>
    <cellStyle name="셀 확인 2 203" xfId="11115"/>
    <cellStyle name="셀 확인 2 204" xfId="11116"/>
    <cellStyle name="셀 확인 2 205" xfId="11117"/>
    <cellStyle name="셀 확인 2 206" xfId="11118"/>
    <cellStyle name="셀 확인 2 207" xfId="11119"/>
    <cellStyle name="셀 확인 2 208" xfId="11120"/>
    <cellStyle name="셀 확인 2 209" xfId="11121"/>
    <cellStyle name="셀 확인 2 21" xfId="11122"/>
    <cellStyle name="셀 확인 2 210" xfId="11123"/>
    <cellStyle name="셀 확인 2 211" xfId="11124"/>
    <cellStyle name="셀 확인 2 212" xfId="11125"/>
    <cellStyle name="셀 확인 2 213" xfId="11126"/>
    <cellStyle name="셀 확인 2 214" xfId="11127"/>
    <cellStyle name="셀 확인 2 215" xfId="11128"/>
    <cellStyle name="셀 확인 2 216" xfId="11129"/>
    <cellStyle name="셀 확인 2 217" xfId="11130"/>
    <cellStyle name="셀 확인 2 218" xfId="11131"/>
    <cellStyle name="셀 확인 2 219" xfId="11132"/>
    <cellStyle name="셀 확인 2 22" xfId="11133"/>
    <cellStyle name="셀 확인 2 220" xfId="11134"/>
    <cellStyle name="셀 확인 2 221" xfId="11135"/>
    <cellStyle name="셀 확인 2 222" xfId="11136"/>
    <cellStyle name="셀 확인 2 223" xfId="11137"/>
    <cellStyle name="셀 확인 2 224" xfId="11138"/>
    <cellStyle name="셀 확인 2 225" xfId="11139"/>
    <cellStyle name="셀 확인 2 226" xfId="11140"/>
    <cellStyle name="셀 확인 2 227" xfId="11141"/>
    <cellStyle name="셀 확인 2 228" xfId="11142"/>
    <cellStyle name="셀 확인 2 229" xfId="11143"/>
    <cellStyle name="셀 확인 2 23" xfId="11144"/>
    <cellStyle name="셀 확인 2 230" xfId="11145"/>
    <cellStyle name="셀 확인 2 231" xfId="11146"/>
    <cellStyle name="셀 확인 2 232" xfId="11147"/>
    <cellStyle name="셀 확인 2 233" xfId="11148"/>
    <cellStyle name="셀 확인 2 234" xfId="11149"/>
    <cellStyle name="셀 확인 2 235" xfId="11150"/>
    <cellStyle name="셀 확인 2 236" xfId="11151"/>
    <cellStyle name="셀 확인 2 237" xfId="11152"/>
    <cellStyle name="셀 확인 2 238" xfId="11153"/>
    <cellStyle name="셀 확인 2 239" xfId="11154"/>
    <cellStyle name="셀 확인 2 24" xfId="11155"/>
    <cellStyle name="셀 확인 2 240" xfId="11156"/>
    <cellStyle name="셀 확인 2 241" xfId="11157"/>
    <cellStyle name="셀 확인 2 25" xfId="11158"/>
    <cellStyle name="셀 확인 2 26" xfId="11159"/>
    <cellStyle name="셀 확인 2 27" xfId="11160"/>
    <cellStyle name="셀 확인 2 28" xfId="11161"/>
    <cellStyle name="셀 확인 2 29" xfId="11162"/>
    <cellStyle name="셀 확인 2 3" xfId="11163"/>
    <cellStyle name="셀 확인 2 30" xfId="11164"/>
    <cellStyle name="셀 확인 2 31" xfId="11165"/>
    <cellStyle name="셀 확인 2 32" xfId="11166"/>
    <cellStyle name="셀 확인 2 33" xfId="11167"/>
    <cellStyle name="셀 확인 2 34" xfId="11168"/>
    <cellStyle name="셀 확인 2 35" xfId="11169"/>
    <cellStyle name="셀 확인 2 36" xfId="11170"/>
    <cellStyle name="셀 확인 2 37" xfId="11171"/>
    <cellStyle name="셀 확인 2 38" xfId="11172"/>
    <cellStyle name="셀 확인 2 39" xfId="11173"/>
    <cellStyle name="셀 확인 2 4" xfId="11174"/>
    <cellStyle name="셀 확인 2 40" xfId="11175"/>
    <cellStyle name="셀 확인 2 41" xfId="11176"/>
    <cellStyle name="셀 확인 2 42" xfId="11177"/>
    <cellStyle name="셀 확인 2 43" xfId="11178"/>
    <cellStyle name="셀 확인 2 44" xfId="11179"/>
    <cellStyle name="셀 확인 2 45" xfId="11180"/>
    <cellStyle name="셀 확인 2 46" xfId="11181"/>
    <cellStyle name="셀 확인 2 47" xfId="11182"/>
    <cellStyle name="셀 확인 2 48" xfId="11183"/>
    <cellStyle name="셀 확인 2 49" xfId="11184"/>
    <cellStyle name="셀 확인 2 5" xfId="11185"/>
    <cellStyle name="셀 확인 2 50" xfId="11186"/>
    <cellStyle name="셀 확인 2 51" xfId="11187"/>
    <cellStyle name="셀 확인 2 52" xfId="11188"/>
    <cellStyle name="셀 확인 2 53" xfId="11189"/>
    <cellStyle name="셀 확인 2 54" xfId="11190"/>
    <cellStyle name="셀 확인 2 55" xfId="11191"/>
    <cellStyle name="셀 확인 2 56" xfId="11192"/>
    <cellStyle name="셀 확인 2 57" xfId="11193"/>
    <cellStyle name="셀 확인 2 58" xfId="11194"/>
    <cellStyle name="셀 확인 2 59" xfId="11195"/>
    <cellStyle name="셀 확인 2 6" xfId="11196"/>
    <cellStyle name="셀 확인 2 60" xfId="11197"/>
    <cellStyle name="셀 확인 2 61" xfId="11198"/>
    <cellStyle name="셀 확인 2 62" xfId="11199"/>
    <cellStyle name="셀 확인 2 63" xfId="11200"/>
    <cellStyle name="셀 확인 2 64" xfId="11201"/>
    <cellStyle name="셀 확인 2 65" xfId="11202"/>
    <cellStyle name="셀 확인 2 66" xfId="11203"/>
    <cellStyle name="셀 확인 2 67" xfId="11204"/>
    <cellStyle name="셀 확인 2 68" xfId="11205"/>
    <cellStyle name="셀 확인 2 69" xfId="11206"/>
    <cellStyle name="셀 확인 2 7" xfId="11207"/>
    <cellStyle name="셀 확인 2 70" xfId="11208"/>
    <cellStyle name="셀 확인 2 71" xfId="11209"/>
    <cellStyle name="셀 확인 2 72" xfId="11210"/>
    <cellStyle name="셀 확인 2 73" xfId="11211"/>
    <cellStyle name="셀 확인 2 74" xfId="11212"/>
    <cellStyle name="셀 확인 2 75" xfId="11213"/>
    <cellStyle name="셀 확인 2 76" xfId="11214"/>
    <cellStyle name="셀 확인 2 77" xfId="11215"/>
    <cellStyle name="셀 확인 2 78" xfId="11216"/>
    <cellStyle name="셀 확인 2 79" xfId="11217"/>
    <cellStyle name="셀 확인 2 8" xfId="11218"/>
    <cellStyle name="셀 확인 2 80" xfId="11219"/>
    <cellStyle name="셀 확인 2 81" xfId="11220"/>
    <cellStyle name="셀 확인 2 82" xfId="11221"/>
    <cellStyle name="셀 확인 2 83" xfId="11222"/>
    <cellStyle name="셀 확인 2 84" xfId="11223"/>
    <cellStyle name="셀 확인 2 85" xfId="11224"/>
    <cellStyle name="셀 확인 2 86" xfId="11225"/>
    <cellStyle name="셀 확인 2 87" xfId="11226"/>
    <cellStyle name="셀 확인 2 88" xfId="11227"/>
    <cellStyle name="셀 확인 2 89" xfId="11228"/>
    <cellStyle name="셀 확인 2 9" xfId="11229"/>
    <cellStyle name="셀 확인 2 90" xfId="11230"/>
    <cellStyle name="셀 확인 2 91" xfId="11231"/>
    <cellStyle name="셀 확인 2 92" xfId="11232"/>
    <cellStyle name="셀 확인 2 93" xfId="11233"/>
    <cellStyle name="셀 확인 2 94" xfId="11234"/>
    <cellStyle name="셀 확인 2 95" xfId="11235"/>
    <cellStyle name="셀 확인 2 96" xfId="11236"/>
    <cellStyle name="셀 확인 2 97" xfId="11237"/>
    <cellStyle name="셀 확인 2 98" xfId="11238"/>
    <cellStyle name="셀 확인 2 99" xfId="11239"/>
    <cellStyle name="输入" xfId="11240"/>
    <cellStyle name="输出" xfId="11241"/>
    <cellStyle name="쉼표 [0]" xfId="1" builtinId="6"/>
    <cellStyle name="쉼표 [0] 10" xfId="11242"/>
    <cellStyle name="쉼표 [0] 10 2" xfId="11243"/>
    <cellStyle name="쉼표 [0] 11" xfId="11244"/>
    <cellStyle name="쉼표 [0] 11 2" xfId="11245"/>
    <cellStyle name="쉼표 [0] 2" xfId="4"/>
    <cellStyle name="쉼표 [0] 2 10" xfId="11246"/>
    <cellStyle name="쉼표 [0] 2 100" xfId="11247"/>
    <cellStyle name="쉼표 [0] 2 101" xfId="11248"/>
    <cellStyle name="쉼표 [0] 2 102" xfId="11249"/>
    <cellStyle name="쉼표 [0] 2 103" xfId="11250"/>
    <cellStyle name="쉼표 [0] 2 104" xfId="11251"/>
    <cellStyle name="쉼표 [0] 2 105" xfId="11252"/>
    <cellStyle name="쉼표 [0] 2 106" xfId="11253"/>
    <cellStyle name="쉼표 [0] 2 107" xfId="11254"/>
    <cellStyle name="쉼표 [0] 2 108" xfId="11255"/>
    <cellStyle name="쉼표 [0] 2 109" xfId="11256"/>
    <cellStyle name="쉼표 [0] 2 11" xfId="11257"/>
    <cellStyle name="쉼표 [0] 2 110" xfId="11258"/>
    <cellStyle name="쉼표 [0] 2 111" xfId="11259"/>
    <cellStyle name="쉼표 [0] 2 112" xfId="11260"/>
    <cellStyle name="쉼표 [0] 2 113" xfId="11261"/>
    <cellStyle name="쉼표 [0] 2 114" xfId="11262"/>
    <cellStyle name="쉼표 [0] 2 115" xfId="11263"/>
    <cellStyle name="쉼표 [0] 2 116" xfId="11264"/>
    <cellStyle name="쉼표 [0] 2 117" xfId="11265"/>
    <cellStyle name="쉼표 [0] 2 118" xfId="11266"/>
    <cellStyle name="쉼표 [0] 2 119" xfId="11267"/>
    <cellStyle name="쉼표 [0] 2 12" xfId="11268"/>
    <cellStyle name="쉼표 [0] 2 120" xfId="11269"/>
    <cellStyle name="쉼표 [0] 2 121" xfId="11270"/>
    <cellStyle name="쉼표 [0] 2 122" xfId="11271"/>
    <cellStyle name="쉼표 [0] 2 123" xfId="11272"/>
    <cellStyle name="쉼표 [0] 2 124" xfId="11273"/>
    <cellStyle name="쉼표 [0] 2 125" xfId="11274"/>
    <cellStyle name="쉼표 [0] 2 126" xfId="11275"/>
    <cellStyle name="쉼표 [0] 2 127" xfId="11276"/>
    <cellStyle name="쉼표 [0] 2 128" xfId="11277"/>
    <cellStyle name="쉼표 [0] 2 129" xfId="11278"/>
    <cellStyle name="쉼표 [0] 2 13" xfId="11279"/>
    <cellStyle name="쉼표 [0] 2 130" xfId="11280"/>
    <cellStyle name="쉼표 [0] 2 131" xfId="11281"/>
    <cellStyle name="쉼표 [0] 2 132" xfId="11282"/>
    <cellStyle name="쉼표 [0] 2 133" xfId="11283"/>
    <cellStyle name="쉼표 [0] 2 134" xfId="11284"/>
    <cellStyle name="쉼표 [0] 2 135" xfId="11285"/>
    <cellStyle name="쉼표 [0] 2 136" xfId="11286"/>
    <cellStyle name="쉼표 [0] 2 137" xfId="11287"/>
    <cellStyle name="쉼표 [0] 2 138" xfId="11288"/>
    <cellStyle name="쉼표 [0] 2 139" xfId="11289"/>
    <cellStyle name="쉼표 [0] 2 14" xfId="11290"/>
    <cellStyle name="쉼표 [0] 2 140" xfId="11291"/>
    <cellStyle name="쉼표 [0] 2 141" xfId="11292"/>
    <cellStyle name="쉼표 [0] 2 142" xfId="11293"/>
    <cellStyle name="쉼표 [0] 2 143" xfId="11294"/>
    <cellStyle name="쉼표 [0] 2 144" xfId="11295"/>
    <cellStyle name="쉼표 [0] 2 145" xfId="11296"/>
    <cellStyle name="쉼표 [0] 2 146" xfId="11297"/>
    <cellStyle name="쉼표 [0] 2 147" xfId="11298"/>
    <cellStyle name="쉼표 [0] 2 148" xfId="11299"/>
    <cellStyle name="쉼표 [0] 2 149" xfId="11300"/>
    <cellStyle name="쉼표 [0] 2 15" xfId="11301"/>
    <cellStyle name="쉼표 [0] 2 150" xfId="11302"/>
    <cellStyle name="쉼표 [0] 2 151" xfId="11303"/>
    <cellStyle name="쉼표 [0] 2 152" xfId="11304"/>
    <cellStyle name="쉼표 [0] 2 153" xfId="11305"/>
    <cellStyle name="쉼표 [0] 2 154" xfId="11306"/>
    <cellStyle name="쉼표 [0] 2 155" xfId="11307"/>
    <cellStyle name="쉼표 [0] 2 156" xfId="11308"/>
    <cellStyle name="쉼표 [0] 2 157" xfId="11309"/>
    <cellStyle name="쉼표 [0] 2 158" xfId="11310"/>
    <cellStyle name="쉼표 [0] 2 159" xfId="11311"/>
    <cellStyle name="쉼표 [0] 2 16" xfId="11312"/>
    <cellStyle name="쉼표 [0] 2 160" xfId="11313"/>
    <cellStyle name="쉼표 [0] 2 161" xfId="11314"/>
    <cellStyle name="쉼표 [0] 2 162" xfId="11315"/>
    <cellStyle name="쉼표 [0] 2 163" xfId="11316"/>
    <cellStyle name="쉼표 [0] 2 164" xfId="11317"/>
    <cellStyle name="쉼표 [0] 2 165" xfId="11318"/>
    <cellStyle name="쉼표 [0] 2 166" xfId="11319"/>
    <cellStyle name="쉼표 [0] 2 167" xfId="11320"/>
    <cellStyle name="쉼표 [0] 2 168" xfId="11321"/>
    <cellStyle name="쉼표 [0] 2 169" xfId="11322"/>
    <cellStyle name="쉼표 [0] 2 17" xfId="11323"/>
    <cellStyle name="쉼표 [0] 2 170" xfId="11324"/>
    <cellStyle name="쉼표 [0] 2 171" xfId="11325"/>
    <cellStyle name="쉼표 [0] 2 172" xfId="11326"/>
    <cellStyle name="쉼표 [0] 2 173" xfId="11327"/>
    <cellStyle name="쉼표 [0] 2 174" xfId="11328"/>
    <cellStyle name="쉼표 [0] 2 175" xfId="11329"/>
    <cellStyle name="쉼표 [0] 2 176" xfId="11330"/>
    <cellStyle name="쉼표 [0] 2 177" xfId="11331"/>
    <cellStyle name="쉼표 [0] 2 178" xfId="11332"/>
    <cellStyle name="쉼표 [0] 2 179" xfId="11333"/>
    <cellStyle name="쉼표 [0] 2 18" xfId="11334"/>
    <cellStyle name="쉼표 [0] 2 180" xfId="11335"/>
    <cellStyle name="쉼표 [0] 2 181" xfId="11336"/>
    <cellStyle name="쉼표 [0] 2 182" xfId="11337"/>
    <cellStyle name="쉼표 [0] 2 183" xfId="11338"/>
    <cellStyle name="쉼표 [0] 2 184" xfId="11339"/>
    <cellStyle name="쉼표 [0] 2 185" xfId="11340"/>
    <cellStyle name="쉼표 [0] 2 186" xfId="11341"/>
    <cellStyle name="쉼표 [0] 2 187" xfId="11342"/>
    <cellStyle name="쉼표 [0] 2 188" xfId="11343"/>
    <cellStyle name="쉼표 [0] 2 189" xfId="11344"/>
    <cellStyle name="쉼표 [0] 2 19" xfId="11345"/>
    <cellStyle name="쉼표 [0] 2 190" xfId="11346"/>
    <cellStyle name="쉼표 [0] 2 191" xfId="11347"/>
    <cellStyle name="쉼표 [0] 2 192" xfId="11348"/>
    <cellStyle name="쉼표 [0] 2 193" xfId="11349"/>
    <cellStyle name="쉼표 [0] 2 194" xfId="11350"/>
    <cellStyle name="쉼표 [0] 2 195" xfId="11351"/>
    <cellStyle name="쉼표 [0] 2 196" xfId="11352"/>
    <cellStyle name="쉼표 [0] 2 197" xfId="11353"/>
    <cellStyle name="쉼표 [0] 2 198" xfId="11354"/>
    <cellStyle name="쉼표 [0] 2 199" xfId="11355"/>
    <cellStyle name="쉼표 [0] 2 2" xfId="11356"/>
    <cellStyle name="쉼표 [0] 2 20" xfId="11357"/>
    <cellStyle name="쉼표 [0] 2 200" xfId="11358"/>
    <cellStyle name="쉼표 [0] 2 201" xfId="11359"/>
    <cellStyle name="쉼표 [0] 2 202" xfId="11360"/>
    <cellStyle name="쉼표 [0] 2 203" xfId="11361"/>
    <cellStyle name="쉼표 [0] 2 204" xfId="11362"/>
    <cellStyle name="쉼표 [0] 2 205" xfId="11363"/>
    <cellStyle name="쉼표 [0] 2 206" xfId="11364"/>
    <cellStyle name="쉼표 [0] 2 207" xfId="11365"/>
    <cellStyle name="쉼표 [0] 2 208" xfId="11366"/>
    <cellStyle name="쉼표 [0] 2 209" xfId="11367"/>
    <cellStyle name="쉼표 [0] 2 21" xfId="11368"/>
    <cellStyle name="쉼표 [0] 2 210" xfId="11369"/>
    <cellStyle name="쉼표 [0] 2 211" xfId="11370"/>
    <cellStyle name="쉼표 [0] 2 212" xfId="11371"/>
    <cellStyle name="쉼표 [0] 2 213" xfId="11372"/>
    <cellStyle name="쉼표 [0] 2 214" xfId="11373"/>
    <cellStyle name="쉼표 [0] 2 215" xfId="11374"/>
    <cellStyle name="쉼표 [0] 2 216" xfId="11375"/>
    <cellStyle name="쉼표 [0] 2 217" xfId="11376"/>
    <cellStyle name="쉼표 [0] 2 218" xfId="11377"/>
    <cellStyle name="쉼표 [0] 2 219" xfId="11378"/>
    <cellStyle name="쉼표 [0] 2 22" xfId="11379"/>
    <cellStyle name="쉼표 [0] 2 220" xfId="11380"/>
    <cellStyle name="쉼표 [0] 2 221" xfId="11381"/>
    <cellStyle name="쉼표 [0] 2 222" xfId="11382"/>
    <cellStyle name="쉼표 [0] 2 223" xfId="11383"/>
    <cellStyle name="쉼표 [0] 2 224" xfId="11384"/>
    <cellStyle name="쉼표 [0] 2 225" xfId="11385"/>
    <cellStyle name="쉼표 [0] 2 226" xfId="11386"/>
    <cellStyle name="쉼표 [0] 2 227" xfId="11387"/>
    <cellStyle name="쉼표 [0] 2 228" xfId="11388"/>
    <cellStyle name="쉼표 [0] 2 229" xfId="11389"/>
    <cellStyle name="쉼표 [0] 2 23" xfId="11390"/>
    <cellStyle name="쉼표 [0] 2 230" xfId="11391"/>
    <cellStyle name="쉼표 [0] 2 231" xfId="11392"/>
    <cellStyle name="쉼표 [0] 2 232" xfId="11393"/>
    <cellStyle name="쉼표 [0] 2 233" xfId="11394"/>
    <cellStyle name="쉼표 [0] 2 234" xfId="11395"/>
    <cellStyle name="쉼표 [0] 2 235" xfId="11396"/>
    <cellStyle name="쉼표 [0] 2 236" xfId="11397"/>
    <cellStyle name="쉼표 [0] 2 237" xfId="11398"/>
    <cellStyle name="쉼표 [0] 2 238" xfId="11399"/>
    <cellStyle name="쉼표 [0] 2 239" xfId="11400"/>
    <cellStyle name="쉼표 [0] 2 24" xfId="11401"/>
    <cellStyle name="쉼표 [0] 2 240" xfId="11402"/>
    <cellStyle name="쉼표 [0] 2 241" xfId="11403"/>
    <cellStyle name="쉼표 [0] 2 242" xfId="11404"/>
    <cellStyle name="쉼표 [0] 2 243" xfId="11405"/>
    <cellStyle name="쉼표 [0] 2 244" xfId="11406"/>
    <cellStyle name="쉼표 [0] 2 245" xfId="11407"/>
    <cellStyle name="쉼표 [0] 2 246" xfId="11408"/>
    <cellStyle name="쉼표 [0] 2 247" xfId="11409"/>
    <cellStyle name="쉼표 [0] 2 248" xfId="11410"/>
    <cellStyle name="쉼표 [0] 2 249" xfId="11411"/>
    <cellStyle name="쉼표 [0] 2 25" xfId="11412"/>
    <cellStyle name="쉼표 [0] 2 250" xfId="11413"/>
    <cellStyle name="쉼표 [0] 2 251" xfId="11414"/>
    <cellStyle name="쉼표 [0] 2 252" xfId="11415"/>
    <cellStyle name="쉼표 [0] 2 26" xfId="11416"/>
    <cellStyle name="쉼표 [0] 2 27" xfId="11417"/>
    <cellStyle name="쉼표 [0] 2 28" xfId="11418"/>
    <cellStyle name="쉼표 [0] 2 29" xfId="11419"/>
    <cellStyle name="쉼표 [0] 2 3" xfId="11420"/>
    <cellStyle name="쉼표 [0] 2 30" xfId="11421"/>
    <cellStyle name="쉼표 [0] 2 31" xfId="11422"/>
    <cellStyle name="쉼표 [0] 2 32" xfId="11423"/>
    <cellStyle name="쉼표 [0] 2 33" xfId="11424"/>
    <cellStyle name="쉼표 [0] 2 34" xfId="11425"/>
    <cellStyle name="쉼표 [0] 2 35" xfId="11426"/>
    <cellStyle name="쉼표 [0] 2 36" xfId="11427"/>
    <cellStyle name="쉼표 [0] 2 37" xfId="11428"/>
    <cellStyle name="쉼표 [0] 2 38" xfId="11429"/>
    <cellStyle name="쉼표 [0] 2 39" xfId="11430"/>
    <cellStyle name="쉼표 [0] 2 4" xfId="11431"/>
    <cellStyle name="쉼표 [0] 2 40" xfId="11432"/>
    <cellStyle name="쉼표 [0] 2 41" xfId="11433"/>
    <cellStyle name="쉼표 [0] 2 42" xfId="11434"/>
    <cellStyle name="쉼표 [0] 2 43" xfId="11435"/>
    <cellStyle name="쉼표 [0] 2 44" xfId="11436"/>
    <cellStyle name="쉼표 [0] 2 45" xfId="11437"/>
    <cellStyle name="쉼표 [0] 2 46" xfId="11438"/>
    <cellStyle name="쉼표 [0] 2 47" xfId="11439"/>
    <cellStyle name="쉼표 [0] 2 48" xfId="11440"/>
    <cellStyle name="쉼표 [0] 2 49" xfId="11441"/>
    <cellStyle name="쉼표 [0] 2 5" xfId="11442"/>
    <cellStyle name="쉼표 [0] 2 50" xfId="11443"/>
    <cellStyle name="쉼표 [0] 2 51" xfId="11444"/>
    <cellStyle name="쉼표 [0] 2 52" xfId="11445"/>
    <cellStyle name="쉼표 [0] 2 53" xfId="11446"/>
    <cellStyle name="쉼표 [0] 2 54" xfId="11447"/>
    <cellStyle name="쉼표 [0] 2 55" xfId="11448"/>
    <cellStyle name="쉼표 [0] 2 56" xfId="11449"/>
    <cellStyle name="쉼표 [0] 2 57" xfId="11450"/>
    <cellStyle name="쉼표 [0] 2 58" xfId="11451"/>
    <cellStyle name="쉼표 [0] 2 59" xfId="11452"/>
    <cellStyle name="쉼표 [0] 2 6" xfId="11453"/>
    <cellStyle name="쉼표 [0] 2 60" xfId="11454"/>
    <cellStyle name="쉼표 [0] 2 61" xfId="11455"/>
    <cellStyle name="쉼표 [0] 2 62" xfId="11456"/>
    <cellStyle name="쉼표 [0] 2 63" xfId="11457"/>
    <cellStyle name="쉼표 [0] 2 64" xfId="11458"/>
    <cellStyle name="쉼표 [0] 2 65" xfId="11459"/>
    <cellStyle name="쉼표 [0] 2 66" xfId="11460"/>
    <cellStyle name="쉼표 [0] 2 67" xfId="11461"/>
    <cellStyle name="쉼표 [0] 2 68" xfId="11462"/>
    <cellStyle name="쉼표 [0] 2 69" xfId="11463"/>
    <cellStyle name="쉼표 [0] 2 7" xfId="11464"/>
    <cellStyle name="쉼표 [0] 2 70" xfId="11465"/>
    <cellStyle name="쉼표 [0] 2 71" xfId="11466"/>
    <cellStyle name="쉼표 [0] 2 72" xfId="11467"/>
    <cellStyle name="쉼표 [0] 2 73" xfId="11468"/>
    <cellStyle name="쉼표 [0] 2 74" xfId="11469"/>
    <cellStyle name="쉼표 [0] 2 75" xfId="11470"/>
    <cellStyle name="쉼표 [0] 2 76" xfId="11471"/>
    <cellStyle name="쉼표 [0] 2 77" xfId="11472"/>
    <cellStyle name="쉼표 [0] 2 78" xfId="11473"/>
    <cellStyle name="쉼표 [0] 2 79" xfId="11474"/>
    <cellStyle name="쉼표 [0] 2 8" xfId="11475"/>
    <cellStyle name="쉼표 [0] 2 8 2" xfId="11476"/>
    <cellStyle name="쉼표 [0] 2 80" xfId="11477"/>
    <cellStyle name="쉼표 [0] 2 81" xfId="11478"/>
    <cellStyle name="쉼표 [0] 2 82" xfId="11479"/>
    <cellStyle name="쉼표 [0] 2 83" xfId="11480"/>
    <cellStyle name="쉼표 [0] 2 84" xfId="11481"/>
    <cellStyle name="쉼표 [0] 2 85" xfId="11482"/>
    <cellStyle name="쉼표 [0] 2 86" xfId="11483"/>
    <cellStyle name="쉼표 [0] 2 87" xfId="11484"/>
    <cellStyle name="쉼표 [0] 2 88" xfId="11485"/>
    <cellStyle name="쉼표 [0] 2 89" xfId="11486"/>
    <cellStyle name="쉼표 [0] 2 9" xfId="11487"/>
    <cellStyle name="쉼표 [0] 2 9 2" xfId="11488"/>
    <cellStyle name="쉼표 [0] 2 90" xfId="11489"/>
    <cellStyle name="쉼표 [0] 2 91" xfId="11490"/>
    <cellStyle name="쉼표 [0] 2 92" xfId="11491"/>
    <cellStyle name="쉼표 [0] 2 93" xfId="11492"/>
    <cellStyle name="쉼표 [0] 2 94" xfId="11493"/>
    <cellStyle name="쉼표 [0] 2 95" xfId="11494"/>
    <cellStyle name="쉼표 [0] 2 96" xfId="11495"/>
    <cellStyle name="쉼표 [0] 2 97" xfId="11496"/>
    <cellStyle name="쉼표 [0] 2 98" xfId="11497"/>
    <cellStyle name="쉼표 [0] 2 99" xfId="11498"/>
    <cellStyle name="쉼표 [0] 3" xfId="11499"/>
    <cellStyle name="쉼표 [0] 3 2" xfId="11500"/>
    <cellStyle name="쉼표 [0] 3 2 2" xfId="11501"/>
    <cellStyle name="쉼표 [0] 3 2 3" xfId="11502"/>
    <cellStyle name="쉼표 [0] 3 3" xfId="11503"/>
    <cellStyle name="쉼표 [0] 3 4" xfId="11504"/>
    <cellStyle name="쉼표 [0] 3 5" xfId="11505"/>
    <cellStyle name="쉼표 [0] 4" xfId="11506"/>
    <cellStyle name="쉼표 [0] 4 2" xfId="11507"/>
    <cellStyle name="쉼표 [0] 4 2 2" xfId="11508"/>
    <cellStyle name="쉼표 [0] 5" xfId="11509"/>
    <cellStyle name="쉼표 [0] 5 2" xfId="11510"/>
    <cellStyle name="쉼표 [0] 6" xfId="11511"/>
    <cellStyle name="쉼표 [0] 6 2" xfId="11512"/>
    <cellStyle name="쉼표 [0] 7" xfId="11513"/>
    <cellStyle name="쉼표 [0] 8" xfId="11514"/>
    <cellStyle name="쉼표 [0] 8 2" xfId="11515"/>
    <cellStyle name="쉼표 [0] 9" xfId="11516"/>
    <cellStyle name="쉼표 [0] 9 2" xfId="11517"/>
    <cellStyle name="쉼표 2" xfId="11518"/>
    <cellStyle name="쉼표 2 10" xfId="11519"/>
    <cellStyle name="쉼표 2 100" xfId="11520"/>
    <cellStyle name="쉼표 2 101" xfId="11521"/>
    <cellStyle name="쉼표 2 102" xfId="11522"/>
    <cellStyle name="쉼표 2 103" xfId="11523"/>
    <cellStyle name="쉼표 2 104" xfId="11524"/>
    <cellStyle name="쉼표 2 105" xfId="11525"/>
    <cellStyle name="쉼표 2 106" xfId="11526"/>
    <cellStyle name="쉼표 2 107" xfId="11527"/>
    <cellStyle name="쉼표 2 108" xfId="11528"/>
    <cellStyle name="쉼표 2 109" xfId="11529"/>
    <cellStyle name="쉼표 2 11" xfId="11530"/>
    <cellStyle name="쉼표 2 110" xfId="11531"/>
    <cellStyle name="쉼표 2 111" xfId="11532"/>
    <cellStyle name="쉼표 2 112" xfId="11533"/>
    <cellStyle name="쉼표 2 113" xfId="11534"/>
    <cellStyle name="쉼표 2 114" xfId="11535"/>
    <cellStyle name="쉼표 2 115" xfId="11536"/>
    <cellStyle name="쉼표 2 116" xfId="11537"/>
    <cellStyle name="쉼표 2 117" xfId="11538"/>
    <cellStyle name="쉼표 2 118" xfId="11539"/>
    <cellStyle name="쉼표 2 119" xfId="11540"/>
    <cellStyle name="쉼표 2 12" xfId="11541"/>
    <cellStyle name="쉼표 2 120" xfId="11542"/>
    <cellStyle name="쉼표 2 121" xfId="11543"/>
    <cellStyle name="쉼표 2 122" xfId="11544"/>
    <cellStyle name="쉼표 2 123" xfId="11545"/>
    <cellStyle name="쉼표 2 124" xfId="11546"/>
    <cellStyle name="쉼표 2 125" xfId="11547"/>
    <cellStyle name="쉼표 2 126" xfId="11548"/>
    <cellStyle name="쉼표 2 127" xfId="11549"/>
    <cellStyle name="쉼표 2 128" xfId="11550"/>
    <cellStyle name="쉼표 2 129" xfId="11551"/>
    <cellStyle name="쉼표 2 13" xfId="11552"/>
    <cellStyle name="쉼표 2 130" xfId="11553"/>
    <cellStyle name="쉼표 2 131" xfId="11554"/>
    <cellStyle name="쉼표 2 132" xfId="11555"/>
    <cellStyle name="쉼표 2 133" xfId="11556"/>
    <cellStyle name="쉼표 2 134" xfId="11557"/>
    <cellStyle name="쉼표 2 135" xfId="11558"/>
    <cellStyle name="쉼표 2 136" xfId="11559"/>
    <cellStyle name="쉼표 2 137" xfId="11560"/>
    <cellStyle name="쉼표 2 138" xfId="11561"/>
    <cellStyle name="쉼표 2 139" xfId="11562"/>
    <cellStyle name="쉼표 2 14" xfId="11563"/>
    <cellStyle name="쉼표 2 140" xfId="11564"/>
    <cellStyle name="쉼표 2 141" xfId="11565"/>
    <cellStyle name="쉼표 2 142" xfId="11566"/>
    <cellStyle name="쉼표 2 143" xfId="11567"/>
    <cellStyle name="쉼표 2 144" xfId="11568"/>
    <cellStyle name="쉼표 2 145" xfId="11569"/>
    <cellStyle name="쉼표 2 146" xfId="11570"/>
    <cellStyle name="쉼표 2 147" xfId="11571"/>
    <cellStyle name="쉼표 2 148" xfId="11572"/>
    <cellStyle name="쉼표 2 149" xfId="11573"/>
    <cellStyle name="쉼표 2 15" xfId="11574"/>
    <cellStyle name="쉼표 2 150" xfId="11575"/>
    <cellStyle name="쉼표 2 151" xfId="11576"/>
    <cellStyle name="쉼표 2 152" xfId="11577"/>
    <cellStyle name="쉼표 2 153" xfId="11578"/>
    <cellStyle name="쉼표 2 154" xfId="11579"/>
    <cellStyle name="쉼표 2 155" xfId="11580"/>
    <cellStyle name="쉼표 2 156" xfId="11581"/>
    <cellStyle name="쉼표 2 157" xfId="11582"/>
    <cellStyle name="쉼표 2 158" xfId="11583"/>
    <cellStyle name="쉼표 2 159" xfId="11584"/>
    <cellStyle name="쉼표 2 16" xfId="11585"/>
    <cellStyle name="쉼표 2 160" xfId="11586"/>
    <cellStyle name="쉼표 2 161" xfId="11587"/>
    <cellStyle name="쉼표 2 162" xfId="11588"/>
    <cellStyle name="쉼표 2 163" xfId="11589"/>
    <cellStyle name="쉼표 2 164" xfId="11590"/>
    <cellStyle name="쉼표 2 165" xfId="11591"/>
    <cellStyle name="쉼표 2 166" xfId="11592"/>
    <cellStyle name="쉼표 2 167" xfId="11593"/>
    <cellStyle name="쉼표 2 168" xfId="11594"/>
    <cellStyle name="쉼표 2 169" xfId="11595"/>
    <cellStyle name="쉼표 2 17" xfId="11596"/>
    <cellStyle name="쉼표 2 170" xfId="11597"/>
    <cellStyle name="쉼표 2 171" xfId="11598"/>
    <cellStyle name="쉼표 2 172" xfId="11599"/>
    <cellStyle name="쉼표 2 173" xfId="11600"/>
    <cellStyle name="쉼표 2 174" xfId="11601"/>
    <cellStyle name="쉼표 2 175" xfId="11602"/>
    <cellStyle name="쉼표 2 176" xfId="11603"/>
    <cellStyle name="쉼표 2 177" xfId="11604"/>
    <cellStyle name="쉼표 2 178" xfId="11605"/>
    <cellStyle name="쉼표 2 179" xfId="11606"/>
    <cellStyle name="쉼표 2 18" xfId="11607"/>
    <cellStyle name="쉼표 2 180" xfId="11608"/>
    <cellStyle name="쉼표 2 181" xfId="11609"/>
    <cellStyle name="쉼표 2 182" xfId="11610"/>
    <cellStyle name="쉼표 2 183" xfId="11611"/>
    <cellStyle name="쉼표 2 184" xfId="11612"/>
    <cellStyle name="쉼표 2 185" xfId="11613"/>
    <cellStyle name="쉼표 2 186" xfId="11614"/>
    <cellStyle name="쉼표 2 187" xfId="11615"/>
    <cellStyle name="쉼표 2 188" xfId="11616"/>
    <cellStyle name="쉼표 2 189" xfId="11617"/>
    <cellStyle name="쉼표 2 19" xfId="11618"/>
    <cellStyle name="쉼표 2 190" xfId="11619"/>
    <cellStyle name="쉼표 2 191" xfId="11620"/>
    <cellStyle name="쉼표 2 192" xfId="11621"/>
    <cellStyle name="쉼표 2 193" xfId="11622"/>
    <cellStyle name="쉼표 2 194" xfId="11623"/>
    <cellStyle name="쉼표 2 195" xfId="11624"/>
    <cellStyle name="쉼표 2 196" xfId="11625"/>
    <cellStyle name="쉼표 2 197" xfId="11626"/>
    <cellStyle name="쉼표 2 198" xfId="11627"/>
    <cellStyle name="쉼표 2 199" xfId="11628"/>
    <cellStyle name="쉼표 2 2" xfId="11629"/>
    <cellStyle name="쉼표 2 20" xfId="11630"/>
    <cellStyle name="쉼표 2 200" xfId="11631"/>
    <cellStyle name="쉼표 2 201" xfId="11632"/>
    <cellStyle name="쉼표 2 202" xfId="11633"/>
    <cellStyle name="쉼표 2 203" xfId="11634"/>
    <cellStyle name="쉼표 2 204" xfId="11635"/>
    <cellStyle name="쉼표 2 205" xfId="11636"/>
    <cellStyle name="쉼표 2 206" xfId="11637"/>
    <cellStyle name="쉼표 2 207" xfId="11638"/>
    <cellStyle name="쉼표 2 208" xfId="11639"/>
    <cellStyle name="쉼표 2 209" xfId="11640"/>
    <cellStyle name="쉼표 2 21" xfId="11641"/>
    <cellStyle name="쉼표 2 210" xfId="11642"/>
    <cellStyle name="쉼표 2 211" xfId="11643"/>
    <cellStyle name="쉼표 2 212" xfId="11644"/>
    <cellStyle name="쉼표 2 213" xfId="11645"/>
    <cellStyle name="쉼표 2 214" xfId="11646"/>
    <cellStyle name="쉼표 2 215" xfId="11647"/>
    <cellStyle name="쉼표 2 216" xfId="11648"/>
    <cellStyle name="쉼표 2 217" xfId="11649"/>
    <cellStyle name="쉼표 2 218" xfId="11650"/>
    <cellStyle name="쉼표 2 219" xfId="11651"/>
    <cellStyle name="쉼표 2 22" xfId="11652"/>
    <cellStyle name="쉼표 2 220" xfId="11653"/>
    <cellStyle name="쉼표 2 221" xfId="11654"/>
    <cellStyle name="쉼표 2 222" xfId="11655"/>
    <cellStyle name="쉼표 2 223" xfId="11656"/>
    <cellStyle name="쉼표 2 224" xfId="11657"/>
    <cellStyle name="쉼표 2 225" xfId="11658"/>
    <cellStyle name="쉼표 2 226" xfId="11659"/>
    <cellStyle name="쉼표 2 227" xfId="11660"/>
    <cellStyle name="쉼표 2 228" xfId="11661"/>
    <cellStyle name="쉼표 2 229" xfId="11662"/>
    <cellStyle name="쉼표 2 23" xfId="11663"/>
    <cellStyle name="쉼표 2 230" xfId="11664"/>
    <cellStyle name="쉼표 2 231" xfId="11665"/>
    <cellStyle name="쉼표 2 232" xfId="11666"/>
    <cellStyle name="쉼표 2 233" xfId="11667"/>
    <cellStyle name="쉼표 2 234" xfId="11668"/>
    <cellStyle name="쉼표 2 235" xfId="11669"/>
    <cellStyle name="쉼표 2 236" xfId="11670"/>
    <cellStyle name="쉼표 2 237" xfId="11671"/>
    <cellStyle name="쉼표 2 238" xfId="11672"/>
    <cellStyle name="쉼표 2 239" xfId="11673"/>
    <cellStyle name="쉼표 2 24" xfId="11674"/>
    <cellStyle name="쉼표 2 240" xfId="11675"/>
    <cellStyle name="쉼표 2 241" xfId="11676"/>
    <cellStyle name="쉼표 2 242" xfId="11677"/>
    <cellStyle name="쉼표 2 25" xfId="11678"/>
    <cellStyle name="쉼표 2 26" xfId="11679"/>
    <cellStyle name="쉼표 2 27" xfId="11680"/>
    <cellStyle name="쉼표 2 28" xfId="11681"/>
    <cellStyle name="쉼표 2 29" xfId="11682"/>
    <cellStyle name="쉼표 2 3" xfId="11683"/>
    <cellStyle name="쉼표 2 30" xfId="11684"/>
    <cellStyle name="쉼표 2 31" xfId="11685"/>
    <cellStyle name="쉼표 2 32" xfId="11686"/>
    <cellStyle name="쉼표 2 33" xfId="11687"/>
    <cellStyle name="쉼표 2 34" xfId="11688"/>
    <cellStyle name="쉼표 2 35" xfId="11689"/>
    <cellStyle name="쉼표 2 36" xfId="11690"/>
    <cellStyle name="쉼표 2 37" xfId="11691"/>
    <cellStyle name="쉼표 2 38" xfId="11692"/>
    <cellStyle name="쉼표 2 39" xfId="11693"/>
    <cellStyle name="쉼표 2 4" xfId="11694"/>
    <cellStyle name="쉼표 2 40" xfId="11695"/>
    <cellStyle name="쉼표 2 41" xfId="11696"/>
    <cellStyle name="쉼표 2 42" xfId="11697"/>
    <cellStyle name="쉼표 2 43" xfId="11698"/>
    <cellStyle name="쉼표 2 44" xfId="11699"/>
    <cellStyle name="쉼표 2 45" xfId="11700"/>
    <cellStyle name="쉼표 2 46" xfId="11701"/>
    <cellStyle name="쉼표 2 47" xfId="11702"/>
    <cellStyle name="쉼표 2 48" xfId="11703"/>
    <cellStyle name="쉼표 2 49" xfId="11704"/>
    <cellStyle name="쉼표 2 5" xfId="11705"/>
    <cellStyle name="쉼표 2 50" xfId="11706"/>
    <cellStyle name="쉼표 2 51" xfId="11707"/>
    <cellStyle name="쉼표 2 52" xfId="11708"/>
    <cellStyle name="쉼표 2 53" xfId="11709"/>
    <cellStyle name="쉼표 2 54" xfId="11710"/>
    <cellStyle name="쉼표 2 55" xfId="11711"/>
    <cellStyle name="쉼표 2 56" xfId="11712"/>
    <cellStyle name="쉼표 2 57" xfId="11713"/>
    <cellStyle name="쉼표 2 58" xfId="11714"/>
    <cellStyle name="쉼표 2 59" xfId="11715"/>
    <cellStyle name="쉼표 2 6" xfId="11716"/>
    <cellStyle name="쉼표 2 60" xfId="11717"/>
    <cellStyle name="쉼표 2 61" xfId="11718"/>
    <cellStyle name="쉼표 2 62" xfId="11719"/>
    <cellStyle name="쉼표 2 63" xfId="11720"/>
    <cellStyle name="쉼표 2 64" xfId="11721"/>
    <cellStyle name="쉼표 2 65" xfId="11722"/>
    <cellStyle name="쉼표 2 66" xfId="11723"/>
    <cellStyle name="쉼표 2 67" xfId="11724"/>
    <cellStyle name="쉼표 2 68" xfId="11725"/>
    <cellStyle name="쉼표 2 69" xfId="11726"/>
    <cellStyle name="쉼표 2 7" xfId="11727"/>
    <cellStyle name="쉼표 2 70" xfId="11728"/>
    <cellStyle name="쉼표 2 71" xfId="11729"/>
    <cellStyle name="쉼표 2 72" xfId="11730"/>
    <cellStyle name="쉼표 2 73" xfId="11731"/>
    <cellStyle name="쉼표 2 74" xfId="11732"/>
    <cellStyle name="쉼표 2 75" xfId="11733"/>
    <cellStyle name="쉼표 2 76" xfId="11734"/>
    <cellStyle name="쉼표 2 77" xfId="11735"/>
    <cellStyle name="쉼표 2 78" xfId="11736"/>
    <cellStyle name="쉼표 2 79" xfId="11737"/>
    <cellStyle name="쉼표 2 8" xfId="11738"/>
    <cellStyle name="쉼표 2 80" xfId="11739"/>
    <cellStyle name="쉼표 2 81" xfId="11740"/>
    <cellStyle name="쉼표 2 82" xfId="11741"/>
    <cellStyle name="쉼표 2 83" xfId="11742"/>
    <cellStyle name="쉼표 2 84" xfId="11743"/>
    <cellStyle name="쉼표 2 85" xfId="11744"/>
    <cellStyle name="쉼표 2 86" xfId="11745"/>
    <cellStyle name="쉼표 2 87" xfId="11746"/>
    <cellStyle name="쉼표 2 88" xfId="11747"/>
    <cellStyle name="쉼표 2 89" xfId="11748"/>
    <cellStyle name="쉼표 2 9" xfId="11749"/>
    <cellStyle name="쉼표 2 90" xfId="11750"/>
    <cellStyle name="쉼표 2 91" xfId="11751"/>
    <cellStyle name="쉼표 2 92" xfId="11752"/>
    <cellStyle name="쉼표 2 93" xfId="11753"/>
    <cellStyle name="쉼표 2 94" xfId="11754"/>
    <cellStyle name="쉼표 2 95" xfId="11755"/>
    <cellStyle name="쉼표 2 96" xfId="11756"/>
    <cellStyle name="쉼표 2 97" xfId="11757"/>
    <cellStyle name="쉼표 2 98" xfId="11758"/>
    <cellStyle name="쉼표 2 99" xfId="11759"/>
    <cellStyle name="스타일 1" xfId="11760"/>
    <cellStyle name="스타일 1 2" xfId="11761"/>
    <cellStyle name="스타일 1 3" xfId="11762"/>
    <cellStyle name="스타일 1 4" xfId="11763"/>
    <cellStyle name="스타일 10" xfId="11764"/>
    <cellStyle name="스타일 11" xfId="11765"/>
    <cellStyle name="스타일 12" xfId="11766"/>
    <cellStyle name="스타일 13" xfId="11767"/>
    <cellStyle name="스타일 14" xfId="11768"/>
    <cellStyle name="스타일 15" xfId="11769"/>
    <cellStyle name="스타일 15 2" xfId="11770"/>
    <cellStyle name="스타일 16" xfId="11771"/>
    <cellStyle name="스타일 17" xfId="11772"/>
    <cellStyle name="스타일 18" xfId="11773"/>
    <cellStyle name="스타일 19" xfId="11774"/>
    <cellStyle name="스타일 2" xfId="11775"/>
    <cellStyle name="스타일 20" xfId="11776"/>
    <cellStyle name="스타일 21" xfId="11777"/>
    <cellStyle name="스타일 22" xfId="11778"/>
    <cellStyle name="스타일 23" xfId="11779"/>
    <cellStyle name="스타일 24" xfId="11780"/>
    <cellStyle name="스타일 25" xfId="11781"/>
    <cellStyle name="스타일 26" xfId="11782"/>
    <cellStyle name="스타일 27" xfId="11783"/>
    <cellStyle name="스타일 28" xfId="11784"/>
    <cellStyle name="스타일 29" xfId="11785"/>
    <cellStyle name="스타일 3" xfId="11786"/>
    <cellStyle name="스타일 30" xfId="11787"/>
    <cellStyle name="스타일 31" xfId="11788"/>
    <cellStyle name="스타일 32" xfId="11789"/>
    <cellStyle name="스타일 33" xfId="11790"/>
    <cellStyle name="스타일 34" xfId="11791"/>
    <cellStyle name="스타일 35" xfId="11792"/>
    <cellStyle name="스타일 36" xfId="11793"/>
    <cellStyle name="스타일 37" xfId="11794"/>
    <cellStyle name="스타일 38" xfId="11795"/>
    <cellStyle name="스타일 39" xfId="11796"/>
    <cellStyle name="스타일 4" xfId="11797"/>
    <cellStyle name="스타일 40" xfId="11798"/>
    <cellStyle name="스타일 41" xfId="11799"/>
    <cellStyle name="스타일 42" xfId="11800"/>
    <cellStyle name="스타일 43" xfId="11801"/>
    <cellStyle name="스타일 44" xfId="11802"/>
    <cellStyle name="스타일 45" xfId="11803"/>
    <cellStyle name="스타일 46" xfId="11804"/>
    <cellStyle name="스타일 47" xfId="11805"/>
    <cellStyle name="스타일 5" xfId="11806"/>
    <cellStyle name="스타일 6" xfId="11807"/>
    <cellStyle name="스타일 7" xfId="11808"/>
    <cellStyle name="스타일 8" xfId="11809"/>
    <cellStyle name="스타일 8 2" xfId="11810"/>
    <cellStyle name="스타일 9" xfId="11811"/>
    <cellStyle name="연결된 셀 2" xfId="11812"/>
    <cellStyle name="연결된 셀 2 10" xfId="11813"/>
    <cellStyle name="연결된 셀 2 100" xfId="11814"/>
    <cellStyle name="연결된 셀 2 101" xfId="11815"/>
    <cellStyle name="연결된 셀 2 102" xfId="11816"/>
    <cellStyle name="연결된 셀 2 103" xfId="11817"/>
    <cellStyle name="연결된 셀 2 104" xfId="11818"/>
    <cellStyle name="연결된 셀 2 105" xfId="11819"/>
    <cellStyle name="연결된 셀 2 106" xfId="11820"/>
    <cellStyle name="연결된 셀 2 107" xfId="11821"/>
    <cellStyle name="연결된 셀 2 108" xfId="11822"/>
    <cellStyle name="연결된 셀 2 109" xfId="11823"/>
    <cellStyle name="연결된 셀 2 11" xfId="11824"/>
    <cellStyle name="연결된 셀 2 110" xfId="11825"/>
    <cellStyle name="연결된 셀 2 111" xfId="11826"/>
    <cellStyle name="연결된 셀 2 112" xfId="11827"/>
    <cellStyle name="연결된 셀 2 113" xfId="11828"/>
    <cellStyle name="연결된 셀 2 114" xfId="11829"/>
    <cellStyle name="연결된 셀 2 115" xfId="11830"/>
    <cellStyle name="연결된 셀 2 116" xfId="11831"/>
    <cellStyle name="연결된 셀 2 117" xfId="11832"/>
    <cellStyle name="연결된 셀 2 118" xfId="11833"/>
    <cellStyle name="연결된 셀 2 119" xfId="11834"/>
    <cellStyle name="연결된 셀 2 12" xfId="11835"/>
    <cellStyle name="연결된 셀 2 120" xfId="11836"/>
    <cellStyle name="연결된 셀 2 121" xfId="11837"/>
    <cellStyle name="연결된 셀 2 122" xfId="11838"/>
    <cellStyle name="연결된 셀 2 123" xfId="11839"/>
    <cellStyle name="연결된 셀 2 124" xfId="11840"/>
    <cellStyle name="연결된 셀 2 125" xfId="11841"/>
    <cellStyle name="연결된 셀 2 126" xfId="11842"/>
    <cellStyle name="연결된 셀 2 127" xfId="11843"/>
    <cellStyle name="연결된 셀 2 128" xfId="11844"/>
    <cellStyle name="연결된 셀 2 129" xfId="11845"/>
    <cellStyle name="연결된 셀 2 13" xfId="11846"/>
    <cellStyle name="연결된 셀 2 130" xfId="11847"/>
    <cellStyle name="연결된 셀 2 131" xfId="11848"/>
    <cellStyle name="연결된 셀 2 132" xfId="11849"/>
    <cellStyle name="연결된 셀 2 133" xfId="11850"/>
    <cellStyle name="연결된 셀 2 134" xfId="11851"/>
    <cellStyle name="연결된 셀 2 135" xfId="11852"/>
    <cellStyle name="연결된 셀 2 136" xfId="11853"/>
    <cellStyle name="연결된 셀 2 137" xfId="11854"/>
    <cellStyle name="연결된 셀 2 138" xfId="11855"/>
    <cellStyle name="연결된 셀 2 139" xfId="11856"/>
    <cellStyle name="연결된 셀 2 14" xfId="11857"/>
    <cellStyle name="연결된 셀 2 140" xfId="11858"/>
    <cellStyle name="연결된 셀 2 141" xfId="11859"/>
    <cellStyle name="연결된 셀 2 142" xfId="11860"/>
    <cellStyle name="연결된 셀 2 143" xfId="11861"/>
    <cellStyle name="연결된 셀 2 144" xfId="11862"/>
    <cellStyle name="연결된 셀 2 145" xfId="11863"/>
    <cellStyle name="연결된 셀 2 146" xfId="11864"/>
    <cellStyle name="연결된 셀 2 147" xfId="11865"/>
    <cellStyle name="연결된 셀 2 148" xfId="11866"/>
    <cellStyle name="연결된 셀 2 149" xfId="11867"/>
    <cellStyle name="연결된 셀 2 15" xfId="11868"/>
    <cellStyle name="연결된 셀 2 150" xfId="11869"/>
    <cellStyle name="연결된 셀 2 151" xfId="11870"/>
    <cellStyle name="연결된 셀 2 152" xfId="11871"/>
    <cellStyle name="연결된 셀 2 153" xfId="11872"/>
    <cellStyle name="연결된 셀 2 154" xfId="11873"/>
    <cellStyle name="연결된 셀 2 155" xfId="11874"/>
    <cellStyle name="연결된 셀 2 156" xfId="11875"/>
    <cellStyle name="연결된 셀 2 157" xfId="11876"/>
    <cellStyle name="연결된 셀 2 158" xfId="11877"/>
    <cellStyle name="연결된 셀 2 159" xfId="11878"/>
    <cellStyle name="연결된 셀 2 16" xfId="11879"/>
    <cellStyle name="연결된 셀 2 160" xfId="11880"/>
    <cellStyle name="연결된 셀 2 161" xfId="11881"/>
    <cellStyle name="연결된 셀 2 162" xfId="11882"/>
    <cellStyle name="연결된 셀 2 163" xfId="11883"/>
    <cellStyle name="연결된 셀 2 164" xfId="11884"/>
    <cellStyle name="연결된 셀 2 165" xfId="11885"/>
    <cellStyle name="연결된 셀 2 166" xfId="11886"/>
    <cellStyle name="연결된 셀 2 167" xfId="11887"/>
    <cellStyle name="연결된 셀 2 168" xfId="11888"/>
    <cellStyle name="연결된 셀 2 169" xfId="11889"/>
    <cellStyle name="연결된 셀 2 17" xfId="11890"/>
    <cellStyle name="연결된 셀 2 170" xfId="11891"/>
    <cellStyle name="연결된 셀 2 171" xfId="11892"/>
    <cellStyle name="연결된 셀 2 172" xfId="11893"/>
    <cellStyle name="연결된 셀 2 173" xfId="11894"/>
    <cellStyle name="연결된 셀 2 174" xfId="11895"/>
    <cellStyle name="연결된 셀 2 175" xfId="11896"/>
    <cellStyle name="연결된 셀 2 176" xfId="11897"/>
    <cellStyle name="연결된 셀 2 177" xfId="11898"/>
    <cellStyle name="연결된 셀 2 178" xfId="11899"/>
    <cellStyle name="연결된 셀 2 179" xfId="11900"/>
    <cellStyle name="연결된 셀 2 18" xfId="11901"/>
    <cellStyle name="연결된 셀 2 180" xfId="11902"/>
    <cellStyle name="연결된 셀 2 181" xfId="11903"/>
    <cellStyle name="연결된 셀 2 182" xfId="11904"/>
    <cellStyle name="연결된 셀 2 183" xfId="11905"/>
    <cellStyle name="연결된 셀 2 184" xfId="11906"/>
    <cellStyle name="연결된 셀 2 185" xfId="11907"/>
    <cellStyle name="연결된 셀 2 186" xfId="11908"/>
    <cellStyle name="연결된 셀 2 187" xfId="11909"/>
    <cellStyle name="연결된 셀 2 188" xfId="11910"/>
    <cellStyle name="연결된 셀 2 189" xfId="11911"/>
    <cellStyle name="연결된 셀 2 19" xfId="11912"/>
    <cellStyle name="연결된 셀 2 190" xfId="11913"/>
    <cellStyle name="연결된 셀 2 191" xfId="11914"/>
    <cellStyle name="연결된 셀 2 192" xfId="11915"/>
    <cellStyle name="연결된 셀 2 193" xfId="11916"/>
    <cellStyle name="연결된 셀 2 194" xfId="11917"/>
    <cellStyle name="연결된 셀 2 195" xfId="11918"/>
    <cellStyle name="연결된 셀 2 196" xfId="11919"/>
    <cellStyle name="연결된 셀 2 197" xfId="11920"/>
    <cellStyle name="연결된 셀 2 198" xfId="11921"/>
    <cellStyle name="연결된 셀 2 199" xfId="11922"/>
    <cellStyle name="연결된 셀 2 2" xfId="11923"/>
    <cellStyle name="연결된 셀 2 20" xfId="11924"/>
    <cellStyle name="연결된 셀 2 200" xfId="11925"/>
    <cellStyle name="연결된 셀 2 201" xfId="11926"/>
    <cellStyle name="연결된 셀 2 202" xfId="11927"/>
    <cellStyle name="연결된 셀 2 203" xfId="11928"/>
    <cellStyle name="연결된 셀 2 204" xfId="11929"/>
    <cellStyle name="연결된 셀 2 205" xfId="11930"/>
    <cellStyle name="연결된 셀 2 206" xfId="11931"/>
    <cellStyle name="연결된 셀 2 207" xfId="11932"/>
    <cellStyle name="연결된 셀 2 208" xfId="11933"/>
    <cellStyle name="연결된 셀 2 209" xfId="11934"/>
    <cellStyle name="연결된 셀 2 21" xfId="11935"/>
    <cellStyle name="연결된 셀 2 210" xfId="11936"/>
    <cellStyle name="연결된 셀 2 211" xfId="11937"/>
    <cellStyle name="연결된 셀 2 212" xfId="11938"/>
    <cellStyle name="연결된 셀 2 213" xfId="11939"/>
    <cellStyle name="연결된 셀 2 214" xfId="11940"/>
    <cellStyle name="연결된 셀 2 215" xfId="11941"/>
    <cellStyle name="연결된 셀 2 216" xfId="11942"/>
    <cellStyle name="연결된 셀 2 217" xfId="11943"/>
    <cellStyle name="연결된 셀 2 218" xfId="11944"/>
    <cellStyle name="연결된 셀 2 219" xfId="11945"/>
    <cellStyle name="연결된 셀 2 22" xfId="11946"/>
    <cellStyle name="연결된 셀 2 220" xfId="11947"/>
    <cellStyle name="연결된 셀 2 221" xfId="11948"/>
    <cellStyle name="연결된 셀 2 222" xfId="11949"/>
    <cellStyle name="연결된 셀 2 223" xfId="11950"/>
    <cellStyle name="연결된 셀 2 224" xfId="11951"/>
    <cellStyle name="연결된 셀 2 225" xfId="11952"/>
    <cellStyle name="연결된 셀 2 226" xfId="11953"/>
    <cellStyle name="연결된 셀 2 227" xfId="11954"/>
    <cellStyle name="연결된 셀 2 228" xfId="11955"/>
    <cellStyle name="연결된 셀 2 229" xfId="11956"/>
    <cellStyle name="연결된 셀 2 23" xfId="11957"/>
    <cellStyle name="연결된 셀 2 230" xfId="11958"/>
    <cellStyle name="연결된 셀 2 231" xfId="11959"/>
    <cellStyle name="연결된 셀 2 232" xfId="11960"/>
    <cellStyle name="연결된 셀 2 233" xfId="11961"/>
    <cellStyle name="연결된 셀 2 234" xfId="11962"/>
    <cellStyle name="연결된 셀 2 235" xfId="11963"/>
    <cellStyle name="연결된 셀 2 236" xfId="11964"/>
    <cellStyle name="연결된 셀 2 237" xfId="11965"/>
    <cellStyle name="연결된 셀 2 238" xfId="11966"/>
    <cellStyle name="연결된 셀 2 239" xfId="11967"/>
    <cellStyle name="연결된 셀 2 24" xfId="11968"/>
    <cellStyle name="연결된 셀 2 240" xfId="11969"/>
    <cellStyle name="연결된 셀 2 241" xfId="11970"/>
    <cellStyle name="연결된 셀 2 25" xfId="11971"/>
    <cellStyle name="연결된 셀 2 26" xfId="11972"/>
    <cellStyle name="연결된 셀 2 27" xfId="11973"/>
    <cellStyle name="연결된 셀 2 28" xfId="11974"/>
    <cellStyle name="연결된 셀 2 29" xfId="11975"/>
    <cellStyle name="연결된 셀 2 3" xfId="11976"/>
    <cellStyle name="연결된 셀 2 30" xfId="11977"/>
    <cellStyle name="연결된 셀 2 31" xfId="11978"/>
    <cellStyle name="연결된 셀 2 32" xfId="11979"/>
    <cellStyle name="연결된 셀 2 33" xfId="11980"/>
    <cellStyle name="연결된 셀 2 34" xfId="11981"/>
    <cellStyle name="연결된 셀 2 35" xfId="11982"/>
    <cellStyle name="연결된 셀 2 36" xfId="11983"/>
    <cellStyle name="연결된 셀 2 37" xfId="11984"/>
    <cellStyle name="연결된 셀 2 38" xfId="11985"/>
    <cellStyle name="연결된 셀 2 39" xfId="11986"/>
    <cellStyle name="연결된 셀 2 4" xfId="11987"/>
    <cellStyle name="연결된 셀 2 40" xfId="11988"/>
    <cellStyle name="연결된 셀 2 41" xfId="11989"/>
    <cellStyle name="연결된 셀 2 42" xfId="11990"/>
    <cellStyle name="연결된 셀 2 43" xfId="11991"/>
    <cellStyle name="연결된 셀 2 44" xfId="11992"/>
    <cellStyle name="연결된 셀 2 45" xfId="11993"/>
    <cellStyle name="연결된 셀 2 46" xfId="11994"/>
    <cellStyle name="연결된 셀 2 47" xfId="11995"/>
    <cellStyle name="연결된 셀 2 48" xfId="11996"/>
    <cellStyle name="연결된 셀 2 49" xfId="11997"/>
    <cellStyle name="연결된 셀 2 5" xfId="11998"/>
    <cellStyle name="연결된 셀 2 50" xfId="11999"/>
    <cellStyle name="연결된 셀 2 51" xfId="12000"/>
    <cellStyle name="연결된 셀 2 52" xfId="12001"/>
    <cellStyle name="연결된 셀 2 53" xfId="12002"/>
    <cellStyle name="연결된 셀 2 54" xfId="12003"/>
    <cellStyle name="연결된 셀 2 55" xfId="12004"/>
    <cellStyle name="연결된 셀 2 56" xfId="12005"/>
    <cellStyle name="연결된 셀 2 57" xfId="12006"/>
    <cellStyle name="연결된 셀 2 58" xfId="12007"/>
    <cellStyle name="연결된 셀 2 59" xfId="12008"/>
    <cellStyle name="연결된 셀 2 6" xfId="12009"/>
    <cellStyle name="연결된 셀 2 60" xfId="12010"/>
    <cellStyle name="연결된 셀 2 61" xfId="12011"/>
    <cellStyle name="연결된 셀 2 62" xfId="12012"/>
    <cellStyle name="연결된 셀 2 63" xfId="12013"/>
    <cellStyle name="연결된 셀 2 64" xfId="12014"/>
    <cellStyle name="연결된 셀 2 65" xfId="12015"/>
    <cellStyle name="연결된 셀 2 66" xfId="12016"/>
    <cellStyle name="연결된 셀 2 67" xfId="12017"/>
    <cellStyle name="연결된 셀 2 68" xfId="12018"/>
    <cellStyle name="연결된 셀 2 69" xfId="12019"/>
    <cellStyle name="연결된 셀 2 7" xfId="12020"/>
    <cellStyle name="연결된 셀 2 70" xfId="12021"/>
    <cellStyle name="연결된 셀 2 71" xfId="12022"/>
    <cellStyle name="연결된 셀 2 72" xfId="12023"/>
    <cellStyle name="연결된 셀 2 73" xfId="12024"/>
    <cellStyle name="연결된 셀 2 74" xfId="12025"/>
    <cellStyle name="연결된 셀 2 75" xfId="12026"/>
    <cellStyle name="연결된 셀 2 76" xfId="12027"/>
    <cellStyle name="연결된 셀 2 77" xfId="12028"/>
    <cellStyle name="연결된 셀 2 78" xfId="12029"/>
    <cellStyle name="연결된 셀 2 79" xfId="12030"/>
    <cellStyle name="연결된 셀 2 8" xfId="12031"/>
    <cellStyle name="연결된 셀 2 80" xfId="12032"/>
    <cellStyle name="연결된 셀 2 81" xfId="12033"/>
    <cellStyle name="연결된 셀 2 82" xfId="12034"/>
    <cellStyle name="연결된 셀 2 83" xfId="12035"/>
    <cellStyle name="연결된 셀 2 84" xfId="12036"/>
    <cellStyle name="연결된 셀 2 85" xfId="12037"/>
    <cellStyle name="연결된 셀 2 86" xfId="12038"/>
    <cellStyle name="연결된 셀 2 87" xfId="12039"/>
    <cellStyle name="연결된 셀 2 88" xfId="12040"/>
    <cellStyle name="연결된 셀 2 89" xfId="12041"/>
    <cellStyle name="연결된 셀 2 9" xfId="12042"/>
    <cellStyle name="연결된 셀 2 90" xfId="12043"/>
    <cellStyle name="연결된 셀 2 91" xfId="12044"/>
    <cellStyle name="연결된 셀 2 92" xfId="12045"/>
    <cellStyle name="연결된 셀 2 93" xfId="12046"/>
    <cellStyle name="연결된 셀 2 94" xfId="12047"/>
    <cellStyle name="연결된 셀 2 95" xfId="12048"/>
    <cellStyle name="연결된 셀 2 96" xfId="12049"/>
    <cellStyle name="연결된 셀 2 97" xfId="12050"/>
    <cellStyle name="연결된 셀 2 98" xfId="12051"/>
    <cellStyle name="연결된 셀 2 99" xfId="12052"/>
    <cellStyle name="요약 2" xfId="12053"/>
    <cellStyle name="요약 2 10" xfId="12054"/>
    <cellStyle name="요약 2 100" xfId="12055"/>
    <cellStyle name="요약 2 101" xfId="12056"/>
    <cellStyle name="요약 2 102" xfId="12057"/>
    <cellStyle name="요약 2 103" xfId="12058"/>
    <cellStyle name="요약 2 104" xfId="12059"/>
    <cellStyle name="요약 2 105" xfId="12060"/>
    <cellStyle name="요약 2 106" xfId="12061"/>
    <cellStyle name="요약 2 107" xfId="12062"/>
    <cellStyle name="요약 2 108" xfId="12063"/>
    <cellStyle name="요약 2 109" xfId="12064"/>
    <cellStyle name="요약 2 11" xfId="12065"/>
    <cellStyle name="요약 2 110" xfId="12066"/>
    <cellStyle name="요약 2 111" xfId="12067"/>
    <cellStyle name="요약 2 112" xfId="12068"/>
    <cellStyle name="요약 2 113" xfId="12069"/>
    <cellStyle name="요약 2 114" xfId="12070"/>
    <cellStyle name="요약 2 115" xfId="12071"/>
    <cellStyle name="요약 2 116" xfId="12072"/>
    <cellStyle name="요약 2 117" xfId="12073"/>
    <cellStyle name="요약 2 118" xfId="12074"/>
    <cellStyle name="요약 2 119" xfId="12075"/>
    <cellStyle name="요약 2 12" xfId="12076"/>
    <cellStyle name="요약 2 120" xfId="12077"/>
    <cellStyle name="요약 2 121" xfId="12078"/>
    <cellStyle name="요약 2 122" xfId="12079"/>
    <cellStyle name="요약 2 123" xfId="12080"/>
    <cellStyle name="요약 2 124" xfId="12081"/>
    <cellStyle name="요약 2 125" xfId="12082"/>
    <cellStyle name="요약 2 126" xfId="12083"/>
    <cellStyle name="요약 2 127" xfId="12084"/>
    <cellStyle name="요약 2 128" xfId="12085"/>
    <cellStyle name="요약 2 129" xfId="12086"/>
    <cellStyle name="요약 2 13" xfId="12087"/>
    <cellStyle name="요약 2 130" xfId="12088"/>
    <cellStyle name="요약 2 131" xfId="12089"/>
    <cellStyle name="요약 2 132" xfId="12090"/>
    <cellStyle name="요약 2 133" xfId="12091"/>
    <cellStyle name="요약 2 134" xfId="12092"/>
    <cellStyle name="요약 2 135" xfId="12093"/>
    <cellStyle name="요약 2 136" xfId="12094"/>
    <cellStyle name="요약 2 137" xfId="12095"/>
    <cellStyle name="요약 2 138" xfId="12096"/>
    <cellStyle name="요약 2 139" xfId="12097"/>
    <cellStyle name="요약 2 14" xfId="12098"/>
    <cellStyle name="요약 2 140" xfId="12099"/>
    <cellStyle name="요약 2 141" xfId="12100"/>
    <cellStyle name="요약 2 142" xfId="12101"/>
    <cellStyle name="요약 2 143" xfId="12102"/>
    <cellStyle name="요약 2 144" xfId="12103"/>
    <cellStyle name="요약 2 145" xfId="12104"/>
    <cellStyle name="요약 2 146" xfId="12105"/>
    <cellStyle name="요약 2 147" xfId="12106"/>
    <cellStyle name="요약 2 148" xfId="12107"/>
    <cellStyle name="요약 2 149" xfId="12108"/>
    <cellStyle name="요약 2 15" xfId="12109"/>
    <cellStyle name="요약 2 150" xfId="12110"/>
    <cellStyle name="요약 2 151" xfId="12111"/>
    <cellStyle name="요약 2 152" xfId="12112"/>
    <cellStyle name="요약 2 153" xfId="12113"/>
    <cellStyle name="요약 2 154" xfId="12114"/>
    <cellStyle name="요약 2 155" xfId="12115"/>
    <cellStyle name="요약 2 156" xfId="12116"/>
    <cellStyle name="요약 2 157" xfId="12117"/>
    <cellStyle name="요약 2 158" xfId="12118"/>
    <cellStyle name="요약 2 159" xfId="12119"/>
    <cellStyle name="요약 2 16" xfId="12120"/>
    <cellStyle name="요약 2 160" xfId="12121"/>
    <cellStyle name="요약 2 161" xfId="12122"/>
    <cellStyle name="요약 2 162" xfId="12123"/>
    <cellStyle name="요약 2 163" xfId="12124"/>
    <cellStyle name="요약 2 164" xfId="12125"/>
    <cellStyle name="요약 2 165" xfId="12126"/>
    <cellStyle name="요약 2 166" xfId="12127"/>
    <cellStyle name="요약 2 167" xfId="12128"/>
    <cellStyle name="요약 2 168" xfId="12129"/>
    <cellStyle name="요약 2 169" xfId="12130"/>
    <cellStyle name="요약 2 17" xfId="12131"/>
    <cellStyle name="요약 2 170" xfId="12132"/>
    <cellStyle name="요약 2 171" xfId="12133"/>
    <cellStyle name="요약 2 172" xfId="12134"/>
    <cellStyle name="요약 2 173" xfId="12135"/>
    <cellStyle name="요약 2 174" xfId="12136"/>
    <cellStyle name="요약 2 175" xfId="12137"/>
    <cellStyle name="요약 2 176" xfId="12138"/>
    <cellStyle name="요약 2 177" xfId="12139"/>
    <cellStyle name="요약 2 178" xfId="12140"/>
    <cellStyle name="요약 2 179" xfId="12141"/>
    <cellStyle name="요약 2 18" xfId="12142"/>
    <cellStyle name="요약 2 180" xfId="12143"/>
    <cellStyle name="요약 2 181" xfId="12144"/>
    <cellStyle name="요약 2 182" xfId="12145"/>
    <cellStyle name="요약 2 183" xfId="12146"/>
    <cellStyle name="요약 2 184" xfId="12147"/>
    <cellStyle name="요약 2 185" xfId="12148"/>
    <cellStyle name="요약 2 186" xfId="12149"/>
    <cellStyle name="요약 2 187" xfId="12150"/>
    <cellStyle name="요약 2 188" xfId="12151"/>
    <cellStyle name="요약 2 189" xfId="12152"/>
    <cellStyle name="요약 2 19" xfId="12153"/>
    <cellStyle name="요약 2 190" xfId="12154"/>
    <cellStyle name="요약 2 191" xfId="12155"/>
    <cellStyle name="요약 2 192" xfId="12156"/>
    <cellStyle name="요약 2 193" xfId="12157"/>
    <cellStyle name="요약 2 194" xfId="12158"/>
    <cellStyle name="요약 2 195" xfId="12159"/>
    <cellStyle name="요약 2 196" xfId="12160"/>
    <cellStyle name="요약 2 197" xfId="12161"/>
    <cellStyle name="요약 2 198" xfId="12162"/>
    <cellStyle name="요약 2 199" xfId="12163"/>
    <cellStyle name="요약 2 2" xfId="12164"/>
    <cellStyle name="요약 2 20" xfId="12165"/>
    <cellStyle name="요약 2 200" xfId="12166"/>
    <cellStyle name="요약 2 201" xfId="12167"/>
    <cellStyle name="요약 2 202" xfId="12168"/>
    <cellStyle name="요약 2 203" xfId="12169"/>
    <cellStyle name="요약 2 204" xfId="12170"/>
    <cellStyle name="요약 2 205" xfId="12171"/>
    <cellStyle name="요약 2 206" xfId="12172"/>
    <cellStyle name="요약 2 207" xfId="12173"/>
    <cellStyle name="요약 2 208" xfId="12174"/>
    <cellStyle name="요약 2 209" xfId="12175"/>
    <cellStyle name="요약 2 21" xfId="12176"/>
    <cellStyle name="요약 2 210" xfId="12177"/>
    <cellStyle name="요약 2 211" xfId="12178"/>
    <cellStyle name="요약 2 212" xfId="12179"/>
    <cellStyle name="요약 2 213" xfId="12180"/>
    <cellStyle name="요약 2 214" xfId="12181"/>
    <cellStyle name="요약 2 215" xfId="12182"/>
    <cellStyle name="요약 2 216" xfId="12183"/>
    <cellStyle name="요약 2 217" xfId="12184"/>
    <cellStyle name="요약 2 218" xfId="12185"/>
    <cellStyle name="요약 2 219" xfId="12186"/>
    <cellStyle name="요약 2 22" xfId="12187"/>
    <cellStyle name="요약 2 220" xfId="12188"/>
    <cellStyle name="요약 2 221" xfId="12189"/>
    <cellStyle name="요약 2 222" xfId="12190"/>
    <cellStyle name="요약 2 223" xfId="12191"/>
    <cellStyle name="요약 2 224" xfId="12192"/>
    <cellStyle name="요약 2 225" xfId="12193"/>
    <cellStyle name="요약 2 226" xfId="12194"/>
    <cellStyle name="요약 2 227" xfId="12195"/>
    <cellStyle name="요약 2 228" xfId="12196"/>
    <cellStyle name="요약 2 229" xfId="12197"/>
    <cellStyle name="요약 2 23" xfId="12198"/>
    <cellStyle name="요약 2 230" xfId="12199"/>
    <cellStyle name="요약 2 231" xfId="12200"/>
    <cellStyle name="요약 2 232" xfId="12201"/>
    <cellStyle name="요약 2 233" xfId="12202"/>
    <cellStyle name="요약 2 234" xfId="12203"/>
    <cellStyle name="요약 2 235" xfId="12204"/>
    <cellStyle name="요약 2 236" xfId="12205"/>
    <cellStyle name="요약 2 237" xfId="12206"/>
    <cellStyle name="요약 2 238" xfId="12207"/>
    <cellStyle name="요약 2 239" xfId="12208"/>
    <cellStyle name="요약 2 24" xfId="12209"/>
    <cellStyle name="요약 2 240" xfId="12210"/>
    <cellStyle name="요약 2 241" xfId="12211"/>
    <cellStyle name="요약 2 25" xfId="12212"/>
    <cellStyle name="요약 2 26" xfId="12213"/>
    <cellStyle name="요약 2 27" xfId="12214"/>
    <cellStyle name="요약 2 28" xfId="12215"/>
    <cellStyle name="요약 2 29" xfId="12216"/>
    <cellStyle name="요약 2 3" xfId="12217"/>
    <cellStyle name="요약 2 30" xfId="12218"/>
    <cellStyle name="요약 2 31" xfId="12219"/>
    <cellStyle name="요약 2 32" xfId="12220"/>
    <cellStyle name="요약 2 33" xfId="12221"/>
    <cellStyle name="요약 2 34" xfId="12222"/>
    <cellStyle name="요약 2 35" xfId="12223"/>
    <cellStyle name="요약 2 36" xfId="12224"/>
    <cellStyle name="요약 2 37" xfId="12225"/>
    <cellStyle name="요약 2 38" xfId="12226"/>
    <cellStyle name="요약 2 39" xfId="12227"/>
    <cellStyle name="요약 2 4" xfId="12228"/>
    <cellStyle name="요약 2 40" xfId="12229"/>
    <cellStyle name="요약 2 41" xfId="12230"/>
    <cellStyle name="요약 2 42" xfId="12231"/>
    <cellStyle name="요약 2 43" xfId="12232"/>
    <cellStyle name="요약 2 44" xfId="12233"/>
    <cellStyle name="요약 2 45" xfId="12234"/>
    <cellStyle name="요약 2 46" xfId="12235"/>
    <cellStyle name="요약 2 47" xfId="12236"/>
    <cellStyle name="요약 2 48" xfId="12237"/>
    <cellStyle name="요약 2 49" xfId="12238"/>
    <cellStyle name="요약 2 5" xfId="12239"/>
    <cellStyle name="요약 2 50" xfId="12240"/>
    <cellStyle name="요약 2 51" xfId="12241"/>
    <cellStyle name="요약 2 52" xfId="12242"/>
    <cellStyle name="요약 2 53" xfId="12243"/>
    <cellStyle name="요약 2 54" xfId="12244"/>
    <cellStyle name="요약 2 55" xfId="12245"/>
    <cellStyle name="요약 2 56" xfId="12246"/>
    <cellStyle name="요약 2 57" xfId="12247"/>
    <cellStyle name="요약 2 58" xfId="12248"/>
    <cellStyle name="요약 2 59" xfId="12249"/>
    <cellStyle name="요약 2 6" xfId="12250"/>
    <cellStyle name="요약 2 60" xfId="12251"/>
    <cellStyle name="요약 2 61" xfId="12252"/>
    <cellStyle name="요약 2 62" xfId="12253"/>
    <cellStyle name="요약 2 63" xfId="12254"/>
    <cellStyle name="요약 2 64" xfId="12255"/>
    <cellStyle name="요약 2 65" xfId="12256"/>
    <cellStyle name="요약 2 66" xfId="12257"/>
    <cellStyle name="요약 2 67" xfId="12258"/>
    <cellStyle name="요약 2 68" xfId="12259"/>
    <cellStyle name="요약 2 69" xfId="12260"/>
    <cellStyle name="요약 2 7" xfId="12261"/>
    <cellStyle name="요약 2 70" xfId="12262"/>
    <cellStyle name="요약 2 71" xfId="12263"/>
    <cellStyle name="요약 2 72" xfId="12264"/>
    <cellStyle name="요약 2 73" xfId="12265"/>
    <cellStyle name="요약 2 74" xfId="12266"/>
    <cellStyle name="요약 2 75" xfId="12267"/>
    <cellStyle name="요약 2 76" xfId="12268"/>
    <cellStyle name="요약 2 77" xfId="12269"/>
    <cellStyle name="요약 2 78" xfId="12270"/>
    <cellStyle name="요약 2 79" xfId="12271"/>
    <cellStyle name="요약 2 8" xfId="12272"/>
    <cellStyle name="요약 2 80" xfId="12273"/>
    <cellStyle name="요약 2 81" xfId="12274"/>
    <cellStyle name="요약 2 82" xfId="12275"/>
    <cellStyle name="요약 2 83" xfId="12276"/>
    <cellStyle name="요약 2 84" xfId="12277"/>
    <cellStyle name="요약 2 85" xfId="12278"/>
    <cellStyle name="요약 2 86" xfId="12279"/>
    <cellStyle name="요약 2 87" xfId="12280"/>
    <cellStyle name="요약 2 88" xfId="12281"/>
    <cellStyle name="요약 2 89" xfId="12282"/>
    <cellStyle name="요약 2 9" xfId="12283"/>
    <cellStyle name="요약 2 90" xfId="12284"/>
    <cellStyle name="요약 2 91" xfId="12285"/>
    <cellStyle name="요약 2 92" xfId="12286"/>
    <cellStyle name="요약 2 93" xfId="12287"/>
    <cellStyle name="요약 2 94" xfId="12288"/>
    <cellStyle name="요약 2 95" xfId="12289"/>
    <cellStyle name="요약 2 96" xfId="12290"/>
    <cellStyle name="요약 2 97" xfId="12291"/>
    <cellStyle name="요약 2 98" xfId="12292"/>
    <cellStyle name="요약 2 99" xfId="12293"/>
    <cellStyle name="一般_RoFo 0104 Annex DU 2~6 (010328)" xfId="12294"/>
    <cellStyle name="입력 2" xfId="12295"/>
    <cellStyle name="입력 2 10" xfId="12296"/>
    <cellStyle name="입력 2 100" xfId="12297"/>
    <cellStyle name="입력 2 101" xfId="12298"/>
    <cellStyle name="입력 2 102" xfId="12299"/>
    <cellStyle name="입력 2 103" xfId="12300"/>
    <cellStyle name="입력 2 104" xfId="12301"/>
    <cellStyle name="입력 2 105" xfId="12302"/>
    <cellStyle name="입력 2 106" xfId="12303"/>
    <cellStyle name="입력 2 107" xfId="12304"/>
    <cellStyle name="입력 2 108" xfId="12305"/>
    <cellStyle name="입력 2 109" xfId="12306"/>
    <cellStyle name="입력 2 11" xfId="12307"/>
    <cellStyle name="입력 2 110" xfId="12308"/>
    <cellStyle name="입력 2 111" xfId="12309"/>
    <cellStyle name="입력 2 112" xfId="12310"/>
    <cellStyle name="입력 2 113" xfId="12311"/>
    <cellStyle name="입력 2 114" xfId="12312"/>
    <cellStyle name="입력 2 115" xfId="12313"/>
    <cellStyle name="입력 2 116" xfId="12314"/>
    <cellStyle name="입력 2 117" xfId="12315"/>
    <cellStyle name="입력 2 118" xfId="12316"/>
    <cellStyle name="입력 2 119" xfId="12317"/>
    <cellStyle name="입력 2 12" xfId="12318"/>
    <cellStyle name="입력 2 120" xfId="12319"/>
    <cellStyle name="입력 2 121" xfId="12320"/>
    <cellStyle name="입력 2 122" xfId="12321"/>
    <cellStyle name="입력 2 123" xfId="12322"/>
    <cellStyle name="입력 2 124" xfId="12323"/>
    <cellStyle name="입력 2 125" xfId="12324"/>
    <cellStyle name="입력 2 126" xfId="12325"/>
    <cellStyle name="입력 2 127" xfId="12326"/>
    <cellStyle name="입력 2 128" xfId="12327"/>
    <cellStyle name="입력 2 129" xfId="12328"/>
    <cellStyle name="입력 2 13" xfId="12329"/>
    <cellStyle name="입력 2 130" xfId="12330"/>
    <cellStyle name="입력 2 131" xfId="12331"/>
    <cellStyle name="입력 2 132" xfId="12332"/>
    <cellStyle name="입력 2 133" xfId="12333"/>
    <cellStyle name="입력 2 134" xfId="12334"/>
    <cellStyle name="입력 2 135" xfId="12335"/>
    <cellStyle name="입력 2 136" xfId="12336"/>
    <cellStyle name="입력 2 137" xfId="12337"/>
    <cellStyle name="입력 2 138" xfId="12338"/>
    <cellStyle name="입력 2 139" xfId="12339"/>
    <cellStyle name="입력 2 14" xfId="12340"/>
    <cellStyle name="입력 2 140" xfId="12341"/>
    <cellStyle name="입력 2 141" xfId="12342"/>
    <cellStyle name="입력 2 142" xfId="12343"/>
    <cellStyle name="입력 2 143" xfId="12344"/>
    <cellStyle name="입력 2 144" xfId="12345"/>
    <cellStyle name="입력 2 145" xfId="12346"/>
    <cellStyle name="입력 2 146" xfId="12347"/>
    <cellStyle name="입력 2 147" xfId="12348"/>
    <cellStyle name="입력 2 148" xfId="12349"/>
    <cellStyle name="입력 2 149" xfId="12350"/>
    <cellStyle name="입력 2 15" xfId="12351"/>
    <cellStyle name="입력 2 150" xfId="12352"/>
    <cellStyle name="입력 2 151" xfId="12353"/>
    <cellStyle name="입력 2 152" xfId="12354"/>
    <cellStyle name="입력 2 153" xfId="12355"/>
    <cellStyle name="입력 2 154" xfId="12356"/>
    <cellStyle name="입력 2 155" xfId="12357"/>
    <cellStyle name="입력 2 156" xfId="12358"/>
    <cellStyle name="입력 2 157" xfId="12359"/>
    <cellStyle name="입력 2 158" xfId="12360"/>
    <cellStyle name="입력 2 159" xfId="12361"/>
    <cellStyle name="입력 2 16" xfId="12362"/>
    <cellStyle name="입력 2 160" xfId="12363"/>
    <cellStyle name="입력 2 161" xfId="12364"/>
    <cellStyle name="입력 2 162" xfId="12365"/>
    <cellStyle name="입력 2 163" xfId="12366"/>
    <cellStyle name="입력 2 164" xfId="12367"/>
    <cellStyle name="입력 2 165" xfId="12368"/>
    <cellStyle name="입력 2 166" xfId="12369"/>
    <cellStyle name="입력 2 167" xfId="12370"/>
    <cellStyle name="입력 2 168" xfId="12371"/>
    <cellStyle name="입력 2 169" xfId="12372"/>
    <cellStyle name="입력 2 17" xfId="12373"/>
    <cellStyle name="입력 2 170" xfId="12374"/>
    <cellStyle name="입력 2 171" xfId="12375"/>
    <cellStyle name="입력 2 172" xfId="12376"/>
    <cellStyle name="입력 2 173" xfId="12377"/>
    <cellStyle name="입력 2 174" xfId="12378"/>
    <cellStyle name="입력 2 175" xfId="12379"/>
    <cellStyle name="입력 2 176" xfId="12380"/>
    <cellStyle name="입력 2 177" xfId="12381"/>
    <cellStyle name="입력 2 178" xfId="12382"/>
    <cellStyle name="입력 2 179" xfId="12383"/>
    <cellStyle name="입력 2 18" xfId="12384"/>
    <cellStyle name="입력 2 180" xfId="12385"/>
    <cellStyle name="입력 2 181" xfId="12386"/>
    <cellStyle name="입력 2 182" xfId="12387"/>
    <cellStyle name="입력 2 183" xfId="12388"/>
    <cellStyle name="입력 2 184" xfId="12389"/>
    <cellStyle name="입력 2 185" xfId="12390"/>
    <cellStyle name="입력 2 186" xfId="12391"/>
    <cellStyle name="입력 2 187" xfId="12392"/>
    <cellStyle name="입력 2 188" xfId="12393"/>
    <cellStyle name="입력 2 189" xfId="12394"/>
    <cellStyle name="입력 2 19" xfId="12395"/>
    <cellStyle name="입력 2 190" xfId="12396"/>
    <cellStyle name="입력 2 191" xfId="12397"/>
    <cellStyle name="입력 2 192" xfId="12398"/>
    <cellStyle name="입력 2 193" xfId="12399"/>
    <cellStyle name="입력 2 194" xfId="12400"/>
    <cellStyle name="입력 2 195" xfId="12401"/>
    <cellStyle name="입력 2 196" xfId="12402"/>
    <cellStyle name="입력 2 197" xfId="12403"/>
    <cellStyle name="입력 2 198" xfId="12404"/>
    <cellStyle name="입력 2 199" xfId="12405"/>
    <cellStyle name="입력 2 2" xfId="12406"/>
    <cellStyle name="입력 2 20" xfId="12407"/>
    <cellStyle name="입력 2 200" xfId="12408"/>
    <cellStyle name="입력 2 201" xfId="12409"/>
    <cellStyle name="입력 2 202" xfId="12410"/>
    <cellStyle name="입력 2 203" xfId="12411"/>
    <cellStyle name="입력 2 204" xfId="12412"/>
    <cellStyle name="입력 2 205" xfId="12413"/>
    <cellStyle name="입력 2 206" xfId="12414"/>
    <cellStyle name="입력 2 207" xfId="12415"/>
    <cellStyle name="입력 2 208" xfId="12416"/>
    <cellStyle name="입력 2 209" xfId="12417"/>
    <cellStyle name="입력 2 21" xfId="12418"/>
    <cellStyle name="입력 2 210" xfId="12419"/>
    <cellStyle name="입력 2 211" xfId="12420"/>
    <cellStyle name="입력 2 212" xfId="12421"/>
    <cellStyle name="입력 2 213" xfId="12422"/>
    <cellStyle name="입력 2 214" xfId="12423"/>
    <cellStyle name="입력 2 215" xfId="12424"/>
    <cellStyle name="입력 2 216" xfId="12425"/>
    <cellStyle name="입력 2 217" xfId="12426"/>
    <cellStyle name="입력 2 218" xfId="12427"/>
    <cellStyle name="입력 2 219" xfId="12428"/>
    <cellStyle name="입력 2 22" xfId="12429"/>
    <cellStyle name="입력 2 220" xfId="12430"/>
    <cellStyle name="입력 2 221" xfId="12431"/>
    <cellStyle name="입력 2 222" xfId="12432"/>
    <cellStyle name="입력 2 223" xfId="12433"/>
    <cellStyle name="입력 2 224" xfId="12434"/>
    <cellStyle name="입력 2 225" xfId="12435"/>
    <cellStyle name="입력 2 226" xfId="12436"/>
    <cellStyle name="입력 2 227" xfId="12437"/>
    <cellStyle name="입력 2 228" xfId="12438"/>
    <cellStyle name="입력 2 229" xfId="12439"/>
    <cellStyle name="입력 2 23" xfId="12440"/>
    <cellStyle name="입력 2 230" xfId="12441"/>
    <cellStyle name="입력 2 231" xfId="12442"/>
    <cellStyle name="입력 2 232" xfId="12443"/>
    <cellStyle name="입력 2 233" xfId="12444"/>
    <cellStyle name="입력 2 234" xfId="12445"/>
    <cellStyle name="입력 2 235" xfId="12446"/>
    <cellStyle name="입력 2 236" xfId="12447"/>
    <cellStyle name="입력 2 237" xfId="12448"/>
    <cellStyle name="입력 2 238" xfId="12449"/>
    <cellStyle name="입력 2 239" xfId="12450"/>
    <cellStyle name="입력 2 24" xfId="12451"/>
    <cellStyle name="입력 2 240" xfId="12452"/>
    <cellStyle name="입력 2 241" xfId="12453"/>
    <cellStyle name="입력 2 25" xfId="12454"/>
    <cellStyle name="입력 2 26" xfId="12455"/>
    <cellStyle name="입력 2 27" xfId="12456"/>
    <cellStyle name="입력 2 28" xfId="12457"/>
    <cellStyle name="입력 2 29" xfId="12458"/>
    <cellStyle name="입력 2 3" xfId="12459"/>
    <cellStyle name="입력 2 30" xfId="12460"/>
    <cellStyle name="입력 2 31" xfId="12461"/>
    <cellStyle name="입력 2 32" xfId="12462"/>
    <cellStyle name="입력 2 33" xfId="12463"/>
    <cellStyle name="입력 2 34" xfId="12464"/>
    <cellStyle name="입력 2 35" xfId="12465"/>
    <cellStyle name="입력 2 36" xfId="12466"/>
    <cellStyle name="입력 2 37" xfId="12467"/>
    <cellStyle name="입력 2 38" xfId="12468"/>
    <cellStyle name="입력 2 39" xfId="12469"/>
    <cellStyle name="입력 2 4" xfId="12470"/>
    <cellStyle name="입력 2 40" xfId="12471"/>
    <cellStyle name="입력 2 41" xfId="12472"/>
    <cellStyle name="입력 2 42" xfId="12473"/>
    <cellStyle name="입력 2 43" xfId="12474"/>
    <cellStyle name="입력 2 44" xfId="12475"/>
    <cellStyle name="입력 2 45" xfId="12476"/>
    <cellStyle name="입력 2 46" xfId="12477"/>
    <cellStyle name="입력 2 47" xfId="12478"/>
    <cellStyle name="입력 2 48" xfId="12479"/>
    <cellStyle name="입력 2 49" xfId="12480"/>
    <cellStyle name="입력 2 5" xfId="12481"/>
    <cellStyle name="입력 2 50" xfId="12482"/>
    <cellStyle name="입력 2 51" xfId="12483"/>
    <cellStyle name="입력 2 52" xfId="12484"/>
    <cellStyle name="입력 2 53" xfId="12485"/>
    <cellStyle name="입력 2 54" xfId="12486"/>
    <cellStyle name="입력 2 55" xfId="12487"/>
    <cellStyle name="입력 2 56" xfId="12488"/>
    <cellStyle name="입력 2 57" xfId="12489"/>
    <cellStyle name="입력 2 58" xfId="12490"/>
    <cellStyle name="입력 2 59" xfId="12491"/>
    <cellStyle name="입력 2 6" xfId="12492"/>
    <cellStyle name="입력 2 60" xfId="12493"/>
    <cellStyle name="입력 2 61" xfId="12494"/>
    <cellStyle name="입력 2 62" xfId="12495"/>
    <cellStyle name="입력 2 63" xfId="12496"/>
    <cellStyle name="입력 2 64" xfId="12497"/>
    <cellStyle name="입력 2 65" xfId="12498"/>
    <cellStyle name="입력 2 66" xfId="12499"/>
    <cellStyle name="입력 2 67" xfId="12500"/>
    <cellStyle name="입력 2 68" xfId="12501"/>
    <cellStyle name="입력 2 69" xfId="12502"/>
    <cellStyle name="입력 2 7" xfId="12503"/>
    <cellStyle name="입력 2 70" xfId="12504"/>
    <cellStyle name="입력 2 71" xfId="12505"/>
    <cellStyle name="입력 2 72" xfId="12506"/>
    <cellStyle name="입력 2 73" xfId="12507"/>
    <cellStyle name="입력 2 74" xfId="12508"/>
    <cellStyle name="입력 2 75" xfId="12509"/>
    <cellStyle name="입력 2 76" xfId="12510"/>
    <cellStyle name="입력 2 77" xfId="12511"/>
    <cellStyle name="입력 2 78" xfId="12512"/>
    <cellStyle name="입력 2 79" xfId="12513"/>
    <cellStyle name="입력 2 8" xfId="12514"/>
    <cellStyle name="입력 2 80" xfId="12515"/>
    <cellStyle name="입력 2 81" xfId="12516"/>
    <cellStyle name="입력 2 82" xfId="12517"/>
    <cellStyle name="입력 2 83" xfId="12518"/>
    <cellStyle name="입력 2 84" xfId="12519"/>
    <cellStyle name="입력 2 85" xfId="12520"/>
    <cellStyle name="입력 2 86" xfId="12521"/>
    <cellStyle name="입력 2 87" xfId="12522"/>
    <cellStyle name="입력 2 88" xfId="12523"/>
    <cellStyle name="입력 2 89" xfId="12524"/>
    <cellStyle name="입력 2 9" xfId="12525"/>
    <cellStyle name="입력 2 90" xfId="12526"/>
    <cellStyle name="입력 2 91" xfId="12527"/>
    <cellStyle name="입력 2 92" xfId="12528"/>
    <cellStyle name="입력 2 93" xfId="12529"/>
    <cellStyle name="입력 2 94" xfId="12530"/>
    <cellStyle name="입력 2 95" xfId="12531"/>
    <cellStyle name="입력 2 96" xfId="12532"/>
    <cellStyle name="입력 2 97" xfId="12533"/>
    <cellStyle name="입력 2 98" xfId="12534"/>
    <cellStyle name="입력 2 99" xfId="12535"/>
    <cellStyle name="자리수" xfId="12536"/>
    <cellStyle name="자리수0" xfId="12537"/>
    <cellStyle name="제목 1 2" xfId="12538"/>
    <cellStyle name="제목 1 2 10" xfId="12539"/>
    <cellStyle name="제목 1 2 100" xfId="12540"/>
    <cellStyle name="제목 1 2 101" xfId="12541"/>
    <cellStyle name="제목 1 2 102" xfId="12542"/>
    <cellStyle name="제목 1 2 103" xfId="12543"/>
    <cellStyle name="제목 1 2 104" xfId="12544"/>
    <cellStyle name="제목 1 2 105" xfId="12545"/>
    <cellStyle name="제목 1 2 106" xfId="12546"/>
    <cellStyle name="제목 1 2 107" xfId="12547"/>
    <cellStyle name="제목 1 2 108" xfId="12548"/>
    <cellStyle name="제목 1 2 109" xfId="12549"/>
    <cellStyle name="제목 1 2 11" xfId="12550"/>
    <cellStyle name="제목 1 2 110" xfId="12551"/>
    <cellStyle name="제목 1 2 111" xfId="12552"/>
    <cellStyle name="제목 1 2 112" xfId="12553"/>
    <cellStyle name="제목 1 2 113" xfId="12554"/>
    <cellStyle name="제목 1 2 114" xfId="12555"/>
    <cellStyle name="제목 1 2 115" xfId="12556"/>
    <cellStyle name="제목 1 2 116" xfId="12557"/>
    <cellStyle name="제목 1 2 117" xfId="12558"/>
    <cellStyle name="제목 1 2 118" xfId="12559"/>
    <cellStyle name="제목 1 2 119" xfId="12560"/>
    <cellStyle name="제목 1 2 12" xfId="12561"/>
    <cellStyle name="제목 1 2 120" xfId="12562"/>
    <cellStyle name="제목 1 2 121" xfId="12563"/>
    <cellStyle name="제목 1 2 122" xfId="12564"/>
    <cellStyle name="제목 1 2 123" xfId="12565"/>
    <cellStyle name="제목 1 2 124" xfId="12566"/>
    <cellStyle name="제목 1 2 125" xfId="12567"/>
    <cellStyle name="제목 1 2 126" xfId="12568"/>
    <cellStyle name="제목 1 2 127" xfId="12569"/>
    <cellStyle name="제목 1 2 128" xfId="12570"/>
    <cellStyle name="제목 1 2 129" xfId="12571"/>
    <cellStyle name="제목 1 2 13" xfId="12572"/>
    <cellStyle name="제목 1 2 130" xfId="12573"/>
    <cellStyle name="제목 1 2 131" xfId="12574"/>
    <cellStyle name="제목 1 2 132" xfId="12575"/>
    <cellStyle name="제목 1 2 133" xfId="12576"/>
    <cellStyle name="제목 1 2 134" xfId="12577"/>
    <cellStyle name="제목 1 2 135" xfId="12578"/>
    <cellStyle name="제목 1 2 136" xfId="12579"/>
    <cellStyle name="제목 1 2 137" xfId="12580"/>
    <cellStyle name="제목 1 2 138" xfId="12581"/>
    <cellStyle name="제목 1 2 139" xfId="12582"/>
    <cellStyle name="제목 1 2 14" xfId="12583"/>
    <cellStyle name="제목 1 2 140" xfId="12584"/>
    <cellStyle name="제목 1 2 141" xfId="12585"/>
    <cellStyle name="제목 1 2 142" xfId="12586"/>
    <cellStyle name="제목 1 2 143" xfId="12587"/>
    <cellStyle name="제목 1 2 144" xfId="12588"/>
    <cellStyle name="제목 1 2 145" xfId="12589"/>
    <cellStyle name="제목 1 2 146" xfId="12590"/>
    <cellStyle name="제목 1 2 147" xfId="12591"/>
    <cellStyle name="제목 1 2 148" xfId="12592"/>
    <cellStyle name="제목 1 2 149" xfId="12593"/>
    <cellStyle name="제목 1 2 15" xfId="12594"/>
    <cellStyle name="제목 1 2 150" xfId="12595"/>
    <cellStyle name="제목 1 2 151" xfId="12596"/>
    <cellStyle name="제목 1 2 152" xfId="12597"/>
    <cellStyle name="제목 1 2 153" xfId="12598"/>
    <cellStyle name="제목 1 2 154" xfId="12599"/>
    <cellStyle name="제목 1 2 155" xfId="12600"/>
    <cellStyle name="제목 1 2 156" xfId="12601"/>
    <cellStyle name="제목 1 2 157" xfId="12602"/>
    <cellStyle name="제목 1 2 158" xfId="12603"/>
    <cellStyle name="제목 1 2 159" xfId="12604"/>
    <cellStyle name="제목 1 2 16" xfId="12605"/>
    <cellStyle name="제목 1 2 160" xfId="12606"/>
    <cellStyle name="제목 1 2 161" xfId="12607"/>
    <cellStyle name="제목 1 2 162" xfId="12608"/>
    <cellStyle name="제목 1 2 163" xfId="12609"/>
    <cellStyle name="제목 1 2 164" xfId="12610"/>
    <cellStyle name="제목 1 2 165" xfId="12611"/>
    <cellStyle name="제목 1 2 166" xfId="12612"/>
    <cellStyle name="제목 1 2 167" xfId="12613"/>
    <cellStyle name="제목 1 2 168" xfId="12614"/>
    <cellStyle name="제목 1 2 169" xfId="12615"/>
    <cellStyle name="제목 1 2 17" xfId="12616"/>
    <cellStyle name="제목 1 2 170" xfId="12617"/>
    <cellStyle name="제목 1 2 171" xfId="12618"/>
    <cellStyle name="제목 1 2 172" xfId="12619"/>
    <cellStyle name="제목 1 2 173" xfId="12620"/>
    <cellStyle name="제목 1 2 174" xfId="12621"/>
    <cellStyle name="제목 1 2 175" xfId="12622"/>
    <cellStyle name="제목 1 2 176" xfId="12623"/>
    <cellStyle name="제목 1 2 177" xfId="12624"/>
    <cellStyle name="제목 1 2 178" xfId="12625"/>
    <cellStyle name="제목 1 2 179" xfId="12626"/>
    <cellStyle name="제목 1 2 18" xfId="12627"/>
    <cellStyle name="제목 1 2 180" xfId="12628"/>
    <cellStyle name="제목 1 2 181" xfId="12629"/>
    <cellStyle name="제목 1 2 182" xfId="12630"/>
    <cellStyle name="제목 1 2 183" xfId="12631"/>
    <cellStyle name="제목 1 2 184" xfId="12632"/>
    <cellStyle name="제목 1 2 185" xfId="12633"/>
    <cellStyle name="제목 1 2 186" xfId="12634"/>
    <cellStyle name="제목 1 2 187" xfId="12635"/>
    <cellStyle name="제목 1 2 188" xfId="12636"/>
    <cellStyle name="제목 1 2 189" xfId="12637"/>
    <cellStyle name="제목 1 2 19" xfId="12638"/>
    <cellStyle name="제목 1 2 190" xfId="12639"/>
    <cellStyle name="제목 1 2 191" xfId="12640"/>
    <cellStyle name="제목 1 2 192" xfId="12641"/>
    <cellStyle name="제목 1 2 193" xfId="12642"/>
    <cellStyle name="제목 1 2 194" xfId="12643"/>
    <cellStyle name="제목 1 2 195" xfId="12644"/>
    <cellStyle name="제목 1 2 196" xfId="12645"/>
    <cellStyle name="제목 1 2 197" xfId="12646"/>
    <cellStyle name="제목 1 2 198" xfId="12647"/>
    <cellStyle name="제목 1 2 199" xfId="12648"/>
    <cellStyle name="제목 1 2 2" xfId="12649"/>
    <cellStyle name="제목 1 2 20" xfId="12650"/>
    <cellStyle name="제목 1 2 200" xfId="12651"/>
    <cellStyle name="제목 1 2 201" xfId="12652"/>
    <cellStyle name="제목 1 2 202" xfId="12653"/>
    <cellStyle name="제목 1 2 203" xfId="12654"/>
    <cellStyle name="제목 1 2 204" xfId="12655"/>
    <cellStyle name="제목 1 2 205" xfId="12656"/>
    <cellStyle name="제목 1 2 206" xfId="12657"/>
    <cellStyle name="제목 1 2 207" xfId="12658"/>
    <cellStyle name="제목 1 2 208" xfId="12659"/>
    <cellStyle name="제목 1 2 209" xfId="12660"/>
    <cellStyle name="제목 1 2 21" xfId="12661"/>
    <cellStyle name="제목 1 2 210" xfId="12662"/>
    <cellStyle name="제목 1 2 211" xfId="12663"/>
    <cellStyle name="제목 1 2 212" xfId="12664"/>
    <cellStyle name="제목 1 2 213" xfId="12665"/>
    <cellStyle name="제목 1 2 214" xfId="12666"/>
    <cellStyle name="제목 1 2 215" xfId="12667"/>
    <cellStyle name="제목 1 2 216" xfId="12668"/>
    <cellStyle name="제목 1 2 217" xfId="12669"/>
    <cellStyle name="제목 1 2 218" xfId="12670"/>
    <cellStyle name="제목 1 2 219" xfId="12671"/>
    <cellStyle name="제목 1 2 22" xfId="12672"/>
    <cellStyle name="제목 1 2 220" xfId="12673"/>
    <cellStyle name="제목 1 2 221" xfId="12674"/>
    <cellStyle name="제목 1 2 222" xfId="12675"/>
    <cellStyle name="제목 1 2 223" xfId="12676"/>
    <cellStyle name="제목 1 2 224" xfId="12677"/>
    <cellStyle name="제목 1 2 225" xfId="12678"/>
    <cellStyle name="제목 1 2 226" xfId="12679"/>
    <cellStyle name="제목 1 2 227" xfId="12680"/>
    <cellStyle name="제목 1 2 228" xfId="12681"/>
    <cellStyle name="제목 1 2 229" xfId="12682"/>
    <cellStyle name="제목 1 2 23" xfId="12683"/>
    <cellStyle name="제목 1 2 230" xfId="12684"/>
    <cellStyle name="제목 1 2 231" xfId="12685"/>
    <cellStyle name="제목 1 2 232" xfId="12686"/>
    <cellStyle name="제목 1 2 233" xfId="12687"/>
    <cellStyle name="제목 1 2 234" xfId="12688"/>
    <cellStyle name="제목 1 2 235" xfId="12689"/>
    <cellStyle name="제목 1 2 236" xfId="12690"/>
    <cellStyle name="제목 1 2 237" xfId="12691"/>
    <cellStyle name="제목 1 2 238" xfId="12692"/>
    <cellStyle name="제목 1 2 239" xfId="12693"/>
    <cellStyle name="제목 1 2 24" xfId="12694"/>
    <cellStyle name="제목 1 2 240" xfId="12695"/>
    <cellStyle name="제목 1 2 241" xfId="12696"/>
    <cellStyle name="제목 1 2 25" xfId="12697"/>
    <cellStyle name="제목 1 2 26" xfId="12698"/>
    <cellStyle name="제목 1 2 27" xfId="12699"/>
    <cellStyle name="제목 1 2 28" xfId="12700"/>
    <cellStyle name="제목 1 2 29" xfId="12701"/>
    <cellStyle name="제목 1 2 3" xfId="12702"/>
    <cellStyle name="제목 1 2 30" xfId="12703"/>
    <cellStyle name="제목 1 2 31" xfId="12704"/>
    <cellStyle name="제목 1 2 32" xfId="12705"/>
    <cellStyle name="제목 1 2 33" xfId="12706"/>
    <cellStyle name="제목 1 2 34" xfId="12707"/>
    <cellStyle name="제목 1 2 35" xfId="12708"/>
    <cellStyle name="제목 1 2 36" xfId="12709"/>
    <cellStyle name="제목 1 2 37" xfId="12710"/>
    <cellStyle name="제목 1 2 38" xfId="12711"/>
    <cellStyle name="제목 1 2 39" xfId="12712"/>
    <cellStyle name="제목 1 2 4" xfId="12713"/>
    <cellStyle name="제목 1 2 40" xfId="12714"/>
    <cellStyle name="제목 1 2 41" xfId="12715"/>
    <cellStyle name="제목 1 2 42" xfId="12716"/>
    <cellStyle name="제목 1 2 43" xfId="12717"/>
    <cellStyle name="제목 1 2 44" xfId="12718"/>
    <cellStyle name="제목 1 2 45" xfId="12719"/>
    <cellStyle name="제목 1 2 46" xfId="12720"/>
    <cellStyle name="제목 1 2 47" xfId="12721"/>
    <cellStyle name="제목 1 2 48" xfId="12722"/>
    <cellStyle name="제목 1 2 49" xfId="12723"/>
    <cellStyle name="제목 1 2 5" xfId="12724"/>
    <cellStyle name="제목 1 2 50" xfId="12725"/>
    <cellStyle name="제목 1 2 51" xfId="12726"/>
    <cellStyle name="제목 1 2 52" xfId="12727"/>
    <cellStyle name="제목 1 2 53" xfId="12728"/>
    <cellStyle name="제목 1 2 54" xfId="12729"/>
    <cellStyle name="제목 1 2 55" xfId="12730"/>
    <cellStyle name="제목 1 2 56" xfId="12731"/>
    <cellStyle name="제목 1 2 57" xfId="12732"/>
    <cellStyle name="제목 1 2 58" xfId="12733"/>
    <cellStyle name="제목 1 2 59" xfId="12734"/>
    <cellStyle name="제목 1 2 6" xfId="12735"/>
    <cellStyle name="제목 1 2 60" xfId="12736"/>
    <cellStyle name="제목 1 2 61" xfId="12737"/>
    <cellStyle name="제목 1 2 62" xfId="12738"/>
    <cellStyle name="제목 1 2 63" xfId="12739"/>
    <cellStyle name="제목 1 2 64" xfId="12740"/>
    <cellStyle name="제목 1 2 65" xfId="12741"/>
    <cellStyle name="제목 1 2 66" xfId="12742"/>
    <cellStyle name="제목 1 2 67" xfId="12743"/>
    <cellStyle name="제목 1 2 68" xfId="12744"/>
    <cellStyle name="제목 1 2 69" xfId="12745"/>
    <cellStyle name="제목 1 2 7" xfId="12746"/>
    <cellStyle name="제목 1 2 70" xfId="12747"/>
    <cellStyle name="제목 1 2 71" xfId="12748"/>
    <cellStyle name="제목 1 2 72" xfId="12749"/>
    <cellStyle name="제목 1 2 73" xfId="12750"/>
    <cellStyle name="제목 1 2 74" xfId="12751"/>
    <cellStyle name="제목 1 2 75" xfId="12752"/>
    <cellStyle name="제목 1 2 76" xfId="12753"/>
    <cellStyle name="제목 1 2 77" xfId="12754"/>
    <cellStyle name="제목 1 2 78" xfId="12755"/>
    <cellStyle name="제목 1 2 79" xfId="12756"/>
    <cellStyle name="제목 1 2 8" xfId="12757"/>
    <cellStyle name="제목 1 2 80" xfId="12758"/>
    <cellStyle name="제목 1 2 81" xfId="12759"/>
    <cellStyle name="제목 1 2 82" xfId="12760"/>
    <cellStyle name="제목 1 2 83" xfId="12761"/>
    <cellStyle name="제목 1 2 84" xfId="12762"/>
    <cellStyle name="제목 1 2 85" xfId="12763"/>
    <cellStyle name="제목 1 2 86" xfId="12764"/>
    <cellStyle name="제목 1 2 87" xfId="12765"/>
    <cellStyle name="제목 1 2 88" xfId="12766"/>
    <cellStyle name="제목 1 2 89" xfId="12767"/>
    <cellStyle name="제목 1 2 9" xfId="12768"/>
    <cellStyle name="제목 1 2 90" xfId="12769"/>
    <cellStyle name="제목 1 2 91" xfId="12770"/>
    <cellStyle name="제목 1 2 92" xfId="12771"/>
    <cellStyle name="제목 1 2 93" xfId="12772"/>
    <cellStyle name="제목 1 2 94" xfId="12773"/>
    <cellStyle name="제목 1 2 95" xfId="12774"/>
    <cellStyle name="제목 1 2 96" xfId="12775"/>
    <cellStyle name="제목 1 2 97" xfId="12776"/>
    <cellStyle name="제목 1 2 98" xfId="12777"/>
    <cellStyle name="제목 1 2 99" xfId="12778"/>
    <cellStyle name="제목 2 2" xfId="12779"/>
    <cellStyle name="제목 2 2 10" xfId="12780"/>
    <cellStyle name="제목 2 2 100" xfId="12781"/>
    <cellStyle name="제목 2 2 101" xfId="12782"/>
    <cellStyle name="제목 2 2 102" xfId="12783"/>
    <cellStyle name="제목 2 2 103" xfId="12784"/>
    <cellStyle name="제목 2 2 104" xfId="12785"/>
    <cellStyle name="제목 2 2 105" xfId="12786"/>
    <cellStyle name="제목 2 2 106" xfId="12787"/>
    <cellStyle name="제목 2 2 107" xfId="12788"/>
    <cellStyle name="제목 2 2 108" xfId="12789"/>
    <cellStyle name="제목 2 2 109" xfId="12790"/>
    <cellStyle name="제목 2 2 11" xfId="12791"/>
    <cellStyle name="제목 2 2 110" xfId="12792"/>
    <cellStyle name="제목 2 2 111" xfId="12793"/>
    <cellStyle name="제목 2 2 112" xfId="12794"/>
    <cellStyle name="제목 2 2 113" xfId="12795"/>
    <cellStyle name="제목 2 2 114" xfId="12796"/>
    <cellStyle name="제목 2 2 115" xfId="12797"/>
    <cellStyle name="제목 2 2 116" xfId="12798"/>
    <cellStyle name="제목 2 2 117" xfId="12799"/>
    <cellStyle name="제목 2 2 118" xfId="12800"/>
    <cellStyle name="제목 2 2 119" xfId="12801"/>
    <cellStyle name="제목 2 2 12" xfId="12802"/>
    <cellStyle name="제목 2 2 120" xfId="12803"/>
    <cellStyle name="제목 2 2 121" xfId="12804"/>
    <cellStyle name="제목 2 2 122" xfId="12805"/>
    <cellStyle name="제목 2 2 123" xfId="12806"/>
    <cellStyle name="제목 2 2 124" xfId="12807"/>
    <cellStyle name="제목 2 2 125" xfId="12808"/>
    <cellStyle name="제목 2 2 126" xfId="12809"/>
    <cellStyle name="제목 2 2 127" xfId="12810"/>
    <cellStyle name="제목 2 2 128" xfId="12811"/>
    <cellStyle name="제목 2 2 129" xfId="12812"/>
    <cellStyle name="제목 2 2 13" xfId="12813"/>
    <cellStyle name="제목 2 2 130" xfId="12814"/>
    <cellStyle name="제목 2 2 131" xfId="12815"/>
    <cellStyle name="제목 2 2 132" xfId="12816"/>
    <cellStyle name="제목 2 2 133" xfId="12817"/>
    <cellStyle name="제목 2 2 134" xfId="12818"/>
    <cellStyle name="제목 2 2 135" xfId="12819"/>
    <cellStyle name="제목 2 2 136" xfId="12820"/>
    <cellStyle name="제목 2 2 137" xfId="12821"/>
    <cellStyle name="제목 2 2 138" xfId="12822"/>
    <cellStyle name="제목 2 2 139" xfId="12823"/>
    <cellStyle name="제목 2 2 14" xfId="12824"/>
    <cellStyle name="제목 2 2 140" xfId="12825"/>
    <cellStyle name="제목 2 2 141" xfId="12826"/>
    <cellStyle name="제목 2 2 142" xfId="12827"/>
    <cellStyle name="제목 2 2 143" xfId="12828"/>
    <cellStyle name="제목 2 2 144" xfId="12829"/>
    <cellStyle name="제목 2 2 145" xfId="12830"/>
    <cellStyle name="제목 2 2 146" xfId="12831"/>
    <cellStyle name="제목 2 2 147" xfId="12832"/>
    <cellStyle name="제목 2 2 148" xfId="12833"/>
    <cellStyle name="제목 2 2 149" xfId="12834"/>
    <cellStyle name="제목 2 2 15" xfId="12835"/>
    <cellStyle name="제목 2 2 150" xfId="12836"/>
    <cellStyle name="제목 2 2 151" xfId="12837"/>
    <cellStyle name="제목 2 2 152" xfId="12838"/>
    <cellStyle name="제목 2 2 153" xfId="12839"/>
    <cellStyle name="제목 2 2 154" xfId="12840"/>
    <cellStyle name="제목 2 2 155" xfId="12841"/>
    <cellStyle name="제목 2 2 156" xfId="12842"/>
    <cellStyle name="제목 2 2 157" xfId="12843"/>
    <cellStyle name="제목 2 2 158" xfId="12844"/>
    <cellStyle name="제목 2 2 159" xfId="12845"/>
    <cellStyle name="제목 2 2 16" xfId="12846"/>
    <cellStyle name="제목 2 2 160" xfId="12847"/>
    <cellStyle name="제목 2 2 161" xfId="12848"/>
    <cellStyle name="제목 2 2 162" xfId="12849"/>
    <cellStyle name="제목 2 2 163" xfId="12850"/>
    <cellStyle name="제목 2 2 164" xfId="12851"/>
    <cellStyle name="제목 2 2 165" xfId="12852"/>
    <cellStyle name="제목 2 2 166" xfId="12853"/>
    <cellStyle name="제목 2 2 167" xfId="12854"/>
    <cellStyle name="제목 2 2 168" xfId="12855"/>
    <cellStyle name="제목 2 2 169" xfId="12856"/>
    <cellStyle name="제목 2 2 17" xfId="12857"/>
    <cellStyle name="제목 2 2 170" xfId="12858"/>
    <cellStyle name="제목 2 2 171" xfId="12859"/>
    <cellStyle name="제목 2 2 172" xfId="12860"/>
    <cellStyle name="제목 2 2 173" xfId="12861"/>
    <cellStyle name="제목 2 2 174" xfId="12862"/>
    <cellStyle name="제목 2 2 175" xfId="12863"/>
    <cellStyle name="제목 2 2 176" xfId="12864"/>
    <cellStyle name="제목 2 2 177" xfId="12865"/>
    <cellStyle name="제목 2 2 178" xfId="12866"/>
    <cellStyle name="제목 2 2 179" xfId="12867"/>
    <cellStyle name="제목 2 2 18" xfId="12868"/>
    <cellStyle name="제목 2 2 180" xfId="12869"/>
    <cellStyle name="제목 2 2 181" xfId="12870"/>
    <cellStyle name="제목 2 2 182" xfId="12871"/>
    <cellStyle name="제목 2 2 183" xfId="12872"/>
    <cellStyle name="제목 2 2 184" xfId="12873"/>
    <cellStyle name="제목 2 2 185" xfId="12874"/>
    <cellStyle name="제목 2 2 186" xfId="12875"/>
    <cellStyle name="제목 2 2 187" xfId="12876"/>
    <cellStyle name="제목 2 2 188" xfId="12877"/>
    <cellStyle name="제목 2 2 189" xfId="12878"/>
    <cellStyle name="제목 2 2 19" xfId="12879"/>
    <cellStyle name="제목 2 2 190" xfId="12880"/>
    <cellStyle name="제목 2 2 191" xfId="12881"/>
    <cellStyle name="제목 2 2 192" xfId="12882"/>
    <cellStyle name="제목 2 2 193" xfId="12883"/>
    <cellStyle name="제목 2 2 194" xfId="12884"/>
    <cellStyle name="제목 2 2 195" xfId="12885"/>
    <cellStyle name="제목 2 2 196" xfId="12886"/>
    <cellStyle name="제목 2 2 197" xfId="12887"/>
    <cellStyle name="제목 2 2 198" xfId="12888"/>
    <cellStyle name="제목 2 2 199" xfId="12889"/>
    <cellStyle name="제목 2 2 2" xfId="12890"/>
    <cellStyle name="제목 2 2 20" xfId="12891"/>
    <cellStyle name="제목 2 2 200" xfId="12892"/>
    <cellStyle name="제목 2 2 201" xfId="12893"/>
    <cellStyle name="제목 2 2 202" xfId="12894"/>
    <cellStyle name="제목 2 2 203" xfId="12895"/>
    <cellStyle name="제목 2 2 204" xfId="12896"/>
    <cellStyle name="제목 2 2 205" xfId="12897"/>
    <cellStyle name="제목 2 2 206" xfId="12898"/>
    <cellStyle name="제목 2 2 207" xfId="12899"/>
    <cellStyle name="제목 2 2 208" xfId="12900"/>
    <cellStyle name="제목 2 2 209" xfId="12901"/>
    <cellStyle name="제목 2 2 21" xfId="12902"/>
    <cellStyle name="제목 2 2 210" xfId="12903"/>
    <cellStyle name="제목 2 2 211" xfId="12904"/>
    <cellStyle name="제목 2 2 212" xfId="12905"/>
    <cellStyle name="제목 2 2 213" xfId="12906"/>
    <cellStyle name="제목 2 2 214" xfId="12907"/>
    <cellStyle name="제목 2 2 215" xfId="12908"/>
    <cellStyle name="제목 2 2 216" xfId="12909"/>
    <cellStyle name="제목 2 2 217" xfId="12910"/>
    <cellStyle name="제목 2 2 218" xfId="12911"/>
    <cellStyle name="제목 2 2 219" xfId="12912"/>
    <cellStyle name="제목 2 2 22" xfId="12913"/>
    <cellStyle name="제목 2 2 220" xfId="12914"/>
    <cellStyle name="제목 2 2 221" xfId="12915"/>
    <cellStyle name="제목 2 2 222" xfId="12916"/>
    <cellStyle name="제목 2 2 223" xfId="12917"/>
    <cellStyle name="제목 2 2 224" xfId="12918"/>
    <cellStyle name="제목 2 2 225" xfId="12919"/>
    <cellStyle name="제목 2 2 226" xfId="12920"/>
    <cellStyle name="제목 2 2 227" xfId="12921"/>
    <cellStyle name="제목 2 2 228" xfId="12922"/>
    <cellStyle name="제목 2 2 229" xfId="12923"/>
    <cellStyle name="제목 2 2 23" xfId="12924"/>
    <cellStyle name="제목 2 2 230" xfId="12925"/>
    <cellStyle name="제목 2 2 231" xfId="12926"/>
    <cellStyle name="제목 2 2 232" xfId="12927"/>
    <cellStyle name="제목 2 2 233" xfId="12928"/>
    <cellStyle name="제목 2 2 234" xfId="12929"/>
    <cellStyle name="제목 2 2 235" xfId="12930"/>
    <cellStyle name="제목 2 2 236" xfId="12931"/>
    <cellStyle name="제목 2 2 237" xfId="12932"/>
    <cellStyle name="제목 2 2 238" xfId="12933"/>
    <cellStyle name="제목 2 2 239" xfId="12934"/>
    <cellStyle name="제목 2 2 24" xfId="12935"/>
    <cellStyle name="제목 2 2 240" xfId="12936"/>
    <cellStyle name="제목 2 2 241" xfId="12937"/>
    <cellStyle name="제목 2 2 25" xfId="12938"/>
    <cellStyle name="제목 2 2 26" xfId="12939"/>
    <cellStyle name="제목 2 2 27" xfId="12940"/>
    <cellStyle name="제목 2 2 28" xfId="12941"/>
    <cellStyle name="제목 2 2 29" xfId="12942"/>
    <cellStyle name="제목 2 2 3" xfId="12943"/>
    <cellStyle name="제목 2 2 30" xfId="12944"/>
    <cellStyle name="제목 2 2 31" xfId="12945"/>
    <cellStyle name="제목 2 2 32" xfId="12946"/>
    <cellStyle name="제목 2 2 33" xfId="12947"/>
    <cellStyle name="제목 2 2 34" xfId="12948"/>
    <cellStyle name="제목 2 2 35" xfId="12949"/>
    <cellStyle name="제목 2 2 36" xfId="12950"/>
    <cellStyle name="제목 2 2 37" xfId="12951"/>
    <cellStyle name="제목 2 2 38" xfId="12952"/>
    <cellStyle name="제목 2 2 39" xfId="12953"/>
    <cellStyle name="제목 2 2 4" xfId="12954"/>
    <cellStyle name="제목 2 2 40" xfId="12955"/>
    <cellStyle name="제목 2 2 41" xfId="12956"/>
    <cellStyle name="제목 2 2 42" xfId="12957"/>
    <cellStyle name="제목 2 2 43" xfId="12958"/>
    <cellStyle name="제목 2 2 44" xfId="12959"/>
    <cellStyle name="제목 2 2 45" xfId="12960"/>
    <cellStyle name="제목 2 2 46" xfId="12961"/>
    <cellStyle name="제목 2 2 47" xfId="12962"/>
    <cellStyle name="제목 2 2 48" xfId="12963"/>
    <cellStyle name="제목 2 2 49" xfId="12964"/>
    <cellStyle name="제목 2 2 5" xfId="12965"/>
    <cellStyle name="제목 2 2 50" xfId="12966"/>
    <cellStyle name="제목 2 2 51" xfId="12967"/>
    <cellStyle name="제목 2 2 52" xfId="12968"/>
    <cellStyle name="제목 2 2 53" xfId="12969"/>
    <cellStyle name="제목 2 2 54" xfId="12970"/>
    <cellStyle name="제목 2 2 55" xfId="12971"/>
    <cellStyle name="제목 2 2 56" xfId="12972"/>
    <cellStyle name="제목 2 2 57" xfId="12973"/>
    <cellStyle name="제목 2 2 58" xfId="12974"/>
    <cellStyle name="제목 2 2 59" xfId="12975"/>
    <cellStyle name="제목 2 2 6" xfId="12976"/>
    <cellStyle name="제목 2 2 60" xfId="12977"/>
    <cellStyle name="제목 2 2 61" xfId="12978"/>
    <cellStyle name="제목 2 2 62" xfId="12979"/>
    <cellStyle name="제목 2 2 63" xfId="12980"/>
    <cellStyle name="제목 2 2 64" xfId="12981"/>
    <cellStyle name="제목 2 2 65" xfId="12982"/>
    <cellStyle name="제목 2 2 66" xfId="12983"/>
    <cellStyle name="제목 2 2 67" xfId="12984"/>
    <cellStyle name="제목 2 2 68" xfId="12985"/>
    <cellStyle name="제목 2 2 69" xfId="12986"/>
    <cellStyle name="제목 2 2 7" xfId="12987"/>
    <cellStyle name="제목 2 2 70" xfId="12988"/>
    <cellStyle name="제목 2 2 71" xfId="12989"/>
    <cellStyle name="제목 2 2 72" xfId="12990"/>
    <cellStyle name="제목 2 2 73" xfId="12991"/>
    <cellStyle name="제목 2 2 74" xfId="12992"/>
    <cellStyle name="제목 2 2 75" xfId="12993"/>
    <cellStyle name="제목 2 2 76" xfId="12994"/>
    <cellStyle name="제목 2 2 77" xfId="12995"/>
    <cellStyle name="제목 2 2 78" xfId="12996"/>
    <cellStyle name="제목 2 2 79" xfId="12997"/>
    <cellStyle name="제목 2 2 8" xfId="12998"/>
    <cellStyle name="제목 2 2 80" xfId="12999"/>
    <cellStyle name="제목 2 2 81" xfId="13000"/>
    <cellStyle name="제목 2 2 82" xfId="13001"/>
    <cellStyle name="제목 2 2 83" xfId="13002"/>
    <cellStyle name="제목 2 2 84" xfId="13003"/>
    <cellStyle name="제목 2 2 85" xfId="13004"/>
    <cellStyle name="제목 2 2 86" xfId="13005"/>
    <cellStyle name="제목 2 2 87" xfId="13006"/>
    <cellStyle name="제목 2 2 88" xfId="13007"/>
    <cellStyle name="제목 2 2 89" xfId="13008"/>
    <cellStyle name="제목 2 2 9" xfId="13009"/>
    <cellStyle name="제목 2 2 90" xfId="13010"/>
    <cellStyle name="제목 2 2 91" xfId="13011"/>
    <cellStyle name="제목 2 2 92" xfId="13012"/>
    <cellStyle name="제목 2 2 93" xfId="13013"/>
    <cellStyle name="제목 2 2 94" xfId="13014"/>
    <cellStyle name="제목 2 2 95" xfId="13015"/>
    <cellStyle name="제목 2 2 96" xfId="13016"/>
    <cellStyle name="제목 2 2 97" xfId="13017"/>
    <cellStyle name="제목 2 2 98" xfId="13018"/>
    <cellStyle name="제목 2 2 99" xfId="13019"/>
    <cellStyle name="제목 3 2" xfId="13020"/>
    <cellStyle name="제목 3 2 10" xfId="13021"/>
    <cellStyle name="제목 3 2 100" xfId="13022"/>
    <cellStyle name="제목 3 2 101" xfId="13023"/>
    <cellStyle name="제목 3 2 102" xfId="13024"/>
    <cellStyle name="제목 3 2 103" xfId="13025"/>
    <cellStyle name="제목 3 2 104" xfId="13026"/>
    <cellStyle name="제목 3 2 105" xfId="13027"/>
    <cellStyle name="제목 3 2 106" xfId="13028"/>
    <cellStyle name="제목 3 2 107" xfId="13029"/>
    <cellStyle name="제목 3 2 108" xfId="13030"/>
    <cellStyle name="제목 3 2 109" xfId="13031"/>
    <cellStyle name="제목 3 2 11" xfId="13032"/>
    <cellStyle name="제목 3 2 110" xfId="13033"/>
    <cellStyle name="제목 3 2 111" xfId="13034"/>
    <cellStyle name="제목 3 2 112" xfId="13035"/>
    <cellStyle name="제목 3 2 113" xfId="13036"/>
    <cellStyle name="제목 3 2 114" xfId="13037"/>
    <cellStyle name="제목 3 2 115" xfId="13038"/>
    <cellStyle name="제목 3 2 116" xfId="13039"/>
    <cellStyle name="제목 3 2 117" xfId="13040"/>
    <cellStyle name="제목 3 2 118" xfId="13041"/>
    <cellStyle name="제목 3 2 119" xfId="13042"/>
    <cellStyle name="제목 3 2 12" xfId="13043"/>
    <cellStyle name="제목 3 2 120" xfId="13044"/>
    <cellStyle name="제목 3 2 121" xfId="13045"/>
    <cellStyle name="제목 3 2 122" xfId="13046"/>
    <cellStyle name="제목 3 2 123" xfId="13047"/>
    <cellStyle name="제목 3 2 124" xfId="13048"/>
    <cellStyle name="제목 3 2 125" xfId="13049"/>
    <cellStyle name="제목 3 2 126" xfId="13050"/>
    <cellStyle name="제목 3 2 127" xfId="13051"/>
    <cellStyle name="제목 3 2 128" xfId="13052"/>
    <cellStyle name="제목 3 2 129" xfId="13053"/>
    <cellStyle name="제목 3 2 13" xfId="13054"/>
    <cellStyle name="제목 3 2 130" xfId="13055"/>
    <cellStyle name="제목 3 2 131" xfId="13056"/>
    <cellStyle name="제목 3 2 132" xfId="13057"/>
    <cellStyle name="제목 3 2 133" xfId="13058"/>
    <cellStyle name="제목 3 2 134" xfId="13059"/>
    <cellStyle name="제목 3 2 135" xfId="13060"/>
    <cellStyle name="제목 3 2 136" xfId="13061"/>
    <cellStyle name="제목 3 2 137" xfId="13062"/>
    <cellStyle name="제목 3 2 138" xfId="13063"/>
    <cellStyle name="제목 3 2 139" xfId="13064"/>
    <cellStyle name="제목 3 2 14" xfId="13065"/>
    <cellStyle name="제목 3 2 140" xfId="13066"/>
    <cellStyle name="제목 3 2 141" xfId="13067"/>
    <cellStyle name="제목 3 2 142" xfId="13068"/>
    <cellStyle name="제목 3 2 143" xfId="13069"/>
    <cellStyle name="제목 3 2 144" xfId="13070"/>
    <cellStyle name="제목 3 2 145" xfId="13071"/>
    <cellStyle name="제목 3 2 146" xfId="13072"/>
    <cellStyle name="제목 3 2 147" xfId="13073"/>
    <cellStyle name="제목 3 2 148" xfId="13074"/>
    <cellStyle name="제목 3 2 149" xfId="13075"/>
    <cellStyle name="제목 3 2 15" xfId="13076"/>
    <cellStyle name="제목 3 2 150" xfId="13077"/>
    <cellStyle name="제목 3 2 151" xfId="13078"/>
    <cellStyle name="제목 3 2 152" xfId="13079"/>
    <cellStyle name="제목 3 2 153" xfId="13080"/>
    <cellStyle name="제목 3 2 154" xfId="13081"/>
    <cellStyle name="제목 3 2 155" xfId="13082"/>
    <cellStyle name="제목 3 2 156" xfId="13083"/>
    <cellStyle name="제목 3 2 157" xfId="13084"/>
    <cellStyle name="제목 3 2 158" xfId="13085"/>
    <cellStyle name="제목 3 2 159" xfId="13086"/>
    <cellStyle name="제목 3 2 16" xfId="13087"/>
    <cellStyle name="제목 3 2 160" xfId="13088"/>
    <cellStyle name="제목 3 2 161" xfId="13089"/>
    <cellStyle name="제목 3 2 162" xfId="13090"/>
    <cellStyle name="제목 3 2 163" xfId="13091"/>
    <cellStyle name="제목 3 2 164" xfId="13092"/>
    <cellStyle name="제목 3 2 165" xfId="13093"/>
    <cellStyle name="제목 3 2 166" xfId="13094"/>
    <cellStyle name="제목 3 2 167" xfId="13095"/>
    <cellStyle name="제목 3 2 168" xfId="13096"/>
    <cellStyle name="제목 3 2 169" xfId="13097"/>
    <cellStyle name="제목 3 2 17" xfId="13098"/>
    <cellStyle name="제목 3 2 170" xfId="13099"/>
    <cellStyle name="제목 3 2 171" xfId="13100"/>
    <cellStyle name="제목 3 2 172" xfId="13101"/>
    <cellStyle name="제목 3 2 173" xfId="13102"/>
    <cellStyle name="제목 3 2 174" xfId="13103"/>
    <cellStyle name="제목 3 2 175" xfId="13104"/>
    <cellStyle name="제목 3 2 176" xfId="13105"/>
    <cellStyle name="제목 3 2 177" xfId="13106"/>
    <cellStyle name="제목 3 2 178" xfId="13107"/>
    <cellStyle name="제목 3 2 179" xfId="13108"/>
    <cellStyle name="제목 3 2 18" xfId="13109"/>
    <cellStyle name="제목 3 2 180" xfId="13110"/>
    <cellStyle name="제목 3 2 181" xfId="13111"/>
    <cellStyle name="제목 3 2 182" xfId="13112"/>
    <cellStyle name="제목 3 2 183" xfId="13113"/>
    <cellStyle name="제목 3 2 184" xfId="13114"/>
    <cellStyle name="제목 3 2 185" xfId="13115"/>
    <cellStyle name="제목 3 2 186" xfId="13116"/>
    <cellStyle name="제목 3 2 187" xfId="13117"/>
    <cellStyle name="제목 3 2 188" xfId="13118"/>
    <cellStyle name="제목 3 2 189" xfId="13119"/>
    <cellStyle name="제목 3 2 19" xfId="13120"/>
    <cellStyle name="제목 3 2 190" xfId="13121"/>
    <cellStyle name="제목 3 2 191" xfId="13122"/>
    <cellStyle name="제목 3 2 192" xfId="13123"/>
    <cellStyle name="제목 3 2 193" xfId="13124"/>
    <cellStyle name="제목 3 2 194" xfId="13125"/>
    <cellStyle name="제목 3 2 195" xfId="13126"/>
    <cellStyle name="제목 3 2 196" xfId="13127"/>
    <cellStyle name="제목 3 2 197" xfId="13128"/>
    <cellStyle name="제목 3 2 198" xfId="13129"/>
    <cellStyle name="제목 3 2 199" xfId="13130"/>
    <cellStyle name="제목 3 2 2" xfId="13131"/>
    <cellStyle name="제목 3 2 20" xfId="13132"/>
    <cellStyle name="제목 3 2 200" xfId="13133"/>
    <cellStyle name="제목 3 2 201" xfId="13134"/>
    <cellStyle name="제목 3 2 202" xfId="13135"/>
    <cellStyle name="제목 3 2 203" xfId="13136"/>
    <cellStyle name="제목 3 2 204" xfId="13137"/>
    <cellStyle name="제목 3 2 205" xfId="13138"/>
    <cellStyle name="제목 3 2 206" xfId="13139"/>
    <cellStyle name="제목 3 2 207" xfId="13140"/>
    <cellStyle name="제목 3 2 208" xfId="13141"/>
    <cellStyle name="제목 3 2 209" xfId="13142"/>
    <cellStyle name="제목 3 2 21" xfId="13143"/>
    <cellStyle name="제목 3 2 210" xfId="13144"/>
    <cellStyle name="제목 3 2 211" xfId="13145"/>
    <cellStyle name="제목 3 2 212" xfId="13146"/>
    <cellStyle name="제목 3 2 213" xfId="13147"/>
    <cellStyle name="제목 3 2 214" xfId="13148"/>
    <cellStyle name="제목 3 2 215" xfId="13149"/>
    <cellStyle name="제목 3 2 216" xfId="13150"/>
    <cellStyle name="제목 3 2 217" xfId="13151"/>
    <cellStyle name="제목 3 2 218" xfId="13152"/>
    <cellStyle name="제목 3 2 219" xfId="13153"/>
    <cellStyle name="제목 3 2 22" xfId="13154"/>
    <cellStyle name="제목 3 2 220" xfId="13155"/>
    <cellStyle name="제목 3 2 221" xfId="13156"/>
    <cellStyle name="제목 3 2 222" xfId="13157"/>
    <cellStyle name="제목 3 2 223" xfId="13158"/>
    <cellStyle name="제목 3 2 224" xfId="13159"/>
    <cellStyle name="제목 3 2 225" xfId="13160"/>
    <cellStyle name="제목 3 2 226" xfId="13161"/>
    <cellStyle name="제목 3 2 227" xfId="13162"/>
    <cellStyle name="제목 3 2 228" xfId="13163"/>
    <cellStyle name="제목 3 2 229" xfId="13164"/>
    <cellStyle name="제목 3 2 23" xfId="13165"/>
    <cellStyle name="제목 3 2 230" xfId="13166"/>
    <cellStyle name="제목 3 2 231" xfId="13167"/>
    <cellStyle name="제목 3 2 232" xfId="13168"/>
    <cellStyle name="제목 3 2 233" xfId="13169"/>
    <cellStyle name="제목 3 2 234" xfId="13170"/>
    <cellStyle name="제목 3 2 235" xfId="13171"/>
    <cellStyle name="제목 3 2 236" xfId="13172"/>
    <cellStyle name="제목 3 2 237" xfId="13173"/>
    <cellStyle name="제목 3 2 238" xfId="13174"/>
    <cellStyle name="제목 3 2 239" xfId="13175"/>
    <cellStyle name="제목 3 2 24" xfId="13176"/>
    <cellStyle name="제목 3 2 240" xfId="13177"/>
    <cellStyle name="제목 3 2 241" xfId="13178"/>
    <cellStyle name="제목 3 2 25" xfId="13179"/>
    <cellStyle name="제목 3 2 26" xfId="13180"/>
    <cellStyle name="제목 3 2 27" xfId="13181"/>
    <cellStyle name="제목 3 2 28" xfId="13182"/>
    <cellStyle name="제목 3 2 29" xfId="13183"/>
    <cellStyle name="제목 3 2 3" xfId="13184"/>
    <cellStyle name="제목 3 2 30" xfId="13185"/>
    <cellStyle name="제목 3 2 31" xfId="13186"/>
    <cellStyle name="제목 3 2 32" xfId="13187"/>
    <cellStyle name="제목 3 2 33" xfId="13188"/>
    <cellStyle name="제목 3 2 34" xfId="13189"/>
    <cellStyle name="제목 3 2 35" xfId="13190"/>
    <cellStyle name="제목 3 2 36" xfId="13191"/>
    <cellStyle name="제목 3 2 37" xfId="13192"/>
    <cellStyle name="제목 3 2 38" xfId="13193"/>
    <cellStyle name="제목 3 2 39" xfId="13194"/>
    <cellStyle name="제목 3 2 4" xfId="13195"/>
    <cellStyle name="제목 3 2 40" xfId="13196"/>
    <cellStyle name="제목 3 2 41" xfId="13197"/>
    <cellStyle name="제목 3 2 42" xfId="13198"/>
    <cellStyle name="제목 3 2 43" xfId="13199"/>
    <cellStyle name="제목 3 2 44" xfId="13200"/>
    <cellStyle name="제목 3 2 45" xfId="13201"/>
    <cellStyle name="제목 3 2 46" xfId="13202"/>
    <cellStyle name="제목 3 2 47" xfId="13203"/>
    <cellStyle name="제목 3 2 48" xfId="13204"/>
    <cellStyle name="제목 3 2 49" xfId="13205"/>
    <cellStyle name="제목 3 2 5" xfId="13206"/>
    <cellStyle name="제목 3 2 50" xfId="13207"/>
    <cellStyle name="제목 3 2 51" xfId="13208"/>
    <cellStyle name="제목 3 2 52" xfId="13209"/>
    <cellStyle name="제목 3 2 53" xfId="13210"/>
    <cellStyle name="제목 3 2 54" xfId="13211"/>
    <cellStyle name="제목 3 2 55" xfId="13212"/>
    <cellStyle name="제목 3 2 56" xfId="13213"/>
    <cellStyle name="제목 3 2 57" xfId="13214"/>
    <cellStyle name="제목 3 2 58" xfId="13215"/>
    <cellStyle name="제목 3 2 59" xfId="13216"/>
    <cellStyle name="제목 3 2 6" xfId="13217"/>
    <cellStyle name="제목 3 2 60" xfId="13218"/>
    <cellStyle name="제목 3 2 61" xfId="13219"/>
    <cellStyle name="제목 3 2 62" xfId="13220"/>
    <cellStyle name="제목 3 2 63" xfId="13221"/>
    <cellStyle name="제목 3 2 64" xfId="13222"/>
    <cellStyle name="제목 3 2 65" xfId="13223"/>
    <cellStyle name="제목 3 2 66" xfId="13224"/>
    <cellStyle name="제목 3 2 67" xfId="13225"/>
    <cellStyle name="제목 3 2 68" xfId="13226"/>
    <cellStyle name="제목 3 2 69" xfId="13227"/>
    <cellStyle name="제목 3 2 7" xfId="13228"/>
    <cellStyle name="제목 3 2 70" xfId="13229"/>
    <cellStyle name="제목 3 2 71" xfId="13230"/>
    <cellStyle name="제목 3 2 72" xfId="13231"/>
    <cellStyle name="제목 3 2 73" xfId="13232"/>
    <cellStyle name="제목 3 2 74" xfId="13233"/>
    <cellStyle name="제목 3 2 75" xfId="13234"/>
    <cellStyle name="제목 3 2 76" xfId="13235"/>
    <cellStyle name="제목 3 2 77" xfId="13236"/>
    <cellStyle name="제목 3 2 78" xfId="13237"/>
    <cellStyle name="제목 3 2 79" xfId="13238"/>
    <cellStyle name="제목 3 2 8" xfId="13239"/>
    <cellStyle name="제목 3 2 80" xfId="13240"/>
    <cellStyle name="제목 3 2 81" xfId="13241"/>
    <cellStyle name="제목 3 2 82" xfId="13242"/>
    <cellStyle name="제목 3 2 83" xfId="13243"/>
    <cellStyle name="제목 3 2 84" xfId="13244"/>
    <cellStyle name="제목 3 2 85" xfId="13245"/>
    <cellStyle name="제목 3 2 86" xfId="13246"/>
    <cellStyle name="제목 3 2 87" xfId="13247"/>
    <cellStyle name="제목 3 2 88" xfId="13248"/>
    <cellStyle name="제목 3 2 89" xfId="13249"/>
    <cellStyle name="제목 3 2 9" xfId="13250"/>
    <cellStyle name="제목 3 2 90" xfId="13251"/>
    <cellStyle name="제목 3 2 91" xfId="13252"/>
    <cellStyle name="제목 3 2 92" xfId="13253"/>
    <cellStyle name="제목 3 2 93" xfId="13254"/>
    <cellStyle name="제목 3 2 94" xfId="13255"/>
    <cellStyle name="제목 3 2 95" xfId="13256"/>
    <cellStyle name="제목 3 2 96" xfId="13257"/>
    <cellStyle name="제목 3 2 97" xfId="13258"/>
    <cellStyle name="제목 3 2 98" xfId="13259"/>
    <cellStyle name="제목 3 2 99" xfId="13260"/>
    <cellStyle name="제목 4 2" xfId="13261"/>
    <cellStyle name="제목 4 2 10" xfId="13262"/>
    <cellStyle name="제목 4 2 100" xfId="13263"/>
    <cellStyle name="제목 4 2 101" xfId="13264"/>
    <cellStyle name="제목 4 2 102" xfId="13265"/>
    <cellStyle name="제목 4 2 103" xfId="13266"/>
    <cellStyle name="제목 4 2 104" xfId="13267"/>
    <cellStyle name="제목 4 2 105" xfId="13268"/>
    <cellStyle name="제목 4 2 106" xfId="13269"/>
    <cellStyle name="제목 4 2 107" xfId="13270"/>
    <cellStyle name="제목 4 2 108" xfId="13271"/>
    <cellStyle name="제목 4 2 109" xfId="13272"/>
    <cellStyle name="제목 4 2 11" xfId="13273"/>
    <cellStyle name="제목 4 2 110" xfId="13274"/>
    <cellStyle name="제목 4 2 111" xfId="13275"/>
    <cellStyle name="제목 4 2 112" xfId="13276"/>
    <cellStyle name="제목 4 2 113" xfId="13277"/>
    <cellStyle name="제목 4 2 114" xfId="13278"/>
    <cellStyle name="제목 4 2 115" xfId="13279"/>
    <cellStyle name="제목 4 2 116" xfId="13280"/>
    <cellStyle name="제목 4 2 117" xfId="13281"/>
    <cellStyle name="제목 4 2 118" xfId="13282"/>
    <cellStyle name="제목 4 2 119" xfId="13283"/>
    <cellStyle name="제목 4 2 12" xfId="13284"/>
    <cellStyle name="제목 4 2 120" xfId="13285"/>
    <cellStyle name="제목 4 2 121" xfId="13286"/>
    <cellStyle name="제목 4 2 122" xfId="13287"/>
    <cellStyle name="제목 4 2 123" xfId="13288"/>
    <cellStyle name="제목 4 2 124" xfId="13289"/>
    <cellStyle name="제목 4 2 125" xfId="13290"/>
    <cellStyle name="제목 4 2 126" xfId="13291"/>
    <cellStyle name="제목 4 2 127" xfId="13292"/>
    <cellStyle name="제목 4 2 128" xfId="13293"/>
    <cellStyle name="제목 4 2 129" xfId="13294"/>
    <cellStyle name="제목 4 2 13" xfId="13295"/>
    <cellStyle name="제목 4 2 130" xfId="13296"/>
    <cellStyle name="제목 4 2 131" xfId="13297"/>
    <cellStyle name="제목 4 2 132" xfId="13298"/>
    <cellStyle name="제목 4 2 133" xfId="13299"/>
    <cellStyle name="제목 4 2 134" xfId="13300"/>
    <cellStyle name="제목 4 2 135" xfId="13301"/>
    <cellStyle name="제목 4 2 136" xfId="13302"/>
    <cellStyle name="제목 4 2 137" xfId="13303"/>
    <cellStyle name="제목 4 2 138" xfId="13304"/>
    <cellStyle name="제목 4 2 139" xfId="13305"/>
    <cellStyle name="제목 4 2 14" xfId="13306"/>
    <cellStyle name="제목 4 2 140" xfId="13307"/>
    <cellStyle name="제목 4 2 141" xfId="13308"/>
    <cellStyle name="제목 4 2 142" xfId="13309"/>
    <cellStyle name="제목 4 2 143" xfId="13310"/>
    <cellStyle name="제목 4 2 144" xfId="13311"/>
    <cellStyle name="제목 4 2 145" xfId="13312"/>
    <cellStyle name="제목 4 2 146" xfId="13313"/>
    <cellStyle name="제목 4 2 147" xfId="13314"/>
    <cellStyle name="제목 4 2 148" xfId="13315"/>
    <cellStyle name="제목 4 2 149" xfId="13316"/>
    <cellStyle name="제목 4 2 15" xfId="13317"/>
    <cellStyle name="제목 4 2 150" xfId="13318"/>
    <cellStyle name="제목 4 2 151" xfId="13319"/>
    <cellStyle name="제목 4 2 152" xfId="13320"/>
    <cellStyle name="제목 4 2 153" xfId="13321"/>
    <cellStyle name="제목 4 2 154" xfId="13322"/>
    <cellStyle name="제목 4 2 155" xfId="13323"/>
    <cellStyle name="제목 4 2 156" xfId="13324"/>
    <cellStyle name="제목 4 2 157" xfId="13325"/>
    <cellStyle name="제목 4 2 158" xfId="13326"/>
    <cellStyle name="제목 4 2 159" xfId="13327"/>
    <cellStyle name="제목 4 2 16" xfId="13328"/>
    <cellStyle name="제목 4 2 160" xfId="13329"/>
    <cellStyle name="제목 4 2 161" xfId="13330"/>
    <cellStyle name="제목 4 2 162" xfId="13331"/>
    <cellStyle name="제목 4 2 163" xfId="13332"/>
    <cellStyle name="제목 4 2 164" xfId="13333"/>
    <cellStyle name="제목 4 2 165" xfId="13334"/>
    <cellStyle name="제목 4 2 166" xfId="13335"/>
    <cellStyle name="제목 4 2 167" xfId="13336"/>
    <cellStyle name="제목 4 2 168" xfId="13337"/>
    <cellStyle name="제목 4 2 169" xfId="13338"/>
    <cellStyle name="제목 4 2 17" xfId="13339"/>
    <cellStyle name="제목 4 2 170" xfId="13340"/>
    <cellStyle name="제목 4 2 171" xfId="13341"/>
    <cellStyle name="제목 4 2 172" xfId="13342"/>
    <cellStyle name="제목 4 2 173" xfId="13343"/>
    <cellStyle name="제목 4 2 174" xfId="13344"/>
    <cellStyle name="제목 4 2 175" xfId="13345"/>
    <cellStyle name="제목 4 2 176" xfId="13346"/>
    <cellStyle name="제목 4 2 177" xfId="13347"/>
    <cellStyle name="제목 4 2 178" xfId="13348"/>
    <cellStyle name="제목 4 2 179" xfId="13349"/>
    <cellStyle name="제목 4 2 18" xfId="13350"/>
    <cellStyle name="제목 4 2 180" xfId="13351"/>
    <cellStyle name="제목 4 2 181" xfId="13352"/>
    <cellStyle name="제목 4 2 182" xfId="13353"/>
    <cellStyle name="제목 4 2 183" xfId="13354"/>
    <cellStyle name="제목 4 2 184" xfId="13355"/>
    <cellStyle name="제목 4 2 185" xfId="13356"/>
    <cellStyle name="제목 4 2 186" xfId="13357"/>
    <cellStyle name="제목 4 2 187" xfId="13358"/>
    <cellStyle name="제목 4 2 188" xfId="13359"/>
    <cellStyle name="제목 4 2 189" xfId="13360"/>
    <cellStyle name="제목 4 2 19" xfId="13361"/>
    <cellStyle name="제목 4 2 190" xfId="13362"/>
    <cellStyle name="제목 4 2 191" xfId="13363"/>
    <cellStyle name="제목 4 2 192" xfId="13364"/>
    <cellStyle name="제목 4 2 193" xfId="13365"/>
    <cellStyle name="제목 4 2 194" xfId="13366"/>
    <cellStyle name="제목 4 2 195" xfId="13367"/>
    <cellStyle name="제목 4 2 196" xfId="13368"/>
    <cellStyle name="제목 4 2 197" xfId="13369"/>
    <cellStyle name="제목 4 2 198" xfId="13370"/>
    <cellStyle name="제목 4 2 199" xfId="13371"/>
    <cellStyle name="제목 4 2 2" xfId="13372"/>
    <cellStyle name="제목 4 2 20" xfId="13373"/>
    <cellStyle name="제목 4 2 200" xfId="13374"/>
    <cellStyle name="제목 4 2 201" xfId="13375"/>
    <cellStyle name="제목 4 2 202" xfId="13376"/>
    <cellStyle name="제목 4 2 203" xfId="13377"/>
    <cellStyle name="제목 4 2 204" xfId="13378"/>
    <cellStyle name="제목 4 2 205" xfId="13379"/>
    <cellStyle name="제목 4 2 206" xfId="13380"/>
    <cellStyle name="제목 4 2 207" xfId="13381"/>
    <cellStyle name="제목 4 2 208" xfId="13382"/>
    <cellStyle name="제목 4 2 209" xfId="13383"/>
    <cellStyle name="제목 4 2 21" xfId="13384"/>
    <cellStyle name="제목 4 2 210" xfId="13385"/>
    <cellStyle name="제목 4 2 211" xfId="13386"/>
    <cellStyle name="제목 4 2 212" xfId="13387"/>
    <cellStyle name="제목 4 2 213" xfId="13388"/>
    <cellStyle name="제목 4 2 214" xfId="13389"/>
    <cellStyle name="제목 4 2 215" xfId="13390"/>
    <cellStyle name="제목 4 2 216" xfId="13391"/>
    <cellStyle name="제목 4 2 217" xfId="13392"/>
    <cellStyle name="제목 4 2 218" xfId="13393"/>
    <cellStyle name="제목 4 2 219" xfId="13394"/>
    <cellStyle name="제목 4 2 22" xfId="13395"/>
    <cellStyle name="제목 4 2 220" xfId="13396"/>
    <cellStyle name="제목 4 2 221" xfId="13397"/>
    <cellStyle name="제목 4 2 222" xfId="13398"/>
    <cellStyle name="제목 4 2 223" xfId="13399"/>
    <cellStyle name="제목 4 2 224" xfId="13400"/>
    <cellStyle name="제목 4 2 225" xfId="13401"/>
    <cellStyle name="제목 4 2 226" xfId="13402"/>
    <cellStyle name="제목 4 2 227" xfId="13403"/>
    <cellStyle name="제목 4 2 228" xfId="13404"/>
    <cellStyle name="제목 4 2 229" xfId="13405"/>
    <cellStyle name="제목 4 2 23" xfId="13406"/>
    <cellStyle name="제목 4 2 230" xfId="13407"/>
    <cellStyle name="제목 4 2 231" xfId="13408"/>
    <cellStyle name="제목 4 2 232" xfId="13409"/>
    <cellStyle name="제목 4 2 233" xfId="13410"/>
    <cellStyle name="제목 4 2 234" xfId="13411"/>
    <cellStyle name="제목 4 2 235" xfId="13412"/>
    <cellStyle name="제목 4 2 236" xfId="13413"/>
    <cellStyle name="제목 4 2 237" xfId="13414"/>
    <cellStyle name="제목 4 2 238" xfId="13415"/>
    <cellStyle name="제목 4 2 239" xfId="13416"/>
    <cellStyle name="제목 4 2 24" xfId="13417"/>
    <cellStyle name="제목 4 2 240" xfId="13418"/>
    <cellStyle name="제목 4 2 241" xfId="13419"/>
    <cellStyle name="제목 4 2 25" xfId="13420"/>
    <cellStyle name="제목 4 2 26" xfId="13421"/>
    <cellStyle name="제목 4 2 27" xfId="13422"/>
    <cellStyle name="제목 4 2 28" xfId="13423"/>
    <cellStyle name="제목 4 2 29" xfId="13424"/>
    <cellStyle name="제목 4 2 3" xfId="13425"/>
    <cellStyle name="제목 4 2 30" xfId="13426"/>
    <cellStyle name="제목 4 2 31" xfId="13427"/>
    <cellStyle name="제목 4 2 32" xfId="13428"/>
    <cellStyle name="제목 4 2 33" xfId="13429"/>
    <cellStyle name="제목 4 2 34" xfId="13430"/>
    <cellStyle name="제목 4 2 35" xfId="13431"/>
    <cellStyle name="제목 4 2 36" xfId="13432"/>
    <cellStyle name="제목 4 2 37" xfId="13433"/>
    <cellStyle name="제목 4 2 38" xfId="13434"/>
    <cellStyle name="제목 4 2 39" xfId="13435"/>
    <cellStyle name="제목 4 2 4" xfId="13436"/>
    <cellStyle name="제목 4 2 40" xfId="13437"/>
    <cellStyle name="제목 4 2 41" xfId="13438"/>
    <cellStyle name="제목 4 2 42" xfId="13439"/>
    <cellStyle name="제목 4 2 43" xfId="13440"/>
    <cellStyle name="제목 4 2 44" xfId="13441"/>
    <cellStyle name="제목 4 2 45" xfId="13442"/>
    <cellStyle name="제목 4 2 46" xfId="13443"/>
    <cellStyle name="제목 4 2 47" xfId="13444"/>
    <cellStyle name="제목 4 2 48" xfId="13445"/>
    <cellStyle name="제목 4 2 49" xfId="13446"/>
    <cellStyle name="제목 4 2 5" xfId="13447"/>
    <cellStyle name="제목 4 2 50" xfId="13448"/>
    <cellStyle name="제목 4 2 51" xfId="13449"/>
    <cellStyle name="제목 4 2 52" xfId="13450"/>
    <cellStyle name="제목 4 2 53" xfId="13451"/>
    <cellStyle name="제목 4 2 54" xfId="13452"/>
    <cellStyle name="제목 4 2 55" xfId="13453"/>
    <cellStyle name="제목 4 2 56" xfId="13454"/>
    <cellStyle name="제목 4 2 57" xfId="13455"/>
    <cellStyle name="제목 4 2 58" xfId="13456"/>
    <cellStyle name="제목 4 2 59" xfId="13457"/>
    <cellStyle name="제목 4 2 6" xfId="13458"/>
    <cellStyle name="제목 4 2 60" xfId="13459"/>
    <cellStyle name="제목 4 2 61" xfId="13460"/>
    <cellStyle name="제목 4 2 62" xfId="13461"/>
    <cellStyle name="제목 4 2 63" xfId="13462"/>
    <cellStyle name="제목 4 2 64" xfId="13463"/>
    <cellStyle name="제목 4 2 65" xfId="13464"/>
    <cellStyle name="제목 4 2 66" xfId="13465"/>
    <cellStyle name="제목 4 2 67" xfId="13466"/>
    <cellStyle name="제목 4 2 68" xfId="13467"/>
    <cellStyle name="제목 4 2 69" xfId="13468"/>
    <cellStyle name="제목 4 2 7" xfId="13469"/>
    <cellStyle name="제목 4 2 70" xfId="13470"/>
    <cellStyle name="제목 4 2 71" xfId="13471"/>
    <cellStyle name="제목 4 2 72" xfId="13472"/>
    <cellStyle name="제목 4 2 73" xfId="13473"/>
    <cellStyle name="제목 4 2 74" xfId="13474"/>
    <cellStyle name="제목 4 2 75" xfId="13475"/>
    <cellStyle name="제목 4 2 76" xfId="13476"/>
    <cellStyle name="제목 4 2 77" xfId="13477"/>
    <cellStyle name="제목 4 2 78" xfId="13478"/>
    <cellStyle name="제목 4 2 79" xfId="13479"/>
    <cellStyle name="제목 4 2 8" xfId="13480"/>
    <cellStyle name="제목 4 2 80" xfId="13481"/>
    <cellStyle name="제목 4 2 81" xfId="13482"/>
    <cellStyle name="제목 4 2 82" xfId="13483"/>
    <cellStyle name="제목 4 2 83" xfId="13484"/>
    <cellStyle name="제목 4 2 84" xfId="13485"/>
    <cellStyle name="제목 4 2 85" xfId="13486"/>
    <cellStyle name="제목 4 2 86" xfId="13487"/>
    <cellStyle name="제목 4 2 87" xfId="13488"/>
    <cellStyle name="제목 4 2 88" xfId="13489"/>
    <cellStyle name="제목 4 2 89" xfId="13490"/>
    <cellStyle name="제목 4 2 9" xfId="13491"/>
    <cellStyle name="제목 4 2 90" xfId="13492"/>
    <cellStyle name="제목 4 2 91" xfId="13493"/>
    <cellStyle name="제목 4 2 92" xfId="13494"/>
    <cellStyle name="제목 4 2 93" xfId="13495"/>
    <cellStyle name="제목 4 2 94" xfId="13496"/>
    <cellStyle name="제목 4 2 95" xfId="13497"/>
    <cellStyle name="제목 4 2 96" xfId="13498"/>
    <cellStyle name="제목 4 2 97" xfId="13499"/>
    <cellStyle name="제목 4 2 98" xfId="13500"/>
    <cellStyle name="제목 4 2 99" xfId="13501"/>
    <cellStyle name="좋음 2" xfId="13502"/>
    <cellStyle name="좋음 2 10" xfId="13503"/>
    <cellStyle name="좋음 2 100" xfId="13504"/>
    <cellStyle name="좋음 2 101" xfId="13505"/>
    <cellStyle name="좋음 2 102" xfId="13506"/>
    <cellStyle name="좋음 2 103" xfId="13507"/>
    <cellStyle name="좋음 2 104" xfId="13508"/>
    <cellStyle name="좋음 2 105" xfId="13509"/>
    <cellStyle name="좋음 2 106" xfId="13510"/>
    <cellStyle name="좋음 2 107" xfId="13511"/>
    <cellStyle name="좋음 2 108" xfId="13512"/>
    <cellStyle name="좋음 2 109" xfId="13513"/>
    <cellStyle name="좋음 2 11" xfId="13514"/>
    <cellStyle name="좋음 2 110" xfId="13515"/>
    <cellStyle name="좋음 2 111" xfId="13516"/>
    <cellStyle name="좋음 2 112" xfId="13517"/>
    <cellStyle name="좋음 2 113" xfId="13518"/>
    <cellStyle name="좋음 2 114" xfId="13519"/>
    <cellStyle name="좋음 2 115" xfId="13520"/>
    <cellStyle name="좋음 2 116" xfId="13521"/>
    <cellStyle name="좋음 2 117" xfId="13522"/>
    <cellStyle name="좋음 2 118" xfId="13523"/>
    <cellStyle name="좋음 2 119" xfId="13524"/>
    <cellStyle name="좋음 2 12" xfId="13525"/>
    <cellStyle name="좋음 2 120" xfId="13526"/>
    <cellStyle name="좋음 2 121" xfId="13527"/>
    <cellStyle name="좋음 2 122" xfId="13528"/>
    <cellStyle name="좋음 2 123" xfId="13529"/>
    <cellStyle name="좋음 2 124" xfId="13530"/>
    <cellStyle name="좋음 2 125" xfId="13531"/>
    <cellStyle name="좋음 2 126" xfId="13532"/>
    <cellStyle name="좋음 2 127" xfId="13533"/>
    <cellStyle name="좋음 2 128" xfId="13534"/>
    <cellStyle name="좋음 2 129" xfId="13535"/>
    <cellStyle name="좋음 2 13" xfId="13536"/>
    <cellStyle name="좋음 2 130" xfId="13537"/>
    <cellStyle name="좋음 2 131" xfId="13538"/>
    <cellStyle name="좋음 2 132" xfId="13539"/>
    <cellStyle name="좋음 2 133" xfId="13540"/>
    <cellStyle name="좋음 2 134" xfId="13541"/>
    <cellStyle name="좋음 2 135" xfId="13542"/>
    <cellStyle name="좋음 2 136" xfId="13543"/>
    <cellStyle name="좋음 2 137" xfId="13544"/>
    <cellStyle name="좋음 2 138" xfId="13545"/>
    <cellStyle name="좋음 2 139" xfId="13546"/>
    <cellStyle name="좋음 2 14" xfId="13547"/>
    <cellStyle name="좋음 2 140" xfId="13548"/>
    <cellStyle name="좋음 2 141" xfId="13549"/>
    <cellStyle name="좋음 2 142" xfId="13550"/>
    <cellStyle name="좋음 2 143" xfId="13551"/>
    <cellStyle name="좋음 2 144" xfId="13552"/>
    <cellStyle name="좋음 2 145" xfId="13553"/>
    <cellStyle name="좋음 2 146" xfId="13554"/>
    <cellStyle name="좋음 2 147" xfId="13555"/>
    <cellStyle name="좋음 2 148" xfId="13556"/>
    <cellStyle name="좋음 2 149" xfId="13557"/>
    <cellStyle name="좋음 2 15" xfId="13558"/>
    <cellStyle name="좋음 2 150" xfId="13559"/>
    <cellStyle name="좋음 2 151" xfId="13560"/>
    <cellStyle name="좋음 2 152" xfId="13561"/>
    <cellStyle name="좋음 2 153" xfId="13562"/>
    <cellStyle name="좋음 2 154" xfId="13563"/>
    <cellStyle name="좋음 2 155" xfId="13564"/>
    <cellStyle name="좋음 2 156" xfId="13565"/>
    <cellStyle name="좋음 2 157" xfId="13566"/>
    <cellStyle name="좋음 2 158" xfId="13567"/>
    <cellStyle name="좋음 2 159" xfId="13568"/>
    <cellStyle name="좋음 2 16" xfId="13569"/>
    <cellStyle name="좋음 2 160" xfId="13570"/>
    <cellStyle name="좋음 2 161" xfId="13571"/>
    <cellStyle name="좋음 2 162" xfId="13572"/>
    <cellStyle name="좋음 2 163" xfId="13573"/>
    <cellStyle name="좋음 2 164" xfId="13574"/>
    <cellStyle name="좋음 2 165" xfId="13575"/>
    <cellStyle name="좋음 2 166" xfId="13576"/>
    <cellStyle name="좋음 2 167" xfId="13577"/>
    <cellStyle name="좋음 2 168" xfId="13578"/>
    <cellStyle name="좋음 2 169" xfId="13579"/>
    <cellStyle name="좋음 2 17" xfId="13580"/>
    <cellStyle name="좋음 2 170" xfId="13581"/>
    <cellStyle name="좋음 2 171" xfId="13582"/>
    <cellStyle name="좋음 2 172" xfId="13583"/>
    <cellStyle name="좋음 2 173" xfId="13584"/>
    <cellStyle name="좋음 2 174" xfId="13585"/>
    <cellStyle name="좋음 2 175" xfId="13586"/>
    <cellStyle name="좋음 2 176" xfId="13587"/>
    <cellStyle name="좋음 2 177" xfId="13588"/>
    <cellStyle name="좋음 2 178" xfId="13589"/>
    <cellStyle name="좋음 2 179" xfId="13590"/>
    <cellStyle name="좋음 2 18" xfId="13591"/>
    <cellStyle name="좋음 2 180" xfId="13592"/>
    <cellStyle name="좋음 2 181" xfId="13593"/>
    <cellStyle name="좋음 2 182" xfId="13594"/>
    <cellStyle name="좋음 2 183" xfId="13595"/>
    <cellStyle name="좋음 2 184" xfId="13596"/>
    <cellStyle name="좋음 2 185" xfId="13597"/>
    <cellStyle name="좋음 2 186" xfId="13598"/>
    <cellStyle name="좋음 2 187" xfId="13599"/>
    <cellStyle name="좋음 2 188" xfId="13600"/>
    <cellStyle name="좋음 2 189" xfId="13601"/>
    <cellStyle name="좋음 2 19" xfId="13602"/>
    <cellStyle name="좋음 2 190" xfId="13603"/>
    <cellStyle name="좋음 2 191" xfId="13604"/>
    <cellStyle name="좋음 2 192" xfId="13605"/>
    <cellStyle name="좋음 2 193" xfId="13606"/>
    <cellStyle name="좋음 2 194" xfId="13607"/>
    <cellStyle name="좋음 2 195" xfId="13608"/>
    <cellStyle name="좋음 2 196" xfId="13609"/>
    <cellStyle name="좋음 2 197" xfId="13610"/>
    <cellStyle name="좋음 2 198" xfId="13611"/>
    <cellStyle name="좋음 2 199" xfId="13612"/>
    <cellStyle name="좋음 2 2" xfId="13613"/>
    <cellStyle name="좋음 2 20" xfId="13614"/>
    <cellStyle name="좋음 2 200" xfId="13615"/>
    <cellStyle name="좋음 2 201" xfId="13616"/>
    <cellStyle name="좋음 2 202" xfId="13617"/>
    <cellStyle name="좋음 2 203" xfId="13618"/>
    <cellStyle name="좋음 2 204" xfId="13619"/>
    <cellStyle name="좋음 2 205" xfId="13620"/>
    <cellStyle name="좋음 2 206" xfId="13621"/>
    <cellStyle name="좋음 2 207" xfId="13622"/>
    <cellStyle name="좋음 2 208" xfId="13623"/>
    <cellStyle name="좋음 2 209" xfId="13624"/>
    <cellStyle name="좋음 2 21" xfId="13625"/>
    <cellStyle name="좋음 2 210" xfId="13626"/>
    <cellStyle name="좋음 2 211" xfId="13627"/>
    <cellStyle name="좋음 2 212" xfId="13628"/>
    <cellStyle name="좋음 2 213" xfId="13629"/>
    <cellStyle name="좋음 2 214" xfId="13630"/>
    <cellStyle name="좋음 2 215" xfId="13631"/>
    <cellStyle name="좋음 2 216" xfId="13632"/>
    <cellStyle name="좋음 2 217" xfId="13633"/>
    <cellStyle name="좋음 2 218" xfId="13634"/>
    <cellStyle name="좋음 2 219" xfId="13635"/>
    <cellStyle name="좋음 2 22" xfId="13636"/>
    <cellStyle name="좋음 2 220" xfId="13637"/>
    <cellStyle name="좋음 2 221" xfId="13638"/>
    <cellStyle name="좋음 2 222" xfId="13639"/>
    <cellStyle name="좋음 2 223" xfId="13640"/>
    <cellStyle name="좋음 2 224" xfId="13641"/>
    <cellStyle name="좋음 2 225" xfId="13642"/>
    <cellStyle name="좋음 2 226" xfId="13643"/>
    <cellStyle name="좋음 2 227" xfId="13644"/>
    <cellStyle name="좋음 2 228" xfId="13645"/>
    <cellStyle name="좋음 2 229" xfId="13646"/>
    <cellStyle name="좋음 2 23" xfId="13647"/>
    <cellStyle name="좋음 2 230" xfId="13648"/>
    <cellStyle name="좋음 2 231" xfId="13649"/>
    <cellStyle name="좋음 2 232" xfId="13650"/>
    <cellStyle name="좋음 2 233" xfId="13651"/>
    <cellStyle name="좋음 2 234" xfId="13652"/>
    <cellStyle name="좋음 2 235" xfId="13653"/>
    <cellStyle name="좋음 2 236" xfId="13654"/>
    <cellStyle name="좋음 2 237" xfId="13655"/>
    <cellStyle name="좋음 2 238" xfId="13656"/>
    <cellStyle name="좋음 2 239" xfId="13657"/>
    <cellStyle name="좋음 2 24" xfId="13658"/>
    <cellStyle name="좋음 2 240" xfId="13659"/>
    <cellStyle name="좋음 2 241" xfId="13660"/>
    <cellStyle name="좋음 2 25" xfId="13661"/>
    <cellStyle name="좋음 2 26" xfId="13662"/>
    <cellStyle name="좋음 2 27" xfId="13663"/>
    <cellStyle name="좋음 2 28" xfId="13664"/>
    <cellStyle name="좋음 2 29" xfId="13665"/>
    <cellStyle name="좋음 2 3" xfId="13666"/>
    <cellStyle name="좋음 2 30" xfId="13667"/>
    <cellStyle name="좋음 2 31" xfId="13668"/>
    <cellStyle name="좋음 2 32" xfId="13669"/>
    <cellStyle name="좋음 2 33" xfId="13670"/>
    <cellStyle name="좋음 2 34" xfId="13671"/>
    <cellStyle name="좋음 2 35" xfId="13672"/>
    <cellStyle name="좋음 2 36" xfId="13673"/>
    <cellStyle name="좋음 2 37" xfId="13674"/>
    <cellStyle name="좋음 2 38" xfId="13675"/>
    <cellStyle name="좋음 2 39" xfId="13676"/>
    <cellStyle name="좋음 2 4" xfId="13677"/>
    <cellStyle name="좋음 2 40" xfId="13678"/>
    <cellStyle name="좋음 2 41" xfId="13679"/>
    <cellStyle name="좋음 2 42" xfId="13680"/>
    <cellStyle name="좋음 2 43" xfId="13681"/>
    <cellStyle name="좋음 2 44" xfId="13682"/>
    <cellStyle name="좋음 2 45" xfId="13683"/>
    <cellStyle name="좋음 2 46" xfId="13684"/>
    <cellStyle name="좋음 2 47" xfId="13685"/>
    <cellStyle name="좋음 2 48" xfId="13686"/>
    <cellStyle name="좋음 2 49" xfId="13687"/>
    <cellStyle name="좋음 2 5" xfId="13688"/>
    <cellStyle name="좋음 2 50" xfId="13689"/>
    <cellStyle name="좋음 2 51" xfId="13690"/>
    <cellStyle name="좋음 2 52" xfId="13691"/>
    <cellStyle name="좋음 2 53" xfId="13692"/>
    <cellStyle name="좋음 2 54" xfId="13693"/>
    <cellStyle name="좋음 2 55" xfId="13694"/>
    <cellStyle name="좋음 2 56" xfId="13695"/>
    <cellStyle name="좋음 2 57" xfId="13696"/>
    <cellStyle name="좋음 2 58" xfId="13697"/>
    <cellStyle name="좋음 2 59" xfId="13698"/>
    <cellStyle name="좋음 2 6" xfId="13699"/>
    <cellStyle name="좋음 2 60" xfId="13700"/>
    <cellStyle name="좋음 2 61" xfId="13701"/>
    <cellStyle name="좋음 2 62" xfId="13702"/>
    <cellStyle name="좋음 2 63" xfId="13703"/>
    <cellStyle name="좋음 2 64" xfId="13704"/>
    <cellStyle name="좋음 2 65" xfId="13705"/>
    <cellStyle name="좋음 2 66" xfId="13706"/>
    <cellStyle name="좋음 2 67" xfId="13707"/>
    <cellStyle name="좋음 2 68" xfId="13708"/>
    <cellStyle name="좋음 2 69" xfId="13709"/>
    <cellStyle name="좋음 2 7" xfId="13710"/>
    <cellStyle name="좋음 2 70" xfId="13711"/>
    <cellStyle name="좋음 2 71" xfId="13712"/>
    <cellStyle name="좋음 2 72" xfId="13713"/>
    <cellStyle name="좋음 2 73" xfId="13714"/>
    <cellStyle name="좋음 2 74" xfId="13715"/>
    <cellStyle name="좋음 2 75" xfId="13716"/>
    <cellStyle name="좋음 2 76" xfId="13717"/>
    <cellStyle name="좋음 2 77" xfId="13718"/>
    <cellStyle name="좋음 2 78" xfId="13719"/>
    <cellStyle name="좋음 2 79" xfId="13720"/>
    <cellStyle name="좋음 2 8" xfId="13721"/>
    <cellStyle name="좋음 2 80" xfId="13722"/>
    <cellStyle name="좋음 2 81" xfId="13723"/>
    <cellStyle name="좋음 2 82" xfId="13724"/>
    <cellStyle name="좋음 2 83" xfId="13725"/>
    <cellStyle name="좋음 2 84" xfId="13726"/>
    <cellStyle name="좋음 2 85" xfId="13727"/>
    <cellStyle name="좋음 2 86" xfId="13728"/>
    <cellStyle name="좋음 2 87" xfId="13729"/>
    <cellStyle name="좋음 2 88" xfId="13730"/>
    <cellStyle name="좋음 2 89" xfId="13731"/>
    <cellStyle name="좋음 2 9" xfId="13732"/>
    <cellStyle name="좋음 2 90" xfId="13733"/>
    <cellStyle name="좋음 2 91" xfId="13734"/>
    <cellStyle name="좋음 2 92" xfId="13735"/>
    <cellStyle name="좋음 2 93" xfId="13736"/>
    <cellStyle name="좋음 2 94" xfId="13737"/>
    <cellStyle name="좋음 2 95" xfId="13738"/>
    <cellStyle name="좋음 2 96" xfId="13739"/>
    <cellStyle name="좋음 2 97" xfId="13740"/>
    <cellStyle name="좋음 2 98" xfId="13741"/>
    <cellStyle name="좋음 2 99" xfId="13742"/>
    <cellStyle name="注释" xfId="13743"/>
    <cellStyle name="지정되지 않음" xfId="13744"/>
    <cellStyle name="差" xfId="13745"/>
    <cellStyle name="差_`12년 전략CM_투자_RA Total_배부율_S3수정" xfId="13746"/>
    <cellStyle name="千分位[0]_RoFo 0104 Annex DU 2~6 (010328)" xfId="13747"/>
    <cellStyle name="千分位_RoFo 0104 Annex DU 2~6 (010328)" xfId="13748"/>
    <cellStyle name="千位[0]_Sheet1 (2)" xfId="13749"/>
    <cellStyle name="千位_Sheet1 (2)" xfId="13750"/>
    <cellStyle name="千位分隔[0]_BOOK1" xfId="13751"/>
    <cellStyle name="千位分隔_复件 NK-rep-temp" xfId="13752"/>
    <cellStyle name="超级链接" xfId="13753"/>
    <cellStyle name="출력 2" xfId="13754"/>
    <cellStyle name="출력 2 10" xfId="13755"/>
    <cellStyle name="출력 2 100" xfId="13756"/>
    <cellStyle name="출력 2 101" xfId="13757"/>
    <cellStyle name="출력 2 102" xfId="13758"/>
    <cellStyle name="출력 2 103" xfId="13759"/>
    <cellStyle name="출력 2 104" xfId="13760"/>
    <cellStyle name="출력 2 105" xfId="13761"/>
    <cellStyle name="출력 2 106" xfId="13762"/>
    <cellStyle name="출력 2 107" xfId="13763"/>
    <cellStyle name="출력 2 108" xfId="13764"/>
    <cellStyle name="출력 2 109" xfId="13765"/>
    <cellStyle name="출력 2 11" xfId="13766"/>
    <cellStyle name="출력 2 110" xfId="13767"/>
    <cellStyle name="출력 2 111" xfId="13768"/>
    <cellStyle name="출력 2 112" xfId="13769"/>
    <cellStyle name="출력 2 113" xfId="13770"/>
    <cellStyle name="출력 2 114" xfId="13771"/>
    <cellStyle name="출력 2 115" xfId="13772"/>
    <cellStyle name="출력 2 116" xfId="13773"/>
    <cellStyle name="출력 2 117" xfId="13774"/>
    <cellStyle name="출력 2 118" xfId="13775"/>
    <cellStyle name="출력 2 119" xfId="13776"/>
    <cellStyle name="출력 2 12" xfId="13777"/>
    <cellStyle name="출력 2 120" xfId="13778"/>
    <cellStyle name="출력 2 121" xfId="13779"/>
    <cellStyle name="출력 2 122" xfId="13780"/>
    <cellStyle name="출력 2 123" xfId="13781"/>
    <cellStyle name="출력 2 124" xfId="13782"/>
    <cellStyle name="출력 2 125" xfId="13783"/>
    <cellStyle name="출력 2 126" xfId="13784"/>
    <cellStyle name="출력 2 127" xfId="13785"/>
    <cellStyle name="출력 2 128" xfId="13786"/>
    <cellStyle name="출력 2 129" xfId="13787"/>
    <cellStyle name="출력 2 13" xfId="13788"/>
    <cellStyle name="출력 2 130" xfId="13789"/>
    <cellStyle name="출력 2 131" xfId="13790"/>
    <cellStyle name="출력 2 132" xfId="13791"/>
    <cellStyle name="출력 2 133" xfId="13792"/>
    <cellStyle name="출력 2 134" xfId="13793"/>
    <cellStyle name="출력 2 135" xfId="13794"/>
    <cellStyle name="출력 2 136" xfId="13795"/>
    <cellStyle name="출력 2 137" xfId="13796"/>
    <cellStyle name="출력 2 138" xfId="13797"/>
    <cellStyle name="출력 2 139" xfId="13798"/>
    <cellStyle name="출력 2 14" xfId="13799"/>
    <cellStyle name="출력 2 140" xfId="13800"/>
    <cellStyle name="출력 2 141" xfId="13801"/>
    <cellStyle name="출력 2 142" xfId="13802"/>
    <cellStyle name="출력 2 143" xfId="13803"/>
    <cellStyle name="출력 2 144" xfId="13804"/>
    <cellStyle name="출력 2 145" xfId="13805"/>
    <cellStyle name="출력 2 146" xfId="13806"/>
    <cellStyle name="출력 2 147" xfId="13807"/>
    <cellStyle name="출력 2 148" xfId="13808"/>
    <cellStyle name="출력 2 149" xfId="13809"/>
    <cellStyle name="출력 2 15" xfId="13810"/>
    <cellStyle name="출력 2 150" xfId="13811"/>
    <cellStyle name="출력 2 151" xfId="13812"/>
    <cellStyle name="출력 2 152" xfId="13813"/>
    <cellStyle name="출력 2 153" xfId="13814"/>
    <cellStyle name="출력 2 154" xfId="13815"/>
    <cellStyle name="출력 2 155" xfId="13816"/>
    <cellStyle name="출력 2 156" xfId="13817"/>
    <cellStyle name="출력 2 157" xfId="13818"/>
    <cellStyle name="출력 2 158" xfId="13819"/>
    <cellStyle name="출력 2 159" xfId="13820"/>
    <cellStyle name="출력 2 16" xfId="13821"/>
    <cellStyle name="출력 2 160" xfId="13822"/>
    <cellStyle name="출력 2 161" xfId="13823"/>
    <cellStyle name="출력 2 162" xfId="13824"/>
    <cellStyle name="출력 2 163" xfId="13825"/>
    <cellStyle name="출력 2 164" xfId="13826"/>
    <cellStyle name="출력 2 165" xfId="13827"/>
    <cellStyle name="출력 2 166" xfId="13828"/>
    <cellStyle name="출력 2 167" xfId="13829"/>
    <cellStyle name="출력 2 168" xfId="13830"/>
    <cellStyle name="출력 2 169" xfId="13831"/>
    <cellStyle name="출력 2 17" xfId="13832"/>
    <cellStyle name="출력 2 170" xfId="13833"/>
    <cellStyle name="출력 2 171" xfId="13834"/>
    <cellStyle name="출력 2 172" xfId="13835"/>
    <cellStyle name="출력 2 173" xfId="13836"/>
    <cellStyle name="출력 2 174" xfId="13837"/>
    <cellStyle name="출력 2 175" xfId="13838"/>
    <cellStyle name="출력 2 176" xfId="13839"/>
    <cellStyle name="출력 2 177" xfId="13840"/>
    <cellStyle name="출력 2 178" xfId="13841"/>
    <cellStyle name="출력 2 179" xfId="13842"/>
    <cellStyle name="출력 2 18" xfId="13843"/>
    <cellStyle name="출력 2 180" xfId="13844"/>
    <cellStyle name="출력 2 181" xfId="13845"/>
    <cellStyle name="출력 2 182" xfId="13846"/>
    <cellStyle name="출력 2 183" xfId="13847"/>
    <cellStyle name="출력 2 184" xfId="13848"/>
    <cellStyle name="출력 2 185" xfId="13849"/>
    <cellStyle name="출력 2 186" xfId="13850"/>
    <cellStyle name="출력 2 187" xfId="13851"/>
    <cellStyle name="출력 2 188" xfId="13852"/>
    <cellStyle name="출력 2 189" xfId="13853"/>
    <cellStyle name="출력 2 19" xfId="13854"/>
    <cellStyle name="출력 2 190" xfId="13855"/>
    <cellStyle name="출력 2 191" xfId="13856"/>
    <cellStyle name="출력 2 192" xfId="13857"/>
    <cellStyle name="출력 2 193" xfId="13858"/>
    <cellStyle name="출력 2 194" xfId="13859"/>
    <cellStyle name="출력 2 195" xfId="13860"/>
    <cellStyle name="출력 2 196" xfId="13861"/>
    <cellStyle name="출력 2 197" xfId="13862"/>
    <cellStyle name="출력 2 198" xfId="13863"/>
    <cellStyle name="출력 2 199" xfId="13864"/>
    <cellStyle name="출력 2 2" xfId="13865"/>
    <cellStyle name="출력 2 20" xfId="13866"/>
    <cellStyle name="출력 2 200" xfId="13867"/>
    <cellStyle name="출력 2 201" xfId="13868"/>
    <cellStyle name="출력 2 202" xfId="13869"/>
    <cellStyle name="출력 2 203" xfId="13870"/>
    <cellStyle name="출력 2 204" xfId="13871"/>
    <cellStyle name="출력 2 205" xfId="13872"/>
    <cellStyle name="출력 2 206" xfId="13873"/>
    <cellStyle name="출력 2 207" xfId="13874"/>
    <cellStyle name="출력 2 208" xfId="13875"/>
    <cellStyle name="출력 2 209" xfId="13876"/>
    <cellStyle name="출력 2 21" xfId="13877"/>
    <cellStyle name="출력 2 210" xfId="13878"/>
    <cellStyle name="출력 2 211" xfId="13879"/>
    <cellStyle name="출력 2 212" xfId="13880"/>
    <cellStyle name="출력 2 213" xfId="13881"/>
    <cellStyle name="출력 2 214" xfId="13882"/>
    <cellStyle name="출력 2 215" xfId="13883"/>
    <cellStyle name="출력 2 216" xfId="13884"/>
    <cellStyle name="출력 2 217" xfId="13885"/>
    <cellStyle name="출력 2 218" xfId="13886"/>
    <cellStyle name="출력 2 219" xfId="13887"/>
    <cellStyle name="출력 2 22" xfId="13888"/>
    <cellStyle name="출력 2 220" xfId="13889"/>
    <cellStyle name="출력 2 221" xfId="13890"/>
    <cellStyle name="출력 2 222" xfId="13891"/>
    <cellStyle name="출력 2 223" xfId="13892"/>
    <cellStyle name="출력 2 224" xfId="13893"/>
    <cellStyle name="출력 2 225" xfId="13894"/>
    <cellStyle name="출력 2 226" xfId="13895"/>
    <cellStyle name="출력 2 227" xfId="13896"/>
    <cellStyle name="출력 2 228" xfId="13897"/>
    <cellStyle name="출력 2 229" xfId="13898"/>
    <cellStyle name="출력 2 23" xfId="13899"/>
    <cellStyle name="출력 2 230" xfId="13900"/>
    <cellStyle name="출력 2 231" xfId="13901"/>
    <cellStyle name="출력 2 232" xfId="13902"/>
    <cellStyle name="출력 2 233" xfId="13903"/>
    <cellStyle name="출력 2 234" xfId="13904"/>
    <cellStyle name="출력 2 235" xfId="13905"/>
    <cellStyle name="출력 2 236" xfId="13906"/>
    <cellStyle name="출력 2 237" xfId="13907"/>
    <cellStyle name="출력 2 238" xfId="13908"/>
    <cellStyle name="출력 2 239" xfId="13909"/>
    <cellStyle name="출력 2 24" xfId="13910"/>
    <cellStyle name="출력 2 240" xfId="13911"/>
    <cellStyle name="출력 2 241" xfId="13912"/>
    <cellStyle name="출력 2 25" xfId="13913"/>
    <cellStyle name="출력 2 26" xfId="13914"/>
    <cellStyle name="출력 2 27" xfId="13915"/>
    <cellStyle name="출력 2 28" xfId="13916"/>
    <cellStyle name="출력 2 29" xfId="13917"/>
    <cellStyle name="출력 2 3" xfId="13918"/>
    <cellStyle name="출력 2 30" xfId="13919"/>
    <cellStyle name="출력 2 31" xfId="13920"/>
    <cellStyle name="출력 2 32" xfId="13921"/>
    <cellStyle name="출력 2 33" xfId="13922"/>
    <cellStyle name="출력 2 34" xfId="13923"/>
    <cellStyle name="출력 2 35" xfId="13924"/>
    <cellStyle name="출력 2 36" xfId="13925"/>
    <cellStyle name="출력 2 37" xfId="13926"/>
    <cellStyle name="출력 2 38" xfId="13927"/>
    <cellStyle name="출력 2 39" xfId="13928"/>
    <cellStyle name="출력 2 4" xfId="13929"/>
    <cellStyle name="출력 2 40" xfId="13930"/>
    <cellStyle name="출력 2 41" xfId="13931"/>
    <cellStyle name="출력 2 42" xfId="13932"/>
    <cellStyle name="출력 2 43" xfId="13933"/>
    <cellStyle name="출력 2 44" xfId="13934"/>
    <cellStyle name="출력 2 45" xfId="13935"/>
    <cellStyle name="출력 2 46" xfId="13936"/>
    <cellStyle name="출력 2 47" xfId="13937"/>
    <cellStyle name="출력 2 48" xfId="13938"/>
    <cellStyle name="출력 2 49" xfId="13939"/>
    <cellStyle name="출력 2 5" xfId="13940"/>
    <cellStyle name="출력 2 50" xfId="13941"/>
    <cellStyle name="출력 2 51" xfId="13942"/>
    <cellStyle name="출력 2 52" xfId="13943"/>
    <cellStyle name="출력 2 53" xfId="13944"/>
    <cellStyle name="출력 2 54" xfId="13945"/>
    <cellStyle name="출력 2 55" xfId="13946"/>
    <cellStyle name="출력 2 56" xfId="13947"/>
    <cellStyle name="출력 2 57" xfId="13948"/>
    <cellStyle name="출력 2 58" xfId="13949"/>
    <cellStyle name="출력 2 59" xfId="13950"/>
    <cellStyle name="출력 2 6" xfId="13951"/>
    <cellStyle name="출력 2 60" xfId="13952"/>
    <cellStyle name="출력 2 61" xfId="13953"/>
    <cellStyle name="출력 2 62" xfId="13954"/>
    <cellStyle name="출력 2 63" xfId="13955"/>
    <cellStyle name="출력 2 64" xfId="13956"/>
    <cellStyle name="출력 2 65" xfId="13957"/>
    <cellStyle name="출력 2 66" xfId="13958"/>
    <cellStyle name="출력 2 67" xfId="13959"/>
    <cellStyle name="출력 2 68" xfId="13960"/>
    <cellStyle name="출력 2 69" xfId="13961"/>
    <cellStyle name="출력 2 7" xfId="13962"/>
    <cellStyle name="출력 2 70" xfId="13963"/>
    <cellStyle name="출력 2 71" xfId="13964"/>
    <cellStyle name="출력 2 72" xfId="13965"/>
    <cellStyle name="출력 2 73" xfId="13966"/>
    <cellStyle name="출력 2 74" xfId="13967"/>
    <cellStyle name="출력 2 75" xfId="13968"/>
    <cellStyle name="출력 2 76" xfId="13969"/>
    <cellStyle name="출력 2 77" xfId="13970"/>
    <cellStyle name="출력 2 78" xfId="13971"/>
    <cellStyle name="출력 2 79" xfId="13972"/>
    <cellStyle name="출력 2 8" xfId="13973"/>
    <cellStyle name="출력 2 80" xfId="13974"/>
    <cellStyle name="출력 2 81" xfId="13975"/>
    <cellStyle name="출력 2 82" xfId="13976"/>
    <cellStyle name="출력 2 83" xfId="13977"/>
    <cellStyle name="출력 2 84" xfId="13978"/>
    <cellStyle name="출력 2 85" xfId="13979"/>
    <cellStyle name="출력 2 86" xfId="13980"/>
    <cellStyle name="출력 2 87" xfId="13981"/>
    <cellStyle name="출력 2 88" xfId="13982"/>
    <cellStyle name="출력 2 89" xfId="13983"/>
    <cellStyle name="출력 2 9" xfId="13984"/>
    <cellStyle name="출력 2 90" xfId="13985"/>
    <cellStyle name="출력 2 91" xfId="13986"/>
    <cellStyle name="출력 2 92" xfId="13987"/>
    <cellStyle name="출력 2 93" xfId="13988"/>
    <cellStyle name="출력 2 94" xfId="13989"/>
    <cellStyle name="출력 2 95" xfId="13990"/>
    <cellStyle name="출력 2 96" xfId="13991"/>
    <cellStyle name="출력 2 97" xfId="13992"/>
    <cellStyle name="출력 2 98" xfId="13993"/>
    <cellStyle name="출력 2 99" xfId="13994"/>
    <cellStyle name="콤마 [0]_  종  합  " xfId="13995"/>
    <cellStyle name="콤마_  종  합  " xfId="13996"/>
    <cellStyle name="테두리(실선)" xfId="13997"/>
    <cellStyle name="통화 [0] 2" xfId="13998"/>
    <cellStyle name="통화 [0] 2 10" xfId="13999"/>
    <cellStyle name="통화 [0] 2 100" xfId="14000"/>
    <cellStyle name="통화 [0] 2 101" xfId="14001"/>
    <cellStyle name="통화 [0] 2 102" xfId="14002"/>
    <cellStyle name="통화 [0] 2 103" xfId="14003"/>
    <cellStyle name="통화 [0] 2 104" xfId="14004"/>
    <cellStyle name="통화 [0] 2 105" xfId="14005"/>
    <cellStyle name="통화 [0] 2 106" xfId="14006"/>
    <cellStyle name="통화 [0] 2 107" xfId="14007"/>
    <cellStyle name="통화 [0] 2 108" xfId="14008"/>
    <cellStyle name="통화 [0] 2 109" xfId="14009"/>
    <cellStyle name="통화 [0] 2 11" xfId="14010"/>
    <cellStyle name="통화 [0] 2 110" xfId="14011"/>
    <cellStyle name="통화 [0] 2 111" xfId="14012"/>
    <cellStyle name="통화 [0] 2 112" xfId="14013"/>
    <cellStyle name="통화 [0] 2 113" xfId="14014"/>
    <cellStyle name="통화 [0] 2 114" xfId="14015"/>
    <cellStyle name="통화 [0] 2 115" xfId="14016"/>
    <cellStyle name="통화 [0] 2 116" xfId="14017"/>
    <cellStyle name="통화 [0] 2 117" xfId="14018"/>
    <cellStyle name="통화 [0] 2 118" xfId="14019"/>
    <cellStyle name="통화 [0] 2 119" xfId="14020"/>
    <cellStyle name="통화 [0] 2 12" xfId="14021"/>
    <cellStyle name="통화 [0] 2 120" xfId="14022"/>
    <cellStyle name="통화 [0] 2 121" xfId="14023"/>
    <cellStyle name="통화 [0] 2 122" xfId="14024"/>
    <cellStyle name="통화 [0] 2 123" xfId="14025"/>
    <cellStyle name="통화 [0] 2 124" xfId="14026"/>
    <cellStyle name="통화 [0] 2 125" xfId="14027"/>
    <cellStyle name="통화 [0] 2 126" xfId="14028"/>
    <cellStyle name="통화 [0] 2 127" xfId="14029"/>
    <cellStyle name="통화 [0] 2 128" xfId="14030"/>
    <cellStyle name="통화 [0] 2 129" xfId="14031"/>
    <cellStyle name="통화 [0] 2 13" xfId="14032"/>
    <cellStyle name="통화 [0] 2 130" xfId="14033"/>
    <cellStyle name="통화 [0] 2 131" xfId="14034"/>
    <cellStyle name="통화 [0] 2 132" xfId="14035"/>
    <cellStyle name="통화 [0] 2 133" xfId="14036"/>
    <cellStyle name="통화 [0] 2 134" xfId="14037"/>
    <cellStyle name="통화 [0] 2 135" xfId="14038"/>
    <cellStyle name="통화 [0] 2 136" xfId="14039"/>
    <cellStyle name="통화 [0] 2 137" xfId="14040"/>
    <cellStyle name="통화 [0] 2 138" xfId="14041"/>
    <cellStyle name="통화 [0] 2 139" xfId="14042"/>
    <cellStyle name="통화 [0] 2 14" xfId="14043"/>
    <cellStyle name="통화 [0] 2 140" xfId="14044"/>
    <cellStyle name="통화 [0] 2 141" xfId="14045"/>
    <cellStyle name="통화 [0] 2 142" xfId="14046"/>
    <cellStyle name="통화 [0] 2 143" xfId="14047"/>
    <cellStyle name="통화 [0] 2 144" xfId="14048"/>
    <cellStyle name="통화 [0] 2 145" xfId="14049"/>
    <cellStyle name="통화 [0] 2 146" xfId="14050"/>
    <cellStyle name="통화 [0] 2 147" xfId="14051"/>
    <cellStyle name="통화 [0] 2 148" xfId="14052"/>
    <cellStyle name="통화 [0] 2 149" xfId="14053"/>
    <cellStyle name="통화 [0] 2 15" xfId="14054"/>
    <cellStyle name="통화 [0] 2 150" xfId="14055"/>
    <cellStyle name="통화 [0] 2 151" xfId="14056"/>
    <cellStyle name="통화 [0] 2 152" xfId="14057"/>
    <cellStyle name="통화 [0] 2 153" xfId="14058"/>
    <cellStyle name="통화 [0] 2 154" xfId="14059"/>
    <cellStyle name="통화 [0] 2 155" xfId="14060"/>
    <cellStyle name="통화 [0] 2 156" xfId="14061"/>
    <cellStyle name="통화 [0] 2 157" xfId="14062"/>
    <cellStyle name="통화 [0] 2 158" xfId="14063"/>
    <cellStyle name="통화 [0] 2 159" xfId="14064"/>
    <cellStyle name="통화 [0] 2 16" xfId="14065"/>
    <cellStyle name="통화 [0] 2 160" xfId="14066"/>
    <cellStyle name="통화 [0] 2 161" xfId="14067"/>
    <cellStyle name="통화 [0] 2 162" xfId="14068"/>
    <cellStyle name="통화 [0] 2 163" xfId="14069"/>
    <cellStyle name="통화 [0] 2 164" xfId="14070"/>
    <cellStyle name="통화 [0] 2 165" xfId="14071"/>
    <cellStyle name="통화 [0] 2 166" xfId="14072"/>
    <cellStyle name="통화 [0] 2 167" xfId="14073"/>
    <cellStyle name="통화 [0] 2 168" xfId="14074"/>
    <cellStyle name="통화 [0] 2 169" xfId="14075"/>
    <cellStyle name="통화 [0] 2 17" xfId="14076"/>
    <cellStyle name="통화 [0] 2 170" xfId="14077"/>
    <cellStyle name="통화 [0] 2 171" xfId="14078"/>
    <cellStyle name="통화 [0] 2 172" xfId="14079"/>
    <cellStyle name="통화 [0] 2 173" xfId="14080"/>
    <cellStyle name="통화 [0] 2 174" xfId="14081"/>
    <cellStyle name="통화 [0] 2 175" xfId="14082"/>
    <cellStyle name="통화 [0] 2 176" xfId="14083"/>
    <cellStyle name="통화 [0] 2 177" xfId="14084"/>
    <cellStyle name="통화 [0] 2 178" xfId="14085"/>
    <cellStyle name="통화 [0] 2 179" xfId="14086"/>
    <cellStyle name="통화 [0] 2 18" xfId="14087"/>
    <cellStyle name="통화 [0] 2 180" xfId="14088"/>
    <cellStyle name="통화 [0] 2 181" xfId="14089"/>
    <cellStyle name="통화 [0] 2 182" xfId="14090"/>
    <cellStyle name="통화 [0] 2 183" xfId="14091"/>
    <cellStyle name="통화 [0] 2 184" xfId="14092"/>
    <cellStyle name="통화 [0] 2 185" xfId="14093"/>
    <cellStyle name="통화 [0] 2 186" xfId="14094"/>
    <cellStyle name="통화 [0] 2 187" xfId="14095"/>
    <cellStyle name="통화 [0] 2 188" xfId="14096"/>
    <cellStyle name="통화 [0] 2 189" xfId="14097"/>
    <cellStyle name="통화 [0] 2 19" xfId="14098"/>
    <cellStyle name="통화 [0] 2 190" xfId="14099"/>
    <cellStyle name="통화 [0] 2 191" xfId="14100"/>
    <cellStyle name="통화 [0] 2 192" xfId="14101"/>
    <cellStyle name="통화 [0] 2 193" xfId="14102"/>
    <cellStyle name="통화 [0] 2 194" xfId="14103"/>
    <cellStyle name="통화 [0] 2 195" xfId="14104"/>
    <cellStyle name="통화 [0] 2 196" xfId="14105"/>
    <cellStyle name="통화 [0] 2 197" xfId="14106"/>
    <cellStyle name="통화 [0] 2 198" xfId="14107"/>
    <cellStyle name="통화 [0] 2 199" xfId="14108"/>
    <cellStyle name="통화 [0] 2 2" xfId="14109"/>
    <cellStyle name="통화 [0] 2 20" xfId="14110"/>
    <cellStyle name="통화 [0] 2 200" xfId="14111"/>
    <cellStyle name="통화 [0] 2 201" xfId="14112"/>
    <cellStyle name="통화 [0] 2 202" xfId="14113"/>
    <cellStyle name="통화 [0] 2 203" xfId="14114"/>
    <cellStyle name="통화 [0] 2 204" xfId="14115"/>
    <cellStyle name="통화 [0] 2 205" xfId="14116"/>
    <cellStyle name="통화 [0] 2 206" xfId="14117"/>
    <cellStyle name="통화 [0] 2 207" xfId="14118"/>
    <cellStyle name="통화 [0] 2 208" xfId="14119"/>
    <cellStyle name="통화 [0] 2 209" xfId="14120"/>
    <cellStyle name="통화 [0] 2 21" xfId="14121"/>
    <cellStyle name="통화 [0] 2 210" xfId="14122"/>
    <cellStyle name="통화 [0] 2 211" xfId="14123"/>
    <cellStyle name="통화 [0] 2 212" xfId="14124"/>
    <cellStyle name="통화 [0] 2 213" xfId="14125"/>
    <cellStyle name="통화 [0] 2 214" xfId="14126"/>
    <cellStyle name="통화 [0] 2 215" xfId="14127"/>
    <cellStyle name="통화 [0] 2 216" xfId="14128"/>
    <cellStyle name="통화 [0] 2 217" xfId="14129"/>
    <cellStyle name="통화 [0] 2 218" xfId="14130"/>
    <cellStyle name="통화 [0] 2 219" xfId="14131"/>
    <cellStyle name="통화 [0] 2 22" xfId="14132"/>
    <cellStyle name="통화 [0] 2 220" xfId="14133"/>
    <cellStyle name="통화 [0] 2 221" xfId="14134"/>
    <cellStyle name="통화 [0] 2 222" xfId="14135"/>
    <cellStyle name="통화 [0] 2 223" xfId="14136"/>
    <cellStyle name="통화 [0] 2 224" xfId="14137"/>
    <cellStyle name="통화 [0] 2 225" xfId="14138"/>
    <cellStyle name="통화 [0] 2 226" xfId="14139"/>
    <cellStyle name="통화 [0] 2 227" xfId="14140"/>
    <cellStyle name="통화 [0] 2 228" xfId="14141"/>
    <cellStyle name="통화 [0] 2 229" xfId="14142"/>
    <cellStyle name="통화 [0] 2 23" xfId="14143"/>
    <cellStyle name="통화 [0] 2 230" xfId="14144"/>
    <cellStyle name="통화 [0] 2 231" xfId="14145"/>
    <cellStyle name="통화 [0] 2 232" xfId="14146"/>
    <cellStyle name="통화 [0] 2 233" xfId="14147"/>
    <cellStyle name="통화 [0] 2 234" xfId="14148"/>
    <cellStyle name="통화 [0] 2 235" xfId="14149"/>
    <cellStyle name="통화 [0] 2 236" xfId="14150"/>
    <cellStyle name="통화 [0] 2 237" xfId="14151"/>
    <cellStyle name="통화 [0] 2 238" xfId="14152"/>
    <cellStyle name="통화 [0] 2 239" xfId="14153"/>
    <cellStyle name="통화 [0] 2 24" xfId="14154"/>
    <cellStyle name="통화 [0] 2 240" xfId="14155"/>
    <cellStyle name="통화 [0] 2 241" xfId="14156"/>
    <cellStyle name="통화 [0] 2 242" xfId="14157"/>
    <cellStyle name="통화 [0] 2 25" xfId="14158"/>
    <cellStyle name="통화 [0] 2 26" xfId="14159"/>
    <cellStyle name="통화 [0] 2 27" xfId="14160"/>
    <cellStyle name="통화 [0] 2 28" xfId="14161"/>
    <cellStyle name="통화 [0] 2 29" xfId="14162"/>
    <cellStyle name="통화 [0] 2 3" xfId="14163"/>
    <cellStyle name="통화 [0] 2 30" xfId="14164"/>
    <cellStyle name="통화 [0] 2 31" xfId="14165"/>
    <cellStyle name="통화 [0] 2 32" xfId="14166"/>
    <cellStyle name="통화 [0] 2 33" xfId="14167"/>
    <cellStyle name="통화 [0] 2 34" xfId="14168"/>
    <cellStyle name="통화 [0] 2 35" xfId="14169"/>
    <cellStyle name="통화 [0] 2 36" xfId="14170"/>
    <cellStyle name="통화 [0] 2 37" xfId="14171"/>
    <cellStyle name="통화 [0] 2 38" xfId="14172"/>
    <cellStyle name="통화 [0] 2 39" xfId="14173"/>
    <cellStyle name="통화 [0] 2 4" xfId="14174"/>
    <cellStyle name="통화 [0] 2 40" xfId="14175"/>
    <cellStyle name="통화 [0] 2 41" xfId="14176"/>
    <cellStyle name="통화 [0] 2 42" xfId="14177"/>
    <cellStyle name="통화 [0] 2 43" xfId="14178"/>
    <cellStyle name="통화 [0] 2 44" xfId="14179"/>
    <cellStyle name="통화 [0] 2 45" xfId="14180"/>
    <cellStyle name="통화 [0] 2 46" xfId="14181"/>
    <cellStyle name="통화 [0] 2 47" xfId="14182"/>
    <cellStyle name="통화 [0] 2 48" xfId="14183"/>
    <cellStyle name="통화 [0] 2 49" xfId="14184"/>
    <cellStyle name="통화 [0] 2 5" xfId="14185"/>
    <cellStyle name="통화 [0] 2 50" xfId="14186"/>
    <cellStyle name="통화 [0] 2 51" xfId="14187"/>
    <cellStyle name="통화 [0] 2 52" xfId="14188"/>
    <cellStyle name="통화 [0] 2 53" xfId="14189"/>
    <cellStyle name="통화 [0] 2 54" xfId="14190"/>
    <cellStyle name="통화 [0] 2 55" xfId="14191"/>
    <cellStyle name="통화 [0] 2 56" xfId="14192"/>
    <cellStyle name="통화 [0] 2 57" xfId="14193"/>
    <cellStyle name="통화 [0] 2 58" xfId="14194"/>
    <cellStyle name="통화 [0] 2 59" xfId="14195"/>
    <cellStyle name="통화 [0] 2 6" xfId="14196"/>
    <cellStyle name="통화 [0] 2 60" xfId="14197"/>
    <cellStyle name="통화 [0] 2 61" xfId="14198"/>
    <cellStyle name="통화 [0] 2 62" xfId="14199"/>
    <cellStyle name="통화 [0] 2 63" xfId="14200"/>
    <cellStyle name="통화 [0] 2 64" xfId="14201"/>
    <cellStyle name="통화 [0] 2 65" xfId="14202"/>
    <cellStyle name="통화 [0] 2 66" xfId="14203"/>
    <cellStyle name="통화 [0] 2 67" xfId="14204"/>
    <cellStyle name="통화 [0] 2 68" xfId="14205"/>
    <cellStyle name="통화 [0] 2 69" xfId="14206"/>
    <cellStyle name="통화 [0] 2 7" xfId="14207"/>
    <cellStyle name="통화 [0] 2 70" xfId="14208"/>
    <cellStyle name="통화 [0] 2 71" xfId="14209"/>
    <cellStyle name="통화 [0] 2 72" xfId="14210"/>
    <cellStyle name="통화 [0] 2 73" xfId="14211"/>
    <cellStyle name="통화 [0] 2 74" xfId="14212"/>
    <cellStyle name="통화 [0] 2 75" xfId="14213"/>
    <cellStyle name="통화 [0] 2 76" xfId="14214"/>
    <cellStyle name="통화 [0] 2 77" xfId="14215"/>
    <cellStyle name="통화 [0] 2 78" xfId="14216"/>
    <cellStyle name="통화 [0] 2 79" xfId="14217"/>
    <cellStyle name="통화 [0] 2 8" xfId="14218"/>
    <cellStyle name="통화 [0] 2 80" xfId="14219"/>
    <cellStyle name="통화 [0] 2 81" xfId="14220"/>
    <cellStyle name="통화 [0] 2 82" xfId="14221"/>
    <cellStyle name="통화 [0] 2 83" xfId="14222"/>
    <cellStyle name="통화 [0] 2 84" xfId="14223"/>
    <cellStyle name="통화 [0] 2 85" xfId="14224"/>
    <cellStyle name="통화 [0] 2 86" xfId="14225"/>
    <cellStyle name="통화 [0] 2 87" xfId="14226"/>
    <cellStyle name="통화 [0] 2 88" xfId="14227"/>
    <cellStyle name="통화 [0] 2 89" xfId="14228"/>
    <cellStyle name="통화 [0] 2 9" xfId="14229"/>
    <cellStyle name="통화 [0] 2 90" xfId="14230"/>
    <cellStyle name="통화 [0] 2 91" xfId="14231"/>
    <cellStyle name="통화 [0] 2 92" xfId="14232"/>
    <cellStyle name="통화 [0] 2 93" xfId="14233"/>
    <cellStyle name="통화 [0] 2 94" xfId="14234"/>
    <cellStyle name="통화 [0] 2 95" xfId="14235"/>
    <cellStyle name="통화 [0] 2 96" xfId="14236"/>
    <cellStyle name="통화 [0] 2 97" xfId="14237"/>
    <cellStyle name="통화 [0] 2 98" xfId="14238"/>
    <cellStyle name="통화 [0] 2 99" xfId="14239"/>
    <cellStyle name="통화 [1]" xfId="14240"/>
    <cellStyle name="통화 2" xfId="14241"/>
    <cellStyle name="통화 2 10" xfId="14242"/>
    <cellStyle name="통화 2 100" xfId="14243"/>
    <cellStyle name="통화 2 101" xfId="14244"/>
    <cellStyle name="통화 2 102" xfId="14245"/>
    <cellStyle name="통화 2 103" xfId="14246"/>
    <cellStyle name="통화 2 104" xfId="14247"/>
    <cellStyle name="통화 2 105" xfId="14248"/>
    <cellStyle name="통화 2 106" xfId="14249"/>
    <cellStyle name="통화 2 107" xfId="14250"/>
    <cellStyle name="통화 2 108" xfId="14251"/>
    <cellStyle name="통화 2 109" xfId="14252"/>
    <cellStyle name="통화 2 11" xfId="14253"/>
    <cellStyle name="통화 2 110" xfId="14254"/>
    <cellStyle name="통화 2 111" xfId="14255"/>
    <cellStyle name="통화 2 112" xfId="14256"/>
    <cellStyle name="통화 2 113" xfId="14257"/>
    <cellStyle name="통화 2 114" xfId="14258"/>
    <cellStyle name="통화 2 115" xfId="14259"/>
    <cellStyle name="통화 2 116" xfId="14260"/>
    <cellStyle name="통화 2 117" xfId="14261"/>
    <cellStyle name="통화 2 118" xfId="14262"/>
    <cellStyle name="통화 2 119" xfId="14263"/>
    <cellStyle name="통화 2 12" xfId="14264"/>
    <cellStyle name="통화 2 120" xfId="14265"/>
    <cellStyle name="통화 2 121" xfId="14266"/>
    <cellStyle name="통화 2 122" xfId="14267"/>
    <cellStyle name="통화 2 123" xfId="14268"/>
    <cellStyle name="통화 2 124" xfId="14269"/>
    <cellStyle name="통화 2 125" xfId="14270"/>
    <cellStyle name="통화 2 126" xfId="14271"/>
    <cellStyle name="통화 2 127" xfId="14272"/>
    <cellStyle name="통화 2 128" xfId="14273"/>
    <cellStyle name="통화 2 129" xfId="14274"/>
    <cellStyle name="통화 2 13" xfId="14275"/>
    <cellStyle name="통화 2 130" xfId="14276"/>
    <cellStyle name="통화 2 131" xfId="14277"/>
    <cellStyle name="통화 2 132" xfId="14278"/>
    <cellStyle name="통화 2 133" xfId="14279"/>
    <cellStyle name="통화 2 134" xfId="14280"/>
    <cellStyle name="통화 2 135" xfId="14281"/>
    <cellStyle name="통화 2 136" xfId="14282"/>
    <cellStyle name="통화 2 137" xfId="14283"/>
    <cellStyle name="통화 2 138" xfId="14284"/>
    <cellStyle name="통화 2 139" xfId="14285"/>
    <cellStyle name="통화 2 14" xfId="14286"/>
    <cellStyle name="통화 2 140" xfId="14287"/>
    <cellStyle name="통화 2 141" xfId="14288"/>
    <cellStyle name="통화 2 142" xfId="14289"/>
    <cellStyle name="통화 2 143" xfId="14290"/>
    <cellStyle name="통화 2 144" xfId="14291"/>
    <cellStyle name="통화 2 145" xfId="14292"/>
    <cellStyle name="통화 2 146" xfId="14293"/>
    <cellStyle name="통화 2 147" xfId="14294"/>
    <cellStyle name="통화 2 148" xfId="14295"/>
    <cellStyle name="통화 2 149" xfId="14296"/>
    <cellStyle name="통화 2 15" xfId="14297"/>
    <cellStyle name="통화 2 150" xfId="14298"/>
    <cellStyle name="통화 2 151" xfId="14299"/>
    <cellStyle name="통화 2 152" xfId="14300"/>
    <cellStyle name="통화 2 153" xfId="14301"/>
    <cellStyle name="통화 2 154" xfId="14302"/>
    <cellStyle name="통화 2 155" xfId="14303"/>
    <cellStyle name="통화 2 156" xfId="14304"/>
    <cellStyle name="통화 2 157" xfId="14305"/>
    <cellStyle name="통화 2 158" xfId="14306"/>
    <cellStyle name="통화 2 159" xfId="14307"/>
    <cellStyle name="통화 2 16" xfId="14308"/>
    <cellStyle name="통화 2 160" xfId="14309"/>
    <cellStyle name="통화 2 161" xfId="14310"/>
    <cellStyle name="통화 2 162" xfId="14311"/>
    <cellStyle name="통화 2 163" xfId="14312"/>
    <cellStyle name="통화 2 164" xfId="14313"/>
    <cellStyle name="통화 2 165" xfId="14314"/>
    <cellStyle name="통화 2 166" xfId="14315"/>
    <cellStyle name="통화 2 167" xfId="14316"/>
    <cellStyle name="통화 2 168" xfId="14317"/>
    <cellStyle name="통화 2 169" xfId="14318"/>
    <cellStyle name="통화 2 17" xfId="14319"/>
    <cellStyle name="통화 2 170" xfId="14320"/>
    <cellStyle name="통화 2 171" xfId="14321"/>
    <cellStyle name="통화 2 172" xfId="14322"/>
    <cellStyle name="통화 2 173" xfId="14323"/>
    <cellStyle name="통화 2 174" xfId="14324"/>
    <cellStyle name="통화 2 175" xfId="14325"/>
    <cellStyle name="통화 2 176" xfId="14326"/>
    <cellStyle name="통화 2 177" xfId="14327"/>
    <cellStyle name="통화 2 178" xfId="14328"/>
    <cellStyle name="통화 2 179" xfId="14329"/>
    <cellStyle name="통화 2 18" xfId="14330"/>
    <cellStyle name="통화 2 180" xfId="14331"/>
    <cellStyle name="통화 2 181" xfId="14332"/>
    <cellStyle name="통화 2 182" xfId="14333"/>
    <cellStyle name="통화 2 183" xfId="14334"/>
    <cellStyle name="통화 2 184" xfId="14335"/>
    <cellStyle name="통화 2 185" xfId="14336"/>
    <cellStyle name="통화 2 186" xfId="14337"/>
    <cellStyle name="통화 2 187" xfId="14338"/>
    <cellStyle name="통화 2 188" xfId="14339"/>
    <cellStyle name="통화 2 189" xfId="14340"/>
    <cellStyle name="통화 2 19" xfId="14341"/>
    <cellStyle name="통화 2 190" xfId="14342"/>
    <cellStyle name="통화 2 191" xfId="14343"/>
    <cellStyle name="통화 2 192" xfId="14344"/>
    <cellStyle name="통화 2 193" xfId="14345"/>
    <cellStyle name="통화 2 194" xfId="14346"/>
    <cellStyle name="통화 2 195" xfId="14347"/>
    <cellStyle name="통화 2 196" xfId="14348"/>
    <cellStyle name="통화 2 197" xfId="14349"/>
    <cellStyle name="통화 2 198" xfId="14350"/>
    <cellStyle name="통화 2 199" xfId="14351"/>
    <cellStyle name="통화 2 2" xfId="14352"/>
    <cellStyle name="통화 2 20" xfId="14353"/>
    <cellStyle name="통화 2 200" xfId="14354"/>
    <cellStyle name="통화 2 201" xfId="14355"/>
    <cellStyle name="통화 2 202" xfId="14356"/>
    <cellStyle name="통화 2 203" xfId="14357"/>
    <cellStyle name="통화 2 204" xfId="14358"/>
    <cellStyle name="통화 2 205" xfId="14359"/>
    <cellStyle name="통화 2 206" xfId="14360"/>
    <cellStyle name="통화 2 207" xfId="14361"/>
    <cellStyle name="통화 2 208" xfId="14362"/>
    <cellStyle name="통화 2 209" xfId="14363"/>
    <cellStyle name="통화 2 21" xfId="14364"/>
    <cellStyle name="통화 2 210" xfId="14365"/>
    <cellStyle name="통화 2 211" xfId="14366"/>
    <cellStyle name="통화 2 212" xfId="14367"/>
    <cellStyle name="통화 2 213" xfId="14368"/>
    <cellStyle name="통화 2 214" xfId="14369"/>
    <cellStyle name="통화 2 215" xfId="14370"/>
    <cellStyle name="통화 2 216" xfId="14371"/>
    <cellStyle name="통화 2 217" xfId="14372"/>
    <cellStyle name="통화 2 218" xfId="14373"/>
    <cellStyle name="통화 2 219" xfId="14374"/>
    <cellStyle name="통화 2 22" xfId="14375"/>
    <cellStyle name="통화 2 220" xfId="14376"/>
    <cellStyle name="통화 2 221" xfId="14377"/>
    <cellStyle name="통화 2 222" xfId="14378"/>
    <cellStyle name="통화 2 223" xfId="14379"/>
    <cellStyle name="통화 2 224" xfId="14380"/>
    <cellStyle name="통화 2 225" xfId="14381"/>
    <cellStyle name="통화 2 226" xfId="14382"/>
    <cellStyle name="통화 2 227" xfId="14383"/>
    <cellStyle name="통화 2 228" xfId="14384"/>
    <cellStyle name="통화 2 229" xfId="14385"/>
    <cellStyle name="통화 2 23" xfId="14386"/>
    <cellStyle name="통화 2 230" xfId="14387"/>
    <cellStyle name="통화 2 231" xfId="14388"/>
    <cellStyle name="통화 2 232" xfId="14389"/>
    <cellStyle name="통화 2 233" xfId="14390"/>
    <cellStyle name="통화 2 234" xfId="14391"/>
    <cellStyle name="통화 2 235" xfId="14392"/>
    <cellStyle name="통화 2 236" xfId="14393"/>
    <cellStyle name="통화 2 237" xfId="14394"/>
    <cellStyle name="통화 2 238" xfId="14395"/>
    <cellStyle name="통화 2 239" xfId="14396"/>
    <cellStyle name="통화 2 24" xfId="14397"/>
    <cellStyle name="통화 2 240" xfId="14398"/>
    <cellStyle name="통화 2 241" xfId="14399"/>
    <cellStyle name="통화 2 242" xfId="14400"/>
    <cellStyle name="통화 2 25" xfId="14401"/>
    <cellStyle name="통화 2 26" xfId="14402"/>
    <cellStyle name="통화 2 27" xfId="14403"/>
    <cellStyle name="통화 2 28" xfId="14404"/>
    <cellStyle name="통화 2 29" xfId="14405"/>
    <cellStyle name="통화 2 3" xfId="14406"/>
    <cellStyle name="통화 2 30" xfId="14407"/>
    <cellStyle name="통화 2 31" xfId="14408"/>
    <cellStyle name="통화 2 32" xfId="14409"/>
    <cellStyle name="통화 2 33" xfId="14410"/>
    <cellStyle name="통화 2 34" xfId="14411"/>
    <cellStyle name="통화 2 35" xfId="14412"/>
    <cellStyle name="통화 2 36" xfId="14413"/>
    <cellStyle name="통화 2 37" xfId="14414"/>
    <cellStyle name="통화 2 38" xfId="14415"/>
    <cellStyle name="통화 2 39" xfId="14416"/>
    <cellStyle name="통화 2 4" xfId="14417"/>
    <cellStyle name="통화 2 40" xfId="14418"/>
    <cellStyle name="통화 2 41" xfId="14419"/>
    <cellStyle name="통화 2 42" xfId="14420"/>
    <cellStyle name="통화 2 43" xfId="14421"/>
    <cellStyle name="통화 2 44" xfId="14422"/>
    <cellStyle name="통화 2 45" xfId="14423"/>
    <cellStyle name="통화 2 46" xfId="14424"/>
    <cellStyle name="통화 2 47" xfId="14425"/>
    <cellStyle name="통화 2 48" xfId="14426"/>
    <cellStyle name="통화 2 49" xfId="14427"/>
    <cellStyle name="통화 2 5" xfId="14428"/>
    <cellStyle name="통화 2 50" xfId="14429"/>
    <cellStyle name="통화 2 51" xfId="14430"/>
    <cellStyle name="통화 2 52" xfId="14431"/>
    <cellStyle name="통화 2 53" xfId="14432"/>
    <cellStyle name="통화 2 54" xfId="14433"/>
    <cellStyle name="통화 2 55" xfId="14434"/>
    <cellStyle name="통화 2 56" xfId="14435"/>
    <cellStyle name="통화 2 57" xfId="14436"/>
    <cellStyle name="통화 2 58" xfId="14437"/>
    <cellStyle name="통화 2 59" xfId="14438"/>
    <cellStyle name="통화 2 6" xfId="14439"/>
    <cellStyle name="통화 2 60" xfId="14440"/>
    <cellStyle name="통화 2 61" xfId="14441"/>
    <cellStyle name="통화 2 62" xfId="14442"/>
    <cellStyle name="통화 2 63" xfId="14443"/>
    <cellStyle name="통화 2 64" xfId="14444"/>
    <cellStyle name="통화 2 65" xfId="14445"/>
    <cellStyle name="통화 2 66" xfId="14446"/>
    <cellStyle name="통화 2 67" xfId="14447"/>
    <cellStyle name="통화 2 68" xfId="14448"/>
    <cellStyle name="통화 2 69" xfId="14449"/>
    <cellStyle name="통화 2 7" xfId="14450"/>
    <cellStyle name="통화 2 70" xfId="14451"/>
    <cellStyle name="통화 2 71" xfId="14452"/>
    <cellStyle name="통화 2 72" xfId="14453"/>
    <cellStyle name="통화 2 73" xfId="14454"/>
    <cellStyle name="통화 2 74" xfId="14455"/>
    <cellStyle name="통화 2 75" xfId="14456"/>
    <cellStyle name="통화 2 76" xfId="14457"/>
    <cellStyle name="통화 2 77" xfId="14458"/>
    <cellStyle name="통화 2 78" xfId="14459"/>
    <cellStyle name="통화 2 79" xfId="14460"/>
    <cellStyle name="통화 2 8" xfId="14461"/>
    <cellStyle name="통화 2 80" xfId="14462"/>
    <cellStyle name="통화 2 81" xfId="14463"/>
    <cellStyle name="통화 2 82" xfId="14464"/>
    <cellStyle name="통화 2 83" xfId="14465"/>
    <cellStyle name="통화 2 84" xfId="14466"/>
    <cellStyle name="통화 2 85" xfId="14467"/>
    <cellStyle name="통화 2 86" xfId="14468"/>
    <cellStyle name="통화 2 87" xfId="14469"/>
    <cellStyle name="통화 2 88" xfId="14470"/>
    <cellStyle name="통화 2 89" xfId="14471"/>
    <cellStyle name="통화 2 9" xfId="14472"/>
    <cellStyle name="통화 2 90" xfId="14473"/>
    <cellStyle name="통화 2 91" xfId="14474"/>
    <cellStyle name="통화 2 92" xfId="14475"/>
    <cellStyle name="통화 2 93" xfId="14476"/>
    <cellStyle name="통화 2 94" xfId="14477"/>
    <cellStyle name="통화 2 95" xfId="14478"/>
    <cellStyle name="통화 2 96" xfId="14479"/>
    <cellStyle name="통화 2 97" xfId="14480"/>
    <cellStyle name="통화 2 98" xfId="14481"/>
    <cellStyle name="통화 2 99" xfId="14482"/>
    <cellStyle name="팹繫_11墩작셕粮앉  " xfId="14483"/>
    <cellStyle name="퍼센트" xfId="14484"/>
    <cellStyle name="标题" xfId="14485"/>
    <cellStyle name="标题 1" xfId="14486"/>
    <cellStyle name="标题 2" xfId="14487"/>
    <cellStyle name="标题 3" xfId="14488"/>
    <cellStyle name="标题 4" xfId="14489"/>
    <cellStyle name="标题_`12년 전략CM_투자_RA Total_배부율_S3수정" xfId="14490"/>
    <cellStyle name="표준" xfId="0" builtinId="0"/>
    <cellStyle name="표준 10" xfId="14491"/>
    <cellStyle name="표준 10 2" xfId="14492"/>
    <cellStyle name="표준 10 3" xfId="14493"/>
    <cellStyle name="표준 11" xfId="14494"/>
    <cellStyle name="표준 12" xfId="14495"/>
    <cellStyle name="표준 13" xfId="14496"/>
    <cellStyle name="표준 14" xfId="14497"/>
    <cellStyle name="표준 15" xfId="14498"/>
    <cellStyle name="표준 16" xfId="14499"/>
    <cellStyle name="표준 16 2" xfId="14500"/>
    <cellStyle name="표준 17" xfId="14501"/>
    <cellStyle name="표준 17 2" xfId="14502"/>
    <cellStyle name="표준 18" xfId="14503"/>
    <cellStyle name="표준 18 2" xfId="14504"/>
    <cellStyle name="표준 19" xfId="14505"/>
    <cellStyle name="표준 19 2" xfId="14506"/>
    <cellStyle name="표준 2" xfId="3"/>
    <cellStyle name="표준 2 10" xfId="14507"/>
    <cellStyle name="표준 2 10 2" xfId="14508"/>
    <cellStyle name="표준 2 11" xfId="14509"/>
    <cellStyle name="표준 2 11 2" xfId="14510"/>
    <cellStyle name="표준 2 11 3" xfId="14511"/>
    <cellStyle name="표준 2 12" xfId="14512"/>
    <cellStyle name="표준 2 13" xfId="14513"/>
    <cellStyle name="표준 2 14" xfId="14514"/>
    <cellStyle name="표준 2 15" xfId="14515"/>
    <cellStyle name="표준 2 2" xfId="14516"/>
    <cellStyle name="표준 2 2 10" xfId="14517"/>
    <cellStyle name="표준 2 2 10 2" xfId="14518"/>
    <cellStyle name="표준 2 2 11" xfId="14519"/>
    <cellStyle name="표준 2 2 12" xfId="14520"/>
    <cellStyle name="표준 2 2 2" xfId="14521"/>
    <cellStyle name="표준 2 2 2 2" xfId="14522"/>
    <cellStyle name="표준 2 2 2 2 2" xfId="14523"/>
    <cellStyle name="표준 2 2 2 2 2 2" xfId="14524"/>
    <cellStyle name="표준 2 2 2 2 2 2 2" xfId="14525"/>
    <cellStyle name="표준 2 2 2 2 2 3" xfId="14526"/>
    <cellStyle name="표준 2 2 2 2 2 3 2" xfId="14527"/>
    <cellStyle name="표준 2 2 2 2 2 4" xfId="14528"/>
    <cellStyle name="표준 2 2 2 2 2 4 2" xfId="14529"/>
    <cellStyle name="표준 2 2 2 2 2 5" xfId="14530"/>
    <cellStyle name="표준 2 2 2 2 3" xfId="14531"/>
    <cellStyle name="표준 2 2 2 2 3 2" xfId="14532"/>
    <cellStyle name="표준 2 2 2 2 3 2 2" xfId="14533"/>
    <cellStyle name="표준 2 2 2 2 3 3" xfId="14534"/>
    <cellStyle name="표준 2 2 2 2 3 3 2" xfId="14535"/>
    <cellStyle name="표준 2 2 2 2 3 4" xfId="14536"/>
    <cellStyle name="표준 2 2 2 2 3 4 2" xfId="14537"/>
    <cellStyle name="표준 2 2 2 2 3 5" xfId="14538"/>
    <cellStyle name="표준 2 2 2 2 4" xfId="14539"/>
    <cellStyle name="표준 2 2 2 2 4 2" xfId="14540"/>
    <cellStyle name="표준 2 2 2 2 5" xfId="14541"/>
    <cellStyle name="표준 2 2 2 2 5 2" xfId="14542"/>
    <cellStyle name="표준 2 2 2 2 6" xfId="14543"/>
    <cellStyle name="표준 2 2 2 2 6 2" xfId="14544"/>
    <cellStyle name="표준 2 2 2 2 7" xfId="14545"/>
    <cellStyle name="표준 2 2 2 3" xfId="14546"/>
    <cellStyle name="표준 2 2 2 3 2" xfId="14547"/>
    <cellStyle name="표준 2 2 2 3 2 2" xfId="14548"/>
    <cellStyle name="표준 2 2 2 3 3" xfId="14549"/>
    <cellStyle name="표준 2 2 2 3 3 2" xfId="14550"/>
    <cellStyle name="표준 2 2 2 3 4" xfId="14551"/>
    <cellStyle name="표준 2 2 2 3 4 2" xfId="14552"/>
    <cellStyle name="표준 2 2 2 3 5" xfId="14553"/>
    <cellStyle name="표준 2 2 2 4" xfId="14554"/>
    <cellStyle name="표준 2 2 2 4 2" xfId="14555"/>
    <cellStyle name="표준 2 2 2 4 2 2" xfId="14556"/>
    <cellStyle name="표준 2 2 2 4 3" xfId="14557"/>
    <cellStyle name="표준 2 2 2 4 3 2" xfId="14558"/>
    <cellStyle name="표준 2 2 2 4 4" xfId="14559"/>
    <cellStyle name="표준 2 2 2 4 4 2" xfId="14560"/>
    <cellStyle name="표준 2 2 2 4 5" xfId="14561"/>
    <cellStyle name="표준 2 2 2 5" xfId="14562"/>
    <cellStyle name="표준 2 2 2 5 2" xfId="14563"/>
    <cellStyle name="표준 2 2 2 6" xfId="14564"/>
    <cellStyle name="표준 2 2 2 6 2" xfId="14565"/>
    <cellStyle name="표준 2 2 2 7" xfId="14566"/>
    <cellStyle name="표준 2 2 2 7 2" xfId="14567"/>
    <cellStyle name="표준 2 2 2 8" xfId="14568"/>
    <cellStyle name="표준 2 2 3" xfId="14569"/>
    <cellStyle name="표준 2 2 3 2" xfId="14570"/>
    <cellStyle name="표준 2 2 3 2 2" xfId="14571"/>
    <cellStyle name="표준 2 2 3 2 2 2" xfId="14572"/>
    <cellStyle name="표준 2 2 3 2 2 2 2" xfId="14573"/>
    <cellStyle name="표준 2 2 3 2 2 3" xfId="14574"/>
    <cellStyle name="표준 2 2 3 2 2 3 2" xfId="14575"/>
    <cellStyle name="표준 2 2 3 2 2 4" xfId="14576"/>
    <cellStyle name="표준 2 2 3 2 2 4 2" xfId="14577"/>
    <cellStyle name="표준 2 2 3 2 2 5" xfId="14578"/>
    <cellStyle name="표준 2 2 3 2 3" xfId="14579"/>
    <cellStyle name="표준 2 2 3 2 3 2" xfId="14580"/>
    <cellStyle name="표준 2 2 3 2 3 2 2" xfId="14581"/>
    <cellStyle name="표준 2 2 3 2 3 3" xfId="14582"/>
    <cellStyle name="표준 2 2 3 2 3 3 2" xfId="14583"/>
    <cellStyle name="표준 2 2 3 2 3 4" xfId="14584"/>
    <cellStyle name="표준 2 2 3 2 3 4 2" xfId="14585"/>
    <cellStyle name="표준 2 2 3 2 3 5" xfId="14586"/>
    <cellStyle name="표준 2 2 3 2 4" xfId="14587"/>
    <cellStyle name="표준 2 2 3 2 4 2" xfId="14588"/>
    <cellStyle name="표준 2 2 3 2 5" xfId="14589"/>
    <cellStyle name="표준 2 2 3 2 5 2" xfId="14590"/>
    <cellStyle name="표준 2 2 3 2 6" xfId="14591"/>
    <cellStyle name="표준 2 2 3 2 6 2" xfId="14592"/>
    <cellStyle name="표준 2 2 3 2 7" xfId="14593"/>
    <cellStyle name="표준 2 2 3 3" xfId="14594"/>
    <cellStyle name="표준 2 2 3 3 2" xfId="14595"/>
    <cellStyle name="표준 2 2 3 3 2 2" xfId="14596"/>
    <cellStyle name="표준 2 2 3 3 3" xfId="14597"/>
    <cellStyle name="표준 2 2 3 3 3 2" xfId="14598"/>
    <cellStyle name="표준 2 2 3 3 4" xfId="14599"/>
    <cellStyle name="표준 2 2 3 3 4 2" xfId="14600"/>
    <cellStyle name="표준 2 2 3 3 5" xfId="14601"/>
    <cellStyle name="표준 2 2 3 4" xfId="14602"/>
    <cellStyle name="표준 2 2 3 4 2" xfId="14603"/>
    <cellStyle name="표준 2 2 3 4 2 2" xfId="14604"/>
    <cellStyle name="표준 2 2 3 4 3" xfId="14605"/>
    <cellStyle name="표준 2 2 3 4 3 2" xfId="14606"/>
    <cellStyle name="표준 2 2 3 4 4" xfId="14607"/>
    <cellStyle name="표준 2 2 3 4 4 2" xfId="14608"/>
    <cellStyle name="표준 2 2 3 4 5" xfId="14609"/>
    <cellStyle name="표준 2 2 3 5" xfId="14610"/>
    <cellStyle name="표준 2 2 3 5 2" xfId="14611"/>
    <cellStyle name="표준 2 2 3 6" xfId="14612"/>
    <cellStyle name="표준 2 2 3 6 2" xfId="14613"/>
    <cellStyle name="표준 2 2 3 7" xfId="14614"/>
    <cellStyle name="표준 2 2 3 7 2" xfId="14615"/>
    <cellStyle name="표준 2 2 3 8" xfId="14616"/>
    <cellStyle name="표준 2 2 4" xfId="14617"/>
    <cellStyle name="표준 2 2 4 2" xfId="14618"/>
    <cellStyle name="표준 2 2 4 2 2" xfId="14619"/>
    <cellStyle name="표준 2 2 4 2 2 2" xfId="14620"/>
    <cellStyle name="표준 2 2 4 2 3" xfId="14621"/>
    <cellStyle name="표준 2 2 4 2 3 2" xfId="14622"/>
    <cellStyle name="표준 2 2 4 2 4" xfId="14623"/>
    <cellStyle name="표준 2 2 4 2 4 2" xfId="14624"/>
    <cellStyle name="표준 2 2 4 2 5" xfId="14625"/>
    <cellStyle name="표준 2 2 4 3" xfId="14626"/>
    <cellStyle name="표준 2 2 4 3 2" xfId="14627"/>
    <cellStyle name="표준 2 2 4 3 2 2" xfId="14628"/>
    <cellStyle name="표준 2 2 4 3 3" xfId="14629"/>
    <cellStyle name="표준 2 2 4 3 3 2" xfId="14630"/>
    <cellStyle name="표준 2 2 4 3 4" xfId="14631"/>
    <cellStyle name="표준 2 2 4 3 4 2" xfId="14632"/>
    <cellStyle name="표준 2 2 4 3 5" xfId="14633"/>
    <cellStyle name="표준 2 2 4 4" xfId="14634"/>
    <cellStyle name="표준 2 2 4 4 2" xfId="14635"/>
    <cellStyle name="표준 2 2 4 5" xfId="14636"/>
    <cellStyle name="표준 2 2 4 5 2" xfId="14637"/>
    <cellStyle name="표준 2 2 4 6" xfId="14638"/>
    <cellStyle name="표준 2 2 4 6 2" xfId="14639"/>
    <cellStyle name="표준 2 2 4 7" xfId="14640"/>
    <cellStyle name="표준 2 2 5" xfId="14641"/>
    <cellStyle name="표준 2 2 5 2" xfId="14642"/>
    <cellStyle name="표준 2 2 5 2 2" xfId="14643"/>
    <cellStyle name="표준 2 2 5 2 2 2" xfId="14644"/>
    <cellStyle name="표준 2 2 5 2 3" xfId="14645"/>
    <cellStyle name="표준 2 2 5 2 3 2" xfId="14646"/>
    <cellStyle name="표준 2 2 5 2 4" xfId="14647"/>
    <cellStyle name="표준 2 2 5 2 4 2" xfId="14648"/>
    <cellStyle name="표준 2 2 5 2 5" xfId="14649"/>
    <cellStyle name="표준 2 2 5 3" xfId="14650"/>
    <cellStyle name="표준 2 2 5 3 2" xfId="14651"/>
    <cellStyle name="표준 2 2 5 3 2 2" xfId="14652"/>
    <cellStyle name="표준 2 2 5 3 3" xfId="14653"/>
    <cellStyle name="표준 2 2 5 3 3 2" xfId="14654"/>
    <cellStyle name="표준 2 2 5 3 4" xfId="14655"/>
    <cellStyle name="표준 2 2 5 3 4 2" xfId="14656"/>
    <cellStyle name="표준 2 2 5 3 5" xfId="14657"/>
    <cellStyle name="표준 2 2 5 4" xfId="14658"/>
    <cellStyle name="표준 2 2 5 4 2" xfId="14659"/>
    <cellStyle name="표준 2 2 5 5" xfId="14660"/>
    <cellStyle name="표준 2 2 5 5 2" xfId="14661"/>
    <cellStyle name="표준 2 2 5 6" xfId="14662"/>
    <cellStyle name="표준 2 2 5 6 2" xfId="14663"/>
    <cellStyle name="표준 2 2 5 7" xfId="14664"/>
    <cellStyle name="표준 2 2 6" xfId="14665"/>
    <cellStyle name="표준 2 2 6 2" xfId="14666"/>
    <cellStyle name="표준 2 2 6 2 2" xfId="14667"/>
    <cellStyle name="표준 2 2 6 3" xfId="14668"/>
    <cellStyle name="표준 2 2 6 3 2" xfId="14669"/>
    <cellStyle name="표준 2 2 6 4" xfId="14670"/>
    <cellStyle name="표준 2 2 6 4 2" xfId="14671"/>
    <cellStyle name="표준 2 2 6 5" xfId="14672"/>
    <cellStyle name="표준 2 2 7" xfId="14673"/>
    <cellStyle name="표준 2 2 7 2" xfId="14674"/>
    <cellStyle name="표준 2 2 7 2 2" xfId="14675"/>
    <cellStyle name="표준 2 2 7 3" xfId="14676"/>
    <cellStyle name="표준 2 2 7 3 2" xfId="14677"/>
    <cellStyle name="표준 2 2 7 4" xfId="14678"/>
    <cellStyle name="표준 2 2 7 4 2" xfId="14679"/>
    <cellStyle name="표준 2 2 7 5" xfId="14680"/>
    <cellStyle name="표준 2 2 8" xfId="14681"/>
    <cellStyle name="표준 2 2 8 2" xfId="14682"/>
    <cellStyle name="표준 2 2 9" xfId="14683"/>
    <cellStyle name="표준 2 2 9 2" xfId="14684"/>
    <cellStyle name="표준 2 3" xfId="14685"/>
    <cellStyle name="표준 2 3 2" xfId="14686"/>
    <cellStyle name="표준 2 3 2 2" xfId="14687"/>
    <cellStyle name="표준 2 3 2 2 2" xfId="14688"/>
    <cellStyle name="표준 2 3 2 2 2 2" xfId="14689"/>
    <cellStyle name="표준 2 3 2 2 3" xfId="14690"/>
    <cellStyle name="표준 2 3 2 2 3 2" xfId="14691"/>
    <cellStyle name="표준 2 3 2 2 4" xfId="14692"/>
    <cellStyle name="표준 2 3 2 2 4 2" xfId="14693"/>
    <cellStyle name="표준 2 3 2 2 5" xfId="14694"/>
    <cellStyle name="표준 2 3 2 3" xfId="14695"/>
    <cellStyle name="표준 2 3 2 3 2" xfId="14696"/>
    <cellStyle name="표준 2 3 2 3 2 2" xfId="14697"/>
    <cellStyle name="표준 2 3 2 3 3" xfId="14698"/>
    <cellStyle name="표준 2 3 2 3 3 2" xfId="14699"/>
    <cellStyle name="표준 2 3 2 3 4" xfId="14700"/>
    <cellStyle name="표준 2 3 2 3 4 2" xfId="14701"/>
    <cellStyle name="표준 2 3 2 3 5" xfId="14702"/>
    <cellStyle name="표준 2 3 2 4" xfId="14703"/>
    <cellStyle name="표준 2 3 2 4 2" xfId="14704"/>
    <cellStyle name="표준 2 3 2 5" xfId="14705"/>
    <cellStyle name="표준 2 3 2 5 2" xfId="14706"/>
    <cellStyle name="표준 2 3 2 6" xfId="14707"/>
    <cellStyle name="표준 2 3 2 6 2" xfId="14708"/>
    <cellStyle name="표준 2 3 2 7" xfId="14709"/>
    <cellStyle name="표준 2 3 3" xfId="14710"/>
    <cellStyle name="표준 2 3 3 2" xfId="14711"/>
    <cellStyle name="표준 2 3 3 2 2" xfId="14712"/>
    <cellStyle name="표준 2 3 3 3" xfId="14713"/>
    <cellStyle name="표준 2 3 3 3 2" xfId="14714"/>
    <cellStyle name="표준 2 3 3 4" xfId="14715"/>
    <cellStyle name="표준 2 3 3 4 2" xfId="14716"/>
    <cellStyle name="표준 2 3 3 5" xfId="14717"/>
    <cellStyle name="표준 2 3 4" xfId="14718"/>
    <cellStyle name="표준 2 3 4 2" xfId="14719"/>
    <cellStyle name="표준 2 3 4 2 2" xfId="14720"/>
    <cellStyle name="표준 2 3 4 3" xfId="14721"/>
    <cellStyle name="표준 2 3 4 3 2" xfId="14722"/>
    <cellStyle name="표준 2 3 4 4" xfId="14723"/>
    <cellStyle name="표준 2 3 4 4 2" xfId="14724"/>
    <cellStyle name="표준 2 3 4 5" xfId="14725"/>
    <cellStyle name="표준 2 3 5" xfId="14726"/>
    <cellStyle name="표준 2 3 5 2" xfId="14727"/>
    <cellStyle name="표준 2 3 6" xfId="14728"/>
    <cellStyle name="표준 2 3 6 2" xfId="14729"/>
    <cellStyle name="표준 2 3 7" xfId="14730"/>
    <cellStyle name="표준 2 3 7 2" xfId="14731"/>
    <cellStyle name="표준 2 3 8" xfId="14732"/>
    <cellStyle name="표준 2 3 9" xfId="14733"/>
    <cellStyle name="표준 2 4" xfId="14734"/>
    <cellStyle name="표준 2 4 2" xfId="14735"/>
    <cellStyle name="표준 2 4 2 2" xfId="14736"/>
    <cellStyle name="표준 2 4 2 2 2" xfId="14737"/>
    <cellStyle name="표준 2 4 2 2 2 2" xfId="14738"/>
    <cellStyle name="표준 2 4 2 2 3" xfId="14739"/>
    <cellStyle name="표준 2 4 2 2 3 2" xfId="14740"/>
    <cellStyle name="표준 2 4 2 2 4" xfId="14741"/>
    <cellStyle name="표준 2 4 2 2 4 2" xfId="14742"/>
    <cellStyle name="표준 2 4 2 2 5" xfId="14743"/>
    <cellStyle name="표준 2 4 2 3" xfId="14744"/>
    <cellStyle name="표준 2 4 2 3 2" xfId="14745"/>
    <cellStyle name="표준 2 4 2 3 2 2" xfId="14746"/>
    <cellStyle name="표준 2 4 2 3 3" xfId="14747"/>
    <cellStyle name="표준 2 4 2 3 3 2" xfId="14748"/>
    <cellStyle name="표준 2 4 2 3 4" xfId="14749"/>
    <cellStyle name="표준 2 4 2 3 4 2" xfId="14750"/>
    <cellStyle name="표준 2 4 2 3 5" xfId="14751"/>
    <cellStyle name="표준 2 4 2 4" xfId="14752"/>
    <cellStyle name="표준 2 4 2 4 2" xfId="14753"/>
    <cellStyle name="표준 2 4 2 5" xfId="14754"/>
    <cellStyle name="표준 2 4 2 5 2" xfId="14755"/>
    <cellStyle name="표준 2 4 2 6" xfId="14756"/>
    <cellStyle name="표준 2 4 2 6 2" xfId="14757"/>
    <cellStyle name="표준 2 4 2 7" xfId="14758"/>
    <cellStyle name="표준 2 4 3" xfId="14759"/>
    <cellStyle name="표준 2 4 3 2" xfId="14760"/>
    <cellStyle name="표준 2 4 3 2 2" xfId="14761"/>
    <cellStyle name="표준 2 4 3 3" xfId="14762"/>
    <cellStyle name="표준 2 4 3 3 2" xfId="14763"/>
    <cellStyle name="표준 2 4 3 4" xfId="14764"/>
    <cellStyle name="표준 2 4 3 4 2" xfId="14765"/>
    <cellStyle name="표준 2 4 3 5" xfId="14766"/>
    <cellStyle name="표준 2 4 4" xfId="14767"/>
    <cellStyle name="표준 2 4 4 2" xfId="14768"/>
    <cellStyle name="표준 2 4 4 2 2" xfId="14769"/>
    <cellStyle name="표준 2 4 4 3" xfId="14770"/>
    <cellStyle name="표준 2 4 4 3 2" xfId="14771"/>
    <cellStyle name="표준 2 4 4 4" xfId="14772"/>
    <cellStyle name="표준 2 4 4 4 2" xfId="14773"/>
    <cellStyle name="표준 2 4 4 5" xfId="14774"/>
    <cellStyle name="표준 2 4 5" xfId="14775"/>
    <cellStyle name="표준 2 4 5 2" xfId="14776"/>
    <cellStyle name="표준 2 4 6" xfId="14777"/>
    <cellStyle name="표준 2 4 6 2" xfId="14778"/>
    <cellStyle name="표준 2 4 7" xfId="14779"/>
    <cellStyle name="표준 2 4 7 2" xfId="14780"/>
    <cellStyle name="표준 2 4 8" xfId="14781"/>
    <cellStyle name="표준 2 4 9" xfId="14782"/>
    <cellStyle name="표준 2 5" xfId="14783"/>
    <cellStyle name="표준 2 5 2" xfId="14784"/>
    <cellStyle name="표준 2 5 2 2" xfId="14785"/>
    <cellStyle name="표준 2 5 2 2 2" xfId="14786"/>
    <cellStyle name="표준 2 5 2 3" xfId="14787"/>
    <cellStyle name="표준 2 5 2 3 2" xfId="14788"/>
    <cellStyle name="표준 2 5 2 4" xfId="14789"/>
    <cellStyle name="표준 2 5 2 4 2" xfId="14790"/>
    <cellStyle name="표준 2 5 2 5" xfId="14791"/>
    <cellStyle name="표준 2 5 3" xfId="14792"/>
    <cellStyle name="표준 2 5 3 2" xfId="14793"/>
    <cellStyle name="표준 2 5 3 2 2" xfId="14794"/>
    <cellStyle name="표준 2 5 3 3" xfId="14795"/>
    <cellStyle name="표준 2 5 3 3 2" xfId="14796"/>
    <cellStyle name="표준 2 5 3 4" xfId="14797"/>
    <cellStyle name="표준 2 5 3 4 2" xfId="14798"/>
    <cellStyle name="표준 2 5 3 5" xfId="14799"/>
    <cellStyle name="표준 2 5 4" xfId="14800"/>
    <cellStyle name="표준 2 5 4 2" xfId="14801"/>
    <cellStyle name="표준 2 5 5" xfId="14802"/>
    <cellStyle name="표준 2 5 5 2" xfId="14803"/>
    <cellStyle name="표준 2 5 6" xfId="14804"/>
    <cellStyle name="표준 2 5 6 2" xfId="14805"/>
    <cellStyle name="표준 2 5 7" xfId="14806"/>
    <cellStyle name="표준 2 6" xfId="14807"/>
    <cellStyle name="표준 2 6 2" xfId="14808"/>
    <cellStyle name="표준 2 6 2 2" xfId="14809"/>
    <cellStyle name="표준 2 6 2 2 2" xfId="14810"/>
    <cellStyle name="표준 2 6 2 3" xfId="14811"/>
    <cellStyle name="표준 2 6 2 3 2" xfId="14812"/>
    <cellStyle name="표준 2 6 2 4" xfId="14813"/>
    <cellStyle name="표준 2 6 2 4 2" xfId="14814"/>
    <cellStyle name="표준 2 6 2 5" xfId="14815"/>
    <cellStyle name="표준 2 6 3" xfId="14816"/>
    <cellStyle name="표준 2 6 3 2" xfId="14817"/>
    <cellStyle name="표준 2 6 3 2 2" xfId="14818"/>
    <cellStyle name="표준 2 6 3 3" xfId="14819"/>
    <cellStyle name="표준 2 6 3 3 2" xfId="14820"/>
    <cellStyle name="표준 2 6 3 4" xfId="14821"/>
    <cellStyle name="표준 2 6 3 4 2" xfId="14822"/>
    <cellStyle name="표준 2 6 3 5" xfId="14823"/>
    <cellStyle name="표준 2 6 4" xfId="14824"/>
    <cellStyle name="표준 2 6 4 2" xfId="14825"/>
    <cellStyle name="표준 2 6 5" xfId="14826"/>
    <cellStyle name="표준 2 6 5 2" xfId="14827"/>
    <cellStyle name="표준 2 6 6" xfId="14828"/>
    <cellStyle name="표준 2 6 6 2" xfId="14829"/>
    <cellStyle name="표준 2 6 7" xfId="14830"/>
    <cellStyle name="표준 2 7" xfId="14831"/>
    <cellStyle name="표준 2 7 2" xfId="14832"/>
    <cellStyle name="표준 2 7 2 2" xfId="14833"/>
    <cellStyle name="표준 2 7 3" xfId="14834"/>
    <cellStyle name="표준 2 7 3 2" xfId="14835"/>
    <cellStyle name="표준 2 7 4" xfId="14836"/>
    <cellStyle name="표준 2 7 4 2" xfId="14837"/>
    <cellStyle name="표준 2 7 5" xfId="14838"/>
    <cellStyle name="표준 2 8" xfId="14839"/>
    <cellStyle name="표준 2 8 2" xfId="14840"/>
    <cellStyle name="표준 2 8 2 2" xfId="14841"/>
    <cellStyle name="표준 2 8 3" xfId="14842"/>
    <cellStyle name="표준 2 8 3 2" xfId="14843"/>
    <cellStyle name="표준 2 8 4" xfId="14844"/>
    <cellStyle name="표준 2 8 4 2" xfId="14845"/>
    <cellStyle name="표준 2 8 5" xfId="14846"/>
    <cellStyle name="표준 2 9" xfId="14847"/>
    <cellStyle name="표준 2 9 2" xfId="14848"/>
    <cellStyle name="표준 20" xfId="14849"/>
    <cellStyle name="표준 20 2" xfId="14850"/>
    <cellStyle name="표준 21" xfId="14851"/>
    <cellStyle name="표준 22" xfId="14852"/>
    <cellStyle name="표준 3" xfId="14853"/>
    <cellStyle name="표준 3 10" xfId="14854"/>
    <cellStyle name="표준 3 10 2" xfId="14855"/>
    <cellStyle name="표준 3 11" xfId="14856"/>
    <cellStyle name="표준 3 11 2" xfId="14857"/>
    <cellStyle name="표준 3 11 3" xfId="14858"/>
    <cellStyle name="표준 3 12" xfId="14859"/>
    <cellStyle name="표준 3 2" xfId="14860"/>
    <cellStyle name="표준 3 2 10" xfId="14861"/>
    <cellStyle name="표준 3 2 10 2" xfId="14862"/>
    <cellStyle name="표준 3 2 11" xfId="14863"/>
    <cellStyle name="표준 3 2 2" xfId="14864"/>
    <cellStyle name="표준 3 2 2 2" xfId="14865"/>
    <cellStyle name="표준 3 2 2 2 2" xfId="14866"/>
    <cellStyle name="표준 3 2 2 2 2 2" xfId="14867"/>
    <cellStyle name="표준 3 2 2 2 2 2 2" xfId="14868"/>
    <cellStyle name="표준 3 2 2 2 2 3" xfId="14869"/>
    <cellStyle name="표준 3 2 2 2 2 3 2" xfId="14870"/>
    <cellStyle name="표준 3 2 2 2 2 4" xfId="14871"/>
    <cellStyle name="표준 3 2 2 2 2 4 2" xfId="14872"/>
    <cellStyle name="표준 3 2 2 2 2 5" xfId="14873"/>
    <cellStyle name="표준 3 2 2 2 3" xfId="14874"/>
    <cellStyle name="표준 3 2 2 2 3 2" xfId="14875"/>
    <cellStyle name="표준 3 2 2 2 3 2 2" xfId="14876"/>
    <cellStyle name="표준 3 2 2 2 3 3" xfId="14877"/>
    <cellStyle name="표준 3 2 2 2 3 3 2" xfId="14878"/>
    <cellStyle name="표준 3 2 2 2 3 4" xfId="14879"/>
    <cellStyle name="표준 3 2 2 2 3 4 2" xfId="14880"/>
    <cellStyle name="표준 3 2 2 2 3 5" xfId="14881"/>
    <cellStyle name="표준 3 2 2 2 4" xfId="14882"/>
    <cellStyle name="표준 3 2 2 2 4 2" xfId="14883"/>
    <cellStyle name="표준 3 2 2 2 5" xfId="14884"/>
    <cellStyle name="표준 3 2 2 2 5 2" xfId="14885"/>
    <cellStyle name="표준 3 2 2 2 6" xfId="14886"/>
    <cellStyle name="표준 3 2 2 2 6 2" xfId="14887"/>
    <cellStyle name="표준 3 2 2 2 7" xfId="14888"/>
    <cellStyle name="표준 3 2 2 3" xfId="14889"/>
    <cellStyle name="표준 3 2 2 3 2" xfId="14890"/>
    <cellStyle name="표준 3 2 2 3 2 2" xfId="14891"/>
    <cellStyle name="표준 3 2 2 3 3" xfId="14892"/>
    <cellStyle name="표준 3 2 2 3 3 2" xfId="14893"/>
    <cellStyle name="표준 3 2 2 3 4" xfId="14894"/>
    <cellStyle name="표준 3 2 2 3 4 2" xfId="14895"/>
    <cellStyle name="표준 3 2 2 3 5" xfId="14896"/>
    <cellStyle name="표준 3 2 2 4" xfId="14897"/>
    <cellStyle name="표준 3 2 2 4 2" xfId="14898"/>
    <cellStyle name="표준 3 2 2 4 2 2" xfId="14899"/>
    <cellStyle name="표준 3 2 2 4 3" xfId="14900"/>
    <cellStyle name="표준 3 2 2 4 3 2" xfId="14901"/>
    <cellStyle name="표준 3 2 2 4 4" xfId="14902"/>
    <cellStyle name="표준 3 2 2 4 4 2" xfId="14903"/>
    <cellStyle name="표준 3 2 2 4 5" xfId="14904"/>
    <cellStyle name="표준 3 2 2 5" xfId="14905"/>
    <cellStyle name="표준 3 2 2 5 2" xfId="14906"/>
    <cellStyle name="표준 3 2 2 6" xfId="14907"/>
    <cellStyle name="표준 3 2 2 6 2" xfId="14908"/>
    <cellStyle name="표준 3 2 2 7" xfId="14909"/>
    <cellStyle name="표준 3 2 2 7 2" xfId="14910"/>
    <cellStyle name="표준 3 2 2 8" xfId="14911"/>
    <cellStyle name="표준 3 2 3" xfId="14912"/>
    <cellStyle name="표준 3 2 3 2" xfId="14913"/>
    <cellStyle name="표준 3 2 3 2 2" xfId="14914"/>
    <cellStyle name="표준 3 2 3 2 2 2" xfId="14915"/>
    <cellStyle name="표준 3 2 3 2 2 2 2" xfId="14916"/>
    <cellStyle name="표준 3 2 3 2 2 3" xfId="14917"/>
    <cellStyle name="표준 3 2 3 2 2 3 2" xfId="14918"/>
    <cellStyle name="표준 3 2 3 2 2 4" xfId="14919"/>
    <cellStyle name="표준 3 2 3 2 2 4 2" xfId="14920"/>
    <cellStyle name="표준 3 2 3 2 2 5" xfId="14921"/>
    <cellStyle name="표준 3 2 3 2 3" xfId="14922"/>
    <cellStyle name="표준 3 2 3 2 3 2" xfId="14923"/>
    <cellStyle name="표준 3 2 3 2 3 2 2" xfId="14924"/>
    <cellStyle name="표준 3 2 3 2 3 3" xfId="14925"/>
    <cellStyle name="표준 3 2 3 2 3 3 2" xfId="14926"/>
    <cellStyle name="표준 3 2 3 2 3 4" xfId="14927"/>
    <cellStyle name="표준 3 2 3 2 3 4 2" xfId="14928"/>
    <cellStyle name="표준 3 2 3 2 3 5" xfId="14929"/>
    <cellStyle name="표준 3 2 3 2 4" xfId="14930"/>
    <cellStyle name="표준 3 2 3 2 4 2" xfId="14931"/>
    <cellStyle name="표준 3 2 3 2 5" xfId="14932"/>
    <cellStyle name="표준 3 2 3 2 5 2" xfId="14933"/>
    <cellStyle name="표준 3 2 3 2 6" xfId="14934"/>
    <cellStyle name="표준 3 2 3 2 6 2" xfId="14935"/>
    <cellStyle name="표준 3 2 3 2 7" xfId="14936"/>
    <cellStyle name="표준 3 2 3 3" xfId="14937"/>
    <cellStyle name="표준 3 2 3 3 2" xfId="14938"/>
    <cellStyle name="표준 3 2 3 3 2 2" xfId="14939"/>
    <cellStyle name="표준 3 2 3 3 3" xfId="14940"/>
    <cellStyle name="표준 3 2 3 3 3 2" xfId="14941"/>
    <cellStyle name="표준 3 2 3 3 4" xfId="14942"/>
    <cellStyle name="표준 3 2 3 3 4 2" xfId="14943"/>
    <cellStyle name="표준 3 2 3 3 5" xfId="14944"/>
    <cellStyle name="표준 3 2 3 4" xfId="14945"/>
    <cellStyle name="표준 3 2 3 4 2" xfId="14946"/>
    <cellStyle name="표준 3 2 3 4 2 2" xfId="14947"/>
    <cellStyle name="표준 3 2 3 4 3" xfId="14948"/>
    <cellStyle name="표준 3 2 3 4 3 2" xfId="14949"/>
    <cellStyle name="표준 3 2 3 4 4" xfId="14950"/>
    <cellStyle name="표준 3 2 3 4 4 2" xfId="14951"/>
    <cellStyle name="표준 3 2 3 4 5" xfId="14952"/>
    <cellStyle name="표준 3 2 3 5" xfId="14953"/>
    <cellStyle name="표준 3 2 3 5 2" xfId="14954"/>
    <cellStyle name="표준 3 2 3 6" xfId="14955"/>
    <cellStyle name="표준 3 2 3 6 2" xfId="14956"/>
    <cellStyle name="표준 3 2 3 7" xfId="14957"/>
    <cellStyle name="표준 3 2 3 7 2" xfId="14958"/>
    <cellStyle name="표준 3 2 3 8" xfId="14959"/>
    <cellStyle name="표준 3 2 4" xfId="14960"/>
    <cellStyle name="표준 3 2 4 2" xfId="14961"/>
    <cellStyle name="표준 3 2 4 2 2" xfId="14962"/>
    <cellStyle name="표준 3 2 4 2 2 2" xfId="14963"/>
    <cellStyle name="표준 3 2 4 2 3" xfId="14964"/>
    <cellStyle name="표준 3 2 4 2 3 2" xfId="14965"/>
    <cellStyle name="표준 3 2 4 2 4" xfId="14966"/>
    <cellStyle name="표준 3 2 4 2 4 2" xfId="14967"/>
    <cellStyle name="표준 3 2 4 2 5" xfId="14968"/>
    <cellStyle name="표준 3 2 4 3" xfId="14969"/>
    <cellStyle name="표준 3 2 4 3 2" xfId="14970"/>
    <cellStyle name="표준 3 2 4 3 2 2" xfId="14971"/>
    <cellStyle name="표준 3 2 4 3 3" xfId="14972"/>
    <cellStyle name="표준 3 2 4 3 3 2" xfId="14973"/>
    <cellStyle name="표준 3 2 4 3 4" xfId="14974"/>
    <cellStyle name="표준 3 2 4 3 4 2" xfId="14975"/>
    <cellStyle name="표준 3 2 4 3 5" xfId="14976"/>
    <cellStyle name="표준 3 2 4 4" xfId="14977"/>
    <cellStyle name="표준 3 2 4 4 2" xfId="14978"/>
    <cellStyle name="표준 3 2 4 5" xfId="14979"/>
    <cellStyle name="표준 3 2 4 5 2" xfId="14980"/>
    <cellStyle name="표준 3 2 4 6" xfId="14981"/>
    <cellStyle name="표준 3 2 4 6 2" xfId="14982"/>
    <cellStyle name="표준 3 2 4 7" xfId="14983"/>
    <cellStyle name="표준 3 2 4 8" xfId="14984"/>
    <cellStyle name="표준 3 2 5" xfId="14985"/>
    <cellStyle name="표준 3 2 5 2" xfId="14986"/>
    <cellStyle name="표준 3 2 5 2 2" xfId="14987"/>
    <cellStyle name="표준 3 2 5 2 2 2" xfId="14988"/>
    <cellStyle name="표준 3 2 5 2 3" xfId="14989"/>
    <cellStyle name="표준 3 2 5 2 3 2" xfId="14990"/>
    <cellStyle name="표준 3 2 5 2 4" xfId="14991"/>
    <cellStyle name="표준 3 2 5 2 4 2" xfId="14992"/>
    <cellStyle name="표준 3 2 5 2 5" xfId="14993"/>
    <cellStyle name="표준 3 2 5 3" xfId="14994"/>
    <cellStyle name="표준 3 2 5 3 2" xfId="14995"/>
    <cellStyle name="표준 3 2 5 3 2 2" xfId="14996"/>
    <cellStyle name="표준 3 2 5 3 3" xfId="14997"/>
    <cellStyle name="표준 3 2 5 3 3 2" xfId="14998"/>
    <cellStyle name="표준 3 2 5 3 4" xfId="14999"/>
    <cellStyle name="표준 3 2 5 3 4 2" xfId="15000"/>
    <cellStyle name="표준 3 2 5 3 5" xfId="15001"/>
    <cellStyle name="표준 3 2 5 4" xfId="15002"/>
    <cellStyle name="표준 3 2 5 4 2" xfId="15003"/>
    <cellStyle name="표준 3 2 5 5" xfId="15004"/>
    <cellStyle name="표준 3 2 5 5 2" xfId="15005"/>
    <cellStyle name="표준 3 2 5 6" xfId="15006"/>
    <cellStyle name="표준 3 2 5 6 2" xfId="15007"/>
    <cellStyle name="표준 3 2 5 7" xfId="15008"/>
    <cellStyle name="표준 3 2 6" xfId="15009"/>
    <cellStyle name="표준 3 2 6 2" xfId="15010"/>
    <cellStyle name="표준 3 2 6 2 2" xfId="15011"/>
    <cellStyle name="표준 3 2 6 3" xfId="15012"/>
    <cellStyle name="표준 3 2 6 3 2" xfId="15013"/>
    <cellStyle name="표준 3 2 6 4" xfId="15014"/>
    <cellStyle name="표준 3 2 6 4 2" xfId="15015"/>
    <cellStyle name="표준 3 2 6 5" xfId="15016"/>
    <cellStyle name="표준 3 2 7" xfId="15017"/>
    <cellStyle name="표준 3 2 7 2" xfId="15018"/>
    <cellStyle name="표준 3 2 7 2 2" xfId="15019"/>
    <cellStyle name="표준 3 2 7 3" xfId="15020"/>
    <cellStyle name="표준 3 2 7 3 2" xfId="15021"/>
    <cellStyle name="표준 3 2 7 4" xfId="15022"/>
    <cellStyle name="표준 3 2 7 4 2" xfId="15023"/>
    <cellStyle name="표준 3 2 7 5" xfId="15024"/>
    <cellStyle name="표준 3 2 8" xfId="15025"/>
    <cellStyle name="표준 3 2 8 2" xfId="15026"/>
    <cellStyle name="표준 3 2 9" xfId="15027"/>
    <cellStyle name="표준 3 2 9 2" xfId="15028"/>
    <cellStyle name="표준 3 3" xfId="15029"/>
    <cellStyle name="표준 3 3 2" xfId="15030"/>
    <cellStyle name="표준 3 3 2 2" xfId="15031"/>
    <cellStyle name="표준 3 3 2 2 2" xfId="15032"/>
    <cellStyle name="표준 3 3 2 2 2 2" xfId="15033"/>
    <cellStyle name="표준 3 3 2 2 3" xfId="15034"/>
    <cellStyle name="표준 3 3 2 2 3 2" xfId="15035"/>
    <cellStyle name="표준 3 3 2 2 4" xfId="15036"/>
    <cellStyle name="표준 3 3 2 2 4 2" xfId="15037"/>
    <cellStyle name="표준 3 3 2 2 5" xfId="15038"/>
    <cellStyle name="표준 3 3 2 3" xfId="15039"/>
    <cellStyle name="표준 3 3 2 3 2" xfId="15040"/>
    <cellStyle name="표준 3 3 2 3 2 2" xfId="15041"/>
    <cellStyle name="표준 3 3 2 3 3" xfId="15042"/>
    <cellStyle name="표준 3 3 2 3 3 2" xfId="15043"/>
    <cellStyle name="표준 3 3 2 3 4" xfId="15044"/>
    <cellStyle name="표준 3 3 2 3 4 2" xfId="15045"/>
    <cellStyle name="표준 3 3 2 3 5" xfId="15046"/>
    <cellStyle name="표준 3 3 2 4" xfId="15047"/>
    <cellStyle name="표준 3 3 2 4 2" xfId="15048"/>
    <cellStyle name="표준 3 3 2 5" xfId="15049"/>
    <cellStyle name="표준 3 3 2 5 2" xfId="15050"/>
    <cellStyle name="표준 3 3 2 6" xfId="15051"/>
    <cellStyle name="표준 3 3 2 6 2" xfId="15052"/>
    <cellStyle name="표준 3 3 2 7" xfId="15053"/>
    <cellStyle name="표준 3 3 3" xfId="15054"/>
    <cellStyle name="표준 3 3 3 2" xfId="15055"/>
    <cellStyle name="표준 3 3 3 2 2" xfId="15056"/>
    <cellStyle name="표준 3 3 3 3" xfId="15057"/>
    <cellStyle name="표준 3 3 3 3 2" xfId="15058"/>
    <cellStyle name="표준 3 3 3 4" xfId="15059"/>
    <cellStyle name="표준 3 3 3 4 2" xfId="15060"/>
    <cellStyle name="표준 3 3 3 5" xfId="15061"/>
    <cellStyle name="표준 3 3 4" xfId="15062"/>
    <cellStyle name="표준 3 3 4 2" xfId="15063"/>
    <cellStyle name="표준 3 3 4 2 2" xfId="15064"/>
    <cellStyle name="표준 3 3 4 3" xfId="15065"/>
    <cellStyle name="표준 3 3 4 3 2" xfId="15066"/>
    <cellStyle name="표준 3 3 4 4" xfId="15067"/>
    <cellStyle name="표준 3 3 4 4 2" xfId="15068"/>
    <cellStyle name="표준 3 3 4 5" xfId="15069"/>
    <cellStyle name="표준 3 3 5" xfId="15070"/>
    <cellStyle name="표준 3 3 5 2" xfId="15071"/>
    <cellStyle name="표준 3 3 6" xfId="15072"/>
    <cellStyle name="표준 3 3 6 2" xfId="15073"/>
    <cellStyle name="표준 3 3 7" xfId="15074"/>
    <cellStyle name="표준 3 3 7 2" xfId="15075"/>
    <cellStyle name="표준 3 3 8" xfId="15076"/>
    <cellStyle name="표준 3 4" xfId="15077"/>
    <cellStyle name="표준 3 4 2" xfId="15078"/>
    <cellStyle name="표준 3 4 2 2" xfId="15079"/>
    <cellStyle name="표준 3 4 2 2 2" xfId="15080"/>
    <cellStyle name="표준 3 4 2 2 2 2" xfId="15081"/>
    <cellStyle name="표준 3 4 2 2 3" xfId="15082"/>
    <cellStyle name="표준 3 4 2 2 3 2" xfId="15083"/>
    <cellStyle name="표준 3 4 2 2 4" xfId="15084"/>
    <cellStyle name="표준 3 4 2 2 4 2" xfId="15085"/>
    <cellStyle name="표준 3 4 2 2 5" xfId="15086"/>
    <cellStyle name="표준 3 4 2 3" xfId="15087"/>
    <cellStyle name="표준 3 4 2 3 2" xfId="15088"/>
    <cellStyle name="표준 3 4 2 3 2 2" xfId="15089"/>
    <cellStyle name="표준 3 4 2 3 3" xfId="15090"/>
    <cellStyle name="표준 3 4 2 3 3 2" xfId="15091"/>
    <cellStyle name="표준 3 4 2 3 4" xfId="15092"/>
    <cellStyle name="표준 3 4 2 3 4 2" xfId="15093"/>
    <cellStyle name="표준 3 4 2 3 5" xfId="15094"/>
    <cellStyle name="표준 3 4 2 4" xfId="15095"/>
    <cellStyle name="표준 3 4 2 4 2" xfId="15096"/>
    <cellStyle name="표준 3 4 2 5" xfId="15097"/>
    <cellStyle name="표준 3 4 2 5 2" xfId="15098"/>
    <cellStyle name="표준 3 4 2 6" xfId="15099"/>
    <cellStyle name="표준 3 4 2 6 2" xfId="15100"/>
    <cellStyle name="표준 3 4 2 7" xfId="15101"/>
    <cellStyle name="표준 3 4 3" xfId="15102"/>
    <cellStyle name="표준 3 4 3 2" xfId="15103"/>
    <cellStyle name="표준 3 4 3 2 2" xfId="15104"/>
    <cellStyle name="표준 3 4 3 3" xfId="15105"/>
    <cellStyle name="표준 3 4 3 3 2" xfId="15106"/>
    <cellStyle name="표준 3 4 3 4" xfId="15107"/>
    <cellStyle name="표준 3 4 3 4 2" xfId="15108"/>
    <cellStyle name="표준 3 4 3 5" xfId="15109"/>
    <cellStyle name="표준 3 4 4" xfId="15110"/>
    <cellStyle name="표준 3 4 4 2" xfId="15111"/>
    <cellStyle name="표준 3 4 4 2 2" xfId="15112"/>
    <cellStyle name="표준 3 4 4 3" xfId="15113"/>
    <cellStyle name="표준 3 4 4 3 2" xfId="15114"/>
    <cellStyle name="표준 3 4 4 4" xfId="15115"/>
    <cellStyle name="표준 3 4 4 4 2" xfId="15116"/>
    <cellStyle name="표준 3 4 4 5" xfId="15117"/>
    <cellStyle name="표준 3 4 5" xfId="15118"/>
    <cellStyle name="표준 3 4 5 2" xfId="15119"/>
    <cellStyle name="표준 3 4 6" xfId="15120"/>
    <cellStyle name="표준 3 4 6 2" xfId="15121"/>
    <cellStyle name="표준 3 4 7" xfId="15122"/>
    <cellStyle name="표준 3 4 7 2" xfId="15123"/>
    <cellStyle name="표준 3 4 8" xfId="15124"/>
    <cellStyle name="표준 3 5" xfId="15125"/>
    <cellStyle name="표준 3 5 2" xfId="15126"/>
    <cellStyle name="표준 3 5 2 2" xfId="15127"/>
    <cellStyle name="표준 3 5 2 2 2" xfId="15128"/>
    <cellStyle name="표준 3 5 2 3" xfId="15129"/>
    <cellStyle name="표준 3 5 2 3 2" xfId="15130"/>
    <cellStyle name="표준 3 5 2 4" xfId="15131"/>
    <cellStyle name="표준 3 5 2 4 2" xfId="15132"/>
    <cellStyle name="표준 3 5 2 5" xfId="15133"/>
    <cellStyle name="표준 3 5 3" xfId="15134"/>
    <cellStyle name="표준 3 5 3 2" xfId="15135"/>
    <cellStyle name="표준 3 5 3 2 2" xfId="15136"/>
    <cellStyle name="표준 3 5 3 3" xfId="15137"/>
    <cellStyle name="표준 3 5 3 3 2" xfId="15138"/>
    <cellStyle name="표준 3 5 3 4" xfId="15139"/>
    <cellStyle name="표준 3 5 3 4 2" xfId="15140"/>
    <cellStyle name="표준 3 5 3 5" xfId="15141"/>
    <cellStyle name="표준 3 5 4" xfId="15142"/>
    <cellStyle name="표준 3 5 4 2" xfId="15143"/>
    <cellStyle name="표준 3 5 5" xfId="15144"/>
    <cellStyle name="표준 3 5 5 2" xfId="15145"/>
    <cellStyle name="표준 3 5 6" xfId="15146"/>
    <cellStyle name="표준 3 5 6 2" xfId="15147"/>
    <cellStyle name="표준 3 5 7" xfId="15148"/>
    <cellStyle name="표준 3 6" xfId="15149"/>
    <cellStyle name="표준 3 6 2" xfId="15150"/>
    <cellStyle name="표준 3 6 2 2" xfId="15151"/>
    <cellStyle name="표준 3 6 2 2 2" xfId="15152"/>
    <cellStyle name="표준 3 6 2 3" xfId="15153"/>
    <cellStyle name="표준 3 6 2 3 2" xfId="15154"/>
    <cellStyle name="표준 3 6 2 4" xfId="15155"/>
    <cellStyle name="표준 3 6 2 4 2" xfId="15156"/>
    <cellStyle name="표준 3 6 2 5" xfId="15157"/>
    <cellStyle name="표준 3 6 3" xfId="15158"/>
    <cellStyle name="표준 3 6 3 2" xfId="15159"/>
    <cellStyle name="표준 3 6 3 2 2" xfId="15160"/>
    <cellStyle name="표준 3 6 3 3" xfId="15161"/>
    <cellStyle name="표준 3 6 3 3 2" xfId="15162"/>
    <cellStyle name="표준 3 6 3 4" xfId="15163"/>
    <cellStyle name="표준 3 6 3 4 2" xfId="15164"/>
    <cellStyle name="표준 3 6 3 5" xfId="15165"/>
    <cellStyle name="표준 3 6 4" xfId="15166"/>
    <cellStyle name="표준 3 6 4 2" xfId="15167"/>
    <cellStyle name="표준 3 6 5" xfId="15168"/>
    <cellStyle name="표준 3 6 5 2" xfId="15169"/>
    <cellStyle name="표준 3 6 6" xfId="15170"/>
    <cellStyle name="표준 3 6 6 2" xfId="15171"/>
    <cellStyle name="표준 3 6 7" xfId="15172"/>
    <cellStyle name="표준 3 7" xfId="15173"/>
    <cellStyle name="표준 3 7 2" xfId="15174"/>
    <cellStyle name="표준 3 7 2 2" xfId="15175"/>
    <cellStyle name="표준 3 7 3" xfId="15176"/>
    <cellStyle name="표준 3 7 3 2" xfId="15177"/>
    <cellStyle name="표준 3 7 4" xfId="15178"/>
    <cellStyle name="표준 3 7 4 2" xfId="15179"/>
    <cellStyle name="표준 3 7 5" xfId="15180"/>
    <cellStyle name="표준 3 8" xfId="15181"/>
    <cellStyle name="표준 3 8 2" xfId="15182"/>
    <cellStyle name="표준 3 8 2 2" xfId="15183"/>
    <cellStyle name="표준 3 8 3" xfId="15184"/>
    <cellStyle name="표준 3 8 3 2" xfId="15185"/>
    <cellStyle name="표준 3 8 4" xfId="15186"/>
    <cellStyle name="표준 3 8 4 2" xfId="15187"/>
    <cellStyle name="표준 3 8 5" xfId="15188"/>
    <cellStyle name="표준 3 9" xfId="15189"/>
    <cellStyle name="표준 3 9 2" xfId="15190"/>
    <cellStyle name="표준 4" xfId="15191"/>
    <cellStyle name="표준 4 2" xfId="15192"/>
    <cellStyle name="표준 4 2 2" xfId="15193"/>
    <cellStyle name="표준 4 2 3" xfId="15194"/>
    <cellStyle name="표준 4 2 3 2" xfId="15195"/>
    <cellStyle name="표준 4 2 4" xfId="15196"/>
    <cellStyle name="표준 4 2 4 2" xfId="15197"/>
    <cellStyle name="표준 4 3" xfId="15198"/>
    <cellStyle name="표준 4 4" xfId="15199"/>
    <cellStyle name="표준 4 4 2" xfId="15200"/>
    <cellStyle name="표준 4 5" xfId="15201"/>
    <cellStyle name="표준 4 5 2" xfId="15202"/>
    <cellStyle name="표준 5" xfId="15203"/>
    <cellStyle name="표준 5 2" xfId="15204"/>
    <cellStyle name="표준 5 2 2" xfId="15205"/>
    <cellStyle name="표준 5 2 2 2" xfId="15206"/>
    <cellStyle name="표준 5 3" xfId="15207"/>
    <cellStyle name="표준 5 4" xfId="15208"/>
    <cellStyle name="표준 5 5" xfId="15209"/>
    <cellStyle name="표준 6" xfId="15210"/>
    <cellStyle name="표준 6 2" xfId="15211"/>
    <cellStyle name="표준 6 3" xfId="15212"/>
    <cellStyle name="표준 6 4" xfId="15213"/>
    <cellStyle name="표준 7" xfId="6"/>
    <cellStyle name="표준 7 2" xfId="15214"/>
    <cellStyle name="표준 7 3" xfId="15215"/>
    <cellStyle name="표준 7 3 2" xfId="15216"/>
    <cellStyle name="표준 8" xfId="15217"/>
    <cellStyle name="표준 8 2" xfId="15218"/>
    <cellStyle name="표준 8 3" xfId="15219"/>
    <cellStyle name="표준 9" xfId="15220"/>
    <cellStyle name="표준 9 2" xfId="15221"/>
    <cellStyle name="標準_Akia(F）-8" xfId="15222"/>
    <cellStyle name="합산" xfId="15223"/>
    <cellStyle name="解释性文本" xfId="15224"/>
    <cellStyle name="好" xfId="15225"/>
    <cellStyle name="好_`12년 전략CM_투자_RA Total_배부율_S3수정" xfId="15226"/>
    <cellStyle name="貨幣 [0]_RoFo 0104 Annex DU 2~6 (010328)" xfId="15227"/>
    <cellStyle name="貨幣_RoFo 0104 Annex DU 2~6 (010328)" xfId="15228"/>
    <cellStyle name="화폐기호" xfId="15229"/>
    <cellStyle name="화폐기호0" xfId="15230"/>
    <cellStyle name="后继超级链接_200101CDMA" xfId="15231"/>
    <cellStyle name="汇总" xfId="15232"/>
  </cellStyles>
  <dxfs count="2">
    <dxf>
      <fill>
        <patternFill>
          <bgColor indexed="43"/>
        </patternFill>
      </fill>
    </dxf>
    <dxf>
      <fill>
        <patternFill>
          <bgColor indexed="43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2.8629856850715752E-3"/>
          <c:y val="0.12658240088410044"/>
          <c:w val="0.99212651502485349"/>
          <c:h val="0.82278989560605964"/>
        </c:manualLayout>
      </c:layout>
      <c:barChart>
        <c:barDir val="col"/>
        <c:grouping val="clustered"/>
        <c:ser>
          <c:idx val="0"/>
          <c:order val="0"/>
          <c:spPr>
            <a:solidFill>
              <a:schemeClr val="bg1">
                <a:lumMod val="85000"/>
              </a:schemeClr>
            </a:solidFill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  <c:dLbls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 Narrow" panose="020B0606020202030204" pitchFamily="34" charset="0"/>
                    <a:ea typeface="Arial"/>
                    <a:cs typeface="Arial"/>
                  </a:defRPr>
                </a:pPr>
                <a:endParaRPr lang="ko-KR"/>
              </a:p>
            </c:txPr>
            <c:dLblPos val="outEnd"/>
            <c:showVal val="1"/>
          </c:dLbls>
          <c:val>
            <c:numRef>
              <c:f>MAIN1!$F$17:$X$17</c:f>
              <c:numCache>
                <c:formatCode>0.00_ </c:formatCode>
                <c:ptCount val="19"/>
                <c:pt idx="0">
                  <c:v>0</c:v>
                </c:pt>
                <c:pt idx="1">
                  <c:v>-2.9145844520993561E-2</c:v>
                </c:pt>
                <c:pt idx="2">
                  <c:v>-2.3390396087403224E-2</c:v>
                </c:pt>
                <c:pt idx="3">
                  <c:v>-2.4302448539620649E-3</c:v>
                </c:pt>
                <c:pt idx="4">
                  <c:v>-2.1395438867528743E-2</c:v>
                </c:pt>
                <c:pt idx="5">
                  <c:v>-2.5086263054625451E-2</c:v>
                </c:pt>
                <c:pt idx="6">
                  <c:v>-1.4951558034735647E-2</c:v>
                </c:pt>
                <c:pt idx="7">
                  <c:v>-1.2430181914425156E-2</c:v>
                </c:pt>
                <c:pt idx="8">
                  <c:v>-3.2341126645944816E-2</c:v>
                </c:pt>
                <c:pt idx="9">
                  <c:v>-2.4005565933201797E-2</c:v>
                </c:pt>
                <c:pt idx="10">
                  <c:v>-2.2054977519361314E-2</c:v>
                </c:pt>
                <c:pt idx="11">
                  <c:v>-8.6117593986587797E-3</c:v>
                </c:pt>
                <c:pt idx="12">
                  <c:v>-1.0665410164081887E-2</c:v>
                </c:pt>
                <c:pt idx="13">
                  <c:v>-3.9363768572775425E-2</c:v>
                </c:pt>
                <c:pt idx="14">
                  <c:v>-1.4537297033135254E-2</c:v>
                </c:pt>
                <c:pt idx="15">
                  <c:v>-4.7352321186465967E-3</c:v>
                </c:pt>
                <c:pt idx="16">
                  <c:v>-1.1927925260807586E-2</c:v>
                </c:pt>
                <c:pt idx="17">
                  <c:v>-1.9793085977835349E-2</c:v>
                </c:pt>
                <c:pt idx="18">
                  <c:v>-4.9081047899429714E-2</c:v>
                </c:pt>
              </c:numCache>
            </c:numRef>
          </c:val>
        </c:ser>
        <c:gapWidth val="70"/>
        <c:overlap val="90"/>
        <c:axId val="100040064"/>
        <c:axId val="106241408"/>
      </c:barChart>
      <c:catAx>
        <c:axId val="100040064"/>
        <c:scaling>
          <c:orientation val="minMax"/>
        </c:scaling>
        <c:delete val="1"/>
        <c:axPos val="b"/>
        <c:tickLblPos val="nextTo"/>
        <c:crossAx val="106241408"/>
        <c:crosses val="autoZero"/>
        <c:lblAlgn val="ctr"/>
        <c:lblOffset val="100"/>
      </c:catAx>
      <c:valAx>
        <c:axId val="106241408"/>
        <c:scaling>
          <c:orientation val="minMax"/>
        </c:scaling>
        <c:delete val="1"/>
        <c:axPos val="l"/>
        <c:numFmt formatCode="0.00_ " sourceLinked="1"/>
        <c:tickLblPos val="nextTo"/>
        <c:crossAx val="10004006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366" r="0.75000000000000366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autoTitleDeleted val="1"/>
    <c:plotArea>
      <c:layout>
        <c:manualLayout>
          <c:layoutTarget val="inner"/>
          <c:xMode val="edge"/>
          <c:yMode val="edge"/>
          <c:x val="2.8629856850715752E-3"/>
          <c:y val="0.12658240088410044"/>
          <c:w val="0.99212651502485349"/>
          <c:h val="0.82278989560605964"/>
        </c:manualLayout>
      </c:layout>
      <c:barChart>
        <c:barDir val="col"/>
        <c:grouping val="clustered"/>
        <c:ser>
          <c:idx val="0"/>
          <c:order val="0"/>
          <c:spPr>
            <a:noFill/>
            <a:ln w="3175">
              <a:noFill/>
              <a:prstDash val="solid"/>
            </a:ln>
          </c:spPr>
          <c:dLbls>
            <c:numFmt formatCode="\(0.0\↑\);\(0.0\↓\)" sourceLinked="0"/>
            <c:spPr>
              <a:noFill/>
              <a:ln w="25400">
                <a:noFill/>
              </a:ln>
            </c:spPr>
            <c:dLblPos val="outEnd"/>
            <c:showVal val="1"/>
          </c:dLbls>
          <c:val>
            <c:numRef>
              <c:f>MAIN1!$F$18:$X$18</c:f>
              <c:numCache>
                <c:formatCode>\(0.0\↑\);\(0.0\↓\)</c:formatCode>
                <c:ptCount val="19"/>
                <c:pt idx="0">
                  <c:v>0</c:v>
                </c:pt>
                <c:pt idx="1">
                  <c:v>-10.194778476788681</c:v>
                </c:pt>
                <c:pt idx="2">
                  <c:v>-9.14852704263056</c:v>
                </c:pt>
                <c:pt idx="3">
                  <c:v>-5.7796796638642997E-2</c:v>
                </c:pt>
                <c:pt idx="4">
                  <c:v>-0.62154362212734493</c:v>
                </c:pt>
                <c:pt idx="5">
                  <c:v>-0.64341596315244298</c:v>
                </c:pt>
                <c:pt idx="6">
                  <c:v>-0.54624023386315201</c:v>
                </c:pt>
                <c:pt idx="7">
                  <c:v>-0.79643948046686897</c:v>
                </c:pt>
                <c:pt idx="8">
                  <c:v>-1.6056928470345</c:v>
                </c:pt>
                <c:pt idx="9">
                  <c:v>-0.82134292033642298</c:v>
                </c:pt>
                <c:pt idx="10">
                  <c:v>-0.64884592359693394</c:v>
                </c:pt>
                <c:pt idx="11">
                  <c:v>-0.28162549047825103</c:v>
                </c:pt>
                <c:pt idx="12">
                  <c:v>-0.29272874615707095</c:v>
                </c:pt>
                <c:pt idx="13">
                  <c:v>-0.95619323066031003</c:v>
                </c:pt>
                <c:pt idx="14">
                  <c:v>-0.34519435514097396</c:v>
                </c:pt>
                <c:pt idx="15">
                  <c:v>-0.124500712838922</c:v>
                </c:pt>
                <c:pt idx="16">
                  <c:v>-0.29695635780901797</c:v>
                </c:pt>
                <c:pt idx="17">
                  <c:v>-0.59920708442393</c:v>
                </c:pt>
                <c:pt idx="18">
                  <c:v>-1.82094734007341</c:v>
                </c:pt>
              </c:numCache>
            </c:numRef>
          </c:val>
        </c:ser>
        <c:gapWidth val="70"/>
        <c:overlap val="90"/>
        <c:axId val="180995584"/>
        <c:axId val="180997120"/>
      </c:barChart>
      <c:catAx>
        <c:axId val="180995584"/>
        <c:scaling>
          <c:orientation val="minMax"/>
        </c:scaling>
        <c:delete val="1"/>
        <c:axPos val="b"/>
        <c:tickLblPos val="nextTo"/>
        <c:crossAx val="180997120"/>
        <c:crosses val="autoZero"/>
        <c:lblAlgn val="ctr"/>
        <c:lblOffset val="100"/>
      </c:catAx>
      <c:valAx>
        <c:axId val="180997120"/>
        <c:scaling>
          <c:orientation val="minMax"/>
          <c:max val="1000000"/>
          <c:min val="-0.1"/>
        </c:scaling>
        <c:delete val="1"/>
        <c:axPos val="l"/>
        <c:numFmt formatCode="\(0.0\↑\);\(0.0\↓\)" sourceLinked="1"/>
        <c:tickLblPos val="nextTo"/>
        <c:crossAx val="180995584"/>
        <c:crosses val="autoZero"/>
        <c:crossBetween val="between"/>
      </c:valAx>
      <c:spPr>
        <a:solidFill>
          <a:srgbClr val="FFFFFF">
            <a:alpha val="0"/>
          </a:srgbClr>
        </a:solidFill>
        <a:ln w="25400">
          <a:noFill/>
        </a:ln>
      </c:spPr>
    </c:plotArea>
    <c:plotVisOnly val="1"/>
    <c:dispBlanksAs val="gap"/>
  </c:chart>
  <c:spPr>
    <a:noFill/>
    <a:ln w="9525">
      <a:noFill/>
    </a:ln>
    <a:effectLst>
      <a:outerShdw blurRad="50800" dist="50800" dir="5400000" algn="ctr" rotWithShape="0">
        <a:srgbClr val="000000"/>
      </a:outerShdw>
    </a:effectLst>
  </c:spPr>
  <c:txPr>
    <a:bodyPr/>
    <a:lstStyle/>
    <a:p>
      <a:pPr>
        <a:defRPr sz="8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433" r="0.75000000000000433" t="1" header="0.5" footer="0.5"/>
    <c:pageSetup/>
  </c:printSettings>
</c:chartSpac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4</xdr:row>
      <xdr:rowOff>28575</xdr:rowOff>
    </xdr:from>
    <xdr:to>
      <xdr:col>2</xdr:col>
      <xdr:colOff>381001</xdr:colOff>
      <xdr:row>24</xdr:row>
      <xdr:rowOff>28575</xdr:rowOff>
    </xdr:to>
    <xdr:sp macro="" textlink="">
      <xdr:nvSpPr>
        <xdr:cNvPr id="2" name="Rectangle 27"/>
        <xdr:cNvSpPr>
          <a:spLocks noChangeArrowheads="1"/>
        </xdr:cNvSpPr>
      </xdr:nvSpPr>
      <xdr:spPr bwMode="auto">
        <a:xfrm>
          <a:off x="142876" y="666750"/>
          <a:ext cx="342900" cy="3171825"/>
        </a:xfrm>
        <a:prstGeom prst="rect">
          <a:avLst/>
        </a:prstGeom>
        <a:gradFill rotWithShape="1">
          <a:gsLst>
            <a:gs pos="0">
              <a:srgbClr val="EAEAEA"/>
            </a:gs>
            <a:gs pos="100000">
              <a:srgbClr val="FFFFFF"/>
            </a:gs>
          </a:gsLst>
          <a:lin ang="2700000" scaled="1"/>
        </a:gradFill>
        <a:ln w="9525" algn="ctr">
          <a:noFill/>
          <a:miter lim="800000"/>
          <a:headEnd/>
          <a:tailEnd/>
        </a:ln>
        <a:effectLst>
          <a:outerShdw dist="17961" dir="2700000" algn="ctr" rotWithShape="0">
            <a:srgbClr val="EEECE1"/>
          </a:outerShdw>
        </a:effectLst>
      </xdr:spPr>
      <xdr:txBody>
        <a:bodyPr vertOverflow="clip" wrap="square" lIns="0" tIns="0" rIns="0" bIns="0" anchor="ctr" upright="1"/>
        <a:lstStyle/>
        <a:p>
          <a:pPr algn="ctr" rtl="0">
            <a:lnSpc>
              <a:spcPts val="1400"/>
            </a:lnSpc>
            <a:defRPr sz="1000"/>
          </a:pPr>
          <a:r>
            <a:rPr lang="ko-KR" altLang="en-US" sz="1200" b="1" i="0" u="none" strike="noStrike" baseline="0">
              <a:solidFill>
                <a:srgbClr val="000000"/>
              </a:solidFill>
              <a:latin typeface="+mn-ea"/>
              <a:ea typeface="+mn-ea"/>
            </a:rPr>
            <a:t>사</a:t>
          </a:r>
        </a:p>
        <a:p>
          <a:pPr algn="ctr" rtl="0">
            <a:lnSpc>
              <a:spcPts val="1400"/>
            </a:lnSpc>
            <a:defRPr sz="1000"/>
          </a:pPr>
          <a:endParaRPr lang="ko-KR" altLang="en-US" sz="1200" b="1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ctr" rtl="0">
            <a:lnSpc>
              <a:spcPts val="1400"/>
            </a:lnSpc>
            <a:defRPr sz="1000"/>
          </a:pPr>
          <a:r>
            <a:rPr lang="ko-KR" altLang="en-US" sz="1200" b="1" i="0" u="none" strike="noStrike" baseline="0">
              <a:solidFill>
                <a:srgbClr val="000000"/>
              </a:solidFill>
              <a:latin typeface="+mn-ea"/>
              <a:ea typeface="+mn-ea"/>
            </a:rPr>
            <a:t>업</a:t>
          </a:r>
        </a:p>
        <a:p>
          <a:pPr algn="ctr" rtl="0">
            <a:lnSpc>
              <a:spcPts val="1400"/>
            </a:lnSpc>
            <a:defRPr sz="1000"/>
          </a:pPr>
          <a:endParaRPr lang="ko-KR" altLang="en-US" sz="1200" b="1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ctr" rtl="0">
            <a:lnSpc>
              <a:spcPts val="1500"/>
            </a:lnSpc>
            <a:defRPr sz="1000"/>
          </a:pPr>
          <a:r>
            <a:rPr lang="ko-KR" altLang="en-US" sz="1200" b="1" i="0" u="none" strike="noStrike" baseline="0">
              <a:solidFill>
                <a:srgbClr val="000000"/>
              </a:solidFill>
              <a:latin typeface="+mn-ea"/>
              <a:ea typeface="+mn-ea"/>
            </a:rPr>
            <a:t>실</a:t>
          </a:r>
        </a:p>
        <a:p>
          <a:pPr algn="ctr" rtl="0">
            <a:lnSpc>
              <a:spcPts val="1400"/>
            </a:lnSpc>
            <a:defRPr sz="1000"/>
          </a:pPr>
          <a:endParaRPr lang="ko-KR" altLang="en-US" sz="1200" b="1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ctr" rtl="0">
            <a:lnSpc>
              <a:spcPts val="1400"/>
            </a:lnSpc>
            <a:defRPr sz="1000"/>
          </a:pPr>
          <a:r>
            <a:rPr lang="ko-KR" altLang="en-US" sz="1200" b="1" i="0" u="none" strike="noStrike" baseline="0">
              <a:solidFill>
                <a:srgbClr val="000000"/>
              </a:solidFill>
              <a:latin typeface="+mn-ea"/>
              <a:ea typeface="+mn-ea"/>
            </a:rPr>
            <a:t>적</a:t>
          </a:r>
        </a:p>
      </xdr:txBody>
    </xdr:sp>
    <xdr:clientData/>
  </xdr:twoCellAnchor>
  <xdr:twoCellAnchor>
    <xdr:from>
      <xdr:col>2</xdr:col>
      <xdr:colOff>47626</xdr:colOff>
      <xdr:row>25</xdr:row>
      <xdr:rowOff>76200</xdr:rowOff>
    </xdr:from>
    <xdr:to>
      <xdr:col>2</xdr:col>
      <xdr:colOff>390526</xdr:colOff>
      <xdr:row>41</xdr:row>
      <xdr:rowOff>28575</xdr:rowOff>
    </xdr:to>
    <xdr:sp macro="" textlink="">
      <xdr:nvSpPr>
        <xdr:cNvPr id="3" name="Rectangle 27"/>
        <xdr:cNvSpPr>
          <a:spLocks noChangeArrowheads="1"/>
        </xdr:cNvSpPr>
      </xdr:nvSpPr>
      <xdr:spPr bwMode="auto">
        <a:xfrm>
          <a:off x="152401" y="3924300"/>
          <a:ext cx="342900" cy="2352675"/>
        </a:xfrm>
        <a:prstGeom prst="rect">
          <a:avLst/>
        </a:prstGeom>
        <a:gradFill rotWithShape="1">
          <a:gsLst>
            <a:gs pos="0">
              <a:srgbClr val="EAEAEA"/>
            </a:gs>
            <a:gs pos="100000">
              <a:srgbClr val="FFFFFF"/>
            </a:gs>
          </a:gsLst>
          <a:lin ang="2700000" scaled="1"/>
        </a:gradFill>
        <a:ln w="9525" algn="ctr">
          <a:noFill/>
          <a:miter lim="800000"/>
          <a:headEnd/>
          <a:tailEnd/>
        </a:ln>
        <a:effectLst>
          <a:outerShdw dist="17961" dir="2700000" algn="ctr" rotWithShape="0">
            <a:srgbClr val="EEECE1"/>
          </a:outerShdw>
        </a:effectLst>
      </xdr:spPr>
      <xdr:txBody>
        <a:bodyPr vertOverflow="clip" wrap="square" lIns="0" tIns="0" rIns="0" bIns="0" anchor="ctr" upright="1"/>
        <a:lstStyle/>
        <a:p>
          <a:pPr algn="ctr" rtl="0">
            <a:lnSpc>
              <a:spcPts val="1400"/>
            </a:lnSpc>
            <a:defRPr sz="1000"/>
          </a:pPr>
          <a:endParaRPr lang="en-US" altLang="ko-KR" sz="1200" b="1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ctr" rtl="0">
            <a:lnSpc>
              <a:spcPts val="1400"/>
            </a:lnSpc>
            <a:defRPr sz="1000"/>
          </a:pPr>
          <a:r>
            <a:rPr lang="ko-KR" altLang="en-US" sz="1200" b="1" i="0" u="none" strike="noStrike" baseline="0">
              <a:solidFill>
                <a:srgbClr val="000000"/>
              </a:solidFill>
              <a:latin typeface="+mn-ea"/>
              <a:ea typeface="+mn-ea"/>
            </a:rPr>
            <a:t>생</a:t>
          </a:r>
          <a:endParaRPr lang="en-US" altLang="ko-KR" sz="1200" b="1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ctr" rtl="0">
            <a:lnSpc>
              <a:spcPts val="1400"/>
            </a:lnSpc>
            <a:defRPr sz="1000"/>
          </a:pPr>
          <a:endParaRPr lang="ko-KR" altLang="en-US" sz="1200" b="1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ctr" rtl="0">
            <a:lnSpc>
              <a:spcPts val="1400"/>
            </a:lnSpc>
            <a:defRPr sz="1000"/>
          </a:pPr>
          <a:r>
            <a:rPr lang="ko-KR" altLang="en-US" sz="1200" b="1" i="0" u="none" strike="noStrike" baseline="0">
              <a:solidFill>
                <a:srgbClr val="000000"/>
              </a:solidFill>
              <a:latin typeface="+mn-ea"/>
              <a:ea typeface="+mn-ea"/>
            </a:rPr>
            <a:t>산</a:t>
          </a:r>
          <a:endParaRPr lang="en-US" altLang="ko-KR" sz="1200" b="1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ctr" rtl="0">
            <a:lnSpc>
              <a:spcPts val="1500"/>
            </a:lnSpc>
            <a:defRPr sz="1000"/>
          </a:pPr>
          <a:endParaRPr lang="ko-KR" altLang="en-US" sz="1200" b="1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ctr" rtl="0">
            <a:lnSpc>
              <a:spcPts val="1400"/>
            </a:lnSpc>
            <a:defRPr sz="1000"/>
          </a:pPr>
          <a:r>
            <a:rPr lang="ko-KR" altLang="en-US" sz="1200" b="1" i="0" u="none" strike="noStrike" baseline="0">
              <a:solidFill>
                <a:srgbClr val="000000"/>
              </a:solidFill>
              <a:latin typeface="+mn-ea"/>
              <a:ea typeface="+mn-ea"/>
            </a:rPr>
            <a:t>성</a:t>
          </a:r>
        </a:p>
        <a:p>
          <a:pPr algn="ctr" rtl="0">
            <a:lnSpc>
              <a:spcPts val="1400"/>
            </a:lnSpc>
            <a:defRPr sz="1000"/>
          </a:pPr>
          <a:endParaRPr lang="ko-KR" altLang="en-US" sz="1200" b="1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37</xdr:row>
      <xdr:rowOff>0</xdr:rowOff>
    </xdr:from>
    <xdr:to>
      <xdr:col>9</xdr:col>
      <xdr:colOff>352425</xdr:colOff>
      <xdr:row>37</xdr:row>
      <xdr:rowOff>0</xdr:rowOff>
    </xdr:to>
    <xdr:sp macro="" textlink="">
      <xdr:nvSpPr>
        <xdr:cNvPr id="2" name="Rectangle 27"/>
        <xdr:cNvSpPr>
          <a:spLocks noChangeArrowheads="1"/>
        </xdr:cNvSpPr>
      </xdr:nvSpPr>
      <xdr:spPr bwMode="auto">
        <a:xfrm>
          <a:off x="142875" y="5267325"/>
          <a:ext cx="314325" cy="0"/>
        </a:xfrm>
        <a:prstGeom prst="rect">
          <a:avLst/>
        </a:prstGeom>
        <a:gradFill rotWithShape="1">
          <a:gsLst>
            <a:gs pos="0">
              <a:srgbClr val="EAEAEA"/>
            </a:gs>
            <a:gs pos="100000">
              <a:srgbClr val="FFFFFF"/>
            </a:gs>
          </a:gsLst>
          <a:lin ang="2700000" scaled="1"/>
        </a:gradFill>
        <a:ln w="9525" algn="ctr">
          <a:noFill/>
          <a:miter lim="800000"/>
          <a:headEnd/>
          <a:tailEnd/>
        </a:ln>
        <a:effectLst>
          <a:outerShdw dist="17961" dir="2700000" algn="ctr" rotWithShape="0">
            <a:srgbClr val="EEECE1"/>
          </a:outerShdw>
        </a:effec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ko-KR" altLang="en-US" sz="1400" b="1" i="0" u="none" strike="noStrike" baseline="0">
              <a:solidFill>
                <a:srgbClr val="000000"/>
              </a:solidFill>
              <a:latin typeface="돋움"/>
              <a:ea typeface="돋움"/>
            </a:rPr>
            <a:t>제</a:t>
          </a:r>
          <a:endParaRPr lang="ko-KR" altLang="en-US" sz="1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ko-KR" altLang="en-US" sz="1400" b="1" i="0" u="none" strike="noStrike" baseline="0">
              <a:solidFill>
                <a:srgbClr val="000000"/>
              </a:solidFill>
              <a:latin typeface="돋움"/>
              <a:ea typeface="돋움"/>
            </a:rPr>
            <a:t>품</a:t>
          </a:r>
          <a:endParaRPr lang="ko-KR" altLang="en-US" sz="1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ko-KR" altLang="en-US" sz="1400" b="1" i="0" u="none" strike="noStrike" baseline="0">
              <a:solidFill>
                <a:srgbClr val="000000"/>
              </a:solidFill>
              <a:latin typeface="돋움"/>
              <a:ea typeface="돋움"/>
            </a:rPr>
            <a:t>별</a:t>
          </a:r>
          <a:endParaRPr lang="ko-KR" altLang="en-US" sz="1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ko-KR" altLang="en-US" sz="1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ko-KR" altLang="en-US" sz="1400" b="1" i="0" u="none" strike="noStrike" baseline="0">
              <a:solidFill>
                <a:srgbClr val="000000"/>
              </a:solidFill>
              <a:latin typeface="돋움"/>
              <a:ea typeface="돋움"/>
            </a:rPr>
            <a:t>영업이익</a:t>
          </a:r>
        </a:p>
      </xdr:txBody>
    </xdr:sp>
    <xdr:clientData/>
  </xdr:twoCellAnchor>
  <xdr:twoCellAnchor>
    <xdr:from>
      <xdr:col>9</xdr:col>
      <xdr:colOff>38100</xdr:colOff>
      <xdr:row>38</xdr:row>
      <xdr:rowOff>0</xdr:rowOff>
    </xdr:from>
    <xdr:to>
      <xdr:col>9</xdr:col>
      <xdr:colOff>352425</xdr:colOff>
      <xdr:row>38</xdr:row>
      <xdr:rowOff>0</xdr:rowOff>
    </xdr:to>
    <xdr:sp macro="" textlink="">
      <xdr:nvSpPr>
        <xdr:cNvPr id="3" name="Rectangle 27"/>
        <xdr:cNvSpPr>
          <a:spLocks noChangeArrowheads="1"/>
        </xdr:cNvSpPr>
      </xdr:nvSpPr>
      <xdr:spPr bwMode="auto">
        <a:xfrm>
          <a:off x="6156512" y="7418294"/>
          <a:ext cx="314325" cy="0"/>
        </a:xfrm>
        <a:prstGeom prst="rect">
          <a:avLst/>
        </a:prstGeom>
        <a:gradFill rotWithShape="1">
          <a:gsLst>
            <a:gs pos="0">
              <a:srgbClr val="EAEAEA"/>
            </a:gs>
            <a:gs pos="100000">
              <a:srgbClr val="FFFFFF"/>
            </a:gs>
          </a:gsLst>
          <a:lin ang="2700000" scaled="1"/>
        </a:gradFill>
        <a:ln w="9525" algn="ctr">
          <a:noFill/>
          <a:miter lim="800000"/>
          <a:headEnd/>
          <a:tailEnd/>
        </a:ln>
        <a:effectLst>
          <a:outerShdw dist="17961" dir="2700000" algn="ctr" rotWithShape="0">
            <a:srgbClr val="EEECE1"/>
          </a:outerShdw>
        </a:effec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ko-KR" altLang="en-US" sz="1400" b="1" i="0" u="none" strike="noStrike" baseline="0">
              <a:solidFill>
                <a:srgbClr val="000000"/>
              </a:solidFill>
              <a:latin typeface="돋움"/>
              <a:ea typeface="돋움"/>
            </a:rPr>
            <a:t>제</a:t>
          </a:r>
          <a:endParaRPr lang="ko-KR" altLang="en-US" sz="1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ko-KR" altLang="en-US" sz="1400" b="1" i="0" u="none" strike="noStrike" baseline="0">
              <a:solidFill>
                <a:srgbClr val="000000"/>
              </a:solidFill>
              <a:latin typeface="돋움"/>
              <a:ea typeface="돋움"/>
            </a:rPr>
            <a:t>품</a:t>
          </a:r>
          <a:endParaRPr lang="ko-KR" altLang="en-US" sz="1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ko-KR" altLang="en-US" sz="1400" b="1" i="0" u="none" strike="noStrike" baseline="0">
              <a:solidFill>
                <a:srgbClr val="000000"/>
              </a:solidFill>
              <a:latin typeface="돋움"/>
              <a:ea typeface="돋움"/>
            </a:rPr>
            <a:t>별</a:t>
          </a:r>
          <a:endParaRPr lang="ko-KR" altLang="en-US" sz="1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ko-KR" altLang="en-US" sz="1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ko-KR" altLang="en-US" sz="1400" b="1" i="0" u="none" strike="noStrike" baseline="0">
              <a:solidFill>
                <a:srgbClr val="000000"/>
              </a:solidFill>
              <a:latin typeface="돋움"/>
              <a:ea typeface="돋움"/>
            </a:rPr>
            <a:t>영업이익</a:t>
          </a:r>
        </a:p>
      </xdr:txBody>
    </xdr:sp>
    <xdr:clientData/>
  </xdr:twoCellAnchor>
  <xdr:twoCellAnchor>
    <xdr:from>
      <xdr:col>8</xdr:col>
      <xdr:colOff>38101</xdr:colOff>
      <xdr:row>9</xdr:row>
      <xdr:rowOff>28575</xdr:rowOff>
    </xdr:from>
    <xdr:to>
      <xdr:col>8</xdr:col>
      <xdr:colOff>381001</xdr:colOff>
      <xdr:row>29</xdr:row>
      <xdr:rowOff>28575</xdr:rowOff>
    </xdr:to>
    <xdr:sp macro="" textlink="">
      <xdr:nvSpPr>
        <xdr:cNvPr id="11" name="Rectangle 27"/>
        <xdr:cNvSpPr>
          <a:spLocks noChangeArrowheads="1"/>
        </xdr:cNvSpPr>
      </xdr:nvSpPr>
      <xdr:spPr bwMode="auto">
        <a:xfrm>
          <a:off x="142876" y="666750"/>
          <a:ext cx="342900" cy="3171825"/>
        </a:xfrm>
        <a:prstGeom prst="rect">
          <a:avLst/>
        </a:prstGeom>
        <a:gradFill rotWithShape="1">
          <a:gsLst>
            <a:gs pos="0">
              <a:srgbClr val="EAEAEA"/>
            </a:gs>
            <a:gs pos="100000">
              <a:srgbClr val="FFFFFF"/>
            </a:gs>
          </a:gsLst>
          <a:lin ang="2700000" scaled="1"/>
        </a:gradFill>
        <a:ln w="9525" algn="ctr">
          <a:noFill/>
          <a:miter lim="800000"/>
          <a:headEnd/>
          <a:tailEnd/>
        </a:ln>
        <a:effectLst>
          <a:outerShdw dist="17961" dir="2700000" algn="ctr" rotWithShape="0">
            <a:srgbClr val="EEECE1"/>
          </a:outerShdw>
        </a:effectLst>
      </xdr:spPr>
      <xdr:txBody>
        <a:bodyPr vertOverflow="clip" wrap="square" lIns="0" tIns="0" rIns="0" bIns="0" anchor="ctr" upright="1"/>
        <a:lstStyle/>
        <a:p>
          <a:pPr algn="ctr" rtl="0">
            <a:lnSpc>
              <a:spcPts val="1400"/>
            </a:lnSpc>
            <a:defRPr sz="1000"/>
          </a:pPr>
          <a:r>
            <a:rPr lang="ko-KR" altLang="en-US" sz="1200" b="1" i="0" u="none" strike="noStrike" baseline="0">
              <a:solidFill>
                <a:srgbClr val="000000"/>
              </a:solidFill>
              <a:latin typeface="+mn-ea"/>
              <a:ea typeface="+mn-ea"/>
            </a:rPr>
            <a:t>사</a:t>
          </a:r>
        </a:p>
        <a:p>
          <a:pPr algn="ctr" rtl="0">
            <a:lnSpc>
              <a:spcPts val="1400"/>
            </a:lnSpc>
            <a:defRPr sz="1000"/>
          </a:pPr>
          <a:endParaRPr lang="ko-KR" altLang="en-US" sz="1200" b="1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ctr" rtl="0">
            <a:lnSpc>
              <a:spcPts val="1400"/>
            </a:lnSpc>
            <a:defRPr sz="1000"/>
          </a:pPr>
          <a:r>
            <a:rPr lang="ko-KR" altLang="en-US" sz="1200" b="1" i="0" u="none" strike="noStrike" baseline="0">
              <a:solidFill>
                <a:srgbClr val="000000"/>
              </a:solidFill>
              <a:latin typeface="+mn-ea"/>
              <a:ea typeface="+mn-ea"/>
            </a:rPr>
            <a:t>업</a:t>
          </a:r>
        </a:p>
        <a:p>
          <a:pPr algn="ctr" rtl="0">
            <a:lnSpc>
              <a:spcPts val="1400"/>
            </a:lnSpc>
            <a:defRPr sz="1000"/>
          </a:pPr>
          <a:endParaRPr lang="ko-KR" altLang="en-US" sz="1200" b="1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ctr" rtl="0">
            <a:lnSpc>
              <a:spcPts val="1500"/>
            </a:lnSpc>
            <a:defRPr sz="1000"/>
          </a:pPr>
          <a:r>
            <a:rPr lang="ko-KR" altLang="en-US" sz="1200" b="1" i="0" u="none" strike="noStrike" baseline="0">
              <a:solidFill>
                <a:srgbClr val="000000"/>
              </a:solidFill>
              <a:latin typeface="+mn-ea"/>
              <a:ea typeface="+mn-ea"/>
            </a:rPr>
            <a:t>실</a:t>
          </a:r>
        </a:p>
        <a:p>
          <a:pPr algn="ctr" rtl="0">
            <a:lnSpc>
              <a:spcPts val="1400"/>
            </a:lnSpc>
            <a:defRPr sz="1000"/>
          </a:pPr>
          <a:endParaRPr lang="ko-KR" altLang="en-US" sz="1200" b="1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ctr" rtl="0">
            <a:lnSpc>
              <a:spcPts val="1400"/>
            </a:lnSpc>
            <a:defRPr sz="1000"/>
          </a:pPr>
          <a:r>
            <a:rPr lang="ko-KR" altLang="en-US" sz="1200" b="1" i="0" u="none" strike="noStrike" baseline="0">
              <a:solidFill>
                <a:srgbClr val="000000"/>
              </a:solidFill>
              <a:latin typeface="+mn-ea"/>
              <a:ea typeface="+mn-ea"/>
            </a:rPr>
            <a:t>적</a:t>
          </a:r>
        </a:p>
      </xdr:txBody>
    </xdr:sp>
    <xdr:clientData/>
  </xdr:twoCellAnchor>
  <xdr:twoCellAnchor>
    <xdr:from>
      <xdr:col>8</xdr:col>
      <xdr:colOff>47626</xdr:colOff>
      <xdr:row>30</xdr:row>
      <xdr:rowOff>76200</xdr:rowOff>
    </xdr:from>
    <xdr:to>
      <xdr:col>8</xdr:col>
      <xdr:colOff>390526</xdr:colOff>
      <xdr:row>46</xdr:row>
      <xdr:rowOff>28575</xdr:rowOff>
    </xdr:to>
    <xdr:sp macro="" textlink="">
      <xdr:nvSpPr>
        <xdr:cNvPr id="12" name="Rectangle 27"/>
        <xdr:cNvSpPr>
          <a:spLocks noChangeArrowheads="1"/>
        </xdr:cNvSpPr>
      </xdr:nvSpPr>
      <xdr:spPr bwMode="auto">
        <a:xfrm>
          <a:off x="152401" y="3924300"/>
          <a:ext cx="342900" cy="2352675"/>
        </a:xfrm>
        <a:prstGeom prst="rect">
          <a:avLst/>
        </a:prstGeom>
        <a:gradFill rotWithShape="1">
          <a:gsLst>
            <a:gs pos="0">
              <a:srgbClr val="EAEAEA"/>
            </a:gs>
            <a:gs pos="100000">
              <a:srgbClr val="FFFFFF"/>
            </a:gs>
          </a:gsLst>
          <a:lin ang="2700000" scaled="1"/>
        </a:gradFill>
        <a:ln w="9525" algn="ctr">
          <a:noFill/>
          <a:miter lim="800000"/>
          <a:headEnd/>
          <a:tailEnd/>
        </a:ln>
        <a:effectLst>
          <a:outerShdw dist="17961" dir="2700000" algn="ctr" rotWithShape="0">
            <a:srgbClr val="EEECE1"/>
          </a:outerShdw>
        </a:effectLst>
      </xdr:spPr>
      <xdr:txBody>
        <a:bodyPr vertOverflow="clip" wrap="square" lIns="0" tIns="0" rIns="0" bIns="0" anchor="ctr" upright="1"/>
        <a:lstStyle/>
        <a:p>
          <a:pPr algn="ctr" rtl="0">
            <a:lnSpc>
              <a:spcPts val="1400"/>
            </a:lnSpc>
            <a:defRPr sz="1000"/>
          </a:pPr>
          <a:endParaRPr lang="en-US" altLang="ko-KR" sz="1200" b="1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ctr" rtl="0">
            <a:lnSpc>
              <a:spcPts val="1400"/>
            </a:lnSpc>
            <a:defRPr sz="1000"/>
          </a:pPr>
          <a:r>
            <a:rPr lang="ko-KR" altLang="en-US" sz="1200" b="1" i="0" u="none" strike="noStrike" baseline="0">
              <a:solidFill>
                <a:srgbClr val="000000"/>
              </a:solidFill>
              <a:latin typeface="+mn-ea"/>
              <a:ea typeface="+mn-ea"/>
            </a:rPr>
            <a:t>생</a:t>
          </a:r>
          <a:endParaRPr lang="en-US" altLang="ko-KR" sz="1200" b="1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ctr" rtl="0">
            <a:lnSpc>
              <a:spcPts val="1400"/>
            </a:lnSpc>
            <a:defRPr sz="1000"/>
          </a:pPr>
          <a:endParaRPr lang="ko-KR" altLang="en-US" sz="1200" b="1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ctr" rtl="0">
            <a:lnSpc>
              <a:spcPts val="1400"/>
            </a:lnSpc>
            <a:defRPr sz="1000"/>
          </a:pPr>
          <a:r>
            <a:rPr lang="ko-KR" altLang="en-US" sz="1200" b="1" i="0" u="none" strike="noStrike" baseline="0">
              <a:solidFill>
                <a:srgbClr val="000000"/>
              </a:solidFill>
              <a:latin typeface="+mn-ea"/>
              <a:ea typeface="+mn-ea"/>
            </a:rPr>
            <a:t>산</a:t>
          </a:r>
          <a:endParaRPr lang="en-US" altLang="ko-KR" sz="1200" b="1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ctr" rtl="0">
            <a:lnSpc>
              <a:spcPts val="1500"/>
            </a:lnSpc>
            <a:defRPr sz="1000"/>
          </a:pPr>
          <a:endParaRPr lang="ko-KR" altLang="en-US" sz="1200" b="1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ctr" rtl="0">
            <a:lnSpc>
              <a:spcPts val="1400"/>
            </a:lnSpc>
            <a:defRPr sz="1000"/>
          </a:pPr>
          <a:r>
            <a:rPr lang="ko-KR" altLang="en-US" sz="1200" b="1" i="0" u="none" strike="noStrike" baseline="0">
              <a:solidFill>
                <a:srgbClr val="000000"/>
              </a:solidFill>
              <a:latin typeface="+mn-ea"/>
              <a:ea typeface="+mn-ea"/>
            </a:rPr>
            <a:t>성</a:t>
          </a:r>
        </a:p>
        <a:p>
          <a:pPr algn="ctr" rtl="0">
            <a:lnSpc>
              <a:spcPts val="1400"/>
            </a:lnSpc>
            <a:defRPr sz="1000"/>
          </a:pPr>
          <a:endParaRPr lang="ko-KR" altLang="en-US" sz="1200" b="1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403412</xdr:colOff>
      <xdr:row>1</xdr:row>
      <xdr:rowOff>78441</xdr:rowOff>
    </xdr:from>
    <xdr:to>
      <xdr:col>7</xdr:col>
      <xdr:colOff>1143000</xdr:colOff>
      <xdr:row>6</xdr:row>
      <xdr:rowOff>44824</xdr:rowOff>
    </xdr:to>
    <xdr:sp macro="" textlink="">
      <xdr:nvSpPr>
        <xdr:cNvPr id="2" name="직사각형 1"/>
        <xdr:cNvSpPr/>
      </xdr:nvSpPr>
      <xdr:spPr>
        <a:xfrm>
          <a:off x="403412" y="291353"/>
          <a:ext cx="3238500" cy="1042147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가격성판촉율 </a:t>
          </a:r>
          <a:r>
            <a:rPr lang="en-US" altLang="ko-KR" sz="1100"/>
            <a:t>= SALES_DEDUCTION * -1 </a:t>
          </a:r>
        </a:p>
        <a:p>
          <a:pPr algn="ctr"/>
          <a:r>
            <a:rPr lang="en-US" altLang="ko-KR" sz="1100"/>
            <a:t>/ </a:t>
          </a:r>
        </a:p>
        <a:p>
          <a:pPr algn="ctr"/>
          <a:r>
            <a:rPr lang="en-US" altLang="ko-KR" sz="1100"/>
            <a:t>(SALE - SALES_DEDUCTION)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3</xdr:row>
      <xdr:rowOff>95251</xdr:rowOff>
    </xdr:from>
    <xdr:to>
      <xdr:col>3</xdr:col>
      <xdr:colOff>0</xdr:colOff>
      <xdr:row>22</xdr:row>
      <xdr:rowOff>28576</xdr:rowOff>
    </xdr:to>
    <xdr:sp macro="" textlink="">
      <xdr:nvSpPr>
        <xdr:cNvPr id="2" name="Rectangle 27"/>
        <xdr:cNvSpPr>
          <a:spLocks noChangeArrowheads="1"/>
        </xdr:cNvSpPr>
      </xdr:nvSpPr>
      <xdr:spPr bwMode="auto">
        <a:xfrm>
          <a:off x="152400" y="704851"/>
          <a:ext cx="466725" cy="3790950"/>
        </a:xfrm>
        <a:prstGeom prst="rect">
          <a:avLst/>
        </a:prstGeom>
        <a:gradFill rotWithShape="1">
          <a:gsLst>
            <a:gs pos="0">
              <a:srgbClr val="EAEAEA"/>
            </a:gs>
            <a:gs pos="100000">
              <a:srgbClr val="FFFFFF"/>
            </a:gs>
          </a:gsLst>
          <a:lin ang="2700000" scaled="1"/>
        </a:gradFill>
        <a:ln w="9525" algn="ctr">
          <a:noFill/>
          <a:miter lim="800000"/>
          <a:headEnd/>
          <a:tailEnd/>
        </a:ln>
        <a:effectLst>
          <a:outerShdw dist="17961" dir="2700000" algn="ctr" rotWithShape="0">
            <a:srgbClr val="EEECE1"/>
          </a:outerShdw>
        </a:effectLst>
      </xdr:spPr>
      <xdr:txBody>
        <a:bodyPr vertOverflow="clip" wrap="square" lIns="0" tIns="0" rIns="0" bIns="0" anchor="ctr" upright="1"/>
        <a:lstStyle/>
        <a:p>
          <a:pPr algn="ctr" rtl="1">
            <a:lnSpc>
              <a:spcPts val="1400"/>
            </a:lnSpc>
            <a:defRPr sz="1000"/>
          </a:pPr>
          <a:r>
            <a:rPr lang="ko-KR" altLang="en-US" sz="1400" b="1" i="0" strike="noStrike">
              <a:solidFill>
                <a:srgbClr val="000000"/>
              </a:solidFill>
              <a:latin typeface="+mn-ea"/>
              <a:ea typeface="+mn-ea"/>
            </a:rPr>
            <a:t>전</a:t>
          </a:r>
        </a:p>
        <a:p>
          <a:pPr algn="ctr" rtl="1">
            <a:lnSpc>
              <a:spcPts val="1400"/>
            </a:lnSpc>
            <a:defRPr sz="1000"/>
          </a:pPr>
          <a:endParaRPr lang="ko-KR" altLang="en-US" sz="1400" b="1" i="0" strike="noStrike">
            <a:solidFill>
              <a:srgbClr val="000000"/>
            </a:solidFill>
            <a:latin typeface="+mn-ea"/>
            <a:ea typeface="+mn-ea"/>
          </a:endParaRPr>
        </a:p>
        <a:p>
          <a:pPr algn="ctr" rtl="1">
            <a:lnSpc>
              <a:spcPts val="1400"/>
            </a:lnSpc>
            <a:defRPr sz="1000"/>
          </a:pPr>
          <a:r>
            <a:rPr lang="ko-KR" altLang="en-US" sz="1400" b="1" i="0" strike="noStrike">
              <a:solidFill>
                <a:srgbClr val="000000"/>
              </a:solidFill>
              <a:latin typeface="+mn-ea"/>
              <a:ea typeface="+mn-ea"/>
            </a:rPr>
            <a:t>체</a:t>
          </a:r>
        </a:p>
      </xdr:txBody>
    </xdr:sp>
    <xdr:clientData/>
  </xdr:twoCellAnchor>
  <xdr:twoCellAnchor>
    <xdr:from>
      <xdr:col>2</xdr:col>
      <xdr:colOff>47625</xdr:colOff>
      <xdr:row>23</xdr:row>
      <xdr:rowOff>76201</xdr:rowOff>
    </xdr:from>
    <xdr:to>
      <xdr:col>2</xdr:col>
      <xdr:colOff>514350</xdr:colOff>
      <xdr:row>32</xdr:row>
      <xdr:rowOff>1</xdr:rowOff>
    </xdr:to>
    <xdr:sp macro="" textlink="">
      <xdr:nvSpPr>
        <xdr:cNvPr id="3" name="Rectangle 27"/>
        <xdr:cNvSpPr>
          <a:spLocks noChangeArrowheads="1"/>
        </xdr:cNvSpPr>
      </xdr:nvSpPr>
      <xdr:spPr bwMode="auto">
        <a:xfrm>
          <a:off x="161925" y="4638676"/>
          <a:ext cx="457200" cy="1524000"/>
        </a:xfrm>
        <a:prstGeom prst="rect">
          <a:avLst/>
        </a:prstGeom>
        <a:gradFill rotWithShape="1">
          <a:gsLst>
            <a:gs pos="0">
              <a:srgbClr val="EAEAEA"/>
            </a:gs>
            <a:gs pos="100000">
              <a:srgbClr val="FFFFFF"/>
            </a:gs>
          </a:gsLst>
          <a:lin ang="2700000" scaled="1"/>
        </a:gradFill>
        <a:ln w="9525" algn="ctr">
          <a:noFill/>
          <a:miter lim="800000"/>
          <a:headEnd/>
          <a:tailEnd/>
        </a:ln>
        <a:effectLst>
          <a:outerShdw dist="17961" dir="2700000" algn="ctr" rotWithShape="0">
            <a:srgbClr val="EEECE1"/>
          </a:outerShdw>
        </a:effectLst>
      </xdr:spPr>
      <xdr:txBody>
        <a:bodyPr vertOverflow="clip" wrap="square" lIns="0" tIns="0" rIns="0" bIns="0" anchor="ctr" upright="1"/>
        <a:lstStyle/>
        <a:p>
          <a:pPr algn="ctr" rtl="1">
            <a:lnSpc>
              <a:spcPts val="1400"/>
            </a:lnSpc>
            <a:defRPr sz="1000"/>
          </a:pPr>
          <a:r>
            <a:rPr lang="ko-KR" altLang="en-US" sz="1400" b="1" i="0" strike="noStrike">
              <a:solidFill>
                <a:srgbClr val="000000"/>
              </a:solidFill>
              <a:latin typeface="+mn-ea"/>
              <a:ea typeface="+mn-ea"/>
            </a:rPr>
            <a:t>재고</a:t>
          </a:r>
        </a:p>
        <a:p>
          <a:pPr algn="ctr" rtl="1">
            <a:lnSpc>
              <a:spcPts val="1400"/>
            </a:lnSpc>
            <a:defRPr sz="1000"/>
          </a:pPr>
          <a:r>
            <a:rPr lang="ko-KR" altLang="en-US" sz="1400" b="1" i="0" strike="noStrike">
              <a:solidFill>
                <a:srgbClr val="000000"/>
              </a:solidFill>
              <a:latin typeface="+mn-ea"/>
              <a:ea typeface="+mn-ea"/>
            </a:rPr>
            <a:t>과다</a:t>
          </a:r>
        </a:p>
        <a:p>
          <a:pPr algn="ctr" rtl="1">
            <a:lnSpc>
              <a:spcPts val="1400"/>
            </a:lnSpc>
            <a:defRPr sz="1000"/>
          </a:pPr>
          <a:r>
            <a:rPr lang="en-US" altLang="ko-KR" sz="1400" b="1" i="0" strike="noStrike">
              <a:solidFill>
                <a:srgbClr val="000000"/>
              </a:solidFill>
              <a:latin typeface="+mn-ea"/>
              <a:ea typeface="+mn-ea"/>
            </a:rPr>
            <a:t>/</a:t>
          </a:r>
        </a:p>
        <a:p>
          <a:pPr algn="ctr" rtl="1">
            <a:lnSpc>
              <a:spcPts val="1500"/>
            </a:lnSpc>
            <a:defRPr sz="1000"/>
          </a:pPr>
          <a:r>
            <a:rPr lang="ko-KR" altLang="en-US" sz="1400" b="1" i="0" strike="noStrike">
              <a:solidFill>
                <a:srgbClr val="000000"/>
              </a:solidFill>
              <a:latin typeface="+mn-ea"/>
              <a:ea typeface="+mn-ea"/>
            </a:rPr>
            <a:t>재고</a:t>
          </a:r>
        </a:p>
        <a:p>
          <a:pPr algn="ctr" rtl="1">
            <a:lnSpc>
              <a:spcPts val="1400"/>
            </a:lnSpc>
            <a:defRPr sz="1000"/>
          </a:pPr>
          <a:r>
            <a:rPr lang="ko-KR" altLang="en-US" sz="1400" b="1" i="0" strike="noStrike">
              <a:solidFill>
                <a:srgbClr val="000000"/>
              </a:solidFill>
              <a:latin typeface="+mn-ea"/>
              <a:ea typeface="+mn-ea"/>
            </a:rPr>
            <a:t>부족</a:t>
          </a:r>
        </a:p>
      </xdr:txBody>
    </xdr:sp>
    <xdr:clientData/>
  </xdr:twoCellAnchor>
  <xdr:twoCellAnchor>
    <xdr:from>
      <xdr:col>2</xdr:col>
      <xdr:colOff>38100</xdr:colOff>
      <xdr:row>34</xdr:row>
      <xdr:rowOff>0</xdr:rowOff>
    </xdr:from>
    <xdr:to>
      <xdr:col>2</xdr:col>
      <xdr:colOff>504825</xdr:colOff>
      <xdr:row>37</xdr:row>
      <xdr:rowOff>7327</xdr:rowOff>
    </xdr:to>
    <xdr:sp macro="" textlink="">
      <xdr:nvSpPr>
        <xdr:cNvPr id="4" name="Rectangle 27"/>
        <xdr:cNvSpPr>
          <a:spLocks noChangeArrowheads="1"/>
        </xdr:cNvSpPr>
      </xdr:nvSpPr>
      <xdr:spPr bwMode="auto">
        <a:xfrm>
          <a:off x="152400" y="6267450"/>
          <a:ext cx="466725" cy="559777"/>
        </a:xfrm>
        <a:prstGeom prst="rect">
          <a:avLst/>
        </a:prstGeom>
        <a:gradFill rotWithShape="1">
          <a:gsLst>
            <a:gs pos="0">
              <a:srgbClr val="EAEAEA"/>
            </a:gs>
            <a:gs pos="100000">
              <a:srgbClr val="FFFFFF"/>
            </a:gs>
          </a:gsLst>
          <a:lin ang="2700000" scaled="1"/>
        </a:gradFill>
        <a:ln w="9525" algn="ctr">
          <a:noFill/>
          <a:miter lim="800000"/>
          <a:headEnd/>
          <a:tailEnd/>
        </a:ln>
        <a:effectLst>
          <a:outerShdw dist="17961" dir="2700000" algn="ctr" rotWithShape="0">
            <a:srgbClr val="EEECE1"/>
          </a:outerShdw>
        </a:effectLst>
      </xdr:spPr>
      <xdr:txBody>
        <a:bodyPr vertOverflow="clip" wrap="square" lIns="0" tIns="0" rIns="0" bIns="0" anchor="ctr" upright="1"/>
        <a:lstStyle/>
        <a:p>
          <a:pPr algn="ctr" rtl="1">
            <a:lnSpc>
              <a:spcPts val="1800"/>
            </a:lnSpc>
            <a:defRPr sz="1000"/>
          </a:pPr>
          <a:r>
            <a:rPr lang="ko-KR" altLang="en-US" sz="1200" b="1" i="0" strike="noStrike">
              <a:solidFill>
                <a:srgbClr val="000000"/>
              </a:solidFill>
              <a:latin typeface="+mn-ea"/>
              <a:ea typeface="+mn-ea"/>
            </a:rPr>
            <a:t>장기</a:t>
          </a:r>
          <a:r>
            <a:rPr lang="en-US" altLang="ko-KR" sz="1200" b="1" i="0" strike="noStrike">
              <a:solidFill>
                <a:srgbClr val="000000"/>
              </a:solidFill>
              <a:latin typeface="+mn-ea"/>
              <a:ea typeface="+mn-ea"/>
            </a:rPr>
            <a:t/>
          </a:r>
          <a:br>
            <a:rPr lang="en-US" altLang="ko-KR" sz="1200" b="1" i="0" strike="noStrike">
              <a:solidFill>
                <a:srgbClr val="000000"/>
              </a:solidFill>
              <a:latin typeface="+mn-ea"/>
              <a:ea typeface="+mn-ea"/>
            </a:rPr>
          </a:br>
          <a:r>
            <a:rPr lang="ko-KR" altLang="en-US" sz="1200" b="1" i="0" strike="noStrike">
              <a:solidFill>
                <a:srgbClr val="000000"/>
              </a:solidFill>
              <a:latin typeface="+mn-ea"/>
              <a:ea typeface="+mn-ea"/>
            </a:rPr>
            <a:t>재고율</a:t>
          </a:r>
          <a:endParaRPr lang="en-US" altLang="ko-KR" sz="1200" b="1" i="0" strike="noStrike">
            <a:solidFill>
              <a:srgbClr val="000000"/>
            </a:solidFill>
            <a:latin typeface="+mn-ea"/>
            <a:ea typeface="+mn-ea"/>
          </a:endParaRPr>
        </a:p>
        <a:p>
          <a:pPr algn="ctr" rtl="1">
            <a:lnSpc>
              <a:spcPts val="1100"/>
            </a:lnSpc>
            <a:defRPr sz="1000"/>
          </a:pPr>
          <a:r>
            <a:rPr lang="en-US" altLang="ko-KR" sz="1200" b="0" i="0" strike="noStrike">
              <a:solidFill>
                <a:srgbClr val="000000"/>
              </a:solidFill>
              <a:latin typeface="+mn-ea"/>
              <a:ea typeface="+mn-ea"/>
            </a:rPr>
            <a:t>(%)</a:t>
          </a:r>
        </a:p>
      </xdr:txBody>
    </xdr:sp>
    <xdr:clientData/>
  </xdr:twoCellAnchor>
  <xdr:twoCellAnchor>
    <xdr:from>
      <xdr:col>5</xdr:col>
      <xdr:colOff>171450</xdr:colOff>
      <xdr:row>15</xdr:row>
      <xdr:rowOff>152400</xdr:rowOff>
    </xdr:from>
    <xdr:to>
      <xdr:col>24</xdr:col>
      <xdr:colOff>238125</xdr:colOff>
      <xdr:row>17</xdr:row>
      <xdr:rowOff>333375</xdr:rowOff>
    </xdr:to>
    <xdr:graphicFrame macro="">
      <xdr:nvGraphicFramePr>
        <xdr:cNvPr id="5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0</xdr:colOff>
      <xdr:row>17</xdr:row>
      <xdr:rowOff>142875</xdr:rowOff>
    </xdr:from>
    <xdr:to>
      <xdr:col>8</xdr:col>
      <xdr:colOff>0</xdr:colOff>
      <xdr:row>17</xdr:row>
      <xdr:rowOff>322489</xdr:rowOff>
    </xdr:to>
    <xdr:sp macro="" textlink="I18">
      <xdr:nvSpPr>
        <xdr:cNvPr id="8" name="Text Box 10"/>
        <xdr:cNvSpPr txBox="1">
          <a:spLocks noChangeArrowheads="1"/>
        </xdr:cNvSpPr>
      </xdr:nvSpPr>
      <xdr:spPr bwMode="auto">
        <a:xfrm>
          <a:off x="3429000" y="3543300"/>
          <a:ext cx="0" cy="17961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fld id="{6FF1BFF4-A273-43A0-B15A-CB81D527C9FB}" type="TxLink">
            <a:rPr lang="pt-PT" sz="900" b="0" i="0" u="none" strike="noStrike">
              <a:solidFill>
                <a:srgbClr val="000000"/>
              </a:solidFill>
              <a:latin typeface="Arial"/>
              <a:cs typeface="Arial"/>
            </a:rPr>
            <a:pPr algn="ctr" rtl="1">
              <a:defRPr sz="1000"/>
            </a:pPr>
            <a:t>(0.1↓)</a:t>
          </a:fld>
          <a:endParaRPr lang="pt-PT" sz="9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23</xdr:col>
      <xdr:colOff>523875</xdr:colOff>
      <xdr:row>31</xdr:row>
      <xdr:rowOff>66675</xdr:rowOff>
    </xdr:from>
    <xdr:to>
      <xdr:col>24</xdr:col>
      <xdr:colOff>371474</xdr:colOff>
      <xdr:row>34</xdr:row>
      <xdr:rowOff>38100</xdr:rowOff>
    </xdr:to>
    <xdr:sp macro="" textlink="">
      <xdr:nvSpPr>
        <xdr:cNvPr id="21" name="Rectangle 27"/>
        <xdr:cNvSpPr>
          <a:spLocks noChangeArrowheads="1"/>
        </xdr:cNvSpPr>
      </xdr:nvSpPr>
      <xdr:spPr bwMode="auto">
        <a:xfrm>
          <a:off x="10744200" y="6019800"/>
          <a:ext cx="371474" cy="28575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lnSpc>
              <a:spcPts val="1500"/>
            </a:lnSpc>
            <a:defRPr sz="1000"/>
          </a:pPr>
          <a:r>
            <a:rPr lang="ko-KR" altLang="en-US" sz="900" b="1" i="0" u="none" strike="noStrike" baseline="0">
              <a:solidFill>
                <a:srgbClr val="006600"/>
              </a:solidFill>
              <a:latin typeface="+mn-ea"/>
              <a:ea typeface="+mn-ea"/>
            </a:rPr>
            <a:t>백만불</a:t>
          </a:r>
        </a:p>
      </xdr:txBody>
    </xdr:sp>
    <xdr:clientData/>
  </xdr:twoCellAnchor>
  <xdr:twoCellAnchor>
    <xdr:from>
      <xdr:col>5</xdr:col>
      <xdr:colOff>276225</xdr:colOff>
      <xdr:row>17</xdr:row>
      <xdr:rowOff>285750</xdr:rowOff>
    </xdr:from>
    <xdr:to>
      <xdr:col>24</xdr:col>
      <xdr:colOff>0</xdr:colOff>
      <xdr:row>17</xdr:row>
      <xdr:rowOff>285750</xdr:rowOff>
    </xdr:to>
    <xdr:sp macro="" textlink="">
      <xdr:nvSpPr>
        <xdr:cNvPr id="22" name="Line 53"/>
        <xdr:cNvSpPr>
          <a:spLocks noChangeShapeType="1"/>
        </xdr:cNvSpPr>
      </xdr:nvSpPr>
      <xdr:spPr bwMode="auto">
        <a:xfrm flipV="1">
          <a:off x="2105025" y="3686175"/>
          <a:ext cx="8639175" cy="0"/>
        </a:xfrm>
        <a:prstGeom prst="line">
          <a:avLst/>
        </a:prstGeom>
        <a:noFill/>
        <a:ln w="635">
          <a:solidFill>
            <a:srgbClr val="808080"/>
          </a:solidFill>
          <a:round/>
          <a:headEnd/>
          <a:tailEnd/>
        </a:ln>
      </xdr:spPr>
    </xdr:sp>
    <xdr:clientData/>
  </xdr:twoCellAnchor>
  <xdr:twoCellAnchor>
    <xdr:from>
      <xdr:col>6</xdr:col>
      <xdr:colOff>781050</xdr:colOff>
      <xdr:row>6</xdr:row>
      <xdr:rowOff>161925</xdr:rowOff>
    </xdr:from>
    <xdr:to>
      <xdr:col>6</xdr:col>
      <xdr:colOff>457200</xdr:colOff>
      <xdr:row>6</xdr:row>
      <xdr:rowOff>161925</xdr:rowOff>
    </xdr:to>
    <xdr:sp macro="" textlink="">
      <xdr:nvSpPr>
        <xdr:cNvPr id="28" name="Line 1347"/>
        <xdr:cNvSpPr>
          <a:spLocks noChangeShapeType="1"/>
        </xdr:cNvSpPr>
      </xdr:nvSpPr>
      <xdr:spPr bwMode="auto">
        <a:xfrm>
          <a:off x="2971800" y="1314450"/>
          <a:ext cx="0" cy="0"/>
        </a:xfrm>
        <a:prstGeom prst="line">
          <a:avLst/>
        </a:prstGeom>
        <a:noFill/>
        <a:ln w="9525">
          <a:solidFill>
            <a:srgbClr val="008000"/>
          </a:solidFill>
          <a:round/>
          <a:headEnd/>
          <a:tailEnd/>
        </a:ln>
      </xdr:spPr>
    </xdr:sp>
    <xdr:clientData/>
  </xdr:twoCellAnchor>
  <xdr:twoCellAnchor>
    <xdr:from>
      <xdr:col>7</xdr:col>
      <xdr:colOff>781050</xdr:colOff>
      <xdr:row>6</xdr:row>
      <xdr:rowOff>161925</xdr:rowOff>
    </xdr:from>
    <xdr:to>
      <xdr:col>7</xdr:col>
      <xdr:colOff>457200</xdr:colOff>
      <xdr:row>6</xdr:row>
      <xdr:rowOff>161925</xdr:rowOff>
    </xdr:to>
    <xdr:sp macro="" textlink="">
      <xdr:nvSpPr>
        <xdr:cNvPr id="29" name="Line 1347"/>
        <xdr:cNvSpPr>
          <a:spLocks noChangeShapeType="1"/>
        </xdr:cNvSpPr>
      </xdr:nvSpPr>
      <xdr:spPr bwMode="auto">
        <a:xfrm>
          <a:off x="3429000" y="1314450"/>
          <a:ext cx="0" cy="0"/>
        </a:xfrm>
        <a:prstGeom prst="line">
          <a:avLst/>
        </a:prstGeom>
        <a:noFill/>
        <a:ln w="9525">
          <a:solidFill>
            <a:srgbClr val="008000"/>
          </a:solidFill>
          <a:round/>
          <a:headEnd/>
          <a:tailEnd/>
        </a:ln>
      </xdr:spPr>
    </xdr:sp>
    <xdr:clientData/>
  </xdr:twoCellAnchor>
  <xdr:twoCellAnchor>
    <xdr:from>
      <xdr:col>8</xdr:col>
      <xdr:colOff>781050</xdr:colOff>
      <xdr:row>6</xdr:row>
      <xdr:rowOff>161925</xdr:rowOff>
    </xdr:from>
    <xdr:to>
      <xdr:col>8</xdr:col>
      <xdr:colOff>457200</xdr:colOff>
      <xdr:row>6</xdr:row>
      <xdr:rowOff>161925</xdr:rowOff>
    </xdr:to>
    <xdr:sp macro="" textlink="">
      <xdr:nvSpPr>
        <xdr:cNvPr id="30" name="Line 1347"/>
        <xdr:cNvSpPr>
          <a:spLocks noChangeShapeType="1"/>
        </xdr:cNvSpPr>
      </xdr:nvSpPr>
      <xdr:spPr bwMode="auto">
        <a:xfrm>
          <a:off x="3886200" y="1314450"/>
          <a:ext cx="0" cy="0"/>
        </a:xfrm>
        <a:prstGeom prst="line">
          <a:avLst/>
        </a:prstGeom>
        <a:noFill/>
        <a:ln w="9525">
          <a:solidFill>
            <a:srgbClr val="008000"/>
          </a:solidFill>
          <a:round/>
          <a:headEnd/>
          <a:tailEnd/>
        </a:ln>
      </xdr:spPr>
    </xdr:sp>
    <xdr:clientData/>
  </xdr:twoCellAnchor>
  <xdr:twoCellAnchor>
    <xdr:from>
      <xdr:col>9</xdr:col>
      <xdr:colOff>781050</xdr:colOff>
      <xdr:row>6</xdr:row>
      <xdr:rowOff>161925</xdr:rowOff>
    </xdr:from>
    <xdr:to>
      <xdr:col>9</xdr:col>
      <xdr:colOff>457200</xdr:colOff>
      <xdr:row>6</xdr:row>
      <xdr:rowOff>161925</xdr:rowOff>
    </xdr:to>
    <xdr:sp macro="" textlink="">
      <xdr:nvSpPr>
        <xdr:cNvPr id="31" name="Line 1347"/>
        <xdr:cNvSpPr>
          <a:spLocks noChangeShapeType="1"/>
        </xdr:cNvSpPr>
      </xdr:nvSpPr>
      <xdr:spPr bwMode="auto">
        <a:xfrm>
          <a:off x="4343400" y="1314450"/>
          <a:ext cx="0" cy="0"/>
        </a:xfrm>
        <a:prstGeom prst="line">
          <a:avLst/>
        </a:prstGeom>
        <a:noFill/>
        <a:ln w="9525">
          <a:solidFill>
            <a:srgbClr val="008000"/>
          </a:solidFill>
          <a:round/>
          <a:headEnd/>
          <a:tailEnd/>
        </a:ln>
      </xdr:spPr>
    </xdr:sp>
    <xdr:clientData/>
  </xdr:twoCellAnchor>
  <xdr:twoCellAnchor>
    <xdr:from>
      <xdr:col>10</xdr:col>
      <xdr:colOff>781050</xdr:colOff>
      <xdr:row>6</xdr:row>
      <xdr:rowOff>161925</xdr:rowOff>
    </xdr:from>
    <xdr:to>
      <xdr:col>10</xdr:col>
      <xdr:colOff>457200</xdr:colOff>
      <xdr:row>6</xdr:row>
      <xdr:rowOff>161925</xdr:rowOff>
    </xdr:to>
    <xdr:sp macro="" textlink="">
      <xdr:nvSpPr>
        <xdr:cNvPr id="32" name="Line 1347"/>
        <xdr:cNvSpPr>
          <a:spLocks noChangeShapeType="1"/>
        </xdr:cNvSpPr>
      </xdr:nvSpPr>
      <xdr:spPr bwMode="auto">
        <a:xfrm>
          <a:off x="4800600" y="1314450"/>
          <a:ext cx="0" cy="0"/>
        </a:xfrm>
        <a:prstGeom prst="line">
          <a:avLst/>
        </a:prstGeom>
        <a:noFill/>
        <a:ln w="9525">
          <a:solidFill>
            <a:srgbClr val="008000"/>
          </a:solidFill>
          <a:round/>
          <a:headEnd/>
          <a:tailEnd/>
        </a:ln>
      </xdr:spPr>
    </xdr:sp>
    <xdr:clientData/>
  </xdr:twoCellAnchor>
  <xdr:twoCellAnchor>
    <xdr:from>
      <xdr:col>11</xdr:col>
      <xdr:colOff>781050</xdr:colOff>
      <xdr:row>6</xdr:row>
      <xdr:rowOff>161925</xdr:rowOff>
    </xdr:from>
    <xdr:to>
      <xdr:col>11</xdr:col>
      <xdr:colOff>457200</xdr:colOff>
      <xdr:row>6</xdr:row>
      <xdr:rowOff>161925</xdr:rowOff>
    </xdr:to>
    <xdr:sp macro="" textlink="">
      <xdr:nvSpPr>
        <xdr:cNvPr id="33" name="Line 1347"/>
        <xdr:cNvSpPr>
          <a:spLocks noChangeShapeType="1"/>
        </xdr:cNvSpPr>
      </xdr:nvSpPr>
      <xdr:spPr bwMode="auto">
        <a:xfrm>
          <a:off x="5257800" y="1314450"/>
          <a:ext cx="0" cy="0"/>
        </a:xfrm>
        <a:prstGeom prst="line">
          <a:avLst/>
        </a:prstGeom>
        <a:noFill/>
        <a:ln w="9525">
          <a:solidFill>
            <a:srgbClr val="008000"/>
          </a:solidFill>
          <a:round/>
          <a:headEnd/>
          <a:tailEnd/>
        </a:ln>
      </xdr:spPr>
    </xdr:sp>
    <xdr:clientData/>
  </xdr:twoCellAnchor>
  <xdr:twoCellAnchor>
    <xdr:from>
      <xdr:col>12</xdr:col>
      <xdr:colOff>781050</xdr:colOff>
      <xdr:row>6</xdr:row>
      <xdr:rowOff>161925</xdr:rowOff>
    </xdr:from>
    <xdr:to>
      <xdr:col>12</xdr:col>
      <xdr:colOff>457200</xdr:colOff>
      <xdr:row>6</xdr:row>
      <xdr:rowOff>161925</xdr:rowOff>
    </xdr:to>
    <xdr:sp macro="" textlink="">
      <xdr:nvSpPr>
        <xdr:cNvPr id="34" name="Line 1347"/>
        <xdr:cNvSpPr>
          <a:spLocks noChangeShapeType="1"/>
        </xdr:cNvSpPr>
      </xdr:nvSpPr>
      <xdr:spPr bwMode="auto">
        <a:xfrm>
          <a:off x="5715000" y="1314450"/>
          <a:ext cx="0" cy="0"/>
        </a:xfrm>
        <a:prstGeom prst="line">
          <a:avLst/>
        </a:prstGeom>
        <a:noFill/>
        <a:ln w="9525">
          <a:solidFill>
            <a:srgbClr val="008000"/>
          </a:solidFill>
          <a:round/>
          <a:headEnd/>
          <a:tailEnd/>
        </a:ln>
      </xdr:spPr>
    </xdr:sp>
    <xdr:clientData/>
  </xdr:twoCellAnchor>
  <xdr:twoCellAnchor>
    <xdr:from>
      <xdr:col>13</xdr:col>
      <xdr:colOff>781050</xdr:colOff>
      <xdr:row>6</xdr:row>
      <xdr:rowOff>161925</xdr:rowOff>
    </xdr:from>
    <xdr:to>
      <xdr:col>13</xdr:col>
      <xdr:colOff>457200</xdr:colOff>
      <xdr:row>6</xdr:row>
      <xdr:rowOff>161925</xdr:rowOff>
    </xdr:to>
    <xdr:sp macro="" textlink="">
      <xdr:nvSpPr>
        <xdr:cNvPr id="35" name="Line 1347"/>
        <xdr:cNvSpPr>
          <a:spLocks noChangeShapeType="1"/>
        </xdr:cNvSpPr>
      </xdr:nvSpPr>
      <xdr:spPr bwMode="auto">
        <a:xfrm>
          <a:off x="6172200" y="1314450"/>
          <a:ext cx="0" cy="0"/>
        </a:xfrm>
        <a:prstGeom prst="line">
          <a:avLst/>
        </a:prstGeom>
        <a:noFill/>
        <a:ln w="9525">
          <a:solidFill>
            <a:srgbClr val="008000"/>
          </a:solidFill>
          <a:round/>
          <a:headEnd/>
          <a:tailEnd/>
        </a:ln>
      </xdr:spPr>
    </xdr:sp>
    <xdr:clientData/>
  </xdr:twoCellAnchor>
  <xdr:twoCellAnchor>
    <xdr:from>
      <xdr:col>14</xdr:col>
      <xdr:colOff>781050</xdr:colOff>
      <xdr:row>6</xdr:row>
      <xdr:rowOff>161925</xdr:rowOff>
    </xdr:from>
    <xdr:to>
      <xdr:col>14</xdr:col>
      <xdr:colOff>457200</xdr:colOff>
      <xdr:row>6</xdr:row>
      <xdr:rowOff>161925</xdr:rowOff>
    </xdr:to>
    <xdr:sp macro="" textlink="">
      <xdr:nvSpPr>
        <xdr:cNvPr id="36" name="Line 1347"/>
        <xdr:cNvSpPr>
          <a:spLocks noChangeShapeType="1"/>
        </xdr:cNvSpPr>
      </xdr:nvSpPr>
      <xdr:spPr bwMode="auto">
        <a:xfrm>
          <a:off x="6629400" y="1314450"/>
          <a:ext cx="0" cy="0"/>
        </a:xfrm>
        <a:prstGeom prst="line">
          <a:avLst/>
        </a:prstGeom>
        <a:noFill/>
        <a:ln w="9525">
          <a:solidFill>
            <a:srgbClr val="008000"/>
          </a:solidFill>
          <a:round/>
          <a:headEnd/>
          <a:tailEnd/>
        </a:ln>
      </xdr:spPr>
    </xdr:sp>
    <xdr:clientData/>
  </xdr:twoCellAnchor>
  <xdr:twoCellAnchor>
    <xdr:from>
      <xdr:col>15</xdr:col>
      <xdr:colOff>781050</xdr:colOff>
      <xdr:row>6</xdr:row>
      <xdr:rowOff>161925</xdr:rowOff>
    </xdr:from>
    <xdr:to>
      <xdr:col>15</xdr:col>
      <xdr:colOff>457200</xdr:colOff>
      <xdr:row>6</xdr:row>
      <xdr:rowOff>161925</xdr:rowOff>
    </xdr:to>
    <xdr:sp macro="" textlink="">
      <xdr:nvSpPr>
        <xdr:cNvPr id="37" name="Line 1347"/>
        <xdr:cNvSpPr>
          <a:spLocks noChangeShapeType="1"/>
        </xdr:cNvSpPr>
      </xdr:nvSpPr>
      <xdr:spPr bwMode="auto">
        <a:xfrm>
          <a:off x="7086600" y="1314450"/>
          <a:ext cx="0" cy="0"/>
        </a:xfrm>
        <a:prstGeom prst="line">
          <a:avLst/>
        </a:prstGeom>
        <a:noFill/>
        <a:ln w="9525">
          <a:solidFill>
            <a:srgbClr val="008000"/>
          </a:solidFill>
          <a:round/>
          <a:headEnd/>
          <a:tailEnd/>
        </a:ln>
      </xdr:spPr>
    </xdr:sp>
    <xdr:clientData/>
  </xdr:twoCellAnchor>
  <xdr:twoCellAnchor>
    <xdr:from>
      <xdr:col>16</xdr:col>
      <xdr:colOff>781050</xdr:colOff>
      <xdr:row>6</xdr:row>
      <xdr:rowOff>161925</xdr:rowOff>
    </xdr:from>
    <xdr:to>
      <xdr:col>16</xdr:col>
      <xdr:colOff>457200</xdr:colOff>
      <xdr:row>6</xdr:row>
      <xdr:rowOff>161925</xdr:rowOff>
    </xdr:to>
    <xdr:sp macro="" textlink="">
      <xdr:nvSpPr>
        <xdr:cNvPr id="38" name="Line 1347"/>
        <xdr:cNvSpPr>
          <a:spLocks noChangeShapeType="1"/>
        </xdr:cNvSpPr>
      </xdr:nvSpPr>
      <xdr:spPr bwMode="auto">
        <a:xfrm>
          <a:off x="7543800" y="1314450"/>
          <a:ext cx="0" cy="0"/>
        </a:xfrm>
        <a:prstGeom prst="line">
          <a:avLst/>
        </a:prstGeom>
        <a:noFill/>
        <a:ln w="9525">
          <a:solidFill>
            <a:srgbClr val="008000"/>
          </a:solidFill>
          <a:round/>
          <a:headEnd/>
          <a:tailEnd/>
        </a:ln>
      </xdr:spPr>
    </xdr:sp>
    <xdr:clientData/>
  </xdr:twoCellAnchor>
  <xdr:twoCellAnchor>
    <xdr:from>
      <xdr:col>17</xdr:col>
      <xdr:colOff>781050</xdr:colOff>
      <xdr:row>6</xdr:row>
      <xdr:rowOff>161925</xdr:rowOff>
    </xdr:from>
    <xdr:to>
      <xdr:col>17</xdr:col>
      <xdr:colOff>457200</xdr:colOff>
      <xdr:row>6</xdr:row>
      <xdr:rowOff>161925</xdr:rowOff>
    </xdr:to>
    <xdr:sp macro="" textlink="">
      <xdr:nvSpPr>
        <xdr:cNvPr id="39" name="Line 1347"/>
        <xdr:cNvSpPr>
          <a:spLocks noChangeShapeType="1"/>
        </xdr:cNvSpPr>
      </xdr:nvSpPr>
      <xdr:spPr bwMode="auto">
        <a:xfrm>
          <a:off x="8001000" y="1314450"/>
          <a:ext cx="0" cy="0"/>
        </a:xfrm>
        <a:prstGeom prst="line">
          <a:avLst/>
        </a:prstGeom>
        <a:noFill/>
        <a:ln w="9525">
          <a:solidFill>
            <a:srgbClr val="008000"/>
          </a:solidFill>
          <a:round/>
          <a:headEnd/>
          <a:tailEnd/>
        </a:ln>
      </xdr:spPr>
    </xdr:sp>
    <xdr:clientData/>
  </xdr:twoCellAnchor>
  <xdr:twoCellAnchor>
    <xdr:from>
      <xdr:col>18</xdr:col>
      <xdr:colOff>781050</xdr:colOff>
      <xdr:row>6</xdr:row>
      <xdr:rowOff>161925</xdr:rowOff>
    </xdr:from>
    <xdr:to>
      <xdr:col>18</xdr:col>
      <xdr:colOff>457200</xdr:colOff>
      <xdr:row>6</xdr:row>
      <xdr:rowOff>161925</xdr:rowOff>
    </xdr:to>
    <xdr:sp macro="" textlink="">
      <xdr:nvSpPr>
        <xdr:cNvPr id="40" name="Line 1347"/>
        <xdr:cNvSpPr>
          <a:spLocks noChangeShapeType="1"/>
        </xdr:cNvSpPr>
      </xdr:nvSpPr>
      <xdr:spPr bwMode="auto">
        <a:xfrm>
          <a:off x="8458200" y="1314450"/>
          <a:ext cx="0" cy="0"/>
        </a:xfrm>
        <a:prstGeom prst="line">
          <a:avLst/>
        </a:prstGeom>
        <a:noFill/>
        <a:ln w="9525">
          <a:solidFill>
            <a:srgbClr val="008000"/>
          </a:solidFill>
          <a:round/>
          <a:headEnd/>
          <a:tailEnd/>
        </a:ln>
      </xdr:spPr>
    </xdr:sp>
    <xdr:clientData/>
  </xdr:twoCellAnchor>
  <xdr:twoCellAnchor>
    <xdr:from>
      <xdr:col>19</xdr:col>
      <xdr:colOff>781050</xdr:colOff>
      <xdr:row>6</xdr:row>
      <xdr:rowOff>161925</xdr:rowOff>
    </xdr:from>
    <xdr:to>
      <xdr:col>19</xdr:col>
      <xdr:colOff>457200</xdr:colOff>
      <xdr:row>6</xdr:row>
      <xdr:rowOff>161925</xdr:rowOff>
    </xdr:to>
    <xdr:sp macro="" textlink="">
      <xdr:nvSpPr>
        <xdr:cNvPr id="41" name="Line 1347"/>
        <xdr:cNvSpPr>
          <a:spLocks noChangeShapeType="1"/>
        </xdr:cNvSpPr>
      </xdr:nvSpPr>
      <xdr:spPr bwMode="auto">
        <a:xfrm>
          <a:off x="8915400" y="1314450"/>
          <a:ext cx="0" cy="0"/>
        </a:xfrm>
        <a:prstGeom prst="line">
          <a:avLst/>
        </a:prstGeom>
        <a:noFill/>
        <a:ln w="9525">
          <a:solidFill>
            <a:srgbClr val="008000"/>
          </a:solidFill>
          <a:round/>
          <a:headEnd/>
          <a:tailEnd/>
        </a:ln>
      </xdr:spPr>
    </xdr:sp>
    <xdr:clientData/>
  </xdr:twoCellAnchor>
  <xdr:twoCellAnchor>
    <xdr:from>
      <xdr:col>20</xdr:col>
      <xdr:colOff>781050</xdr:colOff>
      <xdr:row>6</xdr:row>
      <xdr:rowOff>161925</xdr:rowOff>
    </xdr:from>
    <xdr:to>
      <xdr:col>20</xdr:col>
      <xdr:colOff>457200</xdr:colOff>
      <xdr:row>6</xdr:row>
      <xdr:rowOff>161925</xdr:rowOff>
    </xdr:to>
    <xdr:sp macro="" textlink="">
      <xdr:nvSpPr>
        <xdr:cNvPr id="42" name="Line 1347"/>
        <xdr:cNvSpPr>
          <a:spLocks noChangeShapeType="1"/>
        </xdr:cNvSpPr>
      </xdr:nvSpPr>
      <xdr:spPr bwMode="auto">
        <a:xfrm>
          <a:off x="9372600" y="1314450"/>
          <a:ext cx="0" cy="0"/>
        </a:xfrm>
        <a:prstGeom prst="line">
          <a:avLst/>
        </a:prstGeom>
        <a:noFill/>
        <a:ln w="9525">
          <a:solidFill>
            <a:srgbClr val="008000"/>
          </a:solidFill>
          <a:round/>
          <a:headEnd/>
          <a:tailEnd/>
        </a:ln>
      </xdr:spPr>
    </xdr:sp>
    <xdr:clientData/>
  </xdr:twoCellAnchor>
  <xdr:twoCellAnchor>
    <xdr:from>
      <xdr:col>21</xdr:col>
      <xdr:colOff>781050</xdr:colOff>
      <xdr:row>6</xdr:row>
      <xdr:rowOff>161925</xdr:rowOff>
    </xdr:from>
    <xdr:to>
      <xdr:col>21</xdr:col>
      <xdr:colOff>457200</xdr:colOff>
      <xdr:row>6</xdr:row>
      <xdr:rowOff>161925</xdr:rowOff>
    </xdr:to>
    <xdr:sp macro="" textlink="">
      <xdr:nvSpPr>
        <xdr:cNvPr id="43" name="Line 1347"/>
        <xdr:cNvSpPr>
          <a:spLocks noChangeShapeType="1"/>
        </xdr:cNvSpPr>
      </xdr:nvSpPr>
      <xdr:spPr bwMode="auto">
        <a:xfrm>
          <a:off x="9829800" y="1314450"/>
          <a:ext cx="0" cy="0"/>
        </a:xfrm>
        <a:prstGeom prst="line">
          <a:avLst/>
        </a:prstGeom>
        <a:noFill/>
        <a:ln w="9525">
          <a:solidFill>
            <a:srgbClr val="008000"/>
          </a:solidFill>
          <a:round/>
          <a:headEnd/>
          <a:tailEnd/>
        </a:ln>
      </xdr:spPr>
    </xdr:sp>
    <xdr:clientData/>
  </xdr:twoCellAnchor>
  <xdr:twoCellAnchor>
    <xdr:from>
      <xdr:col>22</xdr:col>
      <xdr:colOff>781050</xdr:colOff>
      <xdr:row>6</xdr:row>
      <xdr:rowOff>161925</xdr:rowOff>
    </xdr:from>
    <xdr:to>
      <xdr:col>22</xdr:col>
      <xdr:colOff>457200</xdr:colOff>
      <xdr:row>6</xdr:row>
      <xdr:rowOff>161925</xdr:rowOff>
    </xdr:to>
    <xdr:sp macro="" textlink="">
      <xdr:nvSpPr>
        <xdr:cNvPr id="44" name="Line 1347"/>
        <xdr:cNvSpPr>
          <a:spLocks noChangeShapeType="1"/>
        </xdr:cNvSpPr>
      </xdr:nvSpPr>
      <xdr:spPr bwMode="auto">
        <a:xfrm>
          <a:off x="10287000" y="1314450"/>
          <a:ext cx="0" cy="0"/>
        </a:xfrm>
        <a:prstGeom prst="line">
          <a:avLst/>
        </a:prstGeom>
        <a:noFill/>
        <a:ln w="9525">
          <a:solidFill>
            <a:srgbClr val="008000"/>
          </a:solidFill>
          <a:round/>
          <a:headEnd/>
          <a:tailEnd/>
        </a:ln>
      </xdr:spPr>
    </xdr:sp>
    <xdr:clientData/>
  </xdr:twoCellAnchor>
  <xdr:twoCellAnchor>
    <xdr:from>
      <xdr:col>23</xdr:col>
      <xdr:colOff>781050</xdr:colOff>
      <xdr:row>6</xdr:row>
      <xdr:rowOff>161925</xdr:rowOff>
    </xdr:from>
    <xdr:to>
      <xdr:col>23</xdr:col>
      <xdr:colOff>457200</xdr:colOff>
      <xdr:row>6</xdr:row>
      <xdr:rowOff>161925</xdr:rowOff>
    </xdr:to>
    <xdr:sp macro="" textlink="">
      <xdr:nvSpPr>
        <xdr:cNvPr id="45" name="Line 1347"/>
        <xdr:cNvSpPr>
          <a:spLocks noChangeShapeType="1"/>
        </xdr:cNvSpPr>
      </xdr:nvSpPr>
      <xdr:spPr bwMode="auto">
        <a:xfrm>
          <a:off x="10744200" y="1314450"/>
          <a:ext cx="0" cy="0"/>
        </a:xfrm>
        <a:prstGeom prst="line">
          <a:avLst/>
        </a:prstGeom>
        <a:noFill/>
        <a:ln w="9525">
          <a:solidFill>
            <a:srgbClr val="008000"/>
          </a:solidFill>
          <a:round/>
          <a:headEnd/>
          <a:tailEnd/>
        </a:ln>
      </xdr:spPr>
    </xdr:sp>
    <xdr:clientData/>
  </xdr:twoCellAnchor>
  <xdr:twoCellAnchor>
    <xdr:from>
      <xdr:col>5</xdr:col>
      <xdr:colOff>152401</xdr:colOff>
      <xdr:row>17</xdr:row>
      <xdr:rowOff>57150</xdr:rowOff>
    </xdr:from>
    <xdr:to>
      <xdr:col>24</xdr:col>
      <xdr:colOff>228601</xdr:colOff>
      <xdr:row>17</xdr:row>
      <xdr:rowOff>352425</xdr:rowOff>
    </xdr:to>
    <xdr:graphicFrame macro="">
      <xdr:nvGraphicFramePr>
        <xdr:cNvPr id="54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54788;&#50629;/3.1_monthly_trend_AV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54788;&#50629;&#50896;&#48376;/2.10_monthly_trend_inventory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ta"/>
      <sheetName val="EX"/>
    </sheetNames>
    <sheetDataSet>
      <sheetData sheetId="0"/>
      <sheetData sheetId="1">
        <row r="2">
          <cell r="C2">
            <v>187.90728884999999</v>
          </cell>
          <cell r="D2">
            <v>188.96067033</v>
          </cell>
          <cell r="E2">
            <v>167.60261563</v>
          </cell>
          <cell r="F2">
            <v>18.050694459999999</v>
          </cell>
          <cell r="G2">
            <v>8.9467477500000001</v>
          </cell>
          <cell r="H2">
            <v>8.0471334399999996</v>
          </cell>
          <cell r="I2">
            <v>16.964187979999998</v>
          </cell>
          <cell r="J2">
            <v>26.685941469999999</v>
          </cell>
          <cell r="K2">
            <v>23.4821785</v>
          </cell>
          <cell r="L2">
            <v>12.11470244</v>
          </cell>
          <cell r="M2">
            <v>9.3512688799999992</v>
          </cell>
          <cell r="N2">
            <v>6.0278070000000001</v>
          </cell>
          <cell r="O2">
            <v>11.8976112</v>
          </cell>
          <cell r="P2">
            <v>10.32438273</v>
          </cell>
          <cell r="Q2">
            <v>11.92801968</v>
          </cell>
          <cell r="R2">
            <v>9.6883122400000001</v>
          </cell>
          <cell r="S2">
            <v>10.236531769999999</v>
          </cell>
          <cell r="T2">
            <v>10.78180281</v>
          </cell>
          <cell r="U2">
            <v>9.1127357100000008</v>
          </cell>
        </row>
        <row r="4">
          <cell r="F4">
            <v>16.057299515297</v>
          </cell>
          <cell r="G4">
            <v>8.5877321809480005</v>
          </cell>
          <cell r="H4">
            <v>7.46323734560199</v>
          </cell>
          <cell r="I4">
            <v>7.9174201032061902</v>
          </cell>
          <cell r="J4">
            <v>33.474029591276498</v>
          </cell>
          <cell r="K4">
            <v>21.4493047960704</v>
          </cell>
          <cell r="L4">
            <v>15.1640324843851</v>
          </cell>
          <cell r="M4">
            <v>11.144755528599999</v>
          </cell>
          <cell r="N4">
            <v>9.5566565299999997</v>
          </cell>
          <cell r="O4">
            <v>9.2495261799000001</v>
          </cell>
          <cell r="P4">
            <v>10.900880539999999</v>
          </cell>
          <cell r="Q4">
            <v>10.4709674901</v>
          </cell>
          <cell r="R4">
            <v>9.9148166</v>
          </cell>
          <cell r="S4">
            <v>9.5319897298999994</v>
          </cell>
          <cell r="T4">
            <v>9.5022177299999999</v>
          </cell>
          <cell r="U4">
            <v>8.8112585200000009</v>
          </cell>
        </row>
        <row r="6">
          <cell r="C6">
            <v>158.788615488593</v>
          </cell>
          <cell r="D6">
            <v>187.90728884999999</v>
          </cell>
          <cell r="E6">
            <v>188.96067033</v>
          </cell>
          <cell r="F6">
            <v>12.786067320000001</v>
          </cell>
          <cell r="G6">
            <v>9.3188561700000001</v>
          </cell>
          <cell r="H6">
            <v>8.8897612600000002</v>
          </cell>
          <cell r="I6">
            <v>8.4720864500000008</v>
          </cell>
          <cell r="J6">
            <v>46.581138009999997</v>
          </cell>
          <cell r="K6">
            <v>27.13505481</v>
          </cell>
          <cell r="L6">
            <v>14.29331638</v>
          </cell>
          <cell r="M6">
            <v>9.5692646200000002</v>
          </cell>
          <cell r="N6">
            <v>9.8297725800000002</v>
          </cell>
          <cell r="O6">
            <v>12.76161063</v>
          </cell>
          <cell r="P6">
            <v>10.89438387</v>
          </cell>
          <cell r="Q6">
            <v>10.25599789</v>
          </cell>
          <cell r="R6">
            <v>18.050694459999999</v>
          </cell>
          <cell r="S6">
            <v>8.9467477500000001</v>
          </cell>
          <cell r="T6">
            <v>8.0471334399999996</v>
          </cell>
          <cell r="U6">
            <v>16.964187979999998</v>
          </cell>
        </row>
        <row r="8">
          <cell r="C8">
            <v>0.12990679800171887</v>
          </cell>
          <cell r="D8">
            <v>0.11913840972984688</v>
          </cell>
          <cell r="E8">
            <v>0.20058598793148913</v>
          </cell>
          <cell r="F8">
            <v>0.25652953781493992</v>
          </cell>
          <cell r="G8">
            <v>0.21072003733403896</v>
          </cell>
          <cell r="H8">
            <v>0.29581849975288166</v>
          </cell>
          <cell r="I8">
            <v>0.18587596117678021</v>
          </cell>
          <cell r="J8">
            <v>0.13469498670034369</v>
          </cell>
          <cell r="K8">
            <v>0.23758180883140875</v>
          </cell>
          <cell r="L8">
            <v>0.34506126238477475</v>
          </cell>
          <cell r="M8">
            <v>0.15801576253617614</v>
          </cell>
          <cell r="N8">
            <v>0.23759047608913395</v>
          </cell>
          <cell r="O8">
            <v>0.17956870199790381</v>
          </cell>
          <cell r="P8">
            <v>0.16381040117980131</v>
          </cell>
          <cell r="Q8">
            <v>0.13081459519499594</v>
          </cell>
          <cell r="R8">
            <v>0.16577031785746765</v>
          </cell>
          <cell r="S8">
            <v>0.15089502134852653</v>
          </cell>
          <cell r="T8">
            <v>0.16247392268802818</v>
          </cell>
          <cell r="U8">
            <v>0.16160995440749995</v>
          </cell>
        </row>
        <row r="10">
          <cell r="C10">
            <v>1.1965769518999998</v>
          </cell>
          <cell r="D10">
            <v>2.1747816108699998</v>
          </cell>
          <cell r="E10">
            <v>2.37561509301</v>
          </cell>
          <cell r="F10">
            <v>0.66189052024999995</v>
          </cell>
          <cell r="G10">
            <v>0.12257978005</v>
          </cell>
          <cell r="H10">
            <v>0.14174325072000002</v>
          </cell>
          <cell r="I10">
            <v>0.12488653008</v>
          </cell>
          <cell r="J10">
            <v>0.22059467929000001</v>
          </cell>
          <cell r="K10">
            <v>0.20100152963000001</v>
          </cell>
          <cell r="L10">
            <v>0.18777293091</v>
          </cell>
          <cell r="M10">
            <v>4.2597704400000004E-3</v>
          </cell>
          <cell r="N10">
            <v>4.5275904399999997E-3</v>
          </cell>
          <cell r="O10">
            <v>1.9260805100000001E-3</v>
          </cell>
          <cell r="P10">
            <v>5.4568319810000002E-2</v>
          </cell>
          <cell r="Q10">
            <v>5.6980469449999994E-2</v>
          </cell>
          <cell r="R10">
            <v>5.9467850150000001E-2</v>
          </cell>
          <cell r="S10">
            <v>5.6806130190000005E-2</v>
          </cell>
          <cell r="T10">
            <v>5.882032006E-2</v>
          </cell>
          <cell r="U10">
            <v>9.3059289820000002E-2</v>
          </cell>
        </row>
        <row r="12">
          <cell r="C12">
            <v>1.3558206409</v>
          </cell>
          <cell r="D12">
            <v>1.14436473605</v>
          </cell>
          <cell r="E12">
            <v>1.2345392843199998</v>
          </cell>
          <cell r="F12">
            <v>5.0865930410000003E-2</v>
          </cell>
          <cell r="G12">
            <v>9.5389371340000001E-2</v>
          </cell>
          <cell r="H12">
            <v>4.1653391750000004E-2</v>
          </cell>
          <cell r="I12">
            <v>5.4127640460000001E-2</v>
          </cell>
          <cell r="J12">
            <v>0.12626044066</v>
          </cell>
          <cell r="K12">
            <v>9.8991199739999994E-2</v>
          </cell>
          <cell r="L12">
            <v>0.18589396975</v>
          </cell>
          <cell r="M12">
            <v>0.15758242019999999</v>
          </cell>
          <cell r="N12">
            <v>8.1998749879999999E-2</v>
          </cell>
          <cell r="O12">
            <v>8.162760916999999E-2</v>
          </cell>
          <cell r="P12">
            <v>7.6626291060000004E-2</v>
          </cell>
          <cell r="Q12">
            <v>8.4061279490000002E-2</v>
          </cell>
          <cell r="R12">
            <v>6.6636769649999997E-2</v>
          </cell>
          <cell r="S12">
            <v>7.2807658599999991E-2</v>
          </cell>
          <cell r="T12">
            <v>7.1230141130000008E-2</v>
          </cell>
          <cell r="U12">
            <v>7.989769008E-2</v>
          </cell>
        </row>
        <row r="14">
          <cell r="C14">
            <v>2.4060937199999999</v>
          </cell>
          <cell r="D14">
            <v>4.9504104499999997</v>
          </cell>
          <cell r="E14">
            <v>5.2202281299999997</v>
          </cell>
          <cell r="F14">
            <v>-0.26980129999999802</v>
          </cell>
          <cell r="G14">
            <v>-0.74344995000000003</v>
          </cell>
          <cell r="H14">
            <v>-1.63322722</v>
          </cell>
          <cell r="I14">
            <v>0.28234661999999999</v>
          </cell>
          <cell r="J14">
            <v>1.72030533</v>
          </cell>
          <cell r="K14">
            <v>1.8506351299999999</v>
          </cell>
          <cell r="L14">
            <v>-2.3004101499999998</v>
          </cell>
          <cell r="M14">
            <v>1.2095814</v>
          </cell>
          <cell r="N14">
            <v>-0.48132306000000002</v>
          </cell>
          <cell r="O14">
            <v>0.47520451999999902</v>
          </cell>
          <cell r="P14">
            <v>0.69466047000000097</v>
          </cell>
          <cell r="Q14">
            <v>0.25981526000000099</v>
          </cell>
          <cell r="R14">
            <v>-0.15869046000000001</v>
          </cell>
          <cell r="S14">
            <v>0.62811874999999995</v>
          </cell>
          <cell r="T14">
            <v>0.36273334000000002</v>
          </cell>
          <cell r="U14">
            <v>0.76247319999999996</v>
          </cell>
        </row>
        <row r="15">
          <cell r="C15">
            <v>1.280468541015832E-2</v>
          </cell>
          <cell r="D15">
            <v>2.6198099537616093E-2</v>
          </cell>
          <cell r="E15">
            <v>3.114645979943529E-2</v>
          </cell>
          <cell r="F15">
            <v>-1.4946865373954041E-2</v>
          </cell>
          <cell r="G15">
            <v>-8.3097229381481105E-2</v>
          </cell>
          <cell r="H15">
            <v>-0.20295764102552274</v>
          </cell>
          <cell r="I15">
            <v>1.6643686118833025E-2</v>
          </cell>
          <cell r="J15">
            <v>6.4464854347894965E-2</v>
          </cell>
          <cell r="K15">
            <v>7.8810197699502191E-2</v>
          </cell>
          <cell r="L15">
            <v>-0.18988581530525811</v>
          </cell>
          <cell r="M15">
            <v>0.12934944075739166</v>
          </cell>
          <cell r="N15">
            <v>-7.9850443121354087E-2</v>
          </cell>
          <cell r="O15">
            <v>3.9941170711646636E-2</v>
          </cell>
          <cell r="P15">
            <v>6.7283486884062951E-2</v>
          </cell>
          <cell r="Q15">
            <v>2.1781927509361806E-2</v>
          </cell>
          <cell r="R15">
            <v>-1.6379577378278221E-2</v>
          </cell>
          <cell r="S15">
            <v>6.1360504134888257E-2</v>
          </cell>
          <cell r="T15">
            <v>3.3643106481558813E-2</v>
          </cell>
          <cell r="U15">
            <v>8.3671163552267655E-2</v>
          </cell>
        </row>
        <row r="18">
          <cell r="C18">
            <v>39.6528177</v>
          </cell>
          <cell r="D18">
            <v>48.142556579999997</v>
          </cell>
          <cell r="E18">
            <v>42.20043115</v>
          </cell>
          <cell r="F18">
            <v>4.0369582900000003</v>
          </cell>
          <cell r="G18">
            <v>2.0857634100000002</v>
          </cell>
          <cell r="H18">
            <v>0.87873593999999999</v>
          </cell>
          <cell r="I18">
            <v>3.1906721199999999</v>
          </cell>
          <cell r="J18">
            <v>6.47266808</v>
          </cell>
          <cell r="K18">
            <v>6.0857877599999997</v>
          </cell>
          <cell r="L18">
            <v>0.45960552999999998</v>
          </cell>
          <cell r="M18">
            <v>2.98420043</v>
          </cell>
          <cell r="N18">
            <v>1.3478516</v>
          </cell>
          <cell r="O18">
            <v>3.1207260799999998</v>
          </cell>
          <cell r="P18">
            <v>3.74279326</v>
          </cell>
          <cell r="Q18">
            <v>3.3095678999999998</v>
          </cell>
          <cell r="R18">
            <v>2.2257463899999999</v>
          </cell>
          <cell r="S18">
            <v>3.5877464099999998</v>
          </cell>
          <cell r="T18">
            <v>2.7712064600000001</v>
          </cell>
          <cell r="U18">
            <v>2.12835727</v>
          </cell>
        </row>
        <row r="19">
          <cell r="C19">
            <v>0.21102330805088401</v>
          </cell>
          <cell r="D19">
            <v>0.25477553871884601</v>
          </cell>
          <cell r="E19">
            <v>0.25178861911774603</v>
          </cell>
          <cell r="F19">
            <v>0.223645594298093</v>
          </cell>
          <cell r="G19">
            <v>0.233130906144079</v>
          </cell>
          <cell r="H19">
            <v>0.109198629120782</v>
          </cell>
          <cell r="I19">
            <v>0.18808280854713799</v>
          </cell>
          <cell r="J19">
            <v>0.24254973680716799</v>
          </cell>
          <cell r="K19">
            <v>0.25916623366098701</v>
          </cell>
          <cell r="L19">
            <v>3.7937830687651601E-2</v>
          </cell>
          <cell r="M19">
            <v>0.31912251356416999</v>
          </cell>
          <cell r="N19">
            <v>0.22360563302706901</v>
          </cell>
          <cell r="O19">
            <v>0.26229854275285103</v>
          </cell>
          <cell r="P19">
            <v>0.36251980945305401</v>
          </cell>
          <cell r="Q19">
            <v>0.27746163980172101</v>
          </cell>
          <cell r="R19">
            <v>0.22973520411641901</v>
          </cell>
          <cell r="S19">
            <v>0.35048456748940499</v>
          </cell>
          <cell r="T19">
            <v>0.257026260713073</v>
          </cell>
          <cell r="U19">
            <v>0.233558542432479</v>
          </cell>
        </row>
        <row r="21">
          <cell r="C21">
            <v>-2.6601652525852799</v>
          </cell>
          <cell r="D21">
            <v>-1.46173128749321</v>
          </cell>
          <cell r="E21">
            <v>-3.77453613927924</v>
          </cell>
          <cell r="F21">
            <v>-0.32362681793327702</v>
          </cell>
          <cell r="G21">
            <v>-0.14569584998846999</v>
          </cell>
          <cell r="H21">
            <v>-1.0583663431054</v>
          </cell>
          <cell r="I21">
            <v>-0.138263059279256</v>
          </cell>
          <cell r="J21">
            <v>-0.29742837386908</v>
          </cell>
          <cell r="K21">
            <v>-6.60786068893328E-2</v>
          </cell>
          <cell r="L21">
            <v>-1.41362269432536</v>
          </cell>
          <cell r="M21">
            <v>-0.214521602612947</v>
          </cell>
          <cell r="N21">
            <v>-1.3098048704007399</v>
          </cell>
          <cell r="O21">
            <v>-3.0439693325885801E-2</v>
          </cell>
          <cell r="P21">
            <v>-2.9964546022055501E-2</v>
          </cell>
          <cell r="Q21">
            <v>-2.3713899484306501E-2</v>
          </cell>
          <cell r="R21">
            <v>-9.3246351081212306E-2</v>
          </cell>
          <cell r="S21">
            <v>-3.3608508141914198E-2</v>
          </cell>
          <cell r="T21">
            <v>-4.8725577221277301E-2</v>
          </cell>
          <cell r="U21">
            <v>-0.35195667966189897</v>
          </cell>
        </row>
        <row r="23">
          <cell r="C23">
            <v>4.6558405179814001E-2</v>
          </cell>
          <cell r="D23">
            <v>5.3790113795919104E-3</v>
          </cell>
          <cell r="E23">
            <v>3.1388295090407199E-2</v>
          </cell>
          <cell r="F23">
            <v>-1.22810543699436E-2</v>
          </cell>
          <cell r="G23">
            <v>-6.1670399453343299E-3</v>
          </cell>
          <cell r="H23">
            <v>0.180478489645399</v>
          </cell>
          <cell r="I23">
            <v>2.8426333921269899E-2</v>
          </cell>
          <cell r="J23">
            <v>-1.143286988448E-2</v>
          </cell>
          <cell r="K23">
            <v>-7.2100718558990701E-4</v>
          </cell>
          <cell r="L23">
            <v>0.29938936924003101</v>
          </cell>
          <cell r="M23">
            <v>5.78792300605303E-3</v>
          </cell>
          <cell r="N23">
            <v>-0.11723808804531199</v>
          </cell>
          <cell r="O23">
            <v>2.57520917831176E-2</v>
          </cell>
          <cell r="P23">
            <v>4.5802873727971002E-3</v>
          </cell>
          <cell r="Q23">
            <v>2.4114513956956699E-2</v>
          </cell>
          <cell r="R23">
            <v>-1.02991134105076E-3</v>
          </cell>
          <cell r="S23">
            <v>-1.0954094910887E-3</v>
          </cell>
          <cell r="T23">
            <v>-5.1014615689113296E-4</v>
          </cell>
          <cell r="U23">
            <v>2.2884126048754098E-3</v>
          </cell>
        </row>
        <row r="29">
          <cell r="C29">
            <v>3.788585756666666E-2</v>
          </cell>
          <cell r="D29">
            <v>0.27192347565000002</v>
          </cell>
          <cell r="E29">
            <v>0.38186631666666665</v>
          </cell>
          <cell r="F29">
            <v>0.11807884</v>
          </cell>
          <cell r="G29">
            <v>0.50122540999999998</v>
          </cell>
          <cell r="H29">
            <v>1.12484786</v>
          </cell>
          <cell r="I29">
            <v>1.2748979899999999</v>
          </cell>
          <cell r="J29">
            <v>0.42839611</v>
          </cell>
          <cell r="K29">
            <v>6.3569780000000006E-2</v>
          </cell>
          <cell r="L29">
            <v>8.4634700000000007E-3</v>
          </cell>
          <cell r="M29">
            <v>9.3621899999999994E-3</v>
          </cell>
          <cell r="N29">
            <v>0.18909637000000001</v>
          </cell>
          <cell r="O29">
            <v>0.18564853000000001</v>
          </cell>
          <cell r="P29">
            <v>0.12063618</v>
          </cell>
          <cell r="Q29">
            <v>2.1047221500000002</v>
          </cell>
          <cell r="R29">
            <v>2.8901715100000001</v>
          </cell>
          <cell r="S29">
            <v>3.1052841400000002</v>
          </cell>
          <cell r="T29">
            <v>0.93482381000000003</v>
          </cell>
          <cell r="U29">
            <v>0.92382076999999996</v>
          </cell>
        </row>
        <row r="30">
          <cell r="F30">
            <v>16.106170449530001</v>
          </cell>
          <cell r="G30">
            <v>20.73431295128</v>
          </cell>
          <cell r="H30">
            <v>32.211855039470002</v>
          </cell>
          <cell r="I30">
            <v>35.146165981339998</v>
          </cell>
          <cell r="J30">
            <v>26.331275378560001</v>
          </cell>
          <cell r="K30">
            <v>16.595364200350001</v>
          </cell>
          <cell r="L30">
            <v>15.093135520380001</v>
          </cell>
          <cell r="M30">
            <v>19.959620999270001</v>
          </cell>
          <cell r="N30">
            <v>22.56301102894</v>
          </cell>
          <cell r="O30">
            <v>22.225154371039999</v>
          </cell>
          <cell r="P30">
            <v>21.80666301938</v>
          </cell>
          <cell r="Q30">
            <v>18.00097698195</v>
          </cell>
          <cell r="R30">
            <v>14.71046156837</v>
          </cell>
          <cell r="S30">
            <v>13.322156620079999</v>
          </cell>
          <cell r="T30">
            <v>16.531760390199999</v>
          </cell>
          <cell r="U30">
            <v>24.647115550439999</v>
          </cell>
        </row>
        <row r="31">
          <cell r="C31">
            <v>5.3760112613795161E-3</v>
          </cell>
          <cell r="D31">
            <v>3.0685898856985791E-2</v>
          </cell>
          <cell r="E31">
            <v>5.3989747633255335E-2</v>
          </cell>
          <cell r="F31">
            <v>1.8346310500126601E-2</v>
          </cell>
          <cell r="G31">
            <v>6.7748911198606099E-2</v>
          </cell>
          <cell r="H31">
            <v>0.104064231987345</v>
          </cell>
          <cell r="I31">
            <v>9.4457886206220601E-2</v>
          </cell>
          <cell r="J31">
            <v>4.0130520964634001E-2</v>
          </cell>
          <cell r="K31">
            <v>3.10293154633535E-2</v>
          </cell>
          <cell r="L31">
            <v>3.3713888069447002E-3</v>
          </cell>
          <cell r="M31">
            <v>3.0128944405646901E-3</v>
          </cell>
          <cell r="N31">
            <v>4.6522968702628197E-2</v>
          </cell>
          <cell r="O31">
            <v>1.9336224294478701E-2</v>
          </cell>
          <cell r="P31">
            <v>9.9193950695593593E-3</v>
          </cell>
          <cell r="Q31">
            <v>0.17497453990113401</v>
          </cell>
          <cell r="R31">
            <v>0.30856550026195501</v>
          </cell>
          <cell r="S31">
            <v>0.44258198062096199</v>
          </cell>
          <cell r="T31">
            <v>0.15641999877872401</v>
          </cell>
          <cell r="U31">
            <v>0.10170763813575</v>
          </cell>
        </row>
        <row r="32">
          <cell r="C32">
            <v>43.072825824961228</v>
          </cell>
          <cell r="D32">
            <v>48.385414825393347</v>
          </cell>
          <cell r="E32">
            <v>44.973910955835564</v>
          </cell>
          <cell r="F32">
            <v>58.004452856383601</v>
          </cell>
          <cell r="G32">
            <v>46.377395120053102</v>
          </cell>
          <cell r="H32">
            <v>41.885481801092702</v>
          </cell>
          <cell r="I32">
            <v>47.971544329020901</v>
          </cell>
          <cell r="J32">
            <v>42.356269390334901</v>
          </cell>
          <cell r="K32">
            <v>42.511802735437399</v>
          </cell>
          <cell r="L32">
            <v>46.824731374232897</v>
          </cell>
          <cell r="M32">
            <v>71.507128278191999</v>
          </cell>
          <cell r="N32">
            <v>69.456787720635006</v>
          </cell>
          <cell r="O32">
            <v>74.579979484507803</v>
          </cell>
          <cell r="P32">
            <v>74.846071465250006</v>
          </cell>
          <cell r="Q32">
            <v>66.097713519004103</v>
          </cell>
          <cell r="R32">
            <v>52.368566282543703</v>
          </cell>
          <cell r="S32">
            <v>48.073844910598801</v>
          </cell>
          <cell r="T32">
            <v>47.031276899627898</v>
          </cell>
          <cell r="U32">
            <v>46.700396422543101</v>
          </cell>
        </row>
        <row r="33">
          <cell r="F33">
            <v>12.823579209473332</v>
          </cell>
          <cell r="G33">
            <v>12.499166969653333</v>
          </cell>
          <cell r="H33">
            <v>11.980459746326666</v>
          </cell>
          <cell r="I33">
            <v>13.500802203003333</v>
          </cell>
          <cell r="J33">
            <v>18.254416276296666</v>
          </cell>
          <cell r="K33">
            <v>22.605501686260002</v>
          </cell>
          <cell r="L33">
            <v>18.923503859730001</v>
          </cell>
          <cell r="M33">
            <v>13.986953883250001</v>
          </cell>
          <cell r="N33">
            <v>8.797867979936667</v>
          </cell>
          <cell r="O33">
            <v>8.2980779195533341</v>
          </cell>
          <cell r="P33">
            <v>8.5393793227899994</v>
          </cell>
          <cell r="Q33">
            <v>9.8621433104066654</v>
          </cell>
          <cell r="R33">
            <v>8.9103770604966659</v>
          </cell>
          <cell r="S33">
            <v>8.7493343674466661</v>
          </cell>
          <cell r="T33">
            <v>8.4763295400766676</v>
          </cell>
          <cell r="U33">
            <v>8.2310686436766662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Ex"/>
      <sheetName val="Data"/>
    </sheetNames>
    <sheetDataSet>
      <sheetData sheetId="0">
        <row r="26">
          <cell r="B26" t="str">
            <v>LT3</v>
          </cell>
          <cell r="C26">
            <v>4.8053678224952934E-2</v>
          </cell>
          <cell r="D26">
            <v>2.6077171600014746E-2</v>
          </cell>
          <cell r="E26">
            <v>1.8185954851742115E-2</v>
          </cell>
          <cell r="F26">
            <v>1.01776419726789E-2</v>
          </cell>
          <cell r="G26">
            <v>1.1459614663581801E-2</v>
          </cell>
          <cell r="H26">
            <v>2.4747669652008201E-2</v>
          </cell>
          <cell r="I26">
            <v>2.6602100847219801E-2</v>
          </cell>
          <cell r="J26">
            <v>1.6395690089956699E-2</v>
          </cell>
          <cell r="K26">
            <v>2.1303234142050299E-2</v>
          </cell>
          <cell r="L26">
            <v>2.65650916943076E-2</v>
          </cell>
          <cell r="M26">
            <v>1.6795506060528501E-2</v>
          </cell>
          <cell r="N26">
            <v>1.31920137689732E-2</v>
          </cell>
          <cell r="O26">
            <v>1.65287515532241E-2</v>
          </cell>
          <cell r="P26">
            <v>1.6954075692562499E-2</v>
          </cell>
          <cell r="Q26">
            <v>1.75100680838138E-2</v>
          </cell>
          <cell r="R26">
            <v>1.01776419726789E-2</v>
          </cell>
          <cell r="S26">
            <v>1.1459614663581801E-2</v>
          </cell>
          <cell r="T26">
            <v>2.4747669652008201E-2</v>
          </cell>
          <cell r="U26">
            <v>2.6602100847219801E-2</v>
          </cell>
        </row>
        <row r="27">
          <cell r="B27" t="str">
            <v>LT7</v>
          </cell>
          <cell r="C27">
            <v>1.9016770907407665E-2</v>
          </cell>
          <cell r="D27">
            <v>2.1533494994418492E-2</v>
          </cell>
          <cell r="E27">
            <v>1.6555406343495411E-2</v>
          </cell>
          <cell r="F27">
            <v>4.5991057339211704E-3</v>
          </cell>
          <cell r="G27">
            <v>4.0019564821944797E-3</v>
          </cell>
          <cell r="H27">
            <v>5.5356472640196597E-3</v>
          </cell>
          <cell r="I27">
            <v>4.6473048943399499E-3</v>
          </cell>
          <cell r="J27">
            <v>1.26844800537166E-2</v>
          </cell>
          <cell r="K27">
            <v>3.6070605337245903E-2</v>
          </cell>
          <cell r="L27">
            <v>3.2881958789495097E-2</v>
          </cell>
          <cell r="M27">
            <v>2.91890467276241E-2</v>
          </cell>
          <cell r="N27">
            <v>2.80421316202271E-2</v>
          </cell>
          <cell r="O27">
            <v>2.1307653946370499E-2</v>
          </cell>
          <cell r="P27">
            <v>1.4955460328188499E-2</v>
          </cell>
          <cell r="Q27">
            <v>4.7495249446018496E-3</v>
          </cell>
          <cell r="R27">
            <v>4.5991057339211704E-3</v>
          </cell>
          <cell r="S27">
            <v>4.0019564821944797E-3</v>
          </cell>
          <cell r="T27">
            <v>5.5356472640196597E-3</v>
          </cell>
          <cell r="U27">
            <v>4.6473048943399499E-3</v>
          </cell>
        </row>
        <row r="28">
          <cell r="B28" t="str">
            <v>LT13</v>
          </cell>
          <cell r="C28">
            <v>1.0201123006672889E-2</v>
          </cell>
          <cell r="D28">
            <v>5.0292399133368753E-3</v>
          </cell>
          <cell r="E28">
            <v>3.5866265223097565E-3</v>
          </cell>
          <cell r="F28">
            <v>5.6499091995219197E-3</v>
          </cell>
          <cell r="G28">
            <v>2.7211855185143999E-3</v>
          </cell>
          <cell r="H28">
            <v>2.62865317548437E-3</v>
          </cell>
          <cell r="I28">
            <v>2.1118659443328698E-3</v>
          </cell>
          <cell r="J28">
            <v>2.23172681466818E-3</v>
          </cell>
          <cell r="K28">
            <v>2.4033381766898599E-3</v>
          </cell>
          <cell r="L28">
            <v>2.4048185819631799E-3</v>
          </cell>
          <cell r="M28">
            <v>3.8215912783497201E-3</v>
          </cell>
          <cell r="N28">
            <v>4.0180458637894797E-3</v>
          </cell>
          <cell r="O28">
            <v>3.06295438182417E-3</v>
          </cell>
          <cell r="P28">
            <v>5.0751338911966103E-3</v>
          </cell>
          <cell r="Q28">
            <v>6.9102954413823104E-3</v>
          </cell>
          <cell r="R28">
            <v>5.6499091995219197E-3</v>
          </cell>
          <cell r="S28">
            <v>2.7211855185143999E-3</v>
          </cell>
          <cell r="T28">
            <v>2.62865317548437E-3</v>
          </cell>
          <cell r="U28">
            <v>2.1118659443328698E-3</v>
          </cell>
        </row>
        <row r="30">
          <cell r="B30" t="str">
            <v>YYYY</v>
          </cell>
          <cell r="C30">
            <v>2012</v>
          </cell>
          <cell r="D30">
            <v>2013</v>
          </cell>
          <cell r="E30">
            <v>2014</v>
          </cell>
          <cell r="F30">
            <v>201406</v>
          </cell>
          <cell r="G30">
            <v>201407</v>
          </cell>
          <cell r="H30">
            <v>201408</v>
          </cell>
          <cell r="I30">
            <v>201409</v>
          </cell>
          <cell r="J30">
            <v>201410</v>
          </cell>
          <cell r="K30">
            <v>201411</v>
          </cell>
          <cell r="L30">
            <v>201412</v>
          </cell>
          <cell r="M30">
            <v>201501</v>
          </cell>
          <cell r="N30">
            <v>201502</v>
          </cell>
          <cell r="O30">
            <v>201503</v>
          </cell>
          <cell r="P30">
            <v>201504</v>
          </cell>
          <cell r="Q30">
            <v>201505</v>
          </cell>
          <cell r="R30">
            <v>201506</v>
          </cell>
          <cell r="S30">
            <v>201507</v>
          </cell>
          <cell r="T30">
            <v>201508</v>
          </cell>
          <cell r="U30">
            <v>201509</v>
          </cell>
        </row>
        <row r="31">
          <cell r="B31" t="str">
            <v>Cost of sales</v>
          </cell>
          <cell r="C31">
            <v>118.39099254583334</v>
          </cell>
          <cell r="D31">
            <v>96.827474240000015</v>
          </cell>
          <cell r="E31">
            <v>114.96185760206333</v>
          </cell>
          <cell r="F31">
            <v>125.41562644909</v>
          </cell>
          <cell r="G31">
            <v>101.58438999976001</v>
          </cell>
          <cell r="H31">
            <v>118.64049253962</v>
          </cell>
          <cell r="I31">
            <v>130.03128894984999</v>
          </cell>
          <cell r="J31">
            <v>202.16239435956001</v>
          </cell>
          <cell r="K31">
            <v>204.85088401053</v>
          </cell>
          <cell r="L31">
            <v>107.48327053852</v>
          </cell>
          <cell r="M31">
            <v>80.319612329709997</v>
          </cell>
          <cell r="N31">
            <v>77.459045630519995</v>
          </cell>
          <cell r="O31">
            <v>88.444520629129997</v>
          </cell>
          <cell r="P31">
            <v>79.228667110410001</v>
          </cell>
          <cell r="Q31">
            <v>80.396092560330004</v>
          </cell>
          <cell r="R31">
            <v>87.981283859879994</v>
          </cell>
          <cell r="S31">
            <v>82.638938520069999</v>
          </cell>
          <cell r="T31">
            <v>111.64858813891</v>
          </cell>
          <cell r="U31">
            <v>153.54098227995999</v>
          </cell>
        </row>
        <row r="32">
          <cell r="B32" t="str">
            <v>Inventory value</v>
          </cell>
          <cell r="C32">
            <v>77.727462103572236</v>
          </cell>
          <cell r="D32">
            <v>65.600109751667972</v>
          </cell>
          <cell r="E32">
            <v>69.955166057491667</v>
          </cell>
          <cell r="F32">
            <v>49.211328098380001</v>
          </cell>
          <cell r="G32">
            <v>76.27865053891</v>
          </cell>
          <cell r="H32">
            <v>65.753690011840007</v>
          </cell>
          <cell r="I32">
            <v>141.39312744813</v>
          </cell>
          <cell r="J32">
            <v>155.33322505122999</v>
          </cell>
          <cell r="K32">
            <v>87.160018972849997</v>
          </cell>
          <cell r="L32">
            <v>70.318197119719997</v>
          </cell>
          <cell r="M32">
            <v>66.614030281449999</v>
          </cell>
          <cell r="N32">
            <v>52.577256360070002</v>
          </cell>
          <cell r="O32">
            <v>46.519238762900002</v>
          </cell>
          <cell r="P32">
            <v>45.143096610809998</v>
          </cell>
          <cell r="Q32">
            <v>44.033406329430001</v>
          </cell>
          <cell r="R32">
            <v>48.441755350059999</v>
          </cell>
          <cell r="S32">
            <v>56.502976310549997</v>
          </cell>
          <cell r="T32">
            <v>51.099557280459997</v>
          </cell>
          <cell r="U32">
            <v>80.736345438260003</v>
          </cell>
        </row>
        <row r="33">
          <cell r="B33" t="str">
            <v>Warehouse Inventory</v>
          </cell>
          <cell r="C33">
            <v>55.427864146091657</v>
          </cell>
          <cell r="D33">
            <v>50.54581118603334</v>
          </cell>
          <cell r="E33">
            <v>46.333568151666668</v>
          </cell>
          <cell r="F33">
            <v>31.603278209999999</v>
          </cell>
          <cell r="G33">
            <v>60.10420792</v>
          </cell>
          <cell r="H33">
            <v>50.870760400000002</v>
          </cell>
          <cell r="I33">
            <v>70.305838840000007</v>
          </cell>
          <cell r="J33">
            <v>102.10110503</v>
          </cell>
          <cell r="K33">
            <v>58.090173120000003</v>
          </cell>
          <cell r="L33">
            <v>59.43072102</v>
          </cell>
          <cell r="M33">
            <v>58.034964770000002</v>
          </cell>
          <cell r="N33">
            <v>31.317922129999999</v>
          </cell>
          <cell r="O33">
            <v>25.641684250000001</v>
          </cell>
          <cell r="P33">
            <v>30.786726309999999</v>
          </cell>
          <cell r="Q33">
            <v>27.099702220000001</v>
          </cell>
          <cell r="R33">
            <v>32.77817907</v>
          </cell>
          <cell r="S33">
            <v>36.925417760000002</v>
          </cell>
          <cell r="T33">
            <v>36.362278269999997</v>
          </cell>
          <cell r="U33">
            <v>59.66595057</v>
          </cell>
        </row>
        <row r="34">
          <cell r="B34" t="str">
            <v>Long-term stock price</v>
          </cell>
          <cell r="C34">
            <v>1.0590961544666666</v>
          </cell>
          <cell r="D34">
            <v>1.2023884955916666</v>
          </cell>
          <cell r="E34">
            <v>0.40678957749999994</v>
          </cell>
          <cell r="F34">
            <v>0.17647846</v>
          </cell>
          <cell r="G34">
            <v>0.13978393</v>
          </cell>
          <cell r="H34">
            <v>0.35060964999999999</v>
          </cell>
          <cell r="I34">
            <v>0.61706331000000003</v>
          </cell>
          <cell r="J34">
            <v>0.26062949000000002</v>
          </cell>
          <cell r="K34">
            <v>0.23477946999999999</v>
          </cell>
          <cell r="L34">
            <v>0.99993328000000004</v>
          </cell>
          <cell r="M34">
            <v>3.2757512100000001</v>
          </cell>
          <cell r="N34">
            <v>0.22183549999999999</v>
          </cell>
          <cell r="O34">
            <v>0.67184730000000004</v>
          </cell>
          <cell r="P34">
            <v>0.33325487999999998</v>
          </cell>
          <cell r="Q34">
            <v>0.10616103</v>
          </cell>
          <cell r="R34">
            <v>0.12049282</v>
          </cell>
          <cell r="S34">
            <v>0.15479960000000001</v>
          </cell>
          <cell r="T34">
            <v>6.6059560000000003E-2</v>
          </cell>
          <cell r="U34">
            <v>0.13751911999999999</v>
          </cell>
        </row>
        <row r="35">
          <cell r="B35" t="str">
            <v>Total Stock</v>
          </cell>
          <cell r="C35">
            <v>75.43124248649778</v>
          </cell>
          <cell r="D35">
            <v>65.056452305342546</v>
          </cell>
          <cell r="E35">
            <v>66.077886607647699</v>
          </cell>
          <cell r="F35">
            <v>49.211328098380001</v>
          </cell>
          <cell r="G35">
            <v>76.27865053891</v>
          </cell>
          <cell r="H35">
            <v>65.753690011840007</v>
          </cell>
          <cell r="I35">
            <v>141.39312744813</v>
          </cell>
          <cell r="J35">
            <v>155.33322505122999</v>
          </cell>
          <cell r="K35">
            <v>87.160018972849997</v>
          </cell>
          <cell r="L35">
            <v>70.318197119719997</v>
          </cell>
          <cell r="M35">
            <v>66.614030281449999</v>
          </cell>
          <cell r="N35">
            <v>52.577256360070002</v>
          </cell>
          <cell r="O35">
            <v>46.519238762900002</v>
          </cell>
          <cell r="P35">
            <v>45.143096610809998</v>
          </cell>
          <cell r="Q35">
            <v>44.033406329430001</v>
          </cell>
          <cell r="R35">
            <v>48.441755350059999</v>
          </cell>
          <cell r="S35">
            <v>56.502976310549997</v>
          </cell>
          <cell r="T35">
            <v>51.099557280459997</v>
          </cell>
          <cell r="U35">
            <v>80.736345438260003</v>
          </cell>
        </row>
        <row r="36">
          <cell r="B36" t="str">
            <v>Long-term inventories</v>
          </cell>
          <cell r="C36">
            <v>1.9107648667016981E-2</v>
          </cell>
          <cell r="D36">
            <v>2.3788093758477593E-2</v>
          </cell>
          <cell r="E36">
            <v>8.7795866739299958E-3</v>
          </cell>
          <cell r="F36">
            <v>5.5841820847610099E-3</v>
          </cell>
          <cell r="G36">
            <v>2.3256929063278798E-3</v>
          </cell>
          <cell r="H36">
            <v>6.8921645212914901E-3</v>
          </cell>
          <cell r="I36">
            <v>8.7768430073680605E-3</v>
          </cell>
          <cell r="J36">
            <v>2.5526608152127298E-3</v>
          </cell>
          <cell r="K36">
            <v>4.0416383252121404E-3</v>
          </cell>
          <cell r="L36">
            <v>1.6825191800441001E-2</v>
          </cell>
          <cell r="M36">
            <v>5.6444442121783303E-2</v>
          </cell>
          <cell r="N36">
            <v>7.0833403020534296E-3</v>
          </cell>
          <cell r="O36">
            <v>2.6201371698116899E-2</v>
          </cell>
          <cell r="P36">
            <v>1.08246286612082E-2</v>
          </cell>
          <cell r="Q36">
            <v>3.9174242262208902E-3</v>
          </cell>
          <cell r="R36">
            <v>3.6760071309232699E-3</v>
          </cell>
          <cell r="S36">
            <v>4.1922233894856296E-3</v>
          </cell>
          <cell r="T36">
            <v>1.8167057495542299E-3</v>
          </cell>
          <cell r="U36">
            <v>2.3048173822130401E-3</v>
          </cell>
        </row>
        <row r="37">
          <cell r="B37" t="str">
            <v>Inventory days</v>
          </cell>
          <cell r="C37">
            <v>19.381697434041993</v>
          </cell>
          <cell r="D37">
            <v>20.438592400161731</v>
          </cell>
          <cell r="E37">
            <v>17.484836732218618</v>
          </cell>
          <cell r="F37">
            <v>14.736600778488301</v>
          </cell>
          <cell r="G37">
            <v>19.558217432540999</v>
          </cell>
          <cell r="H37">
            <v>15.3826610988346</v>
          </cell>
          <cell r="I37">
            <v>21.275860679222902</v>
          </cell>
          <cell r="J37">
            <v>23.066713765391999</v>
          </cell>
          <cell r="K37">
            <v>24.668097312910501</v>
          </cell>
          <cell r="L37">
            <v>25.6951624482714</v>
          </cell>
          <cell r="M37">
            <v>26.1609058653736</v>
          </cell>
          <cell r="N37">
            <v>18.083654330379801</v>
          </cell>
          <cell r="O37">
            <v>17.861151711606698</v>
          </cell>
          <cell r="P37">
            <v>17.081091321326799</v>
          </cell>
          <cell r="Q37">
            <v>15.224786020110299</v>
          </cell>
          <cell r="R37">
            <v>17.831765801189999</v>
          </cell>
          <cell r="S37">
            <v>15.3949151352315</v>
          </cell>
          <cell r="T37">
            <v>10.123997576342701</v>
          </cell>
          <cell r="U37">
            <v>11.3093285437701</v>
          </cell>
        </row>
        <row r="40">
          <cell r="B40" t="str">
            <v>YYYY</v>
          </cell>
          <cell r="C40">
            <v>2012</v>
          </cell>
          <cell r="D40">
            <v>2013</v>
          </cell>
          <cell r="E40">
            <v>2014</v>
          </cell>
          <cell r="F40">
            <v>201406</v>
          </cell>
          <cell r="G40">
            <v>201407</v>
          </cell>
          <cell r="H40">
            <v>201408</v>
          </cell>
          <cell r="I40">
            <v>201409</v>
          </cell>
          <cell r="J40">
            <v>201410</v>
          </cell>
          <cell r="K40">
            <v>201411</v>
          </cell>
          <cell r="L40">
            <v>201412</v>
          </cell>
          <cell r="M40">
            <v>201501</v>
          </cell>
          <cell r="N40">
            <v>201502</v>
          </cell>
          <cell r="O40">
            <v>201503</v>
          </cell>
          <cell r="P40">
            <v>201504</v>
          </cell>
          <cell r="Q40">
            <v>201505</v>
          </cell>
          <cell r="R40">
            <v>201506</v>
          </cell>
          <cell r="S40">
            <v>201507</v>
          </cell>
          <cell r="T40">
            <v>201508</v>
          </cell>
          <cell r="U40">
            <v>201509</v>
          </cell>
        </row>
        <row r="41">
          <cell r="B41" t="str">
            <v>Cost of sales</v>
          </cell>
          <cell r="C41">
            <v>0</v>
          </cell>
          <cell r="D41">
            <v>0</v>
          </cell>
          <cell r="E41">
            <v>0.67417818081416669</v>
          </cell>
          <cell r="F41">
            <v>0</v>
          </cell>
          <cell r="G41">
            <v>1.96475494036</v>
          </cell>
          <cell r="H41">
            <v>8.5009320580000006E-2</v>
          </cell>
          <cell r="I41">
            <v>1.6033702896799999</v>
          </cell>
          <cell r="J41">
            <v>1.64381395839</v>
          </cell>
          <cell r="K41">
            <v>1.9345720101999999</v>
          </cell>
          <cell r="L41">
            <v>0.85891264994000005</v>
          </cell>
          <cell r="M41">
            <v>1.1691087202299999</v>
          </cell>
          <cell r="N41">
            <v>1.4415293896200001</v>
          </cell>
          <cell r="O41">
            <v>1.0300069697300001</v>
          </cell>
          <cell r="P41">
            <v>0.79819116981000005</v>
          </cell>
          <cell r="Q41">
            <v>2.3215994377600002</v>
          </cell>
          <cell r="R41">
            <v>2.3526336290900001</v>
          </cell>
          <cell r="S41">
            <v>1.0026731604700001</v>
          </cell>
          <cell r="T41">
            <v>2.1659192296100001</v>
          </cell>
          <cell r="U41">
            <v>1.21301398034</v>
          </cell>
        </row>
        <row r="42">
          <cell r="B42" t="str">
            <v>Inventory value</v>
          </cell>
          <cell r="C42">
            <v>0</v>
          </cell>
          <cell r="D42">
            <v>0</v>
          </cell>
          <cell r="E42">
            <v>0.85983748581083341</v>
          </cell>
          <cell r="F42">
            <v>0</v>
          </cell>
          <cell r="G42">
            <v>0.93112689935000004</v>
          </cell>
          <cell r="H42">
            <v>2.8595253896999999</v>
          </cell>
          <cell r="I42">
            <v>2.4270002208200001</v>
          </cell>
          <cell r="J42">
            <v>1.8549739696400001</v>
          </cell>
          <cell r="K42">
            <v>0.69558075923999996</v>
          </cell>
          <cell r="L42">
            <v>1.54984259098</v>
          </cell>
          <cell r="M42">
            <v>2.0981333700100002</v>
          </cell>
          <cell r="N42">
            <v>1.13671927038</v>
          </cell>
          <cell r="O42">
            <v>1.06969488869</v>
          </cell>
          <cell r="P42">
            <v>3.54390091939</v>
          </cell>
          <cell r="Q42">
            <v>3.2047149178700001</v>
          </cell>
          <cell r="R42">
            <v>2.8860583391099999</v>
          </cell>
          <cell r="S42">
            <v>3.3874860790599999</v>
          </cell>
          <cell r="T42">
            <v>1.7530534395999999</v>
          </cell>
          <cell r="U42">
            <v>2.26249264964</v>
          </cell>
        </row>
        <row r="43">
          <cell r="B43" t="str">
            <v>Warehouse Inventory</v>
          </cell>
          <cell r="C43">
            <v>0</v>
          </cell>
          <cell r="D43">
            <v>0</v>
          </cell>
          <cell r="E43">
            <v>0.81330551166666665</v>
          </cell>
          <cell r="F43">
            <v>0</v>
          </cell>
          <cell r="G43">
            <v>0.92816829000000001</v>
          </cell>
          <cell r="H43">
            <v>2.7241015100000001</v>
          </cell>
          <cell r="I43">
            <v>2.3406602699999999</v>
          </cell>
          <cell r="J43">
            <v>1.7138125900000001</v>
          </cell>
          <cell r="K43">
            <v>0.54134987999999995</v>
          </cell>
          <cell r="L43">
            <v>1.5115736</v>
          </cell>
          <cell r="M43">
            <v>1.7055420800000001</v>
          </cell>
          <cell r="N43">
            <v>1.0983810599999999</v>
          </cell>
          <cell r="O43">
            <v>1.0247536500000001</v>
          </cell>
          <cell r="P43">
            <v>3.4718648499999998</v>
          </cell>
          <cell r="Q43">
            <v>3.1338371</v>
          </cell>
          <cell r="R43">
            <v>2.80421919</v>
          </cell>
          <cell r="S43">
            <v>3.2404367700000001</v>
          </cell>
          <cell r="T43">
            <v>1.6533681</v>
          </cell>
          <cell r="U43">
            <v>2.0022718099999999</v>
          </cell>
        </row>
        <row r="44">
          <cell r="B44" t="str">
            <v>Long-term stock price</v>
          </cell>
          <cell r="C44">
            <v>0</v>
          </cell>
          <cell r="D44">
            <v>0</v>
          </cell>
          <cell r="E44">
            <v>6.1963504999999995E-2</v>
          </cell>
          <cell r="F44">
            <v>0</v>
          </cell>
          <cell r="G44">
            <v>0</v>
          </cell>
          <cell r="H44">
            <v>0</v>
          </cell>
          <cell r="I44">
            <v>0.12524690999999999</v>
          </cell>
          <cell r="J44">
            <v>0.58651416999999995</v>
          </cell>
          <cell r="K44">
            <v>2.0839E-4</v>
          </cell>
          <cell r="L44">
            <v>3.1592589999999997E-2</v>
          </cell>
          <cell r="M44">
            <v>1.01275E-3</v>
          </cell>
          <cell r="N44">
            <v>0.23752386</v>
          </cell>
          <cell r="O44">
            <v>0.14720733999999999</v>
          </cell>
          <cell r="P44">
            <v>0.40000983000000001</v>
          </cell>
          <cell r="Q44">
            <v>0.29836559000000001</v>
          </cell>
          <cell r="R44">
            <v>0.38699632</v>
          </cell>
          <cell r="S44">
            <v>0.51639654999999995</v>
          </cell>
          <cell r="T44">
            <v>0.86739922999999997</v>
          </cell>
          <cell r="U44">
            <v>0.41964172</v>
          </cell>
        </row>
        <row r="45">
          <cell r="B45" t="str">
            <v>Total Stock</v>
          </cell>
          <cell r="C45">
            <v>0</v>
          </cell>
          <cell r="D45">
            <v>0</v>
          </cell>
          <cell r="E45">
            <v>0.79369614074846162</v>
          </cell>
          <cell r="F45">
            <v>0</v>
          </cell>
          <cell r="G45">
            <v>0.93112689935000004</v>
          </cell>
          <cell r="H45">
            <v>2.8595253896999999</v>
          </cell>
          <cell r="I45">
            <v>2.4270002208200001</v>
          </cell>
          <cell r="J45">
            <v>1.8549739696400001</v>
          </cell>
          <cell r="K45">
            <v>0.69558075923999996</v>
          </cell>
          <cell r="L45">
            <v>1.54984259098</v>
          </cell>
          <cell r="M45">
            <v>2.0981333700100002</v>
          </cell>
          <cell r="N45">
            <v>1.13671927038</v>
          </cell>
          <cell r="O45">
            <v>1.06969488869</v>
          </cell>
          <cell r="P45">
            <v>3.54390091939</v>
          </cell>
          <cell r="Q45">
            <v>3.2047149178700001</v>
          </cell>
          <cell r="R45">
            <v>2.8860583391099999</v>
          </cell>
          <cell r="S45">
            <v>3.3874860790599999</v>
          </cell>
          <cell r="T45">
            <v>1.7530534395999999</v>
          </cell>
          <cell r="U45">
            <v>2.26249264964</v>
          </cell>
        </row>
        <row r="46">
          <cell r="B46" t="str">
            <v>Long-term inventories</v>
          </cell>
          <cell r="C46">
            <v>0</v>
          </cell>
          <cell r="D46">
            <v>0</v>
          </cell>
          <cell r="E46">
            <v>7.6187243429620022E-2</v>
          </cell>
          <cell r="F46">
            <v>0</v>
          </cell>
          <cell r="G46">
            <v>0</v>
          </cell>
          <cell r="H46">
            <v>0</v>
          </cell>
          <cell r="I46">
            <v>5.3509221994014498E-2</v>
          </cell>
          <cell r="J46">
            <v>0.34222771697575199</v>
          </cell>
          <cell r="K46">
            <v>3.8494513012545602E-4</v>
          </cell>
          <cell r="L46">
            <v>2.0900464257909802E-2</v>
          </cell>
          <cell r="M46">
            <v>5.9379947986976697E-4</v>
          </cell>
          <cell r="N46">
            <v>0.216249049305348</v>
          </cell>
          <cell r="O46">
            <v>0.143651442471076</v>
          </cell>
          <cell r="P46">
            <v>0.11521468930451</v>
          </cell>
          <cell r="Q46">
            <v>9.52077534598081E-2</v>
          </cell>
          <cell r="R46">
            <v>0.13800501807421101</v>
          </cell>
          <cell r="S46">
            <v>0.15936016859850699</v>
          </cell>
          <cell r="T46">
            <v>0.52462559910282502</v>
          </cell>
          <cell r="U46">
            <v>0.20958279385654399</v>
          </cell>
        </row>
        <row r="47">
          <cell r="B47" t="str">
            <v>Inventory days</v>
          </cell>
          <cell r="C47">
            <v>0</v>
          </cell>
          <cell r="D47">
            <v>0</v>
          </cell>
          <cell r="E47">
            <v>35.812841899467266</v>
          </cell>
          <cell r="F47">
            <v>0</v>
          </cell>
          <cell r="G47">
            <v>46.472995937276799</v>
          </cell>
          <cell r="H47">
            <v>53.666084477853303</v>
          </cell>
          <cell r="I47">
            <v>42.735140494903398</v>
          </cell>
          <cell r="J47">
            <v>29.1683679175195</v>
          </cell>
          <cell r="K47">
            <v>24.635295216060602</v>
          </cell>
          <cell r="L47">
            <v>20.408152569571101</v>
          </cell>
          <cell r="M47">
            <v>49.811997986867702</v>
          </cell>
          <cell r="N47">
            <v>34.486930716041002</v>
          </cell>
          <cell r="O47">
            <v>33.977522884438002</v>
          </cell>
          <cell r="P47">
            <v>46.224590485925702</v>
          </cell>
          <cell r="Q47">
            <v>56.271208376354203</v>
          </cell>
          <cell r="R47">
            <v>56.8718530289539</v>
          </cell>
          <cell r="S47">
            <v>60.910314700887099</v>
          </cell>
          <cell r="T47">
            <v>34.859763143422001</v>
          </cell>
          <cell r="U47">
            <v>18.600365780491401</v>
          </cell>
        </row>
        <row r="50">
          <cell r="B50" t="str">
            <v>YYYY</v>
          </cell>
          <cell r="C50">
            <v>2012</v>
          </cell>
          <cell r="D50">
            <v>2013</v>
          </cell>
          <cell r="E50">
            <v>2014</v>
          </cell>
          <cell r="F50">
            <v>201406</v>
          </cell>
          <cell r="G50">
            <v>201407</v>
          </cell>
          <cell r="H50">
            <v>201408</v>
          </cell>
          <cell r="I50">
            <v>201409</v>
          </cell>
          <cell r="J50">
            <v>201410</v>
          </cell>
          <cell r="K50">
            <v>201411</v>
          </cell>
          <cell r="L50">
            <v>201412</v>
          </cell>
          <cell r="M50">
            <v>201501</v>
          </cell>
          <cell r="N50">
            <v>201502</v>
          </cell>
          <cell r="O50">
            <v>201503</v>
          </cell>
          <cell r="P50">
            <v>201504</v>
          </cell>
          <cell r="Q50">
            <v>201505</v>
          </cell>
          <cell r="R50">
            <v>201506</v>
          </cell>
          <cell r="S50">
            <v>201507</v>
          </cell>
          <cell r="T50">
            <v>201508</v>
          </cell>
          <cell r="U50">
            <v>201509</v>
          </cell>
        </row>
        <row r="51">
          <cell r="B51" t="str">
            <v>Cost of sales</v>
          </cell>
          <cell r="C51">
            <v>35.690811246666669</v>
          </cell>
          <cell r="D51">
            <v>51.829095314166672</v>
          </cell>
          <cell r="E51">
            <v>48.806008943850834</v>
          </cell>
          <cell r="F51">
            <v>60.263064461509998</v>
          </cell>
          <cell r="G51">
            <v>46.656557778500002</v>
          </cell>
          <cell r="H51">
            <v>50.882421298460002</v>
          </cell>
          <cell r="I51">
            <v>42.055466980230001</v>
          </cell>
          <cell r="J51">
            <v>65.193722070000007</v>
          </cell>
          <cell r="K51">
            <v>57.189470769480003</v>
          </cell>
          <cell r="L51">
            <v>44.795588209839998</v>
          </cell>
          <cell r="M51">
            <v>40.625508598979998</v>
          </cell>
          <cell r="N51">
            <v>31.583646579149999</v>
          </cell>
          <cell r="O51">
            <v>36.255750049600003</v>
          </cell>
          <cell r="P51">
            <v>40.708141911079998</v>
          </cell>
          <cell r="Q51">
            <v>65.373565368800001</v>
          </cell>
          <cell r="R51">
            <v>67.419560019469998</v>
          </cell>
          <cell r="S51">
            <v>76.554907291519996</v>
          </cell>
          <cell r="T51">
            <v>69.102892969120006</v>
          </cell>
          <cell r="U51">
            <v>66.655944439410007</v>
          </cell>
        </row>
        <row r="52">
          <cell r="B52" t="str">
            <v>Inventory value</v>
          </cell>
          <cell r="C52">
            <v>64.098067886583337</v>
          </cell>
          <cell r="D52">
            <v>68.640230910441659</v>
          </cell>
          <cell r="E52">
            <v>67.155491473030835</v>
          </cell>
          <cell r="F52">
            <v>60.286004799879997</v>
          </cell>
          <cell r="G52">
            <v>58.888628599039997</v>
          </cell>
          <cell r="H52">
            <v>57.464404509669997</v>
          </cell>
          <cell r="I52">
            <v>69.37884114981</v>
          </cell>
          <cell r="J52">
            <v>78.005010480080003</v>
          </cell>
          <cell r="K52">
            <v>62.688433958769998</v>
          </cell>
          <cell r="L52">
            <v>65.746059139370004</v>
          </cell>
          <cell r="M52">
            <v>61.609200579389999</v>
          </cell>
          <cell r="N52">
            <v>56.922914669759997</v>
          </cell>
          <cell r="O52">
            <v>76.886921020819997</v>
          </cell>
          <cell r="P52">
            <v>100.0091688297</v>
          </cell>
          <cell r="Q52">
            <v>96.827557389899994</v>
          </cell>
          <cell r="R52">
            <v>92.466194920380005</v>
          </cell>
          <cell r="S52">
            <v>96.514408309190003</v>
          </cell>
          <cell r="T52">
            <v>84.081852500210005</v>
          </cell>
          <cell r="U52">
            <v>122.44433817078</v>
          </cell>
        </row>
        <row r="53">
          <cell r="B53" t="str">
            <v>Warehouse Inventory</v>
          </cell>
          <cell r="C53">
            <v>34.969696736374999</v>
          </cell>
          <cell r="D53">
            <v>32.923622582850001</v>
          </cell>
          <cell r="E53">
            <v>30.01482746666667</v>
          </cell>
          <cell r="F53">
            <v>33.596888</v>
          </cell>
          <cell r="G53">
            <v>29.619752389999999</v>
          </cell>
          <cell r="H53">
            <v>19.565023740000001</v>
          </cell>
          <cell r="I53">
            <v>23.01290959</v>
          </cell>
          <cell r="J53">
            <v>19.303326640000002</v>
          </cell>
          <cell r="K53">
            <v>24.00442219</v>
          </cell>
          <cell r="L53">
            <v>32.091530880000001</v>
          </cell>
          <cell r="M53">
            <v>30.788765659999999</v>
          </cell>
          <cell r="N53">
            <v>31.373383700000002</v>
          </cell>
          <cell r="O53">
            <v>26.159763959999999</v>
          </cell>
          <cell r="P53">
            <v>45.400839869999999</v>
          </cell>
          <cell r="Q53">
            <v>44.319567190000001</v>
          </cell>
          <cell r="R53">
            <v>51.233917609999999</v>
          </cell>
          <cell r="S53">
            <v>48.552813899999997</v>
          </cell>
          <cell r="T53">
            <v>41.312557429999998</v>
          </cell>
          <cell r="U53">
            <v>50.151917990000001</v>
          </cell>
        </row>
      </sheetData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kh01" refreshedDate="42394.599943518515" missingItemsLimit="0" createdVersion="3" refreshedVersion="3" recordCount="1715">
  <cacheSource type="external" connectionId="6"/>
  <cacheFields count="9">
    <cacheField name="COL_INDEX" numFmtId="0">
      <sharedItems count="8">
        <s v="1.전체_매출"/>
        <s v="2.전체_재고일수"/>
        <s v="3.전체_재고금액"/>
        <s v="4.전체_장기재고금액"/>
        <s v="5.재고과다/재고부족_재고일수"/>
        <s v="6.재고과다/재고부족_재고금액"/>
        <s v="7.장기재고율_매출"/>
        <s v="7.장기재고율_장기재고금액"/>
      </sharedItems>
    </cacheField>
    <cacheField name="DIV_CD" numFmtId="0">
      <sharedItems count="18">
        <s v="1.전체_매출"/>
        <s v="2.전체_재고일수"/>
        <s v="3.전체_재고금액"/>
        <s v="4.전체_장기재고금액"/>
        <s v="CNT"/>
        <s v="CVT"/>
        <s v="DFT"/>
        <s v="DGT"/>
        <s v="DVT"/>
        <s v="GLT"/>
        <s v="GPT"/>
        <s v="GTT"/>
        <s v="MST"/>
        <s v="PHT"/>
        <s v="PJT"/>
        <s v="PNT"/>
        <s v="PST"/>
        <s v="PCT"/>
      </sharedItems>
    </cacheField>
    <cacheField name="B2B_B2C" numFmtId="0">
      <sharedItems count="1">
        <s v="B2C"/>
      </sharedItems>
    </cacheField>
    <cacheField name="BASIS_YYYY" numFmtId="0">
      <sharedItems count="4">
        <s v="2012"/>
        <s v="2013"/>
        <s v="2014"/>
        <s v="2015"/>
      </sharedItems>
    </cacheField>
    <cacheField name="BASIS_YYYYMM" numFmtId="0">
      <sharedItems count="50">
        <s v="201201"/>
        <s v="201202"/>
        <s v="201203"/>
        <s v="201204"/>
        <s v="201205"/>
        <s v="201206"/>
        <s v="201207"/>
        <s v="201208"/>
        <s v="201209"/>
        <s v="201210"/>
        <s v="201211"/>
        <s v="201212"/>
        <s v="201301"/>
        <s v="201302"/>
        <s v="201303"/>
        <s v="201304"/>
        <s v="201305"/>
        <s v="201306"/>
        <s v="201307"/>
        <s v="201308"/>
        <s v="201309"/>
        <s v="201310"/>
        <s v="201311"/>
        <s v="201312"/>
        <s v="201401"/>
        <s v="201402"/>
        <s v="201403"/>
        <s v="201404"/>
        <s v="201405"/>
        <s v="201406"/>
        <s v="201407"/>
        <s v="201408"/>
        <s v="201409"/>
        <s v="201410"/>
        <s v="201411"/>
        <s v="201412"/>
        <s v="201501"/>
        <s v="201502"/>
        <s v="201503"/>
        <s v="201504"/>
        <s v="201505"/>
        <s v="201506"/>
        <s v="201507"/>
        <s v="201508"/>
        <s v="201509"/>
        <s v="201510"/>
        <s v="201200"/>
        <s v="201300"/>
        <s v="201400"/>
        <s v="201500"/>
      </sharedItems>
    </cacheField>
    <cacheField name="KPI_CD" numFmtId="0">
      <sharedItems count="16">
        <s v="SALE"/>
        <s v="INV_DIO"/>
        <s v="INV_DIO_MTL"/>
        <s v="INV_DIO_R"/>
        <s v="INV"/>
        <s v="INV_SEA"/>
        <s v="INV_WH"/>
        <s v="INV_LONG_TERM"/>
        <s v="INV_LONG_TERM_13_Over"/>
        <s v="INV_LONG_TERM_3_6"/>
        <s v="INV_LONG_TERM_7_12"/>
        <s v="INV_LONG_TERM_AGING"/>
        <s v="INV_LONG_TERM_MTL"/>
        <s v="INV_LONG_TERM_MTL_13_Over"/>
        <s v="INV_LONG_TERM_MTL_3_6"/>
        <s v="INV_LONG_TERM_MTL_7_12"/>
      </sharedItems>
    </cacheField>
    <cacheField name="AMOUNT" numFmtId="0">
      <sharedItems containsString="0" containsBlank="1" containsNumber="1" minValue="-346916.60651035799" maxValue="109961443.03820056"/>
    </cacheField>
    <cacheField name="DIV_NAME_KO" numFmtId="0">
      <sharedItems containsBlank="1" count="15">
        <m/>
        <s v="냉장고"/>
        <s v="쿠킹"/>
        <s v="세탁기"/>
        <s v="RAC"/>
        <s v="VCC"/>
        <s v="LCD TV"/>
        <s v="PDP"/>
        <s v="모니터/모니터 TV"/>
        <s v="단말"/>
        <s v="Photo Printer"/>
        <s v="Projector"/>
        <s v="AV"/>
        <s v="DS (Brand)"/>
        <s v="PC"/>
      </sharedItems>
    </cacheField>
    <cacheField name="DIV_NAME_EN" numFmtId="0">
      <sharedItems containsBlank="1" count="15">
        <m/>
        <s v="REF"/>
        <s v="Cooking"/>
        <s v="W/M"/>
        <s v="RAC"/>
        <s v="VCC"/>
        <s v="LCD TV"/>
        <s v="PDP"/>
        <s v="MNT/MNT TV"/>
        <s v="MC"/>
        <s v="Photo Printer"/>
        <s v="Projector"/>
        <s v="AV"/>
        <s v="DS (Brand)"/>
        <s v="PC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kh01" refreshedDate="42395.628892824076" createdVersion="1" refreshedVersion="3" recordCount="438" upgradeOnRefresh="1">
  <cacheSource type="external" connectionId="7"/>
  <cacheFields count="6">
    <cacheField name="COL_INDEX" numFmtId="0">
      <sharedItems count="14">
        <s v="가격성판촉비"/>
        <s v="매출"/>
        <s v="영업이익"/>
        <s v="저수익매출"/>
        <s v="광고선전비"/>
        <s v="판매촉진비"/>
        <s v="전년대비"/>
        <s v="전월이동"/>
        <s v="MostLikely대비(W-1)"/>
        <s v="한계이익"/>
        <s v="한계적자매출"/>
        <s v="역산법"/>
        <s v="재고일수"/>
        <s v="장기재고"/>
      </sharedItems>
    </cacheField>
    <cacheField name="SUBSDR_CD" numFmtId="0">
      <sharedItems count="1">
        <s v="EEUK"/>
      </sharedItems>
    </cacheField>
    <cacheField name="BASE_YYYYMM" numFmtId="0">
      <sharedItems count="42">
        <s v="2013"/>
        <s v="201301"/>
        <s v="201302"/>
        <s v="201303"/>
        <s v="201304"/>
        <s v="201305"/>
        <s v="201306"/>
        <s v="201307"/>
        <s v="201308"/>
        <s v="201309"/>
        <s v="201310"/>
        <s v="201311"/>
        <s v="201312"/>
        <s v="2014"/>
        <s v="201401"/>
        <s v="201402"/>
        <s v="201403"/>
        <s v="201404"/>
        <s v="201405"/>
        <s v="201406"/>
        <s v="201407"/>
        <s v="201408"/>
        <s v="201409"/>
        <s v="201410"/>
        <s v="201411"/>
        <s v="201412"/>
        <s v="2015"/>
        <s v="201501"/>
        <s v="201502"/>
        <s v="201503"/>
        <s v="201504"/>
        <s v="201505"/>
        <s v="201506"/>
        <s v="201507"/>
        <s v="201508"/>
        <s v="201509"/>
        <s v="201510"/>
        <s v="2015  "/>
        <s v="201511"/>
        <s v="201512"/>
        <s v="201400"/>
        <s v="201500"/>
      </sharedItems>
    </cacheField>
    <cacheField name="KPI_CD" numFmtId="0">
      <sharedItems count="8">
        <s v="SALES_DEDUCTION"/>
        <s v="SALE"/>
        <s v="COI"/>
        <s v="OH101000"/>
        <s v="MGN_PROFIT"/>
        <s v="INV_DIO_R"/>
        <s v="INV_DIO"/>
        <s v="INV_LONG_TERM"/>
      </sharedItems>
    </cacheField>
    <cacheField name="AMOUNT" numFmtId="0">
      <sharedItems containsString="0" containsBlank="1" containsNumber="1" minValue="-107079596.36963245" maxValue="391123220.3356083"/>
    </cacheField>
    <cacheField name="SORT_KEY" numFmtId="0">
      <sharedItems count="1">
        <s v="0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15">
  <r>
    <x v="0"/>
    <x v="0"/>
    <x v="0"/>
    <x v="0"/>
    <x v="0"/>
    <x v="0"/>
    <n v="34755510.048274986"/>
    <x v="0"/>
    <x v="0"/>
  </r>
  <r>
    <x v="0"/>
    <x v="0"/>
    <x v="0"/>
    <x v="0"/>
    <x v="1"/>
    <x v="0"/>
    <n v="26980075.100886896"/>
    <x v="0"/>
    <x v="0"/>
  </r>
  <r>
    <x v="0"/>
    <x v="0"/>
    <x v="0"/>
    <x v="0"/>
    <x v="2"/>
    <x v="0"/>
    <n v="41098345.830866389"/>
    <x v="0"/>
    <x v="0"/>
  </r>
  <r>
    <x v="0"/>
    <x v="0"/>
    <x v="0"/>
    <x v="0"/>
    <x v="3"/>
    <x v="0"/>
    <n v="42602852.957146451"/>
    <x v="0"/>
    <x v="0"/>
  </r>
  <r>
    <x v="0"/>
    <x v="0"/>
    <x v="0"/>
    <x v="0"/>
    <x v="4"/>
    <x v="0"/>
    <n v="38317137.724943541"/>
    <x v="0"/>
    <x v="0"/>
  </r>
  <r>
    <x v="0"/>
    <x v="0"/>
    <x v="0"/>
    <x v="0"/>
    <x v="5"/>
    <x v="0"/>
    <n v="33561399.118237019"/>
    <x v="0"/>
    <x v="0"/>
  </r>
  <r>
    <x v="0"/>
    <x v="0"/>
    <x v="0"/>
    <x v="0"/>
    <x v="6"/>
    <x v="0"/>
    <n v="41821643.139291748"/>
    <x v="0"/>
    <x v="0"/>
  </r>
  <r>
    <x v="0"/>
    <x v="0"/>
    <x v="0"/>
    <x v="0"/>
    <x v="7"/>
    <x v="0"/>
    <n v="44700165.581131332"/>
    <x v="0"/>
    <x v="0"/>
  </r>
  <r>
    <x v="0"/>
    <x v="0"/>
    <x v="0"/>
    <x v="0"/>
    <x v="8"/>
    <x v="0"/>
    <n v="49084027.609429508"/>
    <x v="0"/>
    <x v="0"/>
  </r>
  <r>
    <x v="0"/>
    <x v="0"/>
    <x v="0"/>
    <x v="0"/>
    <x v="9"/>
    <x v="0"/>
    <n v="62471646.981993802"/>
    <x v="0"/>
    <x v="0"/>
  </r>
  <r>
    <x v="0"/>
    <x v="0"/>
    <x v="0"/>
    <x v="0"/>
    <x v="10"/>
    <x v="0"/>
    <n v="82091256.051491126"/>
    <x v="0"/>
    <x v="0"/>
  </r>
  <r>
    <x v="0"/>
    <x v="0"/>
    <x v="0"/>
    <x v="0"/>
    <x v="11"/>
    <x v="0"/>
    <n v="67253999.209048644"/>
    <x v="0"/>
    <x v="0"/>
  </r>
  <r>
    <x v="0"/>
    <x v="0"/>
    <x v="0"/>
    <x v="1"/>
    <x v="12"/>
    <x v="0"/>
    <n v="47263458.629857279"/>
    <x v="0"/>
    <x v="0"/>
  </r>
  <r>
    <x v="0"/>
    <x v="0"/>
    <x v="0"/>
    <x v="1"/>
    <x v="13"/>
    <x v="0"/>
    <n v="36229165.145843104"/>
    <x v="0"/>
    <x v="0"/>
  </r>
  <r>
    <x v="0"/>
    <x v="0"/>
    <x v="0"/>
    <x v="1"/>
    <x v="14"/>
    <x v="0"/>
    <n v="44314063.512949854"/>
    <x v="0"/>
    <x v="0"/>
  </r>
  <r>
    <x v="0"/>
    <x v="0"/>
    <x v="0"/>
    <x v="1"/>
    <x v="15"/>
    <x v="0"/>
    <n v="44331267.411026798"/>
    <x v="0"/>
    <x v="0"/>
  </r>
  <r>
    <x v="0"/>
    <x v="0"/>
    <x v="0"/>
    <x v="1"/>
    <x v="16"/>
    <x v="0"/>
    <n v="48559047.897662386"/>
    <x v="0"/>
    <x v="0"/>
  </r>
  <r>
    <x v="0"/>
    <x v="0"/>
    <x v="0"/>
    <x v="1"/>
    <x v="17"/>
    <x v="0"/>
    <n v="35343175.136061266"/>
    <x v="0"/>
    <x v="0"/>
  </r>
  <r>
    <x v="0"/>
    <x v="0"/>
    <x v="0"/>
    <x v="1"/>
    <x v="18"/>
    <x v="0"/>
    <n v="37258310.485042639"/>
    <x v="0"/>
    <x v="0"/>
  </r>
  <r>
    <x v="0"/>
    <x v="0"/>
    <x v="0"/>
    <x v="1"/>
    <x v="19"/>
    <x v="0"/>
    <n v="41123916.02179765"/>
    <x v="0"/>
    <x v="0"/>
  </r>
  <r>
    <x v="0"/>
    <x v="0"/>
    <x v="0"/>
    <x v="1"/>
    <x v="20"/>
    <x v="0"/>
    <n v="42850264.146215402"/>
    <x v="0"/>
    <x v="0"/>
  </r>
  <r>
    <x v="0"/>
    <x v="0"/>
    <x v="0"/>
    <x v="1"/>
    <x v="21"/>
    <x v="0"/>
    <n v="70538719.076631755"/>
    <x v="0"/>
    <x v="0"/>
  </r>
  <r>
    <x v="0"/>
    <x v="0"/>
    <x v="0"/>
    <x v="1"/>
    <x v="22"/>
    <x v="0"/>
    <n v="99555752.053670287"/>
    <x v="0"/>
    <x v="0"/>
  </r>
  <r>
    <x v="0"/>
    <x v="0"/>
    <x v="0"/>
    <x v="1"/>
    <x v="23"/>
    <x v="0"/>
    <n v="71649943.859514296"/>
    <x v="0"/>
    <x v="0"/>
  </r>
  <r>
    <x v="0"/>
    <x v="0"/>
    <x v="0"/>
    <x v="2"/>
    <x v="24"/>
    <x v="0"/>
    <n v="52173258.053572021"/>
    <x v="0"/>
    <x v="0"/>
  </r>
  <r>
    <x v="0"/>
    <x v="0"/>
    <x v="0"/>
    <x v="2"/>
    <x v="25"/>
    <x v="0"/>
    <n v="43467049.089931123"/>
    <x v="0"/>
    <x v="0"/>
  </r>
  <r>
    <x v="0"/>
    <x v="0"/>
    <x v="0"/>
    <x v="2"/>
    <x v="26"/>
    <x v="0"/>
    <n v="51263096.732115597"/>
    <x v="0"/>
    <x v="0"/>
  </r>
  <r>
    <x v="0"/>
    <x v="0"/>
    <x v="0"/>
    <x v="2"/>
    <x v="27"/>
    <x v="0"/>
    <n v="48807835.953079037"/>
    <x v="0"/>
    <x v="0"/>
  </r>
  <r>
    <x v="0"/>
    <x v="0"/>
    <x v="0"/>
    <x v="2"/>
    <x v="28"/>
    <x v="0"/>
    <n v="59477594.828803658"/>
    <x v="0"/>
    <x v="0"/>
  </r>
  <r>
    <x v="0"/>
    <x v="0"/>
    <x v="0"/>
    <x v="2"/>
    <x v="29"/>
    <x v="0"/>
    <n v="46422138.060603626"/>
    <x v="0"/>
    <x v="0"/>
  </r>
  <r>
    <x v="0"/>
    <x v="0"/>
    <x v="0"/>
    <x v="2"/>
    <x v="30"/>
    <x v="0"/>
    <n v="49640517.963160403"/>
    <x v="0"/>
    <x v="0"/>
  </r>
  <r>
    <x v="0"/>
    <x v="0"/>
    <x v="0"/>
    <x v="2"/>
    <x v="31"/>
    <x v="0"/>
    <n v="56796346.646599747"/>
    <x v="0"/>
    <x v="0"/>
  </r>
  <r>
    <x v="0"/>
    <x v="0"/>
    <x v="0"/>
    <x v="2"/>
    <x v="32"/>
    <x v="0"/>
    <n v="55165009.11535047"/>
    <x v="0"/>
    <x v="0"/>
  </r>
  <r>
    <x v="0"/>
    <x v="0"/>
    <x v="0"/>
    <x v="2"/>
    <x v="33"/>
    <x v="0"/>
    <n v="70948357.404854104"/>
    <x v="0"/>
    <x v="0"/>
  </r>
  <r>
    <x v="0"/>
    <x v="0"/>
    <x v="0"/>
    <x v="2"/>
    <x v="34"/>
    <x v="0"/>
    <n v="109961443.03820056"/>
    <x v="0"/>
    <x v="0"/>
  </r>
  <r>
    <x v="0"/>
    <x v="0"/>
    <x v="0"/>
    <x v="2"/>
    <x v="35"/>
    <x v="0"/>
    <n v="74908098.346164793"/>
    <x v="0"/>
    <x v="0"/>
  </r>
  <r>
    <x v="0"/>
    <x v="0"/>
    <x v="0"/>
    <x v="3"/>
    <x v="36"/>
    <x v="0"/>
    <n v="55737821.749156326"/>
    <x v="0"/>
    <x v="0"/>
  </r>
  <r>
    <x v="0"/>
    <x v="0"/>
    <x v="0"/>
    <x v="3"/>
    <x v="37"/>
    <x v="0"/>
    <n v="44385008.017537586"/>
    <x v="0"/>
    <x v="0"/>
  </r>
  <r>
    <x v="0"/>
    <x v="0"/>
    <x v="0"/>
    <x v="3"/>
    <x v="38"/>
    <x v="0"/>
    <n v="50866293.573938221"/>
    <x v="0"/>
    <x v="0"/>
  </r>
  <r>
    <x v="0"/>
    <x v="0"/>
    <x v="0"/>
    <x v="3"/>
    <x v="39"/>
    <x v="0"/>
    <n v="45090354.045579493"/>
    <x v="0"/>
    <x v="0"/>
  </r>
  <r>
    <x v="0"/>
    <x v="0"/>
    <x v="0"/>
    <x v="3"/>
    <x v="40"/>
    <x v="0"/>
    <n v="51761214.970111169"/>
    <x v="0"/>
    <x v="0"/>
  </r>
  <r>
    <x v="0"/>
    <x v="0"/>
    <x v="0"/>
    <x v="3"/>
    <x v="41"/>
    <x v="0"/>
    <n v="51899054.886559092"/>
    <x v="0"/>
    <x v="0"/>
  </r>
  <r>
    <x v="0"/>
    <x v="0"/>
    <x v="0"/>
    <x v="3"/>
    <x v="42"/>
    <x v="0"/>
    <n v="50654875.733508959"/>
    <x v="0"/>
    <x v="0"/>
  </r>
  <r>
    <x v="0"/>
    <x v="0"/>
    <x v="0"/>
    <x v="3"/>
    <x v="43"/>
    <x v="0"/>
    <n v="44283784.795194708"/>
    <x v="0"/>
    <x v="0"/>
  </r>
  <r>
    <x v="0"/>
    <x v="0"/>
    <x v="0"/>
    <x v="3"/>
    <x v="44"/>
    <x v="0"/>
    <n v="48281209.135355242"/>
    <x v="0"/>
    <x v="0"/>
  </r>
  <r>
    <x v="0"/>
    <x v="0"/>
    <x v="0"/>
    <x v="3"/>
    <x v="45"/>
    <x v="0"/>
    <n v="71016146.176545054"/>
    <x v="0"/>
    <x v="0"/>
  </r>
  <r>
    <x v="1"/>
    <x v="1"/>
    <x v="0"/>
    <x v="0"/>
    <x v="46"/>
    <x v="1"/>
    <m/>
    <x v="0"/>
    <x v="0"/>
  </r>
  <r>
    <x v="1"/>
    <x v="1"/>
    <x v="0"/>
    <x v="0"/>
    <x v="46"/>
    <x v="2"/>
    <m/>
    <x v="0"/>
    <x v="0"/>
  </r>
  <r>
    <x v="1"/>
    <x v="1"/>
    <x v="0"/>
    <x v="0"/>
    <x v="46"/>
    <x v="3"/>
    <n v="0"/>
    <x v="0"/>
    <x v="0"/>
  </r>
  <r>
    <x v="1"/>
    <x v="1"/>
    <x v="0"/>
    <x v="0"/>
    <x v="0"/>
    <x v="1"/>
    <n v="32.713842198711198"/>
    <x v="0"/>
    <x v="0"/>
  </r>
  <r>
    <x v="1"/>
    <x v="1"/>
    <x v="0"/>
    <x v="0"/>
    <x v="0"/>
    <x v="2"/>
    <m/>
    <x v="0"/>
    <x v="0"/>
  </r>
  <r>
    <x v="1"/>
    <x v="1"/>
    <x v="0"/>
    <x v="0"/>
    <x v="0"/>
    <x v="3"/>
    <n v="28.548698982512601"/>
    <x v="0"/>
    <x v="0"/>
  </r>
  <r>
    <x v="1"/>
    <x v="1"/>
    <x v="0"/>
    <x v="0"/>
    <x v="1"/>
    <x v="1"/>
    <n v="26.003002548225801"/>
    <x v="0"/>
    <x v="0"/>
  </r>
  <r>
    <x v="1"/>
    <x v="1"/>
    <x v="0"/>
    <x v="0"/>
    <x v="1"/>
    <x v="2"/>
    <m/>
    <x v="0"/>
    <x v="0"/>
  </r>
  <r>
    <x v="1"/>
    <x v="1"/>
    <x v="0"/>
    <x v="0"/>
    <x v="1"/>
    <x v="3"/>
    <n v="31.221668378925301"/>
    <x v="0"/>
    <x v="0"/>
  </r>
  <r>
    <x v="1"/>
    <x v="1"/>
    <x v="0"/>
    <x v="0"/>
    <x v="2"/>
    <x v="1"/>
    <n v="23.971153941572599"/>
    <x v="0"/>
    <x v="0"/>
  </r>
  <r>
    <x v="1"/>
    <x v="1"/>
    <x v="0"/>
    <x v="0"/>
    <x v="2"/>
    <x v="2"/>
    <m/>
    <x v="0"/>
    <x v="0"/>
  </r>
  <r>
    <x v="1"/>
    <x v="1"/>
    <x v="0"/>
    <x v="0"/>
    <x v="2"/>
    <x v="3"/>
    <n v="28.968888634558201"/>
    <x v="0"/>
    <x v="0"/>
  </r>
  <r>
    <x v="1"/>
    <x v="1"/>
    <x v="0"/>
    <x v="0"/>
    <x v="3"/>
    <x v="1"/>
    <n v="31.071772637332302"/>
    <x v="0"/>
    <x v="0"/>
  </r>
  <r>
    <x v="1"/>
    <x v="1"/>
    <x v="0"/>
    <x v="0"/>
    <x v="3"/>
    <x v="2"/>
    <m/>
    <x v="0"/>
    <x v="0"/>
  </r>
  <r>
    <x v="1"/>
    <x v="1"/>
    <x v="0"/>
    <x v="0"/>
    <x v="3"/>
    <x v="3"/>
    <n v="28.501135959838599"/>
    <x v="0"/>
    <x v="0"/>
  </r>
  <r>
    <x v="1"/>
    <x v="1"/>
    <x v="0"/>
    <x v="0"/>
    <x v="4"/>
    <x v="1"/>
    <n v="44.5657441867492"/>
    <x v="0"/>
    <x v="0"/>
  </r>
  <r>
    <x v="1"/>
    <x v="1"/>
    <x v="0"/>
    <x v="0"/>
    <x v="4"/>
    <x v="2"/>
    <m/>
    <x v="0"/>
    <x v="0"/>
  </r>
  <r>
    <x v="1"/>
    <x v="1"/>
    <x v="0"/>
    <x v="0"/>
    <x v="4"/>
    <x v="3"/>
    <n v="30.991004188203199"/>
    <x v="0"/>
    <x v="0"/>
  </r>
  <r>
    <x v="1"/>
    <x v="1"/>
    <x v="0"/>
    <x v="0"/>
    <x v="5"/>
    <x v="1"/>
    <n v="28.585274495354799"/>
    <x v="0"/>
    <x v="0"/>
  </r>
  <r>
    <x v="1"/>
    <x v="1"/>
    <x v="0"/>
    <x v="0"/>
    <x v="5"/>
    <x v="2"/>
    <m/>
    <x v="0"/>
    <x v="0"/>
  </r>
  <r>
    <x v="1"/>
    <x v="1"/>
    <x v="0"/>
    <x v="0"/>
    <x v="5"/>
    <x v="3"/>
    <n v="31.4494080994859"/>
    <x v="0"/>
    <x v="0"/>
  </r>
  <r>
    <x v="1"/>
    <x v="1"/>
    <x v="0"/>
    <x v="0"/>
    <x v="6"/>
    <x v="1"/>
    <n v="24.169518715382001"/>
    <x v="0"/>
    <x v="0"/>
  </r>
  <r>
    <x v="1"/>
    <x v="1"/>
    <x v="0"/>
    <x v="0"/>
    <x v="6"/>
    <x v="2"/>
    <m/>
    <x v="0"/>
    <x v="0"/>
  </r>
  <r>
    <x v="1"/>
    <x v="1"/>
    <x v="0"/>
    <x v="0"/>
    <x v="6"/>
    <x v="3"/>
    <n v="30.3748077285005"/>
    <x v="0"/>
    <x v="0"/>
  </r>
  <r>
    <x v="1"/>
    <x v="1"/>
    <x v="0"/>
    <x v="0"/>
    <x v="7"/>
    <x v="1"/>
    <n v="22.831990279773301"/>
    <x v="0"/>
    <x v="0"/>
  </r>
  <r>
    <x v="1"/>
    <x v="1"/>
    <x v="0"/>
    <x v="0"/>
    <x v="7"/>
    <x v="2"/>
    <m/>
    <x v="0"/>
    <x v="0"/>
  </r>
  <r>
    <x v="1"/>
    <x v="1"/>
    <x v="0"/>
    <x v="0"/>
    <x v="7"/>
    <x v="3"/>
    <n v="29.332205092442301"/>
    <x v="0"/>
    <x v="0"/>
  </r>
  <r>
    <x v="1"/>
    <x v="1"/>
    <x v="0"/>
    <x v="0"/>
    <x v="8"/>
    <x v="1"/>
    <n v="17.619763090658701"/>
    <x v="0"/>
    <x v="0"/>
  </r>
  <r>
    <x v="1"/>
    <x v="1"/>
    <x v="0"/>
    <x v="0"/>
    <x v="8"/>
    <x v="2"/>
    <m/>
    <x v="0"/>
    <x v="0"/>
  </r>
  <r>
    <x v="1"/>
    <x v="1"/>
    <x v="0"/>
    <x v="0"/>
    <x v="8"/>
    <x v="3"/>
    <n v="28.7534533134016"/>
    <x v="0"/>
    <x v="0"/>
  </r>
  <r>
    <x v="1"/>
    <x v="1"/>
    <x v="0"/>
    <x v="0"/>
    <x v="9"/>
    <x v="1"/>
    <n v="14.7825751843513"/>
    <x v="0"/>
    <x v="0"/>
  </r>
  <r>
    <x v="1"/>
    <x v="1"/>
    <x v="0"/>
    <x v="0"/>
    <x v="9"/>
    <x v="2"/>
    <m/>
    <x v="0"/>
    <x v="0"/>
  </r>
  <r>
    <x v="1"/>
    <x v="1"/>
    <x v="0"/>
    <x v="0"/>
    <x v="9"/>
    <x v="3"/>
    <n v="27.8136834296246"/>
    <x v="0"/>
    <x v="0"/>
  </r>
  <r>
    <x v="1"/>
    <x v="1"/>
    <x v="0"/>
    <x v="0"/>
    <x v="10"/>
    <x v="1"/>
    <n v="20.2930947512376"/>
    <x v="0"/>
    <x v="0"/>
  </r>
  <r>
    <x v="1"/>
    <x v="1"/>
    <x v="0"/>
    <x v="0"/>
    <x v="10"/>
    <x v="2"/>
    <m/>
    <x v="0"/>
    <x v="0"/>
  </r>
  <r>
    <x v="1"/>
    <x v="1"/>
    <x v="0"/>
    <x v="0"/>
    <x v="10"/>
    <x v="3"/>
    <n v="25.9344223635192"/>
    <x v="0"/>
    <x v="0"/>
  </r>
  <r>
    <x v="1"/>
    <x v="1"/>
    <x v="0"/>
    <x v="0"/>
    <x v="11"/>
    <x v="1"/>
    <n v="16.4509829906522"/>
    <x v="0"/>
    <x v="0"/>
  </r>
  <r>
    <x v="1"/>
    <x v="1"/>
    <x v="0"/>
    <x v="0"/>
    <x v="11"/>
    <x v="2"/>
    <m/>
    <x v="0"/>
    <x v="0"/>
  </r>
  <r>
    <x v="1"/>
    <x v="1"/>
    <x v="0"/>
    <x v="0"/>
    <x v="11"/>
    <x v="3"/>
    <n v="24.208427234039799"/>
    <x v="0"/>
    <x v="0"/>
  </r>
  <r>
    <x v="1"/>
    <x v="1"/>
    <x v="0"/>
    <x v="1"/>
    <x v="47"/>
    <x v="1"/>
    <m/>
    <x v="0"/>
    <x v="0"/>
  </r>
  <r>
    <x v="1"/>
    <x v="1"/>
    <x v="0"/>
    <x v="1"/>
    <x v="47"/>
    <x v="2"/>
    <m/>
    <x v="0"/>
    <x v="0"/>
  </r>
  <r>
    <x v="1"/>
    <x v="1"/>
    <x v="0"/>
    <x v="1"/>
    <x v="47"/>
    <x v="3"/>
    <n v="0"/>
    <x v="0"/>
    <x v="0"/>
  </r>
  <r>
    <x v="1"/>
    <x v="1"/>
    <x v="0"/>
    <x v="1"/>
    <x v="12"/>
    <x v="1"/>
    <n v="21.885086868784601"/>
    <x v="0"/>
    <x v="0"/>
  </r>
  <r>
    <x v="1"/>
    <x v="1"/>
    <x v="0"/>
    <x v="1"/>
    <x v="12"/>
    <x v="2"/>
    <m/>
    <x v="0"/>
    <x v="0"/>
  </r>
  <r>
    <x v="1"/>
    <x v="1"/>
    <x v="0"/>
    <x v="1"/>
    <x v="12"/>
    <x v="3"/>
    <n v="16.493718288177401"/>
    <x v="0"/>
    <x v="0"/>
  </r>
  <r>
    <x v="1"/>
    <x v="1"/>
    <x v="0"/>
    <x v="1"/>
    <x v="13"/>
    <x v="1"/>
    <n v="16.000330815646901"/>
    <x v="0"/>
    <x v="0"/>
  </r>
  <r>
    <x v="1"/>
    <x v="1"/>
    <x v="0"/>
    <x v="1"/>
    <x v="13"/>
    <x v="2"/>
    <m/>
    <x v="0"/>
    <x v="0"/>
  </r>
  <r>
    <x v="1"/>
    <x v="1"/>
    <x v="0"/>
    <x v="1"/>
    <x v="13"/>
    <x v="3"/>
    <n v="18.036754430140199"/>
    <x v="0"/>
    <x v="0"/>
  </r>
  <r>
    <x v="1"/>
    <x v="1"/>
    <x v="0"/>
    <x v="1"/>
    <x v="14"/>
    <x v="1"/>
    <n v="15.364172823471399"/>
    <x v="0"/>
    <x v="0"/>
  </r>
  <r>
    <x v="1"/>
    <x v="1"/>
    <x v="0"/>
    <x v="1"/>
    <x v="14"/>
    <x v="2"/>
    <m/>
    <x v="0"/>
    <x v="0"/>
  </r>
  <r>
    <x v="1"/>
    <x v="1"/>
    <x v="0"/>
    <x v="1"/>
    <x v="14"/>
    <x v="3"/>
    <n v="18.033229853184601"/>
    <x v="0"/>
    <x v="0"/>
  </r>
  <r>
    <x v="1"/>
    <x v="1"/>
    <x v="0"/>
    <x v="1"/>
    <x v="15"/>
    <x v="1"/>
    <n v="24.774427416349099"/>
    <x v="0"/>
    <x v="0"/>
  </r>
  <r>
    <x v="1"/>
    <x v="1"/>
    <x v="0"/>
    <x v="1"/>
    <x v="15"/>
    <x v="2"/>
    <m/>
    <x v="0"/>
    <x v="0"/>
  </r>
  <r>
    <x v="1"/>
    <x v="1"/>
    <x v="0"/>
    <x v="1"/>
    <x v="15"/>
    <x v="3"/>
    <n v="18.2379786225323"/>
    <x v="0"/>
    <x v="0"/>
  </r>
  <r>
    <x v="1"/>
    <x v="1"/>
    <x v="0"/>
    <x v="1"/>
    <x v="16"/>
    <x v="1"/>
    <n v="36.1512436042768"/>
    <x v="0"/>
    <x v="0"/>
  </r>
  <r>
    <x v="1"/>
    <x v="1"/>
    <x v="0"/>
    <x v="1"/>
    <x v="16"/>
    <x v="2"/>
    <m/>
    <x v="0"/>
    <x v="0"/>
  </r>
  <r>
    <x v="1"/>
    <x v="1"/>
    <x v="0"/>
    <x v="1"/>
    <x v="16"/>
    <x v="3"/>
    <n v="19.724516246621501"/>
    <x v="0"/>
    <x v="0"/>
  </r>
  <r>
    <x v="1"/>
    <x v="1"/>
    <x v="0"/>
    <x v="1"/>
    <x v="17"/>
    <x v="1"/>
    <n v="32.171915970830902"/>
    <x v="0"/>
    <x v="0"/>
  </r>
  <r>
    <x v="1"/>
    <x v="1"/>
    <x v="0"/>
    <x v="1"/>
    <x v="17"/>
    <x v="2"/>
    <m/>
    <x v="0"/>
    <x v="0"/>
  </r>
  <r>
    <x v="1"/>
    <x v="1"/>
    <x v="0"/>
    <x v="1"/>
    <x v="17"/>
    <x v="3"/>
    <n v="21.5232428798002"/>
    <x v="0"/>
    <x v="0"/>
  </r>
  <r>
    <x v="1"/>
    <x v="1"/>
    <x v="0"/>
    <x v="1"/>
    <x v="18"/>
    <x v="1"/>
    <n v="30.289839330658701"/>
    <x v="0"/>
    <x v="0"/>
  </r>
  <r>
    <x v="1"/>
    <x v="1"/>
    <x v="0"/>
    <x v="1"/>
    <x v="18"/>
    <x v="2"/>
    <m/>
    <x v="0"/>
    <x v="0"/>
  </r>
  <r>
    <x v="1"/>
    <x v="1"/>
    <x v="0"/>
    <x v="1"/>
    <x v="18"/>
    <x v="3"/>
    <n v="22.827324459238099"/>
    <x v="0"/>
    <x v="0"/>
  </r>
  <r>
    <x v="1"/>
    <x v="1"/>
    <x v="0"/>
    <x v="1"/>
    <x v="19"/>
    <x v="1"/>
    <n v="23.4006100469262"/>
    <x v="0"/>
    <x v="0"/>
  </r>
  <r>
    <x v="1"/>
    <x v="1"/>
    <x v="0"/>
    <x v="1"/>
    <x v="19"/>
    <x v="2"/>
    <m/>
    <x v="0"/>
    <x v="0"/>
  </r>
  <r>
    <x v="1"/>
    <x v="1"/>
    <x v="0"/>
    <x v="1"/>
    <x v="19"/>
    <x v="3"/>
    <n v="23.129511327056399"/>
    <x v="0"/>
    <x v="0"/>
  </r>
  <r>
    <x v="1"/>
    <x v="1"/>
    <x v="0"/>
    <x v="1"/>
    <x v="20"/>
    <x v="1"/>
    <n v="16.2691026226369"/>
    <x v="0"/>
    <x v="0"/>
  </r>
  <r>
    <x v="1"/>
    <x v="1"/>
    <x v="0"/>
    <x v="1"/>
    <x v="20"/>
    <x v="2"/>
    <m/>
    <x v="0"/>
    <x v="0"/>
  </r>
  <r>
    <x v="1"/>
    <x v="1"/>
    <x v="0"/>
    <x v="1"/>
    <x v="20"/>
    <x v="3"/>
    <n v="24.072773374218102"/>
    <x v="0"/>
    <x v="0"/>
  </r>
  <r>
    <x v="1"/>
    <x v="1"/>
    <x v="0"/>
    <x v="1"/>
    <x v="21"/>
    <x v="1"/>
    <n v="19.195801867121201"/>
    <x v="0"/>
    <x v="0"/>
  </r>
  <r>
    <x v="1"/>
    <x v="1"/>
    <x v="0"/>
    <x v="1"/>
    <x v="21"/>
    <x v="2"/>
    <m/>
    <x v="0"/>
    <x v="0"/>
  </r>
  <r>
    <x v="1"/>
    <x v="1"/>
    <x v="0"/>
    <x v="1"/>
    <x v="21"/>
    <x v="3"/>
    <n v="23.933367546338101"/>
    <x v="0"/>
    <x v="0"/>
  </r>
  <r>
    <x v="1"/>
    <x v="1"/>
    <x v="0"/>
    <x v="1"/>
    <x v="22"/>
    <x v="1"/>
    <n v="23.707551868018001"/>
    <x v="0"/>
    <x v="0"/>
  </r>
  <r>
    <x v="1"/>
    <x v="1"/>
    <x v="0"/>
    <x v="1"/>
    <x v="22"/>
    <x v="2"/>
    <m/>
    <x v="0"/>
    <x v="0"/>
  </r>
  <r>
    <x v="1"/>
    <x v="1"/>
    <x v="0"/>
    <x v="1"/>
    <x v="22"/>
    <x v="3"/>
    <n v="22.309378195011899"/>
    <x v="0"/>
    <x v="0"/>
  </r>
  <r>
    <x v="1"/>
    <x v="1"/>
    <x v="0"/>
    <x v="1"/>
    <x v="23"/>
    <x v="1"/>
    <n v="18.352576233175199"/>
    <x v="0"/>
    <x v="0"/>
  </r>
  <r>
    <x v="1"/>
    <x v="1"/>
    <x v="0"/>
    <x v="1"/>
    <x v="23"/>
    <x v="2"/>
    <m/>
    <x v="0"/>
    <x v="0"/>
  </r>
  <r>
    <x v="1"/>
    <x v="1"/>
    <x v="0"/>
    <x v="1"/>
    <x v="23"/>
    <x v="3"/>
    <n v="21.2145589508211"/>
    <x v="0"/>
    <x v="0"/>
  </r>
  <r>
    <x v="1"/>
    <x v="1"/>
    <x v="0"/>
    <x v="2"/>
    <x v="48"/>
    <x v="1"/>
    <m/>
    <x v="0"/>
    <x v="0"/>
  </r>
  <r>
    <x v="1"/>
    <x v="1"/>
    <x v="0"/>
    <x v="2"/>
    <x v="48"/>
    <x v="2"/>
    <m/>
    <x v="0"/>
    <x v="0"/>
  </r>
  <r>
    <x v="1"/>
    <x v="1"/>
    <x v="0"/>
    <x v="2"/>
    <x v="48"/>
    <x v="3"/>
    <n v="0"/>
    <x v="0"/>
    <x v="0"/>
  </r>
  <r>
    <x v="1"/>
    <x v="1"/>
    <x v="0"/>
    <x v="2"/>
    <x v="24"/>
    <x v="1"/>
    <n v="20.602732054547701"/>
    <x v="0"/>
    <x v="0"/>
  </r>
  <r>
    <x v="1"/>
    <x v="1"/>
    <x v="0"/>
    <x v="2"/>
    <x v="24"/>
    <x v="2"/>
    <m/>
    <x v="0"/>
    <x v="0"/>
  </r>
  <r>
    <x v="1"/>
    <x v="1"/>
    <x v="0"/>
    <x v="2"/>
    <x v="24"/>
    <x v="3"/>
    <n v="17.6932178367699"/>
    <x v="0"/>
    <x v="0"/>
  </r>
  <r>
    <x v="1"/>
    <x v="1"/>
    <x v="0"/>
    <x v="2"/>
    <x v="25"/>
    <x v="1"/>
    <n v="16.531756696428701"/>
    <x v="0"/>
    <x v="0"/>
  </r>
  <r>
    <x v="1"/>
    <x v="1"/>
    <x v="0"/>
    <x v="2"/>
    <x v="25"/>
    <x v="2"/>
    <m/>
    <x v="0"/>
    <x v="0"/>
  </r>
  <r>
    <x v="1"/>
    <x v="1"/>
    <x v="0"/>
    <x v="2"/>
    <x v="25"/>
    <x v="3"/>
    <n v="18.733074540472298"/>
    <x v="0"/>
    <x v="0"/>
  </r>
  <r>
    <x v="1"/>
    <x v="1"/>
    <x v="0"/>
    <x v="2"/>
    <x v="26"/>
    <x v="1"/>
    <n v="18.184187164690599"/>
    <x v="0"/>
    <x v="0"/>
  </r>
  <r>
    <x v="1"/>
    <x v="1"/>
    <x v="0"/>
    <x v="2"/>
    <x v="26"/>
    <x v="2"/>
    <m/>
    <x v="0"/>
    <x v="0"/>
  </r>
  <r>
    <x v="1"/>
    <x v="1"/>
    <x v="0"/>
    <x v="2"/>
    <x v="26"/>
    <x v="3"/>
    <n v="18.368115983686"/>
    <x v="0"/>
    <x v="0"/>
  </r>
  <r>
    <x v="1"/>
    <x v="1"/>
    <x v="0"/>
    <x v="2"/>
    <x v="27"/>
    <x v="1"/>
    <n v="18.980480374941099"/>
    <x v="0"/>
    <x v="0"/>
  </r>
  <r>
    <x v="1"/>
    <x v="1"/>
    <x v="0"/>
    <x v="2"/>
    <x v="27"/>
    <x v="2"/>
    <m/>
    <x v="0"/>
    <x v="0"/>
  </r>
  <r>
    <x v="1"/>
    <x v="1"/>
    <x v="0"/>
    <x v="2"/>
    <x v="27"/>
    <x v="3"/>
    <n v="19.368550311367201"/>
    <x v="0"/>
    <x v="0"/>
  </r>
  <r>
    <x v="1"/>
    <x v="1"/>
    <x v="0"/>
    <x v="2"/>
    <x v="28"/>
    <x v="1"/>
    <n v="26.456850240945499"/>
    <x v="0"/>
    <x v="0"/>
  </r>
  <r>
    <x v="1"/>
    <x v="1"/>
    <x v="0"/>
    <x v="2"/>
    <x v="28"/>
    <x v="2"/>
    <m/>
    <x v="0"/>
    <x v="0"/>
  </r>
  <r>
    <x v="1"/>
    <x v="1"/>
    <x v="0"/>
    <x v="2"/>
    <x v="28"/>
    <x v="3"/>
    <n v="19.818014292434398"/>
    <x v="0"/>
    <x v="0"/>
  </r>
  <r>
    <x v="1"/>
    <x v="1"/>
    <x v="0"/>
    <x v="2"/>
    <x v="29"/>
    <x v="1"/>
    <n v="30.7445856811682"/>
    <x v="0"/>
    <x v="0"/>
  </r>
  <r>
    <x v="1"/>
    <x v="1"/>
    <x v="0"/>
    <x v="2"/>
    <x v="29"/>
    <x v="2"/>
    <m/>
    <x v="0"/>
    <x v="0"/>
  </r>
  <r>
    <x v="1"/>
    <x v="1"/>
    <x v="0"/>
    <x v="2"/>
    <x v="29"/>
    <x v="3"/>
    <n v="21.410022739218299"/>
    <x v="0"/>
    <x v="0"/>
  </r>
  <r>
    <x v="1"/>
    <x v="1"/>
    <x v="0"/>
    <x v="2"/>
    <x v="30"/>
    <x v="1"/>
    <n v="26.067957323046301"/>
    <x v="0"/>
    <x v="0"/>
  </r>
  <r>
    <x v="1"/>
    <x v="1"/>
    <x v="0"/>
    <x v="2"/>
    <x v="30"/>
    <x v="2"/>
    <m/>
    <x v="0"/>
    <x v="0"/>
  </r>
  <r>
    <x v="1"/>
    <x v="1"/>
    <x v="0"/>
    <x v="2"/>
    <x v="30"/>
    <x v="3"/>
    <n v="22.0261430480728"/>
    <x v="0"/>
    <x v="0"/>
  </r>
  <r>
    <x v="1"/>
    <x v="1"/>
    <x v="0"/>
    <x v="2"/>
    <x v="31"/>
    <x v="1"/>
    <n v="29.282016947518599"/>
    <x v="0"/>
    <x v="0"/>
  </r>
  <r>
    <x v="1"/>
    <x v="1"/>
    <x v="0"/>
    <x v="2"/>
    <x v="31"/>
    <x v="2"/>
    <m/>
    <x v="0"/>
    <x v="0"/>
  </r>
  <r>
    <x v="1"/>
    <x v="1"/>
    <x v="0"/>
    <x v="2"/>
    <x v="31"/>
    <x v="3"/>
    <n v="23.008370572052801"/>
    <x v="0"/>
    <x v="0"/>
  </r>
  <r>
    <x v="1"/>
    <x v="1"/>
    <x v="0"/>
    <x v="2"/>
    <x v="32"/>
    <x v="1"/>
    <n v="21.8630487194668"/>
    <x v="0"/>
    <x v="0"/>
  </r>
  <r>
    <x v="1"/>
    <x v="1"/>
    <x v="0"/>
    <x v="2"/>
    <x v="32"/>
    <x v="2"/>
    <m/>
    <x v="0"/>
    <x v="0"/>
  </r>
  <r>
    <x v="1"/>
    <x v="1"/>
    <x v="0"/>
    <x v="2"/>
    <x v="32"/>
    <x v="3"/>
    <n v="23.555273895326899"/>
    <x v="0"/>
    <x v="0"/>
  </r>
  <r>
    <x v="1"/>
    <x v="1"/>
    <x v="0"/>
    <x v="2"/>
    <x v="33"/>
    <x v="1"/>
    <n v="18.50576677502"/>
    <x v="0"/>
    <x v="0"/>
  </r>
  <r>
    <x v="1"/>
    <x v="1"/>
    <x v="0"/>
    <x v="2"/>
    <x v="33"/>
    <x v="2"/>
    <m/>
    <x v="0"/>
    <x v="0"/>
  </r>
  <r>
    <x v="1"/>
    <x v="1"/>
    <x v="0"/>
    <x v="2"/>
    <x v="33"/>
    <x v="3"/>
    <n v="24.0560012900464"/>
    <x v="0"/>
    <x v="0"/>
  </r>
  <r>
    <x v="1"/>
    <x v="1"/>
    <x v="0"/>
    <x v="2"/>
    <x v="34"/>
    <x v="1"/>
    <n v="26.513890682617099"/>
    <x v="0"/>
    <x v="0"/>
  </r>
  <r>
    <x v="1"/>
    <x v="1"/>
    <x v="0"/>
    <x v="2"/>
    <x v="34"/>
    <x v="2"/>
    <m/>
    <x v="0"/>
    <x v="0"/>
  </r>
  <r>
    <x v="1"/>
    <x v="1"/>
    <x v="0"/>
    <x v="2"/>
    <x v="34"/>
    <x v="3"/>
    <n v="23.096707738466399"/>
    <x v="0"/>
    <x v="0"/>
  </r>
  <r>
    <x v="1"/>
    <x v="1"/>
    <x v="0"/>
    <x v="2"/>
    <x v="35"/>
    <x v="1"/>
    <n v="25.223590550447401"/>
    <x v="0"/>
    <x v="0"/>
  </r>
  <r>
    <x v="1"/>
    <x v="1"/>
    <x v="0"/>
    <x v="2"/>
    <x v="35"/>
    <x v="2"/>
    <m/>
    <x v="0"/>
    <x v="0"/>
  </r>
  <r>
    <x v="1"/>
    <x v="1"/>
    <x v="0"/>
    <x v="2"/>
    <x v="35"/>
    <x v="3"/>
    <n v="22.5641118428154"/>
    <x v="0"/>
    <x v="0"/>
  </r>
  <r>
    <x v="1"/>
    <x v="1"/>
    <x v="0"/>
    <x v="3"/>
    <x v="49"/>
    <x v="1"/>
    <m/>
    <x v="0"/>
    <x v="0"/>
  </r>
  <r>
    <x v="1"/>
    <x v="1"/>
    <x v="0"/>
    <x v="3"/>
    <x v="49"/>
    <x v="2"/>
    <m/>
    <x v="0"/>
    <x v="0"/>
  </r>
  <r>
    <x v="1"/>
    <x v="1"/>
    <x v="0"/>
    <x v="3"/>
    <x v="49"/>
    <x v="3"/>
    <n v="0"/>
    <x v="0"/>
    <x v="0"/>
  </r>
  <r>
    <x v="1"/>
    <x v="1"/>
    <x v="0"/>
    <x v="3"/>
    <x v="36"/>
    <x v="1"/>
    <n v="25.367383430182102"/>
    <x v="0"/>
    <x v="0"/>
  </r>
  <r>
    <x v="1"/>
    <x v="1"/>
    <x v="0"/>
    <x v="3"/>
    <x v="36"/>
    <x v="2"/>
    <m/>
    <x v="0"/>
    <x v="0"/>
  </r>
  <r>
    <x v="1"/>
    <x v="1"/>
    <x v="0"/>
    <x v="3"/>
    <x v="36"/>
    <x v="3"/>
    <n v="23.237935916326201"/>
    <x v="0"/>
    <x v="0"/>
  </r>
  <r>
    <x v="1"/>
    <x v="1"/>
    <x v="0"/>
    <x v="3"/>
    <x v="37"/>
    <x v="1"/>
    <n v="24.1995956004071"/>
    <x v="0"/>
    <x v="0"/>
  </r>
  <r>
    <x v="1"/>
    <x v="1"/>
    <x v="0"/>
    <x v="3"/>
    <x v="37"/>
    <x v="2"/>
    <m/>
    <x v="0"/>
    <x v="0"/>
  </r>
  <r>
    <x v="1"/>
    <x v="1"/>
    <x v="0"/>
    <x v="3"/>
    <x v="37"/>
    <x v="3"/>
    <n v="24.869196213955"/>
    <x v="0"/>
    <x v="0"/>
  </r>
  <r>
    <x v="1"/>
    <x v="1"/>
    <x v="0"/>
    <x v="3"/>
    <x v="38"/>
    <x v="1"/>
    <n v="27.645396675878398"/>
    <x v="0"/>
    <x v="0"/>
  </r>
  <r>
    <x v="1"/>
    <x v="1"/>
    <x v="0"/>
    <x v="3"/>
    <x v="38"/>
    <x v="2"/>
    <m/>
    <x v="0"/>
    <x v="0"/>
  </r>
  <r>
    <x v="1"/>
    <x v="1"/>
    <x v="0"/>
    <x v="3"/>
    <x v="38"/>
    <x v="3"/>
    <n v="24.4834028806583"/>
    <x v="0"/>
    <x v="0"/>
  </r>
  <r>
    <x v="1"/>
    <x v="1"/>
    <x v="0"/>
    <x v="3"/>
    <x v="39"/>
    <x v="1"/>
    <n v="23.674114672821801"/>
    <x v="0"/>
    <x v="0"/>
  </r>
  <r>
    <x v="1"/>
    <x v="1"/>
    <x v="0"/>
    <x v="3"/>
    <x v="39"/>
    <x v="2"/>
    <m/>
    <x v="0"/>
    <x v="0"/>
  </r>
  <r>
    <x v="1"/>
    <x v="1"/>
    <x v="0"/>
    <x v="3"/>
    <x v="39"/>
    <x v="3"/>
    <n v="25.350627863073399"/>
    <x v="0"/>
    <x v="0"/>
  </r>
  <r>
    <x v="1"/>
    <x v="1"/>
    <x v="0"/>
    <x v="3"/>
    <x v="40"/>
    <x v="1"/>
    <n v="24.762827494484299"/>
    <x v="0"/>
    <x v="0"/>
  </r>
  <r>
    <x v="1"/>
    <x v="1"/>
    <x v="0"/>
    <x v="3"/>
    <x v="40"/>
    <x v="2"/>
    <m/>
    <x v="0"/>
    <x v="0"/>
  </r>
  <r>
    <x v="1"/>
    <x v="1"/>
    <x v="0"/>
    <x v="3"/>
    <x v="40"/>
    <x v="3"/>
    <n v="25.247587430683101"/>
    <x v="0"/>
    <x v="0"/>
  </r>
  <r>
    <x v="1"/>
    <x v="1"/>
    <x v="0"/>
    <x v="3"/>
    <x v="41"/>
    <x v="1"/>
    <n v="26.3084475499682"/>
    <x v="0"/>
    <x v="0"/>
  </r>
  <r>
    <x v="1"/>
    <x v="1"/>
    <x v="0"/>
    <x v="3"/>
    <x v="41"/>
    <x v="2"/>
    <m/>
    <x v="0"/>
    <x v="0"/>
  </r>
  <r>
    <x v="1"/>
    <x v="1"/>
    <x v="0"/>
    <x v="3"/>
    <x v="41"/>
    <x v="3"/>
    <n v="25.225930740239399"/>
    <x v="0"/>
    <x v="0"/>
  </r>
  <r>
    <x v="1"/>
    <x v="1"/>
    <x v="0"/>
    <x v="3"/>
    <x v="42"/>
    <x v="1"/>
    <n v="29.082494362560901"/>
    <x v="0"/>
    <x v="0"/>
  </r>
  <r>
    <x v="1"/>
    <x v="1"/>
    <x v="0"/>
    <x v="3"/>
    <x v="42"/>
    <x v="2"/>
    <m/>
    <x v="0"/>
    <x v="0"/>
  </r>
  <r>
    <x v="1"/>
    <x v="1"/>
    <x v="0"/>
    <x v="3"/>
    <x v="42"/>
    <x v="3"/>
    <n v="25.435238108020801"/>
    <x v="0"/>
    <x v="0"/>
  </r>
  <r>
    <x v="1"/>
    <x v="1"/>
    <x v="0"/>
    <x v="3"/>
    <x v="43"/>
    <x v="1"/>
    <n v="21.639231938626899"/>
    <x v="0"/>
    <x v="0"/>
  </r>
  <r>
    <x v="1"/>
    <x v="1"/>
    <x v="0"/>
    <x v="3"/>
    <x v="43"/>
    <x v="2"/>
    <m/>
    <x v="0"/>
    <x v="0"/>
  </r>
  <r>
    <x v="1"/>
    <x v="1"/>
    <x v="0"/>
    <x v="3"/>
    <x v="43"/>
    <x v="3"/>
    <n v="25.1819004893418"/>
    <x v="0"/>
    <x v="0"/>
  </r>
  <r>
    <x v="1"/>
    <x v="1"/>
    <x v="0"/>
    <x v="3"/>
    <x v="44"/>
    <x v="1"/>
    <n v="16.237209657365099"/>
    <x v="0"/>
    <x v="0"/>
  </r>
  <r>
    <x v="1"/>
    <x v="1"/>
    <x v="0"/>
    <x v="3"/>
    <x v="44"/>
    <x v="2"/>
    <m/>
    <x v="0"/>
    <x v="0"/>
  </r>
  <r>
    <x v="1"/>
    <x v="1"/>
    <x v="0"/>
    <x v="3"/>
    <x v="44"/>
    <x v="3"/>
    <n v="25.080463174234499"/>
    <x v="0"/>
    <x v="0"/>
  </r>
  <r>
    <x v="1"/>
    <x v="1"/>
    <x v="0"/>
    <x v="3"/>
    <x v="45"/>
    <x v="1"/>
    <n v="15.8528922770282"/>
    <x v="0"/>
    <x v="0"/>
  </r>
  <r>
    <x v="1"/>
    <x v="1"/>
    <x v="0"/>
    <x v="3"/>
    <x v="45"/>
    <x v="2"/>
    <m/>
    <x v="0"/>
    <x v="0"/>
  </r>
  <r>
    <x v="1"/>
    <x v="1"/>
    <x v="0"/>
    <x v="3"/>
    <x v="45"/>
    <x v="3"/>
    <n v="24.929161977187199"/>
    <x v="0"/>
    <x v="0"/>
  </r>
  <r>
    <x v="2"/>
    <x v="2"/>
    <x v="0"/>
    <x v="2"/>
    <x v="24"/>
    <x v="4"/>
    <n v="25050332.189584509"/>
    <x v="0"/>
    <x v="0"/>
  </r>
  <r>
    <x v="2"/>
    <x v="2"/>
    <x v="0"/>
    <x v="2"/>
    <x v="24"/>
    <x v="5"/>
    <n v="7440428.0476677995"/>
    <x v="0"/>
    <x v="0"/>
  </r>
  <r>
    <x v="2"/>
    <x v="2"/>
    <x v="0"/>
    <x v="2"/>
    <x v="24"/>
    <x v="6"/>
    <n v="17609904.141916703"/>
    <x v="0"/>
    <x v="0"/>
  </r>
  <r>
    <x v="2"/>
    <x v="2"/>
    <x v="0"/>
    <x v="2"/>
    <x v="25"/>
    <x v="4"/>
    <n v="23449377.682655051"/>
    <x v="0"/>
    <x v="0"/>
  </r>
  <r>
    <x v="2"/>
    <x v="2"/>
    <x v="0"/>
    <x v="2"/>
    <x v="25"/>
    <x v="5"/>
    <n v="10363694.18745238"/>
    <x v="0"/>
    <x v="0"/>
  </r>
  <r>
    <x v="2"/>
    <x v="2"/>
    <x v="0"/>
    <x v="2"/>
    <x v="25"/>
    <x v="6"/>
    <n v="13085683.495202677"/>
    <x v="0"/>
    <x v="0"/>
  </r>
  <r>
    <x v="2"/>
    <x v="2"/>
    <x v="0"/>
    <x v="2"/>
    <x v="26"/>
    <x v="4"/>
    <n v="25043999.050888468"/>
    <x v="0"/>
    <x v="0"/>
  </r>
  <r>
    <x v="2"/>
    <x v="2"/>
    <x v="0"/>
    <x v="2"/>
    <x v="26"/>
    <x v="5"/>
    <n v="11481202.626698349"/>
    <x v="0"/>
    <x v="0"/>
  </r>
  <r>
    <x v="2"/>
    <x v="2"/>
    <x v="0"/>
    <x v="2"/>
    <x v="26"/>
    <x v="6"/>
    <n v="13562796.424190117"/>
    <x v="0"/>
    <x v="0"/>
  </r>
  <r>
    <x v="2"/>
    <x v="2"/>
    <x v="0"/>
    <x v="2"/>
    <x v="27"/>
    <x v="4"/>
    <n v="32194452.830470316"/>
    <x v="0"/>
    <x v="0"/>
  </r>
  <r>
    <x v="2"/>
    <x v="2"/>
    <x v="0"/>
    <x v="2"/>
    <x v="27"/>
    <x v="5"/>
    <n v="15192205.364405736"/>
    <x v="0"/>
    <x v="0"/>
  </r>
  <r>
    <x v="2"/>
    <x v="2"/>
    <x v="0"/>
    <x v="2"/>
    <x v="27"/>
    <x v="6"/>
    <n v="17002247.466064528"/>
    <x v="0"/>
    <x v="0"/>
  </r>
  <r>
    <x v="2"/>
    <x v="2"/>
    <x v="0"/>
    <x v="2"/>
    <x v="28"/>
    <x v="4"/>
    <n v="37987040.08845108"/>
    <x v="0"/>
    <x v="0"/>
  </r>
  <r>
    <x v="2"/>
    <x v="2"/>
    <x v="0"/>
    <x v="2"/>
    <x v="28"/>
    <x v="5"/>
    <n v="14707354.996764297"/>
    <x v="0"/>
    <x v="0"/>
  </r>
  <r>
    <x v="2"/>
    <x v="2"/>
    <x v="0"/>
    <x v="2"/>
    <x v="28"/>
    <x v="6"/>
    <n v="23279685.091686733"/>
    <x v="0"/>
    <x v="0"/>
  </r>
  <r>
    <x v="2"/>
    <x v="2"/>
    <x v="0"/>
    <x v="2"/>
    <x v="29"/>
    <x v="4"/>
    <n v="44455369.206092156"/>
    <x v="0"/>
    <x v="0"/>
  </r>
  <r>
    <x v="2"/>
    <x v="2"/>
    <x v="0"/>
    <x v="2"/>
    <x v="29"/>
    <x v="5"/>
    <n v="10692288.503810326"/>
    <x v="0"/>
    <x v="0"/>
  </r>
  <r>
    <x v="2"/>
    <x v="2"/>
    <x v="0"/>
    <x v="2"/>
    <x v="29"/>
    <x v="6"/>
    <n v="33763080.702281885"/>
    <x v="0"/>
    <x v="0"/>
  </r>
  <r>
    <x v="2"/>
    <x v="2"/>
    <x v="0"/>
    <x v="2"/>
    <x v="30"/>
    <x v="4"/>
    <n v="37137316.792314202"/>
    <x v="0"/>
    <x v="0"/>
  </r>
  <r>
    <x v="2"/>
    <x v="2"/>
    <x v="0"/>
    <x v="2"/>
    <x v="30"/>
    <x v="5"/>
    <n v="8581532.5636571348"/>
    <x v="0"/>
    <x v="0"/>
  </r>
  <r>
    <x v="2"/>
    <x v="2"/>
    <x v="0"/>
    <x v="2"/>
    <x v="30"/>
    <x v="6"/>
    <n v="28555784.228657071"/>
    <x v="0"/>
    <x v="0"/>
  </r>
  <r>
    <x v="2"/>
    <x v="2"/>
    <x v="0"/>
    <x v="2"/>
    <x v="31"/>
    <x v="4"/>
    <n v="44410250.350549161"/>
    <x v="0"/>
    <x v="0"/>
  </r>
  <r>
    <x v="2"/>
    <x v="2"/>
    <x v="0"/>
    <x v="2"/>
    <x v="31"/>
    <x v="5"/>
    <n v="17798451.326613456"/>
    <x v="0"/>
    <x v="0"/>
  </r>
  <r>
    <x v="2"/>
    <x v="2"/>
    <x v="0"/>
    <x v="2"/>
    <x v="31"/>
    <x v="6"/>
    <n v="26611799.023935631"/>
    <x v="0"/>
    <x v="0"/>
  </r>
  <r>
    <x v="2"/>
    <x v="2"/>
    <x v="0"/>
    <x v="2"/>
    <x v="32"/>
    <x v="4"/>
    <n v="43506405.523398273"/>
    <x v="0"/>
    <x v="0"/>
  </r>
  <r>
    <x v="2"/>
    <x v="2"/>
    <x v="0"/>
    <x v="2"/>
    <x v="32"/>
    <x v="5"/>
    <n v="19113468.988641731"/>
    <x v="0"/>
    <x v="0"/>
  </r>
  <r>
    <x v="2"/>
    <x v="2"/>
    <x v="0"/>
    <x v="2"/>
    <x v="32"/>
    <x v="6"/>
    <n v="24392936.534756538"/>
    <x v="0"/>
    <x v="0"/>
  </r>
  <r>
    <x v="2"/>
    <x v="2"/>
    <x v="0"/>
    <x v="2"/>
    <x v="33"/>
    <x v="4"/>
    <n v="56431582.748554982"/>
    <x v="0"/>
    <x v="0"/>
  </r>
  <r>
    <x v="2"/>
    <x v="2"/>
    <x v="0"/>
    <x v="2"/>
    <x v="33"/>
    <x v="5"/>
    <n v="23057535.851281226"/>
    <x v="0"/>
    <x v="0"/>
  </r>
  <r>
    <x v="2"/>
    <x v="2"/>
    <x v="0"/>
    <x v="2"/>
    <x v="33"/>
    <x v="6"/>
    <n v="33374046.897273805"/>
    <x v="0"/>
    <x v="0"/>
  </r>
  <r>
    <x v="2"/>
    <x v="2"/>
    <x v="0"/>
    <x v="2"/>
    <x v="34"/>
    <x v="4"/>
    <n v="57797581.209667064"/>
    <x v="0"/>
    <x v="0"/>
  </r>
  <r>
    <x v="2"/>
    <x v="2"/>
    <x v="0"/>
    <x v="2"/>
    <x v="34"/>
    <x v="5"/>
    <n v="30161820.811282154"/>
    <x v="0"/>
    <x v="0"/>
  </r>
  <r>
    <x v="2"/>
    <x v="2"/>
    <x v="0"/>
    <x v="2"/>
    <x v="34"/>
    <x v="6"/>
    <n v="27635760.398384895"/>
    <x v="0"/>
    <x v="0"/>
  </r>
  <r>
    <x v="2"/>
    <x v="2"/>
    <x v="0"/>
    <x v="2"/>
    <x v="35"/>
    <x v="4"/>
    <n v="39679259.836818151"/>
    <x v="0"/>
    <x v="0"/>
  </r>
  <r>
    <x v="2"/>
    <x v="2"/>
    <x v="0"/>
    <x v="2"/>
    <x v="35"/>
    <x v="5"/>
    <n v="10391465.37925045"/>
    <x v="0"/>
    <x v="0"/>
  </r>
  <r>
    <x v="2"/>
    <x v="2"/>
    <x v="0"/>
    <x v="2"/>
    <x v="35"/>
    <x v="6"/>
    <n v="29287794.457567725"/>
    <x v="0"/>
    <x v="0"/>
  </r>
  <r>
    <x v="2"/>
    <x v="2"/>
    <x v="0"/>
    <x v="3"/>
    <x v="36"/>
    <x v="4"/>
    <n v="33431993.101939753"/>
    <x v="0"/>
    <x v="0"/>
  </r>
  <r>
    <x v="2"/>
    <x v="2"/>
    <x v="0"/>
    <x v="3"/>
    <x v="36"/>
    <x v="5"/>
    <n v="12348430.302610185"/>
    <x v="0"/>
    <x v="0"/>
  </r>
  <r>
    <x v="2"/>
    <x v="2"/>
    <x v="0"/>
    <x v="3"/>
    <x v="36"/>
    <x v="6"/>
    <n v="21083562.799329542"/>
    <x v="0"/>
    <x v="0"/>
  </r>
  <r>
    <x v="2"/>
    <x v="2"/>
    <x v="0"/>
    <x v="3"/>
    <x v="37"/>
    <x v="4"/>
    <n v="34734507.486577749"/>
    <x v="0"/>
    <x v="0"/>
  </r>
  <r>
    <x v="2"/>
    <x v="2"/>
    <x v="0"/>
    <x v="3"/>
    <x v="37"/>
    <x v="5"/>
    <n v="12504810.761991823"/>
    <x v="0"/>
    <x v="0"/>
  </r>
  <r>
    <x v="2"/>
    <x v="2"/>
    <x v="0"/>
    <x v="3"/>
    <x v="37"/>
    <x v="6"/>
    <n v="22229696.724585969"/>
    <x v="0"/>
    <x v="0"/>
  </r>
  <r>
    <x v="2"/>
    <x v="2"/>
    <x v="0"/>
    <x v="3"/>
    <x v="38"/>
    <x v="4"/>
    <n v="33386159.142985381"/>
    <x v="0"/>
    <x v="0"/>
  </r>
  <r>
    <x v="2"/>
    <x v="2"/>
    <x v="0"/>
    <x v="3"/>
    <x v="38"/>
    <x v="5"/>
    <n v="12031532.781683248"/>
    <x v="0"/>
    <x v="0"/>
  </r>
  <r>
    <x v="2"/>
    <x v="2"/>
    <x v="0"/>
    <x v="3"/>
    <x v="38"/>
    <x v="6"/>
    <n v="21354626.361302122"/>
    <x v="0"/>
    <x v="0"/>
  </r>
  <r>
    <x v="2"/>
    <x v="2"/>
    <x v="0"/>
    <x v="3"/>
    <x v="39"/>
    <x v="4"/>
    <n v="34131151.183801621"/>
    <x v="0"/>
    <x v="0"/>
  </r>
  <r>
    <x v="2"/>
    <x v="2"/>
    <x v="0"/>
    <x v="3"/>
    <x v="39"/>
    <x v="5"/>
    <n v="11265649.869273011"/>
    <x v="0"/>
    <x v="0"/>
  </r>
  <r>
    <x v="2"/>
    <x v="2"/>
    <x v="0"/>
    <x v="3"/>
    <x v="39"/>
    <x v="6"/>
    <n v="22865501.314528573"/>
    <x v="0"/>
    <x v="0"/>
  </r>
  <r>
    <x v="2"/>
    <x v="2"/>
    <x v="0"/>
    <x v="3"/>
    <x v="40"/>
    <x v="4"/>
    <n v="35980789.804901585"/>
    <x v="0"/>
    <x v="0"/>
  </r>
  <r>
    <x v="2"/>
    <x v="2"/>
    <x v="0"/>
    <x v="3"/>
    <x v="40"/>
    <x v="5"/>
    <n v="13483767.664259383"/>
    <x v="0"/>
    <x v="0"/>
  </r>
  <r>
    <x v="2"/>
    <x v="2"/>
    <x v="0"/>
    <x v="3"/>
    <x v="40"/>
    <x v="6"/>
    <n v="22497022.140642237"/>
    <x v="0"/>
    <x v="0"/>
  </r>
  <r>
    <x v="2"/>
    <x v="2"/>
    <x v="0"/>
    <x v="3"/>
    <x v="41"/>
    <x v="4"/>
    <n v="36715932.398807481"/>
    <x v="0"/>
    <x v="0"/>
  </r>
  <r>
    <x v="2"/>
    <x v="2"/>
    <x v="0"/>
    <x v="3"/>
    <x v="41"/>
    <x v="5"/>
    <n v="8122996.5857868437"/>
    <x v="0"/>
    <x v="0"/>
  </r>
  <r>
    <x v="2"/>
    <x v="2"/>
    <x v="0"/>
    <x v="3"/>
    <x v="41"/>
    <x v="6"/>
    <n v="28592935.813020594"/>
    <x v="0"/>
    <x v="0"/>
  </r>
  <r>
    <x v="2"/>
    <x v="2"/>
    <x v="0"/>
    <x v="3"/>
    <x v="42"/>
    <x v="4"/>
    <n v="37512058.256309867"/>
    <x v="0"/>
    <x v="0"/>
  </r>
  <r>
    <x v="2"/>
    <x v="2"/>
    <x v="0"/>
    <x v="3"/>
    <x v="42"/>
    <x v="5"/>
    <n v="5488196.9664919898"/>
    <x v="0"/>
    <x v="0"/>
  </r>
  <r>
    <x v="2"/>
    <x v="2"/>
    <x v="0"/>
    <x v="3"/>
    <x v="42"/>
    <x v="6"/>
    <n v="32023861.289817877"/>
    <x v="0"/>
    <x v="0"/>
  </r>
  <r>
    <x v="2"/>
    <x v="2"/>
    <x v="0"/>
    <x v="3"/>
    <x v="43"/>
    <x v="4"/>
    <n v="29286236.206257559"/>
    <x v="0"/>
    <x v="0"/>
  </r>
  <r>
    <x v="2"/>
    <x v="2"/>
    <x v="0"/>
    <x v="3"/>
    <x v="43"/>
    <x v="5"/>
    <n v="10867086.526822329"/>
    <x v="0"/>
    <x v="0"/>
  </r>
  <r>
    <x v="2"/>
    <x v="2"/>
    <x v="0"/>
    <x v="3"/>
    <x v="43"/>
    <x v="6"/>
    <n v="18419149.679435264"/>
    <x v="0"/>
    <x v="0"/>
  </r>
  <r>
    <x v="2"/>
    <x v="2"/>
    <x v="0"/>
    <x v="3"/>
    <x v="44"/>
    <x v="4"/>
    <n v="32247586.473248847"/>
    <x v="0"/>
    <x v="0"/>
  </r>
  <r>
    <x v="2"/>
    <x v="2"/>
    <x v="0"/>
    <x v="3"/>
    <x v="44"/>
    <x v="5"/>
    <n v="10528294.095544247"/>
    <x v="0"/>
    <x v="0"/>
  </r>
  <r>
    <x v="2"/>
    <x v="2"/>
    <x v="0"/>
    <x v="3"/>
    <x v="44"/>
    <x v="6"/>
    <n v="21719292.377704654"/>
    <x v="0"/>
    <x v="0"/>
  </r>
  <r>
    <x v="2"/>
    <x v="2"/>
    <x v="0"/>
    <x v="3"/>
    <x v="45"/>
    <x v="4"/>
    <n v="49135445.637650497"/>
    <x v="0"/>
    <x v="0"/>
  </r>
  <r>
    <x v="2"/>
    <x v="2"/>
    <x v="0"/>
    <x v="3"/>
    <x v="45"/>
    <x v="5"/>
    <n v="27667972.506989036"/>
    <x v="0"/>
    <x v="0"/>
  </r>
  <r>
    <x v="2"/>
    <x v="2"/>
    <x v="0"/>
    <x v="3"/>
    <x v="45"/>
    <x v="6"/>
    <n v="21467473.130661458"/>
    <x v="0"/>
    <x v="0"/>
  </r>
  <r>
    <x v="3"/>
    <x v="3"/>
    <x v="0"/>
    <x v="2"/>
    <x v="24"/>
    <x v="7"/>
    <n v="484219.60721117473"/>
    <x v="0"/>
    <x v="0"/>
  </r>
  <r>
    <x v="3"/>
    <x v="3"/>
    <x v="0"/>
    <x v="2"/>
    <x v="24"/>
    <x v="8"/>
    <n v="12835.57113111563"/>
    <x v="0"/>
    <x v="0"/>
  </r>
  <r>
    <x v="3"/>
    <x v="3"/>
    <x v="0"/>
    <x v="2"/>
    <x v="24"/>
    <x v="9"/>
    <n v="460269.58039269887"/>
    <x v="0"/>
    <x v="0"/>
  </r>
  <r>
    <x v="3"/>
    <x v="3"/>
    <x v="0"/>
    <x v="2"/>
    <x v="24"/>
    <x v="10"/>
    <n v="12453.417607209036"/>
    <x v="0"/>
    <x v="0"/>
  </r>
  <r>
    <x v="3"/>
    <x v="3"/>
    <x v="0"/>
    <x v="2"/>
    <x v="24"/>
    <x v="11"/>
    <n v="23323768.449133702"/>
    <x v="0"/>
    <x v="0"/>
  </r>
  <r>
    <x v="3"/>
    <x v="3"/>
    <x v="0"/>
    <x v="2"/>
    <x v="24"/>
    <x v="12"/>
    <n v="3668662.7475480908"/>
    <x v="0"/>
    <x v="0"/>
  </r>
  <r>
    <x v="3"/>
    <x v="3"/>
    <x v="0"/>
    <x v="2"/>
    <x v="24"/>
    <x v="13"/>
    <n v="0"/>
    <x v="0"/>
    <x v="0"/>
  </r>
  <r>
    <x v="3"/>
    <x v="3"/>
    <x v="0"/>
    <x v="2"/>
    <x v="24"/>
    <x v="14"/>
    <n v="0"/>
    <x v="0"/>
    <x v="0"/>
  </r>
  <r>
    <x v="3"/>
    <x v="3"/>
    <x v="0"/>
    <x v="2"/>
    <x v="24"/>
    <x v="15"/>
    <n v="0"/>
    <x v="0"/>
    <x v="0"/>
  </r>
  <r>
    <x v="3"/>
    <x v="3"/>
    <x v="0"/>
    <x v="2"/>
    <x v="25"/>
    <x v="7"/>
    <n v="621581.29439308727"/>
    <x v="0"/>
    <x v="0"/>
  </r>
  <r>
    <x v="3"/>
    <x v="3"/>
    <x v="0"/>
    <x v="2"/>
    <x v="25"/>
    <x v="8"/>
    <n v="13043.425764540631"/>
    <x v="0"/>
    <x v="0"/>
  </r>
  <r>
    <x v="3"/>
    <x v="3"/>
    <x v="0"/>
    <x v="2"/>
    <x v="25"/>
    <x v="9"/>
    <n v="600074.37580284686"/>
    <x v="0"/>
    <x v="0"/>
  </r>
  <r>
    <x v="3"/>
    <x v="3"/>
    <x v="0"/>
    <x v="2"/>
    <x v="25"/>
    <x v="10"/>
    <n v="9247.8721834785028"/>
    <x v="0"/>
    <x v="0"/>
  </r>
  <r>
    <x v="3"/>
    <x v="3"/>
    <x v="0"/>
    <x v="2"/>
    <x v="25"/>
    <x v="11"/>
    <n v="21820805.872743182"/>
    <x v="0"/>
    <x v="0"/>
  </r>
  <r>
    <x v="3"/>
    <x v="3"/>
    <x v="0"/>
    <x v="2"/>
    <x v="25"/>
    <x v="12"/>
    <n v="4016565.136989418"/>
    <x v="0"/>
    <x v="0"/>
  </r>
  <r>
    <x v="3"/>
    <x v="3"/>
    <x v="0"/>
    <x v="2"/>
    <x v="25"/>
    <x v="13"/>
    <n v="0"/>
    <x v="0"/>
    <x v="0"/>
  </r>
  <r>
    <x v="3"/>
    <x v="3"/>
    <x v="0"/>
    <x v="2"/>
    <x v="25"/>
    <x v="14"/>
    <n v="0"/>
    <x v="0"/>
    <x v="0"/>
  </r>
  <r>
    <x v="3"/>
    <x v="3"/>
    <x v="0"/>
    <x v="2"/>
    <x v="25"/>
    <x v="15"/>
    <n v="0"/>
    <x v="0"/>
    <x v="0"/>
  </r>
  <r>
    <x v="3"/>
    <x v="3"/>
    <x v="0"/>
    <x v="2"/>
    <x v="26"/>
    <x v="7"/>
    <n v="791667.42193787417"/>
    <x v="0"/>
    <x v="0"/>
  </r>
  <r>
    <x v="3"/>
    <x v="3"/>
    <x v="0"/>
    <x v="2"/>
    <x v="26"/>
    <x v="8"/>
    <n v="9291.4968727544892"/>
    <x v="0"/>
    <x v="0"/>
  </r>
  <r>
    <x v="3"/>
    <x v="3"/>
    <x v="0"/>
    <x v="2"/>
    <x v="26"/>
    <x v="9"/>
    <n v="754125.88645958097"/>
    <x v="0"/>
    <x v="0"/>
  </r>
  <r>
    <x v="3"/>
    <x v="3"/>
    <x v="0"/>
    <x v="2"/>
    <x v="26"/>
    <x v="10"/>
    <n v="28717.131303143764"/>
    <x v="0"/>
    <x v="0"/>
  </r>
  <r>
    <x v="3"/>
    <x v="3"/>
    <x v="0"/>
    <x v="2"/>
    <x v="26"/>
    <x v="11"/>
    <n v="23415346.995972313"/>
    <x v="0"/>
    <x v="0"/>
  </r>
  <r>
    <x v="3"/>
    <x v="3"/>
    <x v="0"/>
    <x v="2"/>
    <x v="26"/>
    <x v="12"/>
    <n v="3261499.8230748484"/>
    <x v="0"/>
    <x v="0"/>
  </r>
  <r>
    <x v="3"/>
    <x v="3"/>
    <x v="0"/>
    <x v="2"/>
    <x v="26"/>
    <x v="13"/>
    <n v="0"/>
    <x v="0"/>
    <x v="0"/>
  </r>
  <r>
    <x v="3"/>
    <x v="3"/>
    <x v="0"/>
    <x v="2"/>
    <x v="26"/>
    <x v="14"/>
    <n v="0"/>
    <x v="0"/>
    <x v="0"/>
  </r>
  <r>
    <x v="3"/>
    <x v="3"/>
    <x v="0"/>
    <x v="2"/>
    <x v="26"/>
    <x v="15"/>
    <n v="0"/>
    <x v="0"/>
    <x v="0"/>
  </r>
  <r>
    <x v="3"/>
    <x v="3"/>
    <x v="0"/>
    <x v="2"/>
    <x v="27"/>
    <x v="7"/>
    <n v="446327.31769157737"/>
    <x v="0"/>
    <x v="0"/>
  </r>
  <r>
    <x v="3"/>
    <x v="3"/>
    <x v="0"/>
    <x v="2"/>
    <x v="27"/>
    <x v="8"/>
    <n v="9392.588191528539"/>
    <x v="0"/>
    <x v="0"/>
  </r>
  <r>
    <x v="3"/>
    <x v="3"/>
    <x v="0"/>
    <x v="2"/>
    <x v="27"/>
    <x v="9"/>
    <n v="404387.532508481"/>
    <x v="0"/>
    <x v="0"/>
  </r>
  <r>
    <x v="3"/>
    <x v="3"/>
    <x v="0"/>
    <x v="2"/>
    <x v="27"/>
    <x v="10"/>
    <n v="32797.93674052538"/>
    <x v="0"/>
    <x v="0"/>
  </r>
  <r>
    <x v="3"/>
    <x v="3"/>
    <x v="0"/>
    <x v="2"/>
    <x v="27"/>
    <x v="11"/>
    <n v="30416203.856078289"/>
    <x v="0"/>
    <x v="0"/>
  </r>
  <r>
    <x v="3"/>
    <x v="3"/>
    <x v="0"/>
    <x v="2"/>
    <x v="27"/>
    <x v="12"/>
    <n v="3826607.3727884102"/>
    <x v="0"/>
    <x v="0"/>
  </r>
  <r>
    <x v="3"/>
    <x v="3"/>
    <x v="0"/>
    <x v="2"/>
    <x v="27"/>
    <x v="13"/>
    <n v="0"/>
    <x v="0"/>
    <x v="0"/>
  </r>
  <r>
    <x v="3"/>
    <x v="3"/>
    <x v="0"/>
    <x v="2"/>
    <x v="27"/>
    <x v="14"/>
    <n v="0"/>
    <x v="0"/>
    <x v="0"/>
  </r>
  <r>
    <x v="3"/>
    <x v="3"/>
    <x v="0"/>
    <x v="2"/>
    <x v="27"/>
    <x v="15"/>
    <n v="0"/>
    <x v="0"/>
    <x v="0"/>
  </r>
  <r>
    <x v="3"/>
    <x v="3"/>
    <x v="0"/>
    <x v="2"/>
    <x v="28"/>
    <x v="7"/>
    <n v="323237.03642443247"/>
    <x v="0"/>
    <x v="0"/>
  </r>
  <r>
    <x v="3"/>
    <x v="3"/>
    <x v="0"/>
    <x v="2"/>
    <x v="28"/>
    <x v="8"/>
    <n v="11129.280061080657"/>
    <x v="0"/>
    <x v="0"/>
  </r>
  <r>
    <x v="3"/>
    <x v="3"/>
    <x v="0"/>
    <x v="2"/>
    <x v="28"/>
    <x v="9"/>
    <n v="278863.22376037587"/>
    <x v="0"/>
    <x v="0"/>
  </r>
  <r>
    <x v="3"/>
    <x v="3"/>
    <x v="0"/>
    <x v="2"/>
    <x v="28"/>
    <x v="10"/>
    <n v="33493.757361002339"/>
    <x v="0"/>
    <x v="0"/>
  </r>
  <r>
    <x v="3"/>
    <x v="3"/>
    <x v="0"/>
    <x v="2"/>
    <x v="28"/>
    <x v="11"/>
    <n v="36114718.375212185"/>
    <x v="0"/>
    <x v="0"/>
  </r>
  <r>
    <x v="3"/>
    <x v="3"/>
    <x v="0"/>
    <x v="2"/>
    <x v="28"/>
    <x v="12"/>
    <n v="4056186.2968003131"/>
    <x v="0"/>
    <x v="0"/>
  </r>
  <r>
    <x v="3"/>
    <x v="3"/>
    <x v="0"/>
    <x v="2"/>
    <x v="28"/>
    <x v="13"/>
    <n v="0"/>
    <x v="0"/>
    <x v="0"/>
  </r>
  <r>
    <x v="3"/>
    <x v="3"/>
    <x v="0"/>
    <x v="2"/>
    <x v="28"/>
    <x v="14"/>
    <n v="0"/>
    <x v="0"/>
    <x v="0"/>
  </r>
  <r>
    <x v="3"/>
    <x v="3"/>
    <x v="0"/>
    <x v="2"/>
    <x v="28"/>
    <x v="15"/>
    <n v="0"/>
    <x v="0"/>
    <x v="0"/>
  </r>
  <r>
    <x v="3"/>
    <x v="3"/>
    <x v="0"/>
    <x v="2"/>
    <x v="29"/>
    <x v="7"/>
    <n v="781374.76662490144"/>
    <x v="0"/>
    <x v="0"/>
  </r>
  <r>
    <x v="3"/>
    <x v="3"/>
    <x v="0"/>
    <x v="2"/>
    <x v="29"/>
    <x v="8"/>
    <n v="19351.964299487408"/>
    <x v="0"/>
    <x v="0"/>
  </r>
  <r>
    <x v="3"/>
    <x v="3"/>
    <x v="0"/>
    <x v="2"/>
    <x v="29"/>
    <x v="9"/>
    <n v="721575.95379741699"/>
    <x v="0"/>
    <x v="0"/>
  </r>
  <r>
    <x v="3"/>
    <x v="3"/>
    <x v="0"/>
    <x v="2"/>
    <x v="29"/>
    <x v="10"/>
    <n v="40700.740450808371"/>
    <x v="0"/>
    <x v="0"/>
  </r>
  <r>
    <x v="3"/>
    <x v="3"/>
    <x v="0"/>
    <x v="2"/>
    <x v="29"/>
    <x v="11"/>
    <n v="42745150.48859217"/>
    <x v="0"/>
    <x v="0"/>
  </r>
  <r>
    <x v="3"/>
    <x v="3"/>
    <x v="0"/>
    <x v="2"/>
    <x v="29"/>
    <x v="12"/>
    <n v="7929191.974354201"/>
    <x v="0"/>
    <x v="0"/>
  </r>
  <r>
    <x v="3"/>
    <x v="3"/>
    <x v="0"/>
    <x v="2"/>
    <x v="29"/>
    <x v="13"/>
    <n v="0"/>
    <x v="0"/>
    <x v="0"/>
  </r>
  <r>
    <x v="3"/>
    <x v="3"/>
    <x v="0"/>
    <x v="2"/>
    <x v="29"/>
    <x v="14"/>
    <n v="0"/>
    <x v="0"/>
    <x v="0"/>
  </r>
  <r>
    <x v="3"/>
    <x v="3"/>
    <x v="0"/>
    <x v="2"/>
    <x v="29"/>
    <x v="15"/>
    <n v="0"/>
    <x v="0"/>
    <x v="0"/>
  </r>
  <r>
    <x v="3"/>
    <x v="3"/>
    <x v="0"/>
    <x v="2"/>
    <x v="30"/>
    <x v="7"/>
    <n v="606186.67161456577"/>
    <x v="0"/>
    <x v="0"/>
  </r>
  <r>
    <x v="3"/>
    <x v="3"/>
    <x v="0"/>
    <x v="2"/>
    <x v="30"/>
    <x v="8"/>
    <n v="20132.589191252602"/>
    <x v="0"/>
    <x v="0"/>
  </r>
  <r>
    <x v="3"/>
    <x v="3"/>
    <x v="0"/>
    <x v="2"/>
    <x v="30"/>
    <x v="9"/>
    <n v="550256.75442233682"/>
    <x v="0"/>
    <x v="0"/>
  </r>
  <r>
    <x v="3"/>
    <x v="3"/>
    <x v="0"/>
    <x v="2"/>
    <x v="30"/>
    <x v="10"/>
    <n v="35797.29418705462"/>
    <x v="0"/>
    <x v="0"/>
  </r>
  <r>
    <x v="3"/>
    <x v="3"/>
    <x v="0"/>
    <x v="2"/>
    <x v="30"/>
    <x v="11"/>
    <n v="35705521.580485456"/>
    <x v="0"/>
    <x v="0"/>
  </r>
  <r>
    <x v="3"/>
    <x v="3"/>
    <x v="0"/>
    <x v="2"/>
    <x v="30"/>
    <x v="12"/>
    <n v="6060518.2000412047"/>
    <x v="0"/>
    <x v="0"/>
  </r>
  <r>
    <x v="3"/>
    <x v="3"/>
    <x v="0"/>
    <x v="2"/>
    <x v="30"/>
    <x v="13"/>
    <n v="0"/>
    <x v="0"/>
    <x v="0"/>
  </r>
  <r>
    <x v="3"/>
    <x v="3"/>
    <x v="0"/>
    <x v="2"/>
    <x v="30"/>
    <x v="14"/>
    <n v="0"/>
    <x v="0"/>
    <x v="0"/>
  </r>
  <r>
    <x v="3"/>
    <x v="3"/>
    <x v="0"/>
    <x v="2"/>
    <x v="30"/>
    <x v="15"/>
    <n v="0"/>
    <x v="0"/>
    <x v="0"/>
  </r>
  <r>
    <x v="3"/>
    <x v="3"/>
    <x v="0"/>
    <x v="2"/>
    <x v="31"/>
    <x v="7"/>
    <n v="1383081.7831568667"/>
    <x v="0"/>
    <x v="0"/>
  </r>
  <r>
    <x v="3"/>
    <x v="3"/>
    <x v="0"/>
    <x v="2"/>
    <x v="31"/>
    <x v="8"/>
    <n v="9410.6540351223357"/>
    <x v="0"/>
    <x v="0"/>
  </r>
  <r>
    <x v="3"/>
    <x v="3"/>
    <x v="0"/>
    <x v="2"/>
    <x v="31"/>
    <x v="9"/>
    <n v="1342016.081008781"/>
    <x v="0"/>
    <x v="0"/>
  </r>
  <r>
    <x v="3"/>
    <x v="3"/>
    <x v="0"/>
    <x v="2"/>
    <x v="31"/>
    <x v="10"/>
    <n v="31655.048112963697"/>
    <x v="0"/>
    <x v="0"/>
  </r>
  <r>
    <x v="3"/>
    <x v="3"/>
    <x v="0"/>
    <x v="2"/>
    <x v="31"/>
    <x v="11"/>
    <n v="43282956.464284003"/>
    <x v="0"/>
    <x v="0"/>
  </r>
  <r>
    <x v="3"/>
    <x v="3"/>
    <x v="0"/>
    <x v="2"/>
    <x v="31"/>
    <x v="12"/>
    <n v="7429147.683619773"/>
    <x v="0"/>
    <x v="0"/>
  </r>
  <r>
    <x v="3"/>
    <x v="3"/>
    <x v="0"/>
    <x v="2"/>
    <x v="31"/>
    <x v="13"/>
    <n v="0"/>
    <x v="0"/>
    <x v="0"/>
  </r>
  <r>
    <x v="3"/>
    <x v="3"/>
    <x v="0"/>
    <x v="2"/>
    <x v="31"/>
    <x v="14"/>
    <n v="0"/>
    <x v="0"/>
    <x v="0"/>
  </r>
  <r>
    <x v="3"/>
    <x v="3"/>
    <x v="0"/>
    <x v="2"/>
    <x v="31"/>
    <x v="15"/>
    <n v="0"/>
    <x v="0"/>
    <x v="0"/>
  </r>
  <r>
    <x v="3"/>
    <x v="3"/>
    <x v="0"/>
    <x v="2"/>
    <x v="32"/>
    <x v="7"/>
    <n v="1083551.5470258899"/>
    <x v="0"/>
    <x v="0"/>
  </r>
  <r>
    <x v="3"/>
    <x v="3"/>
    <x v="0"/>
    <x v="2"/>
    <x v="32"/>
    <x v="8"/>
    <n v="10810.726219017708"/>
    <x v="0"/>
    <x v="0"/>
  </r>
  <r>
    <x v="3"/>
    <x v="3"/>
    <x v="0"/>
    <x v="2"/>
    <x v="32"/>
    <x v="9"/>
    <n v="1040002.8171933184"/>
    <x v="0"/>
    <x v="0"/>
  </r>
  <r>
    <x v="3"/>
    <x v="3"/>
    <x v="0"/>
    <x v="2"/>
    <x v="32"/>
    <x v="10"/>
    <n v="32738.019857509964"/>
    <x v="0"/>
    <x v="0"/>
  </r>
  <r>
    <x v="3"/>
    <x v="3"/>
    <x v="0"/>
    <x v="2"/>
    <x v="32"/>
    <x v="11"/>
    <n v="42466879.076453738"/>
    <x v="0"/>
    <x v="0"/>
  </r>
  <r>
    <x v="3"/>
    <x v="3"/>
    <x v="0"/>
    <x v="2"/>
    <x v="32"/>
    <x v="12"/>
    <n v="7670410.7921498278"/>
    <x v="0"/>
    <x v="0"/>
  </r>
  <r>
    <x v="3"/>
    <x v="3"/>
    <x v="0"/>
    <x v="2"/>
    <x v="32"/>
    <x v="13"/>
    <n v="0"/>
    <x v="0"/>
    <x v="0"/>
  </r>
  <r>
    <x v="3"/>
    <x v="3"/>
    <x v="0"/>
    <x v="2"/>
    <x v="32"/>
    <x v="14"/>
    <n v="0"/>
    <x v="0"/>
    <x v="0"/>
  </r>
  <r>
    <x v="3"/>
    <x v="3"/>
    <x v="0"/>
    <x v="2"/>
    <x v="32"/>
    <x v="15"/>
    <n v="0"/>
    <x v="0"/>
    <x v="0"/>
  </r>
  <r>
    <x v="3"/>
    <x v="3"/>
    <x v="0"/>
    <x v="2"/>
    <x v="33"/>
    <x v="7"/>
    <n v="907937.85667656572"/>
    <x v="0"/>
    <x v="0"/>
  </r>
  <r>
    <x v="3"/>
    <x v="3"/>
    <x v="0"/>
    <x v="2"/>
    <x v="33"/>
    <x v="8"/>
    <n v="13485.76014943074"/>
    <x v="0"/>
    <x v="0"/>
  </r>
  <r>
    <x v="3"/>
    <x v="3"/>
    <x v="0"/>
    <x v="2"/>
    <x v="33"/>
    <x v="9"/>
    <n v="862404.96906622453"/>
    <x v="0"/>
    <x v="0"/>
  </r>
  <r>
    <x v="3"/>
    <x v="3"/>
    <x v="0"/>
    <x v="2"/>
    <x v="33"/>
    <x v="10"/>
    <n v="32306.726444497112"/>
    <x v="0"/>
    <x v="0"/>
  </r>
  <r>
    <x v="3"/>
    <x v="3"/>
    <x v="0"/>
    <x v="2"/>
    <x v="33"/>
    <x v="11"/>
    <n v="55370617.60069637"/>
    <x v="0"/>
    <x v="0"/>
  </r>
  <r>
    <x v="3"/>
    <x v="3"/>
    <x v="0"/>
    <x v="2"/>
    <x v="33"/>
    <x v="12"/>
    <n v="5008720.7825904209"/>
    <x v="0"/>
    <x v="0"/>
  </r>
  <r>
    <x v="3"/>
    <x v="3"/>
    <x v="0"/>
    <x v="2"/>
    <x v="33"/>
    <x v="13"/>
    <n v="0"/>
    <x v="0"/>
    <x v="0"/>
  </r>
  <r>
    <x v="3"/>
    <x v="3"/>
    <x v="0"/>
    <x v="2"/>
    <x v="33"/>
    <x v="14"/>
    <n v="0"/>
    <x v="0"/>
    <x v="0"/>
  </r>
  <r>
    <x v="3"/>
    <x v="3"/>
    <x v="0"/>
    <x v="2"/>
    <x v="33"/>
    <x v="15"/>
    <n v="0"/>
    <x v="0"/>
    <x v="0"/>
  </r>
  <r>
    <x v="3"/>
    <x v="3"/>
    <x v="0"/>
    <x v="2"/>
    <x v="34"/>
    <x v="7"/>
    <n v="797428.32438470598"/>
    <x v="0"/>
    <x v="0"/>
  </r>
  <r>
    <x v="3"/>
    <x v="3"/>
    <x v="0"/>
    <x v="2"/>
    <x v="34"/>
    <x v="8"/>
    <n v="13257.244124057781"/>
    <x v="0"/>
    <x v="0"/>
  </r>
  <r>
    <x v="3"/>
    <x v="3"/>
    <x v="0"/>
    <x v="2"/>
    <x v="34"/>
    <x v="9"/>
    <n v="752844.92818526935"/>
    <x v="0"/>
    <x v="0"/>
  </r>
  <r>
    <x v="3"/>
    <x v="3"/>
    <x v="0"/>
    <x v="2"/>
    <x v="34"/>
    <x v="10"/>
    <n v="31870.985619289768"/>
    <x v="0"/>
    <x v="0"/>
  </r>
  <r>
    <x v="3"/>
    <x v="3"/>
    <x v="0"/>
    <x v="2"/>
    <x v="34"/>
    <x v="11"/>
    <n v="56681807.598389439"/>
    <x v="0"/>
    <x v="0"/>
  </r>
  <r>
    <x v="3"/>
    <x v="3"/>
    <x v="0"/>
    <x v="2"/>
    <x v="34"/>
    <x v="12"/>
    <n v="5043998.0073293988"/>
    <x v="0"/>
    <x v="0"/>
  </r>
  <r>
    <x v="3"/>
    <x v="3"/>
    <x v="0"/>
    <x v="2"/>
    <x v="34"/>
    <x v="13"/>
    <n v="0"/>
    <x v="0"/>
    <x v="0"/>
  </r>
  <r>
    <x v="3"/>
    <x v="3"/>
    <x v="0"/>
    <x v="2"/>
    <x v="34"/>
    <x v="14"/>
    <n v="0"/>
    <x v="0"/>
    <x v="0"/>
  </r>
  <r>
    <x v="3"/>
    <x v="3"/>
    <x v="0"/>
    <x v="2"/>
    <x v="34"/>
    <x v="15"/>
    <n v="0"/>
    <x v="0"/>
    <x v="0"/>
  </r>
  <r>
    <x v="3"/>
    <x v="3"/>
    <x v="0"/>
    <x v="2"/>
    <x v="35"/>
    <x v="7"/>
    <n v="941559.42695505777"/>
    <x v="0"/>
    <x v="0"/>
  </r>
  <r>
    <x v="3"/>
    <x v="3"/>
    <x v="0"/>
    <x v="2"/>
    <x v="35"/>
    <x v="8"/>
    <n v="20669.143951419202"/>
    <x v="0"/>
    <x v="0"/>
  </r>
  <r>
    <x v="3"/>
    <x v="3"/>
    <x v="0"/>
    <x v="2"/>
    <x v="35"/>
    <x v="9"/>
    <n v="910128.54479821632"/>
    <x v="0"/>
    <x v="0"/>
  </r>
  <r>
    <x v="3"/>
    <x v="3"/>
    <x v="0"/>
    <x v="2"/>
    <x v="35"/>
    <x v="10"/>
    <n v="11300.975076874092"/>
    <x v="0"/>
    <x v="0"/>
  </r>
  <r>
    <x v="3"/>
    <x v="3"/>
    <x v="0"/>
    <x v="2"/>
    <x v="35"/>
    <x v="11"/>
    <n v="38553120.514188483"/>
    <x v="0"/>
    <x v="0"/>
  </r>
  <r>
    <x v="3"/>
    <x v="3"/>
    <x v="0"/>
    <x v="2"/>
    <x v="35"/>
    <x v="12"/>
    <n v="4563324.1037552832"/>
    <x v="0"/>
    <x v="0"/>
  </r>
  <r>
    <x v="3"/>
    <x v="3"/>
    <x v="0"/>
    <x v="2"/>
    <x v="35"/>
    <x v="13"/>
    <n v="0"/>
    <x v="0"/>
    <x v="0"/>
  </r>
  <r>
    <x v="3"/>
    <x v="3"/>
    <x v="0"/>
    <x v="2"/>
    <x v="35"/>
    <x v="14"/>
    <n v="0"/>
    <x v="0"/>
    <x v="0"/>
  </r>
  <r>
    <x v="3"/>
    <x v="3"/>
    <x v="0"/>
    <x v="2"/>
    <x v="35"/>
    <x v="15"/>
    <n v="0"/>
    <x v="0"/>
    <x v="0"/>
  </r>
  <r>
    <x v="3"/>
    <x v="3"/>
    <x v="0"/>
    <x v="3"/>
    <x v="36"/>
    <x v="7"/>
    <n v="625333.52919921209"/>
    <x v="0"/>
    <x v="0"/>
  </r>
  <r>
    <x v="3"/>
    <x v="3"/>
    <x v="0"/>
    <x v="3"/>
    <x v="36"/>
    <x v="8"/>
    <n v="18925.504919325307"/>
    <x v="0"/>
    <x v="0"/>
  </r>
  <r>
    <x v="3"/>
    <x v="3"/>
    <x v="0"/>
    <x v="3"/>
    <x v="36"/>
    <x v="9"/>
    <n v="596171.52630986413"/>
    <x v="0"/>
    <x v="0"/>
  </r>
  <r>
    <x v="3"/>
    <x v="3"/>
    <x v="0"/>
    <x v="3"/>
    <x v="36"/>
    <x v="10"/>
    <n v="10829.904377154382"/>
    <x v="0"/>
    <x v="0"/>
  </r>
  <r>
    <x v="3"/>
    <x v="3"/>
    <x v="0"/>
    <x v="3"/>
    <x v="36"/>
    <x v="11"/>
    <n v="32368415.530971896"/>
    <x v="0"/>
    <x v="0"/>
  </r>
  <r>
    <x v="3"/>
    <x v="3"/>
    <x v="0"/>
    <x v="3"/>
    <x v="36"/>
    <x v="12"/>
    <n v="8128666.9876542883"/>
    <x v="0"/>
    <x v="0"/>
  </r>
  <r>
    <x v="3"/>
    <x v="3"/>
    <x v="0"/>
    <x v="3"/>
    <x v="36"/>
    <x v="13"/>
    <n v="0"/>
    <x v="0"/>
    <x v="0"/>
  </r>
  <r>
    <x v="3"/>
    <x v="3"/>
    <x v="0"/>
    <x v="3"/>
    <x v="36"/>
    <x v="14"/>
    <n v="0"/>
    <x v="0"/>
    <x v="0"/>
  </r>
  <r>
    <x v="3"/>
    <x v="3"/>
    <x v="0"/>
    <x v="3"/>
    <x v="36"/>
    <x v="15"/>
    <n v="0"/>
    <x v="0"/>
    <x v="0"/>
  </r>
  <r>
    <x v="3"/>
    <x v="3"/>
    <x v="0"/>
    <x v="3"/>
    <x v="37"/>
    <x v="7"/>
    <n v="907677.28560780559"/>
    <x v="0"/>
    <x v="0"/>
  </r>
  <r>
    <x v="3"/>
    <x v="3"/>
    <x v="0"/>
    <x v="3"/>
    <x v="37"/>
    <x v="8"/>
    <n v="19229.817179312216"/>
    <x v="0"/>
    <x v="0"/>
  </r>
  <r>
    <x v="3"/>
    <x v="3"/>
    <x v="0"/>
    <x v="3"/>
    <x v="37"/>
    <x v="9"/>
    <n v="885671.80861471931"/>
    <x v="0"/>
    <x v="0"/>
  </r>
  <r>
    <x v="3"/>
    <x v="3"/>
    <x v="0"/>
    <x v="3"/>
    <x v="37"/>
    <x v="10"/>
    <n v="3934.3668223253262"/>
    <x v="0"/>
    <x v="0"/>
  </r>
  <r>
    <x v="3"/>
    <x v="3"/>
    <x v="0"/>
    <x v="3"/>
    <x v="37"/>
    <x v="11"/>
    <n v="33384696.291371144"/>
    <x v="0"/>
    <x v="0"/>
  </r>
  <r>
    <x v="3"/>
    <x v="3"/>
    <x v="0"/>
    <x v="3"/>
    <x v="37"/>
    <x v="12"/>
    <n v="5492287.603519558"/>
    <x v="0"/>
    <x v="0"/>
  </r>
  <r>
    <x v="3"/>
    <x v="3"/>
    <x v="0"/>
    <x v="3"/>
    <x v="37"/>
    <x v="13"/>
    <n v="0"/>
    <x v="0"/>
    <x v="0"/>
  </r>
  <r>
    <x v="3"/>
    <x v="3"/>
    <x v="0"/>
    <x v="3"/>
    <x v="37"/>
    <x v="14"/>
    <n v="0"/>
    <x v="0"/>
    <x v="0"/>
  </r>
  <r>
    <x v="3"/>
    <x v="3"/>
    <x v="0"/>
    <x v="3"/>
    <x v="37"/>
    <x v="15"/>
    <n v="0"/>
    <x v="0"/>
    <x v="0"/>
  </r>
  <r>
    <x v="3"/>
    <x v="3"/>
    <x v="0"/>
    <x v="3"/>
    <x v="38"/>
    <x v="7"/>
    <n v="659569.15656542988"/>
    <x v="0"/>
    <x v="0"/>
  </r>
  <r>
    <x v="3"/>
    <x v="3"/>
    <x v="0"/>
    <x v="3"/>
    <x v="38"/>
    <x v="8"/>
    <n v="17919.650082171989"/>
    <x v="0"/>
    <x v="0"/>
  </r>
  <r>
    <x v="3"/>
    <x v="3"/>
    <x v="0"/>
    <x v="3"/>
    <x v="38"/>
    <x v="9"/>
    <n v="638142.49199239782"/>
    <x v="0"/>
    <x v="0"/>
  </r>
  <r>
    <x v="3"/>
    <x v="3"/>
    <x v="0"/>
    <x v="3"/>
    <x v="38"/>
    <x v="10"/>
    <n v="3715.2885017194485"/>
    <x v="0"/>
    <x v="0"/>
  </r>
  <r>
    <x v="3"/>
    <x v="3"/>
    <x v="0"/>
    <x v="3"/>
    <x v="38"/>
    <x v="11"/>
    <n v="32111342.842466298"/>
    <x v="0"/>
    <x v="0"/>
  </r>
  <r>
    <x v="3"/>
    <x v="3"/>
    <x v="0"/>
    <x v="3"/>
    <x v="38"/>
    <x v="12"/>
    <n v="4773327.4514378309"/>
    <x v="0"/>
    <x v="0"/>
  </r>
  <r>
    <x v="3"/>
    <x v="3"/>
    <x v="0"/>
    <x v="3"/>
    <x v="38"/>
    <x v="13"/>
    <n v="0"/>
    <x v="0"/>
    <x v="0"/>
  </r>
  <r>
    <x v="3"/>
    <x v="3"/>
    <x v="0"/>
    <x v="3"/>
    <x v="38"/>
    <x v="14"/>
    <n v="0"/>
    <x v="0"/>
    <x v="0"/>
  </r>
  <r>
    <x v="3"/>
    <x v="3"/>
    <x v="0"/>
    <x v="3"/>
    <x v="38"/>
    <x v="15"/>
    <n v="0"/>
    <x v="0"/>
    <x v="0"/>
  </r>
  <r>
    <x v="3"/>
    <x v="3"/>
    <x v="0"/>
    <x v="3"/>
    <x v="39"/>
    <x v="7"/>
    <n v="1073756.7986527481"/>
    <x v="0"/>
    <x v="0"/>
  </r>
  <r>
    <x v="3"/>
    <x v="3"/>
    <x v="0"/>
    <x v="3"/>
    <x v="39"/>
    <x v="8"/>
    <n v="18667.545926411341"/>
    <x v="0"/>
    <x v="0"/>
  </r>
  <r>
    <x v="3"/>
    <x v="3"/>
    <x v="0"/>
    <x v="3"/>
    <x v="39"/>
    <x v="9"/>
    <n v="1051795.1405275722"/>
    <x v="0"/>
    <x v="0"/>
  </r>
  <r>
    <x v="3"/>
    <x v="3"/>
    <x v="0"/>
    <x v="3"/>
    <x v="39"/>
    <x v="10"/>
    <n v="4199.4789823050296"/>
    <x v="0"/>
    <x v="0"/>
  </r>
  <r>
    <x v="3"/>
    <x v="3"/>
    <x v="0"/>
    <x v="3"/>
    <x v="39"/>
    <x v="11"/>
    <n v="32104666.449209385"/>
    <x v="0"/>
    <x v="0"/>
  </r>
  <r>
    <x v="3"/>
    <x v="3"/>
    <x v="0"/>
    <x v="3"/>
    <x v="39"/>
    <x v="12"/>
    <n v="3506553.0259343684"/>
    <x v="0"/>
    <x v="0"/>
  </r>
  <r>
    <x v="3"/>
    <x v="3"/>
    <x v="0"/>
    <x v="3"/>
    <x v="39"/>
    <x v="13"/>
    <n v="0"/>
    <x v="0"/>
    <x v="0"/>
  </r>
  <r>
    <x v="3"/>
    <x v="3"/>
    <x v="0"/>
    <x v="3"/>
    <x v="39"/>
    <x v="14"/>
    <n v="0"/>
    <x v="0"/>
    <x v="0"/>
  </r>
  <r>
    <x v="3"/>
    <x v="3"/>
    <x v="0"/>
    <x v="3"/>
    <x v="39"/>
    <x v="15"/>
    <n v="0"/>
    <x v="0"/>
    <x v="0"/>
  </r>
  <r>
    <x v="3"/>
    <x v="3"/>
    <x v="0"/>
    <x v="3"/>
    <x v="40"/>
    <x v="7"/>
    <n v="1187438.6714879058"/>
    <x v="0"/>
    <x v="0"/>
  </r>
  <r>
    <x v="3"/>
    <x v="3"/>
    <x v="0"/>
    <x v="3"/>
    <x v="40"/>
    <x v="8"/>
    <n v="8382.7578664259872"/>
    <x v="0"/>
    <x v="0"/>
  </r>
  <r>
    <x v="3"/>
    <x v="3"/>
    <x v="0"/>
    <x v="3"/>
    <x v="40"/>
    <x v="9"/>
    <n v="1170968.0444958473"/>
    <x v="0"/>
    <x v="0"/>
  </r>
  <r>
    <x v="3"/>
    <x v="3"/>
    <x v="0"/>
    <x v="3"/>
    <x v="40"/>
    <x v="10"/>
    <n v="9975.2306050541556"/>
    <x v="0"/>
    <x v="0"/>
  </r>
  <r>
    <x v="3"/>
    <x v="3"/>
    <x v="0"/>
    <x v="3"/>
    <x v="40"/>
    <x v="11"/>
    <n v="33927097.762167789"/>
    <x v="0"/>
    <x v="0"/>
  </r>
  <r>
    <x v="3"/>
    <x v="3"/>
    <x v="0"/>
    <x v="3"/>
    <x v="40"/>
    <x v="12"/>
    <n v="6761403.9714906951"/>
    <x v="0"/>
    <x v="0"/>
  </r>
  <r>
    <x v="3"/>
    <x v="3"/>
    <x v="0"/>
    <x v="3"/>
    <x v="40"/>
    <x v="13"/>
    <n v="0"/>
    <x v="0"/>
    <x v="0"/>
  </r>
  <r>
    <x v="3"/>
    <x v="3"/>
    <x v="0"/>
    <x v="3"/>
    <x v="40"/>
    <x v="14"/>
    <n v="0"/>
    <x v="0"/>
    <x v="0"/>
  </r>
  <r>
    <x v="3"/>
    <x v="3"/>
    <x v="0"/>
    <x v="3"/>
    <x v="40"/>
    <x v="15"/>
    <n v="0"/>
    <x v="0"/>
    <x v="0"/>
  </r>
  <r>
    <x v="3"/>
    <x v="3"/>
    <x v="0"/>
    <x v="3"/>
    <x v="41"/>
    <x v="7"/>
    <n v="1395297.0746161374"/>
    <x v="0"/>
    <x v="0"/>
  </r>
  <r>
    <x v="3"/>
    <x v="3"/>
    <x v="0"/>
    <x v="3"/>
    <x v="41"/>
    <x v="8"/>
    <n v="6043.0431091539858"/>
    <x v="0"/>
    <x v="0"/>
  </r>
  <r>
    <x v="3"/>
    <x v="3"/>
    <x v="0"/>
    <x v="3"/>
    <x v="41"/>
    <x v="9"/>
    <n v="1348078.142038964"/>
    <x v="0"/>
    <x v="0"/>
  </r>
  <r>
    <x v="3"/>
    <x v="3"/>
    <x v="0"/>
    <x v="3"/>
    <x v="41"/>
    <x v="10"/>
    <n v="55392.13949515175"/>
    <x v="0"/>
    <x v="0"/>
  </r>
  <r>
    <x v="3"/>
    <x v="3"/>
    <x v="0"/>
    <x v="3"/>
    <x v="41"/>
    <x v="11"/>
    <n v="35603075.981120914"/>
    <x v="0"/>
    <x v="0"/>
  </r>
  <r>
    <x v="3"/>
    <x v="3"/>
    <x v="0"/>
    <x v="3"/>
    <x v="41"/>
    <x v="12"/>
    <n v="6957154.7637283178"/>
    <x v="0"/>
    <x v="0"/>
  </r>
  <r>
    <x v="3"/>
    <x v="3"/>
    <x v="0"/>
    <x v="3"/>
    <x v="41"/>
    <x v="13"/>
    <n v="0"/>
    <x v="0"/>
    <x v="0"/>
  </r>
  <r>
    <x v="3"/>
    <x v="3"/>
    <x v="0"/>
    <x v="3"/>
    <x v="41"/>
    <x v="14"/>
    <n v="0"/>
    <x v="0"/>
    <x v="0"/>
  </r>
  <r>
    <x v="3"/>
    <x v="3"/>
    <x v="0"/>
    <x v="3"/>
    <x v="41"/>
    <x v="15"/>
    <n v="0"/>
    <x v="0"/>
    <x v="0"/>
  </r>
  <r>
    <x v="3"/>
    <x v="3"/>
    <x v="0"/>
    <x v="3"/>
    <x v="42"/>
    <x v="7"/>
    <n v="1149588.9191449035"/>
    <x v="0"/>
    <x v="0"/>
  </r>
  <r>
    <x v="3"/>
    <x v="3"/>
    <x v="0"/>
    <x v="3"/>
    <x v="42"/>
    <x v="8"/>
    <n v="7570.1422024350522"/>
    <x v="0"/>
    <x v="0"/>
  </r>
  <r>
    <x v="3"/>
    <x v="3"/>
    <x v="0"/>
    <x v="3"/>
    <x v="42"/>
    <x v="9"/>
    <n v="1134175.1688769616"/>
    <x v="0"/>
    <x v="0"/>
  </r>
  <r>
    <x v="3"/>
    <x v="3"/>
    <x v="0"/>
    <x v="3"/>
    <x v="42"/>
    <x v="10"/>
    <n v="21597.391998456656"/>
    <x v="0"/>
    <x v="0"/>
  </r>
  <r>
    <x v="3"/>
    <x v="3"/>
    <x v="0"/>
    <x v="3"/>
    <x v="42"/>
    <x v="11"/>
    <n v="36169613.538944744"/>
    <x v="0"/>
    <x v="0"/>
  </r>
  <r>
    <x v="3"/>
    <x v="3"/>
    <x v="0"/>
    <x v="3"/>
    <x v="42"/>
    <x v="12"/>
    <n v="7206753.9593072943"/>
    <x v="0"/>
    <x v="0"/>
  </r>
  <r>
    <x v="3"/>
    <x v="3"/>
    <x v="0"/>
    <x v="3"/>
    <x v="42"/>
    <x v="13"/>
    <n v="0"/>
    <x v="0"/>
    <x v="0"/>
  </r>
  <r>
    <x v="3"/>
    <x v="3"/>
    <x v="0"/>
    <x v="3"/>
    <x v="42"/>
    <x v="14"/>
    <n v="0"/>
    <x v="0"/>
    <x v="0"/>
  </r>
  <r>
    <x v="3"/>
    <x v="3"/>
    <x v="0"/>
    <x v="3"/>
    <x v="42"/>
    <x v="15"/>
    <n v="0"/>
    <x v="0"/>
    <x v="0"/>
  </r>
  <r>
    <x v="3"/>
    <x v="3"/>
    <x v="0"/>
    <x v="3"/>
    <x v="43"/>
    <x v="7"/>
    <n v="612480.33882019971"/>
    <x v="0"/>
    <x v="0"/>
  </r>
  <r>
    <x v="3"/>
    <x v="3"/>
    <x v="0"/>
    <x v="3"/>
    <x v="43"/>
    <x v="8"/>
    <n v="4331.3645625265635"/>
    <x v="0"/>
    <x v="0"/>
  </r>
  <r>
    <x v="3"/>
    <x v="3"/>
    <x v="0"/>
    <x v="3"/>
    <x v="43"/>
    <x v="9"/>
    <n v="573826.79507192085"/>
    <x v="0"/>
    <x v="0"/>
  </r>
  <r>
    <x v="3"/>
    <x v="3"/>
    <x v="0"/>
    <x v="3"/>
    <x v="43"/>
    <x v="10"/>
    <n v="34468.438778542928"/>
    <x v="0"/>
    <x v="0"/>
  </r>
  <r>
    <x v="3"/>
    <x v="3"/>
    <x v="0"/>
    <x v="3"/>
    <x v="43"/>
    <x v="11"/>
    <n v="28097700.208714318"/>
    <x v="0"/>
    <x v="0"/>
  </r>
  <r>
    <x v="3"/>
    <x v="3"/>
    <x v="0"/>
    <x v="3"/>
    <x v="43"/>
    <x v="12"/>
    <n v="7958151.0317367204"/>
    <x v="0"/>
    <x v="0"/>
  </r>
  <r>
    <x v="3"/>
    <x v="3"/>
    <x v="0"/>
    <x v="3"/>
    <x v="43"/>
    <x v="13"/>
    <n v="0"/>
    <x v="0"/>
    <x v="0"/>
  </r>
  <r>
    <x v="3"/>
    <x v="3"/>
    <x v="0"/>
    <x v="3"/>
    <x v="43"/>
    <x v="14"/>
    <n v="0"/>
    <x v="0"/>
    <x v="0"/>
  </r>
  <r>
    <x v="3"/>
    <x v="3"/>
    <x v="0"/>
    <x v="3"/>
    <x v="43"/>
    <x v="15"/>
    <n v="0"/>
    <x v="0"/>
    <x v="0"/>
  </r>
  <r>
    <x v="3"/>
    <x v="3"/>
    <x v="0"/>
    <x v="3"/>
    <x v="44"/>
    <x v="7"/>
    <n v="1051274.6621821679"/>
    <x v="0"/>
    <x v="0"/>
  </r>
  <r>
    <x v="3"/>
    <x v="3"/>
    <x v="0"/>
    <x v="3"/>
    <x v="44"/>
    <x v="8"/>
    <n v="2931.5121870238581"/>
    <x v="0"/>
    <x v="0"/>
  </r>
  <r>
    <x v="3"/>
    <x v="3"/>
    <x v="0"/>
    <x v="3"/>
    <x v="44"/>
    <x v="9"/>
    <n v="1013932.8200855592"/>
    <x v="0"/>
    <x v="0"/>
  </r>
  <r>
    <x v="3"/>
    <x v="3"/>
    <x v="0"/>
    <x v="3"/>
    <x v="44"/>
    <x v="10"/>
    <n v="38232.527838258706"/>
    <x v="0"/>
    <x v="0"/>
  </r>
  <r>
    <x v="3"/>
    <x v="3"/>
    <x v="0"/>
    <x v="3"/>
    <x v="44"/>
    <x v="11"/>
    <n v="31063399.000898484"/>
    <x v="0"/>
    <x v="0"/>
  </r>
  <r>
    <x v="3"/>
    <x v="3"/>
    <x v="0"/>
    <x v="3"/>
    <x v="44"/>
    <x v="12"/>
    <n v="3752965.6176929255"/>
    <x v="0"/>
    <x v="0"/>
  </r>
  <r>
    <x v="3"/>
    <x v="3"/>
    <x v="0"/>
    <x v="3"/>
    <x v="44"/>
    <x v="13"/>
    <n v="0"/>
    <x v="0"/>
    <x v="0"/>
  </r>
  <r>
    <x v="3"/>
    <x v="3"/>
    <x v="0"/>
    <x v="3"/>
    <x v="44"/>
    <x v="14"/>
    <n v="0"/>
    <x v="0"/>
    <x v="0"/>
  </r>
  <r>
    <x v="3"/>
    <x v="3"/>
    <x v="0"/>
    <x v="3"/>
    <x v="44"/>
    <x v="15"/>
    <n v="0"/>
    <x v="0"/>
    <x v="0"/>
  </r>
  <r>
    <x v="3"/>
    <x v="3"/>
    <x v="0"/>
    <x v="3"/>
    <x v="45"/>
    <x v="7"/>
    <n v="464656.69072625414"/>
    <x v="0"/>
    <x v="0"/>
  </r>
  <r>
    <x v="3"/>
    <x v="3"/>
    <x v="0"/>
    <x v="3"/>
    <x v="45"/>
    <x v="8"/>
    <n v="2867.6601089030864"/>
    <x v="0"/>
    <x v="0"/>
  </r>
  <r>
    <x v="3"/>
    <x v="3"/>
    <x v="0"/>
    <x v="3"/>
    <x v="45"/>
    <x v="9"/>
    <n v="430386.78299185779"/>
    <x v="0"/>
    <x v="0"/>
  </r>
  <r>
    <x v="3"/>
    <x v="3"/>
    <x v="0"/>
    <x v="3"/>
    <x v="45"/>
    <x v="10"/>
    <n v="39671.570349470341"/>
    <x v="0"/>
    <x v="0"/>
  </r>
  <r>
    <x v="3"/>
    <x v="3"/>
    <x v="0"/>
    <x v="3"/>
    <x v="45"/>
    <x v="11"/>
    <n v="47970297.633873239"/>
    <x v="0"/>
    <x v="0"/>
  </r>
  <r>
    <x v="3"/>
    <x v="3"/>
    <x v="0"/>
    <x v="3"/>
    <x v="45"/>
    <x v="12"/>
    <n v="3039362.2229603422"/>
    <x v="0"/>
    <x v="0"/>
  </r>
  <r>
    <x v="3"/>
    <x v="3"/>
    <x v="0"/>
    <x v="3"/>
    <x v="45"/>
    <x v="13"/>
    <n v="0"/>
    <x v="0"/>
    <x v="0"/>
  </r>
  <r>
    <x v="3"/>
    <x v="3"/>
    <x v="0"/>
    <x v="3"/>
    <x v="45"/>
    <x v="14"/>
    <n v="0"/>
    <x v="0"/>
    <x v="0"/>
  </r>
  <r>
    <x v="3"/>
    <x v="3"/>
    <x v="0"/>
    <x v="3"/>
    <x v="45"/>
    <x v="15"/>
    <n v="0"/>
    <x v="0"/>
    <x v="0"/>
  </r>
  <r>
    <x v="4"/>
    <x v="4"/>
    <x v="0"/>
    <x v="0"/>
    <x v="46"/>
    <x v="1"/>
    <m/>
    <x v="1"/>
    <x v="1"/>
  </r>
  <r>
    <x v="4"/>
    <x v="4"/>
    <x v="0"/>
    <x v="0"/>
    <x v="0"/>
    <x v="1"/>
    <n v="52.277520843201003"/>
    <x v="1"/>
    <x v="1"/>
  </r>
  <r>
    <x v="4"/>
    <x v="4"/>
    <x v="0"/>
    <x v="0"/>
    <x v="1"/>
    <x v="1"/>
    <n v="40.108272876899399"/>
    <x v="1"/>
    <x v="1"/>
  </r>
  <r>
    <x v="4"/>
    <x v="4"/>
    <x v="0"/>
    <x v="0"/>
    <x v="2"/>
    <x v="1"/>
    <n v="35.178407133616702"/>
    <x v="1"/>
    <x v="1"/>
  </r>
  <r>
    <x v="4"/>
    <x v="4"/>
    <x v="0"/>
    <x v="0"/>
    <x v="3"/>
    <x v="1"/>
    <n v="18.4677184041769"/>
    <x v="1"/>
    <x v="1"/>
  </r>
  <r>
    <x v="4"/>
    <x v="4"/>
    <x v="0"/>
    <x v="0"/>
    <x v="4"/>
    <x v="1"/>
    <n v="19.017370241940899"/>
    <x v="1"/>
    <x v="1"/>
  </r>
  <r>
    <x v="4"/>
    <x v="4"/>
    <x v="0"/>
    <x v="0"/>
    <x v="5"/>
    <x v="1"/>
    <n v="25.613190273750799"/>
    <x v="1"/>
    <x v="1"/>
  </r>
  <r>
    <x v="4"/>
    <x v="4"/>
    <x v="0"/>
    <x v="0"/>
    <x v="6"/>
    <x v="1"/>
    <n v="23.173469067318798"/>
    <x v="1"/>
    <x v="1"/>
  </r>
  <r>
    <x v="4"/>
    <x v="4"/>
    <x v="0"/>
    <x v="0"/>
    <x v="7"/>
    <x v="1"/>
    <n v="26.116687534134201"/>
    <x v="1"/>
    <x v="1"/>
  </r>
  <r>
    <x v="4"/>
    <x v="4"/>
    <x v="0"/>
    <x v="0"/>
    <x v="8"/>
    <x v="1"/>
    <n v="20.296165522689599"/>
    <x v="1"/>
    <x v="1"/>
  </r>
  <r>
    <x v="4"/>
    <x v="4"/>
    <x v="0"/>
    <x v="0"/>
    <x v="9"/>
    <x v="1"/>
    <n v="23.246715898782501"/>
    <x v="1"/>
    <x v="1"/>
  </r>
  <r>
    <x v="4"/>
    <x v="4"/>
    <x v="0"/>
    <x v="0"/>
    <x v="10"/>
    <x v="1"/>
    <n v="48.118751433197801"/>
    <x v="1"/>
    <x v="1"/>
  </r>
  <r>
    <x v="4"/>
    <x v="4"/>
    <x v="0"/>
    <x v="0"/>
    <x v="11"/>
    <x v="1"/>
    <n v="46.623932104948203"/>
    <x v="1"/>
    <x v="1"/>
  </r>
  <r>
    <x v="4"/>
    <x v="4"/>
    <x v="0"/>
    <x v="1"/>
    <x v="47"/>
    <x v="1"/>
    <m/>
    <x v="1"/>
    <x v="1"/>
  </r>
  <r>
    <x v="4"/>
    <x v="4"/>
    <x v="0"/>
    <x v="1"/>
    <x v="12"/>
    <x v="1"/>
    <n v="60.405006499682997"/>
    <x v="1"/>
    <x v="1"/>
  </r>
  <r>
    <x v="4"/>
    <x v="4"/>
    <x v="0"/>
    <x v="1"/>
    <x v="13"/>
    <x v="1"/>
    <n v="49.764406092048198"/>
    <x v="1"/>
    <x v="1"/>
  </r>
  <r>
    <x v="4"/>
    <x v="4"/>
    <x v="0"/>
    <x v="1"/>
    <x v="14"/>
    <x v="1"/>
    <n v="37.279671713349899"/>
    <x v="1"/>
    <x v="1"/>
  </r>
  <r>
    <x v="4"/>
    <x v="4"/>
    <x v="0"/>
    <x v="1"/>
    <x v="15"/>
    <x v="1"/>
    <n v="21.346845416234199"/>
    <x v="1"/>
    <x v="1"/>
  </r>
  <r>
    <x v="4"/>
    <x v="4"/>
    <x v="0"/>
    <x v="1"/>
    <x v="16"/>
    <x v="1"/>
    <n v="14.986057177663501"/>
    <x v="1"/>
    <x v="1"/>
  </r>
  <r>
    <x v="4"/>
    <x v="4"/>
    <x v="0"/>
    <x v="1"/>
    <x v="17"/>
    <x v="1"/>
    <n v="23.976022501437999"/>
    <x v="1"/>
    <x v="1"/>
  </r>
  <r>
    <x v="4"/>
    <x v="4"/>
    <x v="0"/>
    <x v="1"/>
    <x v="18"/>
    <x v="1"/>
    <n v="18.967126466690601"/>
    <x v="1"/>
    <x v="1"/>
  </r>
  <r>
    <x v="4"/>
    <x v="4"/>
    <x v="0"/>
    <x v="1"/>
    <x v="19"/>
    <x v="1"/>
    <n v="15.199134034136099"/>
    <x v="1"/>
    <x v="1"/>
  </r>
  <r>
    <x v="4"/>
    <x v="4"/>
    <x v="0"/>
    <x v="1"/>
    <x v="20"/>
    <x v="1"/>
    <n v="24.883303510717301"/>
    <x v="1"/>
    <x v="1"/>
  </r>
  <r>
    <x v="4"/>
    <x v="4"/>
    <x v="0"/>
    <x v="1"/>
    <x v="21"/>
    <x v="1"/>
    <n v="47.910032604487697"/>
    <x v="1"/>
    <x v="1"/>
  </r>
  <r>
    <x v="4"/>
    <x v="4"/>
    <x v="0"/>
    <x v="1"/>
    <x v="22"/>
    <x v="1"/>
    <n v="51.793236426166402"/>
    <x v="1"/>
    <x v="1"/>
  </r>
  <r>
    <x v="4"/>
    <x v="4"/>
    <x v="0"/>
    <x v="1"/>
    <x v="23"/>
    <x v="1"/>
    <n v="56.140190140797998"/>
    <x v="1"/>
    <x v="1"/>
  </r>
  <r>
    <x v="4"/>
    <x v="4"/>
    <x v="0"/>
    <x v="2"/>
    <x v="48"/>
    <x v="1"/>
    <m/>
    <x v="1"/>
    <x v="1"/>
  </r>
  <r>
    <x v="4"/>
    <x v="4"/>
    <x v="0"/>
    <x v="2"/>
    <x v="24"/>
    <x v="1"/>
    <n v="44.125250692414603"/>
    <x v="1"/>
    <x v="1"/>
  </r>
  <r>
    <x v="4"/>
    <x v="4"/>
    <x v="0"/>
    <x v="2"/>
    <x v="25"/>
    <x v="1"/>
    <n v="45.074890490885203"/>
    <x v="1"/>
    <x v="1"/>
  </r>
  <r>
    <x v="4"/>
    <x v="4"/>
    <x v="0"/>
    <x v="2"/>
    <x v="26"/>
    <x v="1"/>
    <n v="44.341413292752797"/>
    <x v="1"/>
    <x v="1"/>
  </r>
  <r>
    <x v="4"/>
    <x v="4"/>
    <x v="0"/>
    <x v="2"/>
    <x v="27"/>
    <x v="1"/>
    <n v="37.758021834288897"/>
    <x v="1"/>
    <x v="1"/>
  </r>
  <r>
    <x v="4"/>
    <x v="4"/>
    <x v="0"/>
    <x v="2"/>
    <x v="28"/>
    <x v="1"/>
    <n v="36.989963044075601"/>
    <x v="1"/>
    <x v="1"/>
  </r>
  <r>
    <x v="4"/>
    <x v="4"/>
    <x v="0"/>
    <x v="2"/>
    <x v="29"/>
    <x v="1"/>
    <n v="33.963003038487102"/>
    <x v="1"/>
    <x v="1"/>
  </r>
  <r>
    <x v="4"/>
    <x v="4"/>
    <x v="0"/>
    <x v="2"/>
    <x v="30"/>
    <x v="1"/>
    <n v="38.444659754494801"/>
    <x v="1"/>
    <x v="1"/>
  </r>
  <r>
    <x v="4"/>
    <x v="4"/>
    <x v="0"/>
    <x v="2"/>
    <x v="31"/>
    <x v="1"/>
    <n v="54.0171368095125"/>
    <x v="1"/>
    <x v="1"/>
  </r>
  <r>
    <x v="4"/>
    <x v="4"/>
    <x v="0"/>
    <x v="2"/>
    <x v="32"/>
    <x v="1"/>
    <n v="48.691638271243903"/>
    <x v="1"/>
    <x v="1"/>
  </r>
  <r>
    <x v="4"/>
    <x v="4"/>
    <x v="0"/>
    <x v="2"/>
    <x v="33"/>
    <x v="1"/>
    <n v="47.274851376537498"/>
    <x v="1"/>
    <x v="1"/>
  </r>
  <r>
    <x v="4"/>
    <x v="4"/>
    <x v="0"/>
    <x v="2"/>
    <x v="34"/>
    <x v="1"/>
    <n v="44.4745954742842"/>
    <x v="1"/>
    <x v="1"/>
  </r>
  <r>
    <x v="4"/>
    <x v="4"/>
    <x v="0"/>
    <x v="2"/>
    <x v="35"/>
    <x v="1"/>
    <n v="59.4609657798635"/>
    <x v="1"/>
    <x v="1"/>
  </r>
  <r>
    <x v="4"/>
    <x v="4"/>
    <x v="0"/>
    <x v="3"/>
    <x v="49"/>
    <x v="1"/>
    <m/>
    <x v="1"/>
    <x v="1"/>
  </r>
  <r>
    <x v="4"/>
    <x v="4"/>
    <x v="0"/>
    <x v="3"/>
    <x v="36"/>
    <x v="1"/>
    <n v="55.985864611796899"/>
    <x v="1"/>
    <x v="1"/>
  </r>
  <r>
    <x v="4"/>
    <x v="4"/>
    <x v="0"/>
    <x v="3"/>
    <x v="37"/>
    <x v="1"/>
    <n v="54.755502512280202"/>
    <x v="1"/>
    <x v="1"/>
  </r>
  <r>
    <x v="4"/>
    <x v="4"/>
    <x v="0"/>
    <x v="3"/>
    <x v="38"/>
    <x v="1"/>
    <n v="55.449977622903901"/>
    <x v="1"/>
    <x v="1"/>
  </r>
  <r>
    <x v="4"/>
    <x v="4"/>
    <x v="0"/>
    <x v="3"/>
    <x v="39"/>
    <x v="1"/>
    <n v="41.239403870873403"/>
    <x v="1"/>
    <x v="1"/>
  </r>
  <r>
    <x v="4"/>
    <x v="4"/>
    <x v="0"/>
    <x v="3"/>
    <x v="40"/>
    <x v="1"/>
    <n v="45.1799331262904"/>
    <x v="1"/>
    <x v="1"/>
  </r>
  <r>
    <x v="4"/>
    <x v="4"/>
    <x v="0"/>
    <x v="3"/>
    <x v="41"/>
    <x v="1"/>
    <n v="28.632326518010299"/>
    <x v="1"/>
    <x v="1"/>
  </r>
  <r>
    <x v="4"/>
    <x v="4"/>
    <x v="0"/>
    <x v="3"/>
    <x v="42"/>
    <x v="1"/>
    <n v="37.665972248825902"/>
    <x v="1"/>
    <x v="1"/>
  </r>
  <r>
    <x v="4"/>
    <x v="4"/>
    <x v="0"/>
    <x v="3"/>
    <x v="43"/>
    <x v="1"/>
    <n v="31.4931318942314"/>
    <x v="1"/>
    <x v="1"/>
  </r>
  <r>
    <x v="4"/>
    <x v="4"/>
    <x v="0"/>
    <x v="3"/>
    <x v="44"/>
    <x v="1"/>
    <n v="31.7756025194095"/>
    <x v="1"/>
    <x v="1"/>
  </r>
  <r>
    <x v="4"/>
    <x v="4"/>
    <x v="0"/>
    <x v="3"/>
    <x v="45"/>
    <x v="1"/>
    <n v="24.9967159941591"/>
    <x v="1"/>
    <x v="1"/>
  </r>
  <r>
    <x v="4"/>
    <x v="5"/>
    <x v="0"/>
    <x v="0"/>
    <x v="46"/>
    <x v="1"/>
    <m/>
    <x v="2"/>
    <x v="2"/>
  </r>
  <r>
    <x v="4"/>
    <x v="5"/>
    <x v="0"/>
    <x v="0"/>
    <x v="0"/>
    <x v="1"/>
    <n v="31.805906524368002"/>
    <x v="2"/>
    <x v="2"/>
  </r>
  <r>
    <x v="4"/>
    <x v="5"/>
    <x v="0"/>
    <x v="0"/>
    <x v="1"/>
    <x v="1"/>
    <n v="57.769308941748797"/>
    <x v="2"/>
    <x v="2"/>
  </r>
  <r>
    <x v="4"/>
    <x v="5"/>
    <x v="0"/>
    <x v="0"/>
    <x v="2"/>
    <x v="1"/>
    <n v="63.194955996294702"/>
    <x v="2"/>
    <x v="2"/>
  </r>
  <r>
    <x v="4"/>
    <x v="5"/>
    <x v="0"/>
    <x v="0"/>
    <x v="3"/>
    <x v="1"/>
    <n v="70.087617236834305"/>
    <x v="2"/>
    <x v="2"/>
  </r>
  <r>
    <x v="4"/>
    <x v="5"/>
    <x v="0"/>
    <x v="0"/>
    <x v="4"/>
    <x v="1"/>
    <n v="61.782694997457803"/>
    <x v="2"/>
    <x v="2"/>
  </r>
  <r>
    <x v="4"/>
    <x v="5"/>
    <x v="0"/>
    <x v="0"/>
    <x v="5"/>
    <x v="1"/>
    <n v="79.297923324705494"/>
    <x v="2"/>
    <x v="2"/>
  </r>
  <r>
    <x v="4"/>
    <x v="5"/>
    <x v="0"/>
    <x v="0"/>
    <x v="6"/>
    <x v="1"/>
    <n v="103.524468915472"/>
    <x v="2"/>
    <x v="2"/>
  </r>
  <r>
    <x v="4"/>
    <x v="5"/>
    <x v="0"/>
    <x v="0"/>
    <x v="7"/>
    <x v="1"/>
    <n v="87.062099380280898"/>
    <x v="2"/>
    <x v="2"/>
  </r>
  <r>
    <x v="4"/>
    <x v="5"/>
    <x v="0"/>
    <x v="0"/>
    <x v="8"/>
    <x v="1"/>
    <n v="104.563054023384"/>
    <x v="2"/>
    <x v="2"/>
  </r>
  <r>
    <x v="4"/>
    <x v="5"/>
    <x v="0"/>
    <x v="0"/>
    <x v="9"/>
    <x v="1"/>
    <n v="1.156955891919E-5"/>
    <x v="2"/>
    <x v="2"/>
  </r>
  <r>
    <x v="4"/>
    <x v="5"/>
    <x v="0"/>
    <x v="0"/>
    <x v="10"/>
    <x v="1"/>
    <n v="67.688178803733607"/>
    <x v="2"/>
    <x v="2"/>
  </r>
  <r>
    <x v="4"/>
    <x v="5"/>
    <x v="0"/>
    <x v="0"/>
    <x v="11"/>
    <x v="1"/>
    <n v="29.291345977189199"/>
    <x v="2"/>
    <x v="2"/>
  </r>
  <r>
    <x v="4"/>
    <x v="5"/>
    <x v="0"/>
    <x v="1"/>
    <x v="47"/>
    <x v="1"/>
    <m/>
    <x v="2"/>
    <x v="2"/>
  </r>
  <r>
    <x v="4"/>
    <x v="5"/>
    <x v="0"/>
    <x v="1"/>
    <x v="12"/>
    <x v="1"/>
    <n v="58.131273994129799"/>
    <x v="2"/>
    <x v="2"/>
  </r>
  <r>
    <x v="4"/>
    <x v="5"/>
    <x v="0"/>
    <x v="1"/>
    <x v="13"/>
    <x v="1"/>
    <n v="36.643997962838"/>
    <x v="2"/>
    <x v="2"/>
  </r>
  <r>
    <x v="4"/>
    <x v="5"/>
    <x v="0"/>
    <x v="1"/>
    <x v="14"/>
    <x v="1"/>
    <n v="43.310254790471099"/>
    <x v="2"/>
    <x v="2"/>
  </r>
  <r>
    <x v="4"/>
    <x v="5"/>
    <x v="0"/>
    <x v="1"/>
    <x v="15"/>
    <x v="1"/>
    <n v="49.926093708264098"/>
    <x v="2"/>
    <x v="2"/>
  </r>
  <r>
    <x v="4"/>
    <x v="5"/>
    <x v="0"/>
    <x v="1"/>
    <x v="16"/>
    <x v="1"/>
    <n v="94.059042768303001"/>
    <x v="2"/>
    <x v="2"/>
  </r>
  <r>
    <x v="4"/>
    <x v="5"/>
    <x v="0"/>
    <x v="1"/>
    <x v="17"/>
    <x v="1"/>
    <n v="385.49839824838199"/>
    <x v="2"/>
    <x v="2"/>
  </r>
  <r>
    <x v="4"/>
    <x v="5"/>
    <x v="0"/>
    <x v="1"/>
    <x v="18"/>
    <x v="1"/>
    <n v="276.12348553227298"/>
    <x v="2"/>
    <x v="2"/>
  </r>
  <r>
    <x v="4"/>
    <x v="5"/>
    <x v="0"/>
    <x v="1"/>
    <x v="19"/>
    <x v="1"/>
    <n v="25.6164261358755"/>
    <x v="2"/>
    <x v="2"/>
  </r>
  <r>
    <x v="4"/>
    <x v="5"/>
    <x v="0"/>
    <x v="1"/>
    <x v="20"/>
    <x v="1"/>
    <n v="207.70513973071601"/>
    <x v="2"/>
    <x v="2"/>
  </r>
  <r>
    <x v="4"/>
    <x v="5"/>
    <x v="0"/>
    <x v="1"/>
    <x v="21"/>
    <x v="1"/>
    <n v="75.865751790822102"/>
    <x v="2"/>
    <x v="2"/>
  </r>
  <r>
    <x v="4"/>
    <x v="5"/>
    <x v="0"/>
    <x v="1"/>
    <x v="22"/>
    <x v="1"/>
    <n v="141.634806636523"/>
    <x v="2"/>
    <x v="2"/>
  </r>
  <r>
    <x v="4"/>
    <x v="5"/>
    <x v="0"/>
    <x v="1"/>
    <x v="23"/>
    <x v="1"/>
    <n v="25.245577434760101"/>
    <x v="2"/>
    <x v="2"/>
  </r>
  <r>
    <x v="4"/>
    <x v="5"/>
    <x v="0"/>
    <x v="2"/>
    <x v="48"/>
    <x v="1"/>
    <m/>
    <x v="2"/>
    <x v="2"/>
  </r>
  <r>
    <x v="4"/>
    <x v="5"/>
    <x v="0"/>
    <x v="2"/>
    <x v="24"/>
    <x v="1"/>
    <n v="57.8071440469271"/>
    <x v="2"/>
    <x v="2"/>
  </r>
  <r>
    <x v="4"/>
    <x v="5"/>
    <x v="0"/>
    <x v="2"/>
    <x v="25"/>
    <x v="1"/>
    <n v="31.4994795383313"/>
    <x v="2"/>
    <x v="2"/>
  </r>
  <r>
    <x v="4"/>
    <x v="5"/>
    <x v="0"/>
    <x v="2"/>
    <x v="26"/>
    <x v="1"/>
    <n v="58.005926480414203"/>
    <x v="2"/>
    <x v="2"/>
  </r>
  <r>
    <x v="4"/>
    <x v="5"/>
    <x v="0"/>
    <x v="2"/>
    <x v="27"/>
    <x v="1"/>
    <n v="43.441195301259"/>
    <x v="2"/>
    <x v="2"/>
  </r>
  <r>
    <x v="4"/>
    <x v="5"/>
    <x v="0"/>
    <x v="2"/>
    <x v="28"/>
    <x v="1"/>
    <n v="52.8751471942889"/>
    <x v="2"/>
    <x v="2"/>
  </r>
  <r>
    <x v="4"/>
    <x v="5"/>
    <x v="0"/>
    <x v="2"/>
    <x v="29"/>
    <x v="1"/>
    <n v="71.824258226287398"/>
    <x v="2"/>
    <x v="2"/>
  </r>
  <r>
    <x v="4"/>
    <x v="5"/>
    <x v="0"/>
    <x v="2"/>
    <x v="30"/>
    <x v="1"/>
    <n v="88.882364896061404"/>
    <x v="2"/>
    <x v="2"/>
  </r>
  <r>
    <x v="4"/>
    <x v="5"/>
    <x v="0"/>
    <x v="2"/>
    <x v="31"/>
    <x v="1"/>
    <n v="52.225851509447999"/>
    <x v="2"/>
    <x v="2"/>
  </r>
  <r>
    <x v="4"/>
    <x v="5"/>
    <x v="0"/>
    <x v="2"/>
    <x v="32"/>
    <x v="1"/>
    <n v="61.178971874607797"/>
    <x v="2"/>
    <x v="2"/>
  </r>
  <r>
    <x v="4"/>
    <x v="5"/>
    <x v="0"/>
    <x v="2"/>
    <x v="33"/>
    <x v="1"/>
    <n v="31.333921573744298"/>
    <x v="2"/>
    <x v="2"/>
  </r>
  <r>
    <x v="4"/>
    <x v="5"/>
    <x v="0"/>
    <x v="2"/>
    <x v="34"/>
    <x v="1"/>
    <n v="48.459749695253997"/>
    <x v="2"/>
    <x v="2"/>
  </r>
  <r>
    <x v="4"/>
    <x v="5"/>
    <x v="0"/>
    <x v="2"/>
    <x v="35"/>
    <x v="1"/>
    <n v="63.520627387951301"/>
    <x v="2"/>
    <x v="2"/>
  </r>
  <r>
    <x v="4"/>
    <x v="5"/>
    <x v="0"/>
    <x v="3"/>
    <x v="49"/>
    <x v="1"/>
    <m/>
    <x v="2"/>
    <x v="2"/>
  </r>
  <r>
    <x v="4"/>
    <x v="5"/>
    <x v="0"/>
    <x v="3"/>
    <x v="36"/>
    <x v="1"/>
    <n v="110.02891367944299"/>
    <x v="2"/>
    <x v="2"/>
  </r>
  <r>
    <x v="4"/>
    <x v="5"/>
    <x v="0"/>
    <x v="3"/>
    <x v="37"/>
    <x v="1"/>
    <n v="104.386532118441"/>
    <x v="2"/>
    <x v="2"/>
  </r>
  <r>
    <x v="4"/>
    <x v="5"/>
    <x v="0"/>
    <x v="3"/>
    <x v="38"/>
    <x v="1"/>
    <n v="108.16879501572799"/>
    <x v="2"/>
    <x v="2"/>
  </r>
  <r>
    <x v="4"/>
    <x v="5"/>
    <x v="0"/>
    <x v="3"/>
    <x v="39"/>
    <x v="1"/>
    <n v="66.176198666960303"/>
    <x v="2"/>
    <x v="2"/>
  </r>
  <r>
    <x v="4"/>
    <x v="5"/>
    <x v="0"/>
    <x v="3"/>
    <x v="40"/>
    <x v="1"/>
    <n v="68.384509739859695"/>
    <x v="2"/>
    <x v="2"/>
  </r>
  <r>
    <x v="4"/>
    <x v="5"/>
    <x v="0"/>
    <x v="3"/>
    <x v="41"/>
    <x v="1"/>
    <n v="68.258623947115098"/>
    <x v="2"/>
    <x v="2"/>
  </r>
  <r>
    <x v="4"/>
    <x v="5"/>
    <x v="0"/>
    <x v="3"/>
    <x v="42"/>
    <x v="1"/>
    <n v="113.22815162585201"/>
    <x v="2"/>
    <x v="2"/>
  </r>
  <r>
    <x v="4"/>
    <x v="5"/>
    <x v="0"/>
    <x v="3"/>
    <x v="43"/>
    <x v="1"/>
    <n v="130.04059831039899"/>
    <x v="2"/>
    <x v="2"/>
  </r>
  <r>
    <x v="4"/>
    <x v="5"/>
    <x v="0"/>
    <x v="3"/>
    <x v="44"/>
    <x v="1"/>
    <n v="73.227307890405299"/>
    <x v="2"/>
    <x v="2"/>
  </r>
  <r>
    <x v="4"/>
    <x v="5"/>
    <x v="0"/>
    <x v="3"/>
    <x v="45"/>
    <x v="1"/>
    <n v="64.431306704837993"/>
    <x v="2"/>
    <x v="2"/>
  </r>
  <r>
    <x v="4"/>
    <x v="6"/>
    <x v="0"/>
    <x v="0"/>
    <x v="46"/>
    <x v="1"/>
    <m/>
    <x v="3"/>
    <x v="3"/>
  </r>
  <r>
    <x v="4"/>
    <x v="6"/>
    <x v="0"/>
    <x v="0"/>
    <x v="0"/>
    <x v="1"/>
    <n v="62.468700305827603"/>
    <x v="3"/>
    <x v="3"/>
  </r>
  <r>
    <x v="4"/>
    <x v="6"/>
    <x v="0"/>
    <x v="0"/>
    <x v="1"/>
    <x v="1"/>
    <n v="49.981907985034603"/>
    <x v="3"/>
    <x v="3"/>
  </r>
  <r>
    <x v="4"/>
    <x v="6"/>
    <x v="0"/>
    <x v="0"/>
    <x v="2"/>
    <x v="1"/>
    <n v="44.747402787623898"/>
    <x v="3"/>
    <x v="3"/>
  </r>
  <r>
    <x v="4"/>
    <x v="6"/>
    <x v="0"/>
    <x v="0"/>
    <x v="3"/>
    <x v="1"/>
    <n v="40.558727574437597"/>
    <x v="3"/>
    <x v="3"/>
  </r>
  <r>
    <x v="4"/>
    <x v="6"/>
    <x v="0"/>
    <x v="0"/>
    <x v="4"/>
    <x v="1"/>
    <n v="45.993910371387997"/>
    <x v="3"/>
    <x v="3"/>
  </r>
  <r>
    <x v="4"/>
    <x v="6"/>
    <x v="0"/>
    <x v="0"/>
    <x v="5"/>
    <x v="1"/>
    <n v="40.917470253097001"/>
    <x v="3"/>
    <x v="3"/>
  </r>
  <r>
    <x v="4"/>
    <x v="6"/>
    <x v="0"/>
    <x v="0"/>
    <x v="6"/>
    <x v="1"/>
    <n v="45.3905366850245"/>
    <x v="3"/>
    <x v="3"/>
  </r>
  <r>
    <x v="4"/>
    <x v="6"/>
    <x v="0"/>
    <x v="0"/>
    <x v="7"/>
    <x v="1"/>
    <n v="53.473309804518699"/>
    <x v="3"/>
    <x v="3"/>
  </r>
  <r>
    <x v="4"/>
    <x v="6"/>
    <x v="0"/>
    <x v="0"/>
    <x v="8"/>
    <x v="1"/>
    <n v="56.250710988734198"/>
    <x v="3"/>
    <x v="3"/>
  </r>
  <r>
    <x v="4"/>
    <x v="6"/>
    <x v="0"/>
    <x v="0"/>
    <x v="9"/>
    <x v="1"/>
    <n v="57.806897455565199"/>
    <x v="3"/>
    <x v="3"/>
  </r>
  <r>
    <x v="4"/>
    <x v="6"/>
    <x v="0"/>
    <x v="0"/>
    <x v="10"/>
    <x v="1"/>
    <n v="63.122818482767798"/>
    <x v="3"/>
    <x v="3"/>
  </r>
  <r>
    <x v="4"/>
    <x v="6"/>
    <x v="0"/>
    <x v="0"/>
    <x v="11"/>
    <x v="1"/>
    <n v="50.980223975384902"/>
    <x v="3"/>
    <x v="3"/>
  </r>
  <r>
    <x v="4"/>
    <x v="6"/>
    <x v="0"/>
    <x v="1"/>
    <x v="47"/>
    <x v="1"/>
    <m/>
    <x v="3"/>
    <x v="3"/>
  </r>
  <r>
    <x v="4"/>
    <x v="6"/>
    <x v="0"/>
    <x v="1"/>
    <x v="12"/>
    <x v="1"/>
    <n v="48.576356155435398"/>
    <x v="3"/>
    <x v="3"/>
  </r>
  <r>
    <x v="4"/>
    <x v="6"/>
    <x v="0"/>
    <x v="1"/>
    <x v="13"/>
    <x v="1"/>
    <n v="41.517157036649699"/>
    <x v="3"/>
    <x v="3"/>
  </r>
  <r>
    <x v="4"/>
    <x v="6"/>
    <x v="0"/>
    <x v="1"/>
    <x v="14"/>
    <x v="1"/>
    <n v="47.232237777406702"/>
    <x v="3"/>
    <x v="3"/>
  </r>
  <r>
    <x v="4"/>
    <x v="6"/>
    <x v="0"/>
    <x v="1"/>
    <x v="15"/>
    <x v="1"/>
    <n v="59.399204717157403"/>
    <x v="3"/>
    <x v="3"/>
  </r>
  <r>
    <x v="4"/>
    <x v="6"/>
    <x v="0"/>
    <x v="1"/>
    <x v="16"/>
    <x v="1"/>
    <n v="54.027523186619398"/>
    <x v="3"/>
    <x v="3"/>
  </r>
  <r>
    <x v="4"/>
    <x v="6"/>
    <x v="0"/>
    <x v="1"/>
    <x v="17"/>
    <x v="1"/>
    <n v="51.9509373781924"/>
    <x v="3"/>
    <x v="3"/>
  </r>
  <r>
    <x v="4"/>
    <x v="6"/>
    <x v="0"/>
    <x v="1"/>
    <x v="18"/>
    <x v="1"/>
    <n v="49.5091579130155"/>
    <x v="3"/>
    <x v="3"/>
  </r>
  <r>
    <x v="4"/>
    <x v="6"/>
    <x v="0"/>
    <x v="1"/>
    <x v="19"/>
    <x v="1"/>
    <n v="52.275134284407898"/>
    <x v="3"/>
    <x v="3"/>
  </r>
  <r>
    <x v="4"/>
    <x v="6"/>
    <x v="0"/>
    <x v="1"/>
    <x v="20"/>
    <x v="1"/>
    <n v="50.963809604800701"/>
    <x v="3"/>
    <x v="3"/>
  </r>
  <r>
    <x v="4"/>
    <x v="6"/>
    <x v="0"/>
    <x v="1"/>
    <x v="21"/>
    <x v="1"/>
    <n v="64.365019852287901"/>
    <x v="3"/>
    <x v="3"/>
  </r>
  <r>
    <x v="4"/>
    <x v="6"/>
    <x v="0"/>
    <x v="1"/>
    <x v="22"/>
    <x v="1"/>
    <n v="52.982295010579698"/>
    <x v="3"/>
    <x v="3"/>
  </r>
  <r>
    <x v="4"/>
    <x v="6"/>
    <x v="0"/>
    <x v="1"/>
    <x v="23"/>
    <x v="1"/>
    <n v="43.019477430751998"/>
    <x v="3"/>
    <x v="3"/>
  </r>
  <r>
    <x v="4"/>
    <x v="6"/>
    <x v="0"/>
    <x v="2"/>
    <x v="48"/>
    <x v="1"/>
    <m/>
    <x v="3"/>
    <x v="3"/>
  </r>
  <r>
    <x v="4"/>
    <x v="6"/>
    <x v="0"/>
    <x v="2"/>
    <x v="24"/>
    <x v="1"/>
    <n v="44.967123438977197"/>
    <x v="3"/>
    <x v="3"/>
  </r>
  <r>
    <x v="4"/>
    <x v="6"/>
    <x v="0"/>
    <x v="2"/>
    <x v="25"/>
    <x v="1"/>
    <n v="41.694753846706298"/>
    <x v="3"/>
    <x v="3"/>
  </r>
  <r>
    <x v="4"/>
    <x v="6"/>
    <x v="0"/>
    <x v="2"/>
    <x v="26"/>
    <x v="1"/>
    <n v="46.583485185246403"/>
    <x v="3"/>
    <x v="3"/>
  </r>
  <r>
    <x v="4"/>
    <x v="6"/>
    <x v="0"/>
    <x v="2"/>
    <x v="27"/>
    <x v="1"/>
    <n v="33.452153369282399"/>
    <x v="3"/>
    <x v="3"/>
  </r>
  <r>
    <x v="4"/>
    <x v="6"/>
    <x v="0"/>
    <x v="2"/>
    <x v="28"/>
    <x v="1"/>
    <n v="27.019283388563501"/>
    <x v="3"/>
    <x v="3"/>
  </r>
  <r>
    <x v="4"/>
    <x v="6"/>
    <x v="0"/>
    <x v="2"/>
    <x v="29"/>
    <x v="1"/>
    <n v="48.500094259277098"/>
    <x v="3"/>
    <x v="3"/>
  </r>
  <r>
    <x v="4"/>
    <x v="6"/>
    <x v="0"/>
    <x v="2"/>
    <x v="30"/>
    <x v="1"/>
    <n v="43.654779610955103"/>
    <x v="3"/>
    <x v="3"/>
  </r>
  <r>
    <x v="4"/>
    <x v="6"/>
    <x v="0"/>
    <x v="2"/>
    <x v="31"/>
    <x v="1"/>
    <n v="39.023584273754402"/>
    <x v="3"/>
    <x v="3"/>
  </r>
  <r>
    <x v="4"/>
    <x v="6"/>
    <x v="0"/>
    <x v="2"/>
    <x v="32"/>
    <x v="1"/>
    <n v="47.187869886882602"/>
    <x v="3"/>
    <x v="3"/>
  </r>
  <r>
    <x v="4"/>
    <x v="6"/>
    <x v="0"/>
    <x v="2"/>
    <x v="33"/>
    <x v="1"/>
    <n v="57.051764575051898"/>
    <x v="3"/>
    <x v="3"/>
  </r>
  <r>
    <x v="4"/>
    <x v="6"/>
    <x v="0"/>
    <x v="2"/>
    <x v="34"/>
    <x v="1"/>
    <n v="46.832570860053501"/>
    <x v="3"/>
    <x v="3"/>
  </r>
  <r>
    <x v="4"/>
    <x v="6"/>
    <x v="0"/>
    <x v="2"/>
    <x v="35"/>
    <x v="1"/>
    <n v="42.0802519912775"/>
    <x v="3"/>
    <x v="3"/>
  </r>
  <r>
    <x v="4"/>
    <x v="6"/>
    <x v="0"/>
    <x v="3"/>
    <x v="49"/>
    <x v="1"/>
    <m/>
    <x v="3"/>
    <x v="3"/>
  </r>
  <r>
    <x v="4"/>
    <x v="6"/>
    <x v="0"/>
    <x v="3"/>
    <x v="36"/>
    <x v="1"/>
    <n v="38.7888936124982"/>
    <x v="3"/>
    <x v="3"/>
  </r>
  <r>
    <x v="4"/>
    <x v="6"/>
    <x v="0"/>
    <x v="3"/>
    <x v="37"/>
    <x v="1"/>
    <n v="48.728479435507701"/>
    <x v="3"/>
    <x v="3"/>
  </r>
  <r>
    <x v="4"/>
    <x v="6"/>
    <x v="0"/>
    <x v="3"/>
    <x v="38"/>
    <x v="1"/>
    <n v="38.123822929722202"/>
    <x v="3"/>
    <x v="3"/>
  </r>
  <r>
    <x v="4"/>
    <x v="6"/>
    <x v="0"/>
    <x v="3"/>
    <x v="39"/>
    <x v="1"/>
    <n v="23.585734824539401"/>
    <x v="3"/>
    <x v="3"/>
  </r>
  <r>
    <x v="4"/>
    <x v="6"/>
    <x v="0"/>
    <x v="3"/>
    <x v="40"/>
    <x v="1"/>
    <n v="45.180664761548201"/>
    <x v="3"/>
    <x v="3"/>
  </r>
  <r>
    <x v="4"/>
    <x v="6"/>
    <x v="0"/>
    <x v="3"/>
    <x v="41"/>
    <x v="1"/>
    <n v="48.618141365278497"/>
    <x v="3"/>
    <x v="3"/>
  </r>
  <r>
    <x v="4"/>
    <x v="6"/>
    <x v="0"/>
    <x v="3"/>
    <x v="42"/>
    <x v="1"/>
    <n v="53.3403706518909"/>
    <x v="3"/>
    <x v="3"/>
  </r>
  <r>
    <x v="4"/>
    <x v="6"/>
    <x v="0"/>
    <x v="3"/>
    <x v="43"/>
    <x v="1"/>
    <n v="42.386179991427603"/>
    <x v="3"/>
    <x v="3"/>
  </r>
  <r>
    <x v="4"/>
    <x v="6"/>
    <x v="0"/>
    <x v="3"/>
    <x v="44"/>
    <x v="1"/>
    <n v="33.490864733185802"/>
    <x v="3"/>
    <x v="3"/>
  </r>
  <r>
    <x v="4"/>
    <x v="6"/>
    <x v="0"/>
    <x v="3"/>
    <x v="45"/>
    <x v="1"/>
    <n v="41.838364720246098"/>
    <x v="3"/>
    <x v="3"/>
  </r>
  <r>
    <x v="4"/>
    <x v="7"/>
    <x v="0"/>
    <x v="0"/>
    <x v="46"/>
    <x v="1"/>
    <m/>
    <x v="4"/>
    <x v="4"/>
  </r>
  <r>
    <x v="4"/>
    <x v="7"/>
    <x v="0"/>
    <x v="0"/>
    <x v="0"/>
    <x v="1"/>
    <n v="87.897791668066006"/>
    <x v="4"/>
    <x v="4"/>
  </r>
  <r>
    <x v="4"/>
    <x v="7"/>
    <x v="0"/>
    <x v="0"/>
    <x v="1"/>
    <x v="1"/>
    <n v="115.387540265556"/>
    <x v="4"/>
    <x v="4"/>
  </r>
  <r>
    <x v="4"/>
    <x v="7"/>
    <x v="0"/>
    <x v="0"/>
    <x v="2"/>
    <x v="1"/>
    <n v="139.50823885563801"/>
    <x v="4"/>
    <x v="4"/>
  </r>
  <r>
    <x v="4"/>
    <x v="7"/>
    <x v="0"/>
    <x v="0"/>
    <x v="3"/>
    <x v="1"/>
    <n v="117.624848366912"/>
    <x v="4"/>
    <x v="4"/>
  </r>
  <r>
    <x v="4"/>
    <x v="7"/>
    <x v="0"/>
    <x v="0"/>
    <x v="4"/>
    <x v="1"/>
    <n v="107.19503510509"/>
    <x v="4"/>
    <x v="4"/>
  </r>
  <r>
    <x v="4"/>
    <x v="7"/>
    <x v="0"/>
    <x v="0"/>
    <x v="5"/>
    <x v="1"/>
    <n v="92.054539445204696"/>
    <x v="4"/>
    <x v="4"/>
  </r>
  <r>
    <x v="4"/>
    <x v="7"/>
    <x v="0"/>
    <x v="0"/>
    <x v="6"/>
    <x v="1"/>
    <n v="67.067659959236707"/>
    <x v="4"/>
    <x v="4"/>
  </r>
  <r>
    <x v="4"/>
    <x v="7"/>
    <x v="0"/>
    <x v="0"/>
    <x v="7"/>
    <x v="1"/>
    <n v="68.839979961184795"/>
    <x v="4"/>
    <x v="4"/>
  </r>
  <r>
    <x v="4"/>
    <x v="7"/>
    <x v="0"/>
    <x v="0"/>
    <x v="8"/>
    <x v="1"/>
    <n v="52.538963859362198"/>
    <x v="4"/>
    <x v="4"/>
  </r>
  <r>
    <x v="4"/>
    <x v="7"/>
    <x v="0"/>
    <x v="0"/>
    <x v="9"/>
    <x v="1"/>
    <n v="95.511946816933104"/>
    <x v="4"/>
    <x v="4"/>
  </r>
  <r>
    <x v="4"/>
    <x v="7"/>
    <x v="0"/>
    <x v="0"/>
    <x v="10"/>
    <x v="1"/>
    <n v="65.575238703052605"/>
    <x v="4"/>
    <x v="4"/>
  </r>
  <r>
    <x v="4"/>
    <x v="7"/>
    <x v="0"/>
    <x v="0"/>
    <x v="11"/>
    <x v="1"/>
    <n v="38.978482469135002"/>
    <x v="4"/>
    <x v="4"/>
  </r>
  <r>
    <x v="4"/>
    <x v="7"/>
    <x v="0"/>
    <x v="1"/>
    <x v="47"/>
    <x v="1"/>
    <m/>
    <x v="4"/>
    <x v="4"/>
  </r>
  <r>
    <x v="4"/>
    <x v="7"/>
    <x v="0"/>
    <x v="1"/>
    <x v="12"/>
    <x v="1"/>
    <n v="30.8217470880784"/>
    <x v="4"/>
    <x v="4"/>
  </r>
  <r>
    <x v="4"/>
    <x v="7"/>
    <x v="0"/>
    <x v="1"/>
    <x v="13"/>
    <x v="1"/>
    <n v="15.4146216328222"/>
    <x v="4"/>
    <x v="4"/>
  </r>
  <r>
    <x v="4"/>
    <x v="7"/>
    <x v="0"/>
    <x v="1"/>
    <x v="14"/>
    <x v="1"/>
    <n v="11.624383381442399"/>
    <x v="4"/>
    <x v="4"/>
  </r>
  <r>
    <x v="4"/>
    <x v="7"/>
    <x v="0"/>
    <x v="1"/>
    <x v="15"/>
    <x v="1"/>
    <n v="6.1417070020006896"/>
    <x v="4"/>
    <x v="4"/>
  </r>
  <r>
    <x v="4"/>
    <x v="7"/>
    <x v="0"/>
    <x v="1"/>
    <x v="16"/>
    <x v="1"/>
    <n v="10.2874631816216"/>
    <x v="4"/>
    <x v="4"/>
  </r>
  <r>
    <x v="4"/>
    <x v="7"/>
    <x v="0"/>
    <x v="1"/>
    <x v="17"/>
    <x v="1"/>
    <n v="6.1987288898447899"/>
    <x v="4"/>
    <x v="4"/>
  </r>
  <r>
    <x v="4"/>
    <x v="7"/>
    <x v="0"/>
    <x v="1"/>
    <x v="18"/>
    <x v="1"/>
    <n v="6.4384491343013597"/>
    <x v="4"/>
    <x v="4"/>
  </r>
  <r>
    <x v="4"/>
    <x v="7"/>
    <x v="0"/>
    <x v="1"/>
    <x v="19"/>
    <x v="1"/>
    <n v="5.5928495377634899"/>
    <x v="4"/>
    <x v="4"/>
  </r>
  <r>
    <x v="4"/>
    <x v="7"/>
    <x v="0"/>
    <x v="1"/>
    <x v="20"/>
    <x v="1"/>
    <n v="14.804753331127101"/>
    <x v="4"/>
    <x v="4"/>
  </r>
  <r>
    <x v="4"/>
    <x v="7"/>
    <x v="0"/>
    <x v="1"/>
    <x v="21"/>
    <x v="1"/>
    <n v="12.7276729774798"/>
    <x v="4"/>
    <x v="4"/>
  </r>
  <r>
    <x v="4"/>
    <x v="7"/>
    <x v="0"/>
    <x v="1"/>
    <x v="22"/>
    <x v="1"/>
    <n v="7.63698995615509"/>
    <x v="4"/>
    <x v="4"/>
  </r>
  <r>
    <x v="4"/>
    <x v="7"/>
    <x v="0"/>
    <x v="1"/>
    <x v="23"/>
    <x v="1"/>
    <n v="4.4564876996190996"/>
    <x v="4"/>
    <x v="4"/>
  </r>
  <r>
    <x v="4"/>
    <x v="7"/>
    <x v="0"/>
    <x v="2"/>
    <x v="48"/>
    <x v="1"/>
    <m/>
    <x v="4"/>
    <x v="4"/>
  </r>
  <r>
    <x v="4"/>
    <x v="7"/>
    <x v="0"/>
    <x v="2"/>
    <x v="24"/>
    <x v="1"/>
    <n v="3.96141699394519"/>
    <x v="4"/>
    <x v="4"/>
  </r>
  <r>
    <x v="4"/>
    <x v="7"/>
    <x v="0"/>
    <x v="2"/>
    <x v="25"/>
    <x v="1"/>
    <n v="1.9458168636781901"/>
    <x v="4"/>
    <x v="4"/>
  </r>
  <r>
    <x v="4"/>
    <x v="7"/>
    <x v="0"/>
    <x v="2"/>
    <x v="26"/>
    <x v="1"/>
    <n v="3.4750239867146"/>
    <x v="4"/>
    <x v="4"/>
  </r>
  <r>
    <x v="4"/>
    <x v="7"/>
    <x v="0"/>
    <x v="2"/>
    <x v="27"/>
    <x v="1"/>
    <n v="7.8441584924546701"/>
    <x v="4"/>
    <x v="4"/>
  </r>
  <r>
    <x v="4"/>
    <x v="7"/>
    <x v="0"/>
    <x v="2"/>
    <x v="28"/>
    <x v="1"/>
    <n v="5.0081814717735504"/>
    <x v="4"/>
    <x v="4"/>
  </r>
  <r>
    <x v="4"/>
    <x v="7"/>
    <x v="0"/>
    <x v="2"/>
    <x v="29"/>
    <x v="1"/>
    <n v="2.1786396044624601"/>
    <x v="4"/>
    <x v="4"/>
  </r>
  <r>
    <x v="4"/>
    <x v="7"/>
    <x v="0"/>
    <x v="2"/>
    <x v="30"/>
    <x v="1"/>
    <n v="7.4589603117844998"/>
    <x v="4"/>
    <x v="4"/>
  </r>
  <r>
    <x v="4"/>
    <x v="7"/>
    <x v="0"/>
    <x v="2"/>
    <x v="31"/>
    <x v="1"/>
    <n v="3.5416019016291398"/>
    <x v="4"/>
    <x v="4"/>
  </r>
  <r>
    <x v="4"/>
    <x v="7"/>
    <x v="0"/>
    <x v="2"/>
    <x v="32"/>
    <x v="1"/>
    <n v="1.39950046326434"/>
    <x v="4"/>
    <x v="4"/>
  </r>
  <r>
    <x v="4"/>
    <x v="7"/>
    <x v="0"/>
    <x v="2"/>
    <x v="33"/>
    <x v="1"/>
    <n v="21.668222796693701"/>
    <x v="4"/>
    <x v="4"/>
  </r>
  <r>
    <x v="4"/>
    <x v="7"/>
    <x v="0"/>
    <x v="2"/>
    <x v="34"/>
    <x v="1"/>
    <n v="12.485535767248001"/>
    <x v="4"/>
    <x v="4"/>
  </r>
  <r>
    <x v="4"/>
    <x v="7"/>
    <x v="0"/>
    <x v="2"/>
    <x v="35"/>
    <x v="1"/>
    <n v="18.8056906567532"/>
    <x v="4"/>
    <x v="4"/>
  </r>
  <r>
    <x v="4"/>
    <x v="7"/>
    <x v="0"/>
    <x v="3"/>
    <x v="49"/>
    <x v="1"/>
    <m/>
    <x v="4"/>
    <x v="4"/>
  </r>
  <r>
    <x v="4"/>
    <x v="7"/>
    <x v="0"/>
    <x v="3"/>
    <x v="36"/>
    <x v="1"/>
    <n v="22.948876669321901"/>
    <x v="4"/>
    <x v="4"/>
  </r>
  <r>
    <x v="4"/>
    <x v="7"/>
    <x v="0"/>
    <x v="3"/>
    <x v="37"/>
    <x v="1"/>
    <n v="3.94794937557046"/>
    <x v="4"/>
    <x v="4"/>
  </r>
  <r>
    <x v="4"/>
    <x v="7"/>
    <x v="0"/>
    <x v="3"/>
    <x v="38"/>
    <x v="1"/>
    <n v="17.193737151589001"/>
    <x v="4"/>
    <x v="4"/>
  </r>
  <r>
    <x v="4"/>
    <x v="7"/>
    <x v="0"/>
    <x v="3"/>
    <x v="39"/>
    <x v="1"/>
    <n v="22.2266067235009"/>
    <x v="4"/>
    <x v="4"/>
  </r>
  <r>
    <x v="4"/>
    <x v="7"/>
    <x v="0"/>
    <x v="3"/>
    <x v="40"/>
    <x v="1"/>
    <n v="14.4122736845208"/>
    <x v="4"/>
    <x v="4"/>
  </r>
  <r>
    <x v="4"/>
    <x v="7"/>
    <x v="0"/>
    <x v="3"/>
    <x v="41"/>
    <x v="1"/>
    <n v="9.2619242397506305"/>
    <x v="4"/>
    <x v="4"/>
  </r>
  <r>
    <x v="4"/>
    <x v="7"/>
    <x v="0"/>
    <x v="3"/>
    <x v="42"/>
    <x v="1"/>
    <n v="16.002189237690299"/>
    <x v="4"/>
    <x v="4"/>
  </r>
  <r>
    <x v="4"/>
    <x v="7"/>
    <x v="0"/>
    <x v="3"/>
    <x v="43"/>
    <x v="1"/>
    <n v="31.052686046054699"/>
    <x v="4"/>
    <x v="4"/>
  </r>
  <r>
    <x v="4"/>
    <x v="7"/>
    <x v="0"/>
    <x v="3"/>
    <x v="44"/>
    <x v="1"/>
    <n v="14.147274635071099"/>
    <x v="4"/>
    <x v="4"/>
  </r>
  <r>
    <x v="4"/>
    <x v="7"/>
    <x v="0"/>
    <x v="3"/>
    <x v="45"/>
    <x v="1"/>
    <n v="35.097484046275703"/>
    <x v="4"/>
    <x v="4"/>
  </r>
  <r>
    <x v="4"/>
    <x v="8"/>
    <x v="0"/>
    <x v="0"/>
    <x v="46"/>
    <x v="1"/>
    <m/>
    <x v="5"/>
    <x v="5"/>
  </r>
  <r>
    <x v="4"/>
    <x v="8"/>
    <x v="0"/>
    <x v="0"/>
    <x v="0"/>
    <x v="1"/>
    <n v="3.4852068078623102"/>
    <x v="5"/>
    <x v="5"/>
  </r>
  <r>
    <x v="4"/>
    <x v="8"/>
    <x v="0"/>
    <x v="0"/>
    <x v="1"/>
    <x v="1"/>
    <n v="1130.6312091555501"/>
    <x v="5"/>
    <x v="5"/>
  </r>
  <r>
    <x v="4"/>
    <x v="8"/>
    <x v="0"/>
    <x v="0"/>
    <x v="2"/>
    <x v="1"/>
    <n v="157.53376231689199"/>
    <x v="5"/>
    <x v="5"/>
  </r>
  <r>
    <x v="4"/>
    <x v="8"/>
    <x v="0"/>
    <x v="0"/>
    <x v="3"/>
    <x v="1"/>
    <n v="56.863649069812801"/>
    <x v="5"/>
    <x v="5"/>
  </r>
  <r>
    <x v="4"/>
    <x v="8"/>
    <x v="0"/>
    <x v="0"/>
    <x v="4"/>
    <x v="1"/>
    <n v="2.9112211664388998"/>
    <x v="5"/>
    <x v="5"/>
  </r>
  <r>
    <x v="4"/>
    <x v="8"/>
    <x v="0"/>
    <x v="0"/>
    <x v="5"/>
    <x v="1"/>
    <n v="62.897733064425701"/>
    <x v="5"/>
    <x v="5"/>
  </r>
  <r>
    <x v="4"/>
    <x v="8"/>
    <x v="0"/>
    <x v="0"/>
    <x v="6"/>
    <x v="1"/>
    <n v="1.8006077964289999"/>
    <x v="5"/>
    <x v="5"/>
  </r>
  <r>
    <x v="4"/>
    <x v="8"/>
    <x v="0"/>
    <x v="0"/>
    <x v="7"/>
    <x v="1"/>
    <n v="30.5001108636136"/>
    <x v="5"/>
    <x v="5"/>
  </r>
  <r>
    <x v="4"/>
    <x v="8"/>
    <x v="0"/>
    <x v="0"/>
    <x v="8"/>
    <x v="1"/>
    <n v="0.24890899854682899"/>
    <x v="5"/>
    <x v="5"/>
  </r>
  <r>
    <x v="4"/>
    <x v="8"/>
    <x v="0"/>
    <x v="0"/>
    <x v="9"/>
    <x v="1"/>
    <n v="845.71661174943995"/>
    <x v="5"/>
    <x v="5"/>
  </r>
  <r>
    <x v="4"/>
    <x v="8"/>
    <x v="0"/>
    <x v="0"/>
    <x v="10"/>
    <x v="1"/>
    <n v="1.05647096621656E-2"/>
    <x v="5"/>
    <x v="5"/>
  </r>
  <r>
    <x v="4"/>
    <x v="8"/>
    <x v="0"/>
    <x v="0"/>
    <x v="11"/>
    <x v="1"/>
    <n v="28182.828362981702"/>
    <x v="5"/>
    <x v="5"/>
  </r>
  <r>
    <x v="4"/>
    <x v="8"/>
    <x v="0"/>
    <x v="1"/>
    <x v="47"/>
    <x v="1"/>
    <m/>
    <x v="5"/>
    <x v="5"/>
  </r>
  <r>
    <x v="4"/>
    <x v="8"/>
    <x v="0"/>
    <x v="1"/>
    <x v="12"/>
    <x v="1"/>
    <n v="-156.36885825551599"/>
    <x v="5"/>
    <x v="5"/>
  </r>
  <r>
    <x v="4"/>
    <x v="8"/>
    <x v="0"/>
    <x v="1"/>
    <x v="13"/>
    <x v="1"/>
    <n v="483.77591278686299"/>
    <x v="5"/>
    <x v="5"/>
  </r>
  <r>
    <x v="4"/>
    <x v="8"/>
    <x v="0"/>
    <x v="1"/>
    <x v="14"/>
    <x v="1"/>
    <n v="-19522.6316530328"/>
    <x v="5"/>
    <x v="5"/>
  </r>
  <r>
    <x v="4"/>
    <x v="8"/>
    <x v="0"/>
    <x v="1"/>
    <x v="15"/>
    <x v="1"/>
    <n v="-275.75950693961698"/>
    <x v="5"/>
    <x v="5"/>
  </r>
  <r>
    <x v="4"/>
    <x v="8"/>
    <x v="0"/>
    <x v="1"/>
    <x v="16"/>
    <x v="1"/>
    <n v="61.556192006688597"/>
    <x v="5"/>
    <x v="5"/>
  </r>
  <r>
    <x v="4"/>
    <x v="8"/>
    <x v="0"/>
    <x v="1"/>
    <x v="17"/>
    <x v="1"/>
    <n v="30.4236190209207"/>
    <x v="5"/>
    <x v="5"/>
  </r>
  <r>
    <x v="4"/>
    <x v="8"/>
    <x v="0"/>
    <x v="1"/>
    <x v="18"/>
    <x v="1"/>
    <n v="0.82270201824226696"/>
    <x v="5"/>
    <x v="5"/>
  </r>
  <r>
    <x v="4"/>
    <x v="8"/>
    <x v="0"/>
    <x v="1"/>
    <x v="19"/>
    <x v="1"/>
    <n v="213.276770050701"/>
    <x v="5"/>
    <x v="5"/>
  </r>
  <r>
    <x v="4"/>
    <x v="8"/>
    <x v="0"/>
    <x v="1"/>
    <x v="20"/>
    <x v="1"/>
    <n v="2.9469844616071299"/>
    <x v="5"/>
    <x v="5"/>
  </r>
  <r>
    <x v="4"/>
    <x v="8"/>
    <x v="0"/>
    <x v="1"/>
    <x v="21"/>
    <x v="1"/>
    <n v="119.586721978198"/>
    <x v="5"/>
    <x v="5"/>
  </r>
  <r>
    <x v="4"/>
    <x v="8"/>
    <x v="0"/>
    <x v="1"/>
    <x v="22"/>
    <x v="1"/>
    <n v="19.098591633755301"/>
    <x v="5"/>
    <x v="5"/>
  </r>
  <r>
    <x v="4"/>
    <x v="8"/>
    <x v="0"/>
    <x v="1"/>
    <x v="23"/>
    <x v="1"/>
    <n v="113.943764708267"/>
    <x v="5"/>
    <x v="5"/>
  </r>
  <r>
    <x v="4"/>
    <x v="8"/>
    <x v="0"/>
    <x v="2"/>
    <x v="48"/>
    <x v="1"/>
    <m/>
    <x v="5"/>
    <x v="5"/>
  </r>
  <r>
    <x v="4"/>
    <x v="8"/>
    <x v="0"/>
    <x v="2"/>
    <x v="24"/>
    <x v="1"/>
    <n v="57.689577575119003"/>
    <x v="5"/>
    <x v="5"/>
  </r>
  <r>
    <x v="4"/>
    <x v="8"/>
    <x v="0"/>
    <x v="2"/>
    <x v="25"/>
    <x v="1"/>
    <n v="29.311736018332699"/>
    <x v="5"/>
    <x v="5"/>
  </r>
  <r>
    <x v="4"/>
    <x v="8"/>
    <x v="0"/>
    <x v="2"/>
    <x v="26"/>
    <x v="1"/>
    <n v="0.89443402201755395"/>
    <x v="5"/>
    <x v="5"/>
  </r>
  <r>
    <x v="4"/>
    <x v="8"/>
    <x v="0"/>
    <x v="2"/>
    <x v="27"/>
    <x v="1"/>
    <n v="2.63273030342588"/>
    <x v="5"/>
    <x v="5"/>
  </r>
  <r>
    <x v="4"/>
    <x v="8"/>
    <x v="0"/>
    <x v="2"/>
    <x v="28"/>
    <x v="1"/>
    <n v="14.347764542767999"/>
    <x v="5"/>
    <x v="5"/>
  </r>
  <r>
    <x v="4"/>
    <x v="8"/>
    <x v="0"/>
    <x v="2"/>
    <x v="29"/>
    <x v="1"/>
    <n v="0.87387702251399102"/>
    <x v="5"/>
    <x v="5"/>
  </r>
  <r>
    <x v="4"/>
    <x v="8"/>
    <x v="0"/>
    <x v="2"/>
    <x v="30"/>
    <x v="1"/>
    <n v="1.7313099775737"/>
    <x v="5"/>
    <x v="5"/>
  </r>
  <r>
    <x v="4"/>
    <x v="8"/>
    <x v="0"/>
    <x v="2"/>
    <x v="31"/>
    <x v="1"/>
    <n v="2.8719435161125002"/>
    <x v="5"/>
    <x v="5"/>
  </r>
  <r>
    <x v="4"/>
    <x v="8"/>
    <x v="0"/>
    <x v="2"/>
    <x v="32"/>
    <x v="1"/>
    <n v="0.24659241200193399"/>
    <x v="5"/>
    <x v="5"/>
  </r>
  <r>
    <x v="4"/>
    <x v="8"/>
    <x v="0"/>
    <x v="2"/>
    <x v="33"/>
    <x v="1"/>
    <n v="13.987834152068"/>
    <x v="5"/>
    <x v="5"/>
  </r>
  <r>
    <x v="4"/>
    <x v="8"/>
    <x v="0"/>
    <x v="2"/>
    <x v="34"/>
    <x v="1"/>
    <n v="3.1745168866556099"/>
    <x v="5"/>
    <x v="5"/>
  </r>
  <r>
    <x v="4"/>
    <x v="8"/>
    <x v="0"/>
    <x v="2"/>
    <x v="35"/>
    <x v="1"/>
    <n v="0.84034033028946797"/>
    <x v="5"/>
    <x v="5"/>
  </r>
  <r>
    <x v="4"/>
    <x v="8"/>
    <x v="0"/>
    <x v="3"/>
    <x v="49"/>
    <x v="1"/>
    <m/>
    <x v="5"/>
    <x v="5"/>
  </r>
  <r>
    <x v="4"/>
    <x v="8"/>
    <x v="0"/>
    <x v="3"/>
    <x v="36"/>
    <x v="1"/>
    <n v="3.5747648135687702"/>
    <x v="5"/>
    <x v="5"/>
  </r>
  <r>
    <x v="4"/>
    <x v="8"/>
    <x v="0"/>
    <x v="3"/>
    <x v="37"/>
    <x v="1"/>
    <n v="13.918963437599"/>
    <x v="5"/>
    <x v="5"/>
  </r>
  <r>
    <x v="4"/>
    <x v="8"/>
    <x v="0"/>
    <x v="3"/>
    <x v="38"/>
    <x v="1"/>
    <n v="10.6465851411601"/>
    <x v="5"/>
    <x v="5"/>
  </r>
  <r>
    <x v="4"/>
    <x v="8"/>
    <x v="0"/>
    <x v="3"/>
    <x v="39"/>
    <x v="1"/>
    <n v="80.549116645934006"/>
    <x v="5"/>
    <x v="5"/>
  </r>
  <r>
    <x v="4"/>
    <x v="8"/>
    <x v="0"/>
    <x v="3"/>
    <x v="40"/>
    <x v="1"/>
    <n v="53.075063203456999"/>
    <x v="5"/>
    <x v="5"/>
  </r>
  <r>
    <x v="4"/>
    <x v="8"/>
    <x v="0"/>
    <x v="3"/>
    <x v="41"/>
    <x v="1"/>
    <n v="32.689958040485699"/>
    <x v="5"/>
    <x v="5"/>
  </r>
  <r>
    <x v="4"/>
    <x v="8"/>
    <x v="0"/>
    <x v="3"/>
    <x v="42"/>
    <x v="1"/>
    <n v="25.228007877141501"/>
    <x v="5"/>
    <x v="5"/>
  </r>
  <r>
    <x v="4"/>
    <x v="8"/>
    <x v="0"/>
    <x v="3"/>
    <x v="43"/>
    <x v="1"/>
    <n v="21.6795172681792"/>
    <x v="5"/>
    <x v="5"/>
  </r>
  <r>
    <x v="4"/>
    <x v="8"/>
    <x v="0"/>
    <x v="3"/>
    <x v="44"/>
    <x v="1"/>
    <n v="1.9401681501207999"/>
    <x v="5"/>
    <x v="5"/>
  </r>
  <r>
    <x v="4"/>
    <x v="8"/>
    <x v="0"/>
    <x v="3"/>
    <x v="45"/>
    <x v="1"/>
    <n v="2.18306451849437"/>
    <x v="5"/>
    <x v="5"/>
  </r>
  <r>
    <x v="4"/>
    <x v="9"/>
    <x v="0"/>
    <x v="0"/>
    <x v="46"/>
    <x v="1"/>
    <m/>
    <x v="6"/>
    <x v="6"/>
  </r>
  <r>
    <x v="4"/>
    <x v="9"/>
    <x v="0"/>
    <x v="0"/>
    <x v="0"/>
    <x v="1"/>
    <n v="25.9048851180148"/>
    <x v="6"/>
    <x v="6"/>
  </r>
  <r>
    <x v="4"/>
    <x v="9"/>
    <x v="0"/>
    <x v="0"/>
    <x v="1"/>
    <x v="1"/>
    <n v="17.132505871275399"/>
    <x v="6"/>
    <x v="6"/>
  </r>
  <r>
    <x v="4"/>
    <x v="9"/>
    <x v="0"/>
    <x v="0"/>
    <x v="2"/>
    <x v="1"/>
    <n v="19.968169750433599"/>
    <x v="6"/>
    <x v="6"/>
  </r>
  <r>
    <x v="4"/>
    <x v="9"/>
    <x v="0"/>
    <x v="0"/>
    <x v="3"/>
    <x v="1"/>
    <n v="30.8102218676284"/>
    <x v="6"/>
    <x v="6"/>
  </r>
  <r>
    <x v="4"/>
    <x v="9"/>
    <x v="0"/>
    <x v="0"/>
    <x v="4"/>
    <x v="1"/>
    <n v="48.548238556935999"/>
    <x v="6"/>
    <x v="6"/>
  </r>
  <r>
    <x v="4"/>
    <x v="9"/>
    <x v="0"/>
    <x v="0"/>
    <x v="5"/>
    <x v="1"/>
    <n v="28.428843183735101"/>
    <x v="6"/>
    <x v="6"/>
  </r>
  <r>
    <x v="4"/>
    <x v="9"/>
    <x v="0"/>
    <x v="0"/>
    <x v="6"/>
    <x v="1"/>
    <n v="21.766421953008699"/>
    <x v="6"/>
    <x v="6"/>
  </r>
  <r>
    <x v="4"/>
    <x v="9"/>
    <x v="0"/>
    <x v="0"/>
    <x v="7"/>
    <x v="1"/>
    <n v="14.932225018685999"/>
    <x v="6"/>
    <x v="6"/>
  </r>
  <r>
    <x v="4"/>
    <x v="9"/>
    <x v="0"/>
    <x v="0"/>
    <x v="8"/>
    <x v="1"/>
    <n v="10.491445857027401"/>
    <x v="6"/>
    <x v="6"/>
  </r>
  <r>
    <x v="4"/>
    <x v="9"/>
    <x v="0"/>
    <x v="0"/>
    <x v="9"/>
    <x v="1"/>
    <n v="11.2395031194688"/>
    <x v="6"/>
    <x v="6"/>
  </r>
  <r>
    <x v="4"/>
    <x v="9"/>
    <x v="0"/>
    <x v="0"/>
    <x v="10"/>
    <x v="1"/>
    <n v="15.215067432971701"/>
    <x v="6"/>
    <x v="6"/>
  </r>
  <r>
    <x v="4"/>
    <x v="9"/>
    <x v="0"/>
    <x v="0"/>
    <x v="11"/>
    <x v="1"/>
    <n v="12.740927170446"/>
    <x v="6"/>
    <x v="6"/>
  </r>
  <r>
    <x v="4"/>
    <x v="9"/>
    <x v="0"/>
    <x v="1"/>
    <x v="47"/>
    <x v="1"/>
    <m/>
    <x v="6"/>
    <x v="6"/>
  </r>
  <r>
    <x v="4"/>
    <x v="9"/>
    <x v="0"/>
    <x v="1"/>
    <x v="12"/>
    <x v="1"/>
    <n v="19.259695535185301"/>
    <x v="6"/>
    <x v="6"/>
  </r>
  <r>
    <x v="4"/>
    <x v="9"/>
    <x v="0"/>
    <x v="1"/>
    <x v="13"/>
    <x v="1"/>
    <n v="7.6344259247776902"/>
    <x v="6"/>
    <x v="6"/>
  </r>
  <r>
    <x v="4"/>
    <x v="9"/>
    <x v="0"/>
    <x v="1"/>
    <x v="14"/>
    <x v="1"/>
    <n v="14.124979403294001"/>
    <x v="6"/>
    <x v="6"/>
  </r>
  <r>
    <x v="4"/>
    <x v="9"/>
    <x v="0"/>
    <x v="1"/>
    <x v="15"/>
    <x v="1"/>
    <n v="19.4407412203104"/>
    <x v="6"/>
    <x v="6"/>
  </r>
  <r>
    <x v="4"/>
    <x v="9"/>
    <x v="0"/>
    <x v="1"/>
    <x v="16"/>
    <x v="1"/>
    <n v="33.8854082776814"/>
    <x v="6"/>
    <x v="6"/>
  </r>
  <r>
    <x v="4"/>
    <x v="9"/>
    <x v="0"/>
    <x v="1"/>
    <x v="17"/>
    <x v="1"/>
    <n v="28.637899452684898"/>
    <x v="6"/>
    <x v="6"/>
  </r>
  <r>
    <x v="4"/>
    <x v="9"/>
    <x v="0"/>
    <x v="1"/>
    <x v="18"/>
    <x v="1"/>
    <n v="28.054599998225601"/>
    <x v="6"/>
    <x v="6"/>
  </r>
  <r>
    <x v="4"/>
    <x v="9"/>
    <x v="0"/>
    <x v="1"/>
    <x v="19"/>
    <x v="1"/>
    <n v="21.48345119251"/>
    <x v="6"/>
    <x v="6"/>
  </r>
  <r>
    <x v="4"/>
    <x v="9"/>
    <x v="0"/>
    <x v="1"/>
    <x v="20"/>
    <x v="1"/>
    <n v="19.2023546751814"/>
    <x v="6"/>
    <x v="6"/>
  </r>
  <r>
    <x v="4"/>
    <x v="9"/>
    <x v="0"/>
    <x v="1"/>
    <x v="21"/>
    <x v="1"/>
    <n v="19.867603016128701"/>
    <x v="6"/>
    <x v="6"/>
  </r>
  <r>
    <x v="4"/>
    <x v="9"/>
    <x v="0"/>
    <x v="1"/>
    <x v="22"/>
    <x v="1"/>
    <n v="22.023336042213401"/>
    <x v="6"/>
    <x v="6"/>
  </r>
  <r>
    <x v="4"/>
    <x v="9"/>
    <x v="0"/>
    <x v="1"/>
    <x v="23"/>
    <x v="1"/>
    <n v="12.976295534018901"/>
    <x v="6"/>
    <x v="6"/>
  </r>
  <r>
    <x v="4"/>
    <x v="9"/>
    <x v="0"/>
    <x v="2"/>
    <x v="48"/>
    <x v="1"/>
    <m/>
    <x v="6"/>
    <x v="6"/>
  </r>
  <r>
    <x v="4"/>
    <x v="9"/>
    <x v="0"/>
    <x v="2"/>
    <x v="24"/>
    <x v="1"/>
    <n v="13.6059074429938"/>
    <x v="6"/>
    <x v="6"/>
  </r>
  <r>
    <x v="4"/>
    <x v="9"/>
    <x v="0"/>
    <x v="2"/>
    <x v="25"/>
    <x v="1"/>
    <n v="12.4534585906238"/>
    <x v="6"/>
    <x v="6"/>
  </r>
  <r>
    <x v="4"/>
    <x v="9"/>
    <x v="0"/>
    <x v="2"/>
    <x v="26"/>
    <x v="1"/>
    <n v="10.4888837089098"/>
    <x v="6"/>
    <x v="6"/>
  </r>
  <r>
    <x v="4"/>
    <x v="9"/>
    <x v="0"/>
    <x v="2"/>
    <x v="27"/>
    <x v="1"/>
    <n v="13.3262277393394"/>
    <x v="6"/>
    <x v="6"/>
  </r>
  <r>
    <x v="4"/>
    <x v="9"/>
    <x v="0"/>
    <x v="2"/>
    <x v="28"/>
    <x v="1"/>
    <n v="32.088655416330802"/>
    <x v="6"/>
    <x v="6"/>
  </r>
  <r>
    <x v="4"/>
    <x v="9"/>
    <x v="0"/>
    <x v="2"/>
    <x v="29"/>
    <x v="1"/>
    <n v="27.898659132724401"/>
    <x v="6"/>
    <x v="6"/>
  </r>
  <r>
    <x v="4"/>
    <x v="9"/>
    <x v="0"/>
    <x v="2"/>
    <x v="30"/>
    <x v="1"/>
    <n v="21.814666082489001"/>
    <x v="6"/>
    <x v="6"/>
  </r>
  <r>
    <x v="4"/>
    <x v="9"/>
    <x v="0"/>
    <x v="2"/>
    <x v="31"/>
    <x v="1"/>
    <n v="20.016122810323999"/>
    <x v="6"/>
    <x v="6"/>
  </r>
  <r>
    <x v="4"/>
    <x v="9"/>
    <x v="0"/>
    <x v="2"/>
    <x v="32"/>
    <x v="1"/>
    <n v="14.200166953115801"/>
    <x v="6"/>
    <x v="6"/>
  </r>
  <r>
    <x v="4"/>
    <x v="9"/>
    <x v="0"/>
    <x v="2"/>
    <x v="33"/>
    <x v="1"/>
    <n v="13.7919098457287"/>
    <x v="6"/>
    <x v="6"/>
  </r>
  <r>
    <x v="4"/>
    <x v="9"/>
    <x v="0"/>
    <x v="2"/>
    <x v="34"/>
    <x v="1"/>
    <n v="20.817236363343302"/>
    <x v="6"/>
    <x v="6"/>
  </r>
  <r>
    <x v="4"/>
    <x v="9"/>
    <x v="0"/>
    <x v="2"/>
    <x v="35"/>
    <x v="1"/>
    <n v="17.948119523582999"/>
    <x v="6"/>
    <x v="6"/>
  </r>
  <r>
    <x v="4"/>
    <x v="9"/>
    <x v="0"/>
    <x v="3"/>
    <x v="49"/>
    <x v="1"/>
    <m/>
    <x v="6"/>
    <x v="6"/>
  </r>
  <r>
    <x v="4"/>
    <x v="9"/>
    <x v="0"/>
    <x v="3"/>
    <x v="36"/>
    <x v="1"/>
    <n v="19.364283171574002"/>
    <x v="6"/>
    <x v="6"/>
  </r>
  <r>
    <x v="4"/>
    <x v="9"/>
    <x v="0"/>
    <x v="3"/>
    <x v="37"/>
    <x v="1"/>
    <n v="16.872486376106799"/>
    <x v="6"/>
    <x v="6"/>
  </r>
  <r>
    <x v="4"/>
    <x v="9"/>
    <x v="0"/>
    <x v="3"/>
    <x v="38"/>
    <x v="1"/>
    <n v="22.095909386353199"/>
    <x v="6"/>
    <x v="6"/>
  </r>
  <r>
    <x v="4"/>
    <x v="9"/>
    <x v="0"/>
    <x v="3"/>
    <x v="39"/>
    <x v="1"/>
    <n v="24.3587965663387"/>
    <x v="6"/>
    <x v="6"/>
  </r>
  <r>
    <x v="4"/>
    <x v="9"/>
    <x v="0"/>
    <x v="3"/>
    <x v="40"/>
    <x v="1"/>
    <n v="26.9856559710006"/>
    <x v="6"/>
    <x v="6"/>
  </r>
  <r>
    <x v="4"/>
    <x v="9"/>
    <x v="0"/>
    <x v="3"/>
    <x v="41"/>
    <x v="1"/>
    <n v="22.789719493513601"/>
    <x v="6"/>
    <x v="6"/>
  </r>
  <r>
    <x v="4"/>
    <x v="9"/>
    <x v="0"/>
    <x v="3"/>
    <x v="42"/>
    <x v="1"/>
    <n v="24.956870066841802"/>
    <x v="6"/>
    <x v="6"/>
  </r>
  <r>
    <x v="4"/>
    <x v="9"/>
    <x v="0"/>
    <x v="3"/>
    <x v="43"/>
    <x v="1"/>
    <n v="15.1192472155179"/>
    <x v="6"/>
    <x v="6"/>
  </r>
  <r>
    <x v="4"/>
    <x v="9"/>
    <x v="0"/>
    <x v="3"/>
    <x v="44"/>
    <x v="1"/>
    <n v="14.904272919192801"/>
    <x v="6"/>
    <x v="6"/>
  </r>
  <r>
    <x v="4"/>
    <x v="9"/>
    <x v="0"/>
    <x v="3"/>
    <x v="45"/>
    <x v="1"/>
    <n v="14.0004707005795"/>
    <x v="6"/>
    <x v="6"/>
  </r>
  <r>
    <x v="4"/>
    <x v="10"/>
    <x v="0"/>
    <x v="0"/>
    <x v="46"/>
    <x v="1"/>
    <m/>
    <x v="7"/>
    <x v="7"/>
  </r>
  <r>
    <x v="4"/>
    <x v="10"/>
    <x v="0"/>
    <x v="0"/>
    <x v="0"/>
    <x v="1"/>
    <n v="37.763005082710201"/>
    <x v="7"/>
    <x v="7"/>
  </r>
  <r>
    <x v="4"/>
    <x v="10"/>
    <x v="0"/>
    <x v="0"/>
    <x v="1"/>
    <x v="1"/>
    <n v="40.150557174596898"/>
    <x v="7"/>
    <x v="7"/>
  </r>
  <r>
    <x v="4"/>
    <x v="10"/>
    <x v="0"/>
    <x v="0"/>
    <x v="2"/>
    <x v="1"/>
    <n v="16.9880599031043"/>
    <x v="7"/>
    <x v="7"/>
  </r>
  <r>
    <x v="4"/>
    <x v="10"/>
    <x v="0"/>
    <x v="0"/>
    <x v="3"/>
    <x v="1"/>
    <n v="25.274401550563201"/>
    <x v="7"/>
    <x v="7"/>
  </r>
  <r>
    <x v="4"/>
    <x v="10"/>
    <x v="0"/>
    <x v="0"/>
    <x v="4"/>
    <x v="1"/>
    <n v="25.704737224976402"/>
    <x v="7"/>
    <x v="7"/>
  </r>
  <r>
    <x v="4"/>
    <x v="10"/>
    <x v="0"/>
    <x v="0"/>
    <x v="5"/>
    <x v="1"/>
    <n v="17.888761768359199"/>
    <x v="7"/>
    <x v="7"/>
  </r>
  <r>
    <x v="4"/>
    <x v="10"/>
    <x v="0"/>
    <x v="0"/>
    <x v="6"/>
    <x v="1"/>
    <n v="21.621142556512599"/>
    <x v="7"/>
    <x v="7"/>
  </r>
  <r>
    <x v="4"/>
    <x v="10"/>
    <x v="0"/>
    <x v="0"/>
    <x v="7"/>
    <x v="1"/>
    <n v="23.3296380945104"/>
    <x v="7"/>
    <x v="7"/>
  </r>
  <r>
    <x v="4"/>
    <x v="10"/>
    <x v="0"/>
    <x v="0"/>
    <x v="8"/>
    <x v="1"/>
    <n v="11.8821653649211"/>
    <x v="7"/>
    <x v="7"/>
  </r>
  <r>
    <x v="4"/>
    <x v="10"/>
    <x v="0"/>
    <x v="0"/>
    <x v="9"/>
    <x v="1"/>
    <n v="9.9014630752110602"/>
    <x v="7"/>
    <x v="7"/>
  </r>
  <r>
    <x v="4"/>
    <x v="10"/>
    <x v="0"/>
    <x v="0"/>
    <x v="10"/>
    <x v="1"/>
    <n v="14.007715853822299"/>
    <x v="7"/>
    <x v="7"/>
  </r>
  <r>
    <x v="4"/>
    <x v="10"/>
    <x v="0"/>
    <x v="0"/>
    <x v="11"/>
    <x v="1"/>
    <n v="5.2651741178459304"/>
    <x v="7"/>
    <x v="7"/>
  </r>
  <r>
    <x v="4"/>
    <x v="10"/>
    <x v="0"/>
    <x v="1"/>
    <x v="47"/>
    <x v="1"/>
    <m/>
    <x v="7"/>
    <x v="7"/>
  </r>
  <r>
    <x v="4"/>
    <x v="10"/>
    <x v="0"/>
    <x v="1"/>
    <x v="12"/>
    <x v="1"/>
    <n v="39.2010939079235"/>
    <x v="7"/>
    <x v="7"/>
  </r>
  <r>
    <x v="4"/>
    <x v="10"/>
    <x v="0"/>
    <x v="1"/>
    <x v="13"/>
    <x v="1"/>
    <n v="18.0253910942156"/>
    <x v="7"/>
    <x v="7"/>
  </r>
  <r>
    <x v="4"/>
    <x v="10"/>
    <x v="0"/>
    <x v="1"/>
    <x v="14"/>
    <x v="1"/>
    <n v="14.8943399926747"/>
    <x v="7"/>
    <x v="7"/>
  </r>
  <r>
    <x v="4"/>
    <x v="10"/>
    <x v="0"/>
    <x v="1"/>
    <x v="15"/>
    <x v="1"/>
    <n v="17.919227514823799"/>
    <x v="7"/>
    <x v="7"/>
  </r>
  <r>
    <x v="4"/>
    <x v="10"/>
    <x v="0"/>
    <x v="1"/>
    <x v="16"/>
    <x v="1"/>
    <n v="24.8718052851609"/>
    <x v="7"/>
    <x v="7"/>
  </r>
  <r>
    <x v="4"/>
    <x v="10"/>
    <x v="0"/>
    <x v="1"/>
    <x v="17"/>
    <x v="1"/>
    <n v="28.337332512952202"/>
    <x v="7"/>
    <x v="7"/>
  </r>
  <r>
    <x v="4"/>
    <x v="10"/>
    <x v="0"/>
    <x v="1"/>
    <x v="18"/>
    <x v="1"/>
    <n v="33.645373712407803"/>
    <x v="7"/>
    <x v="7"/>
  </r>
  <r>
    <x v="4"/>
    <x v="10"/>
    <x v="0"/>
    <x v="1"/>
    <x v="19"/>
    <x v="1"/>
    <n v="24.335270749909999"/>
    <x v="7"/>
    <x v="7"/>
  </r>
  <r>
    <x v="4"/>
    <x v="10"/>
    <x v="0"/>
    <x v="1"/>
    <x v="20"/>
    <x v="1"/>
    <n v="10.569032966136"/>
    <x v="7"/>
    <x v="7"/>
  </r>
  <r>
    <x v="4"/>
    <x v="10"/>
    <x v="0"/>
    <x v="1"/>
    <x v="21"/>
    <x v="1"/>
    <n v="12.7172394454736"/>
    <x v="7"/>
    <x v="7"/>
  </r>
  <r>
    <x v="4"/>
    <x v="10"/>
    <x v="0"/>
    <x v="1"/>
    <x v="22"/>
    <x v="1"/>
    <n v="20.1802779557073"/>
    <x v="7"/>
    <x v="7"/>
  </r>
  <r>
    <x v="4"/>
    <x v="10"/>
    <x v="0"/>
    <x v="1"/>
    <x v="23"/>
    <x v="1"/>
    <n v="14.7728013475097"/>
    <x v="7"/>
    <x v="7"/>
  </r>
  <r>
    <x v="4"/>
    <x v="10"/>
    <x v="0"/>
    <x v="2"/>
    <x v="48"/>
    <x v="1"/>
    <m/>
    <x v="7"/>
    <x v="7"/>
  </r>
  <r>
    <x v="4"/>
    <x v="10"/>
    <x v="0"/>
    <x v="2"/>
    <x v="24"/>
    <x v="1"/>
    <n v="25.389608330054902"/>
    <x v="7"/>
    <x v="7"/>
  </r>
  <r>
    <x v="4"/>
    <x v="10"/>
    <x v="0"/>
    <x v="2"/>
    <x v="25"/>
    <x v="1"/>
    <n v="30.897638202493599"/>
    <x v="7"/>
    <x v="7"/>
  </r>
  <r>
    <x v="4"/>
    <x v="10"/>
    <x v="0"/>
    <x v="2"/>
    <x v="26"/>
    <x v="1"/>
    <n v="27.039971718459402"/>
    <x v="7"/>
    <x v="7"/>
  </r>
  <r>
    <x v="4"/>
    <x v="10"/>
    <x v="0"/>
    <x v="2"/>
    <x v="27"/>
    <x v="1"/>
    <n v="17.776006821377301"/>
    <x v="7"/>
    <x v="7"/>
  </r>
  <r>
    <x v="4"/>
    <x v="10"/>
    <x v="0"/>
    <x v="2"/>
    <x v="28"/>
    <x v="1"/>
    <n v="30.830601536084899"/>
    <x v="7"/>
    <x v="7"/>
  </r>
  <r>
    <x v="4"/>
    <x v="10"/>
    <x v="0"/>
    <x v="2"/>
    <x v="29"/>
    <x v="1"/>
    <n v="35.448179929097599"/>
    <x v="7"/>
    <x v="7"/>
  </r>
  <r>
    <x v="4"/>
    <x v="10"/>
    <x v="0"/>
    <x v="2"/>
    <x v="30"/>
    <x v="1"/>
    <n v="36.501178794822302"/>
    <x v="7"/>
    <x v="7"/>
  </r>
  <r>
    <x v="4"/>
    <x v="10"/>
    <x v="0"/>
    <x v="2"/>
    <x v="31"/>
    <x v="1"/>
    <n v="27.012113481192301"/>
    <x v="7"/>
    <x v="7"/>
  </r>
  <r>
    <x v="4"/>
    <x v="10"/>
    <x v="0"/>
    <x v="2"/>
    <x v="32"/>
    <x v="1"/>
    <n v="14.186285890783701"/>
    <x v="7"/>
    <x v="7"/>
  </r>
  <r>
    <x v="4"/>
    <x v="10"/>
    <x v="0"/>
    <x v="2"/>
    <x v="33"/>
    <x v="1"/>
    <n v="16.274830037055398"/>
    <x v="7"/>
    <x v="7"/>
  </r>
  <r>
    <x v="4"/>
    <x v="10"/>
    <x v="0"/>
    <x v="2"/>
    <x v="34"/>
    <x v="1"/>
    <n v="30.366197765554698"/>
    <x v="7"/>
    <x v="7"/>
  </r>
  <r>
    <x v="4"/>
    <x v="10"/>
    <x v="0"/>
    <x v="2"/>
    <x v="35"/>
    <x v="1"/>
    <n v="300.86272888627099"/>
    <x v="7"/>
    <x v="7"/>
  </r>
  <r>
    <x v="4"/>
    <x v="10"/>
    <x v="0"/>
    <x v="3"/>
    <x v="49"/>
    <x v="1"/>
    <m/>
    <x v="7"/>
    <x v="7"/>
  </r>
  <r>
    <x v="4"/>
    <x v="10"/>
    <x v="0"/>
    <x v="3"/>
    <x v="36"/>
    <x v="1"/>
    <n v="64.462408747598303"/>
    <x v="7"/>
    <x v="7"/>
  </r>
  <r>
    <x v="4"/>
    <x v="10"/>
    <x v="0"/>
    <x v="3"/>
    <x v="37"/>
    <x v="1"/>
    <n v="66.332758102471104"/>
    <x v="7"/>
    <x v="7"/>
  </r>
  <r>
    <x v="4"/>
    <x v="10"/>
    <x v="0"/>
    <x v="3"/>
    <x v="38"/>
    <x v="1"/>
    <n v="66.169455500637198"/>
    <x v="7"/>
    <x v="7"/>
  </r>
  <r>
    <x v="4"/>
    <x v="10"/>
    <x v="0"/>
    <x v="3"/>
    <x v="39"/>
    <x v="1"/>
    <n v="76.381798695247198"/>
    <x v="7"/>
    <x v="7"/>
  </r>
  <r>
    <x v="4"/>
    <x v="10"/>
    <x v="0"/>
    <x v="3"/>
    <x v="40"/>
    <x v="1"/>
    <n v="79.0198290451426"/>
    <x v="7"/>
    <x v="7"/>
  </r>
  <r>
    <x v="4"/>
    <x v="10"/>
    <x v="0"/>
    <x v="3"/>
    <x v="41"/>
    <x v="1"/>
    <n v="26.1726767163094"/>
    <x v="7"/>
    <x v="7"/>
  </r>
  <r>
    <x v="4"/>
    <x v="10"/>
    <x v="0"/>
    <x v="3"/>
    <x v="42"/>
    <x v="1"/>
    <n v="42.310128671976202"/>
    <x v="7"/>
    <x v="7"/>
  </r>
  <r>
    <x v="4"/>
    <x v="10"/>
    <x v="0"/>
    <x v="3"/>
    <x v="43"/>
    <x v="1"/>
    <n v="22.5709213104758"/>
    <x v="7"/>
    <x v="7"/>
  </r>
  <r>
    <x v="4"/>
    <x v="10"/>
    <x v="0"/>
    <x v="3"/>
    <x v="44"/>
    <x v="1"/>
    <n v="34.326149529006003"/>
    <x v="7"/>
    <x v="7"/>
  </r>
  <r>
    <x v="4"/>
    <x v="10"/>
    <x v="0"/>
    <x v="3"/>
    <x v="45"/>
    <x v="1"/>
    <n v="13.287403970978"/>
    <x v="7"/>
    <x v="7"/>
  </r>
  <r>
    <x v="4"/>
    <x v="11"/>
    <x v="0"/>
    <x v="0"/>
    <x v="46"/>
    <x v="1"/>
    <m/>
    <x v="8"/>
    <x v="8"/>
  </r>
  <r>
    <x v="4"/>
    <x v="11"/>
    <x v="0"/>
    <x v="0"/>
    <x v="0"/>
    <x v="1"/>
    <n v="35.672142133847203"/>
    <x v="8"/>
    <x v="8"/>
  </r>
  <r>
    <x v="4"/>
    <x v="11"/>
    <x v="0"/>
    <x v="0"/>
    <x v="1"/>
    <x v="1"/>
    <n v="26.467140266471901"/>
    <x v="8"/>
    <x v="8"/>
  </r>
  <r>
    <x v="4"/>
    <x v="11"/>
    <x v="0"/>
    <x v="0"/>
    <x v="2"/>
    <x v="1"/>
    <n v="26.059071937697102"/>
    <x v="8"/>
    <x v="8"/>
  </r>
  <r>
    <x v="4"/>
    <x v="11"/>
    <x v="0"/>
    <x v="0"/>
    <x v="3"/>
    <x v="1"/>
    <n v="28.013781471600101"/>
    <x v="8"/>
    <x v="8"/>
  </r>
  <r>
    <x v="4"/>
    <x v="11"/>
    <x v="0"/>
    <x v="0"/>
    <x v="4"/>
    <x v="1"/>
    <n v="27.5719127786314"/>
    <x v="8"/>
    <x v="8"/>
  </r>
  <r>
    <x v="4"/>
    <x v="11"/>
    <x v="0"/>
    <x v="0"/>
    <x v="5"/>
    <x v="1"/>
    <n v="15.4299707457634"/>
    <x v="8"/>
    <x v="8"/>
  </r>
  <r>
    <x v="4"/>
    <x v="11"/>
    <x v="0"/>
    <x v="0"/>
    <x v="6"/>
    <x v="1"/>
    <n v="20.580015529258901"/>
    <x v="8"/>
    <x v="8"/>
  </r>
  <r>
    <x v="4"/>
    <x v="11"/>
    <x v="0"/>
    <x v="0"/>
    <x v="7"/>
    <x v="1"/>
    <n v="25.3148636117844"/>
    <x v="8"/>
    <x v="8"/>
  </r>
  <r>
    <x v="4"/>
    <x v="11"/>
    <x v="0"/>
    <x v="0"/>
    <x v="8"/>
    <x v="1"/>
    <n v="20.498020232114001"/>
    <x v="8"/>
    <x v="8"/>
  </r>
  <r>
    <x v="4"/>
    <x v="11"/>
    <x v="0"/>
    <x v="0"/>
    <x v="9"/>
    <x v="1"/>
    <n v="16.924796534135002"/>
    <x v="8"/>
    <x v="8"/>
  </r>
  <r>
    <x v="4"/>
    <x v="11"/>
    <x v="0"/>
    <x v="0"/>
    <x v="10"/>
    <x v="1"/>
    <n v="34.751784647677503"/>
    <x v="8"/>
    <x v="8"/>
  </r>
  <r>
    <x v="4"/>
    <x v="11"/>
    <x v="0"/>
    <x v="0"/>
    <x v="11"/>
    <x v="1"/>
    <n v="27.419570965624001"/>
    <x v="8"/>
    <x v="8"/>
  </r>
  <r>
    <x v="4"/>
    <x v="11"/>
    <x v="0"/>
    <x v="1"/>
    <x v="47"/>
    <x v="1"/>
    <m/>
    <x v="8"/>
    <x v="8"/>
  </r>
  <r>
    <x v="4"/>
    <x v="11"/>
    <x v="0"/>
    <x v="1"/>
    <x v="12"/>
    <x v="1"/>
    <n v="36.618139375650301"/>
    <x v="8"/>
    <x v="8"/>
  </r>
  <r>
    <x v="4"/>
    <x v="11"/>
    <x v="0"/>
    <x v="1"/>
    <x v="13"/>
    <x v="1"/>
    <n v="36.883480292501503"/>
    <x v="8"/>
    <x v="8"/>
  </r>
  <r>
    <x v="4"/>
    <x v="11"/>
    <x v="0"/>
    <x v="1"/>
    <x v="14"/>
    <x v="1"/>
    <n v="28.162127157925799"/>
    <x v="8"/>
    <x v="8"/>
  </r>
  <r>
    <x v="4"/>
    <x v="11"/>
    <x v="0"/>
    <x v="1"/>
    <x v="15"/>
    <x v="1"/>
    <n v="38.365226777142603"/>
    <x v="8"/>
    <x v="8"/>
  </r>
  <r>
    <x v="4"/>
    <x v="11"/>
    <x v="0"/>
    <x v="1"/>
    <x v="16"/>
    <x v="1"/>
    <n v="39.843390914202303"/>
    <x v="8"/>
    <x v="8"/>
  </r>
  <r>
    <x v="4"/>
    <x v="11"/>
    <x v="0"/>
    <x v="1"/>
    <x v="17"/>
    <x v="1"/>
    <n v="38.535358114585797"/>
    <x v="8"/>
    <x v="8"/>
  </r>
  <r>
    <x v="4"/>
    <x v="11"/>
    <x v="0"/>
    <x v="1"/>
    <x v="18"/>
    <x v="1"/>
    <n v="30.5761818597373"/>
    <x v="8"/>
    <x v="8"/>
  </r>
  <r>
    <x v="4"/>
    <x v="11"/>
    <x v="0"/>
    <x v="1"/>
    <x v="19"/>
    <x v="1"/>
    <n v="31.432137686452599"/>
    <x v="8"/>
    <x v="8"/>
  </r>
  <r>
    <x v="4"/>
    <x v="11"/>
    <x v="0"/>
    <x v="1"/>
    <x v="20"/>
    <x v="1"/>
    <n v="31.587918428361998"/>
    <x v="8"/>
    <x v="8"/>
  </r>
  <r>
    <x v="4"/>
    <x v="11"/>
    <x v="0"/>
    <x v="1"/>
    <x v="21"/>
    <x v="1"/>
    <n v="29.704735269519698"/>
    <x v="8"/>
    <x v="8"/>
  </r>
  <r>
    <x v="4"/>
    <x v="11"/>
    <x v="0"/>
    <x v="1"/>
    <x v="22"/>
    <x v="1"/>
    <n v="31.2583303828422"/>
    <x v="8"/>
    <x v="8"/>
  </r>
  <r>
    <x v="4"/>
    <x v="11"/>
    <x v="0"/>
    <x v="1"/>
    <x v="23"/>
    <x v="1"/>
    <n v="20.8204791286025"/>
    <x v="8"/>
    <x v="8"/>
  </r>
  <r>
    <x v="4"/>
    <x v="11"/>
    <x v="0"/>
    <x v="2"/>
    <x v="48"/>
    <x v="1"/>
    <m/>
    <x v="8"/>
    <x v="8"/>
  </r>
  <r>
    <x v="4"/>
    <x v="11"/>
    <x v="0"/>
    <x v="2"/>
    <x v="24"/>
    <x v="1"/>
    <n v="31.014192574564099"/>
    <x v="8"/>
    <x v="8"/>
  </r>
  <r>
    <x v="4"/>
    <x v="11"/>
    <x v="0"/>
    <x v="2"/>
    <x v="25"/>
    <x v="1"/>
    <n v="24.537421369767198"/>
    <x v="8"/>
    <x v="8"/>
  </r>
  <r>
    <x v="4"/>
    <x v="11"/>
    <x v="0"/>
    <x v="2"/>
    <x v="26"/>
    <x v="1"/>
    <n v="22.427281607795301"/>
    <x v="8"/>
    <x v="8"/>
  </r>
  <r>
    <x v="4"/>
    <x v="11"/>
    <x v="0"/>
    <x v="2"/>
    <x v="27"/>
    <x v="1"/>
    <n v="32.045682583341303"/>
    <x v="8"/>
    <x v="8"/>
  </r>
  <r>
    <x v="4"/>
    <x v="11"/>
    <x v="0"/>
    <x v="2"/>
    <x v="28"/>
    <x v="1"/>
    <n v="44.221687910696801"/>
    <x v="8"/>
    <x v="8"/>
  </r>
  <r>
    <x v="4"/>
    <x v="11"/>
    <x v="0"/>
    <x v="2"/>
    <x v="29"/>
    <x v="1"/>
    <n v="50.919575295108899"/>
    <x v="8"/>
    <x v="8"/>
  </r>
  <r>
    <x v="4"/>
    <x v="11"/>
    <x v="0"/>
    <x v="2"/>
    <x v="30"/>
    <x v="1"/>
    <n v="38.8017283245767"/>
    <x v="8"/>
    <x v="8"/>
  </r>
  <r>
    <x v="4"/>
    <x v="11"/>
    <x v="0"/>
    <x v="2"/>
    <x v="31"/>
    <x v="1"/>
    <n v="30.517101812385299"/>
    <x v="8"/>
    <x v="8"/>
  </r>
  <r>
    <x v="4"/>
    <x v="11"/>
    <x v="0"/>
    <x v="2"/>
    <x v="32"/>
    <x v="1"/>
    <n v="19.411064982612999"/>
    <x v="8"/>
    <x v="8"/>
  </r>
  <r>
    <x v="4"/>
    <x v="11"/>
    <x v="0"/>
    <x v="2"/>
    <x v="33"/>
    <x v="1"/>
    <n v="12.284862828832599"/>
    <x v="8"/>
    <x v="8"/>
  </r>
  <r>
    <x v="4"/>
    <x v="11"/>
    <x v="0"/>
    <x v="2"/>
    <x v="34"/>
    <x v="1"/>
    <n v="25.2707752441544"/>
    <x v="8"/>
    <x v="8"/>
  </r>
  <r>
    <x v="4"/>
    <x v="11"/>
    <x v="0"/>
    <x v="2"/>
    <x v="35"/>
    <x v="1"/>
    <n v="51.7145012487522"/>
    <x v="8"/>
    <x v="8"/>
  </r>
  <r>
    <x v="4"/>
    <x v="11"/>
    <x v="0"/>
    <x v="3"/>
    <x v="49"/>
    <x v="1"/>
    <m/>
    <x v="8"/>
    <x v="8"/>
  </r>
  <r>
    <x v="4"/>
    <x v="11"/>
    <x v="0"/>
    <x v="3"/>
    <x v="36"/>
    <x v="1"/>
    <n v="54.4501822583834"/>
    <x v="8"/>
    <x v="8"/>
  </r>
  <r>
    <x v="4"/>
    <x v="11"/>
    <x v="0"/>
    <x v="3"/>
    <x v="37"/>
    <x v="1"/>
    <n v="51.5987842811154"/>
    <x v="8"/>
    <x v="8"/>
  </r>
  <r>
    <x v="4"/>
    <x v="11"/>
    <x v="0"/>
    <x v="3"/>
    <x v="38"/>
    <x v="1"/>
    <n v="50.757442803439197"/>
    <x v="8"/>
    <x v="8"/>
  </r>
  <r>
    <x v="4"/>
    <x v="11"/>
    <x v="0"/>
    <x v="3"/>
    <x v="39"/>
    <x v="1"/>
    <n v="67.430776814198197"/>
    <x v="8"/>
    <x v="8"/>
  </r>
  <r>
    <x v="4"/>
    <x v="11"/>
    <x v="0"/>
    <x v="3"/>
    <x v="40"/>
    <x v="1"/>
    <n v="51.939854255008399"/>
    <x v="8"/>
    <x v="8"/>
  </r>
  <r>
    <x v="4"/>
    <x v="11"/>
    <x v="0"/>
    <x v="3"/>
    <x v="41"/>
    <x v="1"/>
    <n v="39.517382293598303"/>
    <x v="8"/>
    <x v="8"/>
  </r>
  <r>
    <x v="4"/>
    <x v="11"/>
    <x v="0"/>
    <x v="3"/>
    <x v="42"/>
    <x v="1"/>
    <n v="40.654001747869202"/>
    <x v="8"/>
    <x v="8"/>
  </r>
  <r>
    <x v="4"/>
    <x v="11"/>
    <x v="0"/>
    <x v="3"/>
    <x v="43"/>
    <x v="1"/>
    <n v="33.580222723556197"/>
    <x v="8"/>
    <x v="8"/>
  </r>
  <r>
    <x v="4"/>
    <x v="11"/>
    <x v="0"/>
    <x v="3"/>
    <x v="44"/>
    <x v="1"/>
    <n v="30.985910940450498"/>
    <x v="8"/>
    <x v="8"/>
  </r>
  <r>
    <x v="4"/>
    <x v="11"/>
    <x v="0"/>
    <x v="3"/>
    <x v="45"/>
    <x v="1"/>
    <n v="23.765323025255"/>
    <x v="8"/>
    <x v="8"/>
  </r>
  <r>
    <x v="4"/>
    <x v="12"/>
    <x v="0"/>
    <x v="0"/>
    <x v="46"/>
    <x v="1"/>
    <m/>
    <x v="9"/>
    <x v="9"/>
  </r>
  <r>
    <x v="4"/>
    <x v="12"/>
    <x v="0"/>
    <x v="0"/>
    <x v="0"/>
    <x v="1"/>
    <n v="1.63624491634653"/>
    <x v="9"/>
    <x v="9"/>
  </r>
  <r>
    <x v="4"/>
    <x v="12"/>
    <x v="0"/>
    <x v="0"/>
    <x v="1"/>
    <x v="1"/>
    <n v="9.0898894148059295"/>
    <x v="9"/>
    <x v="9"/>
  </r>
  <r>
    <x v="4"/>
    <x v="12"/>
    <x v="0"/>
    <x v="0"/>
    <x v="2"/>
    <x v="1"/>
    <n v="7.6004691353916298"/>
    <x v="9"/>
    <x v="9"/>
  </r>
  <r>
    <x v="4"/>
    <x v="12"/>
    <x v="0"/>
    <x v="0"/>
    <x v="3"/>
    <x v="1"/>
    <n v="14.9825279507369"/>
    <x v="9"/>
    <x v="9"/>
  </r>
  <r>
    <x v="4"/>
    <x v="12"/>
    <x v="0"/>
    <x v="0"/>
    <x v="4"/>
    <x v="1"/>
    <n v="12.3599132998266"/>
    <x v="9"/>
    <x v="9"/>
  </r>
  <r>
    <x v="4"/>
    <x v="12"/>
    <x v="0"/>
    <x v="0"/>
    <x v="5"/>
    <x v="1"/>
    <n v="12.8494170522684"/>
    <x v="9"/>
    <x v="9"/>
  </r>
  <r>
    <x v="4"/>
    <x v="12"/>
    <x v="0"/>
    <x v="0"/>
    <x v="6"/>
    <x v="1"/>
    <n v="4.66282835690303"/>
    <x v="9"/>
    <x v="9"/>
  </r>
  <r>
    <x v="4"/>
    <x v="12"/>
    <x v="0"/>
    <x v="0"/>
    <x v="7"/>
    <x v="1"/>
    <n v="16.1630313313008"/>
    <x v="9"/>
    <x v="9"/>
  </r>
  <r>
    <x v="4"/>
    <x v="12"/>
    <x v="0"/>
    <x v="0"/>
    <x v="8"/>
    <x v="1"/>
    <n v="14.9029539294859"/>
    <x v="9"/>
    <x v="9"/>
  </r>
  <r>
    <x v="4"/>
    <x v="12"/>
    <x v="0"/>
    <x v="0"/>
    <x v="9"/>
    <x v="1"/>
    <n v="2.9515061361228101"/>
    <x v="9"/>
    <x v="9"/>
  </r>
  <r>
    <x v="4"/>
    <x v="12"/>
    <x v="0"/>
    <x v="0"/>
    <x v="10"/>
    <x v="1"/>
    <n v="5.0361836394212602"/>
    <x v="9"/>
    <x v="9"/>
  </r>
  <r>
    <x v="4"/>
    <x v="12"/>
    <x v="0"/>
    <x v="0"/>
    <x v="11"/>
    <x v="1"/>
    <n v="2.8753420070173199"/>
    <x v="9"/>
    <x v="9"/>
  </r>
  <r>
    <x v="4"/>
    <x v="12"/>
    <x v="0"/>
    <x v="1"/>
    <x v="47"/>
    <x v="1"/>
    <m/>
    <x v="9"/>
    <x v="9"/>
  </r>
  <r>
    <x v="4"/>
    <x v="12"/>
    <x v="0"/>
    <x v="1"/>
    <x v="12"/>
    <x v="1"/>
    <n v="4.4926215165146699"/>
    <x v="9"/>
    <x v="9"/>
  </r>
  <r>
    <x v="4"/>
    <x v="12"/>
    <x v="0"/>
    <x v="1"/>
    <x v="13"/>
    <x v="1"/>
    <n v="12.620376114400701"/>
    <x v="9"/>
    <x v="9"/>
  </r>
  <r>
    <x v="4"/>
    <x v="12"/>
    <x v="0"/>
    <x v="1"/>
    <x v="14"/>
    <x v="1"/>
    <n v="1.3589572987496601"/>
    <x v="9"/>
    <x v="9"/>
  </r>
  <r>
    <x v="4"/>
    <x v="12"/>
    <x v="0"/>
    <x v="1"/>
    <x v="15"/>
    <x v="1"/>
    <n v="19.581065027592299"/>
    <x v="9"/>
    <x v="9"/>
  </r>
  <r>
    <x v="4"/>
    <x v="12"/>
    <x v="0"/>
    <x v="1"/>
    <x v="16"/>
    <x v="1"/>
    <n v="30.009841005171399"/>
    <x v="9"/>
    <x v="9"/>
  </r>
  <r>
    <x v="4"/>
    <x v="12"/>
    <x v="0"/>
    <x v="1"/>
    <x v="17"/>
    <x v="1"/>
    <n v="17.6313173552549"/>
    <x v="9"/>
    <x v="9"/>
  </r>
  <r>
    <x v="4"/>
    <x v="12"/>
    <x v="0"/>
    <x v="1"/>
    <x v="18"/>
    <x v="1"/>
    <n v="9.1668929329028508"/>
    <x v="9"/>
    <x v="9"/>
  </r>
  <r>
    <x v="4"/>
    <x v="12"/>
    <x v="0"/>
    <x v="1"/>
    <x v="19"/>
    <x v="1"/>
    <n v="3.30967679468008"/>
    <x v="9"/>
    <x v="9"/>
  </r>
  <r>
    <x v="4"/>
    <x v="12"/>
    <x v="0"/>
    <x v="1"/>
    <x v="20"/>
    <x v="1"/>
    <n v="1.8953827243124799"/>
    <x v="9"/>
    <x v="9"/>
  </r>
  <r>
    <x v="4"/>
    <x v="12"/>
    <x v="0"/>
    <x v="1"/>
    <x v="21"/>
    <x v="1"/>
    <n v="5.6771140811711396"/>
    <x v="9"/>
    <x v="9"/>
  </r>
  <r>
    <x v="4"/>
    <x v="12"/>
    <x v="0"/>
    <x v="1"/>
    <x v="22"/>
    <x v="1"/>
    <n v="8.7223236282938004"/>
    <x v="9"/>
    <x v="9"/>
  </r>
  <r>
    <x v="4"/>
    <x v="12"/>
    <x v="0"/>
    <x v="1"/>
    <x v="23"/>
    <x v="1"/>
    <n v="9.7748049413968801"/>
    <x v="9"/>
    <x v="9"/>
  </r>
  <r>
    <x v="4"/>
    <x v="12"/>
    <x v="0"/>
    <x v="2"/>
    <x v="48"/>
    <x v="1"/>
    <m/>
    <x v="9"/>
    <x v="9"/>
  </r>
  <r>
    <x v="4"/>
    <x v="12"/>
    <x v="0"/>
    <x v="2"/>
    <x v="24"/>
    <x v="1"/>
    <n v="18.013051122352302"/>
    <x v="9"/>
    <x v="9"/>
  </r>
  <r>
    <x v="4"/>
    <x v="12"/>
    <x v="0"/>
    <x v="2"/>
    <x v="25"/>
    <x v="1"/>
    <n v="4.7730009868994996"/>
    <x v="9"/>
    <x v="9"/>
  </r>
  <r>
    <x v="4"/>
    <x v="12"/>
    <x v="0"/>
    <x v="2"/>
    <x v="26"/>
    <x v="1"/>
    <n v="12.7660729017254"/>
    <x v="9"/>
    <x v="9"/>
  </r>
  <r>
    <x v="4"/>
    <x v="12"/>
    <x v="0"/>
    <x v="2"/>
    <x v="27"/>
    <x v="1"/>
    <n v="9.8370435401687804"/>
    <x v="9"/>
    <x v="9"/>
  </r>
  <r>
    <x v="4"/>
    <x v="12"/>
    <x v="0"/>
    <x v="2"/>
    <x v="28"/>
    <x v="1"/>
    <n v="4.0409370095239101"/>
    <x v="9"/>
    <x v="9"/>
  </r>
  <r>
    <x v="4"/>
    <x v="12"/>
    <x v="0"/>
    <x v="2"/>
    <x v="29"/>
    <x v="1"/>
    <n v="18.3940234039482"/>
    <x v="9"/>
    <x v="9"/>
  </r>
  <r>
    <x v="4"/>
    <x v="12"/>
    <x v="0"/>
    <x v="2"/>
    <x v="30"/>
    <x v="1"/>
    <n v="12.731311062338699"/>
    <x v="9"/>
    <x v="9"/>
  </r>
  <r>
    <x v="4"/>
    <x v="12"/>
    <x v="0"/>
    <x v="2"/>
    <x v="31"/>
    <x v="1"/>
    <n v="30.4269431734254"/>
    <x v="9"/>
    <x v="9"/>
  </r>
  <r>
    <x v="4"/>
    <x v="12"/>
    <x v="0"/>
    <x v="2"/>
    <x v="32"/>
    <x v="1"/>
    <n v="12.9569800858986"/>
    <x v="9"/>
    <x v="9"/>
  </r>
  <r>
    <x v="4"/>
    <x v="12"/>
    <x v="0"/>
    <x v="2"/>
    <x v="33"/>
    <x v="1"/>
    <n v="13.9444171457249"/>
    <x v="9"/>
    <x v="9"/>
  </r>
  <r>
    <x v="4"/>
    <x v="12"/>
    <x v="0"/>
    <x v="2"/>
    <x v="34"/>
    <x v="1"/>
    <n v="32.318055443815901"/>
    <x v="9"/>
    <x v="9"/>
  </r>
  <r>
    <x v="4"/>
    <x v="12"/>
    <x v="0"/>
    <x v="2"/>
    <x v="35"/>
    <x v="1"/>
    <n v="22.9691231364685"/>
    <x v="9"/>
    <x v="9"/>
  </r>
  <r>
    <x v="4"/>
    <x v="12"/>
    <x v="0"/>
    <x v="3"/>
    <x v="49"/>
    <x v="1"/>
    <m/>
    <x v="9"/>
    <x v="9"/>
  </r>
  <r>
    <x v="4"/>
    <x v="12"/>
    <x v="0"/>
    <x v="3"/>
    <x v="36"/>
    <x v="1"/>
    <n v="9.7382268701355397"/>
    <x v="9"/>
    <x v="9"/>
  </r>
  <r>
    <x v="4"/>
    <x v="12"/>
    <x v="0"/>
    <x v="3"/>
    <x v="37"/>
    <x v="1"/>
    <n v="14.079511529451199"/>
    <x v="9"/>
    <x v="9"/>
  </r>
  <r>
    <x v="4"/>
    <x v="12"/>
    <x v="0"/>
    <x v="3"/>
    <x v="38"/>
    <x v="1"/>
    <n v="8.0626341895031608"/>
    <x v="9"/>
    <x v="9"/>
  </r>
  <r>
    <x v="4"/>
    <x v="12"/>
    <x v="0"/>
    <x v="3"/>
    <x v="39"/>
    <x v="1"/>
    <n v="3.9165248142812601"/>
    <x v="9"/>
    <x v="9"/>
  </r>
  <r>
    <x v="4"/>
    <x v="12"/>
    <x v="0"/>
    <x v="3"/>
    <x v="40"/>
    <x v="1"/>
    <n v="3.25442217103986"/>
    <x v="9"/>
    <x v="9"/>
  </r>
  <r>
    <x v="4"/>
    <x v="12"/>
    <x v="0"/>
    <x v="3"/>
    <x v="41"/>
    <x v="1"/>
    <n v="17.434195580370599"/>
    <x v="9"/>
    <x v="9"/>
  </r>
  <r>
    <x v="4"/>
    <x v="12"/>
    <x v="0"/>
    <x v="3"/>
    <x v="42"/>
    <x v="1"/>
    <n v="23.6325824636763"/>
    <x v="9"/>
    <x v="9"/>
  </r>
  <r>
    <x v="4"/>
    <x v="12"/>
    <x v="0"/>
    <x v="3"/>
    <x v="43"/>
    <x v="1"/>
    <n v="19.281520976740801"/>
    <x v="9"/>
    <x v="9"/>
  </r>
  <r>
    <x v="4"/>
    <x v="12"/>
    <x v="0"/>
    <x v="3"/>
    <x v="44"/>
    <x v="1"/>
    <n v="4.93040360071112"/>
    <x v="9"/>
    <x v="9"/>
  </r>
  <r>
    <x v="4"/>
    <x v="12"/>
    <x v="0"/>
    <x v="3"/>
    <x v="45"/>
    <x v="1"/>
    <n v="6.0112359932962898"/>
    <x v="9"/>
    <x v="9"/>
  </r>
  <r>
    <x v="4"/>
    <x v="13"/>
    <x v="0"/>
    <x v="0"/>
    <x v="46"/>
    <x v="1"/>
    <m/>
    <x v="10"/>
    <x v="10"/>
  </r>
  <r>
    <x v="4"/>
    <x v="13"/>
    <x v="0"/>
    <x v="0"/>
    <x v="0"/>
    <x v="1"/>
    <m/>
    <x v="10"/>
    <x v="10"/>
  </r>
  <r>
    <x v="4"/>
    <x v="13"/>
    <x v="0"/>
    <x v="0"/>
    <x v="1"/>
    <x v="1"/>
    <m/>
    <x v="10"/>
    <x v="10"/>
  </r>
  <r>
    <x v="4"/>
    <x v="13"/>
    <x v="0"/>
    <x v="0"/>
    <x v="2"/>
    <x v="1"/>
    <m/>
    <x v="10"/>
    <x v="10"/>
  </r>
  <r>
    <x v="4"/>
    <x v="13"/>
    <x v="0"/>
    <x v="0"/>
    <x v="3"/>
    <x v="1"/>
    <m/>
    <x v="10"/>
    <x v="10"/>
  </r>
  <r>
    <x v="4"/>
    <x v="13"/>
    <x v="0"/>
    <x v="0"/>
    <x v="4"/>
    <x v="1"/>
    <m/>
    <x v="10"/>
    <x v="10"/>
  </r>
  <r>
    <x v="4"/>
    <x v="13"/>
    <x v="0"/>
    <x v="0"/>
    <x v="5"/>
    <x v="1"/>
    <m/>
    <x v="10"/>
    <x v="10"/>
  </r>
  <r>
    <x v="4"/>
    <x v="13"/>
    <x v="0"/>
    <x v="0"/>
    <x v="6"/>
    <x v="1"/>
    <m/>
    <x v="10"/>
    <x v="10"/>
  </r>
  <r>
    <x v="4"/>
    <x v="13"/>
    <x v="0"/>
    <x v="0"/>
    <x v="7"/>
    <x v="1"/>
    <m/>
    <x v="10"/>
    <x v="10"/>
  </r>
  <r>
    <x v="4"/>
    <x v="13"/>
    <x v="0"/>
    <x v="0"/>
    <x v="8"/>
    <x v="1"/>
    <m/>
    <x v="10"/>
    <x v="10"/>
  </r>
  <r>
    <x v="4"/>
    <x v="13"/>
    <x v="0"/>
    <x v="0"/>
    <x v="9"/>
    <x v="1"/>
    <m/>
    <x v="10"/>
    <x v="10"/>
  </r>
  <r>
    <x v="4"/>
    <x v="13"/>
    <x v="0"/>
    <x v="0"/>
    <x v="10"/>
    <x v="1"/>
    <m/>
    <x v="10"/>
    <x v="10"/>
  </r>
  <r>
    <x v="4"/>
    <x v="13"/>
    <x v="0"/>
    <x v="0"/>
    <x v="11"/>
    <x v="1"/>
    <m/>
    <x v="10"/>
    <x v="10"/>
  </r>
  <r>
    <x v="4"/>
    <x v="13"/>
    <x v="0"/>
    <x v="1"/>
    <x v="47"/>
    <x v="1"/>
    <m/>
    <x v="10"/>
    <x v="10"/>
  </r>
  <r>
    <x v="4"/>
    <x v="13"/>
    <x v="0"/>
    <x v="1"/>
    <x v="12"/>
    <x v="1"/>
    <m/>
    <x v="10"/>
    <x v="10"/>
  </r>
  <r>
    <x v="4"/>
    <x v="13"/>
    <x v="0"/>
    <x v="1"/>
    <x v="13"/>
    <x v="1"/>
    <m/>
    <x v="10"/>
    <x v="10"/>
  </r>
  <r>
    <x v="4"/>
    <x v="13"/>
    <x v="0"/>
    <x v="1"/>
    <x v="14"/>
    <x v="1"/>
    <m/>
    <x v="10"/>
    <x v="10"/>
  </r>
  <r>
    <x v="4"/>
    <x v="13"/>
    <x v="0"/>
    <x v="1"/>
    <x v="15"/>
    <x v="1"/>
    <m/>
    <x v="10"/>
    <x v="10"/>
  </r>
  <r>
    <x v="4"/>
    <x v="13"/>
    <x v="0"/>
    <x v="1"/>
    <x v="16"/>
    <x v="1"/>
    <m/>
    <x v="10"/>
    <x v="10"/>
  </r>
  <r>
    <x v="4"/>
    <x v="13"/>
    <x v="0"/>
    <x v="1"/>
    <x v="17"/>
    <x v="1"/>
    <n v="43.913403162844403"/>
    <x v="10"/>
    <x v="10"/>
  </r>
  <r>
    <x v="4"/>
    <x v="13"/>
    <x v="0"/>
    <x v="1"/>
    <x v="18"/>
    <x v="1"/>
    <n v="11.447202147219199"/>
    <x v="10"/>
    <x v="10"/>
  </r>
  <r>
    <x v="4"/>
    <x v="13"/>
    <x v="0"/>
    <x v="1"/>
    <x v="19"/>
    <x v="1"/>
    <n v="66.9160442734333"/>
    <x v="10"/>
    <x v="10"/>
  </r>
  <r>
    <x v="4"/>
    <x v="13"/>
    <x v="0"/>
    <x v="1"/>
    <x v="20"/>
    <x v="1"/>
    <n v="42.912826843069197"/>
    <x v="10"/>
    <x v="10"/>
  </r>
  <r>
    <x v="4"/>
    <x v="13"/>
    <x v="0"/>
    <x v="1"/>
    <x v="21"/>
    <x v="1"/>
    <n v="23.006089042806501"/>
    <x v="10"/>
    <x v="10"/>
  </r>
  <r>
    <x v="4"/>
    <x v="13"/>
    <x v="0"/>
    <x v="1"/>
    <x v="22"/>
    <x v="1"/>
    <n v="57.675090889359403"/>
    <x v="10"/>
    <x v="10"/>
  </r>
  <r>
    <x v="4"/>
    <x v="13"/>
    <x v="0"/>
    <x v="1"/>
    <x v="23"/>
    <x v="1"/>
    <n v="25.111519292011199"/>
    <x v="10"/>
    <x v="10"/>
  </r>
  <r>
    <x v="4"/>
    <x v="13"/>
    <x v="0"/>
    <x v="2"/>
    <x v="48"/>
    <x v="1"/>
    <m/>
    <x v="10"/>
    <x v="10"/>
  </r>
  <r>
    <x v="4"/>
    <x v="13"/>
    <x v="0"/>
    <x v="2"/>
    <x v="24"/>
    <x v="1"/>
    <n v="72.984756294473797"/>
    <x v="10"/>
    <x v="10"/>
  </r>
  <r>
    <x v="4"/>
    <x v="13"/>
    <x v="0"/>
    <x v="2"/>
    <x v="25"/>
    <x v="1"/>
    <n v="68.937857870908005"/>
    <x v="10"/>
    <x v="10"/>
  </r>
  <r>
    <x v="4"/>
    <x v="13"/>
    <x v="0"/>
    <x v="2"/>
    <x v="26"/>
    <x v="1"/>
    <n v="39.5129568569577"/>
    <x v="10"/>
    <x v="10"/>
  </r>
  <r>
    <x v="4"/>
    <x v="13"/>
    <x v="0"/>
    <x v="2"/>
    <x v="27"/>
    <x v="1"/>
    <n v="9.2245501147868794"/>
    <x v="10"/>
    <x v="10"/>
  </r>
  <r>
    <x v="4"/>
    <x v="13"/>
    <x v="0"/>
    <x v="2"/>
    <x v="28"/>
    <x v="1"/>
    <n v="34.085130455732497"/>
    <x v="10"/>
    <x v="10"/>
  </r>
  <r>
    <x v="4"/>
    <x v="13"/>
    <x v="0"/>
    <x v="2"/>
    <x v="29"/>
    <x v="1"/>
    <n v="39.121425274393502"/>
    <x v="10"/>
    <x v="10"/>
  </r>
  <r>
    <x v="4"/>
    <x v="13"/>
    <x v="0"/>
    <x v="2"/>
    <x v="30"/>
    <x v="1"/>
    <n v="12.4059689526923"/>
    <x v="10"/>
    <x v="10"/>
  </r>
  <r>
    <x v="4"/>
    <x v="13"/>
    <x v="0"/>
    <x v="2"/>
    <x v="31"/>
    <x v="1"/>
    <n v="89.069502276710395"/>
    <x v="10"/>
    <x v="10"/>
  </r>
  <r>
    <x v="4"/>
    <x v="13"/>
    <x v="0"/>
    <x v="2"/>
    <x v="32"/>
    <x v="1"/>
    <n v="105.206863580128"/>
    <x v="10"/>
    <x v="10"/>
  </r>
  <r>
    <x v="4"/>
    <x v="13"/>
    <x v="0"/>
    <x v="2"/>
    <x v="33"/>
    <x v="1"/>
    <n v="80.192256434193496"/>
    <x v="10"/>
    <x v="10"/>
  </r>
  <r>
    <x v="4"/>
    <x v="13"/>
    <x v="0"/>
    <x v="2"/>
    <x v="34"/>
    <x v="1"/>
    <n v="40.808794251390502"/>
    <x v="10"/>
    <x v="10"/>
  </r>
  <r>
    <x v="4"/>
    <x v="13"/>
    <x v="0"/>
    <x v="2"/>
    <x v="35"/>
    <x v="1"/>
    <n v="10.2658409537685"/>
    <x v="10"/>
    <x v="10"/>
  </r>
  <r>
    <x v="4"/>
    <x v="13"/>
    <x v="0"/>
    <x v="3"/>
    <x v="49"/>
    <x v="1"/>
    <m/>
    <x v="10"/>
    <x v="10"/>
  </r>
  <r>
    <x v="4"/>
    <x v="13"/>
    <x v="0"/>
    <x v="3"/>
    <x v="36"/>
    <x v="1"/>
    <n v="93.9149286719435"/>
    <x v="10"/>
    <x v="10"/>
  </r>
  <r>
    <x v="4"/>
    <x v="13"/>
    <x v="0"/>
    <x v="3"/>
    <x v="37"/>
    <x v="1"/>
    <n v="115.363716358563"/>
    <x v="10"/>
    <x v="10"/>
  </r>
  <r>
    <x v="4"/>
    <x v="13"/>
    <x v="0"/>
    <x v="3"/>
    <x v="38"/>
    <x v="1"/>
    <n v="61.462664255436898"/>
    <x v="10"/>
    <x v="10"/>
  </r>
  <r>
    <x v="4"/>
    <x v="13"/>
    <x v="0"/>
    <x v="3"/>
    <x v="39"/>
    <x v="1"/>
    <n v="31.068986124852501"/>
    <x v="10"/>
    <x v="10"/>
  </r>
  <r>
    <x v="4"/>
    <x v="13"/>
    <x v="0"/>
    <x v="3"/>
    <x v="40"/>
    <x v="1"/>
    <n v="65.539543886570598"/>
    <x v="10"/>
    <x v="10"/>
  </r>
  <r>
    <x v="4"/>
    <x v="13"/>
    <x v="0"/>
    <x v="3"/>
    <x v="41"/>
    <x v="1"/>
    <n v="-13.096166885430099"/>
    <x v="10"/>
    <x v="10"/>
  </r>
  <r>
    <x v="4"/>
    <x v="13"/>
    <x v="0"/>
    <x v="3"/>
    <x v="42"/>
    <x v="1"/>
    <n v="-30.904965820210599"/>
    <x v="10"/>
    <x v="10"/>
  </r>
  <r>
    <x v="4"/>
    <x v="13"/>
    <x v="0"/>
    <x v="3"/>
    <x v="43"/>
    <x v="1"/>
    <n v="77.061318515214396"/>
    <x v="10"/>
    <x v="10"/>
  </r>
  <r>
    <x v="4"/>
    <x v="13"/>
    <x v="0"/>
    <x v="3"/>
    <x v="44"/>
    <x v="1"/>
    <n v="46.400174075656302"/>
    <x v="10"/>
    <x v="10"/>
  </r>
  <r>
    <x v="4"/>
    <x v="13"/>
    <x v="0"/>
    <x v="3"/>
    <x v="45"/>
    <x v="1"/>
    <n v="68.235788651912102"/>
    <x v="10"/>
    <x v="10"/>
  </r>
  <r>
    <x v="4"/>
    <x v="14"/>
    <x v="0"/>
    <x v="0"/>
    <x v="46"/>
    <x v="1"/>
    <m/>
    <x v="11"/>
    <x v="11"/>
  </r>
  <r>
    <x v="4"/>
    <x v="14"/>
    <x v="0"/>
    <x v="0"/>
    <x v="0"/>
    <x v="1"/>
    <n v="-67.432501899852994"/>
    <x v="11"/>
    <x v="11"/>
  </r>
  <r>
    <x v="4"/>
    <x v="14"/>
    <x v="0"/>
    <x v="0"/>
    <x v="1"/>
    <x v="1"/>
    <n v="1128.1419641422201"/>
    <x v="11"/>
    <x v="11"/>
  </r>
  <r>
    <x v="4"/>
    <x v="14"/>
    <x v="0"/>
    <x v="0"/>
    <x v="2"/>
    <x v="1"/>
    <m/>
    <x v="11"/>
    <x v="11"/>
  </r>
  <r>
    <x v="4"/>
    <x v="14"/>
    <x v="0"/>
    <x v="0"/>
    <x v="3"/>
    <x v="1"/>
    <n v="2.3125862932070002E-2"/>
    <x v="11"/>
    <x v="11"/>
  </r>
  <r>
    <x v="4"/>
    <x v="14"/>
    <x v="0"/>
    <x v="0"/>
    <x v="4"/>
    <x v="1"/>
    <n v="91.3854975622626"/>
    <x v="11"/>
    <x v="11"/>
  </r>
  <r>
    <x v="4"/>
    <x v="14"/>
    <x v="0"/>
    <x v="0"/>
    <x v="5"/>
    <x v="1"/>
    <m/>
    <x v="11"/>
    <x v="11"/>
  </r>
  <r>
    <x v="4"/>
    <x v="14"/>
    <x v="0"/>
    <x v="0"/>
    <x v="6"/>
    <x v="1"/>
    <m/>
    <x v="11"/>
    <x v="11"/>
  </r>
  <r>
    <x v="4"/>
    <x v="14"/>
    <x v="0"/>
    <x v="0"/>
    <x v="7"/>
    <x v="1"/>
    <n v="-1.5352312015924601"/>
    <x v="11"/>
    <x v="11"/>
  </r>
  <r>
    <x v="4"/>
    <x v="14"/>
    <x v="0"/>
    <x v="0"/>
    <x v="8"/>
    <x v="1"/>
    <n v="-34.436347933494197"/>
    <x v="11"/>
    <x v="11"/>
  </r>
  <r>
    <x v="4"/>
    <x v="14"/>
    <x v="0"/>
    <x v="0"/>
    <x v="9"/>
    <x v="1"/>
    <m/>
    <x v="11"/>
    <x v="11"/>
  </r>
  <r>
    <x v="4"/>
    <x v="14"/>
    <x v="0"/>
    <x v="0"/>
    <x v="10"/>
    <x v="1"/>
    <n v="3.20660062142331"/>
    <x v="11"/>
    <x v="11"/>
  </r>
  <r>
    <x v="4"/>
    <x v="14"/>
    <x v="0"/>
    <x v="0"/>
    <x v="11"/>
    <x v="1"/>
    <m/>
    <x v="11"/>
    <x v="11"/>
  </r>
  <r>
    <x v="4"/>
    <x v="14"/>
    <x v="0"/>
    <x v="1"/>
    <x v="47"/>
    <x v="1"/>
    <m/>
    <x v="11"/>
    <x v="11"/>
  </r>
  <r>
    <x v="4"/>
    <x v="14"/>
    <x v="0"/>
    <x v="1"/>
    <x v="12"/>
    <x v="1"/>
    <m/>
    <x v="11"/>
    <x v="11"/>
  </r>
  <r>
    <x v="4"/>
    <x v="14"/>
    <x v="0"/>
    <x v="1"/>
    <x v="13"/>
    <x v="1"/>
    <n v="31974.277101675401"/>
    <x v="11"/>
    <x v="11"/>
  </r>
  <r>
    <x v="4"/>
    <x v="14"/>
    <x v="0"/>
    <x v="1"/>
    <x v="14"/>
    <x v="1"/>
    <m/>
    <x v="11"/>
    <x v="11"/>
  </r>
  <r>
    <x v="4"/>
    <x v="14"/>
    <x v="0"/>
    <x v="1"/>
    <x v="15"/>
    <x v="1"/>
    <n v="-9138.4931115017898"/>
    <x v="11"/>
    <x v="11"/>
  </r>
  <r>
    <x v="4"/>
    <x v="14"/>
    <x v="0"/>
    <x v="1"/>
    <x v="16"/>
    <x v="1"/>
    <n v="-53432.079150594298"/>
    <x v="11"/>
    <x v="11"/>
  </r>
  <r>
    <x v="4"/>
    <x v="14"/>
    <x v="0"/>
    <x v="1"/>
    <x v="17"/>
    <x v="1"/>
    <m/>
    <x v="11"/>
    <x v="11"/>
  </r>
  <r>
    <x v="4"/>
    <x v="14"/>
    <x v="0"/>
    <x v="1"/>
    <x v="18"/>
    <x v="1"/>
    <n v="-17460.279993387601"/>
    <x v="11"/>
    <x v="11"/>
  </r>
  <r>
    <x v="4"/>
    <x v="14"/>
    <x v="0"/>
    <x v="1"/>
    <x v="19"/>
    <x v="1"/>
    <n v="-70890.922058990996"/>
    <x v="11"/>
    <x v="11"/>
  </r>
  <r>
    <x v="4"/>
    <x v="14"/>
    <x v="0"/>
    <x v="1"/>
    <x v="20"/>
    <x v="1"/>
    <m/>
    <x v="11"/>
    <x v="11"/>
  </r>
  <r>
    <x v="4"/>
    <x v="14"/>
    <x v="0"/>
    <x v="1"/>
    <x v="21"/>
    <x v="1"/>
    <m/>
    <x v="11"/>
    <x v="11"/>
  </r>
  <r>
    <x v="4"/>
    <x v="14"/>
    <x v="0"/>
    <x v="1"/>
    <x v="22"/>
    <x v="1"/>
    <m/>
    <x v="11"/>
    <x v="11"/>
  </r>
  <r>
    <x v="4"/>
    <x v="14"/>
    <x v="0"/>
    <x v="1"/>
    <x v="23"/>
    <x v="1"/>
    <m/>
    <x v="11"/>
    <x v="11"/>
  </r>
  <r>
    <x v="4"/>
    <x v="14"/>
    <x v="0"/>
    <x v="2"/>
    <x v="48"/>
    <x v="1"/>
    <m/>
    <x v="11"/>
    <x v="11"/>
  </r>
  <r>
    <x v="4"/>
    <x v="14"/>
    <x v="0"/>
    <x v="2"/>
    <x v="24"/>
    <x v="1"/>
    <m/>
    <x v="11"/>
    <x v="11"/>
  </r>
  <r>
    <x v="4"/>
    <x v="14"/>
    <x v="0"/>
    <x v="2"/>
    <x v="25"/>
    <x v="1"/>
    <m/>
    <x v="11"/>
    <x v="11"/>
  </r>
  <r>
    <x v="4"/>
    <x v="14"/>
    <x v="0"/>
    <x v="2"/>
    <x v="26"/>
    <x v="1"/>
    <n v="61.383071401558297"/>
    <x v="11"/>
    <x v="11"/>
  </r>
  <r>
    <x v="4"/>
    <x v="14"/>
    <x v="0"/>
    <x v="2"/>
    <x v="27"/>
    <x v="1"/>
    <n v="30.779432797828001"/>
    <x v="11"/>
    <x v="11"/>
  </r>
  <r>
    <x v="4"/>
    <x v="14"/>
    <x v="0"/>
    <x v="2"/>
    <x v="28"/>
    <x v="1"/>
    <n v="0.35728336768979402"/>
    <x v="11"/>
    <x v="11"/>
  </r>
  <r>
    <x v="4"/>
    <x v="14"/>
    <x v="0"/>
    <x v="2"/>
    <x v="29"/>
    <x v="1"/>
    <n v="20.4398933771859"/>
    <x v="11"/>
    <x v="11"/>
  </r>
  <r>
    <x v="4"/>
    <x v="14"/>
    <x v="0"/>
    <x v="2"/>
    <x v="30"/>
    <x v="1"/>
    <n v="4.5747580671677497"/>
    <x v="11"/>
    <x v="11"/>
  </r>
  <r>
    <x v="4"/>
    <x v="14"/>
    <x v="0"/>
    <x v="2"/>
    <x v="31"/>
    <x v="1"/>
    <n v="29.993773314142999"/>
    <x v="11"/>
    <x v="11"/>
  </r>
  <r>
    <x v="4"/>
    <x v="14"/>
    <x v="0"/>
    <x v="2"/>
    <x v="32"/>
    <x v="1"/>
    <n v="1.07042715160123"/>
    <x v="11"/>
    <x v="11"/>
  </r>
  <r>
    <x v="4"/>
    <x v="14"/>
    <x v="0"/>
    <x v="2"/>
    <x v="33"/>
    <x v="1"/>
    <n v="34.324637309175301"/>
    <x v="11"/>
    <x v="11"/>
  </r>
  <r>
    <x v="4"/>
    <x v="14"/>
    <x v="0"/>
    <x v="2"/>
    <x v="34"/>
    <x v="1"/>
    <n v="3.8585302979760598"/>
    <x v="11"/>
    <x v="11"/>
  </r>
  <r>
    <x v="4"/>
    <x v="14"/>
    <x v="0"/>
    <x v="2"/>
    <x v="35"/>
    <x v="1"/>
    <m/>
    <x v="11"/>
    <x v="11"/>
  </r>
  <r>
    <x v="4"/>
    <x v="14"/>
    <x v="0"/>
    <x v="3"/>
    <x v="49"/>
    <x v="1"/>
    <m/>
    <x v="11"/>
    <x v="11"/>
  </r>
  <r>
    <x v="4"/>
    <x v="14"/>
    <x v="0"/>
    <x v="3"/>
    <x v="36"/>
    <x v="1"/>
    <m/>
    <x v="11"/>
    <x v="11"/>
  </r>
  <r>
    <x v="4"/>
    <x v="14"/>
    <x v="0"/>
    <x v="3"/>
    <x v="37"/>
    <x v="1"/>
    <n v="-75891.421683244494"/>
    <x v="11"/>
    <x v="11"/>
  </r>
  <r>
    <x v="4"/>
    <x v="14"/>
    <x v="0"/>
    <x v="3"/>
    <x v="38"/>
    <x v="1"/>
    <n v="-346916.60651035799"/>
    <x v="11"/>
    <x v="11"/>
  </r>
  <r>
    <x v="4"/>
    <x v="14"/>
    <x v="0"/>
    <x v="3"/>
    <x v="39"/>
    <x v="1"/>
    <n v="-85449.492390284096"/>
    <x v="11"/>
    <x v="11"/>
  </r>
  <r>
    <x v="4"/>
    <x v="14"/>
    <x v="0"/>
    <x v="3"/>
    <x v="40"/>
    <x v="1"/>
    <n v="43242.597299502697"/>
    <x v="11"/>
    <x v="11"/>
  </r>
  <r>
    <x v="4"/>
    <x v="14"/>
    <x v="0"/>
    <x v="3"/>
    <x v="41"/>
    <x v="1"/>
    <n v="63.278853623692697"/>
    <x v="11"/>
    <x v="11"/>
  </r>
  <r>
    <x v="4"/>
    <x v="14"/>
    <x v="0"/>
    <x v="3"/>
    <x v="42"/>
    <x v="1"/>
    <n v="32.872403638978"/>
    <x v="11"/>
    <x v="11"/>
  </r>
  <r>
    <x v="4"/>
    <x v="14"/>
    <x v="0"/>
    <x v="3"/>
    <x v="43"/>
    <x v="1"/>
    <n v="2.4319817820213898"/>
    <x v="11"/>
    <x v="11"/>
  </r>
  <r>
    <x v="4"/>
    <x v="14"/>
    <x v="0"/>
    <x v="3"/>
    <x v="44"/>
    <x v="1"/>
    <n v="5.6803502266173203"/>
    <x v="11"/>
    <x v="11"/>
  </r>
  <r>
    <x v="4"/>
    <x v="14"/>
    <x v="0"/>
    <x v="3"/>
    <x v="45"/>
    <x v="1"/>
    <m/>
    <x v="11"/>
    <x v="11"/>
  </r>
  <r>
    <x v="4"/>
    <x v="15"/>
    <x v="0"/>
    <x v="0"/>
    <x v="46"/>
    <x v="1"/>
    <m/>
    <x v="12"/>
    <x v="12"/>
  </r>
  <r>
    <x v="4"/>
    <x v="15"/>
    <x v="0"/>
    <x v="0"/>
    <x v="0"/>
    <x v="1"/>
    <n v="55.440271245534802"/>
    <x v="12"/>
    <x v="12"/>
  </r>
  <r>
    <x v="4"/>
    <x v="15"/>
    <x v="0"/>
    <x v="0"/>
    <x v="1"/>
    <x v="1"/>
    <n v="53.474658354091403"/>
    <x v="12"/>
    <x v="12"/>
  </r>
  <r>
    <x v="4"/>
    <x v="15"/>
    <x v="0"/>
    <x v="0"/>
    <x v="2"/>
    <x v="1"/>
    <n v="43.952037578352503"/>
    <x v="12"/>
    <x v="12"/>
  </r>
  <r>
    <x v="4"/>
    <x v="15"/>
    <x v="0"/>
    <x v="0"/>
    <x v="3"/>
    <x v="1"/>
    <n v="53.012445382964202"/>
    <x v="12"/>
    <x v="12"/>
  </r>
  <r>
    <x v="4"/>
    <x v="15"/>
    <x v="0"/>
    <x v="0"/>
    <x v="4"/>
    <x v="1"/>
    <n v="64.844696786106795"/>
    <x v="12"/>
    <x v="12"/>
  </r>
  <r>
    <x v="4"/>
    <x v="15"/>
    <x v="0"/>
    <x v="0"/>
    <x v="5"/>
    <x v="1"/>
    <n v="48.955287239643603"/>
    <x v="12"/>
    <x v="12"/>
  </r>
  <r>
    <x v="4"/>
    <x v="15"/>
    <x v="0"/>
    <x v="0"/>
    <x v="6"/>
    <x v="1"/>
    <n v="52.861549686656801"/>
    <x v="12"/>
    <x v="12"/>
  </r>
  <r>
    <x v="4"/>
    <x v="15"/>
    <x v="0"/>
    <x v="0"/>
    <x v="7"/>
    <x v="1"/>
    <n v="44.039311560662398"/>
    <x v="12"/>
    <x v="12"/>
  </r>
  <r>
    <x v="4"/>
    <x v="15"/>
    <x v="0"/>
    <x v="0"/>
    <x v="8"/>
    <x v="1"/>
    <n v="38.804807154641203"/>
    <x v="12"/>
    <x v="12"/>
  </r>
  <r>
    <x v="4"/>
    <x v="15"/>
    <x v="0"/>
    <x v="0"/>
    <x v="9"/>
    <x v="1"/>
    <n v="45.1155451138685"/>
    <x v="12"/>
    <x v="12"/>
  </r>
  <r>
    <x v="4"/>
    <x v="15"/>
    <x v="0"/>
    <x v="0"/>
    <x v="10"/>
    <x v="1"/>
    <n v="55.320094546721499"/>
    <x v="12"/>
    <x v="12"/>
  </r>
  <r>
    <x v="4"/>
    <x v="15"/>
    <x v="0"/>
    <x v="0"/>
    <x v="11"/>
    <x v="1"/>
    <n v="48.533716581438398"/>
    <x v="12"/>
    <x v="12"/>
  </r>
  <r>
    <x v="4"/>
    <x v="15"/>
    <x v="0"/>
    <x v="1"/>
    <x v="47"/>
    <x v="1"/>
    <m/>
    <x v="12"/>
    <x v="12"/>
  </r>
  <r>
    <x v="4"/>
    <x v="15"/>
    <x v="0"/>
    <x v="1"/>
    <x v="12"/>
    <x v="1"/>
    <n v="39.148506197261199"/>
    <x v="12"/>
    <x v="12"/>
  </r>
  <r>
    <x v="4"/>
    <x v="15"/>
    <x v="0"/>
    <x v="1"/>
    <x v="13"/>
    <x v="1"/>
    <n v="36.501477414270099"/>
    <x v="12"/>
    <x v="12"/>
  </r>
  <r>
    <x v="4"/>
    <x v="15"/>
    <x v="0"/>
    <x v="1"/>
    <x v="14"/>
    <x v="1"/>
    <n v="40.722938553636503"/>
    <x v="12"/>
    <x v="12"/>
  </r>
  <r>
    <x v="4"/>
    <x v="15"/>
    <x v="0"/>
    <x v="1"/>
    <x v="15"/>
    <x v="1"/>
    <n v="48.789136888312399"/>
    <x v="12"/>
    <x v="12"/>
  </r>
  <r>
    <x v="4"/>
    <x v="15"/>
    <x v="0"/>
    <x v="1"/>
    <x v="16"/>
    <x v="1"/>
    <n v="55.993659789259098"/>
    <x v="12"/>
    <x v="12"/>
  </r>
  <r>
    <x v="4"/>
    <x v="15"/>
    <x v="0"/>
    <x v="1"/>
    <x v="17"/>
    <x v="1"/>
    <n v="55.723733711786203"/>
    <x v="12"/>
    <x v="12"/>
  </r>
  <r>
    <x v="4"/>
    <x v="15"/>
    <x v="0"/>
    <x v="1"/>
    <x v="18"/>
    <x v="1"/>
    <n v="50.372854365067496"/>
    <x v="12"/>
    <x v="12"/>
  </r>
  <r>
    <x v="4"/>
    <x v="15"/>
    <x v="0"/>
    <x v="1"/>
    <x v="19"/>
    <x v="1"/>
    <n v="42.667444711281398"/>
    <x v="12"/>
    <x v="12"/>
  </r>
  <r>
    <x v="4"/>
    <x v="15"/>
    <x v="0"/>
    <x v="1"/>
    <x v="20"/>
    <x v="1"/>
    <n v="35.752169434265198"/>
    <x v="12"/>
    <x v="12"/>
  </r>
  <r>
    <x v="4"/>
    <x v="15"/>
    <x v="0"/>
    <x v="1"/>
    <x v="21"/>
    <x v="1"/>
    <n v="46.235259744669797"/>
    <x v="12"/>
    <x v="12"/>
  </r>
  <r>
    <x v="4"/>
    <x v="15"/>
    <x v="0"/>
    <x v="1"/>
    <x v="22"/>
    <x v="1"/>
    <n v="54.918467445849103"/>
    <x v="12"/>
    <x v="12"/>
  </r>
  <r>
    <x v="4"/>
    <x v="15"/>
    <x v="0"/>
    <x v="1"/>
    <x v="23"/>
    <x v="1"/>
    <n v="48.678242046072398"/>
    <x v="12"/>
    <x v="12"/>
  </r>
  <r>
    <x v="4"/>
    <x v="15"/>
    <x v="0"/>
    <x v="2"/>
    <x v="48"/>
    <x v="1"/>
    <m/>
    <x v="12"/>
    <x v="12"/>
  </r>
  <r>
    <x v="4"/>
    <x v="15"/>
    <x v="0"/>
    <x v="2"/>
    <x v="24"/>
    <x v="1"/>
    <n v="38.551987338413603"/>
    <x v="12"/>
    <x v="12"/>
  </r>
  <r>
    <x v="4"/>
    <x v="15"/>
    <x v="0"/>
    <x v="2"/>
    <x v="25"/>
    <x v="1"/>
    <n v="40.1360794226282"/>
    <x v="12"/>
    <x v="12"/>
  </r>
  <r>
    <x v="4"/>
    <x v="15"/>
    <x v="0"/>
    <x v="2"/>
    <x v="26"/>
    <x v="1"/>
    <n v="38.269480779507603"/>
    <x v="12"/>
    <x v="12"/>
  </r>
  <r>
    <x v="4"/>
    <x v="15"/>
    <x v="0"/>
    <x v="2"/>
    <x v="27"/>
    <x v="1"/>
    <n v="50.039655488082701"/>
    <x v="12"/>
    <x v="12"/>
  </r>
  <r>
    <x v="4"/>
    <x v="15"/>
    <x v="0"/>
    <x v="2"/>
    <x v="28"/>
    <x v="1"/>
    <n v="57.457093788679103"/>
    <x v="12"/>
    <x v="12"/>
  </r>
  <r>
    <x v="4"/>
    <x v="15"/>
    <x v="0"/>
    <x v="2"/>
    <x v="29"/>
    <x v="1"/>
    <n v="52.782305661578398"/>
    <x v="12"/>
    <x v="12"/>
  </r>
  <r>
    <x v="4"/>
    <x v="15"/>
    <x v="0"/>
    <x v="2"/>
    <x v="30"/>
    <x v="1"/>
    <n v="52.7010342377963"/>
    <x v="12"/>
    <x v="12"/>
  </r>
  <r>
    <x v="4"/>
    <x v="15"/>
    <x v="0"/>
    <x v="2"/>
    <x v="31"/>
    <x v="1"/>
    <n v="49.716960366957998"/>
    <x v="12"/>
    <x v="12"/>
  </r>
  <r>
    <x v="4"/>
    <x v="15"/>
    <x v="0"/>
    <x v="2"/>
    <x v="32"/>
    <x v="1"/>
    <n v="52.988660193944902"/>
    <x v="12"/>
    <x v="12"/>
  </r>
  <r>
    <x v="4"/>
    <x v="15"/>
    <x v="0"/>
    <x v="2"/>
    <x v="33"/>
    <x v="1"/>
    <n v="60.467345282425697"/>
    <x v="12"/>
    <x v="12"/>
  </r>
  <r>
    <x v="4"/>
    <x v="15"/>
    <x v="0"/>
    <x v="2"/>
    <x v="34"/>
    <x v="1"/>
    <n v="56.987632111701302"/>
    <x v="12"/>
    <x v="12"/>
  </r>
  <r>
    <x v="4"/>
    <x v="15"/>
    <x v="0"/>
    <x v="2"/>
    <x v="35"/>
    <x v="1"/>
    <n v="50.269624858763898"/>
    <x v="12"/>
    <x v="12"/>
  </r>
  <r>
    <x v="4"/>
    <x v="15"/>
    <x v="0"/>
    <x v="3"/>
    <x v="49"/>
    <x v="1"/>
    <m/>
    <x v="12"/>
    <x v="12"/>
  </r>
  <r>
    <x v="4"/>
    <x v="15"/>
    <x v="0"/>
    <x v="3"/>
    <x v="36"/>
    <x v="1"/>
    <n v="52.686209122406503"/>
    <x v="12"/>
    <x v="12"/>
  </r>
  <r>
    <x v="4"/>
    <x v="15"/>
    <x v="0"/>
    <x v="3"/>
    <x v="37"/>
    <x v="1"/>
    <n v="46.637074775123097"/>
    <x v="12"/>
    <x v="12"/>
  </r>
  <r>
    <x v="4"/>
    <x v="15"/>
    <x v="0"/>
    <x v="3"/>
    <x v="38"/>
    <x v="1"/>
    <n v="47.190627610862698"/>
    <x v="12"/>
    <x v="12"/>
  </r>
  <r>
    <x v="4"/>
    <x v="15"/>
    <x v="0"/>
    <x v="3"/>
    <x v="39"/>
    <x v="1"/>
    <n v="57.302027226870997"/>
    <x v="12"/>
    <x v="12"/>
  </r>
  <r>
    <x v="4"/>
    <x v="15"/>
    <x v="0"/>
    <x v="3"/>
    <x v="40"/>
    <x v="1"/>
    <n v="73.720090742630404"/>
    <x v="12"/>
    <x v="12"/>
  </r>
  <r>
    <x v="4"/>
    <x v="15"/>
    <x v="0"/>
    <x v="3"/>
    <x v="41"/>
    <x v="1"/>
    <n v="63.408943122222901"/>
    <x v="12"/>
    <x v="12"/>
  </r>
  <r>
    <x v="4"/>
    <x v="15"/>
    <x v="0"/>
    <x v="3"/>
    <x v="42"/>
    <x v="1"/>
    <n v="49.216604345389101"/>
    <x v="12"/>
    <x v="12"/>
  </r>
  <r>
    <x v="4"/>
    <x v="15"/>
    <x v="0"/>
    <x v="3"/>
    <x v="43"/>
    <x v="1"/>
    <n v="49.6161745286756"/>
    <x v="12"/>
    <x v="12"/>
  </r>
  <r>
    <x v="4"/>
    <x v="15"/>
    <x v="0"/>
    <x v="3"/>
    <x v="44"/>
    <x v="1"/>
    <n v="40.890218153349203"/>
    <x v="12"/>
    <x v="12"/>
  </r>
  <r>
    <x v="4"/>
    <x v="15"/>
    <x v="0"/>
    <x v="3"/>
    <x v="45"/>
    <x v="1"/>
    <n v="42.687892391564098"/>
    <x v="12"/>
    <x v="12"/>
  </r>
  <r>
    <x v="4"/>
    <x v="16"/>
    <x v="0"/>
    <x v="0"/>
    <x v="46"/>
    <x v="1"/>
    <m/>
    <x v="13"/>
    <x v="13"/>
  </r>
  <r>
    <x v="4"/>
    <x v="16"/>
    <x v="0"/>
    <x v="0"/>
    <x v="0"/>
    <x v="1"/>
    <n v="95.754265132711893"/>
    <x v="13"/>
    <x v="13"/>
  </r>
  <r>
    <x v="4"/>
    <x v="16"/>
    <x v="0"/>
    <x v="0"/>
    <x v="1"/>
    <x v="1"/>
    <n v="110.786260551327"/>
    <x v="13"/>
    <x v="13"/>
  </r>
  <r>
    <x v="4"/>
    <x v="16"/>
    <x v="0"/>
    <x v="0"/>
    <x v="2"/>
    <x v="1"/>
    <n v="-178.80157995357399"/>
    <x v="13"/>
    <x v="13"/>
  </r>
  <r>
    <x v="4"/>
    <x v="16"/>
    <x v="0"/>
    <x v="0"/>
    <x v="3"/>
    <x v="1"/>
    <n v="-214.512900672016"/>
    <x v="13"/>
    <x v="13"/>
  </r>
  <r>
    <x v="4"/>
    <x v="16"/>
    <x v="0"/>
    <x v="0"/>
    <x v="4"/>
    <x v="1"/>
    <n v="-93.524410120526696"/>
    <x v="13"/>
    <x v="13"/>
  </r>
  <r>
    <x v="4"/>
    <x v="16"/>
    <x v="0"/>
    <x v="0"/>
    <x v="5"/>
    <x v="1"/>
    <n v="-154.105934100779"/>
    <x v="13"/>
    <x v="13"/>
  </r>
  <r>
    <x v="4"/>
    <x v="16"/>
    <x v="0"/>
    <x v="0"/>
    <x v="6"/>
    <x v="1"/>
    <n v="-170.38772791893101"/>
    <x v="13"/>
    <x v="13"/>
  </r>
  <r>
    <x v="4"/>
    <x v="16"/>
    <x v="0"/>
    <x v="0"/>
    <x v="7"/>
    <x v="1"/>
    <n v="-252.801094644529"/>
    <x v="13"/>
    <x v="13"/>
  </r>
  <r>
    <x v="4"/>
    <x v="16"/>
    <x v="0"/>
    <x v="0"/>
    <x v="8"/>
    <x v="1"/>
    <n v="-50.377848841322198"/>
    <x v="13"/>
    <x v="13"/>
  </r>
  <r>
    <x v="4"/>
    <x v="16"/>
    <x v="0"/>
    <x v="0"/>
    <x v="9"/>
    <x v="1"/>
    <n v="-129.488714372819"/>
    <x v="13"/>
    <x v="13"/>
  </r>
  <r>
    <x v="4"/>
    <x v="16"/>
    <x v="0"/>
    <x v="0"/>
    <x v="10"/>
    <x v="1"/>
    <n v="-230.54102066522799"/>
    <x v="13"/>
    <x v="13"/>
  </r>
  <r>
    <x v="4"/>
    <x v="16"/>
    <x v="0"/>
    <x v="0"/>
    <x v="11"/>
    <x v="1"/>
    <n v="-208.34124302691799"/>
    <x v="13"/>
    <x v="13"/>
  </r>
  <r>
    <x v="4"/>
    <x v="16"/>
    <x v="0"/>
    <x v="1"/>
    <x v="47"/>
    <x v="1"/>
    <m/>
    <x v="13"/>
    <x v="13"/>
  </r>
  <r>
    <x v="4"/>
    <x v="16"/>
    <x v="0"/>
    <x v="1"/>
    <x v="12"/>
    <x v="1"/>
    <n v="-17.254449935008601"/>
    <x v="13"/>
    <x v="13"/>
  </r>
  <r>
    <x v="4"/>
    <x v="16"/>
    <x v="0"/>
    <x v="1"/>
    <x v="13"/>
    <x v="1"/>
    <n v="-25.052978052868902"/>
    <x v="13"/>
    <x v="13"/>
  </r>
  <r>
    <x v="4"/>
    <x v="16"/>
    <x v="0"/>
    <x v="1"/>
    <x v="14"/>
    <x v="1"/>
    <n v="-25.8455441976371"/>
    <x v="13"/>
    <x v="13"/>
  </r>
  <r>
    <x v="4"/>
    <x v="16"/>
    <x v="0"/>
    <x v="1"/>
    <x v="15"/>
    <x v="1"/>
    <n v="-103.934452425834"/>
    <x v="13"/>
    <x v="13"/>
  </r>
  <r>
    <x v="4"/>
    <x v="16"/>
    <x v="0"/>
    <x v="1"/>
    <x v="16"/>
    <x v="1"/>
    <n v="-456.03716604377701"/>
    <x v="13"/>
    <x v="13"/>
  </r>
  <r>
    <x v="4"/>
    <x v="16"/>
    <x v="0"/>
    <x v="1"/>
    <x v="17"/>
    <x v="1"/>
    <n v="-519.78110622241604"/>
    <x v="13"/>
    <x v="13"/>
  </r>
  <r>
    <x v="4"/>
    <x v="16"/>
    <x v="0"/>
    <x v="1"/>
    <x v="18"/>
    <x v="1"/>
    <n v="-363.21565972619101"/>
    <x v="13"/>
    <x v="13"/>
  </r>
  <r>
    <x v="4"/>
    <x v="16"/>
    <x v="0"/>
    <x v="1"/>
    <x v="19"/>
    <x v="1"/>
    <n v="-1508.29249421902"/>
    <x v="13"/>
    <x v="13"/>
  </r>
  <r>
    <x v="4"/>
    <x v="16"/>
    <x v="0"/>
    <x v="1"/>
    <x v="20"/>
    <x v="1"/>
    <n v="-1702.6476676791201"/>
    <x v="13"/>
    <x v="13"/>
  </r>
  <r>
    <x v="4"/>
    <x v="16"/>
    <x v="0"/>
    <x v="1"/>
    <x v="21"/>
    <x v="1"/>
    <n v="2627.52805373295"/>
    <x v="13"/>
    <x v="13"/>
  </r>
  <r>
    <x v="4"/>
    <x v="16"/>
    <x v="0"/>
    <x v="1"/>
    <x v="22"/>
    <x v="1"/>
    <n v="22836.772530907001"/>
    <x v="13"/>
    <x v="13"/>
  </r>
  <r>
    <x v="4"/>
    <x v="16"/>
    <x v="0"/>
    <x v="1"/>
    <x v="23"/>
    <x v="1"/>
    <n v="-107083.988436969"/>
    <x v="13"/>
    <x v="13"/>
  </r>
  <r>
    <x v="4"/>
    <x v="16"/>
    <x v="0"/>
    <x v="2"/>
    <x v="48"/>
    <x v="1"/>
    <m/>
    <x v="13"/>
    <x v="13"/>
  </r>
  <r>
    <x v="4"/>
    <x v="16"/>
    <x v="0"/>
    <x v="2"/>
    <x v="24"/>
    <x v="1"/>
    <n v="109095.68444532499"/>
    <x v="13"/>
    <x v="13"/>
  </r>
  <r>
    <x v="4"/>
    <x v="16"/>
    <x v="0"/>
    <x v="2"/>
    <x v="25"/>
    <x v="1"/>
    <n v="-69395.890003060296"/>
    <x v="13"/>
    <x v="13"/>
  </r>
  <r>
    <x v="4"/>
    <x v="16"/>
    <x v="0"/>
    <x v="2"/>
    <x v="26"/>
    <x v="1"/>
    <n v="-207079.87944769999"/>
    <x v="13"/>
    <x v="13"/>
  </r>
  <r>
    <x v="4"/>
    <x v="16"/>
    <x v="0"/>
    <x v="2"/>
    <x v="27"/>
    <x v="1"/>
    <n v="608.02952159478696"/>
    <x v="13"/>
    <x v="13"/>
  </r>
  <r>
    <x v="4"/>
    <x v="16"/>
    <x v="0"/>
    <x v="2"/>
    <x v="28"/>
    <x v="1"/>
    <n v="605.38842081569805"/>
    <x v="13"/>
    <x v="13"/>
  </r>
  <r>
    <x v="4"/>
    <x v="16"/>
    <x v="0"/>
    <x v="2"/>
    <x v="29"/>
    <x v="1"/>
    <n v="616.67023151339595"/>
    <x v="13"/>
    <x v="13"/>
  </r>
  <r>
    <x v="4"/>
    <x v="16"/>
    <x v="0"/>
    <x v="2"/>
    <x v="30"/>
    <x v="1"/>
    <n v="-72483.926979573196"/>
    <x v="13"/>
    <x v="13"/>
  </r>
  <r>
    <x v="4"/>
    <x v="16"/>
    <x v="0"/>
    <x v="2"/>
    <x v="31"/>
    <x v="1"/>
    <n v="49925.911853366"/>
    <x v="13"/>
    <x v="13"/>
  </r>
  <r>
    <x v="4"/>
    <x v="16"/>
    <x v="0"/>
    <x v="2"/>
    <x v="32"/>
    <x v="1"/>
    <n v="3725047.0193934902"/>
    <x v="13"/>
    <x v="13"/>
  </r>
  <r>
    <x v="4"/>
    <x v="16"/>
    <x v="0"/>
    <x v="2"/>
    <x v="33"/>
    <x v="1"/>
    <n v="3677395.4221531302"/>
    <x v="13"/>
    <x v="13"/>
  </r>
  <r>
    <x v="4"/>
    <x v="16"/>
    <x v="0"/>
    <x v="2"/>
    <x v="34"/>
    <x v="1"/>
    <n v="-17723.654269855"/>
    <x v="13"/>
    <x v="13"/>
  </r>
  <r>
    <x v="4"/>
    <x v="16"/>
    <x v="0"/>
    <x v="2"/>
    <x v="35"/>
    <x v="1"/>
    <m/>
    <x v="13"/>
    <x v="13"/>
  </r>
  <r>
    <x v="4"/>
    <x v="16"/>
    <x v="0"/>
    <x v="3"/>
    <x v="49"/>
    <x v="1"/>
    <m/>
    <x v="13"/>
    <x v="13"/>
  </r>
  <r>
    <x v="4"/>
    <x v="16"/>
    <x v="0"/>
    <x v="3"/>
    <x v="36"/>
    <x v="1"/>
    <m/>
    <x v="13"/>
    <x v="13"/>
  </r>
  <r>
    <x v="4"/>
    <x v="16"/>
    <x v="0"/>
    <x v="3"/>
    <x v="37"/>
    <x v="1"/>
    <m/>
    <x v="13"/>
    <x v="13"/>
  </r>
  <r>
    <x v="4"/>
    <x v="16"/>
    <x v="0"/>
    <x v="3"/>
    <x v="38"/>
    <x v="1"/>
    <m/>
    <x v="13"/>
    <x v="13"/>
  </r>
  <r>
    <x v="4"/>
    <x v="16"/>
    <x v="0"/>
    <x v="3"/>
    <x v="39"/>
    <x v="1"/>
    <m/>
    <x v="13"/>
    <x v="13"/>
  </r>
  <r>
    <x v="4"/>
    <x v="16"/>
    <x v="0"/>
    <x v="3"/>
    <x v="40"/>
    <x v="1"/>
    <m/>
    <x v="13"/>
    <x v="13"/>
  </r>
  <r>
    <x v="4"/>
    <x v="16"/>
    <x v="0"/>
    <x v="3"/>
    <x v="41"/>
    <x v="1"/>
    <m/>
    <x v="13"/>
    <x v="13"/>
  </r>
  <r>
    <x v="4"/>
    <x v="16"/>
    <x v="0"/>
    <x v="3"/>
    <x v="42"/>
    <x v="1"/>
    <n v="46.461525651746101"/>
    <x v="13"/>
    <x v="13"/>
  </r>
  <r>
    <x v="4"/>
    <x v="16"/>
    <x v="0"/>
    <x v="3"/>
    <x v="43"/>
    <x v="1"/>
    <n v="182.37073996631599"/>
    <x v="13"/>
    <x v="13"/>
  </r>
  <r>
    <x v="4"/>
    <x v="16"/>
    <x v="0"/>
    <x v="3"/>
    <x v="44"/>
    <x v="1"/>
    <n v="179.320647109731"/>
    <x v="13"/>
    <x v="13"/>
  </r>
  <r>
    <x v="4"/>
    <x v="16"/>
    <x v="0"/>
    <x v="3"/>
    <x v="45"/>
    <x v="1"/>
    <n v="-61.243159261216398"/>
    <x v="13"/>
    <x v="13"/>
  </r>
  <r>
    <x v="5"/>
    <x v="4"/>
    <x v="0"/>
    <x v="2"/>
    <x v="24"/>
    <x v="7"/>
    <n v="29011.299893810199"/>
    <x v="1"/>
    <x v="1"/>
  </r>
  <r>
    <x v="5"/>
    <x v="4"/>
    <x v="0"/>
    <x v="2"/>
    <x v="25"/>
    <x v="7"/>
    <n v="137120.967747307"/>
    <x v="1"/>
    <x v="1"/>
  </r>
  <r>
    <x v="5"/>
    <x v="4"/>
    <x v="0"/>
    <x v="2"/>
    <x v="26"/>
    <x v="7"/>
    <n v="67759.544054640704"/>
    <x v="1"/>
    <x v="1"/>
  </r>
  <r>
    <x v="5"/>
    <x v="4"/>
    <x v="0"/>
    <x v="2"/>
    <x v="27"/>
    <x v="7"/>
    <n v="31159.944213434101"/>
    <x v="1"/>
    <x v="1"/>
  </r>
  <r>
    <x v="5"/>
    <x v="4"/>
    <x v="0"/>
    <x v="2"/>
    <x v="28"/>
    <x v="7"/>
    <n v="6103.66549099452"/>
    <x v="1"/>
    <x v="1"/>
  </r>
  <r>
    <x v="5"/>
    <x v="4"/>
    <x v="0"/>
    <x v="2"/>
    <x v="29"/>
    <x v="7"/>
    <n v="18286.895774447901"/>
    <x v="1"/>
    <x v="1"/>
  </r>
  <r>
    <x v="5"/>
    <x v="4"/>
    <x v="0"/>
    <x v="2"/>
    <x v="30"/>
    <x v="7"/>
    <n v="5666.0466970614098"/>
    <x v="1"/>
    <x v="1"/>
  </r>
  <r>
    <x v="5"/>
    <x v="4"/>
    <x v="0"/>
    <x v="2"/>
    <x v="31"/>
    <x v="7"/>
    <n v="431.98103601026003"/>
    <x v="1"/>
    <x v="1"/>
  </r>
  <r>
    <x v="5"/>
    <x v="4"/>
    <x v="0"/>
    <x v="2"/>
    <x v="32"/>
    <x v="7"/>
    <n v="43234.149383875898"/>
    <x v="1"/>
    <x v="1"/>
  </r>
  <r>
    <x v="5"/>
    <x v="4"/>
    <x v="0"/>
    <x v="2"/>
    <x v="33"/>
    <x v="7"/>
    <n v="29441.4612412713"/>
    <x v="1"/>
    <x v="1"/>
  </r>
  <r>
    <x v="5"/>
    <x v="4"/>
    <x v="0"/>
    <x v="2"/>
    <x v="34"/>
    <x v="7"/>
    <n v="38548.451194078603"/>
    <x v="1"/>
    <x v="1"/>
  </r>
  <r>
    <x v="5"/>
    <x v="4"/>
    <x v="0"/>
    <x v="2"/>
    <x v="35"/>
    <x v="7"/>
    <n v="41742.081443868301"/>
    <x v="1"/>
    <x v="1"/>
  </r>
  <r>
    <x v="5"/>
    <x v="4"/>
    <x v="0"/>
    <x v="3"/>
    <x v="36"/>
    <x v="7"/>
    <n v="58074.528142830903"/>
    <x v="1"/>
    <x v="1"/>
  </r>
  <r>
    <x v="5"/>
    <x v="4"/>
    <x v="0"/>
    <x v="3"/>
    <x v="37"/>
    <x v="7"/>
    <n v="131531.616606714"/>
    <x v="1"/>
    <x v="1"/>
  </r>
  <r>
    <x v="5"/>
    <x v="4"/>
    <x v="0"/>
    <x v="3"/>
    <x v="38"/>
    <x v="7"/>
    <n v="135027.010237104"/>
    <x v="1"/>
    <x v="1"/>
  </r>
  <r>
    <x v="5"/>
    <x v="4"/>
    <x v="0"/>
    <x v="3"/>
    <x v="39"/>
    <x v="7"/>
    <n v="189328.405611366"/>
    <x v="1"/>
    <x v="1"/>
  </r>
  <r>
    <x v="5"/>
    <x v="4"/>
    <x v="0"/>
    <x v="3"/>
    <x v="40"/>
    <x v="7"/>
    <n v="113796.075921119"/>
    <x v="1"/>
    <x v="1"/>
  </r>
  <r>
    <x v="5"/>
    <x v="4"/>
    <x v="0"/>
    <x v="3"/>
    <x v="41"/>
    <x v="7"/>
    <n v="295493.72819722397"/>
    <x v="1"/>
    <x v="1"/>
  </r>
  <r>
    <x v="5"/>
    <x v="4"/>
    <x v="0"/>
    <x v="3"/>
    <x v="42"/>
    <x v="7"/>
    <n v="132729.23281454199"/>
    <x v="1"/>
    <x v="1"/>
  </r>
  <r>
    <x v="5"/>
    <x v="4"/>
    <x v="0"/>
    <x v="3"/>
    <x v="43"/>
    <x v="7"/>
    <n v="28592.5790809317"/>
    <x v="1"/>
    <x v="1"/>
  </r>
  <r>
    <x v="5"/>
    <x v="4"/>
    <x v="0"/>
    <x v="3"/>
    <x v="44"/>
    <x v="7"/>
    <n v="88691.827190958604"/>
    <x v="1"/>
    <x v="1"/>
  </r>
  <r>
    <x v="5"/>
    <x v="4"/>
    <x v="0"/>
    <x v="3"/>
    <x v="45"/>
    <x v="7"/>
    <n v="40873.7303284601"/>
    <x v="1"/>
    <x v="1"/>
  </r>
  <r>
    <x v="5"/>
    <x v="5"/>
    <x v="0"/>
    <x v="2"/>
    <x v="24"/>
    <x v="7"/>
    <n v="9413.8476585433691"/>
    <x v="2"/>
    <x v="2"/>
  </r>
  <r>
    <x v="5"/>
    <x v="5"/>
    <x v="0"/>
    <x v="2"/>
    <x v="25"/>
    <x v="7"/>
    <n v="0"/>
    <x v="2"/>
    <x v="2"/>
  </r>
  <r>
    <x v="5"/>
    <x v="5"/>
    <x v="0"/>
    <x v="2"/>
    <x v="26"/>
    <x v="7"/>
    <n v="0"/>
    <x v="2"/>
    <x v="2"/>
  </r>
  <r>
    <x v="5"/>
    <x v="5"/>
    <x v="0"/>
    <x v="2"/>
    <x v="27"/>
    <x v="7"/>
    <n v="0"/>
    <x v="2"/>
    <x v="2"/>
  </r>
  <r>
    <x v="5"/>
    <x v="5"/>
    <x v="0"/>
    <x v="2"/>
    <x v="28"/>
    <x v="7"/>
    <n v="0"/>
    <x v="2"/>
    <x v="2"/>
  </r>
  <r>
    <x v="5"/>
    <x v="5"/>
    <x v="0"/>
    <x v="2"/>
    <x v="29"/>
    <x v="7"/>
    <n v="0"/>
    <x v="2"/>
    <x v="2"/>
  </r>
  <r>
    <x v="5"/>
    <x v="5"/>
    <x v="0"/>
    <x v="2"/>
    <x v="30"/>
    <x v="7"/>
    <n v="0"/>
    <x v="2"/>
    <x v="2"/>
  </r>
  <r>
    <x v="5"/>
    <x v="5"/>
    <x v="0"/>
    <x v="2"/>
    <x v="31"/>
    <x v="7"/>
    <n v="573.19890627466498"/>
    <x v="2"/>
    <x v="2"/>
  </r>
  <r>
    <x v="5"/>
    <x v="5"/>
    <x v="0"/>
    <x v="2"/>
    <x v="32"/>
    <x v="7"/>
    <n v="0"/>
    <x v="2"/>
    <x v="2"/>
  </r>
  <r>
    <x v="5"/>
    <x v="5"/>
    <x v="0"/>
    <x v="2"/>
    <x v="33"/>
    <x v="7"/>
    <n v="555.95223149905098"/>
    <x v="2"/>
    <x v="2"/>
  </r>
  <r>
    <x v="5"/>
    <x v="5"/>
    <x v="0"/>
    <x v="2"/>
    <x v="34"/>
    <x v="7"/>
    <n v="0"/>
    <x v="2"/>
    <x v="2"/>
  </r>
  <r>
    <x v="5"/>
    <x v="5"/>
    <x v="0"/>
    <x v="2"/>
    <x v="35"/>
    <x v="7"/>
    <n v="0"/>
    <x v="2"/>
    <x v="2"/>
  </r>
  <r>
    <x v="5"/>
    <x v="5"/>
    <x v="0"/>
    <x v="3"/>
    <x v="36"/>
    <x v="7"/>
    <n v="0"/>
    <x v="2"/>
    <x v="2"/>
  </r>
  <r>
    <x v="5"/>
    <x v="5"/>
    <x v="0"/>
    <x v="3"/>
    <x v="37"/>
    <x v="7"/>
    <n v="0"/>
    <x v="2"/>
    <x v="2"/>
  </r>
  <r>
    <x v="5"/>
    <x v="5"/>
    <x v="0"/>
    <x v="3"/>
    <x v="38"/>
    <x v="7"/>
    <n v="0"/>
    <x v="2"/>
    <x v="2"/>
  </r>
  <r>
    <x v="5"/>
    <x v="5"/>
    <x v="0"/>
    <x v="3"/>
    <x v="39"/>
    <x v="7"/>
    <n v="0"/>
    <x v="2"/>
    <x v="2"/>
  </r>
  <r>
    <x v="5"/>
    <x v="5"/>
    <x v="0"/>
    <x v="3"/>
    <x v="40"/>
    <x v="7"/>
    <n v="606.185723555957"/>
    <x v="2"/>
    <x v="2"/>
  </r>
  <r>
    <x v="5"/>
    <x v="5"/>
    <x v="0"/>
    <x v="3"/>
    <x v="41"/>
    <x v="7"/>
    <n v="0"/>
    <x v="2"/>
    <x v="2"/>
  </r>
  <r>
    <x v="5"/>
    <x v="5"/>
    <x v="0"/>
    <x v="3"/>
    <x v="42"/>
    <x v="7"/>
    <n v="0"/>
    <x v="2"/>
    <x v="2"/>
  </r>
  <r>
    <x v="5"/>
    <x v="5"/>
    <x v="0"/>
    <x v="3"/>
    <x v="43"/>
    <x v="7"/>
    <n v="0"/>
    <x v="2"/>
    <x v="2"/>
  </r>
  <r>
    <x v="5"/>
    <x v="5"/>
    <x v="0"/>
    <x v="3"/>
    <x v="44"/>
    <x v="7"/>
    <n v="0"/>
    <x v="2"/>
    <x v="2"/>
  </r>
  <r>
    <x v="5"/>
    <x v="5"/>
    <x v="0"/>
    <x v="3"/>
    <x v="45"/>
    <x v="7"/>
    <n v="0"/>
    <x v="2"/>
    <x v="2"/>
  </r>
  <r>
    <x v="5"/>
    <x v="6"/>
    <x v="0"/>
    <x v="2"/>
    <x v="24"/>
    <x v="7"/>
    <n v="40020.104294848003"/>
    <x v="3"/>
    <x v="3"/>
  </r>
  <r>
    <x v="5"/>
    <x v="6"/>
    <x v="0"/>
    <x v="2"/>
    <x v="25"/>
    <x v="7"/>
    <n v="94366.6098075302"/>
    <x v="3"/>
    <x v="3"/>
  </r>
  <r>
    <x v="5"/>
    <x v="6"/>
    <x v="0"/>
    <x v="2"/>
    <x v="26"/>
    <x v="7"/>
    <n v="9081.3650681137697"/>
    <x v="3"/>
    <x v="3"/>
  </r>
  <r>
    <x v="5"/>
    <x v="6"/>
    <x v="0"/>
    <x v="2"/>
    <x v="27"/>
    <x v="7"/>
    <n v="34751.2002260347"/>
    <x v="3"/>
    <x v="3"/>
  </r>
  <r>
    <x v="5"/>
    <x v="6"/>
    <x v="0"/>
    <x v="2"/>
    <x v="28"/>
    <x v="7"/>
    <n v="21043.7399248238"/>
    <x v="3"/>
    <x v="3"/>
  </r>
  <r>
    <x v="5"/>
    <x v="6"/>
    <x v="0"/>
    <x v="2"/>
    <x v="29"/>
    <x v="7"/>
    <n v="41232.491148856498"/>
    <x v="3"/>
    <x v="3"/>
  </r>
  <r>
    <x v="5"/>
    <x v="6"/>
    <x v="0"/>
    <x v="2"/>
    <x v="30"/>
    <x v="7"/>
    <n v="23920.813560480299"/>
    <x v="3"/>
    <x v="3"/>
  </r>
  <r>
    <x v="5"/>
    <x v="6"/>
    <x v="0"/>
    <x v="2"/>
    <x v="31"/>
    <x v="7"/>
    <n v="59391.777245363097"/>
    <x v="3"/>
    <x v="3"/>
  </r>
  <r>
    <x v="5"/>
    <x v="6"/>
    <x v="0"/>
    <x v="2"/>
    <x v="32"/>
    <x v="7"/>
    <n v="60615.230858937699"/>
    <x v="3"/>
    <x v="3"/>
  </r>
  <r>
    <x v="5"/>
    <x v="6"/>
    <x v="0"/>
    <x v="2"/>
    <x v="33"/>
    <x v="7"/>
    <n v="9181.2088311195403"/>
    <x v="3"/>
    <x v="3"/>
  </r>
  <r>
    <x v="5"/>
    <x v="6"/>
    <x v="0"/>
    <x v="2"/>
    <x v="34"/>
    <x v="7"/>
    <n v="61299.182403414801"/>
    <x v="3"/>
    <x v="3"/>
  </r>
  <r>
    <x v="5"/>
    <x v="6"/>
    <x v="0"/>
    <x v="2"/>
    <x v="35"/>
    <x v="7"/>
    <n v="321541.03480604099"/>
    <x v="3"/>
    <x v="3"/>
  </r>
  <r>
    <x v="5"/>
    <x v="6"/>
    <x v="0"/>
    <x v="3"/>
    <x v="36"/>
    <x v="7"/>
    <n v="22830.761617345099"/>
    <x v="3"/>
    <x v="3"/>
  </r>
  <r>
    <x v="5"/>
    <x v="6"/>
    <x v="0"/>
    <x v="3"/>
    <x v="37"/>
    <x v="7"/>
    <n v="11636.280687500001"/>
    <x v="3"/>
    <x v="3"/>
  </r>
  <r>
    <x v="5"/>
    <x v="6"/>
    <x v="0"/>
    <x v="3"/>
    <x v="38"/>
    <x v="7"/>
    <n v="36132.942086515803"/>
    <x v="3"/>
    <x v="3"/>
  </r>
  <r>
    <x v="5"/>
    <x v="6"/>
    <x v="0"/>
    <x v="3"/>
    <x v="39"/>
    <x v="7"/>
    <n v="111816.16834612899"/>
    <x v="3"/>
    <x v="3"/>
  </r>
  <r>
    <x v="5"/>
    <x v="6"/>
    <x v="0"/>
    <x v="3"/>
    <x v="40"/>
    <x v="7"/>
    <n v="17715.4625518953"/>
    <x v="3"/>
    <x v="3"/>
  </r>
  <r>
    <x v="5"/>
    <x v="6"/>
    <x v="0"/>
    <x v="3"/>
    <x v="41"/>
    <x v="7"/>
    <n v="30323.827553153598"/>
    <x v="3"/>
    <x v="3"/>
  </r>
  <r>
    <x v="5"/>
    <x v="6"/>
    <x v="0"/>
    <x v="3"/>
    <x v="42"/>
    <x v="7"/>
    <n v="48125.858168653001"/>
    <x v="3"/>
    <x v="3"/>
  </r>
  <r>
    <x v="5"/>
    <x v="6"/>
    <x v="0"/>
    <x v="3"/>
    <x v="43"/>
    <x v="7"/>
    <n v="45835.814472498503"/>
    <x v="3"/>
    <x v="3"/>
  </r>
  <r>
    <x v="5"/>
    <x v="6"/>
    <x v="0"/>
    <x v="3"/>
    <x v="44"/>
    <x v="7"/>
    <n v="180297.767521306"/>
    <x v="3"/>
    <x v="3"/>
  </r>
  <r>
    <x v="5"/>
    <x v="6"/>
    <x v="0"/>
    <x v="3"/>
    <x v="45"/>
    <x v="7"/>
    <n v="19572.031459161299"/>
    <x v="3"/>
    <x v="3"/>
  </r>
  <r>
    <x v="5"/>
    <x v="7"/>
    <x v="0"/>
    <x v="2"/>
    <x v="24"/>
    <x v="7"/>
    <n v="255.46474406968099"/>
    <x v="4"/>
    <x v="4"/>
  </r>
  <r>
    <x v="5"/>
    <x v="7"/>
    <x v="0"/>
    <x v="2"/>
    <x v="25"/>
    <x v="7"/>
    <n v="822.08204027348495"/>
    <x v="4"/>
    <x v="4"/>
  </r>
  <r>
    <x v="5"/>
    <x v="7"/>
    <x v="0"/>
    <x v="2"/>
    <x v="26"/>
    <x v="7"/>
    <n v="1382.72285703593"/>
    <x v="4"/>
    <x v="4"/>
  </r>
  <r>
    <x v="5"/>
    <x v="7"/>
    <x v="0"/>
    <x v="2"/>
    <x v="27"/>
    <x v="7"/>
    <n v="1619.2185881554699"/>
    <x v="4"/>
    <x v="4"/>
  </r>
  <r>
    <x v="5"/>
    <x v="7"/>
    <x v="0"/>
    <x v="2"/>
    <x v="28"/>
    <x v="7"/>
    <n v="1609.5431182458899"/>
    <x v="4"/>
    <x v="4"/>
  </r>
  <r>
    <x v="5"/>
    <x v="7"/>
    <x v="0"/>
    <x v="2"/>
    <x v="29"/>
    <x v="7"/>
    <n v="1376.87608270899"/>
    <x v="4"/>
    <x v="4"/>
  </r>
  <r>
    <x v="5"/>
    <x v="7"/>
    <x v="0"/>
    <x v="2"/>
    <x v="30"/>
    <x v="7"/>
    <n v="1618.6217110221601"/>
    <x v="4"/>
    <x v="4"/>
  </r>
  <r>
    <x v="5"/>
    <x v="7"/>
    <x v="0"/>
    <x v="2"/>
    <x v="31"/>
    <x v="7"/>
    <n v="1588.1494729676399"/>
    <x v="4"/>
    <x v="4"/>
  </r>
  <r>
    <x v="5"/>
    <x v="7"/>
    <x v="0"/>
    <x v="2"/>
    <x v="32"/>
    <x v="7"/>
    <n v="1555.1475997525199"/>
    <x v="4"/>
    <x v="4"/>
  </r>
  <r>
    <x v="5"/>
    <x v="7"/>
    <x v="0"/>
    <x v="2"/>
    <x v="33"/>
    <x v="7"/>
    <n v="0"/>
    <x v="4"/>
    <x v="4"/>
  </r>
  <r>
    <x v="5"/>
    <x v="7"/>
    <x v="0"/>
    <x v="2"/>
    <x v="34"/>
    <x v="7"/>
    <n v="0"/>
    <x v="4"/>
    <x v="4"/>
  </r>
  <r>
    <x v="5"/>
    <x v="7"/>
    <x v="0"/>
    <x v="2"/>
    <x v="35"/>
    <x v="7"/>
    <n v="0"/>
    <x v="4"/>
    <x v="4"/>
  </r>
  <r>
    <x v="5"/>
    <x v="7"/>
    <x v="0"/>
    <x v="3"/>
    <x v="36"/>
    <x v="7"/>
    <n v="0"/>
    <x v="4"/>
    <x v="4"/>
  </r>
  <r>
    <x v="5"/>
    <x v="7"/>
    <x v="0"/>
    <x v="3"/>
    <x v="37"/>
    <x v="7"/>
    <n v="2468.1590524927201"/>
    <x v="4"/>
    <x v="4"/>
  </r>
  <r>
    <x v="5"/>
    <x v="7"/>
    <x v="0"/>
    <x v="3"/>
    <x v="38"/>
    <x v="7"/>
    <n v="2884.5913484162902"/>
    <x v="4"/>
    <x v="4"/>
  </r>
  <r>
    <x v="5"/>
    <x v="7"/>
    <x v="0"/>
    <x v="3"/>
    <x v="39"/>
    <x v="7"/>
    <n v="3004.9828667727702"/>
    <x v="4"/>
    <x v="4"/>
  </r>
  <r>
    <x v="5"/>
    <x v="7"/>
    <x v="0"/>
    <x v="3"/>
    <x v="40"/>
    <x v="7"/>
    <n v="2984.4309386281602"/>
    <x v="4"/>
    <x v="4"/>
  </r>
  <r>
    <x v="5"/>
    <x v="7"/>
    <x v="0"/>
    <x v="3"/>
    <x v="41"/>
    <x v="7"/>
    <n v="0"/>
    <x v="4"/>
    <x v="4"/>
  </r>
  <r>
    <x v="5"/>
    <x v="7"/>
    <x v="0"/>
    <x v="3"/>
    <x v="42"/>
    <x v="7"/>
    <n v="0"/>
    <x v="4"/>
    <x v="4"/>
  </r>
  <r>
    <x v="5"/>
    <x v="7"/>
    <x v="0"/>
    <x v="3"/>
    <x v="43"/>
    <x v="7"/>
    <n v="584.79177964804899"/>
    <x v="4"/>
    <x v="4"/>
  </r>
  <r>
    <x v="5"/>
    <x v="7"/>
    <x v="0"/>
    <x v="3"/>
    <x v="44"/>
    <x v="7"/>
    <n v="575.07792984512298"/>
    <x v="4"/>
    <x v="4"/>
  </r>
  <r>
    <x v="5"/>
    <x v="7"/>
    <x v="0"/>
    <x v="3"/>
    <x v="45"/>
    <x v="7"/>
    <n v="581.22780635559798"/>
    <x v="4"/>
    <x v="4"/>
  </r>
  <r>
    <x v="5"/>
    <x v="8"/>
    <x v="0"/>
    <x v="2"/>
    <x v="24"/>
    <x v="7"/>
    <n v="0"/>
    <x v="5"/>
    <x v="5"/>
  </r>
  <r>
    <x v="5"/>
    <x v="8"/>
    <x v="0"/>
    <x v="2"/>
    <x v="25"/>
    <x v="7"/>
    <n v="10136.8310049639"/>
    <x v="5"/>
    <x v="5"/>
  </r>
  <r>
    <x v="5"/>
    <x v="8"/>
    <x v="0"/>
    <x v="2"/>
    <x v="26"/>
    <x v="7"/>
    <n v="0"/>
    <x v="5"/>
    <x v="5"/>
  </r>
  <r>
    <x v="5"/>
    <x v="8"/>
    <x v="0"/>
    <x v="2"/>
    <x v="27"/>
    <x v="7"/>
    <n v="0"/>
    <x v="5"/>
    <x v="5"/>
  </r>
  <r>
    <x v="5"/>
    <x v="8"/>
    <x v="0"/>
    <x v="2"/>
    <x v="28"/>
    <x v="7"/>
    <n v="0"/>
    <x v="5"/>
    <x v="5"/>
  </r>
  <r>
    <x v="5"/>
    <x v="8"/>
    <x v="0"/>
    <x v="2"/>
    <x v="29"/>
    <x v="7"/>
    <n v="0"/>
    <x v="5"/>
    <x v="5"/>
  </r>
  <r>
    <x v="5"/>
    <x v="8"/>
    <x v="0"/>
    <x v="2"/>
    <x v="30"/>
    <x v="7"/>
    <n v="0"/>
    <x v="5"/>
    <x v="5"/>
  </r>
  <r>
    <x v="5"/>
    <x v="8"/>
    <x v="0"/>
    <x v="2"/>
    <x v="31"/>
    <x v="7"/>
    <n v="0"/>
    <x v="5"/>
    <x v="5"/>
  </r>
  <r>
    <x v="5"/>
    <x v="8"/>
    <x v="0"/>
    <x v="2"/>
    <x v="32"/>
    <x v="7"/>
    <n v="0"/>
    <x v="5"/>
    <x v="5"/>
  </r>
  <r>
    <x v="5"/>
    <x v="8"/>
    <x v="0"/>
    <x v="2"/>
    <x v="33"/>
    <x v="7"/>
    <n v="0"/>
    <x v="5"/>
    <x v="5"/>
  </r>
  <r>
    <x v="5"/>
    <x v="8"/>
    <x v="0"/>
    <x v="2"/>
    <x v="34"/>
    <x v="7"/>
    <n v="0"/>
    <x v="5"/>
    <x v="5"/>
  </r>
  <r>
    <x v="5"/>
    <x v="8"/>
    <x v="0"/>
    <x v="2"/>
    <x v="35"/>
    <x v="7"/>
    <n v="0"/>
    <x v="5"/>
    <x v="5"/>
  </r>
  <r>
    <x v="5"/>
    <x v="8"/>
    <x v="0"/>
    <x v="3"/>
    <x v="36"/>
    <x v="7"/>
    <n v="0"/>
    <x v="5"/>
    <x v="5"/>
  </r>
  <r>
    <x v="5"/>
    <x v="8"/>
    <x v="0"/>
    <x v="3"/>
    <x v="37"/>
    <x v="7"/>
    <n v="0"/>
    <x v="5"/>
    <x v="5"/>
  </r>
  <r>
    <x v="5"/>
    <x v="8"/>
    <x v="0"/>
    <x v="3"/>
    <x v="38"/>
    <x v="7"/>
    <n v="0"/>
    <x v="5"/>
    <x v="5"/>
  </r>
  <r>
    <x v="5"/>
    <x v="8"/>
    <x v="0"/>
    <x v="3"/>
    <x v="39"/>
    <x v="7"/>
    <n v="0"/>
    <x v="5"/>
    <x v="5"/>
  </r>
  <r>
    <x v="5"/>
    <x v="8"/>
    <x v="0"/>
    <x v="3"/>
    <x v="40"/>
    <x v="7"/>
    <n v="0"/>
    <x v="5"/>
    <x v="5"/>
  </r>
  <r>
    <x v="5"/>
    <x v="8"/>
    <x v="0"/>
    <x v="3"/>
    <x v="41"/>
    <x v="7"/>
    <n v="0"/>
    <x v="5"/>
    <x v="5"/>
  </r>
  <r>
    <x v="5"/>
    <x v="8"/>
    <x v="0"/>
    <x v="3"/>
    <x v="42"/>
    <x v="7"/>
    <n v="0"/>
    <x v="5"/>
    <x v="5"/>
  </r>
  <r>
    <x v="5"/>
    <x v="8"/>
    <x v="0"/>
    <x v="3"/>
    <x v="43"/>
    <x v="7"/>
    <n v="0"/>
    <x v="5"/>
    <x v="5"/>
  </r>
  <r>
    <x v="5"/>
    <x v="8"/>
    <x v="0"/>
    <x v="3"/>
    <x v="44"/>
    <x v="7"/>
    <n v="0"/>
    <x v="5"/>
    <x v="5"/>
  </r>
  <r>
    <x v="5"/>
    <x v="8"/>
    <x v="0"/>
    <x v="3"/>
    <x v="45"/>
    <x v="7"/>
    <n v="0"/>
    <x v="5"/>
    <x v="5"/>
  </r>
  <r>
    <x v="5"/>
    <x v="9"/>
    <x v="0"/>
    <x v="2"/>
    <x v="24"/>
    <x v="7"/>
    <n v="227905.54474193801"/>
    <x v="6"/>
    <x v="6"/>
  </r>
  <r>
    <x v="5"/>
    <x v="9"/>
    <x v="0"/>
    <x v="2"/>
    <x v="25"/>
    <x v="7"/>
    <n v="275812.22968905099"/>
    <x v="6"/>
    <x v="6"/>
  </r>
  <r>
    <x v="5"/>
    <x v="9"/>
    <x v="0"/>
    <x v="2"/>
    <x v="26"/>
    <x v="7"/>
    <n v="671746.34762649704"/>
    <x v="6"/>
    <x v="6"/>
  </r>
  <r>
    <x v="5"/>
    <x v="9"/>
    <x v="0"/>
    <x v="2"/>
    <x v="27"/>
    <x v="7"/>
    <n v="299550.62756634702"/>
    <x v="6"/>
    <x v="6"/>
  </r>
  <r>
    <x v="5"/>
    <x v="9"/>
    <x v="0"/>
    <x v="2"/>
    <x v="28"/>
    <x v="7"/>
    <n v="168022.82026468299"/>
    <x v="6"/>
    <x v="6"/>
  </r>
  <r>
    <x v="5"/>
    <x v="9"/>
    <x v="0"/>
    <x v="2"/>
    <x v="29"/>
    <x v="7"/>
    <n v="537425.78297180601"/>
    <x v="6"/>
    <x v="6"/>
  </r>
  <r>
    <x v="5"/>
    <x v="9"/>
    <x v="0"/>
    <x v="2"/>
    <x v="30"/>
    <x v="7"/>
    <n v="297464.83947027201"/>
    <x v="6"/>
    <x v="6"/>
  </r>
  <r>
    <x v="5"/>
    <x v="9"/>
    <x v="0"/>
    <x v="2"/>
    <x v="31"/>
    <x v="7"/>
    <n v="729154.56079261994"/>
    <x v="6"/>
    <x v="6"/>
  </r>
  <r>
    <x v="5"/>
    <x v="9"/>
    <x v="0"/>
    <x v="2"/>
    <x v="32"/>
    <x v="7"/>
    <n v="609143.22695745295"/>
    <x v="6"/>
    <x v="6"/>
  </r>
  <r>
    <x v="5"/>
    <x v="9"/>
    <x v="0"/>
    <x v="2"/>
    <x v="33"/>
    <x v="7"/>
    <n v="392153.54176584398"/>
    <x v="6"/>
    <x v="6"/>
  </r>
  <r>
    <x v="5"/>
    <x v="9"/>
    <x v="0"/>
    <x v="2"/>
    <x v="34"/>
    <x v="7"/>
    <n v="314962.85987666901"/>
    <x v="6"/>
    <x v="6"/>
  </r>
  <r>
    <x v="5"/>
    <x v="9"/>
    <x v="0"/>
    <x v="2"/>
    <x v="35"/>
    <x v="7"/>
    <n v="90335.363953329696"/>
    <x v="6"/>
    <x v="6"/>
  </r>
  <r>
    <x v="5"/>
    <x v="9"/>
    <x v="0"/>
    <x v="3"/>
    <x v="36"/>
    <x v="7"/>
    <n v="238251.06686972899"/>
    <x v="6"/>
    <x v="6"/>
  </r>
  <r>
    <x v="5"/>
    <x v="9"/>
    <x v="0"/>
    <x v="3"/>
    <x v="37"/>
    <x v="7"/>
    <n v="413384.067973617"/>
    <x v="6"/>
    <x v="6"/>
  </r>
  <r>
    <x v="5"/>
    <x v="9"/>
    <x v="0"/>
    <x v="3"/>
    <x v="38"/>
    <x v="7"/>
    <n v="116612.640892308"/>
    <x v="6"/>
    <x v="6"/>
  </r>
  <r>
    <x v="5"/>
    <x v="9"/>
    <x v="0"/>
    <x v="3"/>
    <x v="39"/>
    <x v="7"/>
    <n v="245492.306690853"/>
    <x v="6"/>
    <x v="6"/>
  </r>
  <r>
    <x v="5"/>
    <x v="9"/>
    <x v="0"/>
    <x v="3"/>
    <x v="40"/>
    <x v="7"/>
    <n v="675942.39976651606"/>
    <x v="6"/>
    <x v="6"/>
  </r>
  <r>
    <x v="5"/>
    <x v="9"/>
    <x v="0"/>
    <x v="3"/>
    <x v="41"/>
    <x v="7"/>
    <n v="487013.03229605901"/>
    <x v="6"/>
    <x v="6"/>
  </r>
  <r>
    <x v="5"/>
    <x v="9"/>
    <x v="0"/>
    <x v="3"/>
    <x v="42"/>
    <x v="7"/>
    <n v="607221.17618357204"/>
    <x v="6"/>
    <x v="6"/>
  </r>
  <r>
    <x v="5"/>
    <x v="9"/>
    <x v="0"/>
    <x v="3"/>
    <x v="43"/>
    <x v="7"/>
    <n v="204613.54850165799"/>
    <x v="6"/>
    <x v="6"/>
  </r>
  <r>
    <x v="5"/>
    <x v="9"/>
    <x v="0"/>
    <x v="3"/>
    <x v="44"/>
    <x v="7"/>
    <n v="569298.64217680995"/>
    <x v="6"/>
    <x v="6"/>
  </r>
  <r>
    <x v="5"/>
    <x v="9"/>
    <x v="0"/>
    <x v="3"/>
    <x v="45"/>
    <x v="7"/>
    <n v="310817.650711547"/>
    <x v="6"/>
    <x v="6"/>
  </r>
  <r>
    <x v="5"/>
    <x v="10"/>
    <x v="0"/>
    <x v="2"/>
    <x v="24"/>
    <x v="7"/>
    <n v="4461.7045101927397"/>
    <x v="7"/>
    <x v="7"/>
  </r>
  <r>
    <x v="5"/>
    <x v="10"/>
    <x v="0"/>
    <x v="2"/>
    <x v="25"/>
    <x v="7"/>
    <n v="5662.1951993069197"/>
    <x v="7"/>
    <x v="7"/>
  </r>
  <r>
    <x v="5"/>
    <x v="10"/>
    <x v="0"/>
    <x v="2"/>
    <x v="26"/>
    <x v="7"/>
    <n v="6244.46089446108"/>
    <x v="7"/>
    <x v="7"/>
  </r>
  <r>
    <x v="5"/>
    <x v="10"/>
    <x v="0"/>
    <x v="2"/>
    <x v="27"/>
    <x v="7"/>
    <n v="7769.1303268392003"/>
    <x v="7"/>
    <x v="7"/>
  </r>
  <r>
    <x v="5"/>
    <x v="10"/>
    <x v="0"/>
    <x v="2"/>
    <x v="28"/>
    <x v="7"/>
    <n v="9294.5249835552095"/>
    <x v="7"/>
    <x v="7"/>
  </r>
  <r>
    <x v="5"/>
    <x v="10"/>
    <x v="0"/>
    <x v="2"/>
    <x v="29"/>
    <x v="7"/>
    <n v="6027.1779156151397"/>
    <x v="7"/>
    <x v="7"/>
  </r>
  <r>
    <x v="5"/>
    <x v="10"/>
    <x v="0"/>
    <x v="2"/>
    <x v="30"/>
    <x v="7"/>
    <n v="15227.3557325002"/>
    <x v="7"/>
    <x v="7"/>
  </r>
  <r>
    <x v="5"/>
    <x v="10"/>
    <x v="0"/>
    <x v="2"/>
    <x v="31"/>
    <x v="7"/>
    <n v="10543.299984116"/>
    <x v="7"/>
    <x v="7"/>
  </r>
  <r>
    <x v="5"/>
    <x v="10"/>
    <x v="0"/>
    <x v="2"/>
    <x v="32"/>
    <x v="7"/>
    <n v="2060.9843844469801"/>
    <x v="7"/>
    <x v="7"/>
  </r>
  <r>
    <x v="5"/>
    <x v="10"/>
    <x v="0"/>
    <x v="2"/>
    <x v="33"/>
    <x v="7"/>
    <n v="33413.720742504702"/>
    <x v="7"/>
    <x v="7"/>
  </r>
  <r>
    <x v="5"/>
    <x v="10"/>
    <x v="0"/>
    <x v="2"/>
    <x v="34"/>
    <x v="7"/>
    <n v="40823.176836617902"/>
    <x v="7"/>
    <x v="7"/>
  </r>
  <r>
    <x v="5"/>
    <x v="10"/>
    <x v="0"/>
    <x v="2"/>
    <x v="35"/>
    <x v="7"/>
    <n v="2349.1108230531299"/>
    <x v="7"/>
    <x v="7"/>
  </r>
  <r>
    <x v="5"/>
    <x v="10"/>
    <x v="0"/>
    <x v="3"/>
    <x v="36"/>
    <x v="7"/>
    <n v="1129.72000504217"/>
    <x v="7"/>
    <x v="7"/>
  </r>
  <r>
    <x v="5"/>
    <x v="10"/>
    <x v="0"/>
    <x v="3"/>
    <x v="37"/>
    <x v="7"/>
    <n v="7070.3906497452699"/>
    <x v="7"/>
    <x v="7"/>
  </r>
  <r>
    <x v="5"/>
    <x v="10"/>
    <x v="0"/>
    <x v="3"/>
    <x v="38"/>
    <x v="7"/>
    <n v="1805.56464217195"/>
    <x v="7"/>
    <x v="7"/>
  </r>
  <r>
    <x v="5"/>
    <x v="10"/>
    <x v="0"/>
    <x v="3"/>
    <x v="39"/>
    <x v="7"/>
    <n v="1379.28405065069"/>
    <x v="7"/>
    <x v="7"/>
  </r>
  <r>
    <x v="5"/>
    <x v="10"/>
    <x v="0"/>
    <x v="3"/>
    <x v="40"/>
    <x v="7"/>
    <n v="1850.04077220217"/>
    <x v="7"/>
    <x v="7"/>
  </r>
  <r>
    <x v="5"/>
    <x v="10"/>
    <x v="0"/>
    <x v="3"/>
    <x v="41"/>
    <x v="7"/>
    <n v="1899.42817720843"/>
    <x v="7"/>
    <x v="7"/>
  </r>
  <r>
    <x v="5"/>
    <x v="10"/>
    <x v="0"/>
    <x v="3"/>
    <x v="42"/>
    <x v="7"/>
    <n v="1406.0148062248099"/>
    <x v="7"/>
    <x v="7"/>
  </r>
  <r>
    <x v="5"/>
    <x v="10"/>
    <x v="0"/>
    <x v="3"/>
    <x v="43"/>
    <x v="7"/>
    <n v="906.10052469608104"/>
    <x v="7"/>
    <x v="7"/>
  </r>
  <r>
    <x v="5"/>
    <x v="10"/>
    <x v="0"/>
    <x v="3"/>
    <x v="44"/>
    <x v="7"/>
    <n v="749.78073654248601"/>
    <x v="7"/>
    <x v="7"/>
  </r>
  <r>
    <x v="5"/>
    <x v="10"/>
    <x v="0"/>
    <x v="3"/>
    <x v="45"/>
    <x v="7"/>
    <n v="662.59724835857503"/>
    <x v="7"/>
    <x v="7"/>
  </r>
  <r>
    <x v="5"/>
    <x v="11"/>
    <x v="0"/>
    <x v="2"/>
    <x v="24"/>
    <x v="7"/>
    <n v="10745.2559586731"/>
    <x v="8"/>
    <x v="8"/>
  </r>
  <r>
    <x v="5"/>
    <x v="11"/>
    <x v="0"/>
    <x v="2"/>
    <x v="25"/>
    <x v="7"/>
    <n v="2130.51032574693"/>
    <x v="8"/>
    <x v="8"/>
  </r>
  <r>
    <x v="5"/>
    <x v="11"/>
    <x v="0"/>
    <x v="2"/>
    <x v="26"/>
    <x v="7"/>
    <n v="8071.66069535928"/>
    <x v="8"/>
    <x v="8"/>
  </r>
  <r>
    <x v="5"/>
    <x v="11"/>
    <x v="0"/>
    <x v="2"/>
    <x v="27"/>
    <x v="7"/>
    <n v="29367.1676252787"/>
    <x v="8"/>
    <x v="8"/>
  </r>
  <r>
    <x v="5"/>
    <x v="11"/>
    <x v="0"/>
    <x v="2"/>
    <x v="28"/>
    <x v="7"/>
    <n v="91495.652692247502"/>
    <x v="8"/>
    <x v="8"/>
  </r>
  <r>
    <x v="5"/>
    <x v="11"/>
    <x v="0"/>
    <x v="2"/>
    <x v="29"/>
    <x v="7"/>
    <n v="64467.511391462896"/>
    <x v="8"/>
    <x v="8"/>
  </r>
  <r>
    <x v="5"/>
    <x v="11"/>
    <x v="0"/>
    <x v="2"/>
    <x v="30"/>
    <x v="7"/>
    <n v="122297.786246998"/>
    <x v="8"/>
    <x v="8"/>
  </r>
  <r>
    <x v="5"/>
    <x v="11"/>
    <x v="0"/>
    <x v="2"/>
    <x v="31"/>
    <x v="7"/>
    <n v="188862.072448994"/>
    <x v="8"/>
    <x v="8"/>
  </r>
  <r>
    <x v="5"/>
    <x v="11"/>
    <x v="0"/>
    <x v="2"/>
    <x v="32"/>
    <x v="7"/>
    <n v="166796.154814582"/>
    <x v="8"/>
    <x v="8"/>
  </r>
  <r>
    <x v="5"/>
    <x v="11"/>
    <x v="0"/>
    <x v="2"/>
    <x v="33"/>
    <x v="7"/>
    <n v="101449.238749431"/>
    <x v="8"/>
    <x v="8"/>
  </r>
  <r>
    <x v="5"/>
    <x v="11"/>
    <x v="0"/>
    <x v="2"/>
    <x v="34"/>
    <x v="7"/>
    <n v="177351.88758023799"/>
    <x v="8"/>
    <x v="8"/>
  </r>
  <r>
    <x v="5"/>
    <x v="11"/>
    <x v="0"/>
    <x v="2"/>
    <x v="35"/>
    <x v="7"/>
    <n v="253956.61800655001"/>
    <x v="8"/>
    <x v="8"/>
  </r>
  <r>
    <x v="5"/>
    <x v="11"/>
    <x v="0"/>
    <x v="3"/>
    <x v="36"/>
    <x v="7"/>
    <n v="201071.79833039999"/>
    <x v="8"/>
    <x v="8"/>
  </r>
  <r>
    <x v="5"/>
    <x v="11"/>
    <x v="0"/>
    <x v="3"/>
    <x v="37"/>
    <x v="7"/>
    <n v="240900.892610262"/>
    <x v="8"/>
    <x v="8"/>
  </r>
  <r>
    <x v="5"/>
    <x v="11"/>
    <x v="0"/>
    <x v="3"/>
    <x v="38"/>
    <x v="7"/>
    <n v="273839.70603583701"/>
    <x v="8"/>
    <x v="8"/>
  </r>
  <r>
    <x v="5"/>
    <x v="11"/>
    <x v="0"/>
    <x v="3"/>
    <x v="39"/>
    <x v="7"/>
    <n v="410578.35239631101"/>
    <x v="8"/>
    <x v="8"/>
  </r>
  <r>
    <x v="5"/>
    <x v="11"/>
    <x v="0"/>
    <x v="3"/>
    <x v="40"/>
    <x v="7"/>
    <n v="204376.925415704"/>
    <x v="8"/>
    <x v="8"/>
  </r>
  <r>
    <x v="5"/>
    <x v="11"/>
    <x v="0"/>
    <x v="3"/>
    <x v="41"/>
    <x v="7"/>
    <n v="258696.310414554"/>
    <x v="8"/>
    <x v="8"/>
  </r>
  <r>
    <x v="5"/>
    <x v="11"/>
    <x v="0"/>
    <x v="3"/>
    <x v="42"/>
    <x v="7"/>
    <n v="74894.065189316607"/>
    <x v="8"/>
    <x v="8"/>
  </r>
  <r>
    <x v="5"/>
    <x v="11"/>
    <x v="0"/>
    <x v="3"/>
    <x v="43"/>
    <x v="7"/>
    <n v="56977.466457706403"/>
    <x v="8"/>
    <x v="8"/>
  </r>
  <r>
    <x v="5"/>
    <x v="11"/>
    <x v="0"/>
    <x v="3"/>
    <x v="44"/>
    <x v="7"/>
    <n v="21849.339058518199"/>
    <x v="8"/>
    <x v="8"/>
  </r>
  <r>
    <x v="5"/>
    <x v="11"/>
    <x v="0"/>
    <x v="3"/>
    <x v="45"/>
    <x v="7"/>
    <n v="12070.6941162567"/>
    <x v="8"/>
    <x v="8"/>
  </r>
  <r>
    <x v="5"/>
    <x v="12"/>
    <x v="0"/>
    <x v="2"/>
    <x v="24"/>
    <x v="7"/>
    <n v="119191.497532339"/>
    <x v="9"/>
    <x v="9"/>
  </r>
  <r>
    <x v="5"/>
    <x v="12"/>
    <x v="0"/>
    <x v="2"/>
    <x v="25"/>
    <x v="7"/>
    <n v="85932.741710218193"/>
    <x v="9"/>
    <x v="9"/>
  </r>
  <r>
    <x v="5"/>
    <x v="12"/>
    <x v="0"/>
    <x v="2"/>
    <x v="26"/>
    <x v="7"/>
    <n v="20652.393458083799"/>
    <x v="9"/>
    <x v="9"/>
  </r>
  <r>
    <x v="5"/>
    <x v="12"/>
    <x v="0"/>
    <x v="2"/>
    <x v="27"/>
    <x v="7"/>
    <n v="12732.0951036154"/>
    <x v="9"/>
    <x v="9"/>
  </r>
  <r>
    <x v="5"/>
    <x v="12"/>
    <x v="0"/>
    <x v="2"/>
    <x v="28"/>
    <x v="7"/>
    <n v="0"/>
    <x v="9"/>
    <x v="9"/>
  </r>
  <r>
    <x v="5"/>
    <x v="12"/>
    <x v="0"/>
    <x v="2"/>
    <x v="29"/>
    <x v="7"/>
    <n v="102844.557333695"/>
    <x v="9"/>
    <x v="9"/>
  </r>
  <r>
    <x v="5"/>
    <x v="12"/>
    <x v="0"/>
    <x v="2"/>
    <x v="30"/>
    <x v="7"/>
    <n v="93294.199231865699"/>
    <x v="9"/>
    <x v="9"/>
  </r>
  <r>
    <x v="5"/>
    <x v="12"/>
    <x v="0"/>
    <x v="2"/>
    <x v="31"/>
    <x v="7"/>
    <n v="367968.20130929397"/>
    <x v="9"/>
    <x v="9"/>
  </r>
  <r>
    <x v="5"/>
    <x v="12"/>
    <x v="0"/>
    <x v="2"/>
    <x v="32"/>
    <x v="7"/>
    <n v="84333.176968874905"/>
    <x v="9"/>
    <x v="9"/>
  </r>
  <r>
    <x v="5"/>
    <x v="12"/>
    <x v="0"/>
    <x v="2"/>
    <x v="33"/>
    <x v="7"/>
    <n v="133805.51467647101"/>
    <x v="9"/>
    <x v="9"/>
  </r>
  <r>
    <x v="5"/>
    <x v="12"/>
    <x v="0"/>
    <x v="2"/>
    <x v="34"/>
    <x v="7"/>
    <n v="18273.7786969394"/>
    <x v="9"/>
    <x v="9"/>
  </r>
  <r>
    <x v="5"/>
    <x v="12"/>
    <x v="0"/>
    <x v="2"/>
    <x v="35"/>
    <x v="7"/>
    <n v="53987.191767376302"/>
    <x v="9"/>
    <x v="9"/>
  </r>
  <r>
    <x v="5"/>
    <x v="12"/>
    <x v="0"/>
    <x v="3"/>
    <x v="36"/>
    <x v="7"/>
    <n v="25044.913325632599"/>
    <x v="9"/>
    <x v="9"/>
  </r>
  <r>
    <x v="5"/>
    <x v="12"/>
    <x v="0"/>
    <x v="3"/>
    <x v="37"/>
    <x v="7"/>
    <n v="58203.689228438903"/>
    <x v="9"/>
    <x v="9"/>
  </r>
  <r>
    <x v="5"/>
    <x v="12"/>
    <x v="0"/>
    <x v="3"/>
    <x v="38"/>
    <x v="7"/>
    <n v="16454.6093755656"/>
    <x v="9"/>
    <x v="9"/>
  </r>
  <r>
    <x v="5"/>
    <x v="12"/>
    <x v="0"/>
    <x v="3"/>
    <x v="39"/>
    <x v="7"/>
    <n v="54766.537768467402"/>
    <x v="9"/>
    <x v="9"/>
  </r>
  <r>
    <x v="5"/>
    <x v="12"/>
    <x v="0"/>
    <x v="3"/>
    <x v="40"/>
    <x v="7"/>
    <n v="76936.653254963894"/>
    <x v="9"/>
    <x v="9"/>
  </r>
  <r>
    <x v="5"/>
    <x v="12"/>
    <x v="0"/>
    <x v="3"/>
    <x v="41"/>
    <x v="7"/>
    <n v="57948.2574183791"/>
    <x v="9"/>
    <x v="9"/>
  </r>
  <r>
    <x v="5"/>
    <x v="12"/>
    <x v="0"/>
    <x v="3"/>
    <x v="42"/>
    <x v="7"/>
    <n v="140791.38270547899"/>
    <x v="9"/>
    <x v="9"/>
  </r>
  <r>
    <x v="5"/>
    <x v="12"/>
    <x v="0"/>
    <x v="3"/>
    <x v="43"/>
    <x v="7"/>
    <n v="173538.64051525999"/>
    <x v="9"/>
    <x v="9"/>
  </r>
  <r>
    <x v="5"/>
    <x v="12"/>
    <x v="0"/>
    <x v="3"/>
    <x v="44"/>
    <x v="7"/>
    <n v="85021.598121724601"/>
    <x v="9"/>
    <x v="9"/>
  </r>
  <r>
    <x v="5"/>
    <x v="12"/>
    <x v="0"/>
    <x v="3"/>
    <x v="45"/>
    <x v="7"/>
    <n v="59808.378037293201"/>
    <x v="9"/>
    <x v="9"/>
  </r>
  <r>
    <x v="5"/>
    <x v="17"/>
    <x v="0"/>
    <x v="2"/>
    <x v="24"/>
    <x v="7"/>
    <n v="0"/>
    <x v="14"/>
    <x v="14"/>
  </r>
  <r>
    <x v="5"/>
    <x v="17"/>
    <x v="0"/>
    <x v="2"/>
    <x v="25"/>
    <x v="7"/>
    <n v="0"/>
    <x v="14"/>
    <x v="14"/>
  </r>
  <r>
    <x v="5"/>
    <x v="17"/>
    <x v="0"/>
    <x v="2"/>
    <x v="29"/>
    <x v="7"/>
    <n v="0"/>
    <x v="14"/>
    <x v="14"/>
  </r>
  <r>
    <x v="5"/>
    <x v="17"/>
    <x v="0"/>
    <x v="2"/>
    <x v="30"/>
    <x v="7"/>
    <n v="0"/>
    <x v="14"/>
    <x v="14"/>
  </r>
  <r>
    <x v="5"/>
    <x v="17"/>
    <x v="0"/>
    <x v="2"/>
    <x v="31"/>
    <x v="7"/>
    <n v="0"/>
    <x v="14"/>
    <x v="14"/>
  </r>
  <r>
    <x v="5"/>
    <x v="17"/>
    <x v="0"/>
    <x v="2"/>
    <x v="32"/>
    <x v="7"/>
    <n v="313.63829925756698"/>
    <x v="14"/>
    <x v="14"/>
  </r>
  <r>
    <x v="5"/>
    <x v="17"/>
    <x v="0"/>
    <x v="2"/>
    <x v="33"/>
    <x v="7"/>
    <n v="308.81259165085402"/>
    <x v="14"/>
    <x v="14"/>
  </r>
  <r>
    <x v="5"/>
    <x v="17"/>
    <x v="0"/>
    <x v="2"/>
    <x v="34"/>
    <x v="7"/>
    <n v="303.57976641540301"/>
    <x v="14"/>
    <x v="14"/>
  </r>
  <r>
    <x v="5"/>
    <x v="17"/>
    <x v="0"/>
    <x v="2"/>
    <x v="35"/>
    <x v="7"/>
    <n v="300.45264519650698"/>
    <x v="14"/>
    <x v="14"/>
  </r>
  <r>
    <x v="5"/>
    <x v="17"/>
    <x v="0"/>
    <x v="3"/>
    <x v="36"/>
    <x v="7"/>
    <n v="291.08739383938399"/>
    <x v="14"/>
    <x v="14"/>
  </r>
  <r>
    <x v="5"/>
    <x v="17"/>
    <x v="0"/>
    <x v="3"/>
    <x v="38"/>
    <x v="7"/>
    <n v="0"/>
    <x v="14"/>
    <x v="14"/>
  </r>
  <r>
    <x v="5"/>
    <x v="13"/>
    <x v="0"/>
    <x v="2"/>
    <x v="24"/>
    <x v="7"/>
    <n v="0"/>
    <x v="10"/>
    <x v="10"/>
  </r>
  <r>
    <x v="5"/>
    <x v="13"/>
    <x v="0"/>
    <x v="2"/>
    <x v="25"/>
    <x v="7"/>
    <n v="0"/>
    <x v="10"/>
    <x v="10"/>
  </r>
  <r>
    <x v="5"/>
    <x v="13"/>
    <x v="0"/>
    <x v="2"/>
    <x v="26"/>
    <x v="7"/>
    <n v="0"/>
    <x v="10"/>
    <x v="10"/>
  </r>
  <r>
    <x v="5"/>
    <x v="13"/>
    <x v="0"/>
    <x v="2"/>
    <x v="27"/>
    <x v="7"/>
    <n v="13249.825161577999"/>
    <x v="10"/>
    <x v="10"/>
  </r>
  <r>
    <x v="5"/>
    <x v="13"/>
    <x v="0"/>
    <x v="2"/>
    <x v="28"/>
    <x v="7"/>
    <n v="9137.80635552075"/>
    <x v="10"/>
    <x v="10"/>
  </r>
  <r>
    <x v="5"/>
    <x v="13"/>
    <x v="0"/>
    <x v="2"/>
    <x v="29"/>
    <x v="7"/>
    <n v="218.17160331230301"/>
    <x v="10"/>
    <x v="10"/>
  </r>
  <r>
    <x v="5"/>
    <x v="13"/>
    <x v="0"/>
    <x v="2"/>
    <x v="30"/>
    <x v="7"/>
    <n v="887.61544469393698"/>
    <x v="10"/>
    <x v="10"/>
  </r>
  <r>
    <x v="5"/>
    <x v="13"/>
    <x v="0"/>
    <x v="2"/>
    <x v="31"/>
    <x v="7"/>
    <n v="174.17921270718199"/>
    <x v="10"/>
    <x v="10"/>
  </r>
  <r>
    <x v="5"/>
    <x v="13"/>
    <x v="0"/>
    <x v="2"/>
    <x v="32"/>
    <x v="7"/>
    <n v="78.133427565200805"/>
    <x v="10"/>
    <x v="10"/>
  </r>
  <r>
    <x v="5"/>
    <x v="13"/>
    <x v="0"/>
    <x v="2"/>
    <x v="33"/>
    <x v="7"/>
    <n v="16203.720402941201"/>
    <x v="10"/>
    <x v="10"/>
  </r>
  <r>
    <x v="5"/>
    <x v="13"/>
    <x v="0"/>
    <x v="2"/>
    <x v="34"/>
    <x v="7"/>
    <n v="0"/>
    <x v="10"/>
    <x v="10"/>
  </r>
  <r>
    <x v="5"/>
    <x v="13"/>
    <x v="0"/>
    <x v="2"/>
    <x v="35"/>
    <x v="7"/>
    <n v="0"/>
    <x v="10"/>
    <x v="10"/>
  </r>
  <r>
    <x v="5"/>
    <x v="13"/>
    <x v="0"/>
    <x v="3"/>
    <x v="36"/>
    <x v="7"/>
    <n v="1927.6021902273601"/>
    <x v="10"/>
    <x v="10"/>
  </r>
  <r>
    <x v="5"/>
    <x v="13"/>
    <x v="0"/>
    <x v="3"/>
    <x v="37"/>
    <x v="7"/>
    <n v="177.31536981440999"/>
    <x v="10"/>
    <x v="10"/>
  </r>
  <r>
    <x v="5"/>
    <x v="13"/>
    <x v="0"/>
    <x v="3"/>
    <x v="38"/>
    <x v="7"/>
    <n v="0"/>
    <x v="10"/>
    <x v="10"/>
  </r>
  <r>
    <x v="5"/>
    <x v="13"/>
    <x v="0"/>
    <x v="3"/>
    <x v="39"/>
    <x v="7"/>
    <n v="0"/>
    <x v="10"/>
    <x v="10"/>
  </r>
  <r>
    <x v="5"/>
    <x v="13"/>
    <x v="0"/>
    <x v="3"/>
    <x v="40"/>
    <x v="7"/>
    <n v="0"/>
    <x v="10"/>
    <x v="10"/>
  </r>
  <r>
    <x v="5"/>
    <x v="13"/>
    <x v="0"/>
    <x v="3"/>
    <x v="41"/>
    <x v="7"/>
    <n v="0"/>
    <x v="10"/>
    <x v="10"/>
  </r>
  <r>
    <x v="5"/>
    <x v="13"/>
    <x v="0"/>
    <x v="3"/>
    <x v="42"/>
    <x v="7"/>
    <n v="0"/>
    <x v="10"/>
    <x v="10"/>
  </r>
  <r>
    <x v="5"/>
    <x v="13"/>
    <x v="0"/>
    <x v="3"/>
    <x v="43"/>
    <x v="7"/>
    <n v="0"/>
    <x v="10"/>
    <x v="10"/>
  </r>
  <r>
    <x v="5"/>
    <x v="13"/>
    <x v="0"/>
    <x v="3"/>
    <x v="44"/>
    <x v="7"/>
    <n v="143.32995948095399"/>
    <x v="10"/>
    <x v="10"/>
  </r>
  <r>
    <x v="5"/>
    <x v="13"/>
    <x v="0"/>
    <x v="3"/>
    <x v="45"/>
    <x v="7"/>
    <n v="144.86272835507299"/>
    <x v="10"/>
    <x v="10"/>
  </r>
  <r>
    <x v="5"/>
    <x v="14"/>
    <x v="0"/>
    <x v="2"/>
    <x v="24"/>
    <x v="7"/>
    <n v="0"/>
    <x v="11"/>
    <x v="11"/>
  </r>
  <r>
    <x v="5"/>
    <x v="14"/>
    <x v="0"/>
    <x v="2"/>
    <x v="25"/>
    <x v="7"/>
    <n v="0"/>
    <x v="11"/>
    <x v="11"/>
  </r>
  <r>
    <x v="5"/>
    <x v="14"/>
    <x v="0"/>
    <x v="2"/>
    <x v="26"/>
    <x v="7"/>
    <n v="0"/>
    <x v="11"/>
    <x v="11"/>
  </r>
  <r>
    <x v="5"/>
    <x v="14"/>
    <x v="0"/>
    <x v="2"/>
    <x v="27"/>
    <x v="7"/>
    <n v="0"/>
    <x v="11"/>
    <x v="11"/>
  </r>
  <r>
    <x v="5"/>
    <x v="14"/>
    <x v="0"/>
    <x v="2"/>
    <x v="28"/>
    <x v="7"/>
    <n v="0"/>
    <x v="11"/>
    <x v="11"/>
  </r>
  <r>
    <x v="5"/>
    <x v="14"/>
    <x v="0"/>
    <x v="2"/>
    <x v="29"/>
    <x v="7"/>
    <n v="0"/>
    <x v="11"/>
    <x v="11"/>
  </r>
  <r>
    <x v="5"/>
    <x v="14"/>
    <x v="0"/>
    <x v="2"/>
    <x v="30"/>
    <x v="7"/>
    <n v="0"/>
    <x v="11"/>
    <x v="11"/>
  </r>
  <r>
    <x v="5"/>
    <x v="14"/>
    <x v="0"/>
    <x v="2"/>
    <x v="31"/>
    <x v="7"/>
    <n v="0"/>
    <x v="11"/>
    <x v="11"/>
  </r>
  <r>
    <x v="5"/>
    <x v="14"/>
    <x v="0"/>
    <x v="2"/>
    <x v="32"/>
    <x v="7"/>
    <n v="0"/>
    <x v="11"/>
    <x v="11"/>
  </r>
  <r>
    <x v="5"/>
    <x v="14"/>
    <x v="0"/>
    <x v="2"/>
    <x v="33"/>
    <x v="7"/>
    <n v="0"/>
    <x v="11"/>
    <x v="11"/>
  </r>
  <r>
    <x v="5"/>
    <x v="14"/>
    <x v="0"/>
    <x v="2"/>
    <x v="34"/>
    <x v="7"/>
    <n v="0"/>
    <x v="11"/>
    <x v="11"/>
  </r>
  <r>
    <x v="5"/>
    <x v="14"/>
    <x v="0"/>
    <x v="2"/>
    <x v="35"/>
    <x v="7"/>
    <n v="0"/>
    <x v="11"/>
    <x v="11"/>
  </r>
  <r>
    <x v="5"/>
    <x v="14"/>
    <x v="0"/>
    <x v="3"/>
    <x v="36"/>
    <x v="7"/>
    <n v="0"/>
    <x v="11"/>
    <x v="11"/>
  </r>
  <r>
    <x v="5"/>
    <x v="14"/>
    <x v="0"/>
    <x v="3"/>
    <x v="37"/>
    <x v="7"/>
    <n v="0"/>
    <x v="11"/>
    <x v="11"/>
  </r>
  <r>
    <x v="5"/>
    <x v="14"/>
    <x v="0"/>
    <x v="3"/>
    <x v="38"/>
    <x v="7"/>
    <n v="0"/>
    <x v="11"/>
    <x v="11"/>
  </r>
  <r>
    <x v="5"/>
    <x v="14"/>
    <x v="0"/>
    <x v="3"/>
    <x v="39"/>
    <x v="7"/>
    <n v="0"/>
    <x v="11"/>
    <x v="11"/>
  </r>
  <r>
    <x v="5"/>
    <x v="14"/>
    <x v="0"/>
    <x v="3"/>
    <x v="40"/>
    <x v="7"/>
    <n v="0"/>
    <x v="11"/>
    <x v="11"/>
  </r>
  <r>
    <x v="5"/>
    <x v="14"/>
    <x v="0"/>
    <x v="3"/>
    <x v="41"/>
    <x v="7"/>
    <n v="0"/>
    <x v="11"/>
    <x v="11"/>
  </r>
  <r>
    <x v="5"/>
    <x v="14"/>
    <x v="0"/>
    <x v="3"/>
    <x v="42"/>
    <x v="7"/>
    <n v="0"/>
    <x v="11"/>
    <x v="11"/>
  </r>
  <r>
    <x v="5"/>
    <x v="14"/>
    <x v="0"/>
    <x v="3"/>
    <x v="43"/>
    <x v="7"/>
    <n v="0"/>
    <x v="11"/>
    <x v="11"/>
  </r>
  <r>
    <x v="5"/>
    <x v="14"/>
    <x v="0"/>
    <x v="3"/>
    <x v="44"/>
    <x v="7"/>
    <n v="0"/>
    <x v="11"/>
    <x v="11"/>
  </r>
  <r>
    <x v="5"/>
    <x v="15"/>
    <x v="0"/>
    <x v="2"/>
    <x v="24"/>
    <x v="7"/>
    <n v="43214.8878767606"/>
    <x v="12"/>
    <x v="12"/>
  </r>
  <r>
    <x v="5"/>
    <x v="15"/>
    <x v="0"/>
    <x v="2"/>
    <x v="25"/>
    <x v="7"/>
    <n v="9597.1268686897092"/>
    <x v="12"/>
    <x v="12"/>
  </r>
  <r>
    <x v="5"/>
    <x v="15"/>
    <x v="0"/>
    <x v="2"/>
    <x v="26"/>
    <x v="7"/>
    <n v="6728.9272836826303"/>
    <x v="12"/>
    <x v="12"/>
  </r>
  <r>
    <x v="5"/>
    <x v="15"/>
    <x v="0"/>
    <x v="2"/>
    <x v="27"/>
    <x v="7"/>
    <n v="16128.1088802947"/>
    <x v="12"/>
    <x v="12"/>
  </r>
  <r>
    <x v="5"/>
    <x v="15"/>
    <x v="0"/>
    <x v="2"/>
    <x v="28"/>
    <x v="7"/>
    <n v="16529.283594361801"/>
    <x v="12"/>
    <x v="12"/>
  </r>
  <r>
    <x v="5"/>
    <x v="15"/>
    <x v="0"/>
    <x v="2"/>
    <x v="29"/>
    <x v="7"/>
    <n v="9495.3024029968492"/>
    <x v="12"/>
    <x v="12"/>
  </r>
  <r>
    <x v="5"/>
    <x v="15"/>
    <x v="0"/>
    <x v="2"/>
    <x v="30"/>
    <x v="7"/>
    <n v="45809.393519671998"/>
    <x v="12"/>
    <x v="12"/>
  </r>
  <r>
    <x v="5"/>
    <x v="15"/>
    <x v="0"/>
    <x v="2"/>
    <x v="31"/>
    <x v="7"/>
    <n v="24394.3627485201"/>
    <x v="12"/>
    <x v="12"/>
  </r>
  <r>
    <x v="5"/>
    <x v="15"/>
    <x v="0"/>
    <x v="2"/>
    <x v="32"/>
    <x v="7"/>
    <n v="115421.70433114401"/>
    <x v="12"/>
    <x v="12"/>
  </r>
  <r>
    <x v="5"/>
    <x v="15"/>
    <x v="0"/>
    <x v="2"/>
    <x v="33"/>
    <x v="7"/>
    <n v="191424.685443833"/>
    <x v="12"/>
    <x v="12"/>
  </r>
  <r>
    <x v="5"/>
    <x v="15"/>
    <x v="0"/>
    <x v="2"/>
    <x v="34"/>
    <x v="7"/>
    <n v="145865.408030333"/>
    <x v="12"/>
    <x v="12"/>
  </r>
  <r>
    <x v="5"/>
    <x v="15"/>
    <x v="0"/>
    <x v="2"/>
    <x v="35"/>
    <x v="7"/>
    <n v="177347.573509643"/>
    <x v="12"/>
    <x v="12"/>
  </r>
  <r>
    <x v="5"/>
    <x v="15"/>
    <x v="0"/>
    <x v="3"/>
    <x v="36"/>
    <x v="7"/>
    <n v="76712.051324165703"/>
    <x v="12"/>
    <x v="12"/>
  </r>
  <r>
    <x v="5"/>
    <x v="15"/>
    <x v="0"/>
    <x v="3"/>
    <x v="37"/>
    <x v="7"/>
    <n v="42304.873429221298"/>
    <x v="12"/>
    <x v="12"/>
  </r>
  <r>
    <x v="5"/>
    <x v="15"/>
    <x v="0"/>
    <x v="3"/>
    <x v="38"/>
    <x v="7"/>
    <n v="76812.091947511304"/>
    <x v="12"/>
    <x v="12"/>
  </r>
  <r>
    <x v="5"/>
    <x v="15"/>
    <x v="0"/>
    <x v="3"/>
    <x v="39"/>
    <x v="7"/>
    <n v="57390.7609221983"/>
    <x v="12"/>
    <x v="12"/>
  </r>
  <r>
    <x v="5"/>
    <x v="15"/>
    <x v="0"/>
    <x v="3"/>
    <x v="40"/>
    <x v="7"/>
    <n v="93230.497143321307"/>
    <x v="12"/>
    <x v="12"/>
  </r>
  <r>
    <x v="5"/>
    <x v="15"/>
    <x v="0"/>
    <x v="3"/>
    <x v="41"/>
    <x v="7"/>
    <n v="263922.49055955902"/>
    <x v="12"/>
    <x v="12"/>
  </r>
  <r>
    <x v="5"/>
    <x v="15"/>
    <x v="0"/>
    <x v="3"/>
    <x v="42"/>
    <x v="7"/>
    <n v="144421.18927711601"/>
    <x v="12"/>
    <x v="12"/>
  </r>
  <r>
    <x v="5"/>
    <x v="15"/>
    <x v="0"/>
    <x v="3"/>
    <x v="43"/>
    <x v="7"/>
    <n v="101431.397487801"/>
    <x v="12"/>
    <x v="12"/>
  </r>
  <r>
    <x v="5"/>
    <x v="15"/>
    <x v="0"/>
    <x v="3"/>
    <x v="44"/>
    <x v="7"/>
    <n v="104647.299486982"/>
    <x v="12"/>
    <x v="12"/>
  </r>
  <r>
    <x v="5"/>
    <x v="15"/>
    <x v="0"/>
    <x v="3"/>
    <x v="45"/>
    <x v="7"/>
    <n v="20125.5182904666"/>
    <x v="12"/>
    <x v="12"/>
  </r>
  <r>
    <x v="5"/>
    <x v="16"/>
    <x v="0"/>
    <x v="2"/>
    <x v="24"/>
    <x v="7"/>
    <n v="0"/>
    <x v="13"/>
    <x v="13"/>
  </r>
  <r>
    <x v="5"/>
    <x v="16"/>
    <x v="0"/>
    <x v="2"/>
    <x v="25"/>
    <x v="7"/>
    <n v="0"/>
    <x v="13"/>
    <x v="13"/>
  </r>
  <r>
    <x v="5"/>
    <x v="16"/>
    <x v="0"/>
    <x v="2"/>
    <x v="26"/>
    <x v="7"/>
    <n v="0"/>
    <x v="13"/>
    <x v="13"/>
  </r>
  <r>
    <x v="5"/>
    <x v="16"/>
    <x v="0"/>
    <x v="2"/>
    <x v="27"/>
    <x v="7"/>
    <n v="0"/>
    <x v="13"/>
    <x v="13"/>
  </r>
  <r>
    <x v="5"/>
    <x v="16"/>
    <x v="0"/>
    <x v="2"/>
    <x v="28"/>
    <x v="7"/>
    <n v="0"/>
    <x v="13"/>
    <x v="13"/>
  </r>
  <r>
    <x v="5"/>
    <x v="16"/>
    <x v="0"/>
    <x v="2"/>
    <x v="29"/>
    <x v="7"/>
    <n v="0"/>
    <x v="13"/>
    <x v="13"/>
  </r>
  <r>
    <x v="5"/>
    <x v="16"/>
    <x v="0"/>
    <x v="2"/>
    <x v="30"/>
    <x v="7"/>
    <n v="0"/>
    <x v="13"/>
    <x v="13"/>
  </r>
  <r>
    <x v="5"/>
    <x v="16"/>
    <x v="0"/>
    <x v="2"/>
    <x v="31"/>
    <x v="7"/>
    <n v="0"/>
    <x v="13"/>
    <x v="13"/>
  </r>
  <r>
    <x v="5"/>
    <x v="16"/>
    <x v="0"/>
    <x v="2"/>
    <x v="32"/>
    <x v="7"/>
    <n v="0"/>
    <x v="13"/>
    <x v="13"/>
  </r>
  <r>
    <x v="5"/>
    <x v="16"/>
    <x v="0"/>
    <x v="2"/>
    <x v="33"/>
    <x v="7"/>
    <n v="0"/>
    <x v="13"/>
    <x v="13"/>
  </r>
  <r>
    <x v="5"/>
    <x v="16"/>
    <x v="0"/>
    <x v="2"/>
    <x v="34"/>
    <x v="7"/>
    <n v="0"/>
    <x v="13"/>
    <x v="13"/>
  </r>
  <r>
    <x v="5"/>
    <x v="16"/>
    <x v="0"/>
    <x v="2"/>
    <x v="35"/>
    <x v="7"/>
    <n v="0"/>
    <x v="13"/>
    <x v="13"/>
  </r>
  <r>
    <x v="5"/>
    <x v="16"/>
    <x v="0"/>
    <x v="3"/>
    <x v="36"/>
    <x v="7"/>
    <n v="0"/>
    <x v="13"/>
    <x v="13"/>
  </r>
  <r>
    <x v="5"/>
    <x v="16"/>
    <x v="0"/>
    <x v="3"/>
    <x v="37"/>
    <x v="7"/>
    <n v="0"/>
    <x v="13"/>
    <x v="13"/>
  </r>
  <r>
    <x v="5"/>
    <x v="16"/>
    <x v="0"/>
    <x v="3"/>
    <x v="38"/>
    <x v="7"/>
    <n v="0"/>
    <x v="13"/>
    <x v="13"/>
  </r>
  <r>
    <x v="5"/>
    <x v="16"/>
    <x v="0"/>
    <x v="3"/>
    <x v="39"/>
    <x v="7"/>
    <n v="0"/>
    <x v="13"/>
    <x v="13"/>
  </r>
  <r>
    <x v="5"/>
    <x v="16"/>
    <x v="0"/>
    <x v="3"/>
    <x v="40"/>
    <x v="7"/>
    <n v="0"/>
    <x v="13"/>
    <x v="13"/>
  </r>
  <r>
    <x v="5"/>
    <x v="16"/>
    <x v="0"/>
    <x v="3"/>
    <x v="41"/>
    <x v="7"/>
    <n v="0"/>
    <x v="13"/>
    <x v="13"/>
  </r>
  <r>
    <x v="5"/>
    <x v="16"/>
    <x v="0"/>
    <x v="3"/>
    <x v="42"/>
    <x v="7"/>
    <n v="0"/>
    <x v="13"/>
    <x v="13"/>
  </r>
  <r>
    <x v="5"/>
    <x v="16"/>
    <x v="0"/>
    <x v="3"/>
    <x v="43"/>
    <x v="7"/>
    <n v="0"/>
    <x v="13"/>
    <x v="13"/>
  </r>
  <r>
    <x v="5"/>
    <x v="16"/>
    <x v="0"/>
    <x v="3"/>
    <x v="44"/>
    <x v="7"/>
    <n v="0"/>
    <x v="13"/>
    <x v="13"/>
  </r>
  <r>
    <x v="5"/>
    <x v="16"/>
    <x v="0"/>
    <x v="3"/>
    <x v="45"/>
    <x v="7"/>
    <n v="0"/>
    <x v="13"/>
    <x v="13"/>
  </r>
  <r>
    <x v="6"/>
    <x v="4"/>
    <x v="0"/>
    <x v="3"/>
    <x v="45"/>
    <x v="0"/>
    <n v="2163193.2136166738"/>
    <x v="1"/>
    <x v="1"/>
  </r>
  <r>
    <x v="6"/>
    <x v="5"/>
    <x v="0"/>
    <x v="3"/>
    <x v="45"/>
    <x v="0"/>
    <n v="13931.73583513684"/>
    <x v="2"/>
    <x v="2"/>
  </r>
  <r>
    <x v="6"/>
    <x v="6"/>
    <x v="0"/>
    <x v="3"/>
    <x v="45"/>
    <x v="0"/>
    <n v="3457547.3875234909"/>
    <x v="3"/>
    <x v="3"/>
  </r>
  <r>
    <x v="6"/>
    <x v="7"/>
    <x v="0"/>
    <x v="3"/>
    <x v="45"/>
    <x v="0"/>
    <n v="89628.385028938152"/>
    <x v="4"/>
    <x v="4"/>
  </r>
  <r>
    <x v="6"/>
    <x v="8"/>
    <x v="0"/>
    <x v="3"/>
    <x v="45"/>
    <x v="0"/>
    <n v="1967.7772664656466"/>
    <x v="5"/>
    <x v="5"/>
  </r>
  <r>
    <x v="6"/>
    <x v="9"/>
    <x v="0"/>
    <x v="3"/>
    <x v="45"/>
    <x v="0"/>
    <n v="37100824.411994025"/>
    <x v="6"/>
    <x v="6"/>
  </r>
  <r>
    <x v="6"/>
    <x v="11"/>
    <x v="0"/>
    <x v="3"/>
    <x v="45"/>
    <x v="0"/>
    <n v="2927061.8063072055"/>
    <x v="8"/>
    <x v="8"/>
  </r>
  <r>
    <x v="6"/>
    <x v="12"/>
    <x v="0"/>
    <x v="3"/>
    <x v="45"/>
    <x v="0"/>
    <n v="21078151.577785008"/>
    <x v="9"/>
    <x v="9"/>
  </r>
  <r>
    <x v="6"/>
    <x v="17"/>
    <x v="0"/>
    <x v="3"/>
    <x v="45"/>
    <x v="0"/>
    <n v="0"/>
    <x v="14"/>
    <x v="14"/>
  </r>
  <r>
    <x v="6"/>
    <x v="13"/>
    <x v="0"/>
    <x v="3"/>
    <x v="45"/>
    <x v="0"/>
    <n v="16.240186247422969"/>
    <x v="10"/>
    <x v="10"/>
  </r>
  <r>
    <x v="6"/>
    <x v="14"/>
    <x v="0"/>
    <x v="3"/>
    <x v="45"/>
    <x v="0"/>
    <n v="3226.0075286874326"/>
    <x v="11"/>
    <x v="11"/>
  </r>
  <r>
    <x v="6"/>
    <x v="15"/>
    <x v="0"/>
    <x v="3"/>
    <x v="45"/>
    <x v="0"/>
    <n v="4180429.3240331807"/>
    <x v="12"/>
    <x v="12"/>
  </r>
  <r>
    <x v="6"/>
    <x v="16"/>
    <x v="0"/>
    <x v="3"/>
    <x v="45"/>
    <x v="0"/>
    <n v="168.30943999551212"/>
    <x v="13"/>
    <x v="13"/>
  </r>
  <r>
    <x v="7"/>
    <x v="4"/>
    <x v="0"/>
    <x v="2"/>
    <x v="24"/>
    <x v="7"/>
    <n v="29011.299893810199"/>
    <x v="1"/>
    <x v="1"/>
  </r>
  <r>
    <x v="7"/>
    <x v="4"/>
    <x v="0"/>
    <x v="2"/>
    <x v="25"/>
    <x v="7"/>
    <n v="137120.967747307"/>
    <x v="1"/>
    <x v="1"/>
  </r>
  <r>
    <x v="7"/>
    <x v="4"/>
    <x v="0"/>
    <x v="2"/>
    <x v="26"/>
    <x v="7"/>
    <n v="67759.544054640704"/>
    <x v="1"/>
    <x v="1"/>
  </r>
  <r>
    <x v="7"/>
    <x v="4"/>
    <x v="0"/>
    <x v="2"/>
    <x v="27"/>
    <x v="7"/>
    <n v="31159.944213434101"/>
    <x v="1"/>
    <x v="1"/>
  </r>
  <r>
    <x v="7"/>
    <x v="4"/>
    <x v="0"/>
    <x v="2"/>
    <x v="28"/>
    <x v="7"/>
    <n v="6103.66549099452"/>
    <x v="1"/>
    <x v="1"/>
  </r>
  <r>
    <x v="7"/>
    <x v="4"/>
    <x v="0"/>
    <x v="2"/>
    <x v="29"/>
    <x v="7"/>
    <n v="18286.895774447901"/>
    <x v="1"/>
    <x v="1"/>
  </r>
  <r>
    <x v="7"/>
    <x v="4"/>
    <x v="0"/>
    <x v="2"/>
    <x v="30"/>
    <x v="7"/>
    <n v="5666.0466970614098"/>
    <x v="1"/>
    <x v="1"/>
  </r>
  <r>
    <x v="7"/>
    <x v="4"/>
    <x v="0"/>
    <x v="2"/>
    <x v="31"/>
    <x v="7"/>
    <n v="431.98103601026003"/>
    <x v="1"/>
    <x v="1"/>
  </r>
  <r>
    <x v="7"/>
    <x v="4"/>
    <x v="0"/>
    <x v="2"/>
    <x v="32"/>
    <x v="7"/>
    <n v="43234.149383875898"/>
    <x v="1"/>
    <x v="1"/>
  </r>
  <r>
    <x v="7"/>
    <x v="4"/>
    <x v="0"/>
    <x v="2"/>
    <x v="33"/>
    <x v="7"/>
    <n v="29441.4612412713"/>
    <x v="1"/>
    <x v="1"/>
  </r>
  <r>
    <x v="7"/>
    <x v="4"/>
    <x v="0"/>
    <x v="2"/>
    <x v="34"/>
    <x v="7"/>
    <n v="38548.451194078603"/>
    <x v="1"/>
    <x v="1"/>
  </r>
  <r>
    <x v="7"/>
    <x v="4"/>
    <x v="0"/>
    <x v="2"/>
    <x v="35"/>
    <x v="7"/>
    <n v="41742.081443868301"/>
    <x v="1"/>
    <x v="1"/>
  </r>
  <r>
    <x v="7"/>
    <x v="4"/>
    <x v="0"/>
    <x v="3"/>
    <x v="36"/>
    <x v="7"/>
    <n v="58074.528142830903"/>
    <x v="1"/>
    <x v="1"/>
  </r>
  <r>
    <x v="7"/>
    <x v="4"/>
    <x v="0"/>
    <x v="3"/>
    <x v="37"/>
    <x v="7"/>
    <n v="131531.616606714"/>
    <x v="1"/>
    <x v="1"/>
  </r>
  <r>
    <x v="7"/>
    <x v="4"/>
    <x v="0"/>
    <x v="3"/>
    <x v="38"/>
    <x v="7"/>
    <n v="135027.010237104"/>
    <x v="1"/>
    <x v="1"/>
  </r>
  <r>
    <x v="7"/>
    <x v="4"/>
    <x v="0"/>
    <x v="3"/>
    <x v="39"/>
    <x v="7"/>
    <n v="189328.405611366"/>
    <x v="1"/>
    <x v="1"/>
  </r>
  <r>
    <x v="7"/>
    <x v="4"/>
    <x v="0"/>
    <x v="3"/>
    <x v="40"/>
    <x v="7"/>
    <n v="113796.075921119"/>
    <x v="1"/>
    <x v="1"/>
  </r>
  <r>
    <x v="7"/>
    <x v="4"/>
    <x v="0"/>
    <x v="3"/>
    <x v="41"/>
    <x v="7"/>
    <n v="295493.72819722397"/>
    <x v="1"/>
    <x v="1"/>
  </r>
  <r>
    <x v="7"/>
    <x v="4"/>
    <x v="0"/>
    <x v="3"/>
    <x v="42"/>
    <x v="7"/>
    <n v="132729.23281454199"/>
    <x v="1"/>
    <x v="1"/>
  </r>
  <r>
    <x v="7"/>
    <x v="4"/>
    <x v="0"/>
    <x v="3"/>
    <x v="43"/>
    <x v="7"/>
    <n v="28592.5790809317"/>
    <x v="1"/>
    <x v="1"/>
  </r>
  <r>
    <x v="7"/>
    <x v="4"/>
    <x v="0"/>
    <x v="3"/>
    <x v="44"/>
    <x v="7"/>
    <n v="88691.827190958604"/>
    <x v="1"/>
    <x v="1"/>
  </r>
  <r>
    <x v="7"/>
    <x v="4"/>
    <x v="0"/>
    <x v="3"/>
    <x v="45"/>
    <x v="7"/>
    <n v="40873.7303284601"/>
    <x v="1"/>
    <x v="1"/>
  </r>
  <r>
    <x v="7"/>
    <x v="5"/>
    <x v="0"/>
    <x v="2"/>
    <x v="24"/>
    <x v="7"/>
    <n v="9413.8476585433691"/>
    <x v="2"/>
    <x v="2"/>
  </r>
  <r>
    <x v="7"/>
    <x v="5"/>
    <x v="0"/>
    <x v="2"/>
    <x v="25"/>
    <x v="7"/>
    <n v="0"/>
    <x v="2"/>
    <x v="2"/>
  </r>
  <r>
    <x v="7"/>
    <x v="5"/>
    <x v="0"/>
    <x v="2"/>
    <x v="26"/>
    <x v="7"/>
    <n v="0"/>
    <x v="2"/>
    <x v="2"/>
  </r>
  <r>
    <x v="7"/>
    <x v="5"/>
    <x v="0"/>
    <x v="2"/>
    <x v="27"/>
    <x v="7"/>
    <n v="0"/>
    <x v="2"/>
    <x v="2"/>
  </r>
  <r>
    <x v="7"/>
    <x v="5"/>
    <x v="0"/>
    <x v="2"/>
    <x v="28"/>
    <x v="7"/>
    <n v="0"/>
    <x v="2"/>
    <x v="2"/>
  </r>
  <r>
    <x v="7"/>
    <x v="5"/>
    <x v="0"/>
    <x v="2"/>
    <x v="29"/>
    <x v="7"/>
    <n v="0"/>
    <x v="2"/>
    <x v="2"/>
  </r>
  <r>
    <x v="7"/>
    <x v="5"/>
    <x v="0"/>
    <x v="2"/>
    <x v="30"/>
    <x v="7"/>
    <n v="0"/>
    <x v="2"/>
    <x v="2"/>
  </r>
  <r>
    <x v="7"/>
    <x v="5"/>
    <x v="0"/>
    <x v="2"/>
    <x v="31"/>
    <x v="7"/>
    <n v="573.19890627466498"/>
    <x v="2"/>
    <x v="2"/>
  </r>
  <r>
    <x v="7"/>
    <x v="5"/>
    <x v="0"/>
    <x v="2"/>
    <x v="32"/>
    <x v="7"/>
    <n v="0"/>
    <x v="2"/>
    <x v="2"/>
  </r>
  <r>
    <x v="7"/>
    <x v="5"/>
    <x v="0"/>
    <x v="2"/>
    <x v="33"/>
    <x v="7"/>
    <n v="555.95223149905098"/>
    <x v="2"/>
    <x v="2"/>
  </r>
  <r>
    <x v="7"/>
    <x v="5"/>
    <x v="0"/>
    <x v="2"/>
    <x v="34"/>
    <x v="7"/>
    <n v="0"/>
    <x v="2"/>
    <x v="2"/>
  </r>
  <r>
    <x v="7"/>
    <x v="5"/>
    <x v="0"/>
    <x v="2"/>
    <x v="35"/>
    <x v="7"/>
    <n v="0"/>
    <x v="2"/>
    <x v="2"/>
  </r>
  <r>
    <x v="7"/>
    <x v="5"/>
    <x v="0"/>
    <x v="3"/>
    <x v="36"/>
    <x v="7"/>
    <n v="0"/>
    <x v="2"/>
    <x v="2"/>
  </r>
  <r>
    <x v="7"/>
    <x v="5"/>
    <x v="0"/>
    <x v="3"/>
    <x v="37"/>
    <x v="7"/>
    <n v="0"/>
    <x v="2"/>
    <x v="2"/>
  </r>
  <r>
    <x v="7"/>
    <x v="5"/>
    <x v="0"/>
    <x v="3"/>
    <x v="38"/>
    <x v="7"/>
    <n v="0"/>
    <x v="2"/>
    <x v="2"/>
  </r>
  <r>
    <x v="7"/>
    <x v="5"/>
    <x v="0"/>
    <x v="3"/>
    <x v="39"/>
    <x v="7"/>
    <n v="0"/>
    <x v="2"/>
    <x v="2"/>
  </r>
  <r>
    <x v="7"/>
    <x v="5"/>
    <x v="0"/>
    <x v="3"/>
    <x v="40"/>
    <x v="7"/>
    <n v="606.185723555957"/>
    <x v="2"/>
    <x v="2"/>
  </r>
  <r>
    <x v="7"/>
    <x v="5"/>
    <x v="0"/>
    <x v="3"/>
    <x v="41"/>
    <x v="7"/>
    <n v="0"/>
    <x v="2"/>
    <x v="2"/>
  </r>
  <r>
    <x v="7"/>
    <x v="5"/>
    <x v="0"/>
    <x v="3"/>
    <x v="42"/>
    <x v="7"/>
    <n v="0"/>
    <x v="2"/>
    <x v="2"/>
  </r>
  <r>
    <x v="7"/>
    <x v="5"/>
    <x v="0"/>
    <x v="3"/>
    <x v="43"/>
    <x v="7"/>
    <n v="0"/>
    <x v="2"/>
    <x v="2"/>
  </r>
  <r>
    <x v="7"/>
    <x v="5"/>
    <x v="0"/>
    <x v="3"/>
    <x v="44"/>
    <x v="7"/>
    <n v="0"/>
    <x v="2"/>
    <x v="2"/>
  </r>
  <r>
    <x v="7"/>
    <x v="5"/>
    <x v="0"/>
    <x v="3"/>
    <x v="45"/>
    <x v="7"/>
    <n v="0"/>
    <x v="2"/>
    <x v="2"/>
  </r>
  <r>
    <x v="7"/>
    <x v="6"/>
    <x v="0"/>
    <x v="2"/>
    <x v="24"/>
    <x v="7"/>
    <n v="40020.104294848003"/>
    <x v="3"/>
    <x v="3"/>
  </r>
  <r>
    <x v="7"/>
    <x v="6"/>
    <x v="0"/>
    <x v="2"/>
    <x v="25"/>
    <x v="7"/>
    <n v="94366.6098075302"/>
    <x v="3"/>
    <x v="3"/>
  </r>
  <r>
    <x v="7"/>
    <x v="6"/>
    <x v="0"/>
    <x v="2"/>
    <x v="26"/>
    <x v="7"/>
    <n v="9081.3650681137697"/>
    <x v="3"/>
    <x v="3"/>
  </r>
  <r>
    <x v="7"/>
    <x v="6"/>
    <x v="0"/>
    <x v="2"/>
    <x v="27"/>
    <x v="7"/>
    <n v="34751.2002260347"/>
    <x v="3"/>
    <x v="3"/>
  </r>
  <r>
    <x v="7"/>
    <x v="6"/>
    <x v="0"/>
    <x v="2"/>
    <x v="28"/>
    <x v="7"/>
    <n v="21043.7399248238"/>
    <x v="3"/>
    <x v="3"/>
  </r>
  <r>
    <x v="7"/>
    <x v="6"/>
    <x v="0"/>
    <x v="2"/>
    <x v="29"/>
    <x v="7"/>
    <n v="41232.491148856498"/>
    <x v="3"/>
    <x v="3"/>
  </r>
  <r>
    <x v="7"/>
    <x v="6"/>
    <x v="0"/>
    <x v="2"/>
    <x v="30"/>
    <x v="7"/>
    <n v="23920.813560480299"/>
    <x v="3"/>
    <x v="3"/>
  </r>
  <r>
    <x v="7"/>
    <x v="6"/>
    <x v="0"/>
    <x v="2"/>
    <x v="31"/>
    <x v="7"/>
    <n v="59391.777245363097"/>
    <x v="3"/>
    <x v="3"/>
  </r>
  <r>
    <x v="7"/>
    <x v="6"/>
    <x v="0"/>
    <x v="2"/>
    <x v="32"/>
    <x v="7"/>
    <n v="60615.230858937699"/>
    <x v="3"/>
    <x v="3"/>
  </r>
  <r>
    <x v="7"/>
    <x v="6"/>
    <x v="0"/>
    <x v="2"/>
    <x v="33"/>
    <x v="7"/>
    <n v="9181.2088311195403"/>
    <x v="3"/>
    <x v="3"/>
  </r>
  <r>
    <x v="7"/>
    <x v="6"/>
    <x v="0"/>
    <x v="2"/>
    <x v="34"/>
    <x v="7"/>
    <n v="61299.182403414801"/>
    <x v="3"/>
    <x v="3"/>
  </r>
  <r>
    <x v="7"/>
    <x v="6"/>
    <x v="0"/>
    <x v="2"/>
    <x v="35"/>
    <x v="7"/>
    <n v="321541.03480604099"/>
    <x v="3"/>
    <x v="3"/>
  </r>
  <r>
    <x v="7"/>
    <x v="6"/>
    <x v="0"/>
    <x v="3"/>
    <x v="36"/>
    <x v="7"/>
    <n v="22830.761617345099"/>
    <x v="3"/>
    <x v="3"/>
  </r>
  <r>
    <x v="7"/>
    <x v="6"/>
    <x v="0"/>
    <x v="3"/>
    <x v="37"/>
    <x v="7"/>
    <n v="11636.280687500001"/>
    <x v="3"/>
    <x v="3"/>
  </r>
  <r>
    <x v="7"/>
    <x v="6"/>
    <x v="0"/>
    <x v="3"/>
    <x v="38"/>
    <x v="7"/>
    <n v="36132.942086515803"/>
    <x v="3"/>
    <x v="3"/>
  </r>
  <r>
    <x v="7"/>
    <x v="6"/>
    <x v="0"/>
    <x v="3"/>
    <x v="39"/>
    <x v="7"/>
    <n v="111816.16834612899"/>
    <x v="3"/>
    <x v="3"/>
  </r>
  <r>
    <x v="7"/>
    <x v="6"/>
    <x v="0"/>
    <x v="3"/>
    <x v="40"/>
    <x v="7"/>
    <n v="17715.4625518953"/>
    <x v="3"/>
    <x v="3"/>
  </r>
  <r>
    <x v="7"/>
    <x v="6"/>
    <x v="0"/>
    <x v="3"/>
    <x v="41"/>
    <x v="7"/>
    <n v="30323.827553153598"/>
    <x v="3"/>
    <x v="3"/>
  </r>
  <r>
    <x v="7"/>
    <x v="6"/>
    <x v="0"/>
    <x v="3"/>
    <x v="42"/>
    <x v="7"/>
    <n v="48125.858168653001"/>
    <x v="3"/>
    <x v="3"/>
  </r>
  <r>
    <x v="7"/>
    <x v="6"/>
    <x v="0"/>
    <x v="3"/>
    <x v="43"/>
    <x v="7"/>
    <n v="45835.814472498503"/>
    <x v="3"/>
    <x v="3"/>
  </r>
  <r>
    <x v="7"/>
    <x v="6"/>
    <x v="0"/>
    <x v="3"/>
    <x v="44"/>
    <x v="7"/>
    <n v="180297.767521306"/>
    <x v="3"/>
    <x v="3"/>
  </r>
  <r>
    <x v="7"/>
    <x v="6"/>
    <x v="0"/>
    <x v="3"/>
    <x v="45"/>
    <x v="7"/>
    <n v="19572.031459161299"/>
    <x v="3"/>
    <x v="3"/>
  </r>
  <r>
    <x v="7"/>
    <x v="7"/>
    <x v="0"/>
    <x v="2"/>
    <x v="24"/>
    <x v="7"/>
    <n v="255.46474406968099"/>
    <x v="4"/>
    <x v="4"/>
  </r>
  <r>
    <x v="7"/>
    <x v="7"/>
    <x v="0"/>
    <x v="2"/>
    <x v="25"/>
    <x v="7"/>
    <n v="822.08204027348495"/>
    <x v="4"/>
    <x v="4"/>
  </r>
  <r>
    <x v="7"/>
    <x v="7"/>
    <x v="0"/>
    <x v="2"/>
    <x v="26"/>
    <x v="7"/>
    <n v="1382.72285703593"/>
    <x v="4"/>
    <x v="4"/>
  </r>
  <r>
    <x v="7"/>
    <x v="7"/>
    <x v="0"/>
    <x v="2"/>
    <x v="27"/>
    <x v="7"/>
    <n v="1619.2185881554699"/>
    <x v="4"/>
    <x v="4"/>
  </r>
  <r>
    <x v="7"/>
    <x v="7"/>
    <x v="0"/>
    <x v="2"/>
    <x v="28"/>
    <x v="7"/>
    <n v="1609.5431182458899"/>
    <x v="4"/>
    <x v="4"/>
  </r>
  <r>
    <x v="7"/>
    <x v="7"/>
    <x v="0"/>
    <x v="2"/>
    <x v="29"/>
    <x v="7"/>
    <n v="1376.87608270899"/>
    <x v="4"/>
    <x v="4"/>
  </r>
  <r>
    <x v="7"/>
    <x v="7"/>
    <x v="0"/>
    <x v="2"/>
    <x v="30"/>
    <x v="7"/>
    <n v="1618.6217110221601"/>
    <x v="4"/>
    <x v="4"/>
  </r>
  <r>
    <x v="7"/>
    <x v="7"/>
    <x v="0"/>
    <x v="2"/>
    <x v="31"/>
    <x v="7"/>
    <n v="1588.1494729676399"/>
    <x v="4"/>
    <x v="4"/>
  </r>
  <r>
    <x v="7"/>
    <x v="7"/>
    <x v="0"/>
    <x v="2"/>
    <x v="32"/>
    <x v="7"/>
    <n v="1555.1475997525199"/>
    <x v="4"/>
    <x v="4"/>
  </r>
  <r>
    <x v="7"/>
    <x v="7"/>
    <x v="0"/>
    <x v="2"/>
    <x v="33"/>
    <x v="7"/>
    <n v="0"/>
    <x v="4"/>
    <x v="4"/>
  </r>
  <r>
    <x v="7"/>
    <x v="7"/>
    <x v="0"/>
    <x v="2"/>
    <x v="34"/>
    <x v="7"/>
    <n v="0"/>
    <x v="4"/>
    <x v="4"/>
  </r>
  <r>
    <x v="7"/>
    <x v="7"/>
    <x v="0"/>
    <x v="2"/>
    <x v="35"/>
    <x v="7"/>
    <n v="0"/>
    <x v="4"/>
    <x v="4"/>
  </r>
  <r>
    <x v="7"/>
    <x v="7"/>
    <x v="0"/>
    <x v="3"/>
    <x v="36"/>
    <x v="7"/>
    <n v="0"/>
    <x v="4"/>
    <x v="4"/>
  </r>
  <r>
    <x v="7"/>
    <x v="7"/>
    <x v="0"/>
    <x v="3"/>
    <x v="37"/>
    <x v="7"/>
    <n v="2468.1590524927201"/>
    <x v="4"/>
    <x v="4"/>
  </r>
  <r>
    <x v="7"/>
    <x v="7"/>
    <x v="0"/>
    <x v="3"/>
    <x v="38"/>
    <x v="7"/>
    <n v="2884.5913484162902"/>
    <x v="4"/>
    <x v="4"/>
  </r>
  <r>
    <x v="7"/>
    <x v="7"/>
    <x v="0"/>
    <x v="3"/>
    <x v="39"/>
    <x v="7"/>
    <n v="3004.9828667727702"/>
    <x v="4"/>
    <x v="4"/>
  </r>
  <r>
    <x v="7"/>
    <x v="7"/>
    <x v="0"/>
    <x v="3"/>
    <x v="40"/>
    <x v="7"/>
    <n v="2984.4309386281602"/>
    <x v="4"/>
    <x v="4"/>
  </r>
  <r>
    <x v="7"/>
    <x v="7"/>
    <x v="0"/>
    <x v="3"/>
    <x v="41"/>
    <x v="7"/>
    <n v="0"/>
    <x v="4"/>
    <x v="4"/>
  </r>
  <r>
    <x v="7"/>
    <x v="7"/>
    <x v="0"/>
    <x v="3"/>
    <x v="42"/>
    <x v="7"/>
    <n v="0"/>
    <x v="4"/>
    <x v="4"/>
  </r>
  <r>
    <x v="7"/>
    <x v="7"/>
    <x v="0"/>
    <x v="3"/>
    <x v="43"/>
    <x v="7"/>
    <n v="584.79177964804899"/>
    <x v="4"/>
    <x v="4"/>
  </r>
  <r>
    <x v="7"/>
    <x v="7"/>
    <x v="0"/>
    <x v="3"/>
    <x v="44"/>
    <x v="7"/>
    <n v="575.07792984512298"/>
    <x v="4"/>
    <x v="4"/>
  </r>
  <r>
    <x v="7"/>
    <x v="7"/>
    <x v="0"/>
    <x v="3"/>
    <x v="45"/>
    <x v="7"/>
    <n v="581.22780635559798"/>
    <x v="4"/>
    <x v="4"/>
  </r>
  <r>
    <x v="7"/>
    <x v="8"/>
    <x v="0"/>
    <x v="2"/>
    <x v="24"/>
    <x v="7"/>
    <n v="0"/>
    <x v="5"/>
    <x v="5"/>
  </r>
  <r>
    <x v="7"/>
    <x v="8"/>
    <x v="0"/>
    <x v="2"/>
    <x v="25"/>
    <x v="7"/>
    <n v="10136.8310049639"/>
    <x v="5"/>
    <x v="5"/>
  </r>
  <r>
    <x v="7"/>
    <x v="8"/>
    <x v="0"/>
    <x v="2"/>
    <x v="26"/>
    <x v="7"/>
    <n v="0"/>
    <x v="5"/>
    <x v="5"/>
  </r>
  <r>
    <x v="7"/>
    <x v="8"/>
    <x v="0"/>
    <x v="2"/>
    <x v="27"/>
    <x v="7"/>
    <n v="0"/>
    <x v="5"/>
    <x v="5"/>
  </r>
  <r>
    <x v="7"/>
    <x v="8"/>
    <x v="0"/>
    <x v="2"/>
    <x v="28"/>
    <x v="7"/>
    <n v="0"/>
    <x v="5"/>
    <x v="5"/>
  </r>
  <r>
    <x v="7"/>
    <x v="8"/>
    <x v="0"/>
    <x v="2"/>
    <x v="29"/>
    <x v="7"/>
    <n v="0"/>
    <x v="5"/>
    <x v="5"/>
  </r>
  <r>
    <x v="7"/>
    <x v="8"/>
    <x v="0"/>
    <x v="2"/>
    <x v="30"/>
    <x v="7"/>
    <n v="0"/>
    <x v="5"/>
    <x v="5"/>
  </r>
  <r>
    <x v="7"/>
    <x v="8"/>
    <x v="0"/>
    <x v="2"/>
    <x v="31"/>
    <x v="7"/>
    <n v="0"/>
    <x v="5"/>
    <x v="5"/>
  </r>
  <r>
    <x v="7"/>
    <x v="8"/>
    <x v="0"/>
    <x v="2"/>
    <x v="32"/>
    <x v="7"/>
    <n v="0"/>
    <x v="5"/>
    <x v="5"/>
  </r>
  <r>
    <x v="7"/>
    <x v="8"/>
    <x v="0"/>
    <x v="2"/>
    <x v="33"/>
    <x v="7"/>
    <n v="0"/>
    <x v="5"/>
    <x v="5"/>
  </r>
  <r>
    <x v="7"/>
    <x v="8"/>
    <x v="0"/>
    <x v="2"/>
    <x v="34"/>
    <x v="7"/>
    <n v="0"/>
    <x v="5"/>
    <x v="5"/>
  </r>
  <r>
    <x v="7"/>
    <x v="8"/>
    <x v="0"/>
    <x v="2"/>
    <x v="35"/>
    <x v="7"/>
    <n v="0"/>
    <x v="5"/>
    <x v="5"/>
  </r>
  <r>
    <x v="7"/>
    <x v="8"/>
    <x v="0"/>
    <x v="3"/>
    <x v="36"/>
    <x v="7"/>
    <n v="0"/>
    <x v="5"/>
    <x v="5"/>
  </r>
  <r>
    <x v="7"/>
    <x v="8"/>
    <x v="0"/>
    <x v="3"/>
    <x v="37"/>
    <x v="7"/>
    <n v="0"/>
    <x v="5"/>
    <x v="5"/>
  </r>
  <r>
    <x v="7"/>
    <x v="8"/>
    <x v="0"/>
    <x v="3"/>
    <x v="38"/>
    <x v="7"/>
    <n v="0"/>
    <x v="5"/>
    <x v="5"/>
  </r>
  <r>
    <x v="7"/>
    <x v="8"/>
    <x v="0"/>
    <x v="3"/>
    <x v="39"/>
    <x v="7"/>
    <n v="0"/>
    <x v="5"/>
    <x v="5"/>
  </r>
  <r>
    <x v="7"/>
    <x v="8"/>
    <x v="0"/>
    <x v="3"/>
    <x v="40"/>
    <x v="7"/>
    <n v="0"/>
    <x v="5"/>
    <x v="5"/>
  </r>
  <r>
    <x v="7"/>
    <x v="8"/>
    <x v="0"/>
    <x v="3"/>
    <x v="41"/>
    <x v="7"/>
    <n v="0"/>
    <x v="5"/>
    <x v="5"/>
  </r>
  <r>
    <x v="7"/>
    <x v="8"/>
    <x v="0"/>
    <x v="3"/>
    <x v="42"/>
    <x v="7"/>
    <n v="0"/>
    <x v="5"/>
    <x v="5"/>
  </r>
  <r>
    <x v="7"/>
    <x v="8"/>
    <x v="0"/>
    <x v="3"/>
    <x v="43"/>
    <x v="7"/>
    <n v="0"/>
    <x v="5"/>
    <x v="5"/>
  </r>
  <r>
    <x v="7"/>
    <x v="8"/>
    <x v="0"/>
    <x v="3"/>
    <x v="44"/>
    <x v="7"/>
    <n v="0"/>
    <x v="5"/>
    <x v="5"/>
  </r>
  <r>
    <x v="7"/>
    <x v="8"/>
    <x v="0"/>
    <x v="3"/>
    <x v="45"/>
    <x v="7"/>
    <n v="0"/>
    <x v="5"/>
    <x v="5"/>
  </r>
  <r>
    <x v="7"/>
    <x v="9"/>
    <x v="0"/>
    <x v="2"/>
    <x v="24"/>
    <x v="7"/>
    <n v="227905.54474193801"/>
    <x v="6"/>
    <x v="6"/>
  </r>
  <r>
    <x v="7"/>
    <x v="9"/>
    <x v="0"/>
    <x v="2"/>
    <x v="25"/>
    <x v="7"/>
    <n v="275812.22968905099"/>
    <x v="6"/>
    <x v="6"/>
  </r>
  <r>
    <x v="7"/>
    <x v="9"/>
    <x v="0"/>
    <x v="2"/>
    <x v="26"/>
    <x v="7"/>
    <n v="671746.34762649704"/>
    <x v="6"/>
    <x v="6"/>
  </r>
  <r>
    <x v="7"/>
    <x v="9"/>
    <x v="0"/>
    <x v="2"/>
    <x v="27"/>
    <x v="7"/>
    <n v="299550.62756634702"/>
    <x v="6"/>
    <x v="6"/>
  </r>
  <r>
    <x v="7"/>
    <x v="9"/>
    <x v="0"/>
    <x v="2"/>
    <x v="28"/>
    <x v="7"/>
    <n v="168022.82026468299"/>
    <x v="6"/>
    <x v="6"/>
  </r>
  <r>
    <x v="7"/>
    <x v="9"/>
    <x v="0"/>
    <x v="2"/>
    <x v="29"/>
    <x v="7"/>
    <n v="537425.78297180601"/>
    <x v="6"/>
    <x v="6"/>
  </r>
  <r>
    <x v="7"/>
    <x v="9"/>
    <x v="0"/>
    <x v="2"/>
    <x v="30"/>
    <x v="7"/>
    <n v="297464.83947027201"/>
    <x v="6"/>
    <x v="6"/>
  </r>
  <r>
    <x v="7"/>
    <x v="9"/>
    <x v="0"/>
    <x v="2"/>
    <x v="31"/>
    <x v="7"/>
    <n v="729154.56079261994"/>
    <x v="6"/>
    <x v="6"/>
  </r>
  <r>
    <x v="7"/>
    <x v="9"/>
    <x v="0"/>
    <x v="2"/>
    <x v="32"/>
    <x v="7"/>
    <n v="609143.22695745295"/>
    <x v="6"/>
    <x v="6"/>
  </r>
  <r>
    <x v="7"/>
    <x v="9"/>
    <x v="0"/>
    <x v="2"/>
    <x v="33"/>
    <x v="7"/>
    <n v="392153.54176584398"/>
    <x v="6"/>
    <x v="6"/>
  </r>
  <r>
    <x v="7"/>
    <x v="9"/>
    <x v="0"/>
    <x v="2"/>
    <x v="34"/>
    <x v="7"/>
    <n v="314962.85987666901"/>
    <x v="6"/>
    <x v="6"/>
  </r>
  <r>
    <x v="7"/>
    <x v="9"/>
    <x v="0"/>
    <x v="2"/>
    <x v="35"/>
    <x v="7"/>
    <n v="90335.363953329696"/>
    <x v="6"/>
    <x v="6"/>
  </r>
  <r>
    <x v="7"/>
    <x v="9"/>
    <x v="0"/>
    <x v="3"/>
    <x v="36"/>
    <x v="7"/>
    <n v="238251.06686972899"/>
    <x v="6"/>
    <x v="6"/>
  </r>
  <r>
    <x v="7"/>
    <x v="9"/>
    <x v="0"/>
    <x v="3"/>
    <x v="37"/>
    <x v="7"/>
    <n v="413384.067973617"/>
    <x v="6"/>
    <x v="6"/>
  </r>
  <r>
    <x v="7"/>
    <x v="9"/>
    <x v="0"/>
    <x v="3"/>
    <x v="38"/>
    <x v="7"/>
    <n v="116612.640892308"/>
    <x v="6"/>
    <x v="6"/>
  </r>
  <r>
    <x v="7"/>
    <x v="9"/>
    <x v="0"/>
    <x v="3"/>
    <x v="39"/>
    <x v="7"/>
    <n v="245492.306690853"/>
    <x v="6"/>
    <x v="6"/>
  </r>
  <r>
    <x v="7"/>
    <x v="9"/>
    <x v="0"/>
    <x v="3"/>
    <x v="40"/>
    <x v="7"/>
    <n v="675942.39976651606"/>
    <x v="6"/>
    <x v="6"/>
  </r>
  <r>
    <x v="7"/>
    <x v="9"/>
    <x v="0"/>
    <x v="3"/>
    <x v="41"/>
    <x v="7"/>
    <n v="487013.03229605901"/>
    <x v="6"/>
    <x v="6"/>
  </r>
  <r>
    <x v="7"/>
    <x v="9"/>
    <x v="0"/>
    <x v="3"/>
    <x v="42"/>
    <x v="7"/>
    <n v="607221.17618357204"/>
    <x v="6"/>
    <x v="6"/>
  </r>
  <r>
    <x v="7"/>
    <x v="9"/>
    <x v="0"/>
    <x v="3"/>
    <x v="43"/>
    <x v="7"/>
    <n v="204613.54850165799"/>
    <x v="6"/>
    <x v="6"/>
  </r>
  <r>
    <x v="7"/>
    <x v="9"/>
    <x v="0"/>
    <x v="3"/>
    <x v="44"/>
    <x v="7"/>
    <n v="569298.64217680995"/>
    <x v="6"/>
    <x v="6"/>
  </r>
  <r>
    <x v="7"/>
    <x v="9"/>
    <x v="0"/>
    <x v="3"/>
    <x v="45"/>
    <x v="7"/>
    <n v="310817.650711547"/>
    <x v="6"/>
    <x v="6"/>
  </r>
  <r>
    <x v="7"/>
    <x v="10"/>
    <x v="0"/>
    <x v="2"/>
    <x v="24"/>
    <x v="7"/>
    <n v="4461.7045101927397"/>
    <x v="7"/>
    <x v="7"/>
  </r>
  <r>
    <x v="7"/>
    <x v="10"/>
    <x v="0"/>
    <x v="2"/>
    <x v="25"/>
    <x v="7"/>
    <n v="5662.1951993069197"/>
    <x v="7"/>
    <x v="7"/>
  </r>
  <r>
    <x v="7"/>
    <x v="10"/>
    <x v="0"/>
    <x v="2"/>
    <x v="26"/>
    <x v="7"/>
    <n v="6244.46089446108"/>
    <x v="7"/>
    <x v="7"/>
  </r>
  <r>
    <x v="7"/>
    <x v="10"/>
    <x v="0"/>
    <x v="2"/>
    <x v="27"/>
    <x v="7"/>
    <n v="7769.1303268392003"/>
    <x v="7"/>
    <x v="7"/>
  </r>
  <r>
    <x v="7"/>
    <x v="10"/>
    <x v="0"/>
    <x v="2"/>
    <x v="28"/>
    <x v="7"/>
    <n v="9294.5249835552095"/>
    <x v="7"/>
    <x v="7"/>
  </r>
  <r>
    <x v="7"/>
    <x v="10"/>
    <x v="0"/>
    <x v="2"/>
    <x v="29"/>
    <x v="7"/>
    <n v="6027.1779156151397"/>
    <x v="7"/>
    <x v="7"/>
  </r>
  <r>
    <x v="7"/>
    <x v="10"/>
    <x v="0"/>
    <x v="2"/>
    <x v="30"/>
    <x v="7"/>
    <n v="15227.3557325002"/>
    <x v="7"/>
    <x v="7"/>
  </r>
  <r>
    <x v="7"/>
    <x v="10"/>
    <x v="0"/>
    <x v="2"/>
    <x v="31"/>
    <x v="7"/>
    <n v="10543.299984116"/>
    <x v="7"/>
    <x v="7"/>
  </r>
  <r>
    <x v="7"/>
    <x v="10"/>
    <x v="0"/>
    <x v="2"/>
    <x v="32"/>
    <x v="7"/>
    <n v="2060.9843844469801"/>
    <x v="7"/>
    <x v="7"/>
  </r>
  <r>
    <x v="7"/>
    <x v="10"/>
    <x v="0"/>
    <x v="2"/>
    <x v="33"/>
    <x v="7"/>
    <n v="33413.720742504702"/>
    <x v="7"/>
    <x v="7"/>
  </r>
  <r>
    <x v="7"/>
    <x v="10"/>
    <x v="0"/>
    <x v="2"/>
    <x v="34"/>
    <x v="7"/>
    <n v="40823.176836617902"/>
    <x v="7"/>
    <x v="7"/>
  </r>
  <r>
    <x v="7"/>
    <x v="10"/>
    <x v="0"/>
    <x v="2"/>
    <x v="35"/>
    <x v="7"/>
    <n v="2349.1108230531299"/>
    <x v="7"/>
    <x v="7"/>
  </r>
  <r>
    <x v="7"/>
    <x v="10"/>
    <x v="0"/>
    <x v="3"/>
    <x v="36"/>
    <x v="7"/>
    <n v="1129.72000504217"/>
    <x v="7"/>
    <x v="7"/>
  </r>
  <r>
    <x v="7"/>
    <x v="10"/>
    <x v="0"/>
    <x v="3"/>
    <x v="37"/>
    <x v="7"/>
    <n v="7070.3906497452699"/>
    <x v="7"/>
    <x v="7"/>
  </r>
  <r>
    <x v="7"/>
    <x v="10"/>
    <x v="0"/>
    <x v="3"/>
    <x v="38"/>
    <x v="7"/>
    <n v="1805.56464217195"/>
    <x v="7"/>
    <x v="7"/>
  </r>
  <r>
    <x v="7"/>
    <x v="10"/>
    <x v="0"/>
    <x v="3"/>
    <x v="39"/>
    <x v="7"/>
    <n v="1379.28405065069"/>
    <x v="7"/>
    <x v="7"/>
  </r>
  <r>
    <x v="7"/>
    <x v="10"/>
    <x v="0"/>
    <x v="3"/>
    <x v="40"/>
    <x v="7"/>
    <n v="1850.04077220217"/>
    <x v="7"/>
    <x v="7"/>
  </r>
  <r>
    <x v="7"/>
    <x v="10"/>
    <x v="0"/>
    <x v="3"/>
    <x v="41"/>
    <x v="7"/>
    <n v="1899.42817720843"/>
    <x v="7"/>
    <x v="7"/>
  </r>
  <r>
    <x v="7"/>
    <x v="10"/>
    <x v="0"/>
    <x v="3"/>
    <x v="42"/>
    <x v="7"/>
    <n v="1406.0148062248099"/>
    <x v="7"/>
    <x v="7"/>
  </r>
  <r>
    <x v="7"/>
    <x v="10"/>
    <x v="0"/>
    <x v="3"/>
    <x v="43"/>
    <x v="7"/>
    <n v="906.10052469608104"/>
    <x v="7"/>
    <x v="7"/>
  </r>
  <r>
    <x v="7"/>
    <x v="10"/>
    <x v="0"/>
    <x v="3"/>
    <x v="44"/>
    <x v="7"/>
    <n v="749.78073654248601"/>
    <x v="7"/>
    <x v="7"/>
  </r>
  <r>
    <x v="7"/>
    <x v="10"/>
    <x v="0"/>
    <x v="3"/>
    <x v="45"/>
    <x v="7"/>
    <n v="662.59724835857503"/>
    <x v="7"/>
    <x v="7"/>
  </r>
  <r>
    <x v="7"/>
    <x v="11"/>
    <x v="0"/>
    <x v="2"/>
    <x v="24"/>
    <x v="7"/>
    <n v="10745.2559586731"/>
    <x v="8"/>
    <x v="8"/>
  </r>
  <r>
    <x v="7"/>
    <x v="11"/>
    <x v="0"/>
    <x v="2"/>
    <x v="25"/>
    <x v="7"/>
    <n v="2130.51032574693"/>
    <x v="8"/>
    <x v="8"/>
  </r>
  <r>
    <x v="7"/>
    <x v="11"/>
    <x v="0"/>
    <x v="2"/>
    <x v="26"/>
    <x v="7"/>
    <n v="8071.66069535928"/>
    <x v="8"/>
    <x v="8"/>
  </r>
  <r>
    <x v="7"/>
    <x v="11"/>
    <x v="0"/>
    <x v="2"/>
    <x v="27"/>
    <x v="7"/>
    <n v="29367.1676252787"/>
    <x v="8"/>
    <x v="8"/>
  </r>
  <r>
    <x v="7"/>
    <x v="11"/>
    <x v="0"/>
    <x v="2"/>
    <x v="28"/>
    <x v="7"/>
    <n v="91495.652692247502"/>
    <x v="8"/>
    <x v="8"/>
  </r>
  <r>
    <x v="7"/>
    <x v="11"/>
    <x v="0"/>
    <x v="2"/>
    <x v="29"/>
    <x v="7"/>
    <n v="64467.511391462896"/>
    <x v="8"/>
    <x v="8"/>
  </r>
  <r>
    <x v="7"/>
    <x v="11"/>
    <x v="0"/>
    <x v="2"/>
    <x v="30"/>
    <x v="7"/>
    <n v="122297.786246998"/>
    <x v="8"/>
    <x v="8"/>
  </r>
  <r>
    <x v="7"/>
    <x v="11"/>
    <x v="0"/>
    <x v="2"/>
    <x v="31"/>
    <x v="7"/>
    <n v="188862.072448994"/>
    <x v="8"/>
    <x v="8"/>
  </r>
  <r>
    <x v="7"/>
    <x v="11"/>
    <x v="0"/>
    <x v="2"/>
    <x v="32"/>
    <x v="7"/>
    <n v="166796.154814582"/>
    <x v="8"/>
    <x v="8"/>
  </r>
  <r>
    <x v="7"/>
    <x v="11"/>
    <x v="0"/>
    <x v="2"/>
    <x v="33"/>
    <x v="7"/>
    <n v="101449.238749431"/>
    <x v="8"/>
    <x v="8"/>
  </r>
  <r>
    <x v="7"/>
    <x v="11"/>
    <x v="0"/>
    <x v="2"/>
    <x v="34"/>
    <x v="7"/>
    <n v="177351.88758023799"/>
    <x v="8"/>
    <x v="8"/>
  </r>
  <r>
    <x v="7"/>
    <x v="11"/>
    <x v="0"/>
    <x v="2"/>
    <x v="35"/>
    <x v="7"/>
    <n v="253956.61800655001"/>
    <x v="8"/>
    <x v="8"/>
  </r>
  <r>
    <x v="7"/>
    <x v="11"/>
    <x v="0"/>
    <x v="3"/>
    <x v="36"/>
    <x v="7"/>
    <n v="201071.79833039999"/>
    <x v="8"/>
    <x v="8"/>
  </r>
  <r>
    <x v="7"/>
    <x v="11"/>
    <x v="0"/>
    <x v="3"/>
    <x v="37"/>
    <x v="7"/>
    <n v="240900.892610262"/>
    <x v="8"/>
    <x v="8"/>
  </r>
  <r>
    <x v="7"/>
    <x v="11"/>
    <x v="0"/>
    <x v="3"/>
    <x v="38"/>
    <x v="7"/>
    <n v="273839.70603583701"/>
    <x v="8"/>
    <x v="8"/>
  </r>
  <r>
    <x v="7"/>
    <x v="11"/>
    <x v="0"/>
    <x v="3"/>
    <x v="39"/>
    <x v="7"/>
    <n v="410578.35239631101"/>
    <x v="8"/>
    <x v="8"/>
  </r>
  <r>
    <x v="7"/>
    <x v="11"/>
    <x v="0"/>
    <x v="3"/>
    <x v="40"/>
    <x v="7"/>
    <n v="204376.925415704"/>
    <x v="8"/>
    <x v="8"/>
  </r>
  <r>
    <x v="7"/>
    <x v="11"/>
    <x v="0"/>
    <x v="3"/>
    <x v="41"/>
    <x v="7"/>
    <n v="258696.310414554"/>
    <x v="8"/>
    <x v="8"/>
  </r>
  <r>
    <x v="7"/>
    <x v="11"/>
    <x v="0"/>
    <x v="3"/>
    <x v="42"/>
    <x v="7"/>
    <n v="74894.065189316607"/>
    <x v="8"/>
    <x v="8"/>
  </r>
  <r>
    <x v="7"/>
    <x v="11"/>
    <x v="0"/>
    <x v="3"/>
    <x v="43"/>
    <x v="7"/>
    <n v="56977.466457706403"/>
    <x v="8"/>
    <x v="8"/>
  </r>
  <r>
    <x v="7"/>
    <x v="11"/>
    <x v="0"/>
    <x v="3"/>
    <x v="44"/>
    <x v="7"/>
    <n v="21849.339058518199"/>
    <x v="8"/>
    <x v="8"/>
  </r>
  <r>
    <x v="7"/>
    <x v="11"/>
    <x v="0"/>
    <x v="3"/>
    <x v="45"/>
    <x v="7"/>
    <n v="12070.6941162567"/>
    <x v="8"/>
    <x v="8"/>
  </r>
  <r>
    <x v="7"/>
    <x v="12"/>
    <x v="0"/>
    <x v="2"/>
    <x v="24"/>
    <x v="7"/>
    <n v="119191.497532339"/>
    <x v="9"/>
    <x v="9"/>
  </r>
  <r>
    <x v="7"/>
    <x v="12"/>
    <x v="0"/>
    <x v="2"/>
    <x v="25"/>
    <x v="7"/>
    <n v="85932.741710218193"/>
    <x v="9"/>
    <x v="9"/>
  </r>
  <r>
    <x v="7"/>
    <x v="12"/>
    <x v="0"/>
    <x v="2"/>
    <x v="26"/>
    <x v="7"/>
    <n v="20652.393458083799"/>
    <x v="9"/>
    <x v="9"/>
  </r>
  <r>
    <x v="7"/>
    <x v="12"/>
    <x v="0"/>
    <x v="2"/>
    <x v="27"/>
    <x v="7"/>
    <n v="12732.0951036154"/>
    <x v="9"/>
    <x v="9"/>
  </r>
  <r>
    <x v="7"/>
    <x v="12"/>
    <x v="0"/>
    <x v="2"/>
    <x v="28"/>
    <x v="7"/>
    <n v="0"/>
    <x v="9"/>
    <x v="9"/>
  </r>
  <r>
    <x v="7"/>
    <x v="12"/>
    <x v="0"/>
    <x v="2"/>
    <x v="29"/>
    <x v="7"/>
    <n v="102844.557333695"/>
    <x v="9"/>
    <x v="9"/>
  </r>
  <r>
    <x v="7"/>
    <x v="12"/>
    <x v="0"/>
    <x v="2"/>
    <x v="30"/>
    <x v="7"/>
    <n v="93294.199231865699"/>
    <x v="9"/>
    <x v="9"/>
  </r>
  <r>
    <x v="7"/>
    <x v="12"/>
    <x v="0"/>
    <x v="2"/>
    <x v="31"/>
    <x v="7"/>
    <n v="367968.20130929397"/>
    <x v="9"/>
    <x v="9"/>
  </r>
  <r>
    <x v="7"/>
    <x v="12"/>
    <x v="0"/>
    <x v="2"/>
    <x v="32"/>
    <x v="7"/>
    <n v="84333.176968874905"/>
    <x v="9"/>
    <x v="9"/>
  </r>
  <r>
    <x v="7"/>
    <x v="12"/>
    <x v="0"/>
    <x v="2"/>
    <x v="33"/>
    <x v="7"/>
    <n v="133805.51467647101"/>
    <x v="9"/>
    <x v="9"/>
  </r>
  <r>
    <x v="7"/>
    <x v="12"/>
    <x v="0"/>
    <x v="2"/>
    <x v="34"/>
    <x v="7"/>
    <n v="18273.7786969394"/>
    <x v="9"/>
    <x v="9"/>
  </r>
  <r>
    <x v="7"/>
    <x v="12"/>
    <x v="0"/>
    <x v="2"/>
    <x v="35"/>
    <x v="7"/>
    <n v="53987.191767376302"/>
    <x v="9"/>
    <x v="9"/>
  </r>
  <r>
    <x v="7"/>
    <x v="12"/>
    <x v="0"/>
    <x v="3"/>
    <x v="36"/>
    <x v="7"/>
    <n v="25044.913325632599"/>
    <x v="9"/>
    <x v="9"/>
  </r>
  <r>
    <x v="7"/>
    <x v="12"/>
    <x v="0"/>
    <x v="3"/>
    <x v="37"/>
    <x v="7"/>
    <n v="58203.689228438903"/>
    <x v="9"/>
    <x v="9"/>
  </r>
  <r>
    <x v="7"/>
    <x v="12"/>
    <x v="0"/>
    <x v="3"/>
    <x v="38"/>
    <x v="7"/>
    <n v="16454.6093755656"/>
    <x v="9"/>
    <x v="9"/>
  </r>
  <r>
    <x v="7"/>
    <x v="12"/>
    <x v="0"/>
    <x v="3"/>
    <x v="39"/>
    <x v="7"/>
    <n v="54766.537768467402"/>
    <x v="9"/>
    <x v="9"/>
  </r>
  <r>
    <x v="7"/>
    <x v="12"/>
    <x v="0"/>
    <x v="3"/>
    <x v="40"/>
    <x v="7"/>
    <n v="76936.653254963894"/>
    <x v="9"/>
    <x v="9"/>
  </r>
  <r>
    <x v="7"/>
    <x v="12"/>
    <x v="0"/>
    <x v="3"/>
    <x v="41"/>
    <x v="7"/>
    <n v="57948.2574183791"/>
    <x v="9"/>
    <x v="9"/>
  </r>
  <r>
    <x v="7"/>
    <x v="12"/>
    <x v="0"/>
    <x v="3"/>
    <x v="42"/>
    <x v="7"/>
    <n v="140791.38270547899"/>
    <x v="9"/>
    <x v="9"/>
  </r>
  <r>
    <x v="7"/>
    <x v="12"/>
    <x v="0"/>
    <x v="3"/>
    <x v="43"/>
    <x v="7"/>
    <n v="173538.64051525999"/>
    <x v="9"/>
    <x v="9"/>
  </r>
  <r>
    <x v="7"/>
    <x v="12"/>
    <x v="0"/>
    <x v="3"/>
    <x v="44"/>
    <x v="7"/>
    <n v="85021.598121724601"/>
    <x v="9"/>
    <x v="9"/>
  </r>
  <r>
    <x v="7"/>
    <x v="12"/>
    <x v="0"/>
    <x v="3"/>
    <x v="45"/>
    <x v="7"/>
    <n v="59808.378037293201"/>
    <x v="9"/>
    <x v="9"/>
  </r>
  <r>
    <x v="7"/>
    <x v="17"/>
    <x v="0"/>
    <x v="2"/>
    <x v="24"/>
    <x v="7"/>
    <n v="0"/>
    <x v="14"/>
    <x v="14"/>
  </r>
  <r>
    <x v="7"/>
    <x v="17"/>
    <x v="0"/>
    <x v="2"/>
    <x v="25"/>
    <x v="7"/>
    <n v="0"/>
    <x v="14"/>
    <x v="14"/>
  </r>
  <r>
    <x v="7"/>
    <x v="17"/>
    <x v="0"/>
    <x v="2"/>
    <x v="29"/>
    <x v="7"/>
    <n v="0"/>
    <x v="14"/>
    <x v="14"/>
  </r>
  <r>
    <x v="7"/>
    <x v="17"/>
    <x v="0"/>
    <x v="2"/>
    <x v="30"/>
    <x v="7"/>
    <n v="0"/>
    <x v="14"/>
    <x v="14"/>
  </r>
  <r>
    <x v="7"/>
    <x v="17"/>
    <x v="0"/>
    <x v="2"/>
    <x v="31"/>
    <x v="7"/>
    <n v="0"/>
    <x v="14"/>
    <x v="14"/>
  </r>
  <r>
    <x v="7"/>
    <x v="17"/>
    <x v="0"/>
    <x v="2"/>
    <x v="32"/>
    <x v="7"/>
    <n v="313.63829925756698"/>
    <x v="14"/>
    <x v="14"/>
  </r>
  <r>
    <x v="7"/>
    <x v="17"/>
    <x v="0"/>
    <x v="2"/>
    <x v="33"/>
    <x v="7"/>
    <n v="308.81259165085402"/>
    <x v="14"/>
    <x v="14"/>
  </r>
  <r>
    <x v="7"/>
    <x v="17"/>
    <x v="0"/>
    <x v="2"/>
    <x v="34"/>
    <x v="7"/>
    <n v="303.57976641540301"/>
    <x v="14"/>
    <x v="14"/>
  </r>
  <r>
    <x v="7"/>
    <x v="17"/>
    <x v="0"/>
    <x v="2"/>
    <x v="35"/>
    <x v="7"/>
    <n v="300.45264519650698"/>
    <x v="14"/>
    <x v="14"/>
  </r>
  <r>
    <x v="7"/>
    <x v="17"/>
    <x v="0"/>
    <x v="3"/>
    <x v="36"/>
    <x v="7"/>
    <n v="291.08739383938399"/>
    <x v="14"/>
    <x v="14"/>
  </r>
  <r>
    <x v="7"/>
    <x v="17"/>
    <x v="0"/>
    <x v="3"/>
    <x v="38"/>
    <x v="7"/>
    <n v="0"/>
    <x v="14"/>
    <x v="14"/>
  </r>
  <r>
    <x v="7"/>
    <x v="13"/>
    <x v="0"/>
    <x v="2"/>
    <x v="24"/>
    <x v="7"/>
    <n v="0"/>
    <x v="10"/>
    <x v="10"/>
  </r>
  <r>
    <x v="7"/>
    <x v="13"/>
    <x v="0"/>
    <x v="2"/>
    <x v="25"/>
    <x v="7"/>
    <n v="0"/>
    <x v="10"/>
    <x v="10"/>
  </r>
  <r>
    <x v="7"/>
    <x v="13"/>
    <x v="0"/>
    <x v="2"/>
    <x v="26"/>
    <x v="7"/>
    <n v="0"/>
    <x v="10"/>
    <x v="10"/>
  </r>
  <r>
    <x v="7"/>
    <x v="13"/>
    <x v="0"/>
    <x v="2"/>
    <x v="27"/>
    <x v="7"/>
    <n v="13249.825161577999"/>
    <x v="10"/>
    <x v="10"/>
  </r>
  <r>
    <x v="7"/>
    <x v="13"/>
    <x v="0"/>
    <x v="2"/>
    <x v="28"/>
    <x v="7"/>
    <n v="9137.80635552075"/>
    <x v="10"/>
    <x v="10"/>
  </r>
  <r>
    <x v="7"/>
    <x v="13"/>
    <x v="0"/>
    <x v="2"/>
    <x v="29"/>
    <x v="7"/>
    <n v="218.17160331230301"/>
    <x v="10"/>
    <x v="10"/>
  </r>
  <r>
    <x v="7"/>
    <x v="13"/>
    <x v="0"/>
    <x v="2"/>
    <x v="30"/>
    <x v="7"/>
    <n v="887.61544469393698"/>
    <x v="10"/>
    <x v="10"/>
  </r>
  <r>
    <x v="7"/>
    <x v="13"/>
    <x v="0"/>
    <x v="2"/>
    <x v="31"/>
    <x v="7"/>
    <n v="174.17921270718199"/>
    <x v="10"/>
    <x v="10"/>
  </r>
  <r>
    <x v="7"/>
    <x v="13"/>
    <x v="0"/>
    <x v="2"/>
    <x v="32"/>
    <x v="7"/>
    <n v="78.133427565200805"/>
    <x v="10"/>
    <x v="10"/>
  </r>
  <r>
    <x v="7"/>
    <x v="13"/>
    <x v="0"/>
    <x v="2"/>
    <x v="33"/>
    <x v="7"/>
    <n v="16203.720402941201"/>
    <x v="10"/>
    <x v="10"/>
  </r>
  <r>
    <x v="7"/>
    <x v="13"/>
    <x v="0"/>
    <x v="2"/>
    <x v="34"/>
    <x v="7"/>
    <n v="0"/>
    <x v="10"/>
    <x v="10"/>
  </r>
  <r>
    <x v="7"/>
    <x v="13"/>
    <x v="0"/>
    <x v="2"/>
    <x v="35"/>
    <x v="7"/>
    <n v="0"/>
    <x v="10"/>
    <x v="10"/>
  </r>
  <r>
    <x v="7"/>
    <x v="13"/>
    <x v="0"/>
    <x v="3"/>
    <x v="36"/>
    <x v="7"/>
    <n v="1927.6021902273601"/>
    <x v="10"/>
    <x v="10"/>
  </r>
  <r>
    <x v="7"/>
    <x v="13"/>
    <x v="0"/>
    <x v="3"/>
    <x v="37"/>
    <x v="7"/>
    <n v="177.31536981440999"/>
    <x v="10"/>
    <x v="10"/>
  </r>
  <r>
    <x v="7"/>
    <x v="13"/>
    <x v="0"/>
    <x v="3"/>
    <x v="38"/>
    <x v="7"/>
    <n v="0"/>
    <x v="10"/>
    <x v="10"/>
  </r>
  <r>
    <x v="7"/>
    <x v="13"/>
    <x v="0"/>
    <x v="3"/>
    <x v="39"/>
    <x v="7"/>
    <n v="0"/>
    <x v="10"/>
    <x v="10"/>
  </r>
  <r>
    <x v="7"/>
    <x v="13"/>
    <x v="0"/>
    <x v="3"/>
    <x v="40"/>
    <x v="7"/>
    <n v="0"/>
    <x v="10"/>
    <x v="10"/>
  </r>
  <r>
    <x v="7"/>
    <x v="13"/>
    <x v="0"/>
    <x v="3"/>
    <x v="41"/>
    <x v="7"/>
    <n v="0"/>
    <x v="10"/>
    <x v="10"/>
  </r>
  <r>
    <x v="7"/>
    <x v="13"/>
    <x v="0"/>
    <x v="3"/>
    <x v="42"/>
    <x v="7"/>
    <n v="0"/>
    <x v="10"/>
    <x v="10"/>
  </r>
  <r>
    <x v="7"/>
    <x v="13"/>
    <x v="0"/>
    <x v="3"/>
    <x v="43"/>
    <x v="7"/>
    <n v="0"/>
    <x v="10"/>
    <x v="10"/>
  </r>
  <r>
    <x v="7"/>
    <x v="13"/>
    <x v="0"/>
    <x v="3"/>
    <x v="44"/>
    <x v="7"/>
    <n v="143.32995948095399"/>
    <x v="10"/>
    <x v="10"/>
  </r>
  <r>
    <x v="7"/>
    <x v="13"/>
    <x v="0"/>
    <x v="3"/>
    <x v="45"/>
    <x v="7"/>
    <n v="144.86272835507299"/>
    <x v="10"/>
    <x v="10"/>
  </r>
  <r>
    <x v="7"/>
    <x v="14"/>
    <x v="0"/>
    <x v="2"/>
    <x v="24"/>
    <x v="7"/>
    <n v="0"/>
    <x v="11"/>
    <x v="11"/>
  </r>
  <r>
    <x v="7"/>
    <x v="14"/>
    <x v="0"/>
    <x v="2"/>
    <x v="25"/>
    <x v="7"/>
    <n v="0"/>
    <x v="11"/>
    <x v="11"/>
  </r>
  <r>
    <x v="7"/>
    <x v="14"/>
    <x v="0"/>
    <x v="2"/>
    <x v="26"/>
    <x v="7"/>
    <n v="0"/>
    <x v="11"/>
    <x v="11"/>
  </r>
  <r>
    <x v="7"/>
    <x v="14"/>
    <x v="0"/>
    <x v="2"/>
    <x v="27"/>
    <x v="7"/>
    <n v="0"/>
    <x v="11"/>
    <x v="11"/>
  </r>
  <r>
    <x v="7"/>
    <x v="14"/>
    <x v="0"/>
    <x v="2"/>
    <x v="28"/>
    <x v="7"/>
    <n v="0"/>
    <x v="11"/>
    <x v="11"/>
  </r>
  <r>
    <x v="7"/>
    <x v="14"/>
    <x v="0"/>
    <x v="2"/>
    <x v="29"/>
    <x v="7"/>
    <n v="0"/>
    <x v="11"/>
    <x v="11"/>
  </r>
  <r>
    <x v="7"/>
    <x v="14"/>
    <x v="0"/>
    <x v="2"/>
    <x v="30"/>
    <x v="7"/>
    <n v="0"/>
    <x v="11"/>
    <x v="11"/>
  </r>
  <r>
    <x v="7"/>
    <x v="14"/>
    <x v="0"/>
    <x v="2"/>
    <x v="31"/>
    <x v="7"/>
    <n v="0"/>
    <x v="11"/>
    <x v="11"/>
  </r>
  <r>
    <x v="7"/>
    <x v="14"/>
    <x v="0"/>
    <x v="2"/>
    <x v="32"/>
    <x v="7"/>
    <n v="0"/>
    <x v="11"/>
    <x v="11"/>
  </r>
  <r>
    <x v="7"/>
    <x v="14"/>
    <x v="0"/>
    <x v="2"/>
    <x v="33"/>
    <x v="7"/>
    <n v="0"/>
    <x v="11"/>
    <x v="11"/>
  </r>
  <r>
    <x v="7"/>
    <x v="14"/>
    <x v="0"/>
    <x v="2"/>
    <x v="34"/>
    <x v="7"/>
    <n v="0"/>
    <x v="11"/>
    <x v="11"/>
  </r>
  <r>
    <x v="7"/>
    <x v="14"/>
    <x v="0"/>
    <x v="2"/>
    <x v="35"/>
    <x v="7"/>
    <n v="0"/>
    <x v="11"/>
    <x v="11"/>
  </r>
  <r>
    <x v="7"/>
    <x v="14"/>
    <x v="0"/>
    <x v="3"/>
    <x v="36"/>
    <x v="7"/>
    <n v="0"/>
    <x v="11"/>
    <x v="11"/>
  </r>
  <r>
    <x v="7"/>
    <x v="14"/>
    <x v="0"/>
    <x v="3"/>
    <x v="37"/>
    <x v="7"/>
    <n v="0"/>
    <x v="11"/>
    <x v="11"/>
  </r>
  <r>
    <x v="7"/>
    <x v="14"/>
    <x v="0"/>
    <x v="3"/>
    <x v="38"/>
    <x v="7"/>
    <n v="0"/>
    <x v="11"/>
    <x v="11"/>
  </r>
  <r>
    <x v="7"/>
    <x v="14"/>
    <x v="0"/>
    <x v="3"/>
    <x v="39"/>
    <x v="7"/>
    <n v="0"/>
    <x v="11"/>
    <x v="11"/>
  </r>
  <r>
    <x v="7"/>
    <x v="14"/>
    <x v="0"/>
    <x v="3"/>
    <x v="40"/>
    <x v="7"/>
    <n v="0"/>
    <x v="11"/>
    <x v="11"/>
  </r>
  <r>
    <x v="7"/>
    <x v="14"/>
    <x v="0"/>
    <x v="3"/>
    <x v="41"/>
    <x v="7"/>
    <n v="0"/>
    <x v="11"/>
    <x v="11"/>
  </r>
  <r>
    <x v="7"/>
    <x v="14"/>
    <x v="0"/>
    <x v="3"/>
    <x v="42"/>
    <x v="7"/>
    <n v="0"/>
    <x v="11"/>
    <x v="11"/>
  </r>
  <r>
    <x v="7"/>
    <x v="14"/>
    <x v="0"/>
    <x v="3"/>
    <x v="43"/>
    <x v="7"/>
    <n v="0"/>
    <x v="11"/>
    <x v="11"/>
  </r>
  <r>
    <x v="7"/>
    <x v="14"/>
    <x v="0"/>
    <x v="3"/>
    <x v="44"/>
    <x v="7"/>
    <n v="0"/>
    <x v="11"/>
    <x v="11"/>
  </r>
  <r>
    <x v="7"/>
    <x v="15"/>
    <x v="0"/>
    <x v="2"/>
    <x v="24"/>
    <x v="7"/>
    <n v="43214.8878767606"/>
    <x v="12"/>
    <x v="12"/>
  </r>
  <r>
    <x v="7"/>
    <x v="15"/>
    <x v="0"/>
    <x v="2"/>
    <x v="25"/>
    <x v="7"/>
    <n v="9597.1268686897092"/>
    <x v="12"/>
    <x v="12"/>
  </r>
  <r>
    <x v="7"/>
    <x v="15"/>
    <x v="0"/>
    <x v="2"/>
    <x v="26"/>
    <x v="7"/>
    <n v="6728.9272836826303"/>
    <x v="12"/>
    <x v="12"/>
  </r>
  <r>
    <x v="7"/>
    <x v="15"/>
    <x v="0"/>
    <x v="2"/>
    <x v="27"/>
    <x v="7"/>
    <n v="16128.1088802947"/>
    <x v="12"/>
    <x v="12"/>
  </r>
  <r>
    <x v="7"/>
    <x v="15"/>
    <x v="0"/>
    <x v="2"/>
    <x v="28"/>
    <x v="7"/>
    <n v="16529.283594361801"/>
    <x v="12"/>
    <x v="12"/>
  </r>
  <r>
    <x v="7"/>
    <x v="15"/>
    <x v="0"/>
    <x v="2"/>
    <x v="29"/>
    <x v="7"/>
    <n v="9495.3024029968492"/>
    <x v="12"/>
    <x v="12"/>
  </r>
  <r>
    <x v="7"/>
    <x v="15"/>
    <x v="0"/>
    <x v="2"/>
    <x v="30"/>
    <x v="7"/>
    <n v="45809.393519671998"/>
    <x v="12"/>
    <x v="12"/>
  </r>
  <r>
    <x v="7"/>
    <x v="15"/>
    <x v="0"/>
    <x v="2"/>
    <x v="31"/>
    <x v="7"/>
    <n v="24394.3627485201"/>
    <x v="12"/>
    <x v="12"/>
  </r>
  <r>
    <x v="7"/>
    <x v="15"/>
    <x v="0"/>
    <x v="2"/>
    <x v="32"/>
    <x v="7"/>
    <n v="115421.70433114401"/>
    <x v="12"/>
    <x v="12"/>
  </r>
  <r>
    <x v="7"/>
    <x v="15"/>
    <x v="0"/>
    <x v="2"/>
    <x v="33"/>
    <x v="7"/>
    <n v="191424.685443833"/>
    <x v="12"/>
    <x v="12"/>
  </r>
  <r>
    <x v="7"/>
    <x v="15"/>
    <x v="0"/>
    <x v="2"/>
    <x v="34"/>
    <x v="7"/>
    <n v="145865.408030333"/>
    <x v="12"/>
    <x v="12"/>
  </r>
  <r>
    <x v="7"/>
    <x v="15"/>
    <x v="0"/>
    <x v="2"/>
    <x v="35"/>
    <x v="7"/>
    <n v="177347.573509643"/>
    <x v="12"/>
    <x v="12"/>
  </r>
  <r>
    <x v="7"/>
    <x v="15"/>
    <x v="0"/>
    <x v="3"/>
    <x v="36"/>
    <x v="7"/>
    <n v="76712.051324165703"/>
    <x v="12"/>
    <x v="12"/>
  </r>
  <r>
    <x v="7"/>
    <x v="15"/>
    <x v="0"/>
    <x v="3"/>
    <x v="37"/>
    <x v="7"/>
    <n v="42304.873429221298"/>
    <x v="12"/>
    <x v="12"/>
  </r>
  <r>
    <x v="7"/>
    <x v="15"/>
    <x v="0"/>
    <x v="3"/>
    <x v="38"/>
    <x v="7"/>
    <n v="76812.091947511304"/>
    <x v="12"/>
    <x v="12"/>
  </r>
  <r>
    <x v="7"/>
    <x v="15"/>
    <x v="0"/>
    <x v="3"/>
    <x v="39"/>
    <x v="7"/>
    <n v="57390.7609221983"/>
    <x v="12"/>
    <x v="12"/>
  </r>
  <r>
    <x v="7"/>
    <x v="15"/>
    <x v="0"/>
    <x v="3"/>
    <x v="40"/>
    <x v="7"/>
    <n v="93230.497143321307"/>
    <x v="12"/>
    <x v="12"/>
  </r>
  <r>
    <x v="7"/>
    <x v="15"/>
    <x v="0"/>
    <x v="3"/>
    <x v="41"/>
    <x v="7"/>
    <n v="263922.49055955902"/>
    <x v="12"/>
    <x v="12"/>
  </r>
  <r>
    <x v="7"/>
    <x v="15"/>
    <x v="0"/>
    <x v="3"/>
    <x v="42"/>
    <x v="7"/>
    <n v="144421.18927711601"/>
    <x v="12"/>
    <x v="12"/>
  </r>
  <r>
    <x v="7"/>
    <x v="15"/>
    <x v="0"/>
    <x v="3"/>
    <x v="43"/>
    <x v="7"/>
    <n v="101431.397487801"/>
    <x v="12"/>
    <x v="12"/>
  </r>
  <r>
    <x v="7"/>
    <x v="15"/>
    <x v="0"/>
    <x v="3"/>
    <x v="44"/>
    <x v="7"/>
    <n v="104647.299486982"/>
    <x v="12"/>
    <x v="12"/>
  </r>
  <r>
    <x v="7"/>
    <x v="15"/>
    <x v="0"/>
    <x v="3"/>
    <x v="45"/>
    <x v="7"/>
    <n v="20125.5182904666"/>
    <x v="12"/>
    <x v="12"/>
  </r>
  <r>
    <x v="7"/>
    <x v="16"/>
    <x v="0"/>
    <x v="2"/>
    <x v="24"/>
    <x v="7"/>
    <n v="0"/>
    <x v="13"/>
    <x v="13"/>
  </r>
  <r>
    <x v="7"/>
    <x v="16"/>
    <x v="0"/>
    <x v="2"/>
    <x v="25"/>
    <x v="7"/>
    <n v="0"/>
    <x v="13"/>
    <x v="13"/>
  </r>
  <r>
    <x v="7"/>
    <x v="16"/>
    <x v="0"/>
    <x v="2"/>
    <x v="26"/>
    <x v="7"/>
    <n v="0"/>
    <x v="13"/>
    <x v="13"/>
  </r>
  <r>
    <x v="7"/>
    <x v="16"/>
    <x v="0"/>
    <x v="2"/>
    <x v="27"/>
    <x v="7"/>
    <n v="0"/>
    <x v="13"/>
    <x v="13"/>
  </r>
  <r>
    <x v="7"/>
    <x v="16"/>
    <x v="0"/>
    <x v="2"/>
    <x v="28"/>
    <x v="7"/>
    <n v="0"/>
    <x v="13"/>
    <x v="13"/>
  </r>
  <r>
    <x v="7"/>
    <x v="16"/>
    <x v="0"/>
    <x v="2"/>
    <x v="29"/>
    <x v="7"/>
    <n v="0"/>
    <x v="13"/>
    <x v="13"/>
  </r>
  <r>
    <x v="7"/>
    <x v="16"/>
    <x v="0"/>
    <x v="2"/>
    <x v="30"/>
    <x v="7"/>
    <n v="0"/>
    <x v="13"/>
    <x v="13"/>
  </r>
  <r>
    <x v="7"/>
    <x v="16"/>
    <x v="0"/>
    <x v="2"/>
    <x v="31"/>
    <x v="7"/>
    <n v="0"/>
    <x v="13"/>
    <x v="13"/>
  </r>
  <r>
    <x v="7"/>
    <x v="16"/>
    <x v="0"/>
    <x v="2"/>
    <x v="32"/>
    <x v="7"/>
    <n v="0"/>
    <x v="13"/>
    <x v="13"/>
  </r>
  <r>
    <x v="7"/>
    <x v="16"/>
    <x v="0"/>
    <x v="2"/>
    <x v="33"/>
    <x v="7"/>
    <n v="0"/>
    <x v="13"/>
    <x v="13"/>
  </r>
  <r>
    <x v="7"/>
    <x v="16"/>
    <x v="0"/>
    <x v="2"/>
    <x v="34"/>
    <x v="7"/>
    <n v="0"/>
    <x v="13"/>
    <x v="13"/>
  </r>
  <r>
    <x v="7"/>
    <x v="16"/>
    <x v="0"/>
    <x v="2"/>
    <x v="35"/>
    <x v="7"/>
    <n v="0"/>
    <x v="13"/>
    <x v="13"/>
  </r>
  <r>
    <x v="7"/>
    <x v="16"/>
    <x v="0"/>
    <x v="3"/>
    <x v="36"/>
    <x v="7"/>
    <n v="0"/>
    <x v="13"/>
    <x v="13"/>
  </r>
  <r>
    <x v="7"/>
    <x v="16"/>
    <x v="0"/>
    <x v="3"/>
    <x v="37"/>
    <x v="7"/>
    <n v="0"/>
    <x v="13"/>
    <x v="13"/>
  </r>
  <r>
    <x v="7"/>
    <x v="16"/>
    <x v="0"/>
    <x v="3"/>
    <x v="38"/>
    <x v="7"/>
    <n v="0"/>
    <x v="13"/>
    <x v="13"/>
  </r>
  <r>
    <x v="7"/>
    <x v="16"/>
    <x v="0"/>
    <x v="3"/>
    <x v="39"/>
    <x v="7"/>
    <n v="0"/>
    <x v="13"/>
    <x v="13"/>
  </r>
  <r>
    <x v="7"/>
    <x v="16"/>
    <x v="0"/>
    <x v="3"/>
    <x v="40"/>
    <x v="7"/>
    <n v="0"/>
    <x v="13"/>
    <x v="13"/>
  </r>
  <r>
    <x v="7"/>
    <x v="16"/>
    <x v="0"/>
    <x v="3"/>
    <x v="41"/>
    <x v="7"/>
    <n v="0"/>
    <x v="13"/>
    <x v="13"/>
  </r>
  <r>
    <x v="7"/>
    <x v="16"/>
    <x v="0"/>
    <x v="3"/>
    <x v="42"/>
    <x v="7"/>
    <n v="0"/>
    <x v="13"/>
    <x v="13"/>
  </r>
  <r>
    <x v="7"/>
    <x v="16"/>
    <x v="0"/>
    <x v="3"/>
    <x v="43"/>
    <x v="7"/>
    <n v="0"/>
    <x v="13"/>
    <x v="13"/>
  </r>
  <r>
    <x v="7"/>
    <x v="16"/>
    <x v="0"/>
    <x v="3"/>
    <x v="44"/>
    <x v="7"/>
    <n v="0"/>
    <x v="13"/>
    <x v="13"/>
  </r>
  <r>
    <x v="7"/>
    <x v="16"/>
    <x v="0"/>
    <x v="3"/>
    <x v="45"/>
    <x v="7"/>
    <n v="0"/>
    <x v="13"/>
    <x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38">
  <r>
    <x v="0"/>
    <x v="0"/>
    <x v="0"/>
    <x v="0"/>
    <n v="-66038357.566911116"/>
    <x v="0"/>
  </r>
  <r>
    <x v="1"/>
    <x v="0"/>
    <x v="0"/>
    <x v="1"/>
    <n v="349784974.30209798"/>
    <x v="0"/>
  </r>
  <r>
    <x v="2"/>
    <x v="0"/>
    <x v="0"/>
    <x v="2"/>
    <n v="17792973.547571592"/>
    <x v="0"/>
  </r>
  <r>
    <x v="0"/>
    <x v="0"/>
    <x v="1"/>
    <x v="0"/>
    <n v="-3348603.813887761"/>
    <x v="0"/>
  </r>
  <r>
    <x v="1"/>
    <x v="0"/>
    <x v="1"/>
    <x v="1"/>
    <n v="24850525.739112359"/>
    <x v="0"/>
  </r>
  <r>
    <x v="2"/>
    <x v="0"/>
    <x v="1"/>
    <x v="2"/>
    <n v="2595357.5413411609"/>
    <x v="0"/>
  </r>
  <r>
    <x v="0"/>
    <x v="0"/>
    <x v="2"/>
    <x v="0"/>
    <n v="-1263187.7639418577"/>
    <x v="0"/>
  </r>
  <r>
    <x v="1"/>
    <x v="0"/>
    <x v="2"/>
    <x v="1"/>
    <n v="18796831.268084355"/>
    <x v="0"/>
  </r>
  <r>
    <x v="2"/>
    <x v="0"/>
    <x v="2"/>
    <x v="2"/>
    <n v="619734.58400428458"/>
    <x v="0"/>
  </r>
  <r>
    <x v="0"/>
    <x v="0"/>
    <x v="3"/>
    <x v="0"/>
    <n v="-2708215.8039694019"/>
    <x v="0"/>
  </r>
  <r>
    <x v="1"/>
    <x v="0"/>
    <x v="3"/>
    <x v="1"/>
    <n v="28262765.36197548"/>
    <x v="0"/>
  </r>
  <r>
    <x v="2"/>
    <x v="0"/>
    <x v="3"/>
    <x v="2"/>
    <n v="86380.439827804075"/>
    <x v="0"/>
  </r>
  <r>
    <x v="0"/>
    <x v="0"/>
    <x v="4"/>
    <x v="0"/>
    <n v="-3380260.4917828166"/>
    <x v="0"/>
  </r>
  <r>
    <x v="1"/>
    <x v="0"/>
    <x v="4"/>
    <x v="1"/>
    <n v="25640363.993052635"/>
    <x v="0"/>
  </r>
  <r>
    <x v="2"/>
    <x v="0"/>
    <x v="4"/>
    <x v="2"/>
    <n v="2183267.2820937666"/>
    <x v="0"/>
  </r>
  <r>
    <x v="0"/>
    <x v="0"/>
    <x v="5"/>
    <x v="0"/>
    <n v="-3433252.4661268322"/>
    <x v="0"/>
  </r>
  <r>
    <x v="1"/>
    <x v="0"/>
    <x v="5"/>
    <x v="1"/>
    <n v="28222009.554615557"/>
    <x v="0"/>
  </r>
  <r>
    <x v="2"/>
    <x v="0"/>
    <x v="5"/>
    <x v="2"/>
    <n v="5440738.2439203812"/>
    <x v="0"/>
  </r>
  <r>
    <x v="0"/>
    <x v="0"/>
    <x v="6"/>
    <x v="0"/>
    <n v="-2146390.699767333"/>
    <x v="0"/>
  </r>
  <r>
    <x v="1"/>
    <x v="0"/>
    <x v="6"/>
    <x v="1"/>
    <n v="19788719.735290587"/>
    <x v="0"/>
  </r>
  <r>
    <x v="2"/>
    <x v="0"/>
    <x v="6"/>
    <x v="2"/>
    <n v="1612716.8594534702"/>
    <x v="0"/>
  </r>
  <r>
    <x v="0"/>
    <x v="0"/>
    <x v="7"/>
    <x v="0"/>
    <n v="-3565962.3134166626"/>
    <x v="0"/>
  </r>
  <r>
    <x v="1"/>
    <x v="0"/>
    <x v="7"/>
    <x v="1"/>
    <n v="21857197.69467511"/>
    <x v="0"/>
  </r>
  <r>
    <x v="2"/>
    <x v="0"/>
    <x v="7"/>
    <x v="2"/>
    <n v="884842.41083201161"/>
    <x v="0"/>
  </r>
  <r>
    <x v="0"/>
    <x v="0"/>
    <x v="8"/>
    <x v="0"/>
    <n v="-4266659.8689609468"/>
    <x v="0"/>
  </r>
  <r>
    <x v="1"/>
    <x v="0"/>
    <x v="8"/>
    <x v="1"/>
    <n v="25938754.121188525"/>
    <x v="0"/>
  </r>
  <r>
    <x v="2"/>
    <x v="0"/>
    <x v="8"/>
    <x v="2"/>
    <n v="2887373.6367227309"/>
    <x v="0"/>
  </r>
  <r>
    <x v="0"/>
    <x v="0"/>
    <x v="9"/>
    <x v="0"/>
    <n v="-5494600.0173651595"/>
    <x v="0"/>
  </r>
  <r>
    <x v="1"/>
    <x v="0"/>
    <x v="9"/>
    <x v="1"/>
    <n v="21072350.43239966"/>
    <x v="0"/>
  </r>
  <r>
    <x v="2"/>
    <x v="0"/>
    <x v="9"/>
    <x v="2"/>
    <n v="129507.38558647269"/>
    <x v="0"/>
  </r>
  <r>
    <x v="0"/>
    <x v="0"/>
    <x v="10"/>
    <x v="0"/>
    <n v="-8328404.6742051486"/>
    <x v="0"/>
  </r>
  <r>
    <x v="1"/>
    <x v="0"/>
    <x v="10"/>
    <x v="1"/>
    <n v="35153783.600134306"/>
    <x v="0"/>
  </r>
  <r>
    <x v="2"/>
    <x v="0"/>
    <x v="10"/>
    <x v="2"/>
    <n v="1499587.9865880471"/>
    <x v="0"/>
  </r>
  <r>
    <x v="0"/>
    <x v="0"/>
    <x v="11"/>
    <x v="0"/>
    <n v="-13478981.700015381"/>
    <x v="0"/>
  </r>
  <r>
    <x v="1"/>
    <x v="0"/>
    <x v="11"/>
    <x v="1"/>
    <n v="59646906.442351982"/>
    <x v="0"/>
  </r>
  <r>
    <x v="2"/>
    <x v="0"/>
    <x v="11"/>
    <x v="2"/>
    <n v="6311370.8310412075"/>
    <x v="0"/>
  </r>
  <r>
    <x v="0"/>
    <x v="0"/>
    <x v="12"/>
    <x v="0"/>
    <n v="-14623837.953471802"/>
    <x v="0"/>
  </r>
  <r>
    <x v="1"/>
    <x v="0"/>
    <x v="12"/>
    <x v="1"/>
    <n v="40554766.35921751"/>
    <x v="0"/>
  </r>
  <r>
    <x v="2"/>
    <x v="0"/>
    <x v="12"/>
    <x v="2"/>
    <n v="-6457903.6538397465"/>
    <x v="0"/>
  </r>
  <r>
    <x v="0"/>
    <x v="0"/>
    <x v="13"/>
    <x v="0"/>
    <n v="-107079596.36963245"/>
    <x v="0"/>
  </r>
  <r>
    <x v="1"/>
    <x v="0"/>
    <x v="13"/>
    <x v="1"/>
    <n v="391123220.3356083"/>
    <x v="0"/>
  </r>
  <r>
    <x v="2"/>
    <x v="0"/>
    <x v="13"/>
    <x v="2"/>
    <n v="30850539.095737953"/>
    <x v="0"/>
  </r>
  <r>
    <x v="0"/>
    <x v="0"/>
    <x v="14"/>
    <x v="0"/>
    <n v="-5905377.5339841535"/>
    <x v="0"/>
  </r>
  <r>
    <x v="1"/>
    <x v="0"/>
    <x v="14"/>
    <x v="1"/>
    <n v="26479585.886140075"/>
    <x v="0"/>
  </r>
  <r>
    <x v="2"/>
    <x v="0"/>
    <x v="14"/>
    <x v="2"/>
    <n v="2383064.0088834465"/>
    <x v="0"/>
  </r>
  <r>
    <x v="0"/>
    <x v="0"/>
    <x v="15"/>
    <x v="0"/>
    <n v="-3859240.8982000179"/>
    <x v="0"/>
  </r>
  <r>
    <x v="1"/>
    <x v="0"/>
    <x v="15"/>
    <x v="1"/>
    <n v="23548523.645442091"/>
    <x v="0"/>
  </r>
  <r>
    <x v="2"/>
    <x v="0"/>
    <x v="15"/>
    <x v="2"/>
    <n v="1178557.8953002065"/>
    <x v="0"/>
  </r>
  <r>
    <x v="0"/>
    <x v="0"/>
    <x v="16"/>
    <x v="0"/>
    <n v="-4864428.8637888758"/>
    <x v="0"/>
  </r>
  <r>
    <x v="1"/>
    <x v="0"/>
    <x v="16"/>
    <x v="1"/>
    <n v="29798738.375804707"/>
    <x v="0"/>
  </r>
  <r>
    <x v="2"/>
    <x v="0"/>
    <x v="16"/>
    <x v="2"/>
    <n v="2660770.0764165502"/>
    <x v="0"/>
  </r>
  <r>
    <x v="0"/>
    <x v="0"/>
    <x v="17"/>
    <x v="0"/>
    <n v="-3941262.7957836352"/>
    <x v="0"/>
  </r>
  <r>
    <x v="1"/>
    <x v="0"/>
    <x v="17"/>
    <x v="1"/>
    <n v="27353835.746048339"/>
    <x v="0"/>
  </r>
  <r>
    <x v="2"/>
    <x v="0"/>
    <x v="17"/>
    <x v="2"/>
    <n v="2876348.8002930721"/>
    <x v="0"/>
  </r>
  <r>
    <x v="0"/>
    <x v="0"/>
    <x v="18"/>
    <x v="0"/>
    <n v="-8060530.5112344809"/>
    <x v="0"/>
  </r>
  <r>
    <x v="1"/>
    <x v="0"/>
    <x v="18"/>
    <x v="1"/>
    <n v="35187746.257892631"/>
    <x v="0"/>
  </r>
  <r>
    <x v="2"/>
    <x v="0"/>
    <x v="18"/>
    <x v="2"/>
    <n v="4500024.607305279"/>
    <x v="0"/>
  </r>
  <r>
    <x v="0"/>
    <x v="0"/>
    <x v="19"/>
    <x v="0"/>
    <n v="-5519836.5226614848"/>
    <x v="0"/>
  </r>
  <r>
    <x v="1"/>
    <x v="0"/>
    <x v="19"/>
    <x v="1"/>
    <n v="20018399.082538612"/>
    <x v="0"/>
  </r>
  <r>
    <x v="2"/>
    <x v="0"/>
    <x v="19"/>
    <x v="2"/>
    <n v="3151253.8121461608"/>
    <x v="0"/>
  </r>
  <r>
    <x v="0"/>
    <x v="0"/>
    <x v="20"/>
    <x v="0"/>
    <n v="-6789839.6800750755"/>
    <x v="0"/>
  </r>
  <r>
    <x v="1"/>
    <x v="0"/>
    <x v="20"/>
    <x v="1"/>
    <n v="23782293.600752208"/>
    <x v="0"/>
  </r>
  <r>
    <x v="2"/>
    <x v="0"/>
    <x v="20"/>
    <x v="2"/>
    <n v="2342891.8888876829"/>
    <x v="0"/>
  </r>
  <r>
    <x v="0"/>
    <x v="0"/>
    <x v="21"/>
    <x v="0"/>
    <n v="-7487619.2772757243"/>
    <x v="0"/>
  </r>
  <r>
    <x v="1"/>
    <x v="0"/>
    <x v="21"/>
    <x v="1"/>
    <n v="29050286.183689564"/>
    <x v="0"/>
  </r>
  <r>
    <x v="2"/>
    <x v="0"/>
    <x v="21"/>
    <x v="2"/>
    <n v="2696293.1521414639"/>
    <x v="0"/>
  </r>
  <r>
    <x v="0"/>
    <x v="0"/>
    <x v="22"/>
    <x v="0"/>
    <n v="-10577087.016310321"/>
    <x v="0"/>
  </r>
  <r>
    <x v="1"/>
    <x v="0"/>
    <x v="22"/>
    <x v="1"/>
    <n v="25648139.053289913"/>
    <x v="0"/>
  </r>
  <r>
    <x v="2"/>
    <x v="0"/>
    <x v="22"/>
    <x v="2"/>
    <n v="1654597.2671049382"/>
    <x v="0"/>
  </r>
  <r>
    <x v="0"/>
    <x v="0"/>
    <x v="23"/>
    <x v="0"/>
    <n v="-11730723.566776285"/>
    <x v="0"/>
  </r>
  <r>
    <x v="1"/>
    <x v="0"/>
    <x v="23"/>
    <x v="1"/>
    <n v="36534000.844200976"/>
    <x v="0"/>
  </r>
  <r>
    <x v="2"/>
    <x v="0"/>
    <x v="23"/>
    <x v="2"/>
    <n v="2562974.7379129129"/>
    <x v="0"/>
  </r>
  <r>
    <x v="0"/>
    <x v="0"/>
    <x v="24"/>
    <x v="0"/>
    <n v="-20338422.617184311"/>
    <x v="0"/>
  </r>
  <r>
    <x v="1"/>
    <x v="0"/>
    <x v="24"/>
    <x v="1"/>
    <n v="64073034.968426764"/>
    <x v="0"/>
  </r>
  <r>
    <x v="2"/>
    <x v="0"/>
    <x v="24"/>
    <x v="2"/>
    <n v="1805921.7636208606"/>
    <x v="0"/>
  </r>
  <r>
    <x v="0"/>
    <x v="0"/>
    <x v="25"/>
    <x v="0"/>
    <n v="-18005227.086358093"/>
    <x v="0"/>
  </r>
  <r>
    <x v="1"/>
    <x v="0"/>
    <x v="25"/>
    <x v="1"/>
    <n v="49648636.691382371"/>
    <x v="0"/>
  </r>
  <r>
    <x v="2"/>
    <x v="0"/>
    <x v="25"/>
    <x v="2"/>
    <n v="3037841.0857253713"/>
    <x v="0"/>
  </r>
  <r>
    <x v="0"/>
    <x v="0"/>
    <x v="26"/>
    <x v="0"/>
    <n v="-74926187.926120788"/>
    <x v="0"/>
  </r>
  <r>
    <x v="1"/>
    <x v="0"/>
    <x v="26"/>
    <x v="1"/>
    <n v="290382475.51535475"/>
    <x v="0"/>
  </r>
  <r>
    <x v="2"/>
    <x v="0"/>
    <x v="26"/>
    <x v="2"/>
    <n v="24950662.739644933"/>
    <x v="0"/>
  </r>
  <r>
    <x v="0"/>
    <x v="0"/>
    <x v="27"/>
    <x v="0"/>
    <n v="-9046353.9938720018"/>
    <x v="0"/>
  </r>
  <r>
    <x v="1"/>
    <x v="0"/>
    <x v="27"/>
    <x v="1"/>
    <n v="34214686.81979432"/>
    <x v="0"/>
  </r>
  <r>
    <x v="2"/>
    <x v="0"/>
    <x v="27"/>
    <x v="2"/>
    <n v="3446834.8101365846"/>
    <x v="0"/>
  </r>
  <r>
    <x v="0"/>
    <x v="0"/>
    <x v="28"/>
    <x v="0"/>
    <n v="-5983678.7617784692"/>
    <x v="0"/>
  </r>
  <r>
    <x v="1"/>
    <x v="0"/>
    <x v="28"/>
    <x v="1"/>
    <n v="29419477.894608334"/>
    <x v="0"/>
  </r>
  <r>
    <x v="2"/>
    <x v="0"/>
    <x v="28"/>
    <x v="2"/>
    <n v="1010898.5302216058"/>
    <x v="0"/>
  </r>
  <r>
    <x v="0"/>
    <x v="0"/>
    <x v="29"/>
    <x v="0"/>
    <n v="-5555150.9946634453"/>
    <x v="0"/>
  </r>
  <r>
    <x v="1"/>
    <x v="0"/>
    <x v="29"/>
    <x v="1"/>
    <n v="32702433.665542513"/>
    <x v="0"/>
  </r>
  <r>
    <x v="2"/>
    <x v="0"/>
    <x v="29"/>
    <x v="2"/>
    <n v="1592426.3789830608"/>
    <x v="0"/>
  </r>
  <r>
    <x v="0"/>
    <x v="0"/>
    <x v="30"/>
    <x v="0"/>
    <n v="-5705420.2371392502"/>
    <x v="0"/>
  </r>
  <r>
    <x v="1"/>
    <x v="0"/>
    <x v="30"/>
    <x v="1"/>
    <n v="27446553.077058334"/>
    <x v="0"/>
  </r>
  <r>
    <x v="2"/>
    <x v="0"/>
    <x v="30"/>
    <x v="2"/>
    <n v="1733902.8498944053"/>
    <x v="0"/>
  </r>
  <r>
    <x v="0"/>
    <x v="0"/>
    <x v="31"/>
    <x v="0"/>
    <n v="-5728181.381179492"/>
    <x v="0"/>
  </r>
  <r>
    <x v="1"/>
    <x v="0"/>
    <x v="31"/>
    <x v="1"/>
    <n v="24291201.410060816"/>
    <x v="0"/>
  </r>
  <r>
    <x v="2"/>
    <x v="0"/>
    <x v="31"/>
    <x v="2"/>
    <n v="645043.95692723861"/>
    <x v="0"/>
  </r>
  <r>
    <x v="0"/>
    <x v="0"/>
    <x v="32"/>
    <x v="0"/>
    <n v="-5442052.770955788"/>
    <x v="0"/>
  </r>
  <r>
    <x v="1"/>
    <x v="0"/>
    <x v="32"/>
    <x v="1"/>
    <n v="23745429.040499285"/>
    <x v="0"/>
  </r>
  <r>
    <x v="2"/>
    <x v="0"/>
    <x v="32"/>
    <x v="2"/>
    <n v="2566242.3587092333"/>
    <x v="0"/>
  </r>
  <r>
    <x v="0"/>
    <x v="0"/>
    <x v="33"/>
    <x v="0"/>
    <n v="-5684268.850316545"/>
    <x v="0"/>
  </r>
  <r>
    <x v="1"/>
    <x v="0"/>
    <x v="33"/>
    <x v="1"/>
    <n v="26292420.248768345"/>
    <x v="0"/>
  </r>
  <r>
    <x v="2"/>
    <x v="0"/>
    <x v="33"/>
    <x v="2"/>
    <n v="5446689.8803577153"/>
    <x v="0"/>
  </r>
  <r>
    <x v="0"/>
    <x v="0"/>
    <x v="34"/>
    <x v="0"/>
    <n v="-8252810.4699939191"/>
    <x v="0"/>
  </r>
  <r>
    <x v="1"/>
    <x v="0"/>
    <x v="34"/>
    <x v="1"/>
    <n v="24895893.570422355"/>
    <x v="0"/>
  </r>
  <r>
    <x v="2"/>
    <x v="0"/>
    <x v="34"/>
    <x v="2"/>
    <n v="3452553.1365450476"/>
    <x v="0"/>
  </r>
  <r>
    <x v="0"/>
    <x v="0"/>
    <x v="35"/>
    <x v="0"/>
    <n v="-10982676.606234655"/>
    <x v="0"/>
  </r>
  <r>
    <x v="1"/>
    <x v="0"/>
    <x v="35"/>
    <x v="1"/>
    <n v="30273555.376606397"/>
    <x v="0"/>
  </r>
  <r>
    <x v="2"/>
    <x v="0"/>
    <x v="35"/>
    <x v="2"/>
    <n v="3153905.536744399"/>
    <x v="0"/>
  </r>
  <r>
    <x v="0"/>
    <x v="0"/>
    <x v="36"/>
    <x v="0"/>
    <n v="-12545593.85998721"/>
    <x v="0"/>
  </r>
  <r>
    <x v="1"/>
    <x v="0"/>
    <x v="36"/>
    <x v="1"/>
    <n v="37100824.411994025"/>
    <x v="0"/>
  </r>
  <r>
    <x v="2"/>
    <x v="0"/>
    <x v="36"/>
    <x v="2"/>
    <n v="1902165.3011256426"/>
    <x v="0"/>
  </r>
  <r>
    <x v="3"/>
    <x v="0"/>
    <x v="0"/>
    <x v="1"/>
    <n v="55973708.576771744"/>
    <x v="0"/>
  </r>
  <r>
    <x v="3"/>
    <x v="0"/>
    <x v="1"/>
    <x v="1"/>
    <n v="4954542.4935227577"/>
    <x v="0"/>
  </r>
  <r>
    <x v="3"/>
    <x v="0"/>
    <x v="2"/>
    <x v="1"/>
    <n v="7042169.4337165803"/>
    <x v="0"/>
  </r>
  <r>
    <x v="3"/>
    <x v="0"/>
    <x v="3"/>
    <x v="1"/>
    <n v="7467106.6334422221"/>
    <x v="0"/>
  </r>
  <r>
    <x v="3"/>
    <x v="0"/>
    <x v="4"/>
    <x v="1"/>
    <n v="1040458.9287160989"/>
    <x v="0"/>
  </r>
  <r>
    <x v="3"/>
    <x v="0"/>
    <x v="5"/>
    <x v="1"/>
    <n v="226085.16924235001"/>
    <x v="0"/>
  </r>
  <r>
    <x v="3"/>
    <x v="0"/>
    <x v="6"/>
    <x v="1"/>
    <n v="394617.58650821191"/>
    <x v="0"/>
  </r>
  <r>
    <x v="3"/>
    <x v="0"/>
    <x v="7"/>
    <x v="1"/>
    <n v="1233297.285180802"/>
    <x v="0"/>
  </r>
  <r>
    <x v="3"/>
    <x v="0"/>
    <x v="8"/>
    <x v="1"/>
    <n v="677852.11686103791"/>
    <x v="0"/>
  </r>
  <r>
    <x v="3"/>
    <x v="0"/>
    <x v="9"/>
    <x v="1"/>
    <n v="966280.89124930208"/>
    <x v="0"/>
  </r>
  <r>
    <x v="3"/>
    <x v="0"/>
    <x v="10"/>
    <x v="1"/>
    <n v="5668618.7954643825"/>
    <x v="0"/>
  </r>
  <r>
    <x v="3"/>
    <x v="0"/>
    <x v="11"/>
    <x v="1"/>
    <n v="6185316.8140048943"/>
    <x v="0"/>
  </r>
  <r>
    <x v="3"/>
    <x v="0"/>
    <x v="12"/>
    <x v="1"/>
    <n v="20117362.428863108"/>
    <x v="0"/>
  </r>
  <r>
    <x v="3"/>
    <x v="0"/>
    <x v="13"/>
    <x v="1"/>
    <n v="45962237.047818363"/>
    <x v="0"/>
  </r>
  <r>
    <x v="3"/>
    <x v="0"/>
    <x v="14"/>
    <x v="1"/>
    <n v="668839.18880065857"/>
    <x v="0"/>
  </r>
  <r>
    <x v="3"/>
    <x v="0"/>
    <x v="15"/>
    <x v="1"/>
    <n v="116261.2619275708"/>
    <x v="0"/>
  </r>
  <r>
    <x v="3"/>
    <x v="0"/>
    <x v="16"/>
    <x v="1"/>
    <n v="3229797.465221134"/>
    <x v="0"/>
  </r>
  <r>
    <x v="3"/>
    <x v="0"/>
    <x v="17"/>
    <x v="1"/>
    <n v="1060458.090769154"/>
    <x v="0"/>
  </r>
  <r>
    <x v="3"/>
    <x v="0"/>
    <x v="18"/>
    <x v="1"/>
    <n v="2513304.1360379155"/>
    <x v="0"/>
  </r>
  <r>
    <x v="3"/>
    <x v="0"/>
    <x v="19"/>
    <x v="1"/>
    <n v="1287705.059728456"/>
    <x v="0"/>
  </r>
  <r>
    <x v="3"/>
    <x v="0"/>
    <x v="20"/>
    <x v="1"/>
    <n v="2257863.8360253461"/>
    <x v="0"/>
  </r>
  <r>
    <x v="3"/>
    <x v="0"/>
    <x v="21"/>
    <x v="1"/>
    <n v="1453433.5672415923"/>
    <x v="0"/>
  </r>
  <r>
    <x v="3"/>
    <x v="0"/>
    <x v="22"/>
    <x v="1"/>
    <n v="1869847.4277024604"/>
    <x v="0"/>
  </r>
  <r>
    <x v="3"/>
    <x v="0"/>
    <x v="23"/>
    <x v="1"/>
    <n v="8836282.5124035496"/>
    <x v="0"/>
  </r>
  <r>
    <x v="3"/>
    <x v="0"/>
    <x v="24"/>
    <x v="1"/>
    <n v="15304572.455448318"/>
    <x v="0"/>
  </r>
  <r>
    <x v="3"/>
    <x v="0"/>
    <x v="25"/>
    <x v="1"/>
    <n v="7363872.0465122052"/>
    <x v="0"/>
  </r>
  <r>
    <x v="3"/>
    <x v="0"/>
    <x v="26"/>
    <x v="1"/>
    <n v="38315128.612634927"/>
    <x v="0"/>
  </r>
  <r>
    <x v="3"/>
    <x v="0"/>
    <x v="27"/>
    <x v="1"/>
    <n v="2859622.8677799972"/>
    <x v="0"/>
  </r>
  <r>
    <x v="3"/>
    <x v="0"/>
    <x v="28"/>
    <x v="1"/>
    <n v="8326241.4276963398"/>
    <x v="0"/>
  </r>
  <r>
    <x v="3"/>
    <x v="0"/>
    <x v="29"/>
    <x v="1"/>
    <n v="9519630.3859227467"/>
    <x v="0"/>
  </r>
  <r>
    <x v="3"/>
    <x v="0"/>
    <x v="30"/>
    <x v="1"/>
    <n v="5685036.0846626712"/>
    <x v="0"/>
  </r>
  <r>
    <x v="3"/>
    <x v="0"/>
    <x v="31"/>
    <x v="1"/>
    <n v="1009977.8504740992"/>
    <x v="0"/>
  </r>
  <r>
    <x v="3"/>
    <x v="0"/>
    <x v="32"/>
    <x v="1"/>
    <n v="337746.86988871015"/>
    <x v="0"/>
  </r>
  <r>
    <x v="3"/>
    <x v="0"/>
    <x v="33"/>
    <x v="1"/>
    <n v="254933.02968800499"/>
    <x v="0"/>
  </r>
  <r>
    <x v="3"/>
    <x v="0"/>
    <x v="34"/>
    <x v="1"/>
    <n v="3999991.3121013297"/>
    <x v="0"/>
  </r>
  <r>
    <x v="3"/>
    <x v="0"/>
    <x v="35"/>
    <x v="1"/>
    <n v="2189572.0119536752"/>
    <x v="0"/>
  </r>
  <r>
    <x v="3"/>
    <x v="0"/>
    <x v="36"/>
    <x v="1"/>
    <n v="4132376.7724673497"/>
    <x v="0"/>
  </r>
  <r>
    <x v="4"/>
    <x v="0"/>
    <x v="0"/>
    <x v="3"/>
    <n v="7142248.5863485476"/>
    <x v="0"/>
  </r>
  <r>
    <x v="4"/>
    <x v="0"/>
    <x v="1"/>
    <x v="3"/>
    <n v="277539.23619999998"/>
    <x v="0"/>
  </r>
  <r>
    <x v="4"/>
    <x v="0"/>
    <x v="2"/>
    <x v="3"/>
    <n v="387075.25726899522"/>
    <x v="0"/>
  </r>
  <r>
    <x v="4"/>
    <x v="0"/>
    <x v="3"/>
    <x v="3"/>
    <n v="862769.55550364475"/>
    <x v="0"/>
  </r>
  <r>
    <x v="4"/>
    <x v="0"/>
    <x v="4"/>
    <x v="3"/>
    <n v="484264.60889961029"/>
    <x v="0"/>
  </r>
  <r>
    <x v="4"/>
    <x v="0"/>
    <x v="5"/>
    <x v="3"/>
    <n v="391014.49889424449"/>
    <x v="0"/>
  </r>
  <r>
    <x v="4"/>
    <x v="0"/>
    <x v="6"/>
    <x v="3"/>
    <n v="356958.14576770866"/>
    <x v="0"/>
  </r>
  <r>
    <x v="4"/>
    <x v="0"/>
    <x v="7"/>
    <x v="3"/>
    <n v="328407.16238893312"/>
    <x v="0"/>
  </r>
  <r>
    <x v="4"/>
    <x v="0"/>
    <x v="8"/>
    <x v="3"/>
    <n v="323896.45461622276"/>
    <x v="0"/>
  </r>
  <r>
    <x v="4"/>
    <x v="0"/>
    <x v="9"/>
    <x v="3"/>
    <n v="189993.81983222542"/>
    <x v="0"/>
  </r>
  <r>
    <x v="4"/>
    <x v="0"/>
    <x v="10"/>
    <x v="3"/>
    <n v="428640.47509102838"/>
    <x v="0"/>
  </r>
  <r>
    <x v="4"/>
    <x v="0"/>
    <x v="11"/>
    <x v="3"/>
    <n v="665272.67098584922"/>
    <x v="0"/>
  </r>
  <r>
    <x v="4"/>
    <x v="0"/>
    <x v="12"/>
    <x v="3"/>
    <n v="2446416.7009000862"/>
    <x v="0"/>
  </r>
  <r>
    <x v="4"/>
    <x v="0"/>
    <x v="13"/>
    <x v="3"/>
    <n v="6788113.704694517"/>
    <x v="0"/>
  </r>
  <r>
    <x v="4"/>
    <x v="0"/>
    <x v="14"/>
    <x v="3"/>
    <n v="190386.77331724641"/>
    <x v="0"/>
  </r>
  <r>
    <x v="4"/>
    <x v="0"/>
    <x v="15"/>
    <x v="3"/>
    <n v="224016.17925468259"/>
    <x v="0"/>
  </r>
  <r>
    <x v="4"/>
    <x v="0"/>
    <x v="16"/>
    <x v="3"/>
    <n v="435017.79992543452"/>
    <x v="0"/>
  </r>
  <r>
    <x v="4"/>
    <x v="0"/>
    <x v="17"/>
    <x v="3"/>
    <n v="572878.4470885999"/>
    <x v="0"/>
  </r>
  <r>
    <x v="4"/>
    <x v="0"/>
    <x v="18"/>
    <x v="3"/>
    <n v="570425.89075679076"/>
    <x v="0"/>
  </r>
  <r>
    <x v="4"/>
    <x v="0"/>
    <x v="19"/>
    <x v="3"/>
    <n v="490241.59488586622"/>
    <x v="0"/>
  </r>
  <r>
    <x v="4"/>
    <x v="0"/>
    <x v="20"/>
    <x v="3"/>
    <n v="422647.6561622874"/>
    <x v="0"/>
  </r>
  <r>
    <x v="4"/>
    <x v="0"/>
    <x v="21"/>
    <x v="3"/>
    <n v="347355.94645076751"/>
    <x v="0"/>
  </r>
  <r>
    <x v="4"/>
    <x v="0"/>
    <x v="22"/>
    <x v="3"/>
    <n v="624573.33019136696"/>
    <x v="0"/>
  </r>
  <r>
    <x v="4"/>
    <x v="0"/>
    <x v="23"/>
    <x v="3"/>
    <n v="677149.38526410866"/>
    <x v="0"/>
  </r>
  <r>
    <x v="4"/>
    <x v="0"/>
    <x v="24"/>
    <x v="3"/>
    <n v="955816.10832754325"/>
    <x v="0"/>
  </r>
  <r>
    <x v="4"/>
    <x v="0"/>
    <x v="25"/>
    <x v="3"/>
    <n v="1277604.5930698232"/>
    <x v="0"/>
  </r>
  <r>
    <x v="4"/>
    <x v="0"/>
    <x v="26"/>
    <x v="3"/>
    <n v="5098757.9390794849"/>
    <x v="0"/>
  </r>
  <r>
    <x v="4"/>
    <x v="0"/>
    <x v="27"/>
    <x v="3"/>
    <n v="142084.40732983011"/>
    <x v="0"/>
  </r>
  <r>
    <x v="4"/>
    <x v="0"/>
    <x v="28"/>
    <x v="3"/>
    <n v="192525.13422870132"/>
    <x v="0"/>
  </r>
  <r>
    <x v="4"/>
    <x v="0"/>
    <x v="29"/>
    <x v="3"/>
    <n v="344767.70752395905"/>
    <x v="0"/>
  </r>
  <r>
    <x v="4"/>
    <x v="0"/>
    <x v="30"/>
    <x v="3"/>
    <n v="413758.10372600547"/>
    <x v="0"/>
  </r>
  <r>
    <x v="4"/>
    <x v="0"/>
    <x v="31"/>
    <x v="3"/>
    <n v="2035011.9632924837"/>
    <x v="0"/>
  </r>
  <r>
    <x v="4"/>
    <x v="0"/>
    <x v="32"/>
    <x v="3"/>
    <n v="79578.382746500487"/>
    <x v="0"/>
  </r>
  <r>
    <x v="4"/>
    <x v="0"/>
    <x v="33"/>
    <x v="3"/>
    <n v="329712.0108211413"/>
    <x v="0"/>
  </r>
  <r>
    <x v="4"/>
    <x v="0"/>
    <x v="34"/>
    <x v="3"/>
    <n v="316127.74520311813"/>
    <x v="0"/>
  </r>
  <r>
    <x v="4"/>
    <x v="0"/>
    <x v="35"/>
    <x v="3"/>
    <n v="315211.75731246686"/>
    <x v="0"/>
  </r>
  <r>
    <x v="4"/>
    <x v="0"/>
    <x v="36"/>
    <x v="3"/>
    <n v="929980.72689527797"/>
    <x v="0"/>
  </r>
  <r>
    <x v="5"/>
    <x v="0"/>
    <x v="0"/>
    <x v="3"/>
    <n v="3020607.2566492176"/>
    <x v="0"/>
  </r>
  <r>
    <x v="5"/>
    <x v="0"/>
    <x v="1"/>
    <x v="3"/>
    <n v="188437.38560000001"/>
    <x v="0"/>
  </r>
  <r>
    <x v="5"/>
    <x v="0"/>
    <x v="2"/>
    <x v="3"/>
    <n v="883346.19240340265"/>
    <x v="0"/>
  </r>
  <r>
    <x v="5"/>
    <x v="0"/>
    <x v="3"/>
    <x v="3"/>
    <n v="1369085.1356577284"/>
    <x v="0"/>
  </r>
  <r>
    <x v="5"/>
    <x v="0"/>
    <x v="4"/>
    <x v="3"/>
    <n v="766666.05110015639"/>
    <x v="0"/>
  </r>
  <r>
    <x v="5"/>
    <x v="0"/>
    <x v="5"/>
    <x v="3"/>
    <n v="165625.30302113327"/>
    <x v="0"/>
  </r>
  <r>
    <x v="5"/>
    <x v="0"/>
    <x v="6"/>
    <x v="3"/>
    <n v="-1994201.5703249678"/>
    <x v="0"/>
  </r>
  <r>
    <x v="5"/>
    <x v="0"/>
    <x v="7"/>
    <x v="3"/>
    <n v="52231.284324222288"/>
    <x v="0"/>
  </r>
  <r>
    <x v="5"/>
    <x v="0"/>
    <x v="8"/>
    <x v="3"/>
    <n v="303981.10746093217"/>
    <x v="0"/>
  </r>
  <r>
    <x v="5"/>
    <x v="0"/>
    <x v="9"/>
    <x v="3"/>
    <n v="341322.36994785344"/>
    <x v="0"/>
  </r>
  <r>
    <x v="5"/>
    <x v="0"/>
    <x v="10"/>
    <x v="3"/>
    <n v="315104.37281434599"/>
    <x v="0"/>
  </r>
  <r>
    <x v="5"/>
    <x v="0"/>
    <x v="11"/>
    <x v="3"/>
    <n v="163430.05509099032"/>
    <x v="0"/>
  </r>
  <r>
    <x v="5"/>
    <x v="0"/>
    <x v="12"/>
    <x v="3"/>
    <n v="465579.56955342065"/>
    <x v="0"/>
  </r>
  <r>
    <x v="5"/>
    <x v="0"/>
    <x v="13"/>
    <x v="3"/>
    <n v="6789838.9918583743"/>
    <x v="0"/>
  </r>
  <r>
    <x v="5"/>
    <x v="0"/>
    <x v="14"/>
    <x v="3"/>
    <n v="-71450.788730006301"/>
    <x v="0"/>
  </r>
  <r>
    <x v="5"/>
    <x v="0"/>
    <x v="15"/>
    <x v="3"/>
    <n v="89855.308443096306"/>
    <x v="0"/>
  </r>
  <r>
    <x v="5"/>
    <x v="0"/>
    <x v="16"/>
    <x v="3"/>
    <n v="78086.810465677903"/>
    <x v="0"/>
  </r>
  <r>
    <x v="5"/>
    <x v="0"/>
    <x v="17"/>
    <x v="3"/>
    <n v="973360.14777188853"/>
    <x v="0"/>
  </r>
  <r>
    <x v="5"/>
    <x v="0"/>
    <x v="18"/>
    <x v="3"/>
    <n v="2440592.9547397299"/>
    <x v="0"/>
  </r>
  <r>
    <x v="5"/>
    <x v="0"/>
    <x v="19"/>
    <x v="3"/>
    <n v="144342.00872744271"/>
    <x v="0"/>
  </r>
  <r>
    <x v="5"/>
    <x v="0"/>
    <x v="20"/>
    <x v="3"/>
    <n v="442912.64340004692"/>
    <x v="0"/>
  </r>
  <r>
    <x v="5"/>
    <x v="0"/>
    <x v="21"/>
    <x v="3"/>
    <n v="1808913.1084338876"/>
    <x v="0"/>
  </r>
  <r>
    <x v="5"/>
    <x v="0"/>
    <x v="22"/>
    <x v="3"/>
    <n v="80368.516987461306"/>
    <x v="0"/>
  </r>
  <r>
    <x v="5"/>
    <x v="0"/>
    <x v="23"/>
    <x v="3"/>
    <n v="201585.91702357749"/>
    <x v="0"/>
  </r>
  <r>
    <x v="5"/>
    <x v="0"/>
    <x v="24"/>
    <x v="3"/>
    <n v="192391.83703324449"/>
    <x v="0"/>
  </r>
  <r>
    <x v="5"/>
    <x v="0"/>
    <x v="25"/>
    <x v="3"/>
    <n v="408880.52756232768"/>
    <x v="0"/>
  </r>
  <r>
    <x v="5"/>
    <x v="0"/>
    <x v="26"/>
    <x v="3"/>
    <n v="2221484.4519185987"/>
    <x v="0"/>
  </r>
  <r>
    <x v="5"/>
    <x v="0"/>
    <x v="27"/>
    <x v="3"/>
    <n v="20167.282415355781"/>
    <x v="0"/>
  </r>
  <r>
    <x v="5"/>
    <x v="0"/>
    <x v="28"/>
    <x v="3"/>
    <n v="42067.50114629796"/>
    <x v="0"/>
  </r>
  <r>
    <x v="5"/>
    <x v="0"/>
    <x v="29"/>
    <x v="3"/>
    <n v="103950.13508649825"/>
    <x v="0"/>
  </r>
  <r>
    <x v="5"/>
    <x v="0"/>
    <x v="30"/>
    <x v="3"/>
    <n v="670218.47895476676"/>
    <x v="0"/>
  </r>
  <r>
    <x v="5"/>
    <x v="0"/>
    <x v="31"/>
    <x v="3"/>
    <n v="69635.72522720485"/>
    <x v="0"/>
  </r>
  <r>
    <x v="5"/>
    <x v="0"/>
    <x v="32"/>
    <x v="3"/>
    <n v="69042.561300504662"/>
    <x v="0"/>
  </r>
  <r>
    <x v="5"/>
    <x v="0"/>
    <x v="33"/>
    <x v="3"/>
    <n v="374207.75889589748"/>
    <x v="0"/>
  </r>
  <r>
    <x v="5"/>
    <x v="0"/>
    <x v="34"/>
    <x v="3"/>
    <n v="390982.50151198287"/>
    <x v="0"/>
  </r>
  <r>
    <x v="5"/>
    <x v="0"/>
    <x v="35"/>
    <x v="3"/>
    <n v="90798.938667385955"/>
    <x v="0"/>
  </r>
  <r>
    <x v="5"/>
    <x v="0"/>
    <x v="36"/>
    <x v="3"/>
    <n v="390413.56871270383"/>
    <x v="0"/>
  </r>
  <r>
    <x v="6"/>
    <x v="0"/>
    <x v="37"/>
    <x v="1"/>
    <n v="385956804.2068398"/>
    <x v="0"/>
  </r>
  <r>
    <x v="6"/>
    <x v="0"/>
    <x v="27"/>
    <x v="1"/>
    <n v="21767478.471088976"/>
    <x v="0"/>
  </r>
  <r>
    <x v="6"/>
    <x v="0"/>
    <x v="28"/>
    <x v="1"/>
    <n v="23519360.468885101"/>
    <x v="0"/>
  </r>
  <r>
    <x v="6"/>
    <x v="0"/>
    <x v="29"/>
    <x v="1"/>
    <n v="28400622.585701201"/>
    <x v="0"/>
  </r>
  <r>
    <x v="6"/>
    <x v="0"/>
    <x v="30"/>
    <x v="1"/>
    <n v="29411465.54363434"/>
    <x v="0"/>
  </r>
  <r>
    <x v="6"/>
    <x v="0"/>
    <x v="31"/>
    <x v="1"/>
    <n v="37977180.4835563"/>
    <x v="0"/>
  </r>
  <r>
    <x v="6"/>
    <x v="0"/>
    <x v="32"/>
    <x v="1"/>
    <n v="18082622.135986999"/>
    <x v="0"/>
  </r>
  <r>
    <x v="6"/>
    <x v="0"/>
    <x v="33"/>
    <x v="1"/>
    <n v="21420114.715453841"/>
    <x v="0"/>
  </r>
  <r>
    <x v="6"/>
    <x v="0"/>
    <x v="34"/>
    <x v="1"/>
    <n v="25520996.461300001"/>
    <x v="0"/>
  </r>
  <r>
    <x v="6"/>
    <x v="0"/>
    <x v="35"/>
    <x v="1"/>
    <n v="26229212.798145398"/>
    <x v="0"/>
  </r>
  <r>
    <x v="6"/>
    <x v="0"/>
    <x v="36"/>
    <x v="1"/>
    <n v="35606255.092559598"/>
    <x v="0"/>
  </r>
  <r>
    <x v="6"/>
    <x v="0"/>
    <x v="38"/>
    <x v="1"/>
    <n v="65452793.448495999"/>
    <x v="0"/>
  </r>
  <r>
    <x v="6"/>
    <x v="0"/>
    <x v="39"/>
    <x v="1"/>
    <n v="52568702.002031997"/>
    <x v="0"/>
  </r>
  <r>
    <x v="7"/>
    <x v="0"/>
    <x v="13"/>
    <x v="1"/>
    <n v="385956804.2068398"/>
    <x v="0"/>
  </r>
  <r>
    <x v="7"/>
    <x v="0"/>
    <x v="14"/>
    <x v="1"/>
    <n v="21767478.471088976"/>
    <x v="0"/>
  </r>
  <r>
    <x v="7"/>
    <x v="0"/>
    <x v="15"/>
    <x v="1"/>
    <n v="23519360.468885101"/>
    <x v="0"/>
  </r>
  <r>
    <x v="7"/>
    <x v="0"/>
    <x v="16"/>
    <x v="1"/>
    <n v="28400622.585701201"/>
    <x v="0"/>
  </r>
  <r>
    <x v="7"/>
    <x v="0"/>
    <x v="17"/>
    <x v="1"/>
    <n v="29411465.54363434"/>
    <x v="0"/>
  </r>
  <r>
    <x v="7"/>
    <x v="0"/>
    <x v="18"/>
    <x v="1"/>
    <n v="37977180.4835563"/>
    <x v="0"/>
  </r>
  <r>
    <x v="7"/>
    <x v="0"/>
    <x v="19"/>
    <x v="1"/>
    <n v="18082622.135986999"/>
    <x v="0"/>
  </r>
  <r>
    <x v="7"/>
    <x v="0"/>
    <x v="20"/>
    <x v="1"/>
    <n v="21420114.715453841"/>
    <x v="0"/>
  </r>
  <r>
    <x v="7"/>
    <x v="0"/>
    <x v="21"/>
    <x v="1"/>
    <n v="25520996.461300001"/>
    <x v="0"/>
  </r>
  <r>
    <x v="7"/>
    <x v="0"/>
    <x v="22"/>
    <x v="1"/>
    <n v="26229212.798145398"/>
    <x v="0"/>
  </r>
  <r>
    <x v="7"/>
    <x v="0"/>
    <x v="23"/>
    <x v="1"/>
    <n v="35606255.092559598"/>
    <x v="0"/>
  </r>
  <r>
    <x v="7"/>
    <x v="0"/>
    <x v="24"/>
    <x v="1"/>
    <n v="65452793.448495999"/>
    <x v="0"/>
  </r>
  <r>
    <x v="7"/>
    <x v="0"/>
    <x v="25"/>
    <x v="1"/>
    <n v="52568702.002031997"/>
    <x v="0"/>
  </r>
  <r>
    <x v="7"/>
    <x v="0"/>
    <x v="26"/>
    <x v="1"/>
    <n v="281780102.03643769"/>
    <x v="0"/>
  </r>
  <r>
    <x v="7"/>
    <x v="0"/>
    <x v="27"/>
    <x v="1"/>
    <n v="34415762.897494718"/>
    <x v="0"/>
  </r>
  <r>
    <x v="7"/>
    <x v="0"/>
    <x v="28"/>
    <x v="1"/>
    <n v="28144687.2938"/>
    <x v="0"/>
  </r>
  <r>
    <x v="7"/>
    <x v="0"/>
    <x v="29"/>
    <x v="1"/>
    <n v="31120231.9826"/>
    <x v="0"/>
  </r>
  <r>
    <x v="7"/>
    <x v="0"/>
    <x v="30"/>
    <x v="1"/>
    <n v="28498080.909423999"/>
    <x v="0"/>
  </r>
  <r>
    <x v="7"/>
    <x v="0"/>
    <x v="31"/>
    <x v="1"/>
    <n v="21039538.571199998"/>
    <x v="0"/>
  </r>
  <r>
    <x v="7"/>
    <x v="0"/>
    <x v="32"/>
    <x v="1"/>
    <n v="25258557.344999999"/>
    <x v="0"/>
  </r>
  <r>
    <x v="7"/>
    <x v="0"/>
    <x v="33"/>
    <x v="1"/>
    <n v="24986485.956149999"/>
    <x v="0"/>
  </r>
  <r>
    <x v="7"/>
    <x v="0"/>
    <x v="34"/>
    <x v="1"/>
    <n v="22002554.732999999"/>
    <x v="0"/>
  </r>
  <r>
    <x v="7"/>
    <x v="0"/>
    <x v="35"/>
    <x v="1"/>
    <n v="28353706.763999999"/>
    <x v="0"/>
  </r>
  <r>
    <x v="7"/>
    <x v="0"/>
    <x v="36"/>
    <x v="1"/>
    <n v="37960495.583769001"/>
    <x v="0"/>
  </r>
  <r>
    <x v="8"/>
    <x v="0"/>
    <x v="36"/>
    <x v="1"/>
    <n v="39525706.075364999"/>
    <x v="0"/>
  </r>
  <r>
    <x v="8"/>
    <x v="0"/>
    <x v="34"/>
    <x v="1"/>
    <n v="23322708.1257888"/>
    <x v="0"/>
  </r>
  <r>
    <x v="8"/>
    <x v="0"/>
    <x v="35"/>
    <x v="1"/>
    <n v="28928518.679992002"/>
    <x v="0"/>
  </r>
  <r>
    <x v="9"/>
    <x v="0"/>
    <x v="0"/>
    <x v="4"/>
    <n v="81533270.172401756"/>
    <x v="0"/>
  </r>
  <r>
    <x v="9"/>
    <x v="0"/>
    <x v="1"/>
    <x v="4"/>
    <n v="5518191.4266222613"/>
    <x v="0"/>
  </r>
  <r>
    <x v="9"/>
    <x v="0"/>
    <x v="2"/>
    <x v="4"/>
    <n v="4152623.7969230441"/>
    <x v="0"/>
  </r>
  <r>
    <x v="9"/>
    <x v="0"/>
    <x v="3"/>
    <x v="4"/>
    <n v="5082810.5425370764"/>
    <x v="0"/>
  </r>
  <r>
    <x v="9"/>
    <x v="0"/>
    <x v="4"/>
    <x v="4"/>
    <n v="6660105.0197752491"/>
    <x v="0"/>
  </r>
  <r>
    <x v="9"/>
    <x v="0"/>
    <x v="5"/>
    <x v="4"/>
    <n v="9767670.6627964713"/>
    <x v="0"/>
  </r>
  <r>
    <x v="9"/>
    <x v="0"/>
    <x v="6"/>
    <x v="4"/>
    <n v="8470386.0080122966"/>
    <x v="0"/>
  </r>
  <r>
    <x v="9"/>
    <x v="0"/>
    <x v="7"/>
    <x v="4"/>
    <n v="6133559.3956841808"/>
    <x v="0"/>
  </r>
  <r>
    <x v="9"/>
    <x v="0"/>
    <x v="8"/>
    <x v="4"/>
    <n v="8464765.8344022296"/>
    <x v="0"/>
  </r>
  <r>
    <x v="9"/>
    <x v="0"/>
    <x v="9"/>
    <x v="4"/>
    <n v="4063702.5607868321"/>
    <x v="0"/>
  </r>
  <r>
    <x v="9"/>
    <x v="0"/>
    <x v="10"/>
    <x v="4"/>
    <n v="6862298.0472120177"/>
    <x v="0"/>
  </r>
  <r>
    <x v="9"/>
    <x v="0"/>
    <x v="11"/>
    <x v="4"/>
    <n v="14085611.019157503"/>
    <x v="0"/>
  </r>
  <r>
    <x v="9"/>
    <x v="0"/>
    <x v="12"/>
    <x v="4"/>
    <n v="2271545.8584925793"/>
    <x v="0"/>
  </r>
  <r>
    <x v="9"/>
    <x v="0"/>
    <x v="13"/>
    <x v="4"/>
    <n v="99070252.829811737"/>
    <x v="0"/>
  </r>
  <r>
    <x v="9"/>
    <x v="0"/>
    <x v="14"/>
    <x v="4"/>
    <n v="7173448.7543809786"/>
    <x v="0"/>
  </r>
  <r>
    <x v="9"/>
    <x v="0"/>
    <x v="15"/>
    <x v="4"/>
    <n v="6937102.2728543971"/>
    <x v="0"/>
  </r>
  <r>
    <x v="9"/>
    <x v="0"/>
    <x v="16"/>
    <x v="4"/>
    <n v="8453469.1450264528"/>
    <x v="0"/>
  </r>
  <r>
    <x v="9"/>
    <x v="0"/>
    <x v="17"/>
    <x v="4"/>
    <n v="8031958.7793870987"/>
    <x v="0"/>
  </r>
  <r>
    <x v="9"/>
    <x v="0"/>
    <x v="18"/>
    <x v="4"/>
    <n v="10794415.890693989"/>
    <x v="0"/>
  </r>
  <r>
    <x v="9"/>
    <x v="0"/>
    <x v="19"/>
    <x v="4"/>
    <n v="8237532.0007093456"/>
    <x v="0"/>
  </r>
  <r>
    <x v="9"/>
    <x v="0"/>
    <x v="20"/>
    <x v="4"/>
    <n v="7828556.4553635316"/>
    <x v="0"/>
  </r>
  <r>
    <x v="9"/>
    <x v="0"/>
    <x v="21"/>
    <x v="4"/>
    <n v="8521151.3627043441"/>
    <x v="0"/>
  </r>
  <r>
    <x v="9"/>
    <x v="0"/>
    <x v="22"/>
    <x v="4"/>
    <n v="6498230.1198374201"/>
    <x v="0"/>
  </r>
  <r>
    <x v="9"/>
    <x v="0"/>
    <x v="23"/>
    <x v="4"/>
    <n v="7305132.2193411011"/>
    <x v="0"/>
  </r>
  <r>
    <x v="9"/>
    <x v="0"/>
    <x v="24"/>
    <x v="4"/>
    <n v="11022020.967390656"/>
    <x v="0"/>
  </r>
  <r>
    <x v="9"/>
    <x v="0"/>
    <x v="25"/>
    <x v="4"/>
    <n v="8267234.8621224388"/>
    <x v="0"/>
  </r>
  <r>
    <x v="9"/>
    <x v="0"/>
    <x v="26"/>
    <x v="4"/>
    <n v="82144364.585068762"/>
    <x v="0"/>
  </r>
  <r>
    <x v="9"/>
    <x v="0"/>
    <x v="27"/>
    <x v="4"/>
    <n v="8721050.3740865923"/>
    <x v="0"/>
  </r>
  <r>
    <x v="9"/>
    <x v="0"/>
    <x v="28"/>
    <x v="4"/>
    <n v="6064333.818904615"/>
    <x v="0"/>
  </r>
  <r>
    <x v="9"/>
    <x v="0"/>
    <x v="29"/>
    <x v="4"/>
    <n v="7455435.0210125875"/>
    <x v="0"/>
  </r>
  <r>
    <x v="9"/>
    <x v="0"/>
    <x v="30"/>
    <x v="4"/>
    <n v="7288442.5311684553"/>
    <x v="0"/>
  </r>
  <r>
    <x v="9"/>
    <x v="0"/>
    <x v="31"/>
    <x v="4"/>
    <n v="7717157.0616820427"/>
    <x v="0"/>
  </r>
  <r>
    <x v="9"/>
    <x v="0"/>
    <x v="32"/>
    <x v="4"/>
    <n v="8430162.8278715145"/>
    <x v="0"/>
  </r>
  <r>
    <x v="9"/>
    <x v="0"/>
    <x v="33"/>
    <x v="4"/>
    <n v="10331451.804558566"/>
    <x v="0"/>
  </r>
  <r>
    <x v="9"/>
    <x v="0"/>
    <x v="34"/>
    <x v="4"/>
    <n v="8860503.8727244791"/>
    <x v="0"/>
  </r>
  <r>
    <x v="9"/>
    <x v="0"/>
    <x v="35"/>
    <x v="4"/>
    <n v="8592554.0973907877"/>
    <x v="0"/>
  </r>
  <r>
    <x v="9"/>
    <x v="0"/>
    <x v="36"/>
    <x v="4"/>
    <n v="8683273.1756691094"/>
    <x v="0"/>
  </r>
  <r>
    <x v="10"/>
    <x v="0"/>
    <x v="0"/>
    <x v="4"/>
    <n v="-10194778.476788681"/>
    <x v="0"/>
  </r>
  <r>
    <x v="10"/>
    <x v="0"/>
    <x v="1"/>
    <x v="4"/>
    <n v="-824388.38366583094"/>
    <x v="0"/>
  </r>
  <r>
    <x v="10"/>
    <x v="0"/>
    <x v="2"/>
    <x v="4"/>
    <n v="-291185.65162241098"/>
    <x v="0"/>
  </r>
  <r>
    <x v="10"/>
    <x v="0"/>
    <x v="3"/>
    <x v="4"/>
    <n v="-172202.682933926"/>
    <x v="0"/>
  </r>
  <r>
    <x v="10"/>
    <x v="0"/>
    <x v="4"/>
    <x v="4"/>
    <n v="-642510.65633093799"/>
    <x v="0"/>
  </r>
  <r>
    <x v="10"/>
    <x v="0"/>
    <x v="5"/>
    <x v="4"/>
    <n v="77253.626700140405"/>
    <x v="0"/>
  </r>
  <r>
    <x v="10"/>
    <x v="0"/>
    <x v="6"/>
    <x v="4"/>
    <n v="-427338.24025334098"/>
    <x v="0"/>
  </r>
  <r>
    <x v="10"/>
    <x v="0"/>
    <x v="7"/>
    <x v="4"/>
    <n v="-395579.84966201702"/>
    <x v="0"/>
  </r>
  <r>
    <x v="10"/>
    <x v="0"/>
    <x v="8"/>
    <x v="4"/>
    <n v="-459437.33539424703"/>
    <x v="0"/>
  </r>
  <r>
    <x v="10"/>
    <x v="0"/>
    <x v="9"/>
    <x v="4"/>
    <n v="-2584799.6579861999"/>
    <x v="0"/>
  </r>
  <r>
    <x v="10"/>
    <x v="0"/>
    <x v="10"/>
    <x v="4"/>
    <n v="-1360046.1082172201"/>
    <x v="0"/>
  </r>
  <r>
    <x v="10"/>
    <x v="0"/>
    <x v="11"/>
    <x v="4"/>
    <n v="-406908.12027247198"/>
    <x v="0"/>
  </r>
  <r>
    <x v="10"/>
    <x v="0"/>
    <x v="12"/>
    <x v="4"/>
    <n v="-2707635.4171502199"/>
    <x v="0"/>
  </r>
  <r>
    <x v="10"/>
    <x v="0"/>
    <x v="13"/>
    <x v="4"/>
    <n v="-9148527.0426305607"/>
    <x v="0"/>
  </r>
  <r>
    <x v="10"/>
    <x v="0"/>
    <x v="14"/>
    <x v="4"/>
    <n v="-1791365.43915122"/>
    <x v="0"/>
  </r>
  <r>
    <x v="10"/>
    <x v="0"/>
    <x v="15"/>
    <x v="4"/>
    <n v="-1591311.80212502"/>
    <x v="0"/>
  </r>
  <r>
    <x v="10"/>
    <x v="0"/>
    <x v="16"/>
    <x v="4"/>
    <n v="-247618.03613202"/>
    <x v="0"/>
  </r>
  <r>
    <x v="10"/>
    <x v="0"/>
    <x v="17"/>
    <x v="4"/>
    <n v="-670926.38270973205"/>
    <x v="0"/>
  </r>
  <r>
    <x v="10"/>
    <x v="0"/>
    <x v="18"/>
    <x v="4"/>
    <n v="-346426.24075789098"/>
    <x v="0"/>
  </r>
  <r>
    <x v="10"/>
    <x v="0"/>
    <x v="19"/>
    <x v="4"/>
    <n v="-229750.19847172601"/>
    <x v="0"/>
  </r>
  <r>
    <x v="10"/>
    <x v="0"/>
    <x v="20"/>
    <x v="4"/>
    <n v="-57796.796638642998"/>
    <x v="0"/>
  </r>
  <r>
    <x v="10"/>
    <x v="0"/>
    <x v="21"/>
    <x v="4"/>
    <n v="-621543.62212734495"/>
    <x v="0"/>
  </r>
  <r>
    <x v="10"/>
    <x v="0"/>
    <x v="22"/>
    <x v="4"/>
    <n v="-643415.96315244294"/>
    <x v="0"/>
  </r>
  <r>
    <x v="10"/>
    <x v="0"/>
    <x v="23"/>
    <x v="4"/>
    <n v="-546240.23386315198"/>
    <x v="0"/>
  </r>
  <r>
    <x v="10"/>
    <x v="0"/>
    <x v="24"/>
    <x v="4"/>
    <n v="-796439.48046686896"/>
    <x v="0"/>
  </r>
  <r>
    <x v="10"/>
    <x v="0"/>
    <x v="25"/>
    <x v="4"/>
    <n v="-1605692.8470345"/>
    <x v="0"/>
  </r>
  <r>
    <x v="10"/>
    <x v="0"/>
    <x v="26"/>
    <x v="4"/>
    <n v="-6187542.1615152424"/>
    <x v="0"/>
  </r>
  <r>
    <x v="10"/>
    <x v="0"/>
    <x v="27"/>
    <x v="4"/>
    <n v="-821342.92033642298"/>
    <x v="0"/>
  </r>
  <r>
    <x v="10"/>
    <x v="0"/>
    <x v="28"/>
    <x v="4"/>
    <n v="-648845.92359693395"/>
    <x v="0"/>
  </r>
  <r>
    <x v="10"/>
    <x v="0"/>
    <x v="29"/>
    <x v="4"/>
    <n v="-281625.49047825101"/>
    <x v="0"/>
  </r>
  <r>
    <x v="10"/>
    <x v="0"/>
    <x v="30"/>
    <x v="4"/>
    <n v="-292728.74615707097"/>
    <x v="0"/>
  </r>
  <r>
    <x v="10"/>
    <x v="0"/>
    <x v="31"/>
    <x v="4"/>
    <n v="-956193.23066031002"/>
    <x v="0"/>
  </r>
  <r>
    <x v="10"/>
    <x v="0"/>
    <x v="32"/>
    <x v="4"/>
    <n v="-345194.35514097399"/>
    <x v="0"/>
  </r>
  <r>
    <x v="10"/>
    <x v="0"/>
    <x v="33"/>
    <x v="4"/>
    <n v="-124500.712838922"/>
    <x v="0"/>
  </r>
  <r>
    <x v="10"/>
    <x v="0"/>
    <x v="34"/>
    <x v="4"/>
    <n v="-296956.35780901799"/>
    <x v="0"/>
  </r>
  <r>
    <x v="10"/>
    <x v="0"/>
    <x v="35"/>
    <x v="4"/>
    <n v="-599207.08442393003"/>
    <x v="0"/>
  </r>
  <r>
    <x v="10"/>
    <x v="0"/>
    <x v="36"/>
    <x v="4"/>
    <n v="-1820947.34007341"/>
    <x v="0"/>
  </r>
  <r>
    <x v="11"/>
    <x v="0"/>
    <x v="0"/>
    <x v="5"/>
    <n v="217.61517224013821"/>
    <x v="0"/>
  </r>
  <r>
    <x v="12"/>
    <x v="0"/>
    <x v="0"/>
    <x v="6"/>
    <n v="246.59079027221168"/>
    <x v="0"/>
  </r>
  <r>
    <x v="11"/>
    <x v="0"/>
    <x v="1"/>
    <x v="5"/>
    <n v="13.4680257071842"/>
    <x v="0"/>
  </r>
  <r>
    <x v="12"/>
    <x v="0"/>
    <x v="1"/>
    <x v="6"/>
    <n v="19.259695535185301"/>
    <x v="0"/>
  </r>
  <r>
    <x v="11"/>
    <x v="0"/>
    <x v="2"/>
    <x v="5"/>
    <n v="13.77899584767"/>
    <x v="0"/>
  </r>
  <r>
    <x v="12"/>
    <x v="0"/>
    <x v="2"/>
    <x v="6"/>
    <n v="7.6344259247776902"/>
    <x v="0"/>
  </r>
  <r>
    <x v="11"/>
    <x v="0"/>
    <x v="3"/>
    <x v="5"/>
    <n v="13.396634245085201"/>
    <x v="0"/>
  </r>
  <r>
    <x v="12"/>
    <x v="0"/>
    <x v="3"/>
    <x v="6"/>
    <n v="14.124979403294001"/>
    <x v="0"/>
  </r>
  <r>
    <x v="11"/>
    <x v="0"/>
    <x v="4"/>
    <x v="5"/>
    <n v="14.9777183854687"/>
    <x v="0"/>
  </r>
  <r>
    <x v="12"/>
    <x v="0"/>
    <x v="4"/>
    <x v="6"/>
    <n v="19.4407412203104"/>
    <x v="0"/>
  </r>
  <r>
    <x v="11"/>
    <x v="0"/>
    <x v="5"/>
    <x v="5"/>
    <n v="16.754537669717202"/>
    <x v="0"/>
  </r>
  <r>
    <x v="12"/>
    <x v="0"/>
    <x v="5"/>
    <x v="6"/>
    <n v="33.8854082776814"/>
    <x v="0"/>
  </r>
  <r>
    <x v="11"/>
    <x v="0"/>
    <x v="6"/>
    <x v="5"/>
    <n v="18.7860016235032"/>
    <x v="0"/>
  </r>
  <r>
    <x v="12"/>
    <x v="0"/>
    <x v="6"/>
    <x v="6"/>
    <n v="28.637899452684898"/>
    <x v="0"/>
  </r>
  <r>
    <x v="11"/>
    <x v="0"/>
    <x v="7"/>
    <x v="5"/>
    <n v="20.652198348847801"/>
    <x v="0"/>
  </r>
  <r>
    <x v="12"/>
    <x v="0"/>
    <x v="7"/>
    <x v="6"/>
    <n v="28.054599998225601"/>
    <x v="0"/>
  </r>
  <r>
    <x v="11"/>
    <x v="0"/>
    <x v="8"/>
    <x v="5"/>
    <n v="20.4132967427159"/>
    <x v="0"/>
  </r>
  <r>
    <x v="12"/>
    <x v="0"/>
    <x v="8"/>
    <x v="6"/>
    <n v="21.48345119251"/>
    <x v="0"/>
  </r>
  <r>
    <x v="11"/>
    <x v="0"/>
    <x v="9"/>
    <x v="5"/>
    <n v="21.687548457527001"/>
    <x v="0"/>
  </r>
  <r>
    <x v="12"/>
    <x v="0"/>
    <x v="9"/>
    <x v="6"/>
    <n v="19.2023546751814"/>
    <x v="0"/>
  </r>
  <r>
    <x v="11"/>
    <x v="0"/>
    <x v="10"/>
    <x v="5"/>
    <n v="22.806128525237501"/>
    <x v="0"/>
  </r>
  <r>
    <x v="12"/>
    <x v="0"/>
    <x v="10"/>
    <x v="6"/>
    <n v="19.867603016128701"/>
    <x v="0"/>
  </r>
  <r>
    <x v="11"/>
    <x v="0"/>
    <x v="11"/>
    <x v="5"/>
    <n v="21.281961331382199"/>
    <x v="0"/>
  </r>
  <r>
    <x v="12"/>
    <x v="0"/>
    <x v="11"/>
    <x v="6"/>
    <n v="22.023336042213401"/>
    <x v="0"/>
  </r>
  <r>
    <x v="11"/>
    <x v="0"/>
    <x v="12"/>
    <x v="5"/>
    <n v="19.6121253557993"/>
    <x v="0"/>
  </r>
  <r>
    <x v="12"/>
    <x v="0"/>
    <x v="12"/>
    <x v="6"/>
    <n v="12.976295534018901"/>
    <x v="0"/>
  </r>
  <r>
    <x v="11"/>
    <x v="0"/>
    <x v="13"/>
    <x v="5"/>
    <n v="190.58571715371312"/>
    <x v="0"/>
  </r>
  <r>
    <x v="13"/>
    <x v="0"/>
    <x v="13"/>
    <x v="7"/>
    <n v="4613677.7456765091"/>
    <x v="0"/>
  </r>
  <r>
    <x v="12"/>
    <x v="0"/>
    <x v="13"/>
    <x v="6"/>
    <n v="218.45001360950579"/>
    <x v="0"/>
  </r>
  <r>
    <x v="11"/>
    <x v="0"/>
    <x v="40"/>
    <x v="5"/>
    <n v="0"/>
    <x v="0"/>
  </r>
  <r>
    <x v="12"/>
    <x v="0"/>
    <x v="40"/>
    <x v="6"/>
    <m/>
    <x v="0"/>
  </r>
  <r>
    <x v="11"/>
    <x v="0"/>
    <x v="14"/>
    <x v="5"/>
    <n v="12.2164005213714"/>
    <x v="0"/>
  </r>
  <r>
    <x v="13"/>
    <x v="0"/>
    <x v="14"/>
    <x v="7"/>
    <n v="227905.54474193801"/>
    <x v="0"/>
  </r>
  <r>
    <x v="12"/>
    <x v="0"/>
    <x v="14"/>
    <x v="6"/>
    <n v="13.6059074429938"/>
    <x v="0"/>
  </r>
  <r>
    <x v="11"/>
    <x v="0"/>
    <x v="15"/>
    <x v="5"/>
    <n v="13.3315972907114"/>
    <x v="0"/>
  </r>
  <r>
    <x v="13"/>
    <x v="0"/>
    <x v="15"/>
    <x v="7"/>
    <n v="275812.22968905099"/>
    <x v="0"/>
  </r>
  <r>
    <x v="12"/>
    <x v="0"/>
    <x v="15"/>
    <x v="6"/>
    <n v="12.4534585906238"/>
    <x v="0"/>
  </r>
  <r>
    <x v="11"/>
    <x v="0"/>
    <x v="16"/>
    <x v="5"/>
    <n v="12.5882397198686"/>
    <x v="0"/>
  </r>
  <r>
    <x v="13"/>
    <x v="0"/>
    <x v="16"/>
    <x v="7"/>
    <n v="671746.34762649704"/>
    <x v="0"/>
  </r>
  <r>
    <x v="12"/>
    <x v="0"/>
    <x v="16"/>
    <x v="6"/>
    <n v="10.4888837089098"/>
    <x v="0"/>
  </r>
  <r>
    <x v="11"/>
    <x v="0"/>
    <x v="17"/>
    <x v="5"/>
    <n v="13.6943155436299"/>
    <x v="0"/>
  </r>
  <r>
    <x v="13"/>
    <x v="0"/>
    <x v="17"/>
    <x v="7"/>
    <n v="299550.62756634702"/>
    <x v="0"/>
  </r>
  <r>
    <x v="12"/>
    <x v="0"/>
    <x v="17"/>
    <x v="6"/>
    <n v="13.3262277393394"/>
    <x v="0"/>
  </r>
  <r>
    <x v="11"/>
    <x v="0"/>
    <x v="18"/>
    <x v="5"/>
    <n v="14.646418119097699"/>
    <x v="0"/>
  </r>
  <r>
    <x v="13"/>
    <x v="0"/>
    <x v="18"/>
    <x v="7"/>
    <n v="168022.82026468299"/>
    <x v="0"/>
  </r>
  <r>
    <x v="12"/>
    <x v="0"/>
    <x v="18"/>
    <x v="6"/>
    <n v="32.088655416330802"/>
    <x v="0"/>
  </r>
  <r>
    <x v="11"/>
    <x v="0"/>
    <x v="19"/>
    <x v="5"/>
    <n v="16.722572544126901"/>
    <x v="0"/>
  </r>
  <r>
    <x v="13"/>
    <x v="0"/>
    <x v="19"/>
    <x v="7"/>
    <n v="537425.78297180601"/>
    <x v="0"/>
  </r>
  <r>
    <x v="12"/>
    <x v="0"/>
    <x v="19"/>
    <x v="6"/>
    <n v="27.898659132724401"/>
    <x v="0"/>
  </r>
  <r>
    <x v="11"/>
    <x v="0"/>
    <x v="20"/>
    <x v="5"/>
    <n v="17.446632937437801"/>
    <x v="0"/>
  </r>
  <r>
    <x v="13"/>
    <x v="0"/>
    <x v="20"/>
    <x v="7"/>
    <n v="297464.83947027201"/>
    <x v="0"/>
  </r>
  <r>
    <x v="12"/>
    <x v="0"/>
    <x v="20"/>
    <x v="6"/>
    <n v="21.814666082489001"/>
    <x v="0"/>
  </r>
  <r>
    <x v="11"/>
    <x v="0"/>
    <x v="21"/>
    <x v="5"/>
    <n v="17.764235620504301"/>
    <x v="0"/>
  </r>
  <r>
    <x v="13"/>
    <x v="0"/>
    <x v="21"/>
    <x v="7"/>
    <n v="729154.56079261994"/>
    <x v="0"/>
  </r>
  <r>
    <x v="12"/>
    <x v="0"/>
    <x v="21"/>
    <x v="6"/>
    <n v="20.016122810323999"/>
    <x v="0"/>
  </r>
  <r>
    <x v="11"/>
    <x v="0"/>
    <x v="22"/>
    <x v="5"/>
    <n v="17.985727453857201"/>
    <x v="0"/>
  </r>
  <r>
    <x v="13"/>
    <x v="0"/>
    <x v="22"/>
    <x v="7"/>
    <n v="609143.22695745295"/>
    <x v="0"/>
  </r>
  <r>
    <x v="12"/>
    <x v="0"/>
    <x v="22"/>
    <x v="6"/>
    <n v="14.200166953115801"/>
    <x v="0"/>
  </r>
  <r>
    <x v="11"/>
    <x v="0"/>
    <x v="23"/>
    <x v="5"/>
    <n v="18.591136468726699"/>
    <x v="0"/>
  </r>
  <r>
    <x v="13"/>
    <x v="0"/>
    <x v="23"/>
    <x v="7"/>
    <n v="392153.54176584398"/>
    <x v="0"/>
  </r>
  <r>
    <x v="12"/>
    <x v="0"/>
    <x v="23"/>
    <x v="6"/>
    <n v="13.7919098457287"/>
    <x v="0"/>
  </r>
  <r>
    <x v="11"/>
    <x v="0"/>
    <x v="24"/>
    <x v="5"/>
    <n v="18.249782789714001"/>
    <x v="0"/>
  </r>
  <r>
    <x v="13"/>
    <x v="0"/>
    <x v="24"/>
    <x v="7"/>
    <n v="314962.85987666901"/>
    <x v="0"/>
  </r>
  <r>
    <x v="12"/>
    <x v="0"/>
    <x v="24"/>
    <x v="6"/>
    <n v="20.817236363343302"/>
    <x v="0"/>
  </r>
  <r>
    <x v="11"/>
    <x v="0"/>
    <x v="25"/>
    <x v="5"/>
    <n v="17.348658144667201"/>
    <x v="0"/>
  </r>
  <r>
    <x v="13"/>
    <x v="0"/>
    <x v="25"/>
    <x v="7"/>
    <n v="90335.363953329696"/>
    <x v="0"/>
  </r>
  <r>
    <x v="12"/>
    <x v="0"/>
    <x v="25"/>
    <x v="6"/>
    <n v="17.948119523582999"/>
    <x v="0"/>
  </r>
  <r>
    <x v="11"/>
    <x v="0"/>
    <x v="26"/>
    <x v="5"/>
    <n v="197.73695929437881"/>
    <x v="0"/>
  </r>
  <r>
    <x v="13"/>
    <x v="0"/>
    <x v="26"/>
    <x v="7"/>
    <n v="3868646.5320626698"/>
    <x v="0"/>
  </r>
  <r>
    <x v="12"/>
    <x v="0"/>
    <x v="26"/>
    <x v="6"/>
    <n v="201.44771186701888"/>
    <x v="0"/>
  </r>
  <r>
    <x v="11"/>
    <x v="0"/>
    <x v="41"/>
    <x v="5"/>
    <n v="0"/>
    <x v="0"/>
  </r>
  <r>
    <x v="12"/>
    <x v="0"/>
    <x v="41"/>
    <x v="6"/>
    <m/>
    <x v="0"/>
  </r>
  <r>
    <x v="11"/>
    <x v="0"/>
    <x v="27"/>
    <x v="5"/>
    <n v="17.556894101717699"/>
    <x v="0"/>
  </r>
  <r>
    <x v="13"/>
    <x v="0"/>
    <x v="27"/>
    <x v="7"/>
    <n v="238251.06686972899"/>
    <x v="0"/>
  </r>
  <r>
    <x v="12"/>
    <x v="0"/>
    <x v="27"/>
    <x v="6"/>
    <n v="19.364283171574002"/>
    <x v="0"/>
  </r>
  <r>
    <x v="11"/>
    <x v="0"/>
    <x v="28"/>
    <x v="5"/>
    <n v="17.865964046404901"/>
    <x v="0"/>
  </r>
  <r>
    <x v="13"/>
    <x v="0"/>
    <x v="28"/>
    <x v="7"/>
    <n v="413384.067973617"/>
    <x v="0"/>
  </r>
  <r>
    <x v="12"/>
    <x v="0"/>
    <x v="28"/>
    <x v="6"/>
    <n v="16.872486376106799"/>
    <x v="0"/>
  </r>
  <r>
    <x v="11"/>
    <x v="0"/>
    <x v="29"/>
    <x v="5"/>
    <n v="17.847405420507599"/>
    <x v="0"/>
  </r>
  <r>
    <x v="13"/>
    <x v="0"/>
    <x v="29"/>
    <x v="7"/>
    <n v="116612.640892308"/>
    <x v="0"/>
  </r>
  <r>
    <x v="12"/>
    <x v="0"/>
    <x v="29"/>
    <x v="6"/>
    <n v="22.095909386353199"/>
    <x v="0"/>
  </r>
  <r>
    <x v="11"/>
    <x v="0"/>
    <x v="30"/>
    <x v="5"/>
    <n v="18.8921525542365"/>
    <x v="0"/>
  </r>
  <r>
    <x v="13"/>
    <x v="0"/>
    <x v="30"/>
    <x v="7"/>
    <n v="245492.306690853"/>
    <x v="0"/>
  </r>
  <r>
    <x v="12"/>
    <x v="0"/>
    <x v="30"/>
    <x v="6"/>
    <n v="24.3587965663387"/>
    <x v="0"/>
  </r>
  <r>
    <x v="11"/>
    <x v="0"/>
    <x v="31"/>
    <x v="5"/>
    <n v="20.196558676115"/>
    <x v="0"/>
  </r>
  <r>
    <x v="13"/>
    <x v="0"/>
    <x v="31"/>
    <x v="7"/>
    <n v="675942.39976651606"/>
    <x v="0"/>
  </r>
  <r>
    <x v="12"/>
    <x v="0"/>
    <x v="31"/>
    <x v="6"/>
    <n v="26.9856559710006"/>
    <x v="0"/>
  </r>
  <r>
    <x v="11"/>
    <x v="0"/>
    <x v="32"/>
    <x v="5"/>
    <n v="20.689800843972801"/>
    <x v="0"/>
  </r>
  <r>
    <x v="13"/>
    <x v="0"/>
    <x v="32"/>
    <x v="7"/>
    <n v="487013.03229605901"/>
    <x v="0"/>
  </r>
  <r>
    <x v="12"/>
    <x v="0"/>
    <x v="32"/>
    <x v="6"/>
    <n v="22.789719493513601"/>
    <x v="0"/>
  </r>
  <r>
    <x v="11"/>
    <x v="0"/>
    <x v="33"/>
    <x v="5"/>
    <n v="21.452992318311999"/>
    <x v="0"/>
  </r>
  <r>
    <x v="13"/>
    <x v="0"/>
    <x v="33"/>
    <x v="7"/>
    <n v="607221.17618357204"/>
    <x v="0"/>
  </r>
  <r>
    <x v="12"/>
    <x v="0"/>
    <x v="33"/>
    <x v="6"/>
    <n v="24.956870066841802"/>
    <x v="0"/>
  </r>
  <r>
    <x v="11"/>
    <x v="0"/>
    <x v="34"/>
    <x v="5"/>
    <n v="20.994245738941899"/>
    <x v="0"/>
  </r>
  <r>
    <x v="13"/>
    <x v="0"/>
    <x v="34"/>
    <x v="7"/>
    <n v="204613.54850165799"/>
    <x v="0"/>
  </r>
  <r>
    <x v="12"/>
    <x v="0"/>
    <x v="34"/>
    <x v="6"/>
    <n v="15.1192472155179"/>
    <x v="0"/>
  </r>
  <r>
    <x v="11"/>
    <x v="0"/>
    <x v="35"/>
    <x v="5"/>
    <n v="20.761946716078"/>
    <x v="0"/>
  </r>
  <r>
    <x v="13"/>
    <x v="0"/>
    <x v="35"/>
    <x v="7"/>
    <n v="569298.64217680995"/>
    <x v="0"/>
  </r>
  <r>
    <x v="12"/>
    <x v="0"/>
    <x v="35"/>
    <x v="6"/>
    <n v="14.904272919192801"/>
    <x v="0"/>
  </r>
  <r>
    <x v="11"/>
    <x v="0"/>
    <x v="36"/>
    <x v="5"/>
    <n v="21.478998878092401"/>
    <x v="0"/>
  </r>
  <r>
    <x v="13"/>
    <x v="0"/>
    <x v="36"/>
    <x v="7"/>
    <n v="310817.650711547"/>
    <x v="0"/>
  </r>
  <r>
    <x v="12"/>
    <x v="0"/>
    <x v="36"/>
    <x v="6"/>
    <n v="14.000470700579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atrixPivot1" cacheId="89" dataOnRows="1" applyNumberFormats="0" applyBorderFormats="0" applyFontFormats="0" applyPatternFormats="0" applyAlignmentFormats="0" applyWidthHeightFormats="1" dataCaption="데이터" updatedVersion="3" showItems="0" showMultipleLabel="0" showMemberPropertyTips="0" useAutoFormatting="1" itemPrintTitles="1" indent="0" compact="0" compactData="0" gridDropZones="1" fieldListSortAscending="1">
  <location ref="C4:AV20" firstHeaderRow="1" firstDataRow="2" firstDataCol="3"/>
  <pivotFields count="6">
    <pivotField axis="axisRow" compact="0" outline="0" subtotalTop="0" showAll="0" includeNewItemsInFilter="1" defaultSubtotal="0">
      <items count="14">
        <item x="8"/>
        <item x="0"/>
        <item x="4"/>
        <item x="1"/>
        <item x="11"/>
        <item x="2"/>
        <item x="13"/>
        <item x="12"/>
        <item x="3"/>
        <item x="6"/>
        <item x="7"/>
        <item x="5"/>
        <item x="9"/>
        <item x="10"/>
      </items>
    </pivotField>
    <pivotField axis="axisRow" compact="0" outline="0" subtotalTop="0" showAll="0" includeNewItemsInFilter="1" defaultSubtotal="0">
      <items count="1">
        <item x="0"/>
      </items>
    </pivotField>
    <pivotField axis="axisCol" compact="0" outline="0" subtotalTop="0" showAll="0" includeNewItemsInFilter="1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40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37"/>
        <item x="41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t="default"/>
      </items>
    </pivotField>
    <pivotField axis="axisRow" compact="0" outline="0" subtotalTop="0" showAll="0" includeNewItemsInFilter="1" defaultSubtotal="0">
      <items count="8">
        <item x="2"/>
        <item x="6"/>
        <item x="5"/>
        <item x="7"/>
        <item x="4"/>
        <item x="3"/>
        <item x="1"/>
        <item x="0"/>
      </items>
    </pivotField>
    <pivotField dataField="1" compact="0" outline="0" subtotalTop="0" showAll="0" includeNewItemsInFilter="1"/>
    <pivotField compact="0" outline="0" subtotalTop="0" showAll="0" includeNewItemsInFilter="1"/>
  </pivotFields>
  <rowFields count="3">
    <field x="1"/>
    <field x="3"/>
    <field x="0"/>
  </rowFields>
  <rowItems count="15">
    <i>
      <x/>
      <x/>
      <x v="5"/>
    </i>
    <i r="1">
      <x v="1"/>
      <x v="7"/>
    </i>
    <i r="1">
      <x v="2"/>
      <x v="4"/>
    </i>
    <i r="1">
      <x v="3"/>
      <x v="6"/>
    </i>
    <i r="1">
      <x v="4"/>
      <x v="12"/>
    </i>
    <i r="2">
      <x v="13"/>
    </i>
    <i r="1">
      <x v="5"/>
      <x v="2"/>
    </i>
    <i r="2">
      <x v="11"/>
    </i>
    <i r="1">
      <x v="6"/>
      <x/>
    </i>
    <i r="2">
      <x v="3"/>
    </i>
    <i r="2">
      <x v="8"/>
    </i>
    <i r="2">
      <x v="9"/>
    </i>
    <i r="2">
      <x v="10"/>
    </i>
    <i r="1">
      <x v="7"/>
      <x v="1"/>
    </i>
    <i t="grand">
      <x/>
    </i>
  </rowItems>
  <colFields count="1">
    <field x="2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합계 : AMOUNT" fld="4" baseField="0" baseItem="0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MatrixPivot1" cacheId="88" dataOnRows="1" applyNumberFormats="0" applyBorderFormats="0" applyFontFormats="0" applyPatternFormats="0" applyAlignmentFormats="0" applyWidthHeightFormats="1" dataCaption="데이터" updatedVersion="3" minRefreshableVersion="3" showMultipleLabel="0" showMemberPropertyTips="0" useAutoFormatting="1" itemPrintTitles="1" createdVersion="3" indent="0" compact="0" compactData="0" gridDropZones="1" fieldListSortAscending="1">
  <location ref="C4:BE76" firstHeaderRow="1" firstDataRow="2" firstDataCol="4"/>
  <pivotFields count="9">
    <pivotField axis="axisRow" compact="0" outline="0" subtotalTop="0" showAll="0" includeNewItemsInFilter="1" defaultSubtotal="0">
      <items count="8">
        <item x="0"/>
        <item x="1"/>
        <item x="2"/>
        <item x="3"/>
        <item x="7"/>
        <item x="6"/>
        <item x="4"/>
        <item x="5"/>
      </items>
    </pivotField>
    <pivotField axis="axisRow" compact="0" outline="0" showAll="0" defaultSubtota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7"/>
        <item x="13"/>
        <item x="14"/>
        <item x="15"/>
        <item x="16"/>
      </items>
    </pivotField>
    <pivotField axis="axisRow" compact="0" outline="0" showAll="0" defaultSubtotal="0">
      <items count="1">
        <item x="0"/>
      </items>
    </pivotField>
    <pivotField compact="0" outline="0" showAll="0" defaultSubtotal="0"/>
    <pivotField axis="axisCol" compact="0" outline="0" subtotalTop="0" showAll="0" includeNewItemsInFilter="1">
      <items count="51"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47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48"/>
        <item x="49"/>
        <item x="46"/>
        <item t="default"/>
      </items>
    </pivotField>
    <pivotField axis="axisRow" compact="0" outline="0" subtotalTop="0" showAll="0" includeNewItemsInFilter="1" defaultSubtotal="0">
      <items count="16">
        <item x="4"/>
        <item x="1"/>
        <item x="3"/>
        <item x="7"/>
        <item x="8"/>
        <item x="9"/>
        <item x="10"/>
        <item x="12"/>
        <item x="5"/>
        <item x="6"/>
        <item x="0"/>
        <item x="2"/>
        <item x="11"/>
        <item x="13"/>
        <item x="14"/>
        <item x="15"/>
      </items>
    </pivotField>
    <pivotField dataField="1" compact="0" outline="0" subtotalTop="0" showAll="0" includeNewItemsInFilter="1"/>
    <pivotField compact="0" outline="0" showAll="0" defaultSubtotal="0"/>
    <pivotField compact="0" outline="0" showAll="0" defaultSubtotal="0"/>
  </pivotFields>
  <rowFields count="4">
    <field x="0"/>
    <field x="1"/>
    <field x="2"/>
    <field x="5"/>
  </rowFields>
  <rowItems count="71">
    <i>
      <x/>
      <x/>
      <x/>
      <x v="10"/>
    </i>
    <i>
      <x v="1"/>
      <x v="1"/>
      <x/>
      <x v="1"/>
    </i>
    <i r="3">
      <x v="2"/>
    </i>
    <i r="3">
      <x v="11"/>
    </i>
    <i>
      <x v="2"/>
      <x v="2"/>
      <x/>
      <x/>
    </i>
    <i r="3">
      <x v="8"/>
    </i>
    <i r="3">
      <x v="9"/>
    </i>
    <i>
      <x v="3"/>
      <x v="3"/>
      <x/>
      <x v="3"/>
    </i>
    <i r="3">
      <x v="4"/>
    </i>
    <i r="3">
      <x v="5"/>
    </i>
    <i r="3">
      <x v="6"/>
    </i>
    <i r="3">
      <x v="7"/>
    </i>
    <i r="3">
      <x v="12"/>
    </i>
    <i r="3">
      <x v="13"/>
    </i>
    <i r="3">
      <x v="14"/>
    </i>
    <i r="3">
      <x v="15"/>
    </i>
    <i>
      <x v="4"/>
      <x v="4"/>
      <x/>
      <x v="3"/>
    </i>
    <i r="1">
      <x v="5"/>
      <x/>
      <x v="3"/>
    </i>
    <i r="1">
      <x v="6"/>
      <x/>
      <x v="3"/>
    </i>
    <i r="1">
      <x v="7"/>
      <x/>
      <x v="3"/>
    </i>
    <i r="1">
      <x v="8"/>
      <x/>
      <x v="3"/>
    </i>
    <i r="1">
      <x v="9"/>
      <x/>
      <x v="3"/>
    </i>
    <i r="1">
      <x v="10"/>
      <x/>
      <x v="3"/>
    </i>
    <i r="1">
      <x v="11"/>
      <x/>
      <x v="3"/>
    </i>
    <i r="1">
      <x v="12"/>
      <x/>
      <x v="3"/>
    </i>
    <i r="1">
      <x v="13"/>
      <x/>
      <x v="3"/>
    </i>
    <i r="1">
      <x v="14"/>
      <x/>
      <x v="3"/>
    </i>
    <i r="1">
      <x v="15"/>
      <x/>
      <x v="3"/>
    </i>
    <i r="1">
      <x v="16"/>
      <x/>
      <x v="3"/>
    </i>
    <i r="1">
      <x v="17"/>
      <x/>
      <x v="3"/>
    </i>
    <i>
      <x v="5"/>
      <x v="4"/>
      <x/>
      <x v="10"/>
    </i>
    <i r="1">
      <x v="5"/>
      <x/>
      <x v="10"/>
    </i>
    <i r="1">
      <x v="6"/>
      <x/>
      <x v="10"/>
    </i>
    <i r="1">
      <x v="7"/>
      <x/>
      <x v="10"/>
    </i>
    <i r="1">
      <x v="8"/>
      <x/>
      <x v="10"/>
    </i>
    <i r="1">
      <x v="9"/>
      <x/>
      <x v="10"/>
    </i>
    <i r="1">
      <x v="11"/>
      <x/>
      <x v="10"/>
    </i>
    <i r="1">
      <x v="12"/>
      <x/>
      <x v="10"/>
    </i>
    <i r="1">
      <x v="13"/>
      <x/>
      <x v="10"/>
    </i>
    <i r="1">
      <x v="14"/>
      <x/>
      <x v="10"/>
    </i>
    <i r="1">
      <x v="15"/>
      <x/>
      <x v="10"/>
    </i>
    <i r="1">
      <x v="16"/>
      <x/>
      <x v="10"/>
    </i>
    <i r="1">
      <x v="17"/>
      <x/>
      <x v="10"/>
    </i>
    <i>
      <x v="6"/>
      <x v="4"/>
      <x/>
      <x v="1"/>
    </i>
    <i r="1">
      <x v="5"/>
      <x/>
      <x v="1"/>
    </i>
    <i r="1">
      <x v="6"/>
      <x/>
      <x v="1"/>
    </i>
    <i r="1">
      <x v="7"/>
      <x/>
      <x v="1"/>
    </i>
    <i r="1">
      <x v="8"/>
      <x/>
      <x v="1"/>
    </i>
    <i r="1">
      <x v="9"/>
      <x/>
      <x v="1"/>
    </i>
    <i r="1">
      <x v="10"/>
      <x/>
      <x v="1"/>
    </i>
    <i r="1">
      <x v="11"/>
      <x/>
      <x v="1"/>
    </i>
    <i r="1">
      <x v="12"/>
      <x/>
      <x v="1"/>
    </i>
    <i r="1">
      <x v="14"/>
      <x/>
      <x v="1"/>
    </i>
    <i r="1">
      <x v="15"/>
      <x/>
      <x v="1"/>
    </i>
    <i r="1">
      <x v="16"/>
      <x/>
      <x v="1"/>
    </i>
    <i r="1">
      <x v="17"/>
      <x/>
      <x v="1"/>
    </i>
    <i>
      <x v="7"/>
      <x v="4"/>
      <x/>
      <x v="3"/>
    </i>
    <i r="1">
      <x v="5"/>
      <x/>
      <x v="3"/>
    </i>
    <i r="1">
      <x v="6"/>
      <x/>
      <x v="3"/>
    </i>
    <i r="1">
      <x v="7"/>
      <x/>
      <x v="3"/>
    </i>
    <i r="1">
      <x v="8"/>
      <x/>
      <x v="3"/>
    </i>
    <i r="1">
      <x v="9"/>
      <x/>
      <x v="3"/>
    </i>
    <i r="1">
      <x v="10"/>
      <x/>
      <x v="3"/>
    </i>
    <i r="1">
      <x v="11"/>
      <x/>
      <x v="3"/>
    </i>
    <i r="1">
      <x v="12"/>
      <x/>
      <x v="3"/>
    </i>
    <i r="1">
      <x v="13"/>
      <x/>
      <x v="3"/>
    </i>
    <i r="1">
      <x v="14"/>
      <x/>
      <x v="3"/>
    </i>
    <i r="1">
      <x v="15"/>
      <x/>
      <x v="3"/>
    </i>
    <i r="1">
      <x v="16"/>
      <x/>
      <x v="3"/>
    </i>
    <i r="1">
      <x v="17"/>
      <x/>
      <x v="3"/>
    </i>
    <i t="grand">
      <x/>
    </i>
  </rowItems>
  <colFields count="1">
    <field x="4"/>
  </colFields>
  <col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colItems>
  <dataFields count="1">
    <dataField name="합계 : AMOUNT" fld="6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0"/>
  <dimension ref="A1:WWK67"/>
  <sheetViews>
    <sheetView showGridLines="0" zoomScale="90" zoomScaleNormal="90" workbookViewId="0">
      <selection activeCell="E11" sqref="E11"/>
    </sheetView>
  </sheetViews>
  <sheetFormatPr defaultColWidth="0" defaultRowHeight="17.25" customHeight="1"/>
  <cols>
    <col min="1" max="1" width="0.875" style="247" customWidth="1"/>
    <col min="2" max="2" width="0.5" style="247" customWidth="1"/>
    <col min="3" max="3" width="5.5" style="247" customWidth="1"/>
    <col min="4" max="4" width="21.25" style="129" customWidth="1"/>
    <col min="5" max="5" width="7.125" style="247" customWidth="1"/>
    <col min="6" max="6" width="7.125" style="330" customWidth="1"/>
    <col min="7" max="7" width="7.125" style="332" customWidth="1"/>
    <col min="8" max="8" width="7.625" style="332" customWidth="1"/>
    <col min="9" max="20" width="7.125" style="332" customWidth="1"/>
    <col min="21" max="24" width="6" style="247" customWidth="1"/>
    <col min="25" max="25" width="2.5" style="247" customWidth="1"/>
    <col min="26" max="28" width="10" style="247" customWidth="1"/>
    <col min="29" max="29" width="9.125" style="247" customWidth="1"/>
    <col min="30" max="256" width="10" style="247" hidden="1"/>
    <col min="257" max="257" width="0.875" style="247" customWidth="1"/>
    <col min="258" max="258" width="0.5" style="247" customWidth="1"/>
    <col min="259" max="259" width="5.5" style="247" customWidth="1"/>
    <col min="260" max="260" width="21.25" style="247" customWidth="1"/>
    <col min="261" max="263" width="7.125" style="247" customWidth="1"/>
    <col min="264" max="264" width="7.625" style="247" customWidth="1"/>
    <col min="265" max="276" width="7.125" style="247" customWidth="1"/>
    <col min="277" max="280" width="6" style="247" customWidth="1"/>
    <col min="281" max="281" width="2.5" style="247" customWidth="1"/>
    <col min="282" max="284" width="10" style="247" customWidth="1"/>
    <col min="285" max="285" width="9.125" style="247" customWidth="1"/>
    <col min="286" max="512" width="10" style="247" hidden="1"/>
    <col min="513" max="513" width="0.875" style="247" customWidth="1"/>
    <col min="514" max="514" width="0.5" style="247" customWidth="1"/>
    <col min="515" max="515" width="5.5" style="247" customWidth="1"/>
    <col min="516" max="516" width="21.25" style="247" customWidth="1"/>
    <col min="517" max="519" width="7.125" style="247" customWidth="1"/>
    <col min="520" max="520" width="7.625" style="247" customWidth="1"/>
    <col min="521" max="532" width="7.125" style="247" customWidth="1"/>
    <col min="533" max="536" width="6" style="247" customWidth="1"/>
    <col min="537" max="537" width="2.5" style="247" customWidth="1"/>
    <col min="538" max="540" width="10" style="247" customWidth="1"/>
    <col min="541" max="541" width="9.125" style="247" customWidth="1"/>
    <col min="542" max="768" width="10" style="247" hidden="1"/>
    <col min="769" max="769" width="0.875" style="247" customWidth="1"/>
    <col min="770" max="770" width="0.5" style="247" customWidth="1"/>
    <col min="771" max="771" width="5.5" style="247" customWidth="1"/>
    <col min="772" max="772" width="21.25" style="247" customWidth="1"/>
    <col min="773" max="775" width="7.125" style="247" customWidth="1"/>
    <col min="776" max="776" width="7.625" style="247" customWidth="1"/>
    <col min="777" max="788" width="7.125" style="247" customWidth="1"/>
    <col min="789" max="792" width="6" style="247" customWidth="1"/>
    <col min="793" max="793" width="2.5" style="247" customWidth="1"/>
    <col min="794" max="796" width="10" style="247" customWidth="1"/>
    <col min="797" max="797" width="9.125" style="247" customWidth="1"/>
    <col min="798" max="1024" width="10" style="247" hidden="1"/>
    <col min="1025" max="1025" width="0.875" style="247" customWidth="1"/>
    <col min="1026" max="1026" width="0.5" style="247" customWidth="1"/>
    <col min="1027" max="1027" width="5.5" style="247" customWidth="1"/>
    <col min="1028" max="1028" width="21.25" style="247" customWidth="1"/>
    <col min="1029" max="1031" width="7.125" style="247" customWidth="1"/>
    <col min="1032" max="1032" width="7.625" style="247" customWidth="1"/>
    <col min="1033" max="1044" width="7.125" style="247" customWidth="1"/>
    <col min="1045" max="1048" width="6" style="247" customWidth="1"/>
    <col min="1049" max="1049" width="2.5" style="247" customWidth="1"/>
    <col min="1050" max="1052" width="10" style="247" customWidth="1"/>
    <col min="1053" max="1053" width="9.125" style="247" customWidth="1"/>
    <col min="1054" max="1280" width="10" style="247" hidden="1"/>
    <col min="1281" max="1281" width="0.875" style="247" customWidth="1"/>
    <col min="1282" max="1282" width="0.5" style="247" customWidth="1"/>
    <col min="1283" max="1283" width="5.5" style="247" customWidth="1"/>
    <col min="1284" max="1284" width="21.25" style="247" customWidth="1"/>
    <col min="1285" max="1287" width="7.125" style="247" customWidth="1"/>
    <col min="1288" max="1288" width="7.625" style="247" customWidth="1"/>
    <col min="1289" max="1300" width="7.125" style="247" customWidth="1"/>
    <col min="1301" max="1304" width="6" style="247" customWidth="1"/>
    <col min="1305" max="1305" width="2.5" style="247" customWidth="1"/>
    <col min="1306" max="1308" width="10" style="247" customWidth="1"/>
    <col min="1309" max="1309" width="9.125" style="247" customWidth="1"/>
    <col min="1310" max="1536" width="10" style="247" hidden="1"/>
    <col min="1537" max="1537" width="0.875" style="247" customWidth="1"/>
    <col min="1538" max="1538" width="0.5" style="247" customWidth="1"/>
    <col min="1539" max="1539" width="5.5" style="247" customWidth="1"/>
    <col min="1540" max="1540" width="21.25" style="247" customWidth="1"/>
    <col min="1541" max="1543" width="7.125" style="247" customWidth="1"/>
    <col min="1544" max="1544" width="7.625" style="247" customWidth="1"/>
    <col min="1545" max="1556" width="7.125" style="247" customWidth="1"/>
    <col min="1557" max="1560" width="6" style="247" customWidth="1"/>
    <col min="1561" max="1561" width="2.5" style="247" customWidth="1"/>
    <col min="1562" max="1564" width="10" style="247" customWidth="1"/>
    <col min="1565" max="1565" width="9.125" style="247" customWidth="1"/>
    <col min="1566" max="1792" width="10" style="247" hidden="1"/>
    <col min="1793" max="1793" width="0.875" style="247" customWidth="1"/>
    <col min="1794" max="1794" width="0.5" style="247" customWidth="1"/>
    <col min="1795" max="1795" width="5.5" style="247" customWidth="1"/>
    <col min="1796" max="1796" width="21.25" style="247" customWidth="1"/>
    <col min="1797" max="1799" width="7.125" style="247" customWidth="1"/>
    <col min="1800" max="1800" width="7.625" style="247" customWidth="1"/>
    <col min="1801" max="1812" width="7.125" style="247" customWidth="1"/>
    <col min="1813" max="1816" width="6" style="247" customWidth="1"/>
    <col min="1817" max="1817" width="2.5" style="247" customWidth="1"/>
    <col min="1818" max="1820" width="10" style="247" customWidth="1"/>
    <col min="1821" max="1821" width="9.125" style="247" customWidth="1"/>
    <col min="1822" max="2048" width="10" style="247" hidden="1"/>
    <col min="2049" max="2049" width="0.875" style="247" customWidth="1"/>
    <col min="2050" max="2050" width="0.5" style="247" customWidth="1"/>
    <col min="2051" max="2051" width="5.5" style="247" customWidth="1"/>
    <col min="2052" max="2052" width="21.25" style="247" customWidth="1"/>
    <col min="2053" max="2055" width="7.125" style="247" customWidth="1"/>
    <col min="2056" max="2056" width="7.625" style="247" customWidth="1"/>
    <col min="2057" max="2068" width="7.125" style="247" customWidth="1"/>
    <col min="2069" max="2072" width="6" style="247" customWidth="1"/>
    <col min="2073" max="2073" width="2.5" style="247" customWidth="1"/>
    <col min="2074" max="2076" width="10" style="247" customWidth="1"/>
    <col min="2077" max="2077" width="9.125" style="247" customWidth="1"/>
    <col min="2078" max="2304" width="10" style="247" hidden="1"/>
    <col min="2305" max="2305" width="0.875" style="247" customWidth="1"/>
    <col min="2306" max="2306" width="0.5" style="247" customWidth="1"/>
    <col min="2307" max="2307" width="5.5" style="247" customWidth="1"/>
    <col min="2308" max="2308" width="21.25" style="247" customWidth="1"/>
    <col min="2309" max="2311" width="7.125" style="247" customWidth="1"/>
    <col min="2312" max="2312" width="7.625" style="247" customWidth="1"/>
    <col min="2313" max="2324" width="7.125" style="247" customWidth="1"/>
    <col min="2325" max="2328" width="6" style="247" customWidth="1"/>
    <col min="2329" max="2329" width="2.5" style="247" customWidth="1"/>
    <col min="2330" max="2332" width="10" style="247" customWidth="1"/>
    <col min="2333" max="2333" width="9.125" style="247" customWidth="1"/>
    <col min="2334" max="2560" width="10" style="247" hidden="1"/>
    <col min="2561" max="2561" width="0.875" style="247" customWidth="1"/>
    <col min="2562" max="2562" width="0.5" style="247" customWidth="1"/>
    <col min="2563" max="2563" width="5.5" style="247" customWidth="1"/>
    <col min="2564" max="2564" width="21.25" style="247" customWidth="1"/>
    <col min="2565" max="2567" width="7.125" style="247" customWidth="1"/>
    <col min="2568" max="2568" width="7.625" style="247" customWidth="1"/>
    <col min="2569" max="2580" width="7.125" style="247" customWidth="1"/>
    <col min="2581" max="2584" width="6" style="247" customWidth="1"/>
    <col min="2585" max="2585" width="2.5" style="247" customWidth="1"/>
    <col min="2586" max="2588" width="10" style="247" customWidth="1"/>
    <col min="2589" max="2589" width="9.125" style="247" customWidth="1"/>
    <col min="2590" max="2816" width="10" style="247" hidden="1"/>
    <col min="2817" max="2817" width="0.875" style="247" customWidth="1"/>
    <col min="2818" max="2818" width="0.5" style="247" customWidth="1"/>
    <col min="2819" max="2819" width="5.5" style="247" customWidth="1"/>
    <col min="2820" max="2820" width="21.25" style="247" customWidth="1"/>
    <col min="2821" max="2823" width="7.125" style="247" customWidth="1"/>
    <col min="2824" max="2824" width="7.625" style="247" customWidth="1"/>
    <col min="2825" max="2836" width="7.125" style="247" customWidth="1"/>
    <col min="2837" max="2840" width="6" style="247" customWidth="1"/>
    <col min="2841" max="2841" width="2.5" style="247" customWidth="1"/>
    <col min="2842" max="2844" width="10" style="247" customWidth="1"/>
    <col min="2845" max="2845" width="9.125" style="247" customWidth="1"/>
    <col min="2846" max="3072" width="10" style="247" hidden="1"/>
    <col min="3073" max="3073" width="0.875" style="247" customWidth="1"/>
    <col min="3074" max="3074" width="0.5" style="247" customWidth="1"/>
    <col min="3075" max="3075" width="5.5" style="247" customWidth="1"/>
    <col min="3076" max="3076" width="21.25" style="247" customWidth="1"/>
    <col min="3077" max="3079" width="7.125" style="247" customWidth="1"/>
    <col min="3080" max="3080" width="7.625" style="247" customWidth="1"/>
    <col min="3081" max="3092" width="7.125" style="247" customWidth="1"/>
    <col min="3093" max="3096" width="6" style="247" customWidth="1"/>
    <col min="3097" max="3097" width="2.5" style="247" customWidth="1"/>
    <col min="3098" max="3100" width="10" style="247" customWidth="1"/>
    <col min="3101" max="3101" width="9.125" style="247" customWidth="1"/>
    <col min="3102" max="3328" width="10" style="247" hidden="1"/>
    <col min="3329" max="3329" width="0.875" style="247" customWidth="1"/>
    <col min="3330" max="3330" width="0.5" style="247" customWidth="1"/>
    <col min="3331" max="3331" width="5.5" style="247" customWidth="1"/>
    <col min="3332" max="3332" width="21.25" style="247" customWidth="1"/>
    <col min="3333" max="3335" width="7.125" style="247" customWidth="1"/>
    <col min="3336" max="3336" width="7.625" style="247" customWidth="1"/>
    <col min="3337" max="3348" width="7.125" style="247" customWidth="1"/>
    <col min="3349" max="3352" width="6" style="247" customWidth="1"/>
    <col min="3353" max="3353" width="2.5" style="247" customWidth="1"/>
    <col min="3354" max="3356" width="10" style="247" customWidth="1"/>
    <col min="3357" max="3357" width="9.125" style="247" customWidth="1"/>
    <col min="3358" max="3584" width="10" style="247" hidden="1"/>
    <col min="3585" max="3585" width="0.875" style="247" customWidth="1"/>
    <col min="3586" max="3586" width="0.5" style="247" customWidth="1"/>
    <col min="3587" max="3587" width="5.5" style="247" customWidth="1"/>
    <col min="3588" max="3588" width="21.25" style="247" customWidth="1"/>
    <col min="3589" max="3591" width="7.125" style="247" customWidth="1"/>
    <col min="3592" max="3592" width="7.625" style="247" customWidth="1"/>
    <col min="3593" max="3604" width="7.125" style="247" customWidth="1"/>
    <col min="3605" max="3608" width="6" style="247" customWidth="1"/>
    <col min="3609" max="3609" width="2.5" style="247" customWidth="1"/>
    <col min="3610" max="3612" width="10" style="247" customWidth="1"/>
    <col min="3613" max="3613" width="9.125" style="247" customWidth="1"/>
    <col min="3614" max="3840" width="10" style="247" hidden="1"/>
    <col min="3841" max="3841" width="0.875" style="247" customWidth="1"/>
    <col min="3842" max="3842" width="0.5" style="247" customWidth="1"/>
    <col min="3843" max="3843" width="5.5" style="247" customWidth="1"/>
    <col min="3844" max="3844" width="21.25" style="247" customWidth="1"/>
    <col min="3845" max="3847" width="7.125" style="247" customWidth="1"/>
    <col min="3848" max="3848" width="7.625" style="247" customWidth="1"/>
    <col min="3849" max="3860" width="7.125" style="247" customWidth="1"/>
    <col min="3861" max="3864" width="6" style="247" customWidth="1"/>
    <col min="3865" max="3865" width="2.5" style="247" customWidth="1"/>
    <col min="3866" max="3868" width="10" style="247" customWidth="1"/>
    <col min="3869" max="3869" width="9.125" style="247" customWidth="1"/>
    <col min="3870" max="4096" width="10" style="247" hidden="1"/>
    <col min="4097" max="4097" width="0.875" style="247" customWidth="1"/>
    <col min="4098" max="4098" width="0.5" style="247" customWidth="1"/>
    <col min="4099" max="4099" width="5.5" style="247" customWidth="1"/>
    <col min="4100" max="4100" width="21.25" style="247" customWidth="1"/>
    <col min="4101" max="4103" width="7.125" style="247" customWidth="1"/>
    <col min="4104" max="4104" width="7.625" style="247" customWidth="1"/>
    <col min="4105" max="4116" width="7.125" style="247" customWidth="1"/>
    <col min="4117" max="4120" width="6" style="247" customWidth="1"/>
    <col min="4121" max="4121" width="2.5" style="247" customWidth="1"/>
    <col min="4122" max="4124" width="10" style="247" customWidth="1"/>
    <col min="4125" max="4125" width="9.125" style="247" customWidth="1"/>
    <col min="4126" max="4352" width="10" style="247" hidden="1"/>
    <col min="4353" max="4353" width="0.875" style="247" customWidth="1"/>
    <col min="4354" max="4354" width="0.5" style="247" customWidth="1"/>
    <col min="4355" max="4355" width="5.5" style="247" customWidth="1"/>
    <col min="4356" max="4356" width="21.25" style="247" customWidth="1"/>
    <col min="4357" max="4359" width="7.125" style="247" customWidth="1"/>
    <col min="4360" max="4360" width="7.625" style="247" customWidth="1"/>
    <col min="4361" max="4372" width="7.125" style="247" customWidth="1"/>
    <col min="4373" max="4376" width="6" style="247" customWidth="1"/>
    <col min="4377" max="4377" width="2.5" style="247" customWidth="1"/>
    <col min="4378" max="4380" width="10" style="247" customWidth="1"/>
    <col min="4381" max="4381" width="9.125" style="247" customWidth="1"/>
    <col min="4382" max="4608" width="10" style="247" hidden="1"/>
    <col min="4609" max="4609" width="0.875" style="247" customWidth="1"/>
    <col min="4610" max="4610" width="0.5" style="247" customWidth="1"/>
    <col min="4611" max="4611" width="5.5" style="247" customWidth="1"/>
    <col min="4612" max="4612" width="21.25" style="247" customWidth="1"/>
    <col min="4613" max="4615" width="7.125" style="247" customWidth="1"/>
    <col min="4616" max="4616" width="7.625" style="247" customWidth="1"/>
    <col min="4617" max="4628" width="7.125" style="247" customWidth="1"/>
    <col min="4629" max="4632" width="6" style="247" customWidth="1"/>
    <col min="4633" max="4633" width="2.5" style="247" customWidth="1"/>
    <col min="4634" max="4636" width="10" style="247" customWidth="1"/>
    <col min="4637" max="4637" width="9.125" style="247" customWidth="1"/>
    <col min="4638" max="4864" width="10" style="247" hidden="1"/>
    <col min="4865" max="4865" width="0.875" style="247" customWidth="1"/>
    <col min="4866" max="4866" width="0.5" style="247" customWidth="1"/>
    <col min="4867" max="4867" width="5.5" style="247" customWidth="1"/>
    <col min="4868" max="4868" width="21.25" style="247" customWidth="1"/>
    <col min="4869" max="4871" width="7.125" style="247" customWidth="1"/>
    <col min="4872" max="4872" width="7.625" style="247" customWidth="1"/>
    <col min="4873" max="4884" width="7.125" style="247" customWidth="1"/>
    <col min="4885" max="4888" width="6" style="247" customWidth="1"/>
    <col min="4889" max="4889" width="2.5" style="247" customWidth="1"/>
    <col min="4890" max="4892" width="10" style="247" customWidth="1"/>
    <col min="4893" max="4893" width="9.125" style="247" customWidth="1"/>
    <col min="4894" max="5120" width="10" style="247" hidden="1"/>
    <col min="5121" max="5121" width="0.875" style="247" customWidth="1"/>
    <col min="5122" max="5122" width="0.5" style="247" customWidth="1"/>
    <col min="5123" max="5123" width="5.5" style="247" customWidth="1"/>
    <col min="5124" max="5124" width="21.25" style="247" customWidth="1"/>
    <col min="5125" max="5127" width="7.125" style="247" customWidth="1"/>
    <col min="5128" max="5128" width="7.625" style="247" customWidth="1"/>
    <col min="5129" max="5140" width="7.125" style="247" customWidth="1"/>
    <col min="5141" max="5144" width="6" style="247" customWidth="1"/>
    <col min="5145" max="5145" width="2.5" style="247" customWidth="1"/>
    <col min="5146" max="5148" width="10" style="247" customWidth="1"/>
    <col min="5149" max="5149" width="9.125" style="247" customWidth="1"/>
    <col min="5150" max="5376" width="10" style="247" hidden="1"/>
    <col min="5377" max="5377" width="0.875" style="247" customWidth="1"/>
    <col min="5378" max="5378" width="0.5" style="247" customWidth="1"/>
    <col min="5379" max="5379" width="5.5" style="247" customWidth="1"/>
    <col min="5380" max="5380" width="21.25" style="247" customWidth="1"/>
    <col min="5381" max="5383" width="7.125" style="247" customWidth="1"/>
    <col min="5384" max="5384" width="7.625" style="247" customWidth="1"/>
    <col min="5385" max="5396" width="7.125" style="247" customWidth="1"/>
    <col min="5397" max="5400" width="6" style="247" customWidth="1"/>
    <col min="5401" max="5401" width="2.5" style="247" customWidth="1"/>
    <col min="5402" max="5404" width="10" style="247" customWidth="1"/>
    <col min="5405" max="5405" width="9.125" style="247" customWidth="1"/>
    <col min="5406" max="5632" width="10" style="247" hidden="1"/>
    <col min="5633" max="5633" width="0.875" style="247" customWidth="1"/>
    <col min="5634" max="5634" width="0.5" style="247" customWidth="1"/>
    <col min="5635" max="5635" width="5.5" style="247" customWidth="1"/>
    <col min="5636" max="5636" width="21.25" style="247" customWidth="1"/>
    <col min="5637" max="5639" width="7.125" style="247" customWidth="1"/>
    <col min="5640" max="5640" width="7.625" style="247" customWidth="1"/>
    <col min="5641" max="5652" width="7.125" style="247" customWidth="1"/>
    <col min="5653" max="5656" width="6" style="247" customWidth="1"/>
    <col min="5657" max="5657" width="2.5" style="247" customWidth="1"/>
    <col min="5658" max="5660" width="10" style="247" customWidth="1"/>
    <col min="5661" max="5661" width="9.125" style="247" customWidth="1"/>
    <col min="5662" max="5888" width="10" style="247" hidden="1"/>
    <col min="5889" max="5889" width="0.875" style="247" customWidth="1"/>
    <col min="5890" max="5890" width="0.5" style="247" customWidth="1"/>
    <col min="5891" max="5891" width="5.5" style="247" customWidth="1"/>
    <col min="5892" max="5892" width="21.25" style="247" customWidth="1"/>
    <col min="5893" max="5895" width="7.125" style="247" customWidth="1"/>
    <col min="5896" max="5896" width="7.625" style="247" customWidth="1"/>
    <col min="5897" max="5908" width="7.125" style="247" customWidth="1"/>
    <col min="5909" max="5912" width="6" style="247" customWidth="1"/>
    <col min="5913" max="5913" width="2.5" style="247" customWidth="1"/>
    <col min="5914" max="5916" width="10" style="247" customWidth="1"/>
    <col min="5917" max="5917" width="9.125" style="247" customWidth="1"/>
    <col min="5918" max="6144" width="10" style="247" hidden="1"/>
    <col min="6145" max="6145" width="0.875" style="247" customWidth="1"/>
    <col min="6146" max="6146" width="0.5" style="247" customWidth="1"/>
    <col min="6147" max="6147" width="5.5" style="247" customWidth="1"/>
    <col min="6148" max="6148" width="21.25" style="247" customWidth="1"/>
    <col min="6149" max="6151" width="7.125" style="247" customWidth="1"/>
    <col min="6152" max="6152" width="7.625" style="247" customWidth="1"/>
    <col min="6153" max="6164" width="7.125" style="247" customWidth="1"/>
    <col min="6165" max="6168" width="6" style="247" customWidth="1"/>
    <col min="6169" max="6169" width="2.5" style="247" customWidth="1"/>
    <col min="6170" max="6172" width="10" style="247" customWidth="1"/>
    <col min="6173" max="6173" width="9.125" style="247" customWidth="1"/>
    <col min="6174" max="6400" width="10" style="247" hidden="1"/>
    <col min="6401" max="6401" width="0.875" style="247" customWidth="1"/>
    <col min="6402" max="6402" width="0.5" style="247" customWidth="1"/>
    <col min="6403" max="6403" width="5.5" style="247" customWidth="1"/>
    <col min="6404" max="6404" width="21.25" style="247" customWidth="1"/>
    <col min="6405" max="6407" width="7.125" style="247" customWidth="1"/>
    <col min="6408" max="6408" width="7.625" style="247" customWidth="1"/>
    <col min="6409" max="6420" width="7.125" style="247" customWidth="1"/>
    <col min="6421" max="6424" width="6" style="247" customWidth="1"/>
    <col min="6425" max="6425" width="2.5" style="247" customWidth="1"/>
    <col min="6426" max="6428" width="10" style="247" customWidth="1"/>
    <col min="6429" max="6429" width="9.125" style="247" customWidth="1"/>
    <col min="6430" max="6656" width="10" style="247" hidden="1"/>
    <col min="6657" max="6657" width="0.875" style="247" customWidth="1"/>
    <col min="6658" max="6658" width="0.5" style="247" customWidth="1"/>
    <col min="6659" max="6659" width="5.5" style="247" customWidth="1"/>
    <col min="6660" max="6660" width="21.25" style="247" customWidth="1"/>
    <col min="6661" max="6663" width="7.125" style="247" customWidth="1"/>
    <col min="6664" max="6664" width="7.625" style="247" customWidth="1"/>
    <col min="6665" max="6676" width="7.125" style="247" customWidth="1"/>
    <col min="6677" max="6680" width="6" style="247" customWidth="1"/>
    <col min="6681" max="6681" width="2.5" style="247" customWidth="1"/>
    <col min="6682" max="6684" width="10" style="247" customWidth="1"/>
    <col min="6685" max="6685" width="9.125" style="247" customWidth="1"/>
    <col min="6686" max="6912" width="10" style="247" hidden="1"/>
    <col min="6913" max="6913" width="0.875" style="247" customWidth="1"/>
    <col min="6914" max="6914" width="0.5" style="247" customWidth="1"/>
    <col min="6915" max="6915" width="5.5" style="247" customWidth="1"/>
    <col min="6916" max="6916" width="21.25" style="247" customWidth="1"/>
    <col min="6917" max="6919" width="7.125" style="247" customWidth="1"/>
    <col min="6920" max="6920" width="7.625" style="247" customWidth="1"/>
    <col min="6921" max="6932" width="7.125" style="247" customWidth="1"/>
    <col min="6933" max="6936" width="6" style="247" customWidth="1"/>
    <col min="6937" max="6937" width="2.5" style="247" customWidth="1"/>
    <col min="6938" max="6940" width="10" style="247" customWidth="1"/>
    <col min="6941" max="6941" width="9.125" style="247" customWidth="1"/>
    <col min="6942" max="7168" width="10" style="247" hidden="1"/>
    <col min="7169" max="7169" width="0.875" style="247" customWidth="1"/>
    <col min="7170" max="7170" width="0.5" style="247" customWidth="1"/>
    <col min="7171" max="7171" width="5.5" style="247" customWidth="1"/>
    <col min="7172" max="7172" width="21.25" style="247" customWidth="1"/>
    <col min="7173" max="7175" width="7.125" style="247" customWidth="1"/>
    <col min="7176" max="7176" width="7.625" style="247" customWidth="1"/>
    <col min="7177" max="7188" width="7.125" style="247" customWidth="1"/>
    <col min="7189" max="7192" width="6" style="247" customWidth="1"/>
    <col min="7193" max="7193" width="2.5" style="247" customWidth="1"/>
    <col min="7194" max="7196" width="10" style="247" customWidth="1"/>
    <col min="7197" max="7197" width="9.125" style="247" customWidth="1"/>
    <col min="7198" max="7424" width="10" style="247" hidden="1"/>
    <col min="7425" max="7425" width="0.875" style="247" customWidth="1"/>
    <col min="7426" max="7426" width="0.5" style="247" customWidth="1"/>
    <col min="7427" max="7427" width="5.5" style="247" customWidth="1"/>
    <col min="7428" max="7428" width="21.25" style="247" customWidth="1"/>
    <col min="7429" max="7431" width="7.125" style="247" customWidth="1"/>
    <col min="7432" max="7432" width="7.625" style="247" customWidth="1"/>
    <col min="7433" max="7444" width="7.125" style="247" customWidth="1"/>
    <col min="7445" max="7448" width="6" style="247" customWidth="1"/>
    <col min="7449" max="7449" width="2.5" style="247" customWidth="1"/>
    <col min="7450" max="7452" width="10" style="247" customWidth="1"/>
    <col min="7453" max="7453" width="9.125" style="247" customWidth="1"/>
    <col min="7454" max="7680" width="10" style="247" hidden="1"/>
    <col min="7681" max="7681" width="0.875" style="247" customWidth="1"/>
    <col min="7682" max="7682" width="0.5" style="247" customWidth="1"/>
    <col min="7683" max="7683" width="5.5" style="247" customWidth="1"/>
    <col min="7684" max="7684" width="21.25" style="247" customWidth="1"/>
    <col min="7685" max="7687" width="7.125" style="247" customWidth="1"/>
    <col min="7688" max="7688" width="7.625" style="247" customWidth="1"/>
    <col min="7689" max="7700" width="7.125" style="247" customWidth="1"/>
    <col min="7701" max="7704" width="6" style="247" customWidth="1"/>
    <col min="7705" max="7705" width="2.5" style="247" customWidth="1"/>
    <col min="7706" max="7708" width="10" style="247" customWidth="1"/>
    <col min="7709" max="7709" width="9.125" style="247" customWidth="1"/>
    <col min="7710" max="7936" width="10" style="247" hidden="1"/>
    <col min="7937" max="7937" width="0.875" style="247" customWidth="1"/>
    <col min="7938" max="7938" width="0.5" style="247" customWidth="1"/>
    <col min="7939" max="7939" width="5.5" style="247" customWidth="1"/>
    <col min="7940" max="7940" width="21.25" style="247" customWidth="1"/>
    <col min="7941" max="7943" width="7.125" style="247" customWidth="1"/>
    <col min="7944" max="7944" width="7.625" style="247" customWidth="1"/>
    <col min="7945" max="7956" width="7.125" style="247" customWidth="1"/>
    <col min="7957" max="7960" width="6" style="247" customWidth="1"/>
    <col min="7961" max="7961" width="2.5" style="247" customWidth="1"/>
    <col min="7962" max="7964" width="10" style="247" customWidth="1"/>
    <col min="7965" max="7965" width="9.125" style="247" customWidth="1"/>
    <col min="7966" max="8192" width="10" style="247" hidden="1"/>
    <col min="8193" max="8193" width="0.875" style="247" customWidth="1"/>
    <col min="8194" max="8194" width="0.5" style="247" customWidth="1"/>
    <col min="8195" max="8195" width="5.5" style="247" customWidth="1"/>
    <col min="8196" max="8196" width="21.25" style="247" customWidth="1"/>
    <col min="8197" max="8199" width="7.125" style="247" customWidth="1"/>
    <col min="8200" max="8200" width="7.625" style="247" customWidth="1"/>
    <col min="8201" max="8212" width="7.125" style="247" customWidth="1"/>
    <col min="8213" max="8216" width="6" style="247" customWidth="1"/>
    <col min="8217" max="8217" width="2.5" style="247" customWidth="1"/>
    <col min="8218" max="8220" width="10" style="247" customWidth="1"/>
    <col min="8221" max="8221" width="9.125" style="247" customWidth="1"/>
    <col min="8222" max="8448" width="10" style="247" hidden="1"/>
    <col min="8449" max="8449" width="0.875" style="247" customWidth="1"/>
    <col min="8450" max="8450" width="0.5" style="247" customWidth="1"/>
    <col min="8451" max="8451" width="5.5" style="247" customWidth="1"/>
    <col min="8452" max="8452" width="21.25" style="247" customWidth="1"/>
    <col min="8453" max="8455" width="7.125" style="247" customWidth="1"/>
    <col min="8456" max="8456" width="7.625" style="247" customWidth="1"/>
    <col min="8457" max="8468" width="7.125" style="247" customWidth="1"/>
    <col min="8469" max="8472" width="6" style="247" customWidth="1"/>
    <col min="8473" max="8473" width="2.5" style="247" customWidth="1"/>
    <col min="8474" max="8476" width="10" style="247" customWidth="1"/>
    <col min="8477" max="8477" width="9.125" style="247" customWidth="1"/>
    <col min="8478" max="8704" width="10" style="247" hidden="1"/>
    <col min="8705" max="8705" width="0.875" style="247" customWidth="1"/>
    <col min="8706" max="8706" width="0.5" style="247" customWidth="1"/>
    <col min="8707" max="8707" width="5.5" style="247" customWidth="1"/>
    <col min="8708" max="8708" width="21.25" style="247" customWidth="1"/>
    <col min="8709" max="8711" width="7.125" style="247" customWidth="1"/>
    <col min="8712" max="8712" width="7.625" style="247" customWidth="1"/>
    <col min="8713" max="8724" width="7.125" style="247" customWidth="1"/>
    <col min="8725" max="8728" width="6" style="247" customWidth="1"/>
    <col min="8729" max="8729" width="2.5" style="247" customWidth="1"/>
    <col min="8730" max="8732" width="10" style="247" customWidth="1"/>
    <col min="8733" max="8733" width="9.125" style="247" customWidth="1"/>
    <col min="8734" max="8960" width="10" style="247" hidden="1"/>
    <col min="8961" max="8961" width="0.875" style="247" customWidth="1"/>
    <col min="8962" max="8962" width="0.5" style="247" customWidth="1"/>
    <col min="8963" max="8963" width="5.5" style="247" customWidth="1"/>
    <col min="8964" max="8964" width="21.25" style="247" customWidth="1"/>
    <col min="8965" max="8967" width="7.125" style="247" customWidth="1"/>
    <col min="8968" max="8968" width="7.625" style="247" customWidth="1"/>
    <col min="8969" max="8980" width="7.125" style="247" customWidth="1"/>
    <col min="8981" max="8984" width="6" style="247" customWidth="1"/>
    <col min="8985" max="8985" width="2.5" style="247" customWidth="1"/>
    <col min="8986" max="8988" width="10" style="247" customWidth="1"/>
    <col min="8989" max="8989" width="9.125" style="247" customWidth="1"/>
    <col min="8990" max="9216" width="10" style="247" hidden="1"/>
    <col min="9217" max="9217" width="0.875" style="247" customWidth="1"/>
    <col min="9218" max="9218" width="0.5" style="247" customWidth="1"/>
    <col min="9219" max="9219" width="5.5" style="247" customWidth="1"/>
    <col min="9220" max="9220" width="21.25" style="247" customWidth="1"/>
    <col min="9221" max="9223" width="7.125" style="247" customWidth="1"/>
    <col min="9224" max="9224" width="7.625" style="247" customWidth="1"/>
    <col min="9225" max="9236" width="7.125" style="247" customWidth="1"/>
    <col min="9237" max="9240" width="6" style="247" customWidth="1"/>
    <col min="9241" max="9241" width="2.5" style="247" customWidth="1"/>
    <col min="9242" max="9244" width="10" style="247" customWidth="1"/>
    <col min="9245" max="9245" width="9.125" style="247" customWidth="1"/>
    <col min="9246" max="9472" width="10" style="247" hidden="1"/>
    <col min="9473" max="9473" width="0.875" style="247" customWidth="1"/>
    <col min="9474" max="9474" width="0.5" style="247" customWidth="1"/>
    <col min="9475" max="9475" width="5.5" style="247" customWidth="1"/>
    <col min="9476" max="9476" width="21.25" style="247" customWidth="1"/>
    <col min="9477" max="9479" width="7.125" style="247" customWidth="1"/>
    <col min="9480" max="9480" width="7.625" style="247" customWidth="1"/>
    <col min="9481" max="9492" width="7.125" style="247" customWidth="1"/>
    <col min="9493" max="9496" width="6" style="247" customWidth="1"/>
    <col min="9497" max="9497" width="2.5" style="247" customWidth="1"/>
    <col min="9498" max="9500" width="10" style="247" customWidth="1"/>
    <col min="9501" max="9501" width="9.125" style="247" customWidth="1"/>
    <col min="9502" max="9728" width="10" style="247" hidden="1"/>
    <col min="9729" max="9729" width="0.875" style="247" customWidth="1"/>
    <col min="9730" max="9730" width="0.5" style="247" customWidth="1"/>
    <col min="9731" max="9731" width="5.5" style="247" customWidth="1"/>
    <col min="9732" max="9732" width="21.25" style="247" customWidth="1"/>
    <col min="9733" max="9735" width="7.125" style="247" customWidth="1"/>
    <col min="9736" max="9736" width="7.625" style="247" customWidth="1"/>
    <col min="9737" max="9748" width="7.125" style="247" customWidth="1"/>
    <col min="9749" max="9752" width="6" style="247" customWidth="1"/>
    <col min="9753" max="9753" width="2.5" style="247" customWidth="1"/>
    <col min="9754" max="9756" width="10" style="247" customWidth="1"/>
    <col min="9757" max="9757" width="9.125" style="247" customWidth="1"/>
    <col min="9758" max="9984" width="10" style="247" hidden="1"/>
    <col min="9985" max="9985" width="0.875" style="247" customWidth="1"/>
    <col min="9986" max="9986" width="0.5" style="247" customWidth="1"/>
    <col min="9987" max="9987" width="5.5" style="247" customWidth="1"/>
    <col min="9988" max="9988" width="21.25" style="247" customWidth="1"/>
    <col min="9989" max="9991" width="7.125" style="247" customWidth="1"/>
    <col min="9992" max="9992" width="7.625" style="247" customWidth="1"/>
    <col min="9993" max="10004" width="7.125" style="247" customWidth="1"/>
    <col min="10005" max="10008" width="6" style="247" customWidth="1"/>
    <col min="10009" max="10009" width="2.5" style="247" customWidth="1"/>
    <col min="10010" max="10012" width="10" style="247" customWidth="1"/>
    <col min="10013" max="10013" width="9.125" style="247" customWidth="1"/>
    <col min="10014" max="10240" width="10" style="247" hidden="1"/>
    <col min="10241" max="10241" width="0.875" style="247" customWidth="1"/>
    <col min="10242" max="10242" width="0.5" style="247" customWidth="1"/>
    <col min="10243" max="10243" width="5.5" style="247" customWidth="1"/>
    <col min="10244" max="10244" width="21.25" style="247" customWidth="1"/>
    <col min="10245" max="10247" width="7.125" style="247" customWidth="1"/>
    <col min="10248" max="10248" width="7.625" style="247" customWidth="1"/>
    <col min="10249" max="10260" width="7.125" style="247" customWidth="1"/>
    <col min="10261" max="10264" width="6" style="247" customWidth="1"/>
    <col min="10265" max="10265" width="2.5" style="247" customWidth="1"/>
    <col min="10266" max="10268" width="10" style="247" customWidth="1"/>
    <col min="10269" max="10269" width="9.125" style="247" customWidth="1"/>
    <col min="10270" max="10496" width="10" style="247" hidden="1"/>
    <col min="10497" max="10497" width="0.875" style="247" customWidth="1"/>
    <col min="10498" max="10498" width="0.5" style="247" customWidth="1"/>
    <col min="10499" max="10499" width="5.5" style="247" customWidth="1"/>
    <col min="10500" max="10500" width="21.25" style="247" customWidth="1"/>
    <col min="10501" max="10503" width="7.125" style="247" customWidth="1"/>
    <col min="10504" max="10504" width="7.625" style="247" customWidth="1"/>
    <col min="10505" max="10516" width="7.125" style="247" customWidth="1"/>
    <col min="10517" max="10520" width="6" style="247" customWidth="1"/>
    <col min="10521" max="10521" width="2.5" style="247" customWidth="1"/>
    <col min="10522" max="10524" width="10" style="247" customWidth="1"/>
    <col min="10525" max="10525" width="9.125" style="247" customWidth="1"/>
    <col min="10526" max="10752" width="10" style="247" hidden="1"/>
    <col min="10753" max="10753" width="0.875" style="247" customWidth="1"/>
    <col min="10754" max="10754" width="0.5" style="247" customWidth="1"/>
    <col min="10755" max="10755" width="5.5" style="247" customWidth="1"/>
    <col min="10756" max="10756" width="21.25" style="247" customWidth="1"/>
    <col min="10757" max="10759" width="7.125" style="247" customWidth="1"/>
    <col min="10760" max="10760" width="7.625" style="247" customWidth="1"/>
    <col min="10761" max="10772" width="7.125" style="247" customWidth="1"/>
    <col min="10773" max="10776" width="6" style="247" customWidth="1"/>
    <col min="10777" max="10777" width="2.5" style="247" customWidth="1"/>
    <col min="10778" max="10780" width="10" style="247" customWidth="1"/>
    <col min="10781" max="10781" width="9.125" style="247" customWidth="1"/>
    <col min="10782" max="11008" width="10" style="247" hidden="1"/>
    <col min="11009" max="11009" width="0.875" style="247" customWidth="1"/>
    <col min="11010" max="11010" width="0.5" style="247" customWidth="1"/>
    <col min="11011" max="11011" width="5.5" style="247" customWidth="1"/>
    <col min="11012" max="11012" width="21.25" style="247" customWidth="1"/>
    <col min="11013" max="11015" width="7.125" style="247" customWidth="1"/>
    <col min="11016" max="11016" width="7.625" style="247" customWidth="1"/>
    <col min="11017" max="11028" width="7.125" style="247" customWidth="1"/>
    <col min="11029" max="11032" width="6" style="247" customWidth="1"/>
    <col min="11033" max="11033" width="2.5" style="247" customWidth="1"/>
    <col min="11034" max="11036" width="10" style="247" customWidth="1"/>
    <col min="11037" max="11037" width="9.125" style="247" customWidth="1"/>
    <col min="11038" max="11264" width="10" style="247" hidden="1"/>
    <col min="11265" max="11265" width="0.875" style="247" customWidth="1"/>
    <col min="11266" max="11266" width="0.5" style="247" customWidth="1"/>
    <col min="11267" max="11267" width="5.5" style="247" customWidth="1"/>
    <col min="11268" max="11268" width="21.25" style="247" customWidth="1"/>
    <col min="11269" max="11271" width="7.125" style="247" customWidth="1"/>
    <col min="11272" max="11272" width="7.625" style="247" customWidth="1"/>
    <col min="11273" max="11284" width="7.125" style="247" customWidth="1"/>
    <col min="11285" max="11288" width="6" style="247" customWidth="1"/>
    <col min="11289" max="11289" width="2.5" style="247" customWidth="1"/>
    <col min="11290" max="11292" width="10" style="247" customWidth="1"/>
    <col min="11293" max="11293" width="9.125" style="247" customWidth="1"/>
    <col min="11294" max="11520" width="10" style="247" hidden="1"/>
    <col min="11521" max="11521" width="0.875" style="247" customWidth="1"/>
    <col min="11522" max="11522" width="0.5" style="247" customWidth="1"/>
    <col min="11523" max="11523" width="5.5" style="247" customWidth="1"/>
    <col min="11524" max="11524" width="21.25" style="247" customWidth="1"/>
    <col min="11525" max="11527" width="7.125" style="247" customWidth="1"/>
    <col min="11528" max="11528" width="7.625" style="247" customWidth="1"/>
    <col min="11529" max="11540" width="7.125" style="247" customWidth="1"/>
    <col min="11541" max="11544" width="6" style="247" customWidth="1"/>
    <col min="11545" max="11545" width="2.5" style="247" customWidth="1"/>
    <col min="11546" max="11548" width="10" style="247" customWidth="1"/>
    <col min="11549" max="11549" width="9.125" style="247" customWidth="1"/>
    <col min="11550" max="11776" width="10" style="247" hidden="1"/>
    <col min="11777" max="11777" width="0.875" style="247" customWidth="1"/>
    <col min="11778" max="11778" width="0.5" style="247" customWidth="1"/>
    <col min="11779" max="11779" width="5.5" style="247" customWidth="1"/>
    <col min="11780" max="11780" width="21.25" style="247" customWidth="1"/>
    <col min="11781" max="11783" width="7.125" style="247" customWidth="1"/>
    <col min="11784" max="11784" width="7.625" style="247" customWidth="1"/>
    <col min="11785" max="11796" width="7.125" style="247" customWidth="1"/>
    <col min="11797" max="11800" width="6" style="247" customWidth="1"/>
    <col min="11801" max="11801" width="2.5" style="247" customWidth="1"/>
    <col min="11802" max="11804" width="10" style="247" customWidth="1"/>
    <col min="11805" max="11805" width="9.125" style="247" customWidth="1"/>
    <col min="11806" max="12032" width="10" style="247" hidden="1"/>
    <col min="12033" max="12033" width="0.875" style="247" customWidth="1"/>
    <col min="12034" max="12034" width="0.5" style="247" customWidth="1"/>
    <col min="12035" max="12035" width="5.5" style="247" customWidth="1"/>
    <col min="12036" max="12036" width="21.25" style="247" customWidth="1"/>
    <col min="12037" max="12039" width="7.125" style="247" customWidth="1"/>
    <col min="12040" max="12040" width="7.625" style="247" customWidth="1"/>
    <col min="12041" max="12052" width="7.125" style="247" customWidth="1"/>
    <col min="12053" max="12056" width="6" style="247" customWidth="1"/>
    <col min="12057" max="12057" width="2.5" style="247" customWidth="1"/>
    <col min="12058" max="12060" width="10" style="247" customWidth="1"/>
    <col min="12061" max="12061" width="9.125" style="247" customWidth="1"/>
    <col min="12062" max="12288" width="10" style="247" hidden="1"/>
    <col min="12289" max="12289" width="0.875" style="247" customWidth="1"/>
    <col min="12290" max="12290" width="0.5" style="247" customWidth="1"/>
    <col min="12291" max="12291" width="5.5" style="247" customWidth="1"/>
    <col min="12292" max="12292" width="21.25" style="247" customWidth="1"/>
    <col min="12293" max="12295" width="7.125" style="247" customWidth="1"/>
    <col min="12296" max="12296" width="7.625" style="247" customWidth="1"/>
    <col min="12297" max="12308" width="7.125" style="247" customWidth="1"/>
    <col min="12309" max="12312" width="6" style="247" customWidth="1"/>
    <col min="12313" max="12313" width="2.5" style="247" customWidth="1"/>
    <col min="12314" max="12316" width="10" style="247" customWidth="1"/>
    <col min="12317" max="12317" width="9.125" style="247" customWidth="1"/>
    <col min="12318" max="12544" width="10" style="247" hidden="1"/>
    <col min="12545" max="12545" width="0.875" style="247" customWidth="1"/>
    <col min="12546" max="12546" width="0.5" style="247" customWidth="1"/>
    <col min="12547" max="12547" width="5.5" style="247" customWidth="1"/>
    <col min="12548" max="12548" width="21.25" style="247" customWidth="1"/>
    <col min="12549" max="12551" width="7.125" style="247" customWidth="1"/>
    <col min="12552" max="12552" width="7.625" style="247" customWidth="1"/>
    <col min="12553" max="12564" width="7.125" style="247" customWidth="1"/>
    <col min="12565" max="12568" width="6" style="247" customWidth="1"/>
    <col min="12569" max="12569" width="2.5" style="247" customWidth="1"/>
    <col min="12570" max="12572" width="10" style="247" customWidth="1"/>
    <col min="12573" max="12573" width="9.125" style="247" customWidth="1"/>
    <col min="12574" max="12800" width="10" style="247" hidden="1"/>
    <col min="12801" max="12801" width="0.875" style="247" customWidth="1"/>
    <col min="12802" max="12802" width="0.5" style="247" customWidth="1"/>
    <col min="12803" max="12803" width="5.5" style="247" customWidth="1"/>
    <col min="12804" max="12804" width="21.25" style="247" customWidth="1"/>
    <col min="12805" max="12807" width="7.125" style="247" customWidth="1"/>
    <col min="12808" max="12808" width="7.625" style="247" customWidth="1"/>
    <col min="12809" max="12820" width="7.125" style="247" customWidth="1"/>
    <col min="12821" max="12824" width="6" style="247" customWidth="1"/>
    <col min="12825" max="12825" width="2.5" style="247" customWidth="1"/>
    <col min="12826" max="12828" width="10" style="247" customWidth="1"/>
    <col min="12829" max="12829" width="9.125" style="247" customWidth="1"/>
    <col min="12830" max="13056" width="10" style="247" hidden="1"/>
    <col min="13057" max="13057" width="0.875" style="247" customWidth="1"/>
    <col min="13058" max="13058" width="0.5" style="247" customWidth="1"/>
    <col min="13059" max="13059" width="5.5" style="247" customWidth="1"/>
    <col min="13060" max="13060" width="21.25" style="247" customWidth="1"/>
    <col min="13061" max="13063" width="7.125" style="247" customWidth="1"/>
    <col min="13064" max="13064" width="7.625" style="247" customWidth="1"/>
    <col min="13065" max="13076" width="7.125" style="247" customWidth="1"/>
    <col min="13077" max="13080" width="6" style="247" customWidth="1"/>
    <col min="13081" max="13081" width="2.5" style="247" customWidth="1"/>
    <col min="13082" max="13084" width="10" style="247" customWidth="1"/>
    <col min="13085" max="13085" width="9.125" style="247" customWidth="1"/>
    <col min="13086" max="13312" width="10" style="247" hidden="1"/>
    <col min="13313" max="13313" width="0.875" style="247" customWidth="1"/>
    <col min="13314" max="13314" width="0.5" style="247" customWidth="1"/>
    <col min="13315" max="13315" width="5.5" style="247" customWidth="1"/>
    <col min="13316" max="13316" width="21.25" style="247" customWidth="1"/>
    <col min="13317" max="13319" width="7.125" style="247" customWidth="1"/>
    <col min="13320" max="13320" width="7.625" style="247" customWidth="1"/>
    <col min="13321" max="13332" width="7.125" style="247" customWidth="1"/>
    <col min="13333" max="13336" width="6" style="247" customWidth="1"/>
    <col min="13337" max="13337" width="2.5" style="247" customWidth="1"/>
    <col min="13338" max="13340" width="10" style="247" customWidth="1"/>
    <col min="13341" max="13341" width="9.125" style="247" customWidth="1"/>
    <col min="13342" max="13568" width="10" style="247" hidden="1"/>
    <col min="13569" max="13569" width="0.875" style="247" customWidth="1"/>
    <col min="13570" max="13570" width="0.5" style="247" customWidth="1"/>
    <col min="13571" max="13571" width="5.5" style="247" customWidth="1"/>
    <col min="13572" max="13572" width="21.25" style="247" customWidth="1"/>
    <col min="13573" max="13575" width="7.125" style="247" customWidth="1"/>
    <col min="13576" max="13576" width="7.625" style="247" customWidth="1"/>
    <col min="13577" max="13588" width="7.125" style="247" customWidth="1"/>
    <col min="13589" max="13592" width="6" style="247" customWidth="1"/>
    <col min="13593" max="13593" width="2.5" style="247" customWidth="1"/>
    <col min="13594" max="13596" width="10" style="247" customWidth="1"/>
    <col min="13597" max="13597" width="9.125" style="247" customWidth="1"/>
    <col min="13598" max="13824" width="10" style="247" hidden="1"/>
    <col min="13825" max="13825" width="0.875" style="247" customWidth="1"/>
    <col min="13826" max="13826" width="0.5" style="247" customWidth="1"/>
    <col min="13827" max="13827" width="5.5" style="247" customWidth="1"/>
    <col min="13828" max="13828" width="21.25" style="247" customWidth="1"/>
    <col min="13829" max="13831" width="7.125" style="247" customWidth="1"/>
    <col min="13832" max="13832" width="7.625" style="247" customWidth="1"/>
    <col min="13833" max="13844" width="7.125" style="247" customWidth="1"/>
    <col min="13845" max="13848" width="6" style="247" customWidth="1"/>
    <col min="13849" max="13849" width="2.5" style="247" customWidth="1"/>
    <col min="13850" max="13852" width="10" style="247" customWidth="1"/>
    <col min="13853" max="13853" width="9.125" style="247" customWidth="1"/>
    <col min="13854" max="14080" width="10" style="247" hidden="1"/>
    <col min="14081" max="14081" width="0.875" style="247" customWidth="1"/>
    <col min="14082" max="14082" width="0.5" style="247" customWidth="1"/>
    <col min="14083" max="14083" width="5.5" style="247" customWidth="1"/>
    <col min="14084" max="14084" width="21.25" style="247" customWidth="1"/>
    <col min="14085" max="14087" width="7.125" style="247" customWidth="1"/>
    <col min="14088" max="14088" width="7.625" style="247" customWidth="1"/>
    <col min="14089" max="14100" width="7.125" style="247" customWidth="1"/>
    <col min="14101" max="14104" width="6" style="247" customWidth="1"/>
    <col min="14105" max="14105" width="2.5" style="247" customWidth="1"/>
    <col min="14106" max="14108" width="10" style="247" customWidth="1"/>
    <col min="14109" max="14109" width="9.125" style="247" customWidth="1"/>
    <col min="14110" max="14336" width="10" style="247" hidden="1"/>
    <col min="14337" max="14337" width="0.875" style="247" customWidth="1"/>
    <col min="14338" max="14338" width="0.5" style="247" customWidth="1"/>
    <col min="14339" max="14339" width="5.5" style="247" customWidth="1"/>
    <col min="14340" max="14340" width="21.25" style="247" customWidth="1"/>
    <col min="14341" max="14343" width="7.125" style="247" customWidth="1"/>
    <col min="14344" max="14344" width="7.625" style="247" customWidth="1"/>
    <col min="14345" max="14356" width="7.125" style="247" customWidth="1"/>
    <col min="14357" max="14360" width="6" style="247" customWidth="1"/>
    <col min="14361" max="14361" width="2.5" style="247" customWidth="1"/>
    <col min="14362" max="14364" width="10" style="247" customWidth="1"/>
    <col min="14365" max="14365" width="9.125" style="247" customWidth="1"/>
    <col min="14366" max="14592" width="10" style="247" hidden="1"/>
    <col min="14593" max="14593" width="0.875" style="247" customWidth="1"/>
    <col min="14594" max="14594" width="0.5" style="247" customWidth="1"/>
    <col min="14595" max="14595" width="5.5" style="247" customWidth="1"/>
    <col min="14596" max="14596" width="21.25" style="247" customWidth="1"/>
    <col min="14597" max="14599" width="7.125" style="247" customWidth="1"/>
    <col min="14600" max="14600" width="7.625" style="247" customWidth="1"/>
    <col min="14601" max="14612" width="7.125" style="247" customWidth="1"/>
    <col min="14613" max="14616" width="6" style="247" customWidth="1"/>
    <col min="14617" max="14617" width="2.5" style="247" customWidth="1"/>
    <col min="14618" max="14620" width="10" style="247" customWidth="1"/>
    <col min="14621" max="14621" width="9.125" style="247" customWidth="1"/>
    <col min="14622" max="14848" width="10" style="247" hidden="1"/>
    <col min="14849" max="14849" width="0.875" style="247" customWidth="1"/>
    <col min="14850" max="14850" width="0.5" style="247" customWidth="1"/>
    <col min="14851" max="14851" width="5.5" style="247" customWidth="1"/>
    <col min="14852" max="14852" width="21.25" style="247" customWidth="1"/>
    <col min="14853" max="14855" width="7.125" style="247" customWidth="1"/>
    <col min="14856" max="14856" width="7.625" style="247" customWidth="1"/>
    <col min="14857" max="14868" width="7.125" style="247" customWidth="1"/>
    <col min="14869" max="14872" width="6" style="247" customWidth="1"/>
    <col min="14873" max="14873" width="2.5" style="247" customWidth="1"/>
    <col min="14874" max="14876" width="10" style="247" customWidth="1"/>
    <col min="14877" max="14877" width="9.125" style="247" customWidth="1"/>
    <col min="14878" max="15104" width="10" style="247" hidden="1"/>
    <col min="15105" max="15105" width="0.875" style="247" customWidth="1"/>
    <col min="15106" max="15106" width="0.5" style="247" customWidth="1"/>
    <col min="15107" max="15107" width="5.5" style="247" customWidth="1"/>
    <col min="15108" max="15108" width="21.25" style="247" customWidth="1"/>
    <col min="15109" max="15111" width="7.125" style="247" customWidth="1"/>
    <col min="15112" max="15112" width="7.625" style="247" customWidth="1"/>
    <col min="15113" max="15124" width="7.125" style="247" customWidth="1"/>
    <col min="15125" max="15128" width="6" style="247" customWidth="1"/>
    <col min="15129" max="15129" width="2.5" style="247" customWidth="1"/>
    <col min="15130" max="15132" width="10" style="247" customWidth="1"/>
    <col min="15133" max="15133" width="9.125" style="247" customWidth="1"/>
    <col min="15134" max="15360" width="10" style="247" hidden="1"/>
    <col min="15361" max="15361" width="0.875" style="247" customWidth="1"/>
    <col min="15362" max="15362" width="0.5" style="247" customWidth="1"/>
    <col min="15363" max="15363" width="5.5" style="247" customWidth="1"/>
    <col min="15364" max="15364" width="21.25" style="247" customWidth="1"/>
    <col min="15365" max="15367" width="7.125" style="247" customWidth="1"/>
    <col min="15368" max="15368" width="7.625" style="247" customWidth="1"/>
    <col min="15369" max="15380" width="7.125" style="247" customWidth="1"/>
    <col min="15381" max="15384" width="6" style="247" customWidth="1"/>
    <col min="15385" max="15385" width="2.5" style="247" customWidth="1"/>
    <col min="15386" max="15388" width="10" style="247" customWidth="1"/>
    <col min="15389" max="15389" width="9.125" style="247" customWidth="1"/>
    <col min="15390" max="15616" width="10" style="247" hidden="1"/>
    <col min="15617" max="15617" width="0.875" style="247" customWidth="1"/>
    <col min="15618" max="15618" width="0.5" style="247" customWidth="1"/>
    <col min="15619" max="15619" width="5.5" style="247" customWidth="1"/>
    <col min="15620" max="15620" width="21.25" style="247" customWidth="1"/>
    <col min="15621" max="15623" width="7.125" style="247" customWidth="1"/>
    <col min="15624" max="15624" width="7.625" style="247" customWidth="1"/>
    <col min="15625" max="15636" width="7.125" style="247" customWidth="1"/>
    <col min="15637" max="15640" width="6" style="247" customWidth="1"/>
    <col min="15641" max="15641" width="2.5" style="247" customWidth="1"/>
    <col min="15642" max="15644" width="10" style="247" customWidth="1"/>
    <col min="15645" max="15645" width="9.125" style="247" customWidth="1"/>
    <col min="15646" max="15872" width="10" style="247" hidden="1"/>
    <col min="15873" max="15873" width="0.875" style="247" customWidth="1"/>
    <col min="15874" max="15874" width="0.5" style="247" customWidth="1"/>
    <col min="15875" max="15875" width="5.5" style="247" customWidth="1"/>
    <col min="15876" max="15876" width="21.25" style="247" customWidth="1"/>
    <col min="15877" max="15879" width="7.125" style="247" customWidth="1"/>
    <col min="15880" max="15880" width="7.625" style="247" customWidth="1"/>
    <col min="15881" max="15892" width="7.125" style="247" customWidth="1"/>
    <col min="15893" max="15896" width="6" style="247" customWidth="1"/>
    <col min="15897" max="15897" width="2.5" style="247" customWidth="1"/>
    <col min="15898" max="15900" width="10" style="247" customWidth="1"/>
    <col min="15901" max="15901" width="9.125" style="247" customWidth="1"/>
    <col min="15902" max="16128" width="10" style="247" hidden="1"/>
    <col min="16129" max="16129" width="0.875" style="247" customWidth="1"/>
    <col min="16130" max="16130" width="0.5" style="247" customWidth="1"/>
    <col min="16131" max="16131" width="5.5" style="247" customWidth="1"/>
    <col min="16132" max="16132" width="21.25" style="247" customWidth="1"/>
    <col min="16133" max="16135" width="7.125" style="247" customWidth="1"/>
    <col min="16136" max="16136" width="7.625" style="247" customWidth="1"/>
    <col min="16137" max="16148" width="7.125" style="247" customWidth="1"/>
    <col min="16149" max="16152" width="6" style="247" customWidth="1"/>
    <col min="16153" max="16153" width="2.5" style="247" customWidth="1"/>
    <col min="16154" max="16156" width="10" style="247" customWidth="1"/>
    <col min="16157" max="16157" width="9.125" style="247" customWidth="1"/>
    <col min="16158" max="16384" width="10" style="247" hidden="1"/>
  </cols>
  <sheetData>
    <row r="1" spans="3:32" ht="12.75" customHeight="1">
      <c r="C1" s="166"/>
      <c r="D1" s="114"/>
      <c r="E1" s="244"/>
      <c r="F1" s="244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6"/>
      <c r="U1" s="245"/>
      <c r="V1" s="245"/>
      <c r="W1" s="246"/>
      <c r="X1" s="246" t="s">
        <v>638</v>
      </c>
      <c r="Z1" s="248">
        <v>42248</v>
      </c>
      <c r="AB1" s="247">
        <v>201106</v>
      </c>
      <c r="AC1" s="249">
        <v>1.54269514</v>
      </c>
      <c r="AE1" s="247">
        <v>2009</v>
      </c>
      <c r="AF1" s="247">
        <v>1.4544120046750002</v>
      </c>
    </row>
    <row r="2" spans="3:32" s="129" customFormat="1">
      <c r="C2" s="111"/>
      <c r="D2" s="111"/>
      <c r="E2" s="250" t="str">
        <f>"`"&amp;RIGHT(YEAR(rngDay),2)-3&amp;"년"</f>
        <v>`12년</v>
      </c>
      <c r="F2" s="250" t="str">
        <f>"`"&amp;RIGHT(YEAR(rngDay),2)-2&amp;"년"</f>
        <v>`13년</v>
      </c>
      <c r="G2" s="250" t="str">
        <f>"`"&amp;RIGHT(YEAR(rngDay),2)-1&amp;"년"</f>
        <v>`14년</v>
      </c>
      <c r="H2" s="251" t="str">
        <f t="shared" ref="H2:W2" si="0">IF(ISERROR(RIGHT(YEAR(H3),2)),"",IF(IF(ISERROR(YEAR(G3)),0,YEAR(G3))&lt;&gt;IF(ISERROR(YEAR(H3)),0,YEAR(H3)),"`"&amp;RIGHT(YEAR(H3),2)&amp;"년",""))</f>
        <v>`14년</v>
      </c>
      <c r="I2" s="251" t="str">
        <f t="shared" si="0"/>
        <v/>
      </c>
      <c r="J2" s="251" t="str">
        <f t="shared" si="0"/>
        <v/>
      </c>
      <c r="K2" s="251" t="str">
        <f t="shared" si="0"/>
        <v/>
      </c>
      <c r="L2" s="251" t="str">
        <f t="shared" si="0"/>
        <v/>
      </c>
      <c r="M2" s="251" t="str">
        <f t="shared" si="0"/>
        <v/>
      </c>
      <c r="N2" s="251" t="str">
        <f t="shared" si="0"/>
        <v/>
      </c>
      <c r="O2" s="251" t="str">
        <f t="shared" si="0"/>
        <v>`15년</v>
      </c>
      <c r="P2" s="251" t="str">
        <f t="shared" si="0"/>
        <v/>
      </c>
      <c r="Q2" s="250" t="str">
        <f t="shared" si="0"/>
        <v/>
      </c>
      <c r="R2" s="251" t="str">
        <f t="shared" si="0"/>
        <v/>
      </c>
      <c r="S2" s="251" t="str">
        <f t="shared" si="0"/>
        <v/>
      </c>
      <c r="T2" s="251" t="str">
        <f t="shared" si="0"/>
        <v/>
      </c>
      <c r="U2" s="251" t="str">
        <f t="shared" si="0"/>
        <v/>
      </c>
      <c r="V2" s="251" t="str">
        <f t="shared" si="0"/>
        <v/>
      </c>
      <c r="W2" s="251" t="str">
        <f t="shared" si="0"/>
        <v/>
      </c>
      <c r="X2" s="251"/>
      <c r="AB2" s="129">
        <v>201107</v>
      </c>
      <c r="AC2" s="252">
        <v>1.8042542299999997</v>
      </c>
      <c r="AE2" s="129">
        <v>2010</v>
      </c>
      <c r="AF2" s="129">
        <v>1.2813027441666665</v>
      </c>
    </row>
    <row r="3" spans="3:32" s="129" customFormat="1">
      <c r="C3" s="114"/>
      <c r="D3" s="114"/>
      <c r="E3" s="253" t="s">
        <v>639</v>
      </c>
      <c r="F3" s="253" t="s">
        <v>639</v>
      </c>
      <c r="G3" s="253" t="s">
        <v>639</v>
      </c>
      <c r="H3" s="254">
        <f t="shared" ref="H3:W3" si="1">DATE(YEAR(rngDay),MONTH(rngDay)-15+(COLUMN()-8),1)</f>
        <v>41791</v>
      </c>
      <c r="I3" s="254">
        <f t="shared" si="1"/>
        <v>41821</v>
      </c>
      <c r="J3" s="254">
        <f t="shared" si="1"/>
        <v>41852</v>
      </c>
      <c r="K3" s="254">
        <f t="shared" si="1"/>
        <v>41883</v>
      </c>
      <c r="L3" s="254">
        <f t="shared" si="1"/>
        <v>41913</v>
      </c>
      <c r="M3" s="254">
        <f t="shared" si="1"/>
        <v>41944</v>
      </c>
      <c r="N3" s="254">
        <f t="shared" si="1"/>
        <v>41974</v>
      </c>
      <c r="O3" s="254">
        <f t="shared" si="1"/>
        <v>42005</v>
      </c>
      <c r="P3" s="254">
        <f t="shared" si="1"/>
        <v>42036</v>
      </c>
      <c r="Q3" s="254">
        <f t="shared" si="1"/>
        <v>42064</v>
      </c>
      <c r="R3" s="254">
        <f t="shared" si="1"/>
        <v>42095</v>
      </c>
      <c r="S3" s="254">
        <f t="shared" si="1"/>
        <v>42125</v>
      </c>
      <c r="T3" s="254">
        <f t="shared" si="1"/>
        <v>42156</v>
      </c>
      <c r="U3" s="254">
        <f t="shared" si="1"/>
        <v>42186</v>
      </c>
      <c r="V3" s="254">
        <f t="shared" si="1"/>
        <v>42217</v>
      </c>
      <c r="W3" s="254">
        <f t="shared" si="1"/>
        <v>42248</v>
      </c>
      <c r="X3" s="255" t="str">
        <f>"1~"&amp;MONTH(rngDay)&amp;"월"</f>
        <v>1~9월</v>
      </c>
      <c r="AB3" s="129">
        <v>201108</v>
      </c>
      <c r="AC3" s="252">
        <v>1.79250098</v>
      </c>
      <c r="AE3" s="129">
        <v>2011</v>
      </c>
      <c r="AF3" s="129">
        <v>1.5106012499999999</v>
      </c>
    </row>
    <row r="4" spans="3:32" ht="3" customHeight="1">
      <c r="C4" s="117"/>
      <c r="D4" s="111"/>
      <c r="E4" s="119"/>
      <c r="F4" s="119"/>
      <c r="G4" s="119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T4" s="256"/>
      <c r="U4" s="120"/>
      <c r="V4" s="120"/>
      <c r="W4" s="256"/>
      <c r="X4" s="256"/>
      <c r="AB4" s="247">
        <v>201109</v>
      </c>
      <c r="AC4" s="249">
        <v>1.7796872300000002</v>
      </c>
    </row>
    <row r="5" spans="3:32">
      <c r="C5" s="117"/>
      <c r="D5" s="111" t="s">
        <v>640</v>
      </c>
      <c r="E5" s="257">
        <f>[1]EX!C2</f>
        <v>187.90728884999999</v>
      </c>
      <c r="F5" s="257">
        <f>[1]EX!D2</f>
        <v>188.96067033</v>
      </c>
      <c r="G5" s="257">
        <f>[1]EX!E2</f>
        <v>167.60261563</v>
      </c>
      <c r="H5" s="257">
        <f>[1]EX!F2</f>
        <v>18.050694459999999</v>
      </c>
      <c r="I5" s="257">
        <f>[1]EX!G2</f>
        <v>8.9467477500000001</v>
      </c>
      <c r="J5" s="257">
        <f>[1]EX!H2</f>
        <v>8.0471334399999996</v>
      </c>
      <c r="K5" s="257">
        <f>[1]EX!I2</f>
        <v>16.964187979999998</v>
      </c>
      <c r="L5" s="257">
        <f>[1]EX!J2</f>
        <v>26.685941469999999</v>
      </c>
      <c r="M5" s="257">
        <f>[1]EX!K2</f>
        <v>23.4821785</v>
      </c>
      <c r="N5" s="257">
        <f>[1]EX!L2</f>
        <v>12.11470244</v>
      </c>
      <c r="O5" s="257">
        <f>[1]EX!M2</f>
        <v>9.3512688799999992</v>
      </c>
      <c r="P5" s="257">
        <f>[1]EX!N2</f>
        <v>6.0278070000000001</v>
      </c>
      <c r="Q5" s="257">
        <f>[1]EX!O2</f>
        <v>11.8976112</v>
      </c>
      <c r="R5" s="257">
        <f>[1]EX!P2</f>
        <v>10.32438273</v>
      </c>
      <c r="S5" s="257">
        <f>[1]EX!Q2</f>
        <v>11.92801968</v>
      </c>
      <c r="T5" s="257">
        <f>[1]EX!R2</f>
        <v>9.6883122400000001</v>
      </c>
      <c r="U5" s="257">
        <f>[1]EX!S2</f>
        <v>10.236531769999999</v>
      </c>
      <c r="V5" s="257">
        <f>[1]EX!T2</f>
        <v>10.78180281</v>
      </c>
      <c r="W5" s="257">
        <f>[1]EX!U2</f>
        <v>9.1127357100000008</v>
      </c>
      <c r="X5" s="258">
        <f>Z5</f>
        <v>89.348472020000003</v>
      </c>
      <c r="Y5" s="259"/>
      <c r="Z5" s="247">
        <v>89.348472020000003</v>
      </c>
      <c r="AA5" s="247">
        <v>450.25705513999998</v>
      </c>
      <c r="AB5" s="247">
        <v>201110</v>
      </c>
      <c r="AC5" s="249">
        <v>1.34474575</v>
      </c>
    </row>
    <row r="6" spans="3:32" ht="12.75" customHeight="1">
      <c r="C6" s="260"/>
      <c r="D6" s="261" t="s">
        <v>641</v>
      </c>
      <c r="E6" s="262"/>
      <c r="F6" s="262"/>
      <c r="G6" s="263"/>
      <c r="H6" s="264"/>
      <c r="I6" s="264"/>
      <c r="J6" s="264"/>
      <c r="K6" s="264"/>
      <c r="L6" s="264"/>
      <c r="M6" s="264"/>
      <c r="N6" s="264"/>
      <c r="O6" s="264"/>
      <c r="P6" s="264"/>
      <c r="Q6" s="264"/>
      <c r="R6" s="264"/>
      <c r="S6" s="264"/>
      <c r="T6" s="264"/>
      <c r="U6" s="265" t="str">
        <f>IF(ISERROR(U5/0),"",U5/0)</f>
        <v/>
      </c>
      <c r="V6" s="265" t="str">
        <f>IF(ISERROR(V5/0),"",V5/0)</f>
        <v/>
      </c>
      <c r="W6" s="265" t="str">
        <f>IF(ISERROR(W5/0),"",W5/0)</f>
        <v/>
      </c>
      <c r="X6" s="266"/>
      <c r="Z6" s="247">
        <v>105.31979321999999</v>
      </c>
      <c r="AA6" s="247">
        <v>441.80240756000001</v>
      </c>
      <c r="AB6" s="247">
        <v>201111</v>
      </c>
      <c r="AC6" s="249">
        <v>1.49736567</v>
      </c>
    </row>
    <row r="7" spans="3:32" ht="12.75" customHeight="1">
      <c r="C7" s="107"/>
      <c r="D7" s="267" t="s">
        <v>642</v>
      </c>
      <c r="E7" s="268"/>
      <c r="F7" s="268"/>
      <c r="G7" s="269"/>
      <c r="H7" s="270">
        <f>IF(ISERROR([1]EX!F2/[1]EX!F4),0,[1]EX!F2/[1]EX!F4)</f>
        <v>1.124142602110896</v>
      </c>
      <c r="I7" s="270">
        <f>IF(ISERROR([1]EX!G2/[1]EX!G4),0,[1]EX!G2/[1]EX!G4)</f>
        <v>1.0418056317415767</v>
      </c>
      <c r="J7" s="270">
        <f>IF(ISERROR([1]EX!H2/[1]EX!H4),0,[1]EX!H2/[1]EX!H4)</f>
        <v>1.0782363024729602</v>
      </c>
      <c r="K7" s="270">
        <f>IF(ISERROR([1]EX!I2/[1]EX!I4),0,[1]EX!I2/[1]EX!I4)</f>
        <v>2.1426408803456423</v>
      </c>
      <c r="L7" s="270">
        <f>IF(ISERROR([1]EX!J2/[1]EX!J4),0,[1]EX!J2/[1]EX!J4)</f>
        <v>0.79721329627295578</v>
      </c>
      <c r="M7" s="270">
        <f>IF(ISERROR([1]EX!K2/[1]EX!K4),0,[1]EX!K2/[1]EX!K4)</f>
        <v>1.0947757385732162</v>
      </c>
      <c r="N7" s="270">
        <f>IF(ISERROR([1]EX!L2/[1]EX!L4),0,[1]EX!L2/[1]EX!L4)</f>
        <v>0.79891034607548528</v>
      </c>
      <c r="O7" s="270">
        <f>IF(ISERROR([1]EX!M2/[1]EX!M4),0,[1]EX!M2/[1]EX!M4)</f>
        <v>0.83907348671781068</v>
      </c>
      <c r="P7" s="270">
        <f>IF(ISERROR([1]EX!N2/[1]EX!N4),0,[1]EX!N2/[1]EX!N4)</f>
        <v>0.63074433836537602</v>
      </c>
      <c r="Q7" s="270">
        <f>IF(ISERROR([1]EX!O2/[1]EX!O4),0,[1]EX!O2/[1]EX!O4)</f>
        <v>1.2862941267039723</v>
      </c>
      <c r="R7" s="270">
        <f>IF(ISERROR([1]EX!P2/[1]EX!P4),0,[1]EX!P2/[1]EX!P4)</f>
        <v>0.94711456493036672</v>
      </c>
      <c r="S7" s="270">
        <f>IF(ISERROR([1]EX!Q2/[1]EX!Q4),0,[1]EX!Q2/[1]EX!Q4)</f>
        <v>1.139151629615659</v>
      </c>
      <c r="T7" s="270">
        <f>IF(ISERROR([1]EX!R2/[1]EX!R4),0,[1]EX!R2/[1]EX!R4)</f>
        <v>0.97715496220071285</v>
      </c>
      <c r="U7" s="270">
        <f>IF(ISERROR([1]EX!S2/[1]EX!S4),0,[1]EX!S2/[1]EX!S4)</f>
        <v>1.0739134283674256</v>
      </c>
      <c r="V7" s="270">
        <f>IF(ISERROR([1]EX!T2/[1]EX!T4),0,[1]EX!T2/[1]EX!T4)</f>
        <v>1.134661730172752</v>
      </c>
      <c r="W7" s="270">
        <f>IF(ISERROR([1]EX!U2/[1]EX!U4),0,[1]EX!U2/[1]EX!U4)</f>
        <v>1.0342149977004647</v>
      </c>
      <c r="X7" s="270">
        <f>Z5/Z7</f>
        <v>1.0029792773748216</v>
      </c>
      <c r="Y7" s="259"/>
      <c r="Z7" s="247">
        <v>89.083068848499991</v>
      </c>
      <c r="AB7" s="247">
        <v>201112</v>
      </c>
      <c r="AC7" s="249">
        <v>1.54714106</v>
      </c>
    </row>
    <row r="8" spans="3:32" ht="12.75" customHeight="1">
      <c r="C8" s="107"/>
      <c r="D8" s="271" t="s">
        <v>643</v>
      </c>
      <c r="E8" s="272">
        <f>IF(ISERROR([1]EX!C2/[1]EX!C6-1),0,[1]EX!C2/[1]EX!C6-1)</f>
        <v>0.1833801073950343</v>
      </c>
      <c r="F8" s="272">
        <f>IF(ISERROR([1]EX!D2/[1]EX!D6-1),0,[1]EX!D2/[1]EX!D6-1)</f>
        <v>5.6058574760284863E-3</v>
      </c>
      <c r="G8" s="272">
        <f>IF(ISERROR([1]EX!E2/[1]EX!E6-1),0,[1]EX!E2/[1]EX!E6-1)</f>
        <v>-0.1130291010436214</v>
      </c>
      <c r="H8" s="272">
        <f>IF(ISERROR([1]EX!F2/[1]EX!F6-1),0,[1]EX!F2/[1]EX!F6-1)</f>
        <v>0.41174717825590168</v>
      </c>
      <c r="I8" s="272">
        <f>IF(ISERROR([1]EX!G2/[1]EX!G6-1),0,[1]EX!G2/[1]EX!G6-1)</f>
        <v>-3.9930696773486041E-2</v>
      </c>
      <c r="J8" s="272">
        <f>IF(ISERROR([1]EX!H2/[1]EX!H6-1),0,[1]EX!H2/[1]EX!H6-1)</f>
        <v>-9.4786327253967295E-2</v>
      </c>
      <c r="K8" s="272">
        <f>IF(ISERROR([1]EX!I2/[1]EX!I6-1),0,[1]EX!I2/[1]EX!I6-1)</f>
        <v>1.0023624735321248</v>
      </c>
      <c r="L8" s="272">
        <f>IF(ISERROR([1]EX!J2/[1]EX!J6-1),0,[1]EX!J2/[1]EX!J6-1)</f>
        <v>-0.42710842606998811</v>
      </c>
      <c r="M8" s="272">
        <f>IF(ISERROR([1]EX!K2/[1]EX!K6-1),0,[1]EX!K2/[1]EX!K6-1)</f>
        <v>-0.1346183501591387</v>
      </c>
      <c r="N8" s="272">
        <f>IF(ISERROR([1]EX!L2/[1]EX!L6-1),0,[1]EX!L2/[1]EX!L6-1)</f>
        <v>-0.15242186502276245</v>
      </c>
      <c r="O8" s="272">
        <f>IF(ISERROR([1]EX!M2/[1]EX!M6-1),0,[1]EX!M2/[1]EX!M6-1)</f>
        <v>-2.2780824719214499E-2</v>
      </c>
      <c r="P8" s="272">
        <f>IF(ISERROR([1]EX!N2/[1]EX!N6-1),0,[1]EX!N2/[1]EX!N6-1)</f>
        <v>-0.38678062478633657</v>
      </c>
      <c r="Q8" s="272">
        <f>IF(ISERROR([1]EX!O2/[1]EX!O6-1),0,[1]EX!O2/[1]EX!O6-1)</f>
        <v>-6.7703008268322318E-2</v>
      </c>
      <c r="R8" s="272">
        <f>IF(ISERROR([1]EX!P2/[1]EX!P6-1),0,[1]EX!P2/[1]EX!P6-1)</f>
        <v>-5.2320640322728096E-2</v>
      </c>
      <c r="S8" s="272">
        <f>IF(ISERROR([1]EX!Q2/[1]EX!Q6-1),0,[1]EX!Q2/[1]EX!Q6-1)</f>
        <v>0.16302867921124364</v>
      </c>
      <c r="T8" s="272">
        <f>IF(ISERROR([1]EX!R2/[1]EX!R6-1),0,[1]EX!R2/[1]EX!R6-1)</f>
        <v>-0.46327204964500845</v>
      </c>
      <c r="U8" s="272">
        <f>IF(ISERROR([1]EX!S2/[1]EX!S6-1),0,[1]EX!S2/[1]EX!S6-1)</f>
        <v>0.14416233206083162</v>
      </c>
      <c r="V8" s="272">
        <f>IF(ISERROR([1]EX!T2/[1]EX!T6-1),0,[1]EX!T2/[1]EX!T6-1)</f>
        <v>0.33983149284026304</v>
      </c>
      <c r="W8" s="272">
        <f>IF(ISERROR([1]EX!U2/[1]EX!U6-1),0,[1]EX!U2/[1]EX!U6-1)</f>
        <v>-0.46282511601831466</v>
      </c>
      <c r="X8" s="272">
        <f>Z5/Z6-1</f>
        <v>-0.15164596047618406</v>
      </c>
      <c r="Y8" s="259"/>
      <c r="AB8" s="247">
        <v>201201</v>
      </c>
      <c r="AC8" s="249">
        <v>1.00097719</v>
      </c>
    </row>
    <row r="9" spans="3:32" ht="13.5" customHeight="1">
      <c r="C9" s="107"/>
      <c r="D9" s="273" t="s">
        <v>644</v>
      </c>
      <c r="E9" s="274">
        <f>[1]EX!C8</f>
        <v>0.12990679800171887</v>
      </c>
      <c r="F9" s="274">
        <f>[1]EX!D8</f>
        <v>0.11913840972984688</v>
      </c>
      <c r="G9" s="274">
        <f>[1]EX!E8</f>
        <v>0.20058598793148913</v>
      </c>
      <c r="H9" s="274">
        <f>[1]EX!F8</f>
        <v>0.25652953781493992</v>
      </c>
      <c r="I9" s="274">
        <f>[1]EX!G8</f>
        <v>0.21072003733403896</v>
      </c>
      <c r="J9" s="274">
        <f>[1]EX!H8</f>
        <v>0.29581849975288166</v>
      </c>
      <c r="K9" s="274">
        <f>[1]EX!I8</f>
        <v>0.18587596117678021</v>
      </c>
      <c r="L9" s="274">
        <f>[1]EX!J8</f>
        <v>0.13469498670034369</v>
      </c>
      <c r="M9" s="274">
        <f>[1]EX!K8</f>
        <v>0.23758180883140875</v>
      </c>
      <c r="N9" s="274">
        <f>[1]EX!L8</f>
        <v>0.34506126238477475</v>
      </c>
      <c r="O9" s="274">
        <f>[1]EX!M8</f>
        <v>0.15801576253617614</v>
      </c>
      <c r="P9" s="274">
        <f>[1]EX!N8</f>
        <v>0.23759047608913395</v>
      </c>
      <c r="Q9" s="274">
        <f>[1]EX!O8</f>
        <v>0.17956870199790381</v>
      </c>
      <c r="R9" s="274">
        <f>[1]EX!P8</f>
        <v>0.16381040117980131</v>
      </c>
      <c r="S9" s="274">
        <f>[1]EX!Q8</f>
        <v>0.13081459519499594</v>
      </c>
      <c r="T9" s="274">
        <f>[1]EX!R8</f>
        <v>0.16577031785746765</v>
      </c>
      <c r="U9" s="274">
        <f>[1]EX!S8</f>
        <v>0.15089502134852653</v>
      </c>
      <c r="V9" s="274">
        <f>[1]EX!T8</f>
        <v>0.16247392268802818</v>
      </c>
      <c r="W9" s="274">
        <f>[1]EX!U8</f>
        <v>0.16160995440749995</v>
      </c>
      <c r="X9" s="275">
        <f>Z9</f>
        <v>0.16493769477189954</v>
      </c>
      <c r="Y9" s="259"/>
      <c r="Z9" s="247">
        <v>0.16493769477189954</v>
      </c>
      <c r="AB9" s="247">
        <v>201202</v>
      </c>
      <c r="AC9" s="249">
        <v>1.2960944699999999</v>
      </c>
    </row>
    <row r="10" spans="3:32" ht="13.5" customHeight="1">
      <c r="C10" s="107"/>
      <c r="D10" s="273" t="s">
        <v>645</v>
      </c>
      <c r="E10" s="274">
        <f>IF(ISERROR([1]EX!C10/[1]EX!C2),0,[1]EX!C10/[1]EX!C2)</f>
        <v>6.3679113206469955E-3</v>
      </c>
      <c r="F10" s="274">
        <f>IF(ISERROR([1]EX!D10/[1]EX!D2),0,[1]EX!D10/[1]EX!D2)</f>
        <v>1.150917599451765E-2</v>
      </c>
      <c r="G10" s="274">
        <f>IF(ISERROR([1]EX!E10/[1]EX!E2),0,[1]EX!E10/[1]EX!E2)</f>
        <v>1.4174093191089657E-2</v>
      </c>
      <c r="H10" s="274">
        <f>IF(ISERROR([1]EX!F10/[1]EX!F2),0,[1]EX!F10/[1]EX!F2)</f>
        <v>3.6668424127212225E-2</v>
      </c>
      <c r="I10" s="274">
        <f>IF(ISERROR([1]EX!G10/[1]EX!G2),0,[1]EX!G10/[1]EX!G2)</f>
        <v>1.3701043493709767E-2</v>
      </c>
      <c r="J10" s="274">
        <f>IF(ISERROR([1]EX!H10/[1]EX!H2),0,[1]EX!H10/[1]EX!H2)</f>
        <v>1.7614129525358041E-2</v>
      </c>
      <c r="K10" s="274">
        <f>IF(ISERROR([1]EX!I10/[1]EX!I2),0,[1]EX!I10/[1]EX!I2)</f>
        <v>7.3617747119541178E-3</v>
      </c>
      <c r="L10" s="274">
        <f>IF(ISERROR([1]EX!J10/[1]EX!J2),0,[1]EX!J10/[1]EX!J2)</f>
        <v>8.2663255309163367E-3</v>
      </c>
      <c r="M10" s="274">
        <f>IF(ISERROR([1]EX!K10/[1]EX!K2),0,[1]EX!K10/[1]EX!K2)</f>
        <v>8.5597479650365502E-3</v>
      </c>
      <c r="N10" s="274">
        <f>IF(ISERROR([1]EX!L10/[1]EX!L2),0,[1]EX!L10/[1]EX!L2)</f>
        <v>1.5499590835183567E-2</v>
      </c>
      <c r="O10" s="274">
        <f>IF(ISERROR([1]EX!M10/[1]EX!M2),0,[1]EX!M10/[1]EX!M2)</f>
        <v>4.5552860201791145E-4</v>
      </c>
      <c r="P10" s="274">
        <f>IF(ISERROR([1]EX!N10/[1]EX!N2),0,[1]EX!N10/[1]EX!N2)</f>
        <v>7.5111735329283101E-4</v>
      </c>
      <c r="Q10" s="274">
        <f>IF(ISERROR([1]EX!O10/[1]EX!O2),0,[1]EX!O10/[1]EX!O2)</f>
        <v>1.6188800235798596E-4</v>
      </c>
      <c r="R10" s="274">
        <f>IF(ISERROR([1]EX!P10/[1]EX!P2),0,[1]EX!P10/[1]EX!P2)</f>
        <v>5.2853832754028484E-3</v>
      </c>
      <c r="S10" s="274">
        <f>IF(ISERROR([1]EX!Q10/[1]EX!Q2),0,[1]EX!Q10/[1]EX!Q2)</f>
        <v>4.777026780525901E-3</v>
      </c>
      <c r="T10" s="274">
        <f>IF(ISERROR([1]EX!R10/[1]EX!R2),0,[1]EX!R10/[1]EX!R2)</f>
        <v>6.1381021458490901E-3</v>
      </c>
      <c r="U10" s="274">
        <f>IF(ISERROR([1]EX!S10/[1]EX!S2),0,[1]EX!S10/[1]EX!S2)</f>
        <v>5.5493531858593556E-3</v>
      </c>
      <c r="V10" s="274">
        <f>IF(ISERROR([1]EX!T10/[1]EX!T2),0,[1]EX!T10/[1]EX!T2)</f>
        <v>5.4555180702660242E-3</v>
      </c>
      <c r="W10" s="274">
        <f>IF(ISERROR([1]EX!U10/[1]EX!U2),0,[1]EX!U10/[1]EX!U2)</f>
        <v>1.0212003593814309E-2</v>
      </c>
      <c r="X10" s="275">
        <f>Z10/Z5</f>
        <v>4.369585870283358E-3</v>
      </c>
      <c r="Y10" s="259"/>
      <c r="Z10" s="247">
        <v>0.39041582086999999</v>
      </c>
      <c r="AB10" s="247">
        <v>201203</v>
      </c>
      <c r="AC10" s="249">
        <v>1.4446487400000001</v>
      </c>
    </row>
    <row r="11" spans="3:32" ht="12" customHeight="1">
      <c r="C11" s="107"/>
      <c r="D11" s="111" t="s">
        <v>646</v>
      </c>
      <c r="E11" s="276">
        <f>[1]EX!C18</f>
        <v>39.6528177</v>
      </c>
      <c r="F11" s="276">
        <f>[1]EX!D18</f>
        <v>48.142556579999997</v>
      </c>
      <c r="G11" s="276">
        <f>[1]EX!E18</f>
        <v>42.20043115</v>
      </c>
      <c r="H11" s="276">
        <f>[1]EX!F18</f>
        <v>4.0369582900000003</v>
      </c>
      <c r="I11" s="276">
        <f>[1]EX!G18</f>
        <v>2.0857634100000002</v>
      </c>
      <c r="J11" s="276">
        <f>[1]EX!H18</f>
        <v>0.87873593999999999</v>
      </c>
      <c r="K11" s="276">
        <f>[1]EX!I18</f>
        <v>3.1906721199999999</v>
      </c>
      <c r="L11" s="276">
        <f>[1]EX!J18</f>
        <v>6.47266808</v>
      </c>
      <c r="M11" s="276">
        <f>[1]EX!K18</f>
        <v>6.0857877599999997</v>
      </c>
      <c r="N11" s="276">
        <f>[1]EX!L18</f>
        <v>0.45960552999999998</v>
      </c>
      <c r="O11" s="276">
        <f>[1]EX!M18</f>
        <v>2.98420043</v>
      </c>
      <c r="P11" s="276">
        <f>[1]EX!N18</f>
        <v>1.3478516</v>
      </c>
      <c r="Q11" s="276">
        <f>[1]EX!O18</f>
        <v>3.1207260799999998</v>
      </c>
      <c r="R11" s="276">
        <f>[1]EX!P18</f>
        <v>3.74279326</v>
      </c>
      <c r="S11" s="276">
        <f>[1]EX!Q18</f>
        <v>3.3095678999999998</v>
      </c>
      <c r="T11" s="276">
        <f>[1]EX!R18</f>
        <v>2.2257463899999999</v>
      </c>
      <c r="U11" s="276">
        <f>[1]EX!S18</f>
        <v>3.5877464099999998</v>
      </c>
      <c r="V11" s="276">
        <f>[1]EX!T18</f>
        <v>2.7712064600000001</v>
      </c>
      <c r="W11" s="276">
        <f>[1]EX!U18</f>
        <v>2.12835727</v>
      </c>
      <c r="X11" s="277">
        <f>Z11</f>
        <v>25.2181958</v>
      </c>
      <c r="Y11" s="259"/>
      <c r="Z11" s="247">
        <v>25.2181958</v>
      </c>
      <c r="AB11" s="247">
        <v>201204</v>
      </c>
      <c r="AC11" s="249">
        <v>1.53156373</v>
      </c>
    </row>
    <row r="12" spans="3:32" ht="12" customHeight="1">
      <c r="C12" s="117"/>
      <c r="D12" s="118" t="s">
        <v>647</v>
      </c>
      <c r="E12" s="278">
        <f>[1]EX!C19</f>
        <v>0.21102330805088401</v>
      </c>
      <c r="F12" s="278">
        <f>[1]EX!D19</f>
        <v>0.25477553871884601</v>
      </c>
      <c r="G12" s="278">
        <f>[1]EX!E19</f>
        <v>0.25178861911774603</v>
      </c>
      <c r="H12" s="278">
        <f>[1]EX!F19</f>
        <v>0.223645594298093</v>
      </c>
      <c r="I12" s="278">
        <f>[1]EX!G19</f>
        <v>0.233130906144079</v>
      </c>
      <c r="J12" s="278">
        <f>[1]EX!H19</f>
        <v>0.109198629120782</v>
      </c>
      <c r="K12" s="278">
        <f>[1]EX!I19</f>
        <v>0.18808280854713799</v>
      </c>
      <c r="L12" s="278">
        <f>[1]EX!J19</f>
        <v>0.24254973680716799</v>
      </c>
      <c r="M12" s="278">
        <f>[1]EX!K19</f>
        <v>0.25916623366098701</v>
      </c>
      <c r="N12" s="278">
        <f>[1]EX!L19</f>
        <v>3.7937830687651601E-2</v>
      </c>
      <c r="O12" s="278">
        <f>[1]EX!M19</f>
        <v>0.31912251356416999</v>
      </c>
      <c r="P12" s="278">
        <f>[1]EX!N19</f>
        <v>0.22360563302706901</v>
      </c>
      <c r="Q12" s="278">
        <f>[1]EX!O19</f>
        <v>0.26229854275285103</v>
      </c>
      <c r="R12" s="278">
        <f>[1]EX!P19</f>
        <v>0.36251980945305401</v>
      </c>
      <c r="S12" s="278">
        <f>[1]EX!Q19</f>
        <v>0.27746163980172101</v>
      </c>
      <c r="T12" s="278">
        <f>[1]EX!R19</f>
        <v>0.22973520411641901</v>
      </c>
      <c r="U12" s="278">
        <f>[1]EX!S19</f>
        <v>0.35048456748940499</v>
      </c>
      <c r="V12" s="278">
        <f>[1]EX!T19</f>
        <v>0.257026260713073</v>
      </c>
      <c r="W12" s="278">
        <f>[1]EX!U19</f>
        <v>0.233558542432479</v>
      </c>
      <c r="X12" s="279">
        <f>Z12</f>
        <v>0.28224540643912799</v>
      </c>
      <c r="Y12" s="259"/>
      <c r="Z12" s="247">
        <v>0.28224540643912799</v>
      </c>
      <c r="AB12" s="247">
        <v>201205</v>
      </c>
      <c r="AC12" s="249">
        <v>1.67065562</v>
      </c>
    </row>
    <row r="13" spans="3:32" ht="12" customHeight="1">
      <c r="C13" s="117"/>
      <c r="D13" s="127" t="s">
        <v>648</v>
      </c>
      <c r="E13" s="280">
        <f>[1]EX!C12</f>
        <v>1.3558206409</v>
      </c>
      <c r="F13" s="280">
        <f>[1]EX!D12</f>
        <v>1.14436473605</v>
      </c>
      <c r="G13" s="280">
        <f>[1]EX!E12</f>
        <v>1.2345392843199998</v>
      </c>
      <c r="H13" s="280">
        <f>[1]EX!F12</f>
        <v>5.0865930410000003E-2</v>
      </c>
      <c r="I13" s="280">
        <f>[1]EX!G12</f>
        <v>9.5389371340000001E-2</v>
      </c>
      <c r="J13" s="280">
        <f>[1]EX!H12</f>
        <v>4.1653391750000004E-2</v>
      </c>
      <c r="K13" s="280">
        <f>[1]EX!I12</f>
        <v>5.4127640460000001E-2</v>
      </c>
      <c r="L13" s="280">
        <f>[1]EX!J12</f>
        <v>0.12626044066</v>
      </c>
      <c r="M13" s="280">
        <f>[1]EX!K12</f>
        <v>9.8991199739999994E-2</v>
      </c>
      <c r="N13" s="280">
        <f>[1]EX!L12</f>
        <v>0.18589396975</v>
      </c>
      <c r="O13" s="280">
        <f>[1]EX!M12</f>
        <v>0.15758242019999999</v>
      </c>
      <c r="P13" s="280">
        <f>[1]EX!N12</f>
        <v>8.1998749879999999E-2</v>
      </c>
      <c r="Q13" s="280">
        <f>[1]EX!O12</f>
        <v>8.162760916999999E-2</v>
      </c>
      <c r="R13" s="280">
        <f>[1]EX!P12</f>
        <v>7.6626291060000004E-2</v>
      </c>
      <c r="S13" s="280">
        <f>[1]EX!Q12</f>
        <v>8.4061279490000002E-2</v>
      </c>
      <c r="T13" s="280">
        <f>[1]EX!R12</f>
        <v>6.6636769649999997E-2</v>
      </c>
      <c r="U13" s="280">
        <f>[1]EX!S12</f>
        <v>7.2807658599999991E-2</v>
      </c>
      <c r="V13" s="280">
        <f>[1]EX!T12</f>
        <v>7.1230141130000008E-2</v>
      </c>
      <c r="W13" s="280">
        <f>[1]EX!U12</f>
        <v>7.989769008E-2</v>
      </c>
      <c r="X13" s="281">
        <f>Z14</f>
        <v>0.77246860925999994</v>
      </c>
      <c r="Y13" s="259"/>
      <c r="Z13" s="247">
        <v>-2.13598172795224</v>
      </c>
      <c r="AB13" s="247">
        <v>201207</v>
      </c>
      <c r="AC13" s="249">
        <v>1.9006845799999998</v>
      </c>
    </row>
    <row r="14" spans="3:32" ht="12" customHeight="1">
      <c r="C14" s="117"/>
      <c r="D14" s="282" t="s">
        <v>649</v>
      </c>
      <c r="E14" s="283">
        <f>[1]EX!C14</f>
        <v>2.4060937199999999</v>
      </c>
      <c r="F14" s="283">
        <f>[1]EX!D14</f>
        <v>4.9504104499999997</v>
      </c>
      <c r="G14" s="283">
        <f>[1]EX!E14</f>
        <v>5.2202281299999997</v>
      </c>
      <c r="H14" s="283">
        <f>[1]EX!F14</f>
        <v>-0.26980129999999802</v>
      </c>
      <c r="I14" s="283">
        <f>[1]EX!G14</f>
        <v>-0.74344995000000003</v>
      </c>
      <c r="J14" s="283">
        <f>[1]EX!H14</f>
        <v>-1.63322722</v>
      </c>
      <c r="K14" s="283">
        <f>[1]EX!I14</f>
        <v>0.28234661999999999</v>
      </c>
      <c r="L14" s="283">
        <f>[1]EX!J14</f>
        <v>1.72030533</v>
      </c>
      <c r="M14" s="283">
        <f>[1]EX!K14</f>
        <v>1.8506351299999999</v>
      </c>
      <c r="N14" s="283">
        <f>[1]EX!L14</f>
        <v>-2.3004101499999998</v>
      </c>
      <c r="O14" s="283">
        <f>[1]EX!M14</f>
        <v>1.2095814</v>
      </c>
      <c r="P14" s="283">
        <f>[1]EX!N14</f>
        <v>-0.48132306000000002</v>
      </c>
      <c r="Q14" s="283">
        <f>[1]EX!O14</f>
        <v>0.47520451999999902</v>
      </c>
      <c r="R14" s="283">
        <f>[1]EX!P14</f>
        <v>0.69466047000000097</v>
      </c>
      <c r="S14" s="283">
        <f>[1]EX!Q14</f>
        <v>0.25981526000000099</v>
      </c>
      <c r="T14" s="283">
        <f>[1]EX!R14</f>
        <v>-0.15869046000000001</v>
      </c>
      <c r="U14" s="283">
        <f>[1]EX!S14</f>
        <v>0.62811874999999995</v>
      </c>
      <c r="V14" s="283">
        <f>[1]EX!T14</f>
        <v>0.36273334000000002</v>
      </c>
      <c r="W14" s="283">
        <f>[1]EX!U14</f>
        <v>0.76247319999999996</v>
      </c>
      <c r="X14" s="283">
        <f>Z15</f>
        <v>3.75257342</v>
      </c>
      <c r="Y14" s="259"/>
      <c r="Z14" s="247">
        <v>0.77246860925999994</v>
      </c>
      <c r="AB14" s="247">
        <v>201208</v>
      </c>
      <c r="AC14" s="249">
        <v>1.3047094699999999</v>
      </c>
    </row>
    <row r="15" spans="3:32" ht="12" customHeight="1">
      <c r="C15" s="117"/>
      <c r="D15" s="118" t="s">
        <v>647</v>
      </c>
      <c r="E15" s="284">
        <f>[1]EX!C15</f>
        <v>1.280468541015832E-2</v>
      </c>
      <c r="F15" s="284">
        <f>[1]EX!D15</f>
        <v>2.6198099537616093E-2</v>
      </c>
      <c r="G15" s="284">
        <f>[1]EX!E15</f>
        <v>3.114645979943529E-2</v>
      </c>
      <c r="H15" s="284">
        <f>[1]EX!F15</f>
        <v>-1.4946865373954041E-2</v>
      </c>
      <c r="I15" s="284">
        <f>[1]EX!G15</f>
        <v>-8.3097229381481105E-2</v>
      </c>
      <c r="J15" s="284">
        <f>[1]EX!H15</f>
        <v>-0.20295764102552274</v>
      </c>
      <c r="K15" s="284">
        <f>[1]EX!I15</f>
        <v>1.6643686118833025E-2</v>
      </c>
      <c r="L15" s="284">
        <f>[1]EX!J15</f>
        <v>6.4464854347894965E-2</v>
      </c>
      <c r="M15" s="284">
        <f>[1]EX!K15</f>
        <v>7.8810197699502191E-2</v>
      </c>
      <c r="N15" s="284">
        <f>[1]EX!L15</f>
        <v>-0.18988581530525811</v>
      </c>
      <c r="O15" s="284">
        <f>[1]EX!M15</f>
        <v>0.12934944075739166</v>
      </c>
      <c r="P15" s="284">
        <f>[1]EX!N15</f>
        <v>-7.9850443121354087E-2</v>
      </c>
      <c r="Q15" s="284">
        <f>[1]EX!O15</f>
        <v>3.9941170711646636E-2</v>
      </c>
      <c r="R15" s="284">
        <f>[1]EX!P15</f>
        <v>6.7283486884062951E-2</v>
      </c>
      <c r="S15" s="284">
        <f>[1]EX!Q15</f>
        <v>2.1781927509361806E-2</v>
      </c>
      <c r="T15" s="284">
        <f>[1]EX!R15</f>
        <v>-1.6379577378278221E-2</v>
      </c>
      <c r="U15" s="284">
        <f>[1]EX!S15</f>
        <v>6.1360504134888257E-2</v>
      </c>
      <c r="V15" s="284">
        <f>[1]EX!T15</f>
        <v>3.3643106481558813E-2</v>
      </c>
      <c r="W15" s="284">
        <f>[1]EX!U15</f>
        <v>8.3671163552267655E-2</v>
      </c>
      <c r="X15" s="284">
        <f>Z16</f>
        <v>4.1999301556718438E-2</v>
      </c>
      <c r="Y15" s="259"/>
      <c r="Z15" s="247">
        <v>3.75257342</v>
      </c>
      <c r="AA15" s="247">
        <v>-48.504901330000003</v>
      </c>
      <c r="AB15" s="247">
        <v>201209</v>
      </c>
      <c r="AC15" s="249">
        <v>1.2411877200000001</v>
      </c>
    </row>
    <row r="16" spans="3:32" ht="13.5" customHeight="1">
      <c r="C16" s="117"/>
      <c r="D16" s="285" t="s">
        <v>650</v>
      </c>
      <c r="E16" s="286">
        <f t="shared" ref="E16:W16" si="2">SUMIF($D$57:$D$61,"SMART",E57:E61)</f>
        <v>0.28862934069412638</v>
      </c>
      <c r="F16" s="286">
        <f t="shared" si="2"/>
        <v>0.1484280830517172</v>
      </c>
      <c r="G16" s="287">
        <f t="shared" si="2"/>
        <v>9.7787050996118119E-2</v>
      </c>
      <c r="H16" s="287">
        <f t="shared" si="2"/>
        <v>9.301695636417788E-2</v>
      </c>
      <c r="I16" s="287">
        <f t="shared" si="2"/>
        <v>0.11422536940254367</v>
      </c>
      <c r="J16" s="287">
        <f t="shared" si="2"/>
        <v>0.249961621139109</v>
      </c>
      <c r="K16" s="287">
        <f t="shared" si="2"/>
        <v>0.1358854827977809</v>
      </c>
      <c r="L16" s="287">
        <f t="shared" si="2"/>
        <v>-4.2386811574801966E-4</v>
      </c>
      <c r="M16" s="287">
        <f t="shared" si="2"/>
        <v>8.7239013607945587E-2</v>
      </c>
      <c r="N16" s="287">
        <f t="shared" si="2"/>
        <v>0.48624304362526449</v>
      </c>
      <c r="O16" s="287">
        <f t="shared" si="2"/>
        <v>0.15430707738768801</v>
      </c>
      <c r="P16" s="287">
        <f t="shared" si="2"/>
        <v>-8.614703160201713E-2</v>
      </c>
      <c r="Q16" s="287">
        <f t="shared" si="2"/>
        <v>5.3188730273052001E-2</v>
      </c>
      <c r="R16" s="287">
        <f t="shared" si="2"/>
        <v>4.5802873727971002E-3</v>
      </c>
      <c r="S16" s="287">
        <f t="shared" si="2"/>
        <v>2.4114513956956699E-2</v>
      </c>
      <c r="T16" s="287">
        <f t="shared" si="2"/>
        <v>8.6549239392676221E-3</v>
      </c>
      <c r="U16" s="287">
        <f t="shared" si="2"/>
        <v>0.1438571577062113</v>
      </c>
      <c r="V16" s="287">
        <f t="shared" si="2"/>
        <v>8.1960424512753371E-2</v>
      </c>
      <c r="W16" s="287">
        <f t="shared" si="2"/>
        <v>2.2884126048754098E-3</v>
      </c>
      <c r="X16" s="287">
        <f>SUMIF($D$57:$D$61,"SMART",X57:X61)</f>
        <v>4.888810580971608E-2</v>
      </c>
      <c r="Y16" s="259"/>
      <c r="Z16" s="247">
        <v>4.1999301556718438E-2</v>
      </c>
      <c r="AA16" s="247">
        <v>-0.10772713225985589</v>
      </c>
    </row>
    <row r="17" spans="3:26" ht="12" customHeight="1">
      <c r="C17" s="117"/>
      <c r="D17" s="118" t="s">
        <v>651</v>
      </c>
      <c r="E17" s="288">
        <f t="shared" ref="E17:W17" si="3">SUMIF($D$52:$D$56,"SMART",E52:E56)</f>
        <v>54.098930737549367</v>
      </c>
      <c r="F17" s="288">
        <f t="shared" si="3"/>
        <v>27.994815717778302</v>
      </c>
      <c r="G17" s="289">
        <f t="shared" si="3"/>
        <v>16.35229884770062</v>
      </c>
      <c r="H17" s="289">
        <f t="shared" si="3"/>
        <v>1.6749418172264718</v>
      </c>
      <c r="I17" s="289">
        <f t="shared" si="3"/>
        <v>1.0183496834970711</v>
      </c>
      <c r="J17" s="289">
        <f t="shared" si="3"/>
        <v>2.0040070575826761</v>
      </c>
      <c r="K17" s="289">
        <f t="shared" si="3"/>
        <v>2.2997682740748622</v>
      </c>
      <c r="L17" s="289">
        <f t="shared" si="3"/>
        <v>-1.1296059407328696E-2</v>
      </c>
      <c r="M17" s="289">
        <f t="shared" si="3"/>
        <v>2.0467006597303246</v>
      </c>
      <c r="N17" s="289">
        <f t="shared" si="3"/>
        <v>5.8772037896072113</v>
      </c>
      <c r="O17" s="289">
        <f t="shared" si="3"/>
        <v>1.4882805104379322</v>
      </c>
      <c r="P17" s="289">
        <f t="shared" si="3"/>
        <v>-0.52891765918176148</v>
      </c>
      <c r="Q17" s="289">
        <f t="shared" si="3"/>
        <v>0.65259063735883793</v>
      </c>
      <c r="R17" s="289">
        <f t="shared" si="3"/>
        <v>5.2655112512333901E-2</v>
      </c>
      <c r="S17" s="289">
        <f t="shared" si="3"/>
        <v>0.29873300926402402</v>
      </c>
      <c r="T17" s="289">
        <f t="shared" si="3"/>
        <v>8.4874694299850381E-2</v>
      </c>
      <c r="U17" s="289">
        <f t="shared" si="3"/>
        <v>1.582344833653061</v>
      </c>
      <c r="V17" s="289">
        <f t="shared" si="3"/>
        <v>0.88837966613323727</v>
      </c>
      <c r="W17" s="289">
        <f t="shared" si="3"/>
        <v>2.1249861489165401E-2</v>
      </c>
      <c r="X17" s="289">
        <f>SUMIF($D$52:$D$56,"SMART",X52:X56)</f>
        <v>4.5401906659666764</v>
      </c>
      <c r="Y17" s="259"/>
    </row>
    <row r="18" spans="3:26" ht="12" customHeight="1">
      <c r="C18" s="117"/>
      <c r="D18" s="111" t="s">
        <v>652</v>
      </c>
      <c r="E18" s="290">
        <f>[1]EX!C23</f>
        <v>4.6558405179814001E-2</v>
      </c>
      <c r="F18" s="290">
        <f>[1]EX!D23</f>
        <v>5.3790113795919104E-3</v>
      </c>
      <c r="G18" s="290">
        <f>[1]EX!E23</f>
        <v>3.1388295090407199E-2</v>
      </c>
      <c r="H18" s="290">
        <f>[1]EX!F23</f>
        <v>-1.22810543699436E-2</v>
      </c>
      <c r="I18" s="290">
        <f>[1]EX!G23</f>
        <v>-6.1670399453343299E-3</v>
      </c>
      <c r="J18" s="290">
        <f>[1]EX!H23</f>
        <v>0.180478489645399</v>
      </c>
      <c r="K18" s="290">
        <f>[1]EX!I23</f>
        <v>2.8426333921269899E-2</v>
      </c>
      <c r="L18" s="290">
        <f>[1]EX!J23</f>
        <v>-1.143286988448E-2</v>
      </c>
      <c r="M18" s="290">
        <f>[1]EX!K23</f>
        <v>-7.2100718558990701E-4</v>
      </c>
      <c r="N18" s="290">
        <f>[1]EX!L23</f>
        <v>0.29938936924003101</v>
      </c>
      <c r="O18" s="290">
        <f>[1]EX!M23</f>
        <v>5.78792300605303E-3</v>
      </c>
      <c r="P18" s="290">
        <f>[1]EX!N23</f>
        <v>-0.11723808804531199</v>
      </c>
      <c r="Q18" s="290">
        <f>[1]EX!O23</f>
        <v>2.57520917831176E-2</v>
      </c>
      <c r="R18" s="290">
        <f>[1]EX!P23</f>
        <v>4.5802873727971002E-3</v>
      </c>
      <c r="S18" s="290">
        <f>[1]EX!Q23</f>
        <v>2.4114513956956699E-2</v>
      </c>
      <c r="T18" s="290">
        <f>[1]EX!R23</f>
        <v>-1.02991134105076E-3</v>
      </c>
      <c r="U18" s="290">
        <f>[1]EX!S23</f>
        <v>-1.0954094910887E-3</v>
      </c>
      <c r="V18" s="290">
        <f>[1]EX!T23</f>
        <v>-5.1014615689113296E-4</v>
      </c>
      <c r="W18" s="290">
        <f>[1]EX!U23</f>
        <v>2.2884126048754098E-3</v>
      </c>
      <c r="X18" s="291">
        <f>Z19</f>
        <v>-3.2978444448318597E-5</v>
      </c>
      <c r="Y18" s="259"/>
    </row>
    <row r="19" spans="3:26" ht="12" customHeight="1">
      <c r="C19" s="117"/>
      <c r="D19" s="292" t="s">
        <v>653</v>
      </c>
      <c r="E19" s="293">
        <f>[1]EX!C21</f>
        <v>-2.6601652525852799</v>
      </c>
      <c r="F19" s="293">
        <f>[1]EX!D21</f>
        <v>-1.46173128749321</v>
      </c>
      <c r="G19" s="293">
        <f>[1]EX!E21</f>
        <v>-3.77453613927924</v>
      </c>
      <c r="H19" s="293">
        <f>[1]EX!F21</f>
        <v>-0.32362681793327702</v>
      </c>
      <c r="I19" s="293">
        <f>[1]EX!G21</f>
        <v>-0.14569584998846999</v>
      </c>
      <c r="J19" s="293">
        <f>[1]EX!H21</f>
        <v>-1.0583663431054</v>
      </c>
      <c r="K19" s="293">
        <f>[1]EX!I21</f>
        <v>-0.138263059279256</v>
      </c>
      <c r="L19" s="293">
        <f>[1]EX!J21</f>
        <v>-0.29742837386908</v>
      </c>
      <c r="M19" s="293">
        <f>[1]EX!K21</f>
        <v>-6.60786068893328E-2</v>
      </c>
      <c r="N19" s="293">
        <f>[1]EX!L21</f>
        <v>-1.41362269432536</v>
      </c>
      <c r="O19" s="293">
        <f>[1]EX!M21</f>
        <v>-0.214521602612947</v>
      </c>
      <c r="P19" s="293">
        <f>[1]EX!N21</f>
        <v>-1.3098048704007399</v>
      </c>
      <c r="Q19" s="293">
        <f>[1]EX!O21</f>
        <v>-3.0439693325885801E-2</v>
      </c>
      <c r="R19" s="293">
        <f>[1]EX!P21</f>
        <v>-2.9964546022055501E-2</v>
      </c>
      <c r="S19" s="293">
        <f>[1]EX!Q21</f>
        <v>-2.3713899484306501E-2</v>
      </c>
      <c r="T19" s="293">
        <f>[1]EX!R21</f>
        <v>-9.3246351081212306E-2</v>
      </c>
      <c r="U19" s="293">
        <f>[1]EX!S21</f>
        <v>-3.3608508141914198E-2</v>
      </c>
      <c r="V19" s="293">
        <f>[1]EX!T21</f>
        <v>-4.8725577221277301E-2</v>
      </c>
      <c r="W19" s="293">
        <f>[1]EX!U21</f>
        <v>-0.35195667966189897</v>
      </c>
      <c r="X19" s="294">
        <f>Z13</f>
        <v>-2.13598172795224</v>
      </c>
      <c r="Y19" s="259"/>
      <c r="Z19" s="247">
        <v>-3.2978444448318597E-5</v>
      </c>
    </row>
    <row r="20" spans="3:26" ht="9.75" customHeight="1">
      <c r="C20" s="117"/>
      <c r="D20" s="127"/>
      <c r="E20" s="295"/>
      <c r="F20" s="295"/>
      <c r="G20" s="296"/>
      <c r="H20" s="296"/>
      <c r="I20" s="296"/>
      <c r="J20" s="296"/>
      <c r="K20" s="296"/>
      <c r="L20" s="296"/>
      <c r="M20" s="296"/>
      <c r="N20" s="296"/>
      <c r="O20" s="296"/>
      <c r="P20" s="296"/>
      <c r="Q20" s="296"/>
      <c r="R20" s="296"/>
      <c r="S20" s="296"/>
      <c r="T20" s="296"/>
      <c r="U20" s="296"/>
      <c r="V20" s="297" t="s">
        <v>654</v>
      </c>
      <c r="W20" s="298"/>
      <c r="X20" s="266"/>
    </row>
    <row r="21" spans="3:26" ht="12" customHeight="1">
      <c r="C21" s="117"/>
      <c r="D21" s="111" t="s">
        <v>655</v>
      </c>
      <c r="E21" s="299">
        <f>[1]EX!C32</f>
        <v>43.072825824961228</v>
      </c>
      <c r="F21" s="299">
        <f>[1]EX!D32</f>
        <v>48.385414825393347</v>
      </c>
      <c r="G21" s="299">
        <f>[1]EX!E32</f>
        <v>44.973910955835564</v>
      </c>
      <c r="H21" s="299">
        <f>[1]EX!F32</f>
        <v>58.004452856383601</v>
      </c>
      <c r="I21" s="299">
        <f>[1]EX!G32</f>
        <v>46.377395120053102</v>
      </c>
      <c r="J21" s="299">
        <f>[1]EX!H32</f>
        <v>41.885481801092702</v>
      </c>
      <c r="K21" s="299">
        <f>[1]EX!I32</f>
        <v>47.971544329020901</v>
      </c>
      <c r="L21" s="299">
        <f>[1]EX!J32</f>
        <v>42.356269390334901</v>
      </c>
      <c r="M21" s="299">
        <f>[1]EX!K32</f>
        <v>42.511802735437399</v>
      </c>
      <c r="N21" s="299">
        <f>[1]EX!L32</f>
        <v>46.824731374232897</v>
      </c>
      <c r="O21" s="299">
        <f>[1]EX!M32</f>
        <v>71.507128278191999</v>
      </c>
      <c r="P21" s="299">
        <f>[1]EX!N32</f>
        <v>69.456787720635006</v>
      </c>
      <c r="Q21" s="299">
        <f>[1]EX!O32</f>
        <v>74.579979484507803</v>
      </c>
      <c r="R21" s="299">
        <f>[1]EX!P32</f>
        <v>74.846071465250006</v>
      </c>
      <c r="S21" s="299">
        <f>[1]EX!Q32</f>
        <v>66.097713519004103</v>
      </c>
      <c r="T21" s="299">
        <f>[1]EX!R32</f>
        <v>52.368566282543703</v>
      </c>
      <c r="U21" s="299">
        <f>[1]EX!S32</f>
        <v>48.073844910598801</v>
      </c>
      <c r="V21" s="299">
        <f>[1]EX!T32</f>
        <v>47.031276899627898</v>
      </c>
      <c r="W21" s="299">
        <f>[1]EX!U32</f>
        <v>46.700396422543101</v>
      </c>
      <c r="X21" s="300">
        <f>Z21</f>
        <v>67.75035951951817</v>
      </c>
      <c r="Y21" s="259"/>
      <c r="Z21" s="247">
        <v>67.75035951951817</v>
      </c>
    </row>
    <row r="22" spans="3:26" ht="12" customHeight="1">
      <c r="C22" s="117"/>
      <c r="D22" s="301" t="s">
        <v>656</v>
      </c>
      <c r="E22" s="302"/>
      <c r="F22" s="302"/>
      <c r="G22" s="303"/>
      <c r="H22" s="303">
        <f ca="1">[1]EX!F30/[1]EX!F33*30.42</f>
        <v>38.206938723687664</v>
      </c>
      <c r="I22" s="303">
        <f ca="1">[1]EX!G30/[1]EX!G33*30.42</f>
        <v>50.462386934209526</v>
      </c>
      <c r="J22" s="303">
        <f ca="1">[1]EX!H30/[1]EX!H33*30.42</f>
        <v>81.790236021711962</v>
      </c>
      <c r="K22" s="303">
        <f ca="1">[1]EX!I30/[1]EX!I33*30.42</f>
        <v>79.191321602691502</v>
      </c>
      <c r="L22" s="303">
        <f ca="1">[1]EX!J30/[1]EX!J33*30.42</f>
        <v>43.879649992198836</v>
      </c>
      <c r="M22" s="303">
        <f ca="1">[1]EX!K30/[1]EX!K33*30.42</f>
        <v>22.332217438973789</v>
      </c>
      <c r="N22" s="303">
        <f ca="1">[1]EX!L30/[1]EX!L33*30.42</f>
        <v>24.262588257083511</v>
      </c>
      <c r="O22" s="303">
        <f ca="1">[1]EX!M30/[1]EX!M33*30.42</f>
        <v>43.40985720449887</v>
      </c>
      <c r="P22" s="303">
        <f ca="1">[1]EX!N30/[1]EX!N33*30.42</f>
        <v>78.015127877071833</v>
      </c>
      <c r="Q22" s="303">
        <f ca="1">[1]EX!O30/[1]EX!O33*30.42</f>
        <v>81.475397377737451</v>
      </c>
      <c r="R22" s="303">
        <f ca="1">[1]EX!P30/[1]EX!P33*30.42</f>
        <v>77.68230734043631</v>
      </c>
      <c r="S22" s="303">
        <f ca="1">[1]EX!Q30/[1]EX!Q33*30.42</f>
        <v>55.524413158050038</v>
      </c>
      <c r="T22" s="303">
        <f ca="1">[1]EX!R30/[1]EX!R33*30.42</f>
        <v>50.221470749395216</v>
      </c>
      <c r="U22" s="303">
        <f ca="1">[1]EX!S30/[1]EX!S33*30.42</f>
        <v>46.318952661207</v>
      </c>
      <c r="V22" s="303">
        <f ca="1">[1]EX!T30/[1]EX!T33*30.42</f>
        <v>59.329471405300666</v>
      </c>
      <c r="W22" s="303">
        <f ca="1">[1]EX!U30/[1]EX!U33*30.42</f>
        <v>91.089661318810059</v>
      </c>
      <c r="X22" s="303">
        <f>Z22</f>
        <v>67.75035951951817</v>
      </c>
      <c r="Y22" s="259"/>
      <c r="Z22" s="247">
        <v>67.75035951951817</v>
      </c>
    </row>
    <row r="23" spans="3:26" ht="12" customHeight="1">
      <c r="C23" s="117"/>
      <c r="D23" s="111" t="s">
        <v>657</v>
      </c>
      <c r="E23" s="304">
        <f>[1]EX!C29</f>
        <v>3.788585756666666E-2</v>
      </c>
      <c r="F23" s="304">
        <f>[1]EX!D29</f>
        <v>0.27192347565000002</v>
      </c>
      <c r="G23" s="304">
        <f>[1]EX!E29</f>
        <v>0.38186631666666665</v>
      </c>
      <c r="H23" s="304">
        <f>[1]EX!F29</f>
        <v>0.11807884</v>
      </c>
      <c r="I23" s="304">
        <f>[1]EX!G29</f>
        <v>0.50122540999999998</v>
      </c>
      <c r="J23" s="304">
        <f>[1]EX!H29</f>
        <v>1.12484786</v>
      </c>
      <c r="K23" s="304">
        <f>[1]EX!I29</f>
        <v>1.2748979899999999</v>
      </c>
      <c r="L23" s="304">
        <f>[1]EX!J29</f>
        <v>0.42839611</v>
      </c>
      <c r="M23" s="304">
        <f>[1]EX!K29</f>
        <v>6.3569780000000006E-2</v>
      </c>
      <c r="N23" s="304">
        <f>[1]EX!L29</f>
        <v>8.4634700000000007E-3</v>
      </c>
      <c r="O23" s="304">
        <f>[1]EX!M29</f>
        <v>9.3621899999999994E-3</v>
      </c>
      <c r="P23" s="304">
        <f>[1]EX!N29</f>
        <v>0.18909637000000001</v>
      </c>
      <c r="Q23" s="304">
        <f>[1]EX!O29</f>
        <v>0.18564853000000001</v>
      </c>
      <c r="R23" s="304">
        <f>[1]EX!P29</f>
        <v>0.12063618</v>
      </c>
      <c r="S23" s="304">
        <f>[1]EX!Q29</f>
        <v>2.1047221500000002</v>
      </c>
      <c r="T23" s="304">
        <f>[1]EX!R29</f>
        <v>2.8901715100000001</v>
      </c>
      <c r="U23" s="304">
        <f>[1]EX!S29</f>
        <v>3.1052841400000002</v>
      </c>
      <c r="V23" s="304">
        <f>[1]EX!T29</f>
        <v>0.93482381000000003</v>
      </c>
      <c r="W23" s="304">
        <f>[1]EX!U29</f>
        <v>0.92382076999999996</v>
      </c>
      <c r="X23" s="305">
        <f>Z23</f>
        <v>1.1626184055555555</v>
      </c>
      <c r="Y23" s="259"/>
      <c r="Z23" s="247">
        <v>1.1626184055555555</v>
      </c>
    </row>
    <row r="24" spans="3:26" ht="12" customHeight="1">
      <c r="C24" s="117"/>
      <c r="D24" s="118" t="s">
        <v>647</v>
      </c>
      <c r="E24" s="306">
        <f>[1]EX!C31</f>
        <v>5.3760112613795161E-3</v>
      </c>
      <c r="F24" s="306">
        <f>[1]EX!D31</f>
        <v>3.0685898856985791E-2</v>
      </c>
      <c r="G24" s="306">
        <f>[1]EX!E31</f>
        <v>5.3989747633255335E-2</v>
      </c>
      <c r="H24" s="306">
        <f>[1]EX!F31</f>
        <v>1.8346310500126601E-2</v>
      </c>
      <c r="I24" s="306">
        <f>[1]EX!G31</f>
        <v>6.7748911198606099E-2</v>
      </c>
      <c r="J24" s="306">
        <f>[1]EX!H31</f>
        <v>0.104064231987345</v>
      </c>
      <c r="K24" s="306">
        <f>[1]EX!I31</f>
        <v>9.4457886206220601E-2</v>
      </c>
      <c r="L24" s="306">
        <f>[1]EX!J31</f>
        <v>4.0130520964634001E-2</v>
      </c>
      <c r="M24" s="306">
        <f>[1]EX!K31</f>
        <v>3.10293154633535E-2</v>
      </c>
      <c r="N24" s="306">
        <f>[1]EX!L31</f>
        <v>3.3713888069447002E-3</v>
      </c>
      <c r="O24" s="306">
        <f>[1]EX!M31</f>
        <v>3.0128944405646901E-3</v>
      </c>
      <c r="P24" s="306">
        <f>[1]EX!N31</f>
        <v>4.6522968702628197E-2</v>
      </c>
      <c r="Q24" s="306">
        <f>[1]EX!O31</f>
        <v>1.9336224294478701E-2</v>
      </c>
      <c r="R24" s="306">
        <f>[1]EX!P31</f>
        <v>9.9193950695593593E-3</v>
      </c>
      <c r="S24" s="306">
        <f>[1]EX!Q31</f>
        <v>0.17497453990113401</v>
      </c>
      <c r="T24" s="306">
        <f>[1]EX!R31</f>
        <v>0.30856550026195501</v>
      </c>
      <c r="U24" s="306">
        <f>[1]EX!S31</f>
        <v>0.44258198062096199</v>
      </c>
      <c r="V24" s="306">
        <f>[1]EX!T31</f>
        <v>0.15641999877872401</v>
      </c>
      <c r="W24" s="306">
        <f>[1]EX!U31</f>
        <v>0.10170763813575</v>
      </c>
      <c r="X24" s="307">
        <f>Z24</f>
        <v>0.14451311123654464</v>
      </c>
      <c r="Y24" s="259"/>
      <c r="Z24" s="247">
        <v>0.14451311123654464</v>
      </c>
    </row>
    <row r="25" spans="3:26" ht="6" customHeight="1">
      <c r="C25" s="166"/>
      <c r="D25" s="308"/>
      <c r="E25" s="309"/>
      <c r="F25" s="309"/>
      <c r="G25" s="310"/>
      <c r="H25" s="311"/>
      <c r="I25" s="311"/>
      <c r="J25" s="311"/>
      <c r="K25" s="311"/>
      <c r="L25" s="311"/>
      <c r="M25" s="311"/>
      <c r="N25" s="311"/>
      <c r="O25" s="311"/>
      <c r="P25" s="311"/>
      <c r="Q25" s="311"/>
      <c r="R25" s="311"/>
      <c r="S25" s="311"/>
      <c r="T25" s="311"/>
      <c r="U25" s="311"/>
      <c r="V25" s="311"/>
      <c r="W25" s="311"/>
      <c r="X25" s="266"/>
    </row>
    <row r="26" spans="3:26" ht="3" customHeight="1">
      <c r="C26" s="117"/>
      <c r="E26" s="295"/>
      <c r="F26" s="295"/>
      <c r="G26" s="295"/>
      <c r="H26" s="295"/>
      <c r="I26" s="295"/>
      <c r="J26" s="295"/>
      <c r="K26" s="295"/>
      <c r="L26" s="295"/>
      <c r="M26" s="295"/>
      <c r="N26" s="295"/>
      <c r="O26" s="295"/>
      <c r="P26" s="295"/>
      <c r="Q26" s="295"/>
      <c r="R26" s="295"/>
      <c r="S26" s="295"/>
      <c r="T26" s="312"/>
      <c r="U26" s="295"/>
      <c r="V26" s="295"/>
      <c r="W26" s="312"/>
      <c r="X26" s="266"/>
    </row>
    <row r="27" spans="3:26" ht="12" customHeight="1">
      <c r="C27" s="117"/>
      <c r="D27" s="163" t="s">
        <v>658</v>
      </c>
      <c r="E27" s="313"/>
      <c r="F27" s="313"/>
      <c r="G27" s="313"/>
      <c r="H27" s="313"/>
      <c r="I27" s="313"/>
      <c r="J27" s="313"/>
      <c r="K27" s="313"/>
      <c r="L27" s="313"/>
      <c r="M27" s="313"/>
      <c r="N27" s="313"/>
      <c r="O27" s="313"/>
      <c r="P27" s="313"/>
      <c r="Q27" s="313"/>
      <c r="R27" s="313"/>
      <c r="S27" s="313"/>
      <c r="T27" s="313"/>
      <c r="U27" s="313"/>
      <c r="V27" s="313"/>
      <c r="W27" s="313"/>
      <c r="X27" s="266"/>
    </row>
    <row r="28" spans="3:26" ht="12" customHeight="1">
      <c r="C28" s="117"/>
      <c r="D28" s="314" t="s">
        <v>659</v>
      </c>
      <c r="E28" s="297"/>
      <c r="F28" s="297"/>
      <c r="G28" s="297"/>
      <c r="H28" s="297"/>
      <c r="I28" s="297"/>
      <c r="J28" s="297"/>
      <c r="K28" s="297"/>
      <c r="L28" s="297"/>
      <c r="M28" s="297"/>
      <c r="N28" s="297"/>
      <c r="O28" s="297"/>
      <c r="P28" s="297"/>
      <c r="Q28" s="297"/>
      <c r="R28" s="297"/>
      <c r="S28" s="297"/>
      <c r="T28" s="297"/>
      <c r="U28" s="297"/>
      <c r="V28" s="297"/>
      <c r="W28" s="297"/>
      <c r="X28" s="266"/>
    </row>
    <row r="29" spans="3:26" ht="12" customHeight="1">
      <c r="C29" s="315"/>
      <c r="D29" s="163" t="s">
        <v>660</v>
      </c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316"/>
      <c r="S29" s="316"/>
      <c r="T29" s="316"/>
      <c r="U29" s="316"/>
      <c r="V29" s="316"/>
      <c r="W29" s="316"/>
      <c r="X29" s="266"/>
    </row>
    <row r="30" spans="3:26" ht="14.25" customHeight="1">
      <c r="C30" s="315"/>
      <c r="D30" s="317" t="s">
        <v>659</v>
      </c>
      <c r="E30" s="318"/>
      <c r="F30" s="318"/>
      <c r="G30" s="318"/>
      <c r="H30" s="318"/>
      <c r="I30" s="318"/>
      <c r="J30" s="318"/>
      <c r="K30" s="318"/>
      <c r="L30" s="318"/>
      <c r="M30" s="318"/>
      <c r="N30" s="318"/>
      <c r="O30" s="318"/>
      <c r="P30" s="318"/>
      <c r="Q30" s="318"/>
      <c r="R30" s="318"/>
      <c r="S30" s="318"/>
      <c r="T30" s="318"/>
      <c r="U30" s="318"/>
      <c r="V30" s="318"/>
      <c r="W30" s="318"/>
      <c r="X30" s="266"/>
    </row>
    <row r="31" spans="3:26" ht="12" customHeight="1">
      <c r="C31" s="315"/>
      <c r="D31" s="163" t="s">
        <v>661</v>
      </c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316"/>
      <c r="S31" s="316"/>
      <c r="T31" s="316"/>
      <c r="U31" s="316"/>
      <c r="V31" s="316"/>
      <c r="W31" s="316"/>
      <c r="X31" s="266"/>
    </row>
    <row r="32" spans="3:26" ht="12.75" customHeight="1">
      <c r="C32" s="315"/>
      <c r="D32" s="314" t="s">
        <v>659</v>
      </c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  <c r="V32" s="319"/>
      <c r="W32" s="319"/>
      <c r="X32" s="266"/>
    </row>
    <row r="33" spans="3:24" ht="12" customHeight="1">
      <c r="C33" s="315"/>
      <c r="D33" s="273" t="s">
        <v>662</v>
      </c>
      <c r="E33" s="320"/>
      <c r="F33" s="320"/>
      <c r="G33" s="320"/>
      <c r="H33" s="320"/>
      <c r="I33" s="320"/>
      <c r="J33" s="320"/>
      <c r="K33" s="320"/>
      <c r="L33" s="320"/>
      <c r="M33" s="320"/>
      <c r="N33" s="320"/>
      <c r="O33" s="320"/>
      <c r="P33" s="320"/>
      <c r="Q33" s="320"/>
      <c r="R33" s="320"/>
      <c r="S33" s="320"/>
      <c r="T33" s="320"/>
      <c r="U33" s="320"/>
      <c r="V33" s="320"/>
      <c r="W33" s="320"/>
      <c r="X33" s="266"/>
    </row>
    <row r="34" spans="3:24" ht="12" customHeight="1">
      <c r="C34" s="315"/>
      <c r="D34" s="273" t="s">
        <v>663</v>
      </c>
      <c r="E34" s="320"/>
      <c r="F34" s="320"/>
      <c r="G34" s="320"/>
      <c r="H34" s="320"/>
      <c r="I34" s="320"/>
      <c r="J34" s="320"/>
      <c r="K34" s="320"/>
      <c r="L34" s="320"/>
      <c r="M34" s="320"/>
      <c r="N34" s="320"/>
      <c r="O34" s="320"/>
      <c r="P34" s="320"/>
      <c r="Q34" s="320"/>
      <c r="R34" s="320"/>
      <c r="S34" s="320"/>
      <c r="T34" s="320"/>
      <c r="U34" s="320"/>
      <c r="V34" s="320"/>
      <c r="W34" s="320"/>
      <c r="X34" s="266"/>
    </row>
    <row r="35" spans="3:24" ht="12" customHeight="1">
      <c r="C35" s="315"/>
      <c r="D35" s="273" t="s">
        <v>664</v>
      </c>
      <c r="E35" s="321"/>
      <c r="F35" s="321"/>
      <c r="G35" s="321"/>
      <c r="H35" s="321"/>
      <c r="I35" s="321"/>
      <c r="J35" s="321"/>
      <c r="K35" s="321"/>
      <c r="L35" s="321"/>
      <c r="M35" s="321"/>
      <c r="N35" s="321"/>
      <c r="O35" s="321"/>
      <c r="P35" s="321"/>
      <c r="Q35" s="321"/>
      <c r="R35" s="321"/>
      <c r="S35" s="321"/>
      <c r="T35" s="321"/>
      <c r="U35" s="321"/>
      <c r="V35" s="321"/>
      <c r="W35" s="321"/>
      <c r="X35" s="266"/>
    </row>
    <row r="36" spans="3:24" ht="12" customHeight="1">
      <c r="C36" s="315"/>
      <c r="D36" s="322" t="s">
        <v>665</v>
      </c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323"/>
      <c r="S36" s="323"/>
      <c r="T36" s="323"/>
      <c r="U36" s="323"/>
      <c r="V36" s="323"/>
      <c r="W36" s="323"/>
      <c r="X36" s="266"/>
    </row>
    <row r="37" spans="3:24" ht="12" customHeight="1">
      <c r="C37" s="315"/>
      <c r="D37" s="273" t="s">
        <v>666</v>
      </c>
      <c r="E37" s="295"/>
      <c r="F37" s="295"/>
      <c r="G37" s="295"/>
      <c r="H37" s="295"/>
      <c r="I37" s="295"/>
      <c r="J37" s="295"/>
      <c r="K37" s="295"/>
      <c r="L37" s="295"/>
      <c r="M37" s="295"/>
      <c r="N37" s="295"/>
      <c r="O37" s="295"/>
      <c r="P37" s="295"/>
      <c r="Q37" s="295"/>
      <c r="R37" s="295"/>
      <c r="S37" s="295"/>
      <c r="T37" s="295"/>
      <c r="U37" s="295"/>
      <c r="V37" s="295"/>
      <c r="W37" s="295"/>
      <c r="X37" s="266"/>
    </row>
    <row r="38" spans="3:24" ht="12" customHeight="1">
      <c r="C38" s="315"/>
      <c r="D38" s="273" t="s">
        <v>667</v>
      </c>
      <c r="E38" s="295"/>
      <c r="F38" s="295"/>
      <c r="G38" s="295"/>
      <c r="H38" s="295"/>
      <c r="I38" s="295"/>
      <c r="J38" s="295"/>
      <c r="K38" s="295"/>
      <c r="L38" s="295"/>
      <c r="M38" s="295"/>
      <c r="N38" s="295"/>
      <c r="O38" s="295"/>
      <c r="P38" s="295"/>
      <c r="Q38" s="295"/>
      <c r="R38" s="295"/>
      <c r="S38" s="295"/>
      <c r="T38" s="295"/>
      <c r="U38" s="295"/>
      <c r="V38" s="295"/>
      <c r="W38" s="295"/>
      <c r="X38" s="266"/>
    </row>
    <row r="39" spans="3:24" ht="12" customHeight="1">
      <c r="C39" s="315"/>
      <c r="D39" s="273" t="s">
        <v>668</v>
      </c>
      <c r="E39" s="295"/>
      <c r="F39" s="295"/>
      <c r="G39" s="295"/>
      <c r="H39" s="295"/>
      <c r="I39" s="295"/>
      <c r="J39" s="295"/>
      <c r="K39" s="295"/>
      <c r="L39" s="295"/>
      <c r="M39" s="295"/>
      <c r="N39" s="295"/>
      <c r="O39" s="295"/>
      <c r="P39" s="295"/>
      <c r="Q39" s="295"/>
      <c r="R39" s="295"/>
      <c r="S39" s="295"/>
      <c r="T39" s="295"/>
      <c r="U39" s="295"/>
      <c r="V39" s="295"/>
      <c r="W39" s="295"/>
      <c r="X39" s="266"/>
    </row>
    <row r="40" spans="3:24" ht="12" customHeight="1">
      <c r="C40" s="315"/>
      <c r="D40" s="163" t="s">
        <v>669</v>
      </c>
      <c r="E40" s="324"/>
      <c r="F40" s="324"/>
      <c r="G40" s="324"/>
      <c r="H40" s="324"/>
      <c r="I40" s="324"/>
      <c r="J40" s="324"/>
      <c r="K40" s="324"/>
      <c r="L40" s="324"/>
      <c r="M40" s="324"/>
      <c r="N40" s="324"/>
      <c r="O40" s="324"/>
      <c r="P40" s="324"/>
      <c r="Q40" s="324"/>
      <c r="R40" s="324"/>
      <c r="S40" s="324"/>
      <c r="T40" s="324"/>
      <c r="U40" s="324"/>
      <c r="V40" s="324"/>
      <c r="W40" s="324"/>
      <c r="X40" s="266"/>
    </row>
    <row r="41" spans="3:24" ht="12" customHeight="1">
      <c r="C41" s="315"/>
      <c r="D41" s="314" t="s">
        <v>659</v>
      </c>
      <c r="E41" s="297"/>
      <c r="F41" s="297"/>
      <c r="G41" s="297"/>
      <c r="H41" s="297"/>
      <c r="I41" s="297"/>
      <c r="J41" s="297"/>
      <c r="K41" s="297"/>
      <c r="L41" s="297"/>
      <c r="M41" s="297"/>
      <c r="N41" s="297"/>
      <c r="O41" s="297"/>
      <c r="P41" s="297"/>
      <c r="Q41" s="297"/>
      <c r="R41" s="297"/>
      <c r="S41" s="297"/>
      <c r="T41" s="297"/>
      <c r="U41" s="297"/>
      <c r="V41" s="297"/>
      <c r="W41" s="297"/>
      <c r="X41" s="266"/>
    </row>
    <row r="42" spans="3:24" ht="3.75" customHeight="1">
      <c r="C42" s="166"/>
      <c r="D42" s="308"/>
      <c r="E42" s="168"/>
      <c r="F42" s="168"/>
      <c r="G42" s="168"/>
      <c r="H42" s="325"/>
      <c r="I42" s="325"/>
      <c r="J42" s="325"/>
      <c r="K42" s="325"/>
      <c r="L42" s="325"/>
      <c r="M42" s="325"/>
      <c r="N42" s="325"/>
      <c r="O42" s="325"/>
      <c r="P42" s="325"/>
      <c r="Q42" s="325"/>
      <c r="R42" s="325"/>
      <c r="S42" s="325"/>
      <c r="T42" s="325"/>
      <c r="U42" s="325"/>
      <c r="V42" s="325"/>
      <c r="W42" s="325"/>
    </row>
    <row r="43" spans="3:24" s="273" customFormat="1" ht="18.75" customHeight="1">
      <c r="C43" s="273" t="s">
        <v>670</v>
      </c>
      <c r="D43" s="129"/>
      <c r="E43" s="326"/>
      <c r="F43" s="326"/>
      <c r="G43" s="326"/>
      <c r="H43" s="326"/>
      <c r="I43" s="326"/>
      <c r="J43" s="326"/>
      <c r="K43" s="326"/>
      <c r="L43" s="326"/>
      <c r="M43" s="326"/>
      <c r="N43" s="326"/>
      <c r="O43" s="326"/>
      <c r="P43" s="326"/>
      <c r="Q43" s="326"/>
      <c r="R43" s="326"/>
      <c r="S43" s="326"/>
      <c r="T43" s="326"/>
      <c r="U43" s="326"/>
      <c r="V43" s="326"/>
      <c r="W43" s="326"/>
    </row>
    <row r="44" spans="3:24" ht="9.75" customHeight="1">
      <c r="D44" s="201"/>
      <c r="E44" s="326"/>
      <c r="F44" s="326"/>
      <c r="G44" s="326"/>
      <c r="H44" s="326"/>
      <c r="I44" s="326"/>
      <c r="J44" s="326"/>
      <c r="K44" s="326"/>
      <c r="L44" s="326"/>
      <c r="M44" s="326"/>
      <c r="N44" s="326"/>
      <c r="O44" s="326"/>
      <c r="P44" s="326"/>
      <c r="Q44" s="326"/>
      <c r="R44" s="326"/>
      <c r="S44" s="326"/>
      <c r="T44" s="326"/>
      <c r="U44" s="326"/>
      <c r="V44" s="326"/>
      <c r="W44" s="326"/>
    </row>
    <row r="45" spans="3:24" ht="16.5" customHeight="1">
      <c r="C45" s="247" t="s">
        <v>671</v>
      </c>
      <c r="D45" s="201"/>
      <c r="E45" s="326"/>
      <c r="F45" s="326"/>
      <c r="G45" s="327"/>
      <c r="H45" s="326"/>
      <c r="I45" s="326"/>
      <c r="J45" s="326"/>
      <c r="K45" s="326">
        <f>COLUMN()</f>
        <v>11</v>
      </c>
      <c r="L45" s="326"/>
      <c r="M45" s="326"/>
      <c r="N45" s="326"/>
      <c r="O45" s="326"/>
      <c r="P45" s="326"/>
      <c r="Q45" s="326"/>
      <c r="R45" s="326"/>
      <c r="S45" s="326"/>
      <c r="T45" s="326"/>
    </row>
    <row r="46" spans="3:24">
      <c r="C46" s="247" t="s">
        <v>672</v>
      </c>
      <c r="D46" s="201">
        <v>1</v>
      </c>
      <c r="E46" s="211">
        <v>2</v>
      </c>
      <c r="F46" s="211">
        <v>3</v>
      </c>
      <c r="G46" s="211">
        <v>4</v>
      </c>
      <c r="H46" s="211">
        <v>5</v>
      </c>
      <c r="I46" s="211">
        <v>6</v>
      </c>
      <c r="J46" s="211">
        <v>7</v>
      </c>
      <c r="K46" s="211">
        <v>8</v>
      </c>
      <c r="L46" s="211">
        <v>9</v>
      </c>
      <c r="M46" s="211">
        <v>10</v>
      </c>
      <c r="N46" s="211">
        <v>11</v>
      </c>
      <c r="O46" s="211">
        <v>12</v>
      </c>
      <c r="P46" s="211">
        <v>13</v>
      </c>
      <c r="Q46" s="328"/>
      <c r="R46" s="328"/>
      <c r="S46" s="328"/>
      <c r="T46" s="328"/>
    </row>
    <row r="47" spans="3:24">
      <c r="C47" s="117"/>
      <c r="D47" s="329" t="s">
        <v>673</v>
      </c>
      <c r="E47" s="212"/>
      <c r="F47" s="212">
        <v>4.6438208351583334</v>
      </c>
      <c r="G47" s="119">
        <v>3.8148497533999994</v>
      </c>
      <c r="H47" s="119">
        <v>4.0711931438999995</v>
      </c>
      <c r="I47" s="119">
        <v>3.7957195556000003</v>
      </c>
      <c r="J47" s="119">
        <v>4.5143639364999997</v>
      </c>
      <c r="K47" s="119">
        <v>3.528389727</v>
      </c>
      <c r="L47" s="119">
        <v>3.4061431249999998</v>
      </c>
      <c r="M47" s="119">
        <v>4.0479479182000002</v>
      </c>
      <c r="N47" s="119">
        <v>3.9563919759999999</v>
      </c>
      <c r="O47" s="119">
        <v>4.5528386685999997</v>
      </c>
      <c r="P47" s="119">
        <v>3.8158048845000003</v>
      </c>
      <c r="Q47" s="119">
        <v>2.9535108210000001</v>
      </c>
      <c r="R47" s="119">
        <v>3.5759255720000001</v>
      </c>
      <c r="S47" s="119">
        <v>2.9779531139000004</v>
      </c>
      <c r="T47" s="119">
        <v>3.6571238566999997</v>
      </c>
    </row>
    <row r="48" spans="3:24">
      <c r="D48" s="329" t="s">
        <v>674</v>
      </c>
      <c r="G48" s="331"/>
      <c r="H48" s="331"/>
      <c r="I48" s="331"/>
      <c r="J48" s="331"/>
      <c r="K48" s="331"/>
      <c r="L48" s="331"/>
      <c r="M48" s="331"/>
      <c r="N48" s="331"/>
      <c r="O48" s="331"/>
      <c r="P48" s="331"/>
      <c r="Q48" s="331"/>
      <c r="R48" s="331"/>
      <c r="S48" s="331"/>
      <c r="T48" s="331"/>
    </row>
    <row r="49" spans="2:24">
      <c r="D49" s="201"/>
    </row>
    <row r="50" spans="2:24">
      <c r="C50" s="273" t="s">
        <v>675</v>
      </c>
      <c r="D50" s="129" t="s">
        <v>676</v>
      </c>
      <c r="E50" s="273" t="s">
        <v>677</v>
      </c>
      <c r="F50" s="273" t="s">
        <v>678</v>
      </c>
      <c r="G50" s="273" t="s">
        <v>679</v>
      </c>
      <c r="H50" s="273">
        <v>1</v>
      </c>
      <c r="I50" s="273">
        <v>2</v>
      </c>
      <c r="J50" s="273">
        <v>3</v>
      </c>
      <c r="K50" s="273">
        <v>4</v>
      </c>
      <c r="L50" s="273">
        <v>5</v>
      </c>
      <c r="M50" s="273">
        <v>6</v>
      </c>
      <c r="N50" s="273">
        <v>7</v>
      </c>
      <c r="O50" s="273">
        <v>8</v>
      </c>
      <c r="P50" s="273">
        <v>9</v>
      </c>
      <c r="Q50" s="273">
        <v>10</v>
      </c>
      <c r="R50" s="273">
        <v>11</v>
      </c>
      <c r="S50" s="273">
        <v>12</v>
      </c>
    </row>
    <row r="51" spans="2:24">
      <c r="B51" s="247" t="s">
        <v>680</v>
      </c>
      <c r="C51" s="273" t="s">
        <v>681</v>
      </c>
      <c r="D51" s="129" t="s">
        <v>682</v>
      </c>
      <c r="E51" s="273">
        <v>201200</v>
      </c>
      <c r="F51" s="273">
        <v>201300</v>
      </c>
      <c r="G51" s="273">
        <v>201400</v>
      </c>
      <c r="H51" s="333">
        <v>201406</v>
      </c>
      <c r="I51" s="333">
        <v>201407</v>
      </c>
      <c r="J51" s="333">
        <v>201408</v>
      </c>
      <c r="K51" s="333">
        <v>201409</v>
      </c>
      <c r="L51" s="333">
        <v>201410</v>
      </c>
      <c r="M51" s="333">
        <v>201411</v>
      </c>
      <c r="N51" s="333">
        <v>201412</v>
      </c>
      <c r="O51" s="333">
        <v>201501</v>
      </c>
      <c r="P51" s="333">
        <v>201502</v>
      </c>
      <c r="Q51" s="333">
        <v>201503</v>
      </c>
      <c r="R51" s="333">
        <v>201504</v>
      </c>
      <c r="S51" s="333">
        <v>201505</v>
      </c>
      <c r="T51" s="334">
        <v>201506</v>
      </c>
      <c r="U51" s="247">
        <v>201507</v>
      </c>
      <c r="V51" s="247">
        <v>201508</v>
      </c>
      <c r="W51" s="247">
        <v>201509</v>
      </c>
    </row>
    <row r="52" spans="2:24">
      <c r="B52" s="247" t="s">
        <v>683</v>
      </c>
      <c r="C52" s="273"/>
      <c r="D52" s="129" t="s">
        <v>684</v>
      </c>
      <c r="E52" s="273">
        <v>36.387952392608597</v>
      </c>
      <c r="F52" s="273">
        <v>41.6274778838945</v>
      </c>
      <c r="G52" s="273">
        <v>34.654428915394497</v>
      </c>
      <c r="H52" s="333">
        <v>4.06820202900757</v>
      </c>
      <c r="I52" s="333">
        <v>1.1317157640966899</v>
      </c>
      <c r="J52" s="333">
        <v>1.3938232682281999</v>
      </c>
      <c r="K52" s="333">
        <v>2.2393437066088699</v>
      </c>
      <c r="L52" s="333">
        <v>1.43916215009587</v>
      </c>
      <c r="M52" s="333">
        <v>11.411877442452701</v>
      </c>
      <c r="N52" s="333">
        <v>1.3782320985879499</v>
      </c>
      <c r="O52" s="333">
        <v>0.81334430697293603</v>
      </c>
      <c r="P52" s="333">
        <v>2.04560831852202</v>
      </c>
      <c r="Q52" s="333">
        <v>3.0303997415270101</v>
      </c>
      <c r="R52" s="333">
        <v>2.6529181802065902</v>
      </c>
      <c r="S52" s="333">
        <v>5.0609958266640396</v>
      </c>
      <c r="T52" s="334">
        <v>5.2751045848846996</v>
      </c>
      <c r="U52" s="247">
        <v>2.4771000227329001</v>
      </c>
      <c r="V52" s="247">
        <v>6.1661324781903701</v>
      </c>
      <c r="W52" s="247">
        <v>1.97078152984167</v>
      </c>
      <c r="X52" s="247">
        <v>29.492384989542199</v>
      </c>
    </row>
    <row r="53" spans="2:24" ht="14.25" customHeight="1">
      <c r="B53" s="247" t="s">
        <v>683</v>
      </c>
      <c r="C53" s="273"/>
      <c r="D53" s="129" t="s">
        <v>685</v>
      </c>
      <c r="E53" s="273">
        <v>37.653950368929998</v>
      </c>
      <c r="F53" s="273">
        <v>48.4799781314534</v>
      </c>
      <c r="G53" s="273">
        <v>44.826792890687699</v>
      </c>
      <c r="H53" s="333">
        <v>6.4959255179500097</v>
      </c>
      <c r="I53" s="333">
        <v>1.5731939874276399</v>
      </c>
      <c r="J53" s="333">
        <v>2.6657815926835999</v>
      </c>
      <c r="K53" s="335">
        <v>10.3584631762022</v>
      </c>
      <c r="L53" s="333">
        <v>13.827683989587401</v>
      </c>
      <c r="M53" s="333">
        <v>2.98360393295884</v>
      </c>
      <c r="N53" s="333">
        <v>2.8508612976243701</v>
      </c>
      <c r="O53" s="333">
        <v>0.71862482371136804</v>
      </c>
      <c r="P53" s="333">
        <v>0.68672260858332901</v>
      </c>
      <c r="Q53" s="333">
        <v>3.7740411148134498</v>
      </c>
      <c r="R53" s="333">
        <v>0.37861985854718</v>
      </c>
      <c r="S53" s="333">
        <v>2.4143296478157699</v>
      </c>
      <c r="T53" s="334">
        <v>1.9106423347430399</v>
      </c>
      <c r="U53" s="247">
        <v>0</v>
      </c>
      <c r="V53" s="247">
        <v>0.241894857914356</v>
      </c>
      <c r="W53" s="247">
        <v>2.66799752114049</v>
      </c>
      <c r="X53" s="247">
        <v>12.792872767268999</v>
      </c>
    </row>
    <row r="54" spans="2:24" ht="14.25" customHeight="1">
      <c r="B54" s="247" t="s">
        <v>683</v>
      </c>
      <c r="C54" s="273"/>
      <c r="D54" s="129" t="s">
        <v>686</v>
      </c>
      <c r="E54" s="273">
        <v>41.235167990930599</v>
      </c>
      <c r="F54" s="273">
        <v>13.943321262602201</v>
      </c>
      <c r="G54" s="273">
        <v>9.8808585953621098</v>
      </c>
      <c r="H54" s="333">
        <v>1.8479091738642801</v>
      </c>
      <c r="I54" s="333">
        <v>1.0733304921326099</v>
      </c>
      <c r="J54" s="333">
        <v>0</v>
      </c>
      <c r="K54" s="333">
        <v>1.8186721366921701</v>
      </c>
      <c r="L54" s="333">
        <v>0.236944693504793</v>
      </c>
      <c r="M54" s="333">
        <v>1.98015234252751</v>
      </c>
      <c r="N54" s="333">
        <v>1.7810646924636699</v>
      </c>
      <c r="O54" s="333">
        <v>1.43245641505842</v>
      </c>
      <c r="P54" s="333">
        <v>0.19187097334169401</v>
      </c>
      <c r="Q54" s="333">
        <v>0.15707265562605499</v>
      </c>
      <c r="R54" s="333">
        <v>0</v>
      </c>
      <c r="S54" s="333">
        <v>0</v>
      </c>
      <c r="T54" s="334">
        <v>9.5165218415268094E-2</v>
      </c>
      <c r="U54" s="247">
        <v>1.5943936991846499</v>
      </c>
      <c r="V54" s="247">
        <v>0.33561435893367703</v>
      </c>
      <c r="W54" s="247">
        <v>0</v>
      </c>
      <c r="X54" s="247">
        <v>3.8065733205597598</v>
      </c>
    </row>
    <row r="55" spans="2:24" ht="14.25" customHeight="1">
      <c r="B55" s="247" t="s">
        <v>683</v>
      </c>
      <c r="C55" s="273"/>
      <c r="D55" s="129" t="s">
        <v>686</v>
      </c>
      <c r="E55" s="273">
        <v>4.1371380347438897</v>
      </c>
      <c r="F55" s="273">
        <v>13.0369665490046</v>
      </c>
      <c r="G55" s="273">
        <v>1.2225777862996401</v>
      </c>
      <c r="H55" s="333">
        <v>4.8175672847213899E-2</v>
      </c>
      <c r="I55" s="333">
        <v>0</v>
      </c>
      <c r="J55" s="333">
        <v>0.55706426155256605</v>
      </c>
      <c r="K55" s="333">
        <v>0</v>
      </c>
      <c r="L55" s="333">
        <v>5.6444531526963299E-2</v>
      </c>
      <c r="M55" s="333">
        <v>8.3463752412214695E-2</v>
      </c>
      <c r="N55" s="333">
        <v>0.47742956796068098</v>
      </c>
      <c r="O55" s="333">
        <v>0</v>
      </c>
      <c r="P55" s="333">
        <v>-9.8095090370050003E-4</v>
      </c>
      <c r="Q55" s="333">
        <v>0.17955680153926901</v>
      </c>
      <c r="R55" s="333">
        <v>0</v>
      </c>
      <c r="S55" s="333">
        <v>0</v>
      </c>
      <c r="T55" s="334">
        <v>-1.90676809881602E-4</v>
      </c>
      <c r="U55" s="247">
        <v>0</v>
      </c>
      <c r="V55" s="247">
        <v>0.558294847526277</v>
      </c>
      <c r="W55" s="247">
        <v>0</v>
      </c>
      <c r="X55" s="247">
        <v>0.73668002135196398</v>
      </c>
    </row>
    <row r="56" spans="2:24" ht="14.25" customHeight="1">
      <c r="B56" s="247" t="s">
        <v>683</v>
      </c>
      <c r="C56" s="273"/>
      <c r="D56" s="129" t="s">
        <v>686</v>
      </c>
      <c r="E56" s="273">
        <v>8.7266247118748801</v>
      </c>
      <c r="F56" s="273">
        <v>1.0145279061715</v>
      </c>
      <c r="G56" s="273">
        <v>5.2488624660388696</v>
      </c>
      <c r="H56" s="333">
        <v>-0.22114302948502201</v>
      </c>
      <c r="I56" s="333">
        <v>-5.4980808635538801E-2</v>
      </c>
      <c r="J56" s="333">
        <v>1.44694279603011</v>
      </c>
      <c r="K56" s="333">
        <v>0.48109613738269202</v>
      </c>
      <c r="L56" s="333">
        <v>-0.30468528443908499</v>
      </c>
      <c r="M56" s="333">
        <v>-1.69154352094E-2</v>
      </c>
      <c r="N56" s="333">
        <v>3.6187095291828602</v>
      </c>
      <c r="O56" s="333">
        <v>5.5824095379512099E-2</v>
      </c>
      <c r="P56" s="333">
        <v>-0.71980768161975495</v>
      </c>
      <c r="Q56" s="333">
        <v>0.31596118019351399</v>
      </c>
      <c r="R56" s="333">
        <v>5.2655112512333901E-2</v>
      </c>
      <c r="S56" s="333">
        <v>0.29873300926402402</v>
      </c>
      <c r="T56" s="334">
        <v>-1.00998473055361E-2</v>
      </c>
      <c r="U56" s="247">
        <v>-1.2048865531589001E-2</v>
      </c>
      <c r="V56" s="247">
        <v>-5.5295403267168102E-3</v>
      </c>
      <c r="W56" s="247">
        <v>2.1249861489165401E-2</v>
      </c>
      <c r="X56" s="247">
        <v>-3.0626759450475501E-3</v>
      </c>
    </row>
    <row r="57" spans="2:24" ht="14.25" customHeight="1">
      <c r="B57" s="247" t="s">
        <v>687</v>
      </c>
      <c r="D57" s="129" t="s">
        <v>688</v>
      </c>
      <c r="E57" s="247">
        <v>0.19413749153822199</v>
      </c>
      <c r="F57" s="330">
        <v>0.22070824851547099</v>
      </c>
      <c r="G57" s="332">
        <v>0.20723412892295201</v>
      </c>
      <c r="H57" s="336">
        <v>0.22592532273119101</v>
      </c>
      <c r="I57" s="336">
        <v>0.12694131820093901</v>
      </c>
      <c r="J57" s="336">
        <v>0.173852842678105</v>
      </c>
      <c r="K57" s="336">
        <v>0.13231520068913399</v>
      </c>
      <c r="L57" s="336">
        <v>5.4002455796332102E-2</v>
      </c>
      <c r="M57" s="336">
        <v>0.486422343571001</v>
      </c>
      <c r="N57" s="336">
        <v>0.114026294549202</v>
      </c>
      <c r="O57" s="336">
        <v>8.43287149423049E-2</v>
      </c>
      <c r="P57" s="336">
        <v>0.33317678357286001</v>
      </c>
      <c r="Q57" s="336">
        <v>0.246989621432428</v>
      </c>
      <c r="R57" s="336">
        <v>0.23076824000742199</v>
      </c>
      <c r="S57" s="336">
        <v>0.40853688984308401</v>
      </c>
      <c r="T57" s="337">
        <v>0.53791803706018704</v>
      </c>
      <c r="U57" s="247">
        <v>0.225202851518569</v>
      </c>
      <c r="V57" s="247">
        <v>0.56887708575554397</v>
      </c>
      <c r="W57" s="247">
        <v>0.21223485605517001</v>
      </c>
      <c r="X57" s="247">
        <v>0.31756966700926698</v>
      </c>
    </row>
    <row r="58" spans="2:24" ht="14.25" customHeight="1">
      <c r="B58" s="247" t="s">
        <v>687</v>
      </c>
      <c r="D58" s="129" t="s">
        <v>689</v>
      </c>
      <c r="E58" s="247">
        <v>0.20089186091750699</v>
      </c>
      <c r="F58" s="330">
        <v>0.25704009960212298</v>
      </c>
      <c r="G58" s="332">
        <v>0.26806505453577201</v>
      </c>
      <c r="H58" s="336">
        <v>0.360747587906457</v>
      </c>
      <c r="I58" s="336">
        <v>0.17646066696725199</v>
      </c>
      <c r="J58" s="336">
        <v>0.33250536019257398</v>
      </c>
      <c r="K58" s="331">
        <v>0.61204634641178801</v>
      </c>
      <c r="L58" s="331">
        <v>0.51886362725951296</v>
      </c>
      <c r="M58" s="331">
        <v>0.127173782287446</v>
      </c>
      <c r="N58" s="331">
        <v>0.235862414157156</v>
      </c>
      <c r="O58" s="331">
        <v>7.4508061825330402E-2</v>
      </c>
      <c r="P58" s="331">
        <v>0.111849383805727</v>
      </c>
      <c r="Q58" s="331">
        <v>0.30759934850987197</v>
      </c>
      <c r="R58" s="331">
        <v>3.2934840976508402E-2</v>
      </c>
      <c r="S58" s="331">
        <v>0.194891037091558</v>
      </c>
      <c r="T58" s="337">
        <v>0.194833857355936</v>
      </c>
      <c r="U58" s="247">
        <v>0</v>
      </c>
      <c r="V58" s="247">
        <v>2.2316815656538602E-2</v>
      </c>
      <c r="W58" s="247">
        <v>0.28731853900634702</v>
      </c>
      <c r="X58" s="247">
        <v>0.13775177376241701</v>
      </c>
    </row>
    <row r="59" spans="2:24" ht="14.25" customHeight="1">
      <c r="B59" s="247" t="s">
        <v>687</v>
      </c>
      <c r="D59" s="129" t="s">
        <v>686</v>
      </c>
      <c r="E59" s="247">
        <v>0.21999842119565299</v>
      </c>
      <c r="F59" s="330">
        <v>7.3927275222890401E-2</v>
      </c>
      <c r="G59" s="332">
        <v>5.9087718023571503E-2</v>
      </c>
      <c r="H59" s="332">
        <v>0.10262260170620401</v>
      </c>
      <c r="I59" s="332">
        <v>0.120392409347878</v>
      </c>
      <c r="J59" s="332">
        <v>0</v>
      </c>
      <c r="K59" s="332">
        <v>0.10745914887651099</v>
      </c>
      <c r="L59" s="332">
        <v>8.8910032384576405E-3</v>
      </c>
      <c r="M59" s="332">
        <v>8.4402443676509106E-2</v>
      </c>
      <c r="N59" s="332">
        <v>0.14735414117993501</v>
      </c>
      <c r="O59" s="332">
        <v>0.14851915438163499</v>
      </c>
      <c r="P59" s="332">
        <v>3.12508280202769E-2</v>
      </c>
      <c r="Q59" s="332">
        <v>1.2802045624157999E-2</v>
      </c>
      <c r="R59" s="332">
        <v>0</v>
      </c>
      <c r="S59" s="332">
        <v>0</v>
      </c>
      <c r="T59" s="332">
        <v>9.7042791593228497E-3</v>
      </c>
      <c r="U59" s="247">
        <v>0.14495256719729999</v>
      </c>
      <c r="V59" s="247">
        <v>3.09632203205496E-2</v>
      </c>
      <c r="W59" s="247">
        <v>0</v>
      </c>
      <c r="X59" s="247">
        <v>4.0988622055665398E-2</v>
      </c>
    </row>
    <row r="60" spans="2:24" ht="14.25" customHeight="1">
      <c r="B60" s="247" t="s">
        <v>687</v>
      </c>
      <c r="D60" s="129" t="s">
        <v>686</v>
      </c>
      <c r="E60" s="247">
        <v>2.2072514318659399E-2</v>
      </c>
      <c r="F60" s="330">
        <v>6.9121796449234899E-2</v>
      </c>
      <c r="G60" s="332">
        <v>7.3110378821394199E-3</v>
      </c>
      <c r="H60" s="332">
        <v>2.6754090279174801E-3</v>
      </c>
      <c r="I60" s="332">
        <v>0</v>
      </c>
      <c r="J60" s="332">
        <v>6.9483131493709993E-2</v>
      </c>
      <c r="K60" s="332">
        <v>0</v>
      </c>
      <c r="L60" s="332">
        <v>2.1179985302743399E-3</v>
      </c>
      <c r="M60" s="332">
        <v>3.55757711702638E-3</v>
      </c>
      <c r="N60" s="332">
        <v>3.9499533205298497E-2</v>
      </c>
      <c r="O60" s="332">
        <v>0</v>
      </c>
      <c r="P60" s="332">
        <v>-1.5977157698203001E-4</v>
      </c>
      <c r="Q60" s="332">
        <v>1.46345928657764E-2</v>
      </c>
      <c r="R60" s="332">
        <v>0</v>
      </c>
      <c r="S60" s="332">
        <v>0</v>
      </c>
      <c r="T60" s="332">
        <v>-1.94438790044675E-5</v>
      </c>
      <c r="U60" s="247">
        <v>0</v>
      </c>
      <c r="V60" s="247">
        <v>5.1507350349094899E-2</v>
      </c>
      <c r="W60" s="247">
        <v>0</v>
      </c>
      <c r="X60" s="247">
        <v>7.9324621984989997E-3</v>
      </c>
    </row>
    <row r="61" spans="2:24" ht="14.25" customHeight="1">
      <c r="B61" s="247" t="s">
        <v>687</v>
      </c>
      <c r="D61" s="129" t="s">
        <v>686</v>
      </c>
      <c r="E61" s="247">
        <v>4.6558405179814001E-2</v>
      </c>
      <c r="F61" s="330">
        <v>5.3790113795919104E-3</v>
      </c>
      <c r="G61" s="332">
        <v>3.1388295090407199E-2</v>
      </c>
      <c r="H61" s="332">
        <v>-1.22810543699436E-2</v>
      </c>
      <c r="I61" s="332">
        <v>-6.1670399453343299E-3</v>
      </c>
      <c r="J61" s="332">
        <v>0.180478489645399</v>
      </c>
      <c r="K61" s="332">
        <v>2.8426333921269899E-2</v>
      </c>
      <c r="L61" s="332">
        <v>-1.143286988448E-2</v>
      </c>
      <c r="M61" s="332">
        <v>-7.2100718558990701E-4</v>
      </c>
      <c r="N61" s="332">
        <v>0.29938936924003101</v>
      </c>
      <c r="O61" s="332">
        <v>5.78792300605303E-3</v>
      </c>
      <c r="P61" s="332">
        <v>-0.11723808804531199</v>
      </c>
      <c r="Q61" s="332">
        <v>2.57520917831176E-2</v>
      </c>
      <c r="R61" s="332">
        <v>4.5802873727971002E-3</v>
      </c>
      <c r="S61" s="332">
        <v>2.4114513956956699E-2</v>
      </c>
      <c r="T61" s="332">
        <v>-1.02991134105076E-3</v>
      </c>
      <c r="U61" s="247">
        <v>-1.0954094910887E-3</v>
      </c>
      <c r="V61" s="247">
        <v>-5.1014615689113296E-4</v>
      </c>
      <c r="W61" s="247">
        <v>2.2884126048754098E-3</v>
      </c>
      <c r="X61" s="247">
        <v>-3.2978444448318597E-5</v>
      </c>
    </row>
    <row r="62" spans="2:24" ht="14.25" customHeight="1"/>
    <row r="63" spans="2:24" ht="14.25" customHeight="1"/>
    <row r="64" spans="2:24" ht="14.25" customHeight="1"/>
    <row r="65" ht="14.25" customHeight="1"/>
    <row r="66" ht="14.25" customHeight="1"/>
    <row r="67" ht="14.25" customHeight="1"/>
  </sheetData>
  <phoneticPr fontId="2" type="noConversion"/>
  <conditionalFormatting sqref="E27:W41 V20:W20 U6:W6">
    <cfRule type="expression" dxfId="1" priority="1" stopIfTrue="1">
      <formula>E6=""</formula>
    </cfRule>
  </conditionalFormatting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G56"/>
  <sheetViews>
    <sheetView showGridLines="0" tabSelected="1" zoomScale="85" zoomScaleNormal="85" workbookViewId="0">
      <pane xSplit="10" ySplit="9" topLeftCell="K10" activePane="bottomRight" state="frozen"/>
      <selection pane="topRight" activeCell="K1" sqref="K1"/>
      <selection pane="bottomLeft" activeCell="A10" sqref="A10"/>
      <selection pane="bottomRight" activeCell="O34" sqref="O34"/>
    </sheetView>
  </sheetViews>
  <sheetFormatPr defaultRowHeight="17.25" customHeight="1"/>
  <cols>
    <col min="1" max="1" width="10.5" style="64" customWidth="1"/>
    <col min="2" max="2" width="4.625" style="64" customWidth="1"/>
    <col min="3" max="3" width="5.5" style="64" customWidth="1"/>
    <col min="4" max="4" width="4.5" style="64" customWidth="1"/>
    <col min="5" max="5" width="11.375" style="64" customWidth="1"/>
    <col min="6" max="6" width="8.875" style="64" customWidth="1"/>
    <col min="7" max="7" width="4.875" style="64" customWidth="1"/>
    <col min="8" max="8" width="2.375" style="64" customWidth="1"/>
    <col min="9" max="9" width="7.625" style="64" customWidth="1"/>
    <col min="10" max="10" width="17.5" style="63" customWidth="1"/>
    <col min="11" max="11" width="8.25" style="64" customWidth="1"/>
    <col min="12" max="12" width="8.375" style="64" customWidth="1"/>
    <col min="13" max="13" width="8.875" style="64" customWidth="1"/>
    <col min="14" max="15" width="8.375" style="64" customWidth="1"/>
    <col min="16" max="16" width="6.5" style="64" customWidth="1"/>
    <col min="17" max="24" width="8.375" style="64" customWidth="1"/>
    <col min="25" max="25" width="9.625" style="64" customWidth="1"/>
    <col min="26" max="26" width="7" style="64" customWidth="1"/>
    <col min="27" max="28" width="8.375" style="64" customWidth="1"/>
    <col min="29" max="29" width="9.5" style="64" bestFit="1" customWidth="1"/>
    <col min="30" max="30" width="11.625" style="64" customWidth="1"/>
    <col min="31" max="16384" width="9" style="64"/>
  </cols>
  <sheetData>
    <row r="1" spans="1:31" ht="15" customHeight="1">
      <c r="K1" s="42"/>
      <c r="L1" s="42"/>
      <c r="M1" s="42"/>
      <c r="N1" s="43">
        <v>15</v>
      </c>
      <c r="O1" s="43">
        <v>14</v>
      </c>
      <c r="P1" s="43">
        <v>13</v>
      </c>
      <c r="Q1" s="43">
        <v>12</v>
      </c>
      <c r="R1" s="43">
        <v>11</v>
      </c>
      <c r="S1" s="43">
        <v>10</v>
      </c>
      <c r="T1" s="43">
        <v>9</v>
      </c>
      <c r="U1" s="43">
        <v>8</v>
      </c>
      <c r="V1" s="43">
        <v>7</v>
      </c>
      <c r="W1" s="43">
        <v>6</v>
      </c>
      <c r="X1" s="43">
        <v>5</v>
      </c>
      <c r="Y1" s="43">
        <v>4</v>
      </c>
      <c r="Z1" s="43">
        <v>3</v>
      </c>
      <c r="AA1" s="43">
        <v>2</v>
      </c>
      <c r="AB1" s="43">
        <v>1</v>
      </c>
      <c r="AC1" s="43">
        <v>0</v>
      </c>
      <c r="AD1" s="43">
        <v>0</v>
      </c>
    </row>
    <row r="2" spans="1:31" ht="15" customHeight="1">
      <c r="J2" s="92" t="s">
        <v>169</v>
      </c>
      <c r="K2" s="42" t="str">
        <f>LEFT(N_YYYYMM,4)-3 &amp; "연간"</f>
        <v>2012연간</v>
      </c>
      <c r="L2" s="42" t="str">
        <f>LEFT(N_YYYYMM,4)-2 &amp; "연간"</f>
        <v>2013연간</v>
      </c>
      <c r="M2" s="42" t="str">
        <f>LEFT(N_YYYYMM,4)-1 &amp; "연간"</f>
        <v>2014연간</v>
      </c>
      <c r="N2" s="43" t="str">
        <f t="shared" ref="N2:AD2" si="0">TEXT(DATE(LEFT(N_YYYYMM,4),RIGHT(N_YYYYMM,2)-N$1,1),"YYYYMM")</f>
        <v>201407</v>
      </c>
      <c r="O2" s="43" t="str">
        <f t="shared" si="0"/>
        <v>201408</v>
      </c>
      <c r="P2" s="43" t="str">
        <f t="shared" si="0"/>
        <v>201409</v>
      </c>
      <c r="Q2" s="43" t="str">
        <f t="shared" si="0"/>
        <v>201410</v>
      </c>
      <c r="R2" s="43" t="str">
        <f t="shared" si="0"/>
        <v>201411</v>
      </c>
      <c r="S2" s="43" t="str">
        <f t="shared" si="0"/>
        <v>201412</v>
      </c>
      <c r="T2" s="43" t="str">
        <f t="shared" si="0"/>
        <v>201501</v>
      </c>
      <c r="U2" s="43" t="str">
        <f t="shared" si="0"/>
        <v>201502</v>
      </c>
      <c r="V2" s="43" t="str">
        <f t="shared" si="0"/>
        <v>201503</v>
      </c>
      <c r="W2" s="43" t="str">
        <f t="shared" si="0"/>
        <v>201504</v>
      </c>
      <c r="X2" s="43" t="str">
        <f t="shared" si="0"/>
        <v>201505</v>
      </c>
      <c r="Y2" s="43" t="str">
        <f t="shared" si="0"/>
        <v>201506</v>
      </c>
      <c r="Z2" s="43" t="str">
        <f t="shared" si="0"/>
        <v>201507</v>
      </c>
      <c r="AA2" s="43" t="str">
        <f t="shared" si="0"/>
        <v>201508</v>
      </c>
      <c r="AB2" s="43" t="str">
        <f t="shared" si="0"/>
        <v>201509</v>
      </c>
      <c r="AC2" s="43" t="str">
        <f t="shared" si="0"/>
        <v>201510</v>
      </c>
      <c r="AD2" s="43" t="str">
        <f>AC2&amp;"누계"</f>
        <v>201510누계</v>
      </c>
    </row>
    <row r="3" spans="1:31" ht="15" customHeight="1">
      <c r="J3" s="92" t="s">
        <v>301</v>
      </c>
      <c r="K3" s="42" t="str">
        <f>MID(K$2,1,4)</f>
        <v>2012</v>
      </c>
      <c r="L3" s="42" t="str">
        <f t="shared" ref="L3:AD3" si="1">MID(L$2,1,4)</f>
        <v>2013</v>
      </c>
      <c r="M3" s="42" t="str">
        <f t="shared" si="1"/>
        <v>2014</v>
      </c>
      <c r="N3" s="42" t="str">
        <f t="shared" si="1"/>
        <v>2014</v>
      </c>
      <c r="O3" s="42" t="str">
        <f t="shared" si="1"/>
        <v>2014</v>
      </c>
      <c r="P3" s="42" t="str">
        <f t="shared" si="1"/>
        <v>2014</v>
      </c>
      <c r="Q3" s="42" t="str">
        <f t="shared" si="1"/>
        <v>2014</v>
      </c>
      <c r="R3" s="42" t="str">
        <f t="shared" si="1"/>
        <v>2014</v>
      </c>
      <c r="S3" s="42" t="str">
        <f t="shared" si="1"/>
        <v>2014</v>
      </c>
      <c r="T3" s="42" t="str">
        <f t="shared" si="1"/>
        <v>2015</v>
      </c>
      <c r="U3" s="42" t="str">
        <f t="shared" si="1"/>
        <v>2015</v>
      </c>
      <c r="V3" s="42" t="str">
        <f t="shared" si="1"/>
        <v>2015</v>
      </c>
      <c r="W3" s="42" t="str">
        <f t="shared" si="1"/>
        <v>2015</v>
      </c>
      <c r="X3" s="42" t="str">
        <f t="shared" si="1"/>
        <v>2015</v>
      </c>
      <c r="Y3" s="42" t="str">
        <f t="shared" si="1"/>
        <v>2015</v>
      </c>
      <c r="Z3" s="42" t="str">
        <f t="shared" si="1"/>
        <v>2015</v>
      </c>
      <c r="AA3" s="42" t="str">
        <f t="shared" si="1"/>
        <v>2015</v>
      </c>
      <c r="AB3" s="42" t="str">
        <f t="shared" si="1"/>
        <v>2015</v>
      </c>
      <c r="AC3" s="42" t="str">
        <f t="shared" si="1"/>
        <v>2015</v>
      </c>
      <c r="AD3" s="42" t="str">
        <f t="shared" si="1"/>
        <v>2015</v>
      </c>
    </row>
    <row r="4" spans="1:31" ht="15" customHeight="1">
      <c r="J4" s="92" t="s">
        <v>302</v>
      </c>
      <c r="K4" s="42"/>
      <c r="L4" s="42"/>
      <c r="M4" s="42"/>
      <c r="N4" s="42" t="str">
        <f>MID(N$2,5,2)</f>
        <v>07</v>
      </c>
      <c r="O4" s="42" t="str">
        <f t="shared" ref="O4:AD4" si="2">MID(O$2,5,2)</f>
        <v>08</v>
      </c>
      <c r="P4" s="42" t="str">
        <f t="shared" si="2"/>
        <v>09</v>
      </c>
      <c r="Q4" s="42" t="str">
        <f t="shared" si="2"/>
        <v>10</v>
      </c>
      <c r="R4" s="42" t="str">
        <f t="shared" si="2"/>
        <v>11</v>
      </c>
      <c r="S4" s="42" t="str">
        <f t="shared" si="2"/>
        <v>12</v>
      </c>
      <c r="T4" s="42" t="str">
        <f t="shared" si="2"/>
        <v>01</v>
      </c>
      <c r="U4" s="42" t="str">
        <f t="shared" si="2"/>
        <v>02</v>
      </c>
      <c r="V4" s="42" t="str">
        <f t="shared" si="2"/>
        <v>03</v>
      </c>
      <c r="W4" s="42" t="str">
        <f t="shared" si="2"/>
        <v>04</v>
      </c>
      <c r="X4" s="42" t="str">
        <f t="shared" si="2"/>
        <v>05</v>
      </c>
      <c r="Y4" s="42" t="str">
        <f t="shared" si="2"/>
        <v>06</v>
      </c>
      <c r="Z4" s="42" t="str">
        <f t="shared" si="2"/>
        <v>07</v>
      </c>
      <c r="AA4" s="42" t="str">
        <f t="shared" si="2"/>
        <v>08</v>
      </c>
      <c r="AB4" s="42" t="str">
        <f t="shared" si="2"/>
        <v>09</v>
      </c>
      <c r="AC4" s="42" t="str">
        <f t="shared" si="2"/>
        <v>10</v>
      </c>
      <c r="AD4" s="42" t="str">
        <f t="shared" si="2"/>
        <v>10</v>
      </c>
    </row>
    <row r="5" spans="1:31" ht="15" customHeight="1">
      <c r="K5" s="352">
        <f>SUMIF(DB_LIST!$A:$A,$A5&amp;K$3&amp;K$4,DB_LIST!$J:$J)/N_UNIT</f>
        <v>0</v>
      </c>
      <c r="AC5" s="42" t="str">
        <f>"Y" &amp; LEFT(AC2,4) &amp; CHOOSE(--RIGHT(AC2,2),"JAN","FEB","MAR","APR","MAY","JUN","JUL","AUG","SEP","OCT","NOV","DEC")</f>
        <v>Y2015OCT</v>
      </c>
    </row>
    <row r="6" spans="1:31" ht="15" customHeight="1">
      <c r="J6" s="88"/>
      <c r="K6" s="89"/>
      <c r="L6" s="89"/>
      <c r="M6" s="89"/>
      <c r="N6" s="89"/>
      <c r="O6" s="89"/>
      <c r="P6" s="89"/>
      <c r="Q6" s="89"/>
      <c r="R6" s="89"/>
      <c r="S6" s="89"/>
      <c r="T6" s="89"/>
      <c r="U6" s="90"/>
      <c r="V6" s="90"/>
      <c r="W6" s="90"/>
      <c r="X6" s="90"/>
    </row>
    <row r="7" spans="1:31" s="65" customFormat="1" ht="15" customHeight="1">
      <c r="H7" s="93"/>
      <c r="I7" s="340" t="s">
        <v>267</v>
      </c>
      <c r="J7" s="340"/>
      <c r="K7" s="225" t="str">
        <f>"'"&amp;MID(N_YYYYMM,3,2)-3&amp;IF(N_LANGUAGE="KO","년","")</f>
        <v>'12년</v>
      </c>
      <c r="L7" s="225" t="str">
        <f>"'"&amp;MID(N_YYYYMM,3,2)-2&amp;IF(N_LANGUAGE="KO","년","")</f>
        <v>'13년</v>
      </c>
      <c r="M7" s="225" t="str">
        <f>"'"&amp;MID(N_YYYYMM,3,2)-1&amp;IF(N_LANGUAGE="KO","년","")</f>
        <v>'14년</v>
      </c>
      <c r="N7" s="226" t="str">
        <f>"'"&amp;MID(N2,3,2)&amp;IF(N_LANGUAGE="KO","년","")</f>
        <v>'14년</v>
      </c>
      <c r="O7" s="226" t="str">
        <f t="shared" ref="O7:AC7" si="3">IF(MID(N2,3,2)&lt;&gt;MID(O2,3,2),"'"&amp;MID(O2,3,2)&amp;IF(N_LANGUAGE="KO","년",""),"")</f>
        <v/>
      </c>
      <c r="P7" s="226" t="str">
        <f t="shared" si="3"/>
        <v/>
      </c>
      <c r="Q7" s="226" t="str">
        <f t="shared" si="3"/>
        <v/>
      </c>
      <c r="R7" s="226" t="str">
        <f t="shared" si="3"/>
        <v/>
      </c>
      <c r="S7" s="226" t="str">
        <f t="shared" si="3"/>
        <v/>
      </c>
      <c r="T7" s="226" t="str">
        <f t="shared" si="3"/>
        <v>'15년</v>
      </c>
      <c r="U7" s="226" t="str">
        <f t="shared" si="3"/>
        <v/>
      </c>
      <c r="V7" s="226" t="str">
        <f t="shared" si="3"/>
        <v/>
      </c>
      <c r="W7" s="225" t="str">
        <f t="shared" si="3"/>
        <v/>
      </c>
      <c r="X7" s="226" t="str">
        <f t="shared" si="3"/>
        <v/>
      </c>
      <c r="Y7" s="226" t="str">
        <f t="shared" si="3"/>
        <v/>
      </c>
      <c r="Z7" s="226" t="str">
        <f t="shared" si="3"/>
        <v/>
      </c>
      <c r="AA7" s="226" t="str">
        <f t="shared" si="3"/>
        <v/>
      </c>
      <c r="AB7" s="226" t="str">
        <f t="shared" si="3"/>
        <v/>
      </c>
      <c r="AC7" s="226" t="str">
        <f t="shared" si="3"/>
        <v/>
      </c>
      <c r="AD7" s="226" t="str">
        <f>""</f>
        <v/>
      </c>
      <c r="AE7" s="224" t="str">
        <f>""</f>
        <v/>
      </c>
    </row>
    <row r="8" spans="1:31" s="65" customFormat="1" ht="15" customHeight="1">
      <c r="E8" s="91" t="s">
        <v>167</v>
      </c>
      <c r="F8" s="91" t="s">
        <v>168</v>
      </c>
      <c r="G8" s="91" t="s">
        <v>300</v>
      </c>
      <c r="H8" s="103"/>
      <c r="I8" s="342"/>
      <c r="J8" s="342"/>
      <c r="K8" s="227" t="str">
        <f>IF(N_LANGUAGE="KO","년간","TTL")</f>
        <v>년간</v>
      </c>
      <c r="L8" s="227" t="str">
        <f>IF(N_LANGUAGE="KO","년간","TTL")</f>
        <v>년간</v>
      </c>
      <c r="M8" s="227" t="str">
        <f>IF(N_LANGUAGE="KO","년간","TTL")</f>
        <v>년간</v>
      </c>
      <c r="N8" s="228" t="str">
        <f t="shared" ref="N8:AC8" si="4">IF(N_LANGUAGE="KO",--RIGHT(N2,2) &amp; "월",CHOOSE(--RIGHT(N2,2),"JAN","FEB","MAR","APR","MAY","JUN","JUL","AUG","SEP","OCT","NOV","DEC"))</f>
        <v>7월</v>
      </c>
      <c r="O8" s="228" t="str">
        <f t="shared" si="4"/>
        <v>8월</v>
      </c>
      <c r="P8" s="228" t="str">
        <f t="shared" si="4"/>
        <v>9월</v>
      </c>
      <c r="Q8" s="228" t="str">
        <f t="shared" si="4"/>
        <v>10월</v>
      </c>
      <c r="R8" s="228" t="str">
        <f t="shared" si="4"/>
        <v>11월</v>
      </c>
      <c r="S8" s="228" t="str">
        <f t="shared" si="4"/>
        <v>12월</v>
      </c>
      <c r="T8" s="228" t="str">
        <f t="shared" si="4"/>
        <v>1월</v>
      </c>
      <c r="U8" s="228" t="str">
        <f t="shared" si="4"/>
        <v>2월</v>
      </c>
      <c r="V8" s="228" t="str">
        <f t="shared" si="4"/>
        <v>3월</v>
      </c>
      <c r="W8" s="228" t="str">
        <f t="shared" si="4"/>
        <v>4월</v>
      </c>
      <c r="X8" s="228" t="str">
        <f t="shared" si="4"/>
        <v>5월</v>
      </c>
      <c r="Y8" s="228" t="str">
        <f t="shared" si="4"/>
        <v>6월</v>
      </c>
      <c r="Z8" s="228" t="str">
        <f t="shared" si="4"/>
        <v>7월</v>
      </c>
      <c r="AA8" s="228" t="str">
        <f t="shared" si="4"/>
        <v>8월</v>
      </c>
      <c r="AB8" s="228" t="str">
        <f t="shared" si="4"/>
        <v>9월</v>
      </c>
      <c r="AC8" s="228" t="str">
        <f t="shared" si="4"/>
        <v>10월</v>
      </c>
      <c r="AD8" s="229" t="str">
        <f>"1~"&amp;AC8</f>
        <v>1~10월</v>
      </c>
      <c r="AE8" s="64"/>
    </row>
    <row r="9" spans="1:31" ht="2.1" customHeight="1">
      <c r="H9" s="85"/>
      <c r="I9" s="86"/>
      <c r="J9" s="86"/>
      <c r="K9" s="86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</row>
    <row r="10" spans="1:31" s="66" customFormat="1" ht="15" customHeight="1">
      <c r="A10" t="str">
        <f t="shared" ref="A10:A47" si="5">TRIM(C10)&amp;TRIM(D10)&amp;TRIM(E10)&amp;TRIM(F10)</f>
        <v>매출</v>
      </c>
      <c r="B10"/>
      <c r="C10"/>
      <c r="D10" s="41"/>
      <c r="E10" s="41" t="s">
        <v>698</v>
      </c>
      <c r="F10" s="41"/>
      <c r="G10" s="41"/>
      <c r="H10" s="117"/>
      <c r="I10" s="117"/>
      <c r="J10" s="111" t="s">
        <v>640</v>
      </c>
      <c r="K10" s="257">
        <f>SUMIF(DB_LIST!$A:$A,$A10&amp;K$3&amp;K$4,DB_LIST!$J:$J)/N_UNIT</f>
        <v>0</v>
      </c>
      <c r="L10" s="257">
        <f>SUMIF(DB_LIST!$A:$A,$A10&amp;L$3&amp;L$4,DB_LIST!$J:$J)/N_UNIT</f>
        <v>349.78497430209814</v>
      </c>
      <c r="M10" s="257">
        <f>SUMIF(DB_LIST!$A:$A,$A10&amp;M$3&amp;M$4,DB_LIST!$J:$J)/N_UNIT</f>
        <v>391.12322033560821</v>
      </c>
      <c r="N10" s="257">
        <f>SUMIF(DB_LIST!$A:$A,$A10&amp;N$3&amp;N$4,DB_LIST!$J:$J)/N_UNIT</f>
        <v>23.782293600752208</v>
      </c>
      <c r="O10" s="257">
        <f>SUMIF(DB_LIST!$A:$A,$A10&amp;O$3&amp;O$4,DB_LIST!$J:$J)/N_UNIT</f>
        <v>29.050286183689565</v>
      </c>
      <c r="P10" s="257">
        <f>SUMIF(DB_LIST!$A:$A,$A10&amp;P$3&amp;P$4,DB_LIST!$J:$J)/N_UNIT</f>
        <v>25.648139053289913</v>
      </c>
      <c r="Q10" s="257">
        <f>SUMIF(DB_LIST!$A:$A,$A10&amp;Q$3&amp;Q$4,DB_LIST!$J:$J)/N_UNIT</f>
        <v>36.534000844200975</v>
      </c>
      <c r="R10" s="257">
        <f>SUMIF(DB_LIST!$A:$A,$A10&amp;R$3&amp;R$4,DB_LIST!$J:$J)/N_UNIT</f>
        <v>64.073034968426768</v>
      </c>
      <c r="S10" s="257">
        <f>SUMIF(DB_LIST!$A:$A,$A10&amp;S$3&amp;S$4,DB_LIST!$J:$J)/N_UNIT</f>
        <v>49.648636691382372</v>
      </c>
      <c r="T10" s="257">
        <f>SUMIF(DB_LIST!$A:$A,$A10&amp;T$3&amp;T$4,DB_LIST!$J:$J)/N_UNIT</f>
        <v>34.214686819794316</v>
      </c>
      <c r="U10" s="257">
        <f>SUMIF(DB_LIST!$A:$A,$A10&amp;U$3&amp;U$4,DB_LIST!$J:$J)/N_UNIT</f>
        <v>29.419477894608335</v>
      </c>
      <c r="V10" s="257">
        <f>SUMIF(DB_LIST!$A:$A,$A10&amp;V$3&amp;V$4,DB_LIST!$J:$J)/N_UNIT</f>
        <v>32.702433665542515</v>
      </c>
      <c r="W10" s="257">
        <f>SUMIF(DB_LIST!$A:$A,$A10&amp;W$3&amp;W$4,DB_LIST!$J:$J)/N_UNIT</f>
        <v>27.446553077058333</v>
      </c>
      <c r="X10" s="257">
        <f>SUMIF(DB_LIST!$A:$A,$A10&amp;X$3&amp;X$4,DB_LIST!$J:$J)/N_UNIT</f>
        <v>24.291201410060815</v>
      </c>
      <c r="Y10" s="257">
        <f>SUMIF(DB_LIST!$A:$A,$A10&amp;Y$3&amp;Y$4,DB_LIST!$J:$J)/N_UNIT</f>
        <v>23.745429040499285</v>
      </c>
      <c r="Z10" s="257">
        <f>SUMIF(DB_LIST!$A:$A,$A10&amp;Z$3&amp;Z$4,DB_LIST!$J:$J)/N_UNIT</f>
        <v>26.292420248768344</v>
      </c>
      <c r="AA10" s="257">
        <f>SUMIF(DB_LIST!$A:$A,$A10&amp;AA$3&amp;AA$4,DB_LIST!$J:$J)/N_UNIT</f>
        <v>24.895893570422356</v>
      </c>
      <c r="AB10" s="257">
        <f>SUMIF(DB_LIST!$A:$A,$A10&amp;AB$3&amp;AB$4,DB_LIST!$J:$J)/N_UNIT</f>
        <v>30.273555376606396</v>
      </c>
      <c r="AC10" s="257">
        <f>SUMIF(DB_LIST!$A:$A,$A10&amp;AC$3&amp;AC$4,DB_LIST!$J:$J)/N_UNIT</f>
        <v>37.100824411994026</v>
      </c>
      <c r="AD10" s="258">
        <f>SUMIF(DB_LIST!$A:$A,$A10&amp;AD$3&amp;AD$4,DB_LIST!$J:$J)/N_UNIT</f>
        <v>37.100824411994026</v>
      </c>
    </row>
    <row r="11" spans="1:31" s="67" customFormat="1" ht="15" customHeight="1">
      <c r="A11" t="str">
        <f>TRIM(C11)&amp;TRIM(D11)&amp;TRIM(E11)&amp;TRIM(F11)</f>
        <v>MostLikely대비(W-1)</v>
      </c>
      <c r="B11"/>
      <c r="C11"/>
      <c r="D11" s="41"/>
      <c r="E11" s="41" t="s">
        <v>710</v>
      </c>
      <c r="F11" s="41"/>
      <c r="G11" s="41">
        <v>0</v>
      </c>
      <c r="H11" s="64"/>
      <c r="I11" s="260"/>
      <c r="J11" s="261" t="s">
        <v>641</v>
      </c>
      <c r="K11" s="262" t="str">
        <f>IFERROR(K$10 / (SUMIF(DB_LIST!$A:$A,$A11&amp;K$3&amp;K$4,DB_LIST!$J:$J) / N_UNIT),"")</f>
        <v/>
      </c>
      <c r="L11" s="262" t="str">
        <f>IFERROR(L$10 / (SUMIF(DB_LIST!$A:$A,$A11&amp;L$3&amp;L$4,DB_LIST!$J:$J) / N_UNIT),"")</f>
        <v/>
      </c>
      <c r="M11" s="263" t="str">
        <f>IFERROR(M$10 / (SUMIF(DB_LIST!$A:$A,$A11&amp;M$3&amp;M$4,DB_LIST!$J:$J) / N_UNIT),"")</f>
        <v/>
      </c>
      <c r="N11" s="264" t="str">
        <f>IFERROR(N$10 / (SUMIF(DB_LIST!$A:$A,$A11&amp;N$3&amp;N$4,DB_LIST!$J:$J) / N_UNIT),"")</f>
        <v/>
      </c>
      <c r="O11" s="264" t="str">
        <f>IFERROR(O$10 / (SUMIF(DB_LIST!$A:$A,$A11&amp;O$3&amp;O$4,DB_LIST!$J:$J) / N_UNIT),"")</f>
        <v/>
      </c>
      <c r="P11" s="264" t="str">
        <f>IFERROR(P$10 / (SUMIF(DB_LIST!$A:$A,$A11&amp;P$3&amp;P$4,DB_LIST!$J:$J) / N_UNIT),"")</f>
        <v/>
      </c>
      <c r="Q11" s="264" t="str">
        <f>IFERROR(Q$10 / (SUMIF(DB_LIST!$A:$A,$A11&amp;Q$3&amp;Q$4,DB_LIST!$J:$J) / N_UNIT),"")</f>
        <v/>
      </c>
      <c r="R11" s="264" t="str">
        <f>IFERROR(R$10 / (SUMIF(DB_LIST!$A:$A,$A11&amp;R$3&amp;R$4,DB_LIST!$J:$J) / N_UNIT),"")</f>
        <v/>
      </c>
      <c r="S11" s="264" t="str">
        <f>IFERROR(S$10 / (SUMIF(DB_LIST!$A:$A,$A11&amp;S$3&amp;S$4,DB_LIST!$J:$J) / N_UNIT),"")</f>
        <v/>
      </c>
      <c r="T11" s="264" t="str">
        <f>IFERROR(T$10 / (SUMIF(DB_LIST!$A:$A,$A11&amp;T$3&amp;T$4,DB_LIST!$J:$J) / N_UNIT),"")</f>
        <v/>
      </c>
      <c r="U11" s="264" t="str">
        <f>IFERROR(U$10 / (SUMIF(DB_LIST!$A:$A,$A11&amp;U$3&amp;U$4,DB_LIST!$J:$J) / N_UNIT),"")</f>
        <v/>
      </c>
      <c r="V11" s="264" t="str">
        <f>IFERROR(V$10 / (SUMIF(DB_LIST!$A:$A,$A11&amp;V$3&amp;V$4,DB_LIST!$J:$J) / N_UNIT),"")</f>
        <v/>
      </c>
      <c r="W11" s="264" t="str">
        <f>IFERROR(W$10 / (SUMIF(DB_LIST!$A:$A,$A11&amp;W$3&amp;W$4,DB_LIST!$J:$J) / N_UNIT),"")</f>
        <v/>
      </c>
      <c r="X11" s="264" t="str">
        <f>IFERROR(X$10 / (SUMIF(DB_LIST!$A:$A,$A11&amp;X$3&amp;X$4,DB_LIST!$J:$J) / N_UNIT),"")</f>
        <v/>
      </c>
      <c r="Y11" s="264" t="str">
        <f>IFERROR(Y$10 / (SUMIF(DB_LIST!$A:$A,$A11&amp;Y$3&amp;Y$4,DB_LIST!$J:$J) / N_UNIT),"")</f>
        <v/>
      </c>
      <c r="Z11" s="264" t="str">
        <f>IFERROR(Z$10 / (SUMIF(DB_LIST!$A:$A,$A11&amp;Z$3&amp;Z$4,DB_LIST!$J:$J) / N_UNIT),"")</f>
        <v/>
      </c>
      <c r="AA11" s="265">
        <f>IFERROR(AA$10 / (SUMIF(DB_LIST!$A:$A,$A11&amp;AA$3&amp;AA$4,DB_LIST!$J:$J) / N_UNIT),"")</f>
        <v>1.0674529491236064</v>
      </c>
      <c r="AB11" s="265">
        <f>IFERROR(AB$10 / (SUMIF(DB_LIST!$A:$A,$A11&amp;AB$3&amp;AB$4,DB_LIST!$J:$J) / N_UNIT),"")</f>
        <v>1.046495180465105</v>
      </c>
      <c r="AC11" s="265">
        <f>IFERROR(AC$10 / (SUMIF(DB_LIST!$A:$A,$A11&amp;AC$3&amp;AC$4,DB_LIST!$J:$J) / N_UNIT),"")</f>
        <v>0.93865051622993478</v>
      </c>
      <c r="AD11" s="266"/>
    </row>
    <row r="12" spans="1:31" s="68" customFormat="1" ht="15" customHeight="1">
      <c r="A12" t="str">
        <f t="shared" ref="A12:A47" si="6">TRIM(C12)&amp;TRIM(D12)&amp;TRIM(E12)&amp;TRIM(F12)</f>
        <v>전월이동</v>
      </c>
      <c r="B12"/>
      <c r="C12"/>
      <c r="D12" s="41"/>
      <c r="E12" s="41" t="s">
        <v>709</v>
      </c>
      <c r="F12" s="41"/>
      <c r="G12" s="41">
        <v>0</v>
      </c>
      <c r="H12" s="64"/>
      <c r="I12" s="107"/>
      <c r="J12" s="267" t="s">
        <v>642</v>
      </c>
      <c r="K12" s="268" t="str">
        <f>IFERROR(K$10 / (SUMIF(DB_LIST!$A:$A,$A12&amp;K$3&amp;K$4,DB_LIST!$J:$J) / N_UNIT), "")</f>
        <v/>
      </c>
      <c r="L12" s="268" t="str">
        <f>IFERROR(L$10 / (SUMIF(DB_LIST!$A:$A,$A12&amp;L$3&amp;L$4,DB_LIST!$J:$J) / N_UNIT), "")</f>
        <v/>
      </c>
      <c r="M12" s="269">
        <f>IFERROR(M$10 / (SUMIF(DB_LIST!$A:$A,$A12&amp;M$3&amp;M$4,DB_LIST!$J:$J) / N_UNIT), "")</f>
        <v>1.013385995718836</v>
      </c>
      <c r="N12" s="270">
        <f>IFERROR(N$10 / (SUMIF(DB_LIST!$A:$A,$A12&amp;N$3&amp;N$4,DB_LIST!$J:$J) / N_UNIT), "")</f>
        <v>1.1102785356977636</v>
      </c>
      <c r="O12" s="270">
        <f>IFERROR(O$10 / (SUMIF(DB_LIST!$A:$A,$A12&amp;O$3&amp;O$4,DB_LIST!$J:$J) / N_UNIT), "")</f>
        <v>1.138289652120025</v>
      </c>
      <c r="P12" s="270">
        <f>IFERROR(P$10 / (SUMIF(DB_LIST!$A:$A,$A12&amp;P$3&amp;P$4,DB_LIST!$J:$J) / N_UNIT), "")</f>
        <v>0.9778463139810063</v>
      </c>
      <c r="Q12" s="270">
        <f>IFERROR(Q$10 / (SUMIF(DB_LIST!$A:$A,$A12&amp;Q$3&amp;Q$4,DB_LIST!$J:$J) / N_UNIT), "")</f>
        <v>1.0260556958104601</v>
      </c>
      <c r="R12" s="270">
        <f>IFERROR(R$10 / (SUMIF(DB_LIST!$A:$A,$A12&amp;R$3&amp;R$4,DB_LIST!$J:$J) / N_UNIT), "")</f>
        <v>0.97891979230565696</v>
      </c>
      <c r="S12" s="270">
        <f>IFERROR(S$10 / (SUMIF(DB_LIST!$A:$A,$A12&amp;S$3&amp;S$4,DB_LIST!$J:$J) / N_UNIT), "")</f>
        <v>0.94445239849108786</v>
      </c>
      <c r="T12" s="270">
        <f>IFERROR(T$10 / (SUMIF(DB_LIST!$A:$A,$A12&amp;T$3&amp;T$4,DB_LIST!$J:$J) / N_UNIT), "")</f>
        <v>0.99415744238187331</v>
      </c>
      <c r="U12" s="270">
        <f>IFERROR(U$10 / (SUMIF(DB_LIST!$A:$A,$A12&amp;U$3&amp;U$4,DB_LIST!$J:$J) / N_UNIT), "")</f>
        <v>1.0452941824331143</v>
      </c>
      <c r="V12" s="270">
        <f>IFERROR(V$10 / (SUMIF(DB_LIST!$A:$A,$A12&amp;V$3&amp;V$4,DB_LIST!$J:$J) / N_UNIT), "")</f>
        <v>1.0508415773965682</v>
      </c>
      <c r="W12" s="270">
        <f>IFERROR(W$10 / (SUMIF(DB_LIST!$A:$A,$A12&amp;W$3&amp;W$4,DB_LIST!$J:$J) / N_UNIT), "")</f>
        <v>0.96310180198772821</v>
      </c>
      <c r="X12" s="270">
        <f>IFERROR(X$10 / (SUMIF(DB_LIST!$A:$A,$A12&amp;X$3&amp;X$4,DB_LIST!$J:$J) / N_UNIT), "")</f>
        <v>1.1545501023160203</v>
      </c>
      <c r="Y12" s="270">
        <f>IFERROR(Y$10 / (SUMIF(DB_LIST!$A:$A,$A12&amp;Y$3&amp;Y$4,DB_LIST!$J:$J) / N_UNIT), "")</f>
        <v>0.94009442883719396</v>
      </c>
      <c r="Z12" s="270">
        <f>IFERROR(Z$10 / (SUMIF(DB_LIST!$A:$A,$A12&amp;Z$3&amp;Z$4,DB_LIST!$J:$J) / N_UNIT), "")</f>
        <v>1.0522656245023887</v>
      </c>
      <c r="AA12" s="270">
        <f>IFERROR(AA$10 / (SUMIF(DB_LIST!$A:$A,$A12&amp;AA$3&amp;AA$4,DB_LIST!$J:$J) / N_UNIT), "")</f>
        <v>1.1315001313498769</v>
      </c>
      <c r="AB12" s="270">
        <f>IFERROR(AB$10 / (SUMIF(DB_LIST!$A:$A,$A12&amp;AB$3&amp;AB$4,DB_LIST!$J:$J) / N_UNIT), "")</f>
        <v>1.0677106746072433</v>
      </c>
      <c r="AC12" s="270">
        <f>IFERROR(AC$10 / (SUMIF(DB_LIST!$A:$A,$A12&amp;AC$3&amp;AC$4,DB_LIST!$J:$J) / N_UNIT), "")</f>
        <v>0.97735353138691494</v>
      </c>
      <c r="AD12" s="270">
        <f>IFERROR(AD$10 / (SUMIF(DB_LIST!$A:$A,$A12&amp;AD$3&amp;AD$4,DB_LIST!$J:$J) / N_UNIT), "")</f>
        <v>0.97735353138691494</v>
      </c>
    </row>
    <row r="13" spans="1:31" s="69" customFormat="1" ht="15" customHeight="1">
      <c r="A13" t="str">
        <f t="shared" si="6"/>
        <v>전년대비</v>
      </c>
      <c r="B13"/>
      <c r="C13"/>
      <c r="D13" s="41"/>
      <c r="E13" s="41" t="s">
        <v>705</v>
      </c>
      <c r="F13" s="41"/>
      <c r="G13" s="41">
        <v>0</v>
      </c>
      <c r="H13" s="64"/>
      <c r="I13" s="107"/>
      <c r="J13" s="271" t="s">
        <v>643</v>
      </c>
      <c r="K13" s="272" t="str">
        <f>IFERROR(K$10 / (SUMIF(DB_LIST!$A:$A,$A13&amp;K$3&amp;K$4,DB_LIST!$J:$J) / N_UNIT), "")</f>
        <v/>
      </c>
      <c r="L13" s="272" t="str">
        <f>IFERROR(L$10 / (SUMIF(DB_LIST!$A:$A,$A13&amp;L$3&amp;L$4,DB_LIST!$J:$J) / N_UNIT), "")</f>
        <v/>
      </c>
      <c r="M13" s="272" t="str">
        <f>IFERROR(M$10 / (SUMIF(DB_LIST!$A:$A,$A13&amp;M$3&amp;M$4,DB_LIST!$J:$J) / N_UNIT), "")</f>
        <v/>
      </c>
      <c r="N13" s="272" t="str">
        <f>IFERROR(N$10 / (SUMIF(DB_LIST!$A:$A,$A13&amp;N$3&amp;N$4,DB_LIST!$J:$J) / N_UNIT), "")</f>
        <v/>
      </c>
      <c r="O13" s="272" t="str">
        <f>IFERROR(O$10 / (SUMIF(DB_LIST!$A:$A,$A13&amp;O$3&amp;O$4,DB_LIST!$J:$J) / N_UNIT), "")</f>
        <v/>
      </c>
      <c r="P13" s="272" t="str">
        <f>IFERROR(P$10 / (SUMIF(DB_LIST!$A:$A,$A13&amp;P$3&amp;P$4,DB_LIST!$J:$J) / N_UNIT), "")</f>
        <v/>
      </c>
      <c r="Q13" s="272" t="str">
        <f>IFERROR(Q$10 / (SUMIF(DB_LIST!$A:$A,$A13&amp;Q$3&amp;Q$4,DB_LIST!$J:$J) / N_UNIT), "")</f>
        <v/>
      </c>
      <c r="R13" s="272" t="str">
        <f>IFERROR(R$10 / (SUMIF(DB_LIST!$A:$A,$A13&amp;R$3&amp;R$4,DB_LIST!$J:$J) / N_UNIT), "")</f>
        <v/>
      </c>
      <c r="S13" s="272" t="str">
        <f>IFERROR(S$10 / (SUMIF(DB_LIST!$A:$A,$A13&amp;S$3&amp;S$4,DB_LIST!$J:$J) / N_UNIT), "")</f>
        <v/>
      </c>
      <c r="T13" s="272">
        <f>IFERROR(T$10 / (SUMIF(DB_LIST!$A:$A,$A13&amp;T$3&amp;T$4,DB_LIST!$J:$J) / N_UNIT), "")</f>
        <v>1.5718259175143972</v>
      </c>
      <c r="U13" s="272">
        <f>IFERROR(U$10 / (SUMIF(DB_LIST!$A:$A,$A13&amp;U$3&amp;U$4,DB_LIST!$J:$J) / N_UNIT), "")</f>
        <v>1.2508621539063014</v>
      </c>
      <c r="V13" s="272">
        <f>IFERROR(V$10 / (SUMIF(DB_LIST!$A:$A,$A13&amp;V$3&amp;V$4,DB_LIST!$J:$J) / N_UNIT), "")</f>
        <v>1.1514689006151273</v>
      </c>
      <c r="W13" s="272">
        <f>IFERROR(W$10 / (SUMIF(DB_LIST!$A:$A,$A13&amp;W$3&amp;W$4,DB_LIST!$J:$J) / N_UNIT), "")</f>
        <v>0.93319229660076286</v>
      </c>
      <c r="X13" s="272">
        <f>IFERROR(X$10 / (SUMIF(DB_LIST!$A:$A,$A13&amp;X$3&amp;X$4,DB_LIST!$J:$J) / N_UNIT), "")</f>
        <v>0.63962624662403877</v>
      </c>
      <c r="Y13" s="272">
        <f>IFERROR(Y$10 / (SUMIF(DB_LIST!$A:$A,$A13&amp;Y$3&amp;Y$4,DB_LIST!$J:$J) / N_UNIT), "")</f>
        <v>1.3131629285800588</v>
      </c>
      <c r="Z13" s="272">
        <f>IFERROR(Z$10 / (SUMIF(DB_LIST!$A:$A,$A13&amp;Z$3&amp;Z$4,DB_LIST!$J:$J) / N_UNIT), "")</f>
        <v>1.227464026128642</v>
      </c>
      <c r="AA13" s="272">
        <f>IFERROR(AA$10 / (SUMIF(DB_LIST!$A:$A,$A13&amp;AA$3&amp;AA$4,DB_LIST!$J:$J) / N_UNIT), "")</f>
        <v>0.97550632900147338</v>
      </c>
      <c r="AB13" s="272">
        <f>IFERROR(AB$10 / (SUMIF(DB_LIST!$A:$A,$A13&amp;AB$3&amp;AB$4,DB_LIST!$J:$J) / N_UNIT), "")</f>
        <v>1.1541922973283805</v>
      </c>
      <c r="AC13" s="272">
        <f>IFERROR(AC$10 / (SUMIF(DB_LIST!$A:$A,$A13&amp;AC$3&amp;AC$4,DB_LIST!$J:$J) / N_UNIT), "")</f>
        <v>1.0419749090587944</v>
      </c>
      <c r="AD13" s="272">
        <f>IFERROR(AD$10 / (SUMIF(DB_LIST!$A:$A,$A13&amp;AD$3&amp;AD$4,DB_LIST!$J:$J) / N_UNIT), "")</f>
        <v>1.0419749090587944</v>
      </c>
    </row>
    <row r="14" spans="1:31" s="68" customFormat="1" ht="15" customHeight="1">
      <c r="A14" t="str">
        <f t="shared" si="6"/>
        <v>가격성판촉비</v>
      </c>
      <c r="B14"/>
      <c r="C14"/>
      <c r="D14" s="41"/>
      <c r="E14" s="41" t="s">
        <v>696</v>
      </c>
      <c r="F14" s="41"/>
      <c r="G14" s="41">
        <v>0</v>
      </c>
      <c r="H14" s="64"/>
      <c r="I14" s="107"/>
      <c r="J14" s="273" t="s">
        <v>644</v>
      </c>
      <c r="K14" s="274" t="str">
        <f>IFERROR((SUMIF(DB_LIST!$A:$A,$A14&amp;K$3&amp;K$4,DB_LIST!$J:$J) / N_UNIT) / K$10, "")</f>
        <v/>
      </c>
      <c r="L14" s="274">
        <f>IFERROR((SUMIF(DB_LIST!$A:$A,$A14&amp;L$3&amp;L$4,DB_LIST!$J:$J) / N_UNIT) / L$10, "")</f>
        <v>-0.18879701078833619</v>
      </c>
      <c r="M14" s="274">
        <f>IFERROR((SUMIF(DB_LIST!$A:$A,$A14&amp;M$3&amp;M$4,DB_LIST!$J:$J) / N_UNIT) / M$10, "")</f>
        <v>-0.27377458254140841</v>
      </c>
      <c r="N14" s="274">
        <f>IFERROR((SUMIF(DB_LIST!$A:$A,$A14&amp;N$3&amp;N$4,DB_LIST!$J:$J) / N_UNIT) / N$10, "")</f>
        <v>-0.28549978374921414</v>
      </c>
      <c r="O14" s="274">
        <f>IFERROR((SUMIF(DB_LIST!$A:$A,$A14&amp;O$3&amp;O$4,DB_LIST!$J:$J) / N_UNIT) / O$10, "")</f>
        <v>-0.25774683353996314</v>
      </c>
      <c r="P14" s="274">
        <f>IFERROR((SUMIF(DB_LIST!$A:$A,$A14&amp;P$3&amp;P$4,DB_LIST!$J:$J) / N_UNIT) / P$10, "")</f>
        <v>-0.41239198658171605</v>
      </c>
      <c r="Q14" s="274">
        <f>IFERROR((SUMIF(DB_LIST!$A:$A,$A14&amp;Q$3&amp;Q$4,DB_LIST!$J:$J) / N_UNIT) / Q$10, "")</f>
        <v>-0.32109058125886308</v>
      </c>
      <c r="R14" s="274">
        <f>IFERROR((SUMIF(DB_LIST!$A:$A,$A14&amp;R$3&amp;R$4,DB_LIST!$J:$J) / N_UNIT) / R$10, "")</f>
        <v>-0.3174256163643015</v>
      </c>
      <c r="S14" s="274">
        <f>IFERROR((SUMIF(DB_LIST!$A:$A,$A14&amp;S$3&amp;S$4,DB_LIST!$J:$J) / N_UNIT) / S$10, "")</f>
        <v>-0.36265300089263686</v>
      </c>
      <c r="T14" s="274">
        <f>IFERROR((SUMIF(DB_LIST!$A:$A,$A14&amp;T$3&amp;T$4,DB_LIST!$J:$J) / N_UNIT) / T$10, "")</f>
        <v>-0.26439973107216602</v>
      </c>
      <c r="U14" s="274">
        <f>IFERROR((SUMIF(DB_LIST!$A:$A,$A14&amp;U$3&amp;U$4,DB_LIST!$J:$J) / N_UNIT) / U$10, "")</f>
        <v>-0.20339173873901717</v>
      </c>
      <c r="V14" s="274">
        <f>IFERROR((SUMIF(DB_LIST!$A:$A,$A14&amp;V$3&amp;V$4,DB_LIST!$J:$J) / N_UNIT) / V$10, "")</f>
        <v>-0.16986965103201865</v>
      </c>
      <c r="W14" s="274">
        <f>IFERROR((SUMIF(DB_LIST!$A:$A,$A14&amp;W$3&amp;W$4,DB_LIST!$J:$J) / N_UNIT) / W$10, "")</f>
        <v>-0.20787383468958154</v>
      </c>
      <c r="X14" s="274">
        <f>IFERROR((SUMIF(DB_LIST!$A:$A,$A14&amp;X$3&amp;X$4,DB_LIST!$J:$J) / N_UNIT) / X$10, "")</f>
        <v>-0.23581301247648545</v>
      </c>
      <c r="Y14" s="274">
        <f>IFERROR((SUMIF(DB_LIST!$A:$A,$A14&amp;Y$3&amp;Y$4,DB_LIST!$J:$J) / N_UNIT) / Y$10, "")</f>
        <v>-0.22918317296663845</v>
      </c>
      <c r="Z14" s="274">
        <f>IFERROR((SUMIF(DB_LIST!$A:$A,$A14&amp;Z$3&amp;Z$4,DB_LIST!$J:$J) / N_UNIT) / Z$10, "")</f>
        <v>-0.2161942033686618</v>
      </c>
      <c r="AA14" s="274">
        <f>IFERROR((SUMIF(DB_LIST!$A:$A,$A14&amp;AA$3&amp;AA$4,DB_LIST!$J:$J) / N_UNIT) / AA$10, "")</f>
        <v>-0.331492840240878</v>
      </c>
      <c r="AB14" s="274">
        <f>IFERROR((SUMIF(DB_LIST!$A:$A,$A14&amp;AB$3&amp;AB$4,DB_LIST!$J:$J) / N_UNIT) / AB$10, "")</f>
        <v>-0.36278119532406872</v>
      </c>
      <c r="AC14" s="274">
        <f>IFERROR((SUMIF(DB_LIST!$A:$A,$A14&amp;AC$3&amp;AC$4,DB_LIST!$J:$J) / N_UNIT) / AC$10, "")</f>
        <v>-0.33814865461403187</v>
      </c>
      <c r="AD14" s="275">
        <f>IFERROR((SUMIF(DB_LIST!$A:$A,$A14&amp;AD$3&amp;AD$4,DB_LIST!$J:$J) / N_UNIT) / AD$10, "")</f>
        <v>-0.33814865461403187</v>
      </c>
    </row>
    <row r="15" spans="1:31" s="69" customFormat="1" ht="15" customHeight="1">
      <c r="A15" t="str">
        <f t="shared" si="6"/>
        <v>판매촉진비</v>
      </c>
      <c r="B15"/>
      <c r="C15"/>
      <c r="D15" s="41"/>
      <c r="E15" s="41" t="s">
        <v>704</v>
      </c>
      <c r="F15" s="41"/>
      <c r="G15" s="41">
        <v>0</v>
      </c>
      <c r="H15" s="64"/>
      <c r="I15" s="107"/>
      <c r="J15" s="273" t="s">
        <v>645</v>
      </c>
      <c r="K15" s="274" t="str">
        <f>IFERROR((SUMIF(DB_LIST!$A:$A,$A15&amp;K$3&amp;K$4,DB_LIST!$J:$J) / N_UNIT) / K$10, "")</f>
        <v/>
      </c>
      <c r="L15" s="274">
        <f>IFERROR((SUMIF(DB_LIST!$A:$A,$A15&amp;L$3&amp;L$4,DB_LIST!$J:$J) / N_UNIT) / L$10, "")</f>
        <v>8.635611814589883E-3</v>
      </c>
      <c r="M15" s="274">
        <f>IFERROR((SUMIF(DB_LIST!$A:$A,$A15&amp;M$3&amp;M$4,DB_LIST!$J:$J) / N_UNIT) / M$10, "")</f>
        <v>1.7359846306318167E-2</v>
      </c>
      <c r="N15" s="274">
        <f>IFERROR((SUMIF(DB_LIST!$A:$A,$A15&amp;N$3&amp;N$4,DB_LIST!$J:$J) / N_UNIT) / N$10, "")</f>
        <v>1.8623630287115708E-2</v>
      </c>
      <c r="O15" s="274">
        <f>IFERROR((SUMIF(DB_LIST!$A:$A,$A15&amp;O$3&amp;O$4,DB_LIST!$J:$J) / N_UNIT) / O$10, "")</f>
        <v>6.2268340387280297E-2</v>
      </c>
      <c r="P15" s="274">
        <f>IFERROR((SUMIF(DB_LIST!$A:$A,$A15&amp;P$3&amp;P$4,DB_LIST!$J:$J) / N_UNIT) / P$10, "")</f>
        <v>3.1335028565026572E-3</v>
      </c>
      <c r="Q15" s="274">
        <f>IFERROR((SUMIF(DB_LIST!$A:$A,$A15&amp;Q$3&amp;Q$4,DB_LIST!$J:$J) / N_UNIT) / Q$10, "")</f>
        <v>5.5177618756631509E-3</v>
      </c>
      <c r="R15" s="274">
        <f>IFERROR((SUMIF(DB_LIST!$A:$A,$A15&amp;R$3&amp;R$4,DB_LIST!$J:$J) / N_UNIT) / R$10, "")</f>
        <v>3.0026958630576701E-3</v>
      </c>
      <c r="S15" s="274">
        <f>IFERROR((SUMIF(DB_LIST!$A:$A,$A15&amp;S$3&amp;S$4,DB_LIST!$J:$J) / N_UNIT) / S$10, "")</f>
        <v>8.2354834857589956E-3</v>
      </c>
      <c r="T15" s="274">
        <f>IFERROR((SUMIF(DB_LIST!$A:$A,$A15&amp;T$3&amp;T$4,DB_LIST!$J:$J) / N_UNIT) / T$10, "")</f>
        <v>5.8943349449828519E-4</v>
      </c>
      <c r="U15" s="274">
        <f>IFERROR((SUMIF(DB_LIST!$A:$A,$A15&amp;U$3&amp;U$4,DB_LIST!$J:$J) / N_UNIT) / U$10, "")</f>
        <v>1.4299200447064225E-3</v>
      </c>
      <c r="V15" s="274">
        <f>IFERROR((SUMIF(DB_LIST!$A:$A,$A15&amp;V$3&amp;V$4,DB_LIST!$J:$J) / N_UNIT) / V$10, "")</f>
        <v>3.1786666444958531E-3</v>
      </c>
      <c r="W15" s="274">
        <f>IFERROR((SUMIF(DB_LIST!$A:$A,$A15&amp;W$3&amp;W$4,DB_LIST!$J:$J) / N_UNIT) / W$10, "")</f>
        <v>2.4419040054795813E-2</v>
      </c>
      <c r="X15" s="274">
        <f>IFERROR((SUMIF(DB_LIST!$A:$A,$A15&amp;X$3&amp;X$4,DB_LIST!$J:$J) / N_UNIT) / X$10, "")</f>
        <v>2.8667056870379185E-3</v>
      </c>
      <c r="Y15" s="274">
        <f>IFERROR((SUMIF(DB_LIST!$A:$A,$A15&amp;Y$3&amp;Y$4,DB_LIST!$J:$J) / N_UNIT) / Y$10, "")</f>
        <v>2.9076148164241776E-3</v>
      </c>
      <c r="Z15" s="274">
        <f>IFERROR((SUMIF(DB_LIST!$A:$A,$A15&amp;Z$3&amp;Z$4,DB_LIST!$J:$J) / N_UNIT) / Z$10, "")</f>
        <v>1.4232533762783859E-2</v>
      </c>
      <c r="AA15" s="274">
        <f>IFERROR((SUMIF(DB_LIST!$A:$A,$A15&amp;AA$3&amp;AA$4,DB_LIST!$J:$J) / N_UNIT) / AA$10, "")</f>
        <v>1.570469846386598E-2</v>
      </c>
      <c r="AB15" s="274">
        <f>IFERROR((SUMIF(DB_LIST!$A:$A,$A15&amp;AB$3&amp;AB$4,DB_LIST!$J:$J) / N_UNIT) / AB$10, "")</f>
        <v>2.9992822956483658E-3</v>
      </c>
      <c r="AC15" s="274">
        <f>IFERROR((SUMIF(DB_LIST!$A:$A,$A15&amp;AC$3&amp;AC$4,DB_LIST!$J:$J) / N_UNIT) / AC$10, "")</f>
        <v>1.0523042948514378E-2</v>
      </c>
      <c r="AD15" s="275">
        <f>IFERROR((SUMIF(DB_LIST!$A:$A,$A15&amp;AD$3&amp;AD$4,DB_LIST!$J:$J) / N_UNIT) / AD$10, "")</f>
        <v>1.0523042948514378E-2</v>
      </c>
    </row>
    <row r="16" spans="1:31" s="68" customFormat="1" ht="15" customHeight="1">
      <c r="A16" t="str">
        <f t="shared" si="6"/>
        <v>한계이익</v>
      </c>
      <c r="B16"/>
      <c r="C16"/>
      <c r="D16" s="41"/>
      <c r="E16" s="41" t="s">
        <v>711</v>
      </c>
      <c r="F16" s="41"/>
      <c r="G16" s="41">
        <v>0</v>
      </c>
      <c r="H16" s="64"/>
      <c r="I16" s="107"/>
      <c r="J16" s="111" t="s">
        <v>646</v>
      </c>
      <c r="K16" s="276">
        <f>SUMIF(DB_LIST!$A:$A,$A16&amp;K$3&amp;K$4,DB_LIST!$J:$J)/N_UNIT</f>
        <v>0</v>
      </c>
      <c r="L16" s="276">
        <f>SUMIF(DB_LIST!$A:$A,$A16&amp;L$3&amp;L$4,DB_LIST!$J:$J)/N_UNIT</f>
        <v>81.533270172401757</v>
      </c>
      <c r="M16" s="276">
        <f>SUMIF(DB_LIST!$A:$A,$A16&amp;M$3&amp;M$4,DB_LIST!$J:$J)/N_UNIT</f>
        <v>99.070252829811736</v>
      </c>
      <c r="N16" s="276">
        <f>SUMIF(DB_LIST!$A:$A,$A16&amp;N$3&amp;N$4,DB_LIST!$J:$J)/N_UNIT</f>
        <v>7.8285564553635316</v>
      </c>
      <c r="O16" s="276">
        <f>SUMIF(DB_LIST!$A:$A,$A16&amp;O$3&amp;O$4,DB_LIST!$J:$J)/N_UNIT</f>
        <v>8.5211513627043445</v>
      </c>
      <c r="P16" s="276">
        <f>SUMIF(DB_LIST!$A:$A,$A16&amp;P$3&amp;P$4,DB_LIST!$J:$J)/N_UNIT</f>
        <v>6.4982301198374204</v>
      </c>
      <c r="Q16" s="276">
        <f>SUMIF(DB_LIST!$A:$A,$A16&amp;Q$3&amp;Q$4,DB_LIST!$J:$J)/N_UNIT</f>
        <v>7.3051322193411012</v>
      </c>
      <c r="R16" s="276">
        <f>SUMIF(DB_LIST!$A:$A,$A16&amp;R$3&amp;R$4,DB_LIST!$J:$J)/N_UNIT</f>
        <v>11.022020967390656</v>
      </c>
      <c r="S16" s="276">
        <f>SUMIF(DB_LIST!$A:$A,$A16&amp;S$3&amp;S$4,DB_LIST!$J:$J)/N_UNIT</f>
        <v>8.2672348621224394</v>
      </c>
      <c r="T16" s="276">
        <f>SUMIF(DB_LIST!$A:$A,$A16&amp;T$3&amp;T$4,DB_LIST!$J:$J)/N_UNIT</f>
        <v>8.7210503740865928</v>
      </c>
      <c r="U16" s="276">
        <f>SUMIF(DB_LIST!$A:$A,$A16&amp;U$3&amp;U$4,DB_LIST!$J:$J)/N_UNIT</f>
        <v>6.0643338189046148</v>
      </c>
      <c r="V16" s="276">
        <f>SUMIF(DB_LIST!$A:$A,$A16&amp;V$3&amp;V$4,DB_LIST!$J:$J)/N_UNIT</f>
        <v>7.4554350210125877</v>
      </c>
      <c r="W16" s="276">
        <f>SUMIF(DB_LIST!$A:$A,$A16&amp;W$3&amp;W$4,DB_LIST!$J:$J)/N_UNIT</f>
        <v>7.2884425311684549</v>
      </c>
      <c r="X16" s="276">
        <f>SUMIF(DB_LIST!$A:$A,$A16&amp;X$3&amp;X$4,DB_LIST!$J:$J)/N_UNIT</f>
        <v>7.7171570616820429</v>
      </c>
      <c r="Y16" s="276">
        <f>SUMIF(DB_LIST!$A:$A,$A16&amp;Y$3&amp;Y$4,DB_LIST!$J:$J)/N_UNIT</f>
        <v>8.4301628278715146</v>
      </c>
      <c r="Z16" s="276">
        <f>SUMIF(DB_LIST!$A:$A,$A16&amp;Z$3&amp;Z$4,DB_LIST!$J:$J)/N_UNIT</f>
        <v>10.331451804558565</v>
      </c>
      <c r="AA16" s="276">
        <f>SUMIF(DB_LIST!$A:$A,$A16&amp;AA$3&amp;AA$4,DB_LIST!$J:$J)/N_UNIT</f>
        <v>8.8605038727244789</v>
      </c>
      <c r="AB16" s="276">
        <f>SUMIF(DB_LIST!$A:$A,$A16&amp;AB$3&amp;AB$4,DB_LIST!$J:$J)/N_UNIT</f>
        <v>8.5925540973907868</v>
      </c>
      <c r="AC16" s="276">
        <f>SUMIF(DB_LIST!$A:$A,$A16&amp;AC$3&amp;AC$4,DB_LIST!$J:$J)/N_UNIT</f>
        <v>8.6832731756691093</v>
      </c>
      <c r="AD16" s="277">
        <f>SUMIF(DB_LIST!$A:$A,$A16&amp;AD$3&amp;AD$4,DB_LIST!$J:$J)/N_UNIT</f>
        <v>8.6832731756691093</v>
      </c>
    </row>
    <row r="17" spans="1:33" ht="15" customHeight="1">
      <c r="A17" t="str">
        <f t="shared" si="6"/>
        <v/>
      </c>
      <c r="B17"/>
      <c r="C17"/>
      <c r="D17" s="41"/>
      <c r="E17" s="41"/>
      <c r="F17" s="41"/>
      <c r="G17" s="41">
        <v>0</v>
      </c>
      <c r="I17" s="117"/>
      <c r="J17" s="118" t="s">
        <v>647</v>
      </c>
      <c r="K17" s="278" t="str">
        <f>IFERROR(K16/K$10, "")</f>
        <v/>
      </c>
      <c r="L17" s="278">
        <f t="shared" ref="L17:AD17" si="7">IFERROR(L16/L$10, "")</f>
        <v>0.23309540478426632</v>
      </c>
      <c r="M17" s="278">
        <f t="shared" si="7"/>
        <v>0.25329678136931694</v>
      </c>
      <c r="N17" s="278">
        <f t="shared" si="7"/>
        <v>0.329175839251935</v>
      </c>
      <c r="O17" s="278">
        <f t="shared" si="7"/>
        <v>0.29332417962507334</v>
      </c>
      <c r="P17" s="278">
        <f t="shared" si="7"/>
        <v>0.25336068657206867</v>
      </c>
      <c r="Q17" s="278">
        <f t="shared" si="7"/>
        <v>0.19995434528218778</v>
      </c>
      <c r="R17" s="278">
        <f t="shared" si="7"/>
        <v>0.1720227701531849</v>
      </c>
      <c r="S17" s="278">
        <f t="shared" si="7"/>
        <v>0.16651484135429245</v>
      </c>
      <c r="T17" s="278">
        <f t="shared" si="7"/>
        <v>0.2548920123109582</v>
      </c>
      <c r="U17" s="278">
        <f t="shared" si="7"/>
        <v>0.20613329171337932</v>
      </c>
      <c r="V17" s="278">
        <f t="shared" si="7"/>
        <v>0.22797798773209152</v>
      </c>
      <c r="W17" s="278">
        <f t="shared" si="7"/>
        <v>0.26555037751755511</v>
      </c>
      <c r="X17" s="278">
        <f t="shared" si="7"/>
        <v>0.31769351097166348</v>
      </c>
      <c r="Y17" s="278">
        <f t="shared" si="7"/>
        <v>0.35502255248761161</v>
      </c>
      <c r="Z17" s="278">
        <f t="shared" si="7"/>
        <v>0.39294411495048792</v>
      </c>
      <c r="AA17" s="278">
        <f t="shared" si="7"/>
        <v>0.35590222329883464</v>
      </c>
      <c r="AB17" s="278">
        <f t="shared" si="7"/>
        <v>0.28383035921940647</v>
      </c>
      <c r="AC17" s="278">
        <f t="shared" si="7"/>
        <v>0.23404528910850736</v>
      </c>
      <c r="AD17" s="279">
        <f t="shared" si="7"/>
        <v>0.23404528910850736</v>
      </c>
    </row>
    <row r="18" spans="1:33" ht="15" customHeight="1">
      <c r="A18" t="str">
        <f t="shared" si="6"/>
        <v>광고선전비</v>
      </c>
      <c r="B18"/>
      <c r="C18"/>
      <c r="D18" s="41"/>
      <c r="E18" s="41" t="s">
        <v>702</v>
      </c>
      <c r="F18" s="41"/>
      <c r="G18" s="41">
        <v>0</v>
      </c>
      <c r="I18" s="117"/>
      <c r="J18" s="127" t="s">
        <v>648</v>
      </c>
      <c r="K18" s="280">
        <f>SUMIF(DB_LIST!$A:$A,$A18&amp;K$3&amp;K$4,DB_LIST!$J:$J)/N_UNIT</f>
        <v>0</v>
      </c>
      <c r="L18" s="280">
        <f>SUMIF(DB_LIST!$A:$A,$A18&amp;L$3&amp;L$4,DB_LIST!$J:$J)/N_UNIT</f>
        <v>7.1422485863485479</v>
      </c>
      <c r="M18" s="280">
        <f>SUMIF(DB_LIST!$A:$A,$A18&amp;M$3&amp;M$4,DB_LIST!$J:$J)/N_UNIT</f>
        <v>6.788113704694517</v>
      </c>
      <c r="N18" s="280">
        <f>SUMIF(DB_LIST!$A:$A,$A18&amp;N$3&amp;N$4,DB_LIST!$J:$J)/N_UNIT</f>
        <v>0.42264765616228739</v>
      </c>
      <c r="O18" s="280">
        <f>SUMIF(DB_LIST!$A:$A,$A18&amp;O$3&amp;O$4,DB_LIST!$J:$J)/N_UNIT</f>
        <v>0.34735594645076751</v>
      </c>
      <c r="P18" s="280">
        <f>SUMIF(DB_LIST!$A:$A,$A18&amp;P$3&amp;P$4,DB_LIST!$J:$J)/N_UNIT</f>
        <v>0.62457333019136696</v>
      </c>
      <c r="Q18" s="280">
        <f>SUMIF(DB_LIST!$A:$A,$A18&amp;Q$3&amp;Q$4,DB_LIST!$J:$J)/N_UNIT</f>
        <v>0.67714938526410862</v>
      </c>
      <c r="R18" s="280">
        <f>SUMIF(DB_LIST!$A:$A,$A18&amp;R$3&amp;R$4,DB_LIST!$J:$J)/N_UNIT</f>
        <v>0.95581610832754327</v>
      </c>
      <c r="S18" s="280">
        <f>SUMIF(DB_LIST!$A:$A,$A18&amp;S$3&amp;S$4,DB_LIST!$J:$J)/N_UNIT</f>
        <v>1.2776045930698232</v>
      </c>
      <c r="T18" s="280">
        <f>SUMIF(DB_LIST!$A:$A,$A18&amp;T$3&amp;T$4,DB_LIST!$J:$J)/N_UNIT</f>
        <v>0.1420844073298301</v>
      </c>
      <c r="U18" s="280">
        <f>SUMIF(DB_LIST!$A:$A,$A18&amp;U$3&amp;U$4,DB_LIST!$J:$J)/N_UNIT</f>
        <v>0.19252513422870132</v>
      </c>
      <c r="V18" s="280">
        <f>SUMIF(DB_LIST!$A:$A,$A18&amp;V$3&amp;V$4,DB_LIST!$J:$J)/N_UNIT</f>
        <v>0.34476770752395902</v>
      </c>
      <c r="W18" s="280">
        <f>SUMIF(DB_LIST!$A:$A,$A18&amp;W$3&amp;W$4,DB_LIST!$J:$J)/N_UNIT</f>
        <v>0.41375810372600547</v>
      </c>
      <c r="X18" s="280">
        <f>SUMIF(DB_LIST!$A:$A,$A18&amp;X$3&amp;X$4,DB_LIST!$J:$J)/N_UNIT</f>
        <v>2.0350119632924839</v>
      </c>
      <c r="Y18" s="280">
        <f>SUMIF(DB_LIST!$A:$A,$A18&amp;Y$3&amp;Y$4,DB_LIST!$J:$J)/N_UNIT</f>
        <v>7.9578382746500489E-2</v>
      </c>
      <c r="Z18" s="280">
        <f>SUMIF(DB_LIST!$A:$A,$A18&amp;Z$3&amp;Z$4,DB_LIST!$J:$J)/N_UNIT</f>
        <v>0.32971201082114132</v>
      </c>
      <c r="AA18" s="280">
        <f>SUMIF(DB_LIST!$A:$A,$A18&amp;AA$3&amp;AA$4,DB_LIST!$J:$J)/N_UNIT</f>
        <v>0.31612774520311815</v>
      </c>
      <c r="AB18" s="280">
        <f>SUMIF(DB_LIST!$A:$A,$A18&amp;AB$3&amp;AB$4,DB_LIST!$J:$J)/N_UNIT</f>
        <v>0.31521175731246687</v>
      </c>
      <c r="AC18" s="280">
        <f>SUMIF(DB_LIST!$A:$A,$A18&amp;AC$3&amp;AC$4,DB_LIST!$J:$J)/N_UNIT</f>
        <v>0.929980726895278</v>
      </c>
      <c r="AD18" s="281">
        <f>SUMIF(DB_LIST!$A:$A,$A18&amp;AD$3&amp;AD$4,DB_LIST!$J:$J)/N_UNIT</f>
        <v>0.929980726895278</v>
      </c>
    </row>
    <row r="19" spans="1:33" ht="15" customHeight="1">
      <c r="A19" t="str">
        <f t="shared" si="6"/>
        <v>영업이익</v>
      </c>
      <c r="B19"/>
      <c r="C19"/>
      <c r="D19" s="41"/>
      <c r="E19" s="41" t="s">
        <v>699</v>
      </c>
      <c r="F19" s="41"/>
      <c r="G19" s="41">
        <v>0</v>
      </c>
      <c r="I19" s="117"/>
      <c r="J19" s="282" t="s">
        <v>649</v>
      </c>
      <c r="K19" s="283">
        <f>SUMIF(DB_LIST!$A:$A,$A19&amp;K$3&amp;K$4,DB_LIST!$J:$J)/N_UNIT</f>
        <v>0</v>
      </c>
      <c r="L19" s="283">
        <f>SUMIF(DB_LIST!$A:$A,$A19&amp;L$3&amp;L$4,DB_LIST!$J:$J)/N_UNIT</f>
        <v>17.792973547571588</v>
      </c>
      <c r="M19" s="283">
        <f>SUMIF(DB_LIST!$A:$A,$A19&amp;M$3&amp;M$4,DB_LIST!$J:$J)/N_UNIT</f>
        <v>30.850539095737947</v>
      </c>
      <c r="N19" s="283">
        <f>SUMIF(DB_LIST!$A:$A,$A19&amp;N$3&amp;N$4,DB_LIST!$J:$J)/N_UNIT</f>
        <v>2.3428918888876828</v>
      </c>
      <c r="O19" s="283">
        <f>SUMIF(DB_LIST!$A:$A,$A19&amp;O$3&amp;O$4,DB_LIST!$J:$J)/N_UNIT</f>
        <v>2.6962931521414641</v>
      </c>
      <c r="P19" s="283">
        <f>SUMIF(DB_LIST!$A:$A,$A19&amp;P$3&amp;P$4,DB_LIST!$J:$J)/N_UNIT</f>
        <v>1.6545972671049383</v>
      </c>
      <c r="Q19" s="283">
        <f>SUMIF(DB_LIST!$A:$A,$A19&amp;Q$3&amp;Q$4,DB_LIST!$J:$J)/N_UNIT</f>
        <v>2.5629747379129126</v>
      </c>
      <c r="R19" s="283">
        <f>SUMIF(DB_LIST!$A:$A,$A19&amp;R$3&amp;R$4,DB_LIST!$J:$J)/N_UNIT</f>
        <v>1.8059217636208607</v>
      </c>
      <c r="S19" s="283">
        <f>SUMIF(DB_LIST!$A:$A,$A19&amp;S$3&amp;S$4,DB_LIST!$J:$J)/N_UNIT</f>
        <v>3.0378410857253715</v>
      </c>
      <c r="T19" s="283">
        <f>SUMIF(DB_LIST!$A:$A,$A19&amp;T$3&amp;T$4,DB_LIST!$J:$J)/N_UNIT</f>
        <v>3.4468348101365844</v>
      </c>
      <c r="U19" s="283">
        <f>SUMIF(DB_LIST!$A:$A,$A19&amp;U$3&amp;U$4,DB_LIST!$J:$J)/N_UNIT</f>
        <v>1.0108985302216058</v>
      </c>
      <c r="V19" s="283">
        <f>SUMIF(DB_LIST!$A:$A,$A19&amp;V$3&amp;V$4,DB_LIST!$J:$J)/N_UNIT</f>
        <v>1.5924263789830608</v>
      </c>
      <c r="W19" s="283">
        <f>SUMIF(DB_LIST!$A:$A,$A19&amp;W$3&amp;W$4,DB_LIST!$J:$J)/N_UNIT</f>
        <v>1.7339028498944054</v>
      </c>
      <c r="X19" s="283">
        <f>SUMIF(DB_LIST!$A:$A,$A19&amp;X$3&amp;X$4,DB_LIST!$J:$J)/N_UNIT</f>
        <v>0.64504395692723859</v>
      </c>
      <c r="Y19" s="283">
        <f>SUMIF(DB_LIST!$A:$A,$A19&amp;Y$3&amp;Y$4,DB_LIST!$J:$J)/N_UNIT</f>
        <v>2.5662423587092333</v>
      </c>
      <c r="Z19" s="283">
        <f>SUMIF(DB_LIST!$A:$A,$A19&amp;Z$3&amp;Z$4,DB_LIST!$J:$J)/N_UNIT</f>
        <v>5.4466898803577157</v>
      </c>
      <c r="AA19" s="283">
        <f>SUMIF(DB_LIST!$A:$A,$A19&amp;AA$3&amp;AA$4,DB_LIST!$J:$J)/N_UNIT</f>
        <v>3.4525531365450477</v>
      </c>
      <c r="AB19" s="283">
        <f>SUMIF(DB_LIST!$A:$A,$A19&amp;AB$3&amp;AB$4,DB_LIST!$J:$J)/N_UNIT</f>
        <v>3.1539055367443991</v>
      </c>
      <c r="AC19" s="283">
        <f>SUMIF(DB_LIST!$A:$A,$A19&amp;AC$3&amp;AC$4,DB_LIST!$J:$J)/N_UNIT</f>
        <v>1.9021653011256425</v>
      </c>
      <c r="AD19" s="283">
        <f>SUMIF(DB_LIST!$A:$A,$A19&amp;AD$3&amp;AD$4,DB_LIST!$J:$J)/N_UNIT</f>
        <v>1.9021653011256425</v>
      </c>
    </row>
    <row r="20" spans="1:33" ht="15" customHeight="1">
      <c r="A20" t="str">
        <f t="shared" si="6"/>
        <v/>
      </c>
      <c r="B20"/>
      <c r="C20"/>
      <c r="D20" s="41"/>
      <c r="E20" s="41"/>
      <c r="F20" s="41"/>
      <c r="G20" s="41">
        <v>0</v>
      </c>
      <c r="I20" s="117"/>
      <c r="J20" s="118" t="s">
        <v>647</v>
      </c>
      <c r="K20" s="284" t="str">
        <f>IFERROR(K19/K$10, "")</f>
        <v/>
      </c>
      <c r="L20" s="284">
        <f t="shared" ref="L20:AD20" si="8">IFERROR(L19/L$10, "")</f>
        <v>5.0868318695143161E-2</v>
      </c>
      <c r="M20" s="284">
        <f t="shared" si="8"/>
        <v>7.8876777168244455E-2</v>
      </c>
      <c r="N20" s="284">
        <f t="shared" si="8"/>
        <v>9.8514126863423285E-2</v>
      </c>
      <c r="O20" s="284">
        <f t="shared" si="8"/>
        <v>9.2814684684769541E-2</v>
      </c>
      <c r="P20" s="284">
        <f t="shared" si="8"/>
        <v>6.4511396466898879E-2</v>
      </c>
      <c r="Q20" s="284">
        <f t="shared" si="8"/>
        <v>7.0153136220768783E-2</v>
      </c>
      <c r="R20" s="284">
        <f t="shared" si="8"/>
        <v>2.8185363226679735E-2</v>
      </c>
      <c r="S20" s="284">
        <f t="shared" si="8"/>
        <v>6.1186797627670944E-2</v>
      </c>
      <c r="T20" s="284">
        <f t="shared" si="8"/>
        <v>0.10074138127555438</v>
      </c>
      <c r="U20" s="284">
        <f t="shared" si="8"/>
        <v>3.436153876839778E-2</v>
      </c>
      <c r="V20" s="284">
        <f t="shared" si="8"/>
        <v>4.8694430367760319E-2</v>
      </c>
      <c r="W20" s="284">
        <f t="shared" si="8"/>
        <v>6.3173792535125936E-2</v>
      </c>
      <c r="X20" s="284">
        <f t="shared" si="8"/>
        <v>2.6554633755581862E-2</v>
      </c>
      <c r="Y20" s="284">
        <f t="shared" si="8"/>
        <v>0.10807310974808455</v>
      </c>
      <c r="Z20" s="284">
        <f t="shared" si="8"/>
        <v>0.20715817824389382</v>
      </c>
      <c r="AA20" s="284">
        <f t="shared" si="8"/>
        <v>0.13867962307835635</v>
      </c>
      <c r="AB20" s="284">
        <f t="shared" si="8"/>
        <v>0.10418021595116475</v>
      </c>
      <c r="AC20" s="284">
        <f t="shared" si="8"/>
        <v>5.1270162625030695E-2</v>
      </c>
      <c r="AD20" s="284">
        <f t="shared" si="8"/>
        <v>5.1270162625030695E-2</v>
      </c>
    </row>
    <row r="21" spans="1:33" s="70" customFormat="1" ht="15" customHeight="1">
      <c r="A21" t="str">
        <f t="shared" si="6"/>
        <v/>
      </c>
      <c r="B21"/>
      <c r="C21"/>
      <c r="D21" s="41"/>
      <c r="E21" s="41"/>
      <c r="F21" s="41"/>
      <c r="G21" s="41">
        <v>0</v>
      </c>
      <c r="H21" s="64"/>
      <c r="I21" s="117"/>
      <c r="J21" s="285" t="s">
        <v>650</v>
      </c>
      <c r="K21" s="286" t="str">
        <f>IFERROR(K22/K$10, "")</f>
        <v/>
      </c>
      <c r="L21" s="286">
        <f t="shared" ref="L21:AD21" si="9">IFERROR(L22/L$10, "")</f>
        <v>0.16002319335886922</v>
      </c>
      <c r="M21" s="287">
        <f t="shared" si="9"/>
        <v>0.11751344501709685</v>
      </c>
      <c r="N21" s="287">
        <f t="shared" si="9"/>
        <v>9.4938859721836605E-2</v>
      </c>
      <c r="O21" s="287">
        <f t="shared" si="9"/>
        <v>5.0031643683346234E-2</v>
      </c>
      <c r="P21" s="287">
        <f t="shared" si="9"/>
        <v>7.2903824476989218E-2</v>
      </c>
      <c r="Q21" s="287">
        <f t="shared" si="9"/>
        <v>0.24186462769533024</v>
      </c>
      <c r="R21" s="287">
        <f t="shared" si="9"/>
        <v>0.23886136286489226</v>
      </c>
      <c r="S21" s="287">
        <f t="shared" si="9"/>
        <v>0.14831972310309921</v>
      </c>
      <c r="T21" s="287">
        <f t="shared" si="9"/>
        <v>8.3578811720281823E-2</v>
      </c>
      <c r="U21" s="287">
        <f t="shared" si="9"/>
        <v>0.28301798752255486</v>
      </c>
      <c r="V21" s="287">
        <f t="shared" si="9"/>
        <v>0.29109853056450874</v>
      </c>
      <c r="W21" s="287">
        <f t="shared" si="9"/>
        <v>0.20713114935421909</v>
      </c>
      <c r="X21" s="287">
        <f t="shared" si="9"/>
        <v>4.1577929120285975E-2</v>
      </c>
      <c r="Y21" s="287">
        <f t="shared" si="9"/>
        <v>1.4223658343366303E-2</v>
      </c>
      <c r="Z21" s="287">
        <f t="shared" si="9"/>
        <v>9.6960655305190924E-3</v>
      </c>
      <c r="AA21" s="287">
        <f t="shared" si="9"/>
        <v>0.16066871834853649</v>
      </c>
      <c r="AB21" s="287">
        <f t="shared" si="9"/>
        <v>7.2326226130864243E-2</v>
      </c>
      <c r="AC21" s="287">
        <f t="shared" si="9"/>
        <v>0.11138234359912032</v>
      </c>
      <c r="AD21" s="287">
        <f t="shared" si="9"/>
        <v>0.11138234359912032</v>
      </c>
    </row>
    <row r="22" spans="1:33" s="71" customFormat="1" ht="15" customHeight="1">
      <c r="A22" t="str">
        <f t="shared" si="6"/>
        <v>저수익매출</v>
      </c>
      <c r="B22"/>
      <c r="C22"/>
      <c r="D22" s="41"/>
      <c r="E22" s="41" t="s">
        <v>701</v>
      </c>
      <c r="F22" s="41"/>
      <c r="G22" s="41">
        <v>0</v>
      </c>
      <c r="H22" s="64"/>
      <c r="I22" s="117"/>
      <c r="J22" s="118" t="s">
        <v>651</v>
      </c>
      <c r="K22" s="288">
        <f>SUMIF(DB_LIST!$A:$A,$A22&amp;K$3&amp;K$4,DB_LIST!$J:$J)/N_UNIT</f>
        <v>0</v>
      </c>
      <c r="L22" s="288">
        <f>SUMIF(DB_LIST!$A:$A,$A22&amp;L$3&amp;L$4,DB_LIST!$J:$J)/N_UNIT</f>
        <v>55.973708576771749</v>
      </c>
      <c r="M22" s="289">
        <f>SUMIF(DB_LIST!$A:$A,$A22&amp;M$3&amp;M$4,DB_LIST!$J:$J)/N_UNIT</f>
        <v>45.962237047818348</v>
      </c>
      <c r="N22" s="289">
        <f>SUMIF(DB_LIST!$A:$A,$A22&amp;N$3&amp;N$4,DB_LIST!$J:$J)/N_UNIT</f>
        <v>2.2578638360253462</v>
      </c>
      <c r="O22" s="289">
        <f>SUMIF(DB_LIST!$A:$A,$A22&amp;O$3&amp;O$4,DB_LIST!$J:$J)/N_UNIT</f>
        <v>1.4534335672415923</v>
      </c>
      <c r="P22" s="289">
        <f>SUMIF(DB_LIST!$A:$A,$A22&amp;P$3&amp;P$4,DB_LIST!$J:$J)/N_UNIT</f>
        <v>1.8698474277024604</v>
      </c>
      <c r="Q22" s="289">
        <f>SUMIF(DB_LIST!$A:$A,$A22&amp;Q$3&amp;Q$4,DB_LIST!$J:$J)/N_UNIT</f>
        <v>8.8362825124035496</v>
      </c>
      <c r="R22" s="289">
        <f>SUMIF(DB_LIST!$A:$A,$A22&amp;R$3&amp;R$4,DB_LIST!$J:$J)/N_UNIT</f>
        <v>15.304572455448318</v>
      </c>
      <c r="S22" s="289">
        <f>SUMIF(DB_LIST!$A:$A,$A22&amp;S$3&amp;S$4,DB_LIST!$J:$J)/N_UNIT</f>
        <v>7.3638720465122054</v>
      </c>
      <c r="T22" s="289">
        <f>SUMIF(DB_LIST!$A:$A,$A22&amp;T$3&amp;T$4,DB_LIST!$J:$J)/N_UNIT</f>
        <v>2.8596228677799971</v>
      </c>
      <c r="U22" s="289">
        <f>SUMIF(DB_LIST!$A:$A,$A22&amp;U$3&amp;U$4,DB_LIST!$J:$J)/N_UNIT</f>
        <v>8.3262414276963401</v>
      </c>
      <c r="V22" s="289">
        <f>SUMIF(DB_LIST!$A:$A,$A22&amp;V$3&amp;V$4,DB_LIST!$J:$J)/N_UNIT</f>
        <v>9.5196303859227474</v>
      </c>
      <c r="W22" s="289">
        <f>SUMIF(DB_LIST!$A:$A,$A22&amp;W$3&amp;W$4,DB_LIST!$J:$J)/N_UNIT</f>
        <v>5.6850360846626709</v>
      </c>
      <c r="X22" s="289">
        <f>SUMIF(DB_LIST!$A:$A,$A22&amp;X$3&amp;X$4,DB_LIST!$J:$J)/N_UNIT</f>
        <v>1.0099778504740993</v>
      </c>
      <c r="Y22" s="289">
        <f>SUMIF(DB_LIST!$A:$A,$A22&amp;Y$3&amp;Y$4,DB_LIST!$J:$J)/N_UNIT</f>
        <v>0.33774686988871017</v>
      </c>
      <c r="Z22" s="289">
        <f>SUMIF(DB_LIST!$A:$A,$A22&amp;Z$3&amp;Z$4,DB_LIST!$J:$J)/N_UNIT</f>
        <v>0.25493302968800496</v>
      </c>
      <c r="AA22" s="289">
        <f>SUMIF(DB_LIST!$A:$A,$A22&amp;AA$3&amp;AA$4,DB_LIST!$J:$J)/N_UNIT</f>
        <v>3.9999913121013297</v>
      </c>
      <c r="AB22" s="289">
        <f>SUMIF(DB_LIST!$A:$A,$A22&amp;AB$3&amp;AB$4,DB_LIST!$J:$J)/N_UNIT</f>
        <v>2.189572011953675</v>
      </c>
      <c r="AC22" s="289">
        <f>SUMIF(DB_LIST!$A:$A,$A22&amp;AC$3&amp;AC$4,DB_LIST!$J:$J)/N_UNIT</f>
        <v>4.1323767724673495</v>
      </c>
      <c r="AD22" s="289">
        <f>SUMIF(DB_LIST!$A:$A,$A22&amp;AD$3&amp;AD$4,DB_LIST!$J:$J)/N_UNIT</f>
        <v>4.1323767724673495</v>
      </c>
    </row>
    <row r="23" spans="1:33" s="68" customFormat="1" ht="15" customHeight="1">
      <c r="A23" t="str">
        <f t="shared" si="6"/>
        <v/>
      </c>
      <c r="B23"/>
      <c r="C23"/>
      <c r="D23" s="41"/>
      <c r="E23" s="41"/>
      <c r="F23" s="41"/>
      <c r="G23" s="41">
        <v>0</v>
      </c>
      <c r="H23" s="64"/>
      <c r="I23" s="117"/>
      <c r="J23" s="111" t="s">
        <v>652</v>
      </c>
      <c r="K23" s="290" t="str">
        <f>IFERROR(K24/K$10, "")</f>
        <v/>
      </c>
      <c r="L23" s="290">
        <f t="shared" ref="L23:AD23" si="10">IFERROR(L24/L$10, "")</f>
        <v>-2.9145844520993561E-2</v>
      </c>
      <c r="M23" s="290">
        <f t="shared" si="10"/>
        <v>-2.3390396087403224E-2</v>
      </c>
      <c r="N23" s="290">
        <f t="shared" si="10"/>
        <v>-2.4302448539620649E-3</v>
      </c>
      <c r="O23" s="290">
        <f t="shared" si="10"/>
        <v>-2.1395438867528743E-2</v>
      </c>
      <c r="P23" s="290">
        <f t="shared" si="10"/>
        <v>-2.5086263054625451E-2</v>
      </c>
      <c r="Q23" s="290">
        <f t="shared" si="10"/>
        <v>-1.4951558034735647E-2</v>
      </c>
      <c r="R23" s="290">
        <f t="shared" si="10"/>
        <v>-1.2430181914425156E-2</v>
      </c>
      <c r="S23" s="290">
        <f t="shared" si="10"/>
        <v>-3.2341126645944816E-2</v>
      </c>
      <c r="T23" s="290">
        <f t="shared" si="10"/>
        <v>-2.4005565933201797E-2</v>
      </c>
      <c r="U23" s="290">
        <f t="shared" si="10"/>
        <v>-2.2054977519361314E-2</v>
      </c>
      <c r="V23" s="290">
        <f t="shared" si="10"/>
        <v>-8.6117593986587797E-3</v>
      </c>
      <c r="W23" s="290">
        <f t="shared" si="10"/>
        <v>-1.0665410164081887E-2</v>
      </c>
      <c r="X23" s="290">
        <f t="shared" si="10"/>
        <v>-3.9363768572775425E-2</v>
      </c>
      <c r="Y23" s="290">
        <f t="shared" si="10"/>
        <v>-1.4537297033135254E-2</v>
      </c>
      <c r="Z23" s="290">
        <f t="shared" si="10"/>
        <v>-4.7352321186465967E-3</v>
      </c>
      <c r="AA23" s="290">
        <f t="shared" si="10"/>
        <v>-1.1927925260807586E-2</v>
      </c>
      <c r="AB23" s="290">
        <f t="shared" si="10"/>
        <v>-1.9793085977835349E-2</v>
      </c>
      <c r="AC23" s="290">
        <f t="shared" si="10"/>
        <v>-4.9081047899429714E-2</v>
      </c>
      <c r="AD23" s="291">
        <f t="shared" si="10"/>
        <v>-4.9081047899429714E-2</v>
      </c>
    </row>
    <row r="24" spans="1:33" s="69" customFormat="1" ht="15" customHeight="1">
      <c r="A24" t="str">
        <f t="shared" si="6"/>
        <v>한계적자매출</v>
      </c>
      <c r="B24"/>
      <c r="C24"/>
      <c r="D24" s="41"/>
      <c r="E24" s="41" t="s">
        <v>713</v>
      </c>
      <c r="F24" s="41"/>
      <c r="G24" s="41">
        <v>0</v>
      </c>
      <c r="H24" s="64"/>
      <c r="I24" s="117"/>
      <c r="J24" s="292" t="s">
        <v>653</v>
      </c>
      <c r="K24" s="293">
        <f>SUMIF(DB_LIST!$A:$A,$A24&amp;K$3&amp;K$4,DB_LIST!$J:$J)/N_UNIT</f>
        <v>0</v>
      </c>
      <c r="L24" s="293">
        <f>SUMIF(DB_LIST!$A:$A,$A24&amp;L$3&amp;L$4,DB_LIST!$J:$J)/N_UNIT</f>
        <v>-10.194778476788681</v>
      </c>
      <c r="M24" s="293">
        <f>SUMIF(DB_LIST!$A:$A,$A24&amp;M$3&amp;M$4,DB_LIST!$J:$J)/N_UNIT</f>
        <v>-9.14852704263056</v>
      </c>
      <c r="N24" s="293">
        <f>SUMIF(DB_LIST!$A:$A,$A24&amp;N$3&amp;N$4,DB_LIST!$J:$J)/N_UNIT</f>
        <v>-5.7796796638642997E-2</v>
      </c>
      <c r="O24" s="293">
        <f>SUMIF(DB_LIST!$A:$A,$A24&amp;O$3&amp;O$4,DB_LIST!$J:$J)/N_UNIT</f>
        <v>-0.62154362212734493</v>
      </c>
      <c r="P24" s="293">
        <f>SUMIF(DB_LIST!$A:$A,$A24&amp;P$3&amp;P$4,DB_LIST!$J:$J)/N_UNIT</f>
        <v>-0.64341596315244298</v>
      </c>
      <c r="Q24" s="293">
        <f>SUMIF(DB_LIST!$A:$A,$A24&amp;Q$3&amp;Q$4,DB_LIST!$J:$J)/N_UNIT</f>
        <v>-0.54624023386315201</v>
      </c>
      <c r="R24" s="293">
        <f>SUMIF(DB_LIST!$A:$A,$A24&amp;R$3&amp;R$4,DB_LIST!$J:$J)/N_UNIT</f>
        <v>-0.79643948046686897</v>
      </c>
      <c r="S24" s="293">
        <f>SUMIF(DB_LIST!$A:$A,$A24&amp;S$3&amp;S$4,DB_LIST!$J:$J)/N_UNIT</f>
        <v>-1.6056928470345</v>
      </c>
      <c r="T24" s="293">
        <f>SUMIF(DB_LIST!$A:$A,$A24&amp;T$3&amp;T$4,DB_LIST!$J:$J)/N_UNIT</f>
        <v>-0.82134292033642298</v>
      </c>
      <c r="U24" s="293">
        <f>SUMIF(DB_LIST!$A:$A,$A24&amp;U$3&amp;U$4,DB_LIST!$J:$J)/N_UNIT</f>
        <v>-0.64884592359693394</v>
      </c>
      <c r="V24" s="293">
        <f>SUMIF(DB_LIST!$A:$A,$A24&amp;V$3&amp;V$4,DB_LIST!$J:$J)/N_UNIT</f>
        <v>-0.28162549047825103</v>
      </c>
      <c r="W24" s="293">
        <f>SUMIF(DB_LIST!$A:$A,$A24&amp;W$3&amp;W$4,DB_LIST!$J:$J)/N_UNIT</f>
        <v>-0.29272874615707095</v>
      </c>
      <c r="X24" s="293">
        <f>SUMIF(DB_LIST!$A:$A,$A24&amp;X$3&amp;X$4,DB_LIST!$J:$J)/N_UNIT</f>
        <v>-0.95619323066031003</v>
      </c>
      <c r="Y24" s="293">
        <f>SUMIF(DB_LIST!$A:$A,$A24&amp;Y$3&amp;Y$4,DB_LIST!$J:$J)/N_UNIT</f>
        <v>-0.34519435514097396</v>
      </c>
      <c r="Z24" s="293">
        <f>SUMIF(DB_LIST!$A:$A,$A24&amp;Z$3&amp;Z$4,DB_LIST!$J:$J)/N_UNIT</f>
        <v>-0.124500712838922</v>
      </c>
      <c r="AA24" s="293">
        <f>SUMIF(DB_LIST!$A:$A,$A24&amp;AA$3&amp;AA$4,DB_LIST!$J:$J)/N_UNIT</f>
        <v>-0.29695635780901797</v>
      </c>
      <c r="AB24" s="293">
        <f>SUMIF(DB_LIST!$A:$A,$A24&amp;AB$3&amp;AB$4,DB_LIST!$J:$J)/N_UNIT</f>
        <v>-0.59920708442393</v>
      </c>
      <c r="AC24" s="293">
        <f>SUMIF(DB_LIST!$A:$A,$A24&amp;AC$3&amp;AC$4,DB_LIST!$J:$J)/N_UNIT</f>
        <v>-1.82094734007341</v>
      </c>
      <c r="AD24" s="294">
        <f>SUMIF(DB_LIST!$A:$A,$A24&amp;AD$3&amp;AD$4,DB_LIST!$J:$J)/N_UNIT</f>
        <v>-1.82094734007341</v>
      </c>
      <c r="AG24" s="87"/>
    </row>
    <row r="25" spans="1:33" s="72" customFormat="1" ht="15" customHeight="1">
      <c r="A25" t="str">
        <f>TRIM(C25)&amp;TRIM(D25)&amp;TRIM(E25)&amp;TRIM(F25)</f>
        <v>GLT</v>
      </c>
      <c r="B25" t="str">
        <f>N_SUBSIDIARY&amp;E25</f>
        <v>EEUKGLT</v>
      </c>
      <c r="C25"/>
      <c r="D25" s="41"/>
      <c r="E25" s="41" t="str">
        <f>N_PRODUCT1</f>
        <v>GLT</v>
      </c>
      <c r="F25" s="41"/>
      <c r="G25" s="41">
        <v>0</v>
      </c>
      <c r="H25" s="64"/>
      <c r="I25" s="117"/>
      <c r="J25" s="127"/>
      <c r="K25" s="295"/>
      <c r="L25" s="295"/>
      <c r="M25" s="296"/>
      <c r="N25" s="296"/>
      <c r="O25" s="296"/>
      <c r="P25" s="296"/>
      <c r="Q25" s="296"/>
      <c r="R25" s="296"/>
      <c r="S25" s="296"/>
      <c r="T25" s="296"/>
      <c r="U25" s="296"/>
      <c r="V25" s="296"/>
      <c r="W25" s="296"/>
      <c r="X25" s="296"/>
      <c r="Y25" s="296"/>
      <c r="Z25" s="296"/>
      <c r="AA25" s="296"/>
      <c r="AB25" s="297"/>
      <c r="AC25" s="298"/>
      <c r="AD25" s="266"/>
    </row>
    <row r="26" spans="1:33" s="73" customFormat="1" ht="15" customHeight="1">
      <c r="A26" t="str">
        <f t="shared" si="6"/>
        <v>재고일수</v>
      </c>
      <c r="B26"/>
      <c r="C26"/>
      <c r="D26" s="41"/>
      <c r="E26" s="41" t="s">
        <v>285</v>
      </c>
      <c r="F26" s="41"/>
      <c r="G26" s="41">
        <v>0</v>
      </c>
      <c r="H26" s="64"/>
      <c r="I26" s="117"/>
      <c r="J26" s="111" t="s">
        <v>655</v>
      </c>
      <c r="K26" s="299">
        <f>SUMIF(DB_LIST!$A:$A,$A26&amp;K$3&amp;K$4,DB_LIST!$J:$J)</f>
        <v>0</v>
      </c>
      <c r="L26" s="299">
        <f>SUMIF(DB_LIST!$A:$A,$A26&amp;L$3&amp;L$4,DB_LIST!$J:$J)</f>
        <v>246.59079027221171</v>
      </c>
      <c r="M26" s="299">
        <f>SUMIF(DB_LIST!$A:$A,$A26&amp;M$3&amp;M$4,DB_LIST!$J:$J)</f>
        <v>218.45001360950579</v>
      </c>
      <c r="N26" s="299">
        <f>SUMIF(DB_LIST!$A:$A,$A26&amp;N$3&amp;N$4,DB_LIST!$J:$J)</f>
        <v>21.814666082489001</v>
      </c>
      <c r="O26" s="299">
        <f>SUMIF(DB_LIST!$A:$A,$A26&amp;O$3&amp;O$4,DB_LIST!$J:$J)</f>
        <v>20.016122810323999</v>
      </c>
      <c r="P26" s="299">
        <f>SUMIF(DB_LIST!$A:$A,$A26&amp;P$3&amp;P$4,DB_LIST!$J:$J)</f>
        <v>14.200166953115801</v>
      </c>
      <c r="Q26" s="299">
        <f>SUMIF(DB_LIST!$A:$A,$A26&amp;Q$3&amp;Q$4,DB_LIST!$J:$J)</f>
        <v>13.7919098457287</v>
      </c>
      <c r="R26" s="299">
        <f>SUMIF(DB_LIST!$A:$A,$A26&amp;R$3&amp;R$4,DB_LIST!$J:$J)</f>
        <v>20.817236363343302</v>
      </c>
      <c r="S26" s="299">
        <f>SUMIF(DB_LIST!$A:$A,$A26&amp;S$3&amp;S$4,DB_LIST!$J:$J)</f>
        <v>17.948119523582999</v>
      </c>
      <c r="T26" s="299">
        <f>SUMIF(DB_LIST!$A:$A,$A26&amp;T$3&amp;T$4,DB_LIST!$J:$J)</f>
        <v>19.364283171574002</v>
      </c>
      <c r="U26" s="299">
        <f>SUMIF(DB_LIST!$A:$A,$A26&amp;U$3&amp;U$4,DB_LIST!$J:$J)</f>
        <v>16.872486376106799</v>
      </c>
      <c r="V26" s="299">
        <f>SUMIF(DB_LIST!$A:$A,$A26&amp;V$3&amp;V$4,DB_LIST!$J:$J)</f>
        <v>22.095909386353199</v>
      </c>
      <c r="W26" s="299">
        <f>SUMIF(DB_LIST!$A:$A,$A26&amp;W$3&amp;W$4,DB_LIST!$J:$J)</f>
        <v>24.3587965663387</v>
      </c>
      <c r="X26" s="299">
        <f>SUMIF(DB_LIST!$A:$A,$A26&amp;X$3&amp;X$4,DB_LIST!$J:$J)</f>
        <v>26.9856559710006</v>
      </c>
      <c r="Y26" s="299">
        <f>SUMIF(DB_LIST!$A:$A,$A26&amp;Y$3&amp;Y$4,DB_LIST!$J:$J)</f>
        <v>22.789719493513601</v>
      </c>
      <c r="Z26" s="299">
        <f>SUMIF(DB_LIST!$A:$A,$A26&amp;Z$3&amp;Z$4,DB_LIST!$J:$J)</f>
        <v>24.956870066841802</v>
      </c>
      <c r="AA26" s="299">
        <f>SUMIF(DB_LIST!$A:$A,$A26&amp;AA$3&amp;AA$4,DB_LIST!$J:$J)</f>
        <v>15.1192472155179</v>
      </c>
      <c r="AB26" s="299">
        <f>SUMIF(DB_LIST!$A:$A,$A26&amp;AB$3&amp;AB$4,DB_LIST!$J:$J)</f>
        <v>14.904272919192801</v>
      </c>
      <c r="AC26" s="299">
        <f>SUMIF(DB_LIST!$A:$A,$A26&amp;AC$3&amp;AC$4,DB_LIST!$J:$J)</f>
        <v>14.0004707005795</v>
      </c>
      <c r="AD26" s="300">
        <f>SUMIF(DB_LIST!$A:$A,$A26&amp;AD$3&amp;AD$4,DB_LIST!$J:$J)</f>
        <v>14.0004707005795</v>
      </c>
    </row>
    <row r="27" spans="1:33" s="74" customFormat="1" ht="15" customHeight="1">
      <c r="A27" t="str">
        <f t="shared" si="6"/>
        <v>역산법</v>
      </c>
      <c r="B27"/>
      <c r="C27"/>
      <c r="D27" s="41"/>
      <c r="E27" s="41" t="s">
        <v>714</v>
      </c>
      <c r="F27" s="41"/>
      <c r="G27" s="41">
        <v>0</v>
      </c>
      <c r="H27" s="64"/>
      <c r="I27" s="117"/>
      <c r="J27" s="301" t="s">
        <v>656</v>
      </c>
      <c r="K27" s="302">
        <f>SUMIF(DB_LIST!$A:$A,$A27&amp;K$3&amp;K$4,DB_LIST!$J:$J)</f>
        <v>0</v>
      </c>
      <c r="L27" s="302">
        <f>SUMIF(DB_LIST!$A:$A,$A27&amp;L$3&amp;L$4,DB_LIST!$J:$J)</f>
        <v>217.61517224013821</v>
      </c>
      <c r="M27" s="303">
        <f>SUMIF(DB_LIST!$A:$A,$A27&amp;M$3&amp;M$4,DB_LIST!$J:$J)</f>
        <v>190.58571715371309</v>
      </c>
      <c r="N27" s="303">
        <f>SUMIF(DB_LIST!$A:$A,$A27&amp;N$3&amp;N$4,DB_LIST!$J:$J)</f>
        <v>17.446632937437801</v>
      </c>
      <c r="O27" s="303">
        <f>SUMIF(DB_LIST!$A:$A,$A27&amp;O$3&amp;O$4,DB_LIST!$J:$J)</f>
        <v>17.764235620504301</v>
      </c>
      <c r="P27" s="303">
        <f>SUMIF(DB_LIST!$A:$A,$A27&amp;P$3&amp;P$4,DB_LIST!$J:$J)</f>
        <v>17.985727453857201</v>
      </c>
      <c r="Q27" s="303">
        <f>SUMIF(DB_LIST!$A:$A,$A27&amp;Q$3&amp;Q$4,DB_LIST!$J:$J)</f>
        <v>18.591136468726699</v>
      </c>
      <c r="R27" s="303">
        <f>SUMIF(DB_LIST!$A:$A,$A27&amp;R$3&amp;R$4,DB_LIST!$J:$J)</f>
        <v>18.249782789714001</v>
      </c>
      <c r="S27" s="303">
        <f>SUMIF(DB_LIST!$A:$A,$A27&amp;S$3&amp;S$4,DB_LIST!$J:$J)</f>
        <v>17.348658144667201</v>
      </c>
      <c r="T27" s="303">
        <f>SUMIF(DB_LIST!$A:$A,$A27&amp;T$3&amp;T$4,DB_LIST!$J:$J)</f>
        <v>17.556894101717699</v>
      </c>
      <c r="U27" s="303">
        <f>SUMIF(DB_LIST!$A:$A,$A27&amp;U$3&amp;U$4,DB_LIST!$J:$J)</f>
        <v>17.865964046404901</v>
      </c>
      <c r="V27" s="303">
        <f>SUMIF(DB_LIST!$A:$A,$A27&amp;V$3&amp;V$4,DB_LIST!$J:$J)</f>
        <v>17.847405420507599</v>
      </c>
      <c r="W27" s="303">
        <f>SUMIF(DB_LIST!$A:$A,$A27&amp;W$3&amp;W$4,DB_LIST!$J:$J)</f>
        <v>18.8921525542365</v>
      </c>
      <c r="X27" s="303">
        <f>SUMIF(DB_LIST!$A:$A,$A27&amp;X$3&amp;X$4,DB_LIST!$J:$J)</f>
        <v>20.196558676115</v>
      </c>
      <c r="Y27" s="303">
        <f>SUMIF(DB_LIST!$A:$A,$A27&amp;Y$3&amp;Y$4,DB_LIST!$J:$J)</f>
        <v>20.689800843972801</v>
      </c>
      <c r="Z27" s="303">
        <f>SUMIF(DB_LIST!$A:$A,$A27&amp;Z$3&amp;Z$4,DB_LIST!$J:$J)</f>
        <v>21.452992318311999</v>
      </c>
      <c r="AA27" s="303">
        <f>SUMIF(DB_LIST!$A:$A,$A27&amp;AA$3&amp;AA$4,DB_LIST!$J:$J)</f>
        <v>20.994245738941899</v>
      </c>
      <c r="AB27" s="303">
        <f>SUMIF(DB_LIST!$A:$A,$A27&amp;AB$3&amp;AB$4,DB_LIST!$J:$J)</f>
        <v>20.761946716078</v>
      </c>
      <c r="AC27" s="303">
        <f>SUMIF(DB_LIST!$A:$A,$A27&amp;AC$3&amp;AC$4,DB_LIST!$J:$J)</f>
        <v>21.478998878092401</v>
      </c>
      <c r="AD27" s="303">
        <f>SUMIF(DB_LIST!$A:$A,$A27&amp;AD$3&amp;AD$4,DB_LIST!$J:$J)</f>
        <v>21.478998878092401</v>
      </c>
    </row>
    <row r="28" spans="1:33" s="68" customFormat="1" ht="15" customHeight="1">
      <c r="A28" t="str">
        <f t="shared" si="6"/>
        <v>장기재고</v>
      </c>
      <c r="B28"/>
      <c r="C28"/>
      <c r="D28" s="41"/>
      <c r="E28" s="41" t="s">
        <v>715</v>
      </c>
      <c r="F28" s="41"/>
      <c r="G28" s="41">
        <v>0</v>
      </c>
      <c r="H28" s="64"/>
      <c r="I28" s="117"/>
      <c r="J28" s="111" t="s">
        <v>657</v>
      </c>
      <c r="K28" s="304">
        <f>SUMIF(DB_LIST!$A:$A,$A28&amp;K$3&amp;K$4,DB_LIST!$J:$J)/N_UNIT</f>
        <v>0</v>
      </c>
      <c r="L28" s="304">
        <f>SUMIF(DB_LIST!$A:$A,$A28&amp;L$3&amp;L$4,DB_LIST!$J:$J)/N_UNIT</f>
        <v>0</v>
      </c>
      <c r="M28" s="304">
        <f>SUMIF(DB_LIST!$A:$A,$A28&amp;M$3&amp;M$4,DB_LIST!$J:$J)/N_UNIT</f>
        <v>4.6136777456765099</v>
      </c>
      <c r="N28" s="304">
        <f>SUMIF(DB_LIST!$A:$A,$A28&amp;N$3&amp;N$4,DB_LIST!$J:$J)/N_UNIT</f>
        <v>0.29746483947027202</v>
      </c>
      <c r="O28" s="304">
        <f>SUMIF(DB_LIST!$A:$A,$A28&amp;O$3&amp;O$4,DB_LIST!$J:$J)/N_UNIT</f>
        <v>0.72915456079261998</v>
      </c>
      <c r="P28" s="304">
        <f>SUMIF(DB_LIST!$A:$A,$A28&amp;P$3&amp;P$4,DB_LIST!$J:$J)/N_UNIT</f>
        <v>0.60914322695745293</v>
      </c>
      <c r="Q28" s="304">
        <f>SUMIF(DB_LIST!$A:$A,$A28&amp;Q$3&amp;Q$4,DB_LIST!$J:$J)/N_UNIT</f>
        <v>0.39215354176584399</v>
      </c>
      <c r="R28" s="304">
        <f>SUMIF(DB_LIST!$A:$A,$A28&amp;R$3&amp;R$4,DB_LIST!$J:$J)/N_UNIT</f>
        <v>0.314962859876669</v>
      </c>
      <c r="S28" s="304">
        <f>SUMIF(DB_LIST!$A:$A,$A28&amp;S$3&amp;S$4,DB_LIST!$J:$J)/N_UNIT</f>
        <v>9.0335363953329695E-2</v>
      </c>
      <c r="T28" s="304">
        <f>SUMIF(DB_LIST!$A:$A,$A28&amp;T$3&amp;T$4,DB_LIST!$J:$J)/N_UNIT</f>
        <v>0.23825106686972899</v>
      </c>
      <c r="U28" s="304">
        <f>SUMIF(DB_LIST!$A:$A,$A28&amp;U$3&amp;U$4,DB_LIST!$J:$J)/N_UNIT</f>
        <v>0.41338406797361699</v>
      </c>
      <c r="V28" s="304">
        <f>SUMIF(DB_LIST!$A:$A,$A28&amp;V$3&amp;V$4,DB_LIST!$J:$J)/N_UNIT</f>
        <v>0.11661264089230799</v>
      </c>
      <c r="W28" s="304">
        <f>SUMIF(DB_LIST!$A:$A,$A28&amp;W$3&amp;W$4,DB_LIST!$J:$J)/N_UNIT</f>
        <v>0.24549230669085301</v>
      </c>
      <c r="X28" s="304">
        <f>SUMIF(DB_LIST!$A:$A,$A28&amp;X$3&amp;X$4,DB_LIST!$J:$J)/N_UNIT</f>
        <v>0.67594239976651604</v>
      </c>
      <c r="Y28" s="304">
        <f>SUMIF(DB_LIST!$A:$A,$A28&amp;Y$3&amp;Y$4,DB_LIST!$J:$J)/N_UNIT</f>
        <v>0.48701303229605902</v>
      </c>
      <c r="Z28" s="304">
        <f>SUMIF(DB_LIST!$A:$A,$A28&amp;Z$3&amp;Z$4,DB_LIST!$J:$J)/N_UNIT</f>
        <v>0.60722117618357208</v>
      </c>
      <c r="AA28" s="304">
        <f>SUMIF(DB_LIST!$A:$A,$A28&amp;AA$3&amp;AA$4,DB_LIST!$J:$J)/N_UNIT</f>
        <v>0.204613548501658</v>
      </c>
      <c r="AB28" s="304">
        <f>SUMIF(DB_LIST!$A:$A,$A28&amp;AB$3&amp;AB$4,DB_LIST!$J:$J)/N_UNIT</f>
        <v>0.56929864217680992</v>
      </c>
      <c r="AC28" s="304">
        <f>SUMIF(DB_LIST!$A:$A,$A28&amp;AC$3&amp;AC$4,DB_LIST!$J:$J)/N_UNIT</f>
        <v>0.31081765071154699</v>
      </c>
      <c r="AD28" s="305">
        <f>SUMIF(DB_LIST!$A:$A,$A28&amp;AD$3&amp;AD$4,DB_LIST!$J:$J)/N_UNIT</f>
        <v>0.31081765071154699</v>
      </c>
    </row>
    <row r="29" spans="1:33" s="75" customFormat="1" ht="15" customHeight="1">
      <c r="A29" t="str">
        <f t="shared" si="6"/>
        <v/>
      </c>
      <c r="B29"/>
      <c r="C29"/>
      <c r="D29" s="41"/>
      <c r="E29" s="41"/>
      <c r="F29" s="41"/>
      <c r="G29" s="41">
        <v>0</v>
      </c>
      <c r="H29" s="64"/>
      <c r="I29" s="117"/>
      <c r="J29" s="118" t="s">
        <v>647</v>
      </c>
      <c r="K29" s="306" t="str">
        <f>IFERROR(K28/K$10, "")</f>
        <v/>
      </c>
      <c r="L29" s="306">
        <f t="shared" ref="L29:AD29" si="11">IFERROR(L28/L$10, "")</f>
        <v>0</v>
      </c>
      <c r="M29" s="306">
        <f t="shared" si="11"/>
        <v>1.1795969929163718E-2</v>
      </c>
      <c r="N29" s="306">
        <f t="shared" si="11"/>
        <v>1.2507828070075779E-2</v>
      </c>
      <c r="O29" s="306">
        <f t="shared" si="11"/>
        <v>2.5099737612981163E-2</v>
      </c>
      <c r="P29" s="306">
        <f t="shared" si="11"/>
        <v>2.3749997054048157E-2</v>
      </c>
      <c r="Q29" s="306">
        <f t="shared" si="11"/>
        <v>1.0733933670122263E-2</v>
      </c>
      <c r="R29" s="306">
        <f t="shared" si="11"/>
        <v>4.9156850464766198E-3</v>
      </c>
      <c r="S29" s="306">
        <f t="shared" si="11"/>
        <v>1.8194933430872918E-3</v>
      </c>
      <c r="T29" s="306">
        <f t="shared" si="11"/>
        <v>6.9634151007892013E-3</v>
      </c>
      <c r="U29" s="306">
        <f t="shared" si="11"/>
        <v>1.405137336068691E-2</v>
      </c>
      <c r="V29" s="306">
        <f t="shared" si="11"/>
        <v>3.5658704206830614E-3</v>
      </c>
      <c r="W29" s="306">
        <f t="shared" si="11"/>
        <v>8.9443765853444053E-3</v>
      </c>
      <c r="X29" s="306">
        <f t="shared" si="11"/>
        <v>2.7826635181846436E-2</v>
      </c>
      <c r="Y29" s="306">
        <f t="shared" si="11"/>
        <v>2.0509759224203884E-2</v>
      </c>
      <c r="Z29" s="306">
        <f t="shared" si="11"/>
        <v>2.3094913683802731E-2</v>
      </c>
      <c r="AA29" s="306">
        <f t="shared" si="11"/>
        <v>8.218766999580596E-3</v>
      </c>
      <c r="AB29" s="306">
        <f t="shared" si="11"/>
        <v>1.8805146441991088E-2</v>
      </c>
      <c r="AC29" s="306">
        <f t="shared" si="11"/>
        <v>8.3776480883552898E-3</v>
      </c>
      <c r="AD29" s="307">
        <f t="shared" si="11"/>
        <v>8.3776480883552898E-3</v>
      </c>
    </row>
    <row r="30" spans="1:33" s="70" customFormat="1" ht="15" customHeight="1">
      <c r="A30" t="str">
        <f t="shared" si="6"/>
        <v/>
      </c>
      <c r="B30"/>
      <c r="C30"/>
      <c r="D30" s="41"/>
      <c r="E30" s="41"/>
      <c r="F30" s="41"/>
      <c r="G30" s="41">
        <v>0</v>
      </c>
      <c r="H30" s="64"/>
      <c r="I30" s="166"/>
      <c r="J30" s="308"/>
      <c r="K30" s="309"/>
      <c r="L30" s="309"/>
      <c r="M30" s="310"/>
      <c r="N30" s="311"/>
      <c r="O30" s="311"/>
      <c r="P30" s="311"/>
      <c r="Q30" s="311"/>
      <c r="R30" s="311"/>
      <c r="S30" s="311"/>
      <c r="T30" s="311"/>
      <c r="U30" s="311"/>
      <c r="V30" s="311"/>
      <c r="W30" s="311"/>
      <c r="X30" s="311"/>
      <c r="Y30" s="311"/>
      <c r="Z30" s="311"/>
      <c r="AA30" s="311"/>
      <c r="AB30" s="311"/>
      <c r="AC30" s="311"/>
      <c r="AD30" s="266"/>
    </row>
    <row r="31" spans="1:33" s="71" customFormat="1" ht="15" customHeight="1">
      <c r="A31" t="str">
        <f t="shared" si="6"/>
        <v/>
      </c>
      <c r="B31"/>
      <c r="C31"/>
      <c r="D31" s="41"/>
      <c r="E31" s="41"/>
      <c r="F31" s="41"/>
      <c r="G31" s="41">
        <v>0</v>
      </c>
      <c r="H31" s="64"/>
      <c r="I31" s="117"/>
      <c r="J31" s="129"/>
      <c r="K31" s="295"/>
      <c r="L31" s="295"/>
      <c r="M31" s="295"/>
      <c r="N31" s="295"/>
      <c r="O31" s="295"/>
      <c r="P31" s="295"/>
      <c r="Q31" s="295"/>
      <c r="R31" s="295"/>
      <c r="S31" s="295"/>
      <c r="T31" s="295"/>
      <c r="U31" s="295"/>
      <c r="V31" s="295"/>
      <c r="W31" s="295"/>
      <c r="X31" s="295"/>
      <c r="Y31" s="295"/>
      <c r="Z31" s="312"/>
      <c r="AA31" s="295"/>
      <c r="AB31" s="295"/>
      <c r="AC31" s="312"/>
      <c r="AD31" s="266"/>
    </row>
    <row r="32" spans="1:33" s="76" customFormat="1" ht="15" customHeight="1">
      <c r="A32" t="str">
        <f t="shared" si="6"/>
        <v/>
      </c>
      <c r="B32"/>
      <c r="C32"/>
      <c r="D32" s="41"/>
      <c r="E32" s="41"/>
      <c r="F32" s="41"/>
      <c r="G32" s="41">
        <v>0</v>
      </c>
      <c r="H32" s="64"/>
      <c r="I32" s="117"/>
      <c r="J32" s="163" t="s">
        <v>658</v>
      </c>
      <c r="K32" s="313"/>
      <c r="L32" s="313"/>
      <c r="M32" s="313"/>
      <c r="N32" s="313"/>
      <c r="O32" s="313"/>
      <c r="P32" s="313"/>
      <c r="Q32" s="313"/>
      <c r="R32" s="313"/>
      <c r="S32" s="313"/>
      <c r="T32" s="313"/>
      <c r="U32" s="313"/>
      <c r="V32" s="313"/>
      <c r="W32" s="313"/>
      <c r="X32" s="313"/>
      <c r="Y32" s="313"/>
      <c r="Z32" s="313"/>
      <c r="AA32" s="313"/>
      <c r="AB32" s="313"/>
      <c r="AC32" s="313"/>
      <c r="AD32" s="266"/>
    </row>
    <row r="33" spans="1:30" s="73" customFormat="1" ht="15" customHeight="1">
      <c r="A33" t="str">
        <f t="shared" si="6"/>
        <v/>
      </c>
      <c r="B33"/>
      <c r="C33"/>
      <c r="D33" s="41"/>
      <c r="E33" s="41"/>
      <c r="F33" s="41"/>
      <c r="G33" s="41">
        <v>0</v>
      </c>
      <c r="H33" s="64"/>
      <c r="I33" s="117"/>
      <c r="J33" s="314" t="s">
        <v>659</v>
      </c>
      <c r="K33" s="297"/>
      <c r="L33" s="297"/>
      <c r="M33" s="297"/>
      <c r="N33" s="297"/>
      <c r="O33" s="297"/>
      <c r="P33" s="297"/>
      <c r="Q33" s="297"/>
      <c r="R33" s="297"/>
      <c r="S33" s="297"/>
      <c r="T33" s="297"/>
      <c r="U33" s="297"/>
      <c r="V33" s="297"/>
      <c r="W33" s="297"/>
      <c r="X33" s="297"/>
      <c r="Y33" s="297"/>
      <c r="Z33" s="297"/>
      <c r="AA33" s="297"/>
      <c r="AB33" s="297"/>
      <c r="AC33" s="297"/>
      <c r="AD33" s="266"/>
    </row>
    <row r="34" spans="1:30" s="74" customFormat="1" ht="15" customHeight="1">
      <c r="A34" t="str">
        <f t="shared" si="6"/>
        <v/>
      </c>
      <c r="B34"/>
      <c r="C34"/>
      <c r="D34" s="41"/>
      <c r="E34" s="41"/>
      <c r="F34" s="41"/>
      <c r="G34" s="41">
        <v>0</v>
      </c>
      <c r="H34" s="64"/>
      <c r="I34" s="315"/>
      <c r="J34" s="163" t="s">
        <v>660</v>
      </c>
      <c r="K34" s="316"/>
      <c r="L34" s="316"/>
      <c r="M34" s="316"/>
      <c r="N34" s="316"/>
      <c r="O34" s="316"/>
      <c r="P34" s="316"/>
      <c r="Q34" s="316"/>
      <c r="R34" s="316"/>
      <c r="S34" s="316"/>
      <c r="T34" s="316"/>
      <c r="U34" s="316"/>
      <c r="V34" s="316"/>
      <c r="W34" s="316"/>
      <c r="X34" s="316"/>
      <c r="Y34" s="316"/>
      <c r="Z34" s="316"/>
      <c r="AA34" s="316"/>
      <c r="AB34" s="316"/>
      <c r="AC34" s="316"/>
      <c r="AD34" s="266"/>
    </row>
    <row r="35" spans="1:30" s="68" customFormat="1" ht="15" customHeight="1">
      <c r="A35" t="str">
        <f t="shared" si="6"/>
        <v/>
      </c>
      <c r="B35"/>
      <c r="C35"/>
      <c r="D35" s="41"/>
      <c r="E35" s="41"/>
      <c r="F35" s="41"/>
      <c r="G35" s="41">
        <v>0</v>
      </c>
      <c r="H35" s="64"/>
      <c r="I35" s="315"/>
      <c r="J35" s="317" t="s">
        <v>659</v>
      </c>
      <c r="K35" s="318"/>
      <c r="L35" s="318"/>
      <c r="M35" s="318"/>
      <c r="N35" s="318"/>
      <c r="O35" s="318"/>
      <c r="P35" s="318"/>
      <c r="Q35" s="318"/>
      <c r="R35" s="318"/>
      <c r="S35" s="318"/>
      <c r="T35" s="318"/>
      <c r="U35" s="318"/>
      <c r="V35" s="318"/>
      <c r="W35" s="318"/>
      <c r="X35" s="318"/>
      <c r="Y35" s="318"/>
      <c r="Z35" s="318"/>
      <c r="AA35" s="318"/>
      <c r="AB35" s="318"/>
      <c r="AC35" s="318"/>
      <c r="AD35" s="266"/>
    </row>
    <row r="36" spans="1:30" ht="15" customHeight="1">
      <c r="A36" t="str">
        <f t="shared" si="6"/>
        <v/>
      </c>
      <c r="D36" s="41"/>
      <c r="E36" s="41"/>
      <c r="F36" s="41"/>
      <c r="G36" s="41">
        <v>0</v>
      </c>
      <c r="I36" s="315"/>
      <c r="J36" s="163" t="s">
        <v>661</v>
      </c>
      <c r="K36" s="316"/>
      <c r="L36" s="316"/>
      <c r="M36" s="316"/>
      <c r="N36" s="316"/>
      <c r="O36" s="316"/>
      <c r="P36" s="316"/>
      <c r="Q36" s="316"/>
      <c r="R36" s="316"/>
      <c r="S36" s="316"/>
      <c r="T36" s="316"/>
      <c r="U36" s="316"/>
      <c r="V36" s="316"/>
      <c r="W36" s="316"/>
      <c r="X36" s="316"/>
      <c r="Y36" s="316"/>
      <c r="Z36" s="316"/>
      <c r="AA36" s="316"/>
      <c r="AB36" s="316"/>
      <c r="AC36" s="316"/>
      <c r="AD36" s="266"/>
    </row>
    <row r="37" spans="1:30" s="75" customFormat="1" ht="15" customHeight="1">
      <c r="A37" t="str">
        <f t="shared" si="6"/>
        <v/>
      </c>
      <c r="D37" s="41"/>
      <c r="E37" s="41"/>
      <c r="F37" s="41"/>
      <c r="G37" s="41">
        <v>0</v>
      </c>
      <c r="H37" s="64"/>
      <c r="I37" s="315"/>
      <c r="J37" s="314" t="s">
        <v>659</v>
      </c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  <c r="V37" s="319"/>
      <c r="W37" s="319"/>
      <c r="X37" s="319"/>
      <c r="Y37" s="319"/>
      <c r="Z37" s="319"/>
      <c r="AA37" s="319"/>
      <c r="AB37" s="319"/>
      <c r="AC37" s="319"/>
      <c r="AD37" s="266"/>
    </row>
    <row r="38" spans="1:30" ht="15" customHeight="1">
      <c r="A38" t="str">
        <f t="shared" si="6"/>
        <v/>
      </c>
      <c r="D38" s="41"/>
      <c r="E38" s="41"/>
      <c r="F38" s="41"/>
      <c r="G38" s="41">
        <v>0</v>
      </c>
      <c r="I38" s="315"/>
      <c r="J38" s="273" t="s">
        <v>662</v>
      </c>
      <c r="K38" s="320"/>
      <c r="L38" s="320"/>
      <c r="M38" s="320"/>
      <c r="N38" s="320"/>
      <c r="O38" s="320"/>
      <c r="P38" s="320"/>
      <c r="Q38" s="320"/>
      <c r="R38" s="320"/>
      <c r="S38" s="320"/>
      <c r="T38" s="320"/>
      <c r="U38" s="320"/>
      <c r="V38" s="320"/>
      <c r="W38" s="320"/>
      <c r="X38" s="320"/>
      <c r="Y38" s="320"/>
      <c r="Z38" s="320"/>
      <c r="AA38" s="320"/>
      <c r="AB38" s="320"/>
      <c r="AC38" s="320"/>
      <c r="AD38" s="266"/>
    </row>
    <row r="39" spans="1:30" ht="15" customHeight="1">
      <c r="A39" t="str">
        <f t="shared" si="6"/>
        <v/>
      </c>
      <c r="D39" s="41"/>
      <c r="E39" s="41"/>
      <c r="F39" s="41"/>
      <c r="G39" s="41">
        <v>0</v>
      </c>
      <c r="I39" s="315"/>
      <c r="J39" s="273" t="s">
        <v>663</v>
      </c>
      <c r="K39" s="320"/>
      <c r="L39" s="320"/>
      <c r="M39" s="320"/>
      <c r="N39" s="320"/>
      <c r="O39" s="320"/>
      <c r="P39" s="320"/>
      <c r="Q39" s="320"/>
      <c r="R39" s="320"/>
      <c r="S39" s="320"/>
      <c r="T39" s="320"/>
      <c r="U39" s="320"/>
      <c r="V39" s="320"/>
      <c r="W39" s="320"/>
      <c r="X39" s="320"/>
      <c r="Y39" s="320"/>
      <c r="Z39" s="320"/>
      <c r="AA39" s="320"/>
      <c r="AB39" s="320"/>
      <c r="AC39" s="320"/>
      <c r="AD39" s="266"/>
    </row>
    <row r="40" spans="1:30" ht="15" customHeight="1">
      <c r="A40" t="str">
        <f t="shared" si="6"/>
        <v/>
      </c>
      <c r="D40" s="41"/>
      <c r="E40" s="41"/>
      <c r="F40" s="41"/>
      <c r="G40" s="41">
        <v>0</v>
      </c>
      <c r="I40" s="315"/>
      <c r="J40" s="273" t="s">
        <v>664</v>
      </c>
      <c r="K40" s="321"/>
      <c r="L40" s="321"/>
      <c r="M40" s="321"/>
      <c r="N40" s="321"/>
      <c r="O40" s="321"/>
      <c r="P40" s="321"/>
      <c r="Q40" s="321"/>
      <c r="R40" s="321"/>
      <c r="S40" s="321"/>
      <c r="T40" s="321"/>
      <c r="U40" s="321"/>
      <c r="V40" s="321"/>
      <c r="W40" s="321"/>
      <c r="X40" s="321"/>
      <c r="Y40" s="321"/>
      <c r="Z40" s="321"/>
      <c r="AA40" s="321"/>
      <c r="AB40" s="321"/>
      <c r="AC40" s="321"/>
      <c r="AD40" s="266"/>
    </row>
    <row r="41" spans="1:30" ht="15" customHeight="1">
      <c r="A41" t="str">
        <f t="shared" si="6"/>
        <v/>
      </c>
      <c r="D41" s="41"/>
      <c r="E41" s="41"/>
      <c r="F41" s="41"/>
      <c r="G41" s="41">
        <v>0</v>
      </c>
      <c r="I41" s="315"/>
      <c r="J41" s="322" t="s">
        <v>665</v>
      </c>
      <c r="K41" s="323"/>
      <c r="L41" s="323"/>
      <c r="M41" s="323"/>
      <c r="N41" s="323"/>
      <c r="O41" s="323"/>
      <c r="P41" s="323"/>
      <c r="Q41" s="323"/>
      <c r="R41" s="323"/>
      <c r="S41" s="323"/>
      <c r="T41" s="323"/>
      <c r="U41" s="323"/>
      <c r="V41" s="323"/>
      <c r="W41" s="323"/>
      <c r="X41" s="323"/>
      <c r="Y41" s="323"/>
      <c r="Z41" s="323"/>
      <c r="AA41" s="323"/>
      <c r="AB41" s="323"/>
      <c r="AC41" s="323"/>
      <c r="AD41" s="266"/>
    </row>
    <row r="42" spans="1:30" ht="15" customHeight="1">
      <c r="A42" t="str">
        <f t="shared" si="6"/>
        <v/>
      </c>
      <c r="D42" s="41"/>
      <c r="E42" s="41"/>
      <c r="F42" s="41"/>
      <c r="G42" s="41">
        <v>0</v>
      </c>
      <c r="I42" s="315"/>
      <c r="J42" s="273" t="s">
        <v>666</v>
      </c>
      <c r="K42" s="295"/>
      <c r="L42" s="295"/>
      <c r="M42" s="295"/>
      <c r="N42" s="295"/>
      <c r="O42" s="295"/>
      <c r="P42" s="295"/>
      <c r="Q42" s="295"/>
      <c r="R42" s="295"/>
      <c r="S42" s="295"/>
      <c r="T42" s="295"/>
      <c r="U42" s="295"/>
      <c r="V42" s="295"/>
      <c r="W42" s="295"/>
      <c r="X42" s="295"/>
      <c r="Y42" s="295"/>
      <c r="Z42" s="295"/>
      <c r="AA42" s="295"/>
      <c r="AB42" s="295"/>
      <c r="AC42" s="295"/>
      <c r="AD42" s="266"/>
    </row>
    <row r="43" spans="1:30" ht="15" customHeight="1">
      <c r="A43" t="str">
        <f t="shared" si="6"/>
        <v/>
      </c>
      <c r="D43" s="41"/>
      <c r="E43" s="41"/>
      <c r="F43" s="41"/>
      <c r="G43" s="41">
        <v>0</v>
      </c>
      <c r="I43" s="315"/>
      <c r="J43" s="273" t="s">
        <v>667</v>
      </c>
      <c r="K43" s="295"/>
      <c r="L43" s="295"/>
      <c r="M43" s="295"/>
      <c r="N43" s="295"/>
      <c r="O43" s="295"/>
      <c r="P43" s="295"/>
      <c r="Q43" s="295"/>
      <c r="R43" s="295"/>
      <c r="S43" s="295"/>
      <c r="T43" s="295"/>
      <c r="U43" s="295"/>
      <c r="V43" s="295"/>
      <c r="W43" s="295"/>
      <c r="X43" s="295"/>
      <c r="Y43" s="295"/>
      <c r="Z43" s="295"/>
      <c r="AA43" s="295"/>
      <c r="AB43" s="295"/>
      <c r="AC43" s="295"/>
      <c r="AD43" s="266"/>
    </row>
    <row r="44" spans="1:30" ht="15" customHeight="1">
      <c r="A44" t="str">
        <f t="shared" si="6"/>
        <v/>
      </c>
      <c r="D44" s="41"/>
      <c r="E44" s="41"/>
      <c r="F44" s="41"/>
      <c r="G44" s="41">
        <v>0</v>
      </c>
      <c r="I44" s="315"/>
      <c r="J44" s="273" t="s">
        <v>668</v>
      </c>
      <c r="K44" s="295"/>
      <c r="L44" s="295"/>
      <c r="M44" s="295"/>
      <c r="N44" s="295"/>
      <c r="O44" s="295"/>
      <c r="P44" s="295"/>
      <c r="Q44" s="295"/>
      <c r="R44" s="295"/>
      <c r="S44" s="295"/>
      <c r="T44" s="295"/>
      <c r="U44" s="295"/>
      <c r="V44" s="295"/>
      <c r="W44" s="295"/>
      <c r="X44" s="295"/>
      <c r="Y44" s="295"/>
      <c r="Z44" s="295"/>
      <c r="AA44" s="295"/>
      <c r="AB44" s="295"/>
      <c r="AC44" s="295"/>
      <c r="AD44" s="266"/>
    </row>
    <row r="45" spans="1:30" ht="15" customHeight="1">
      <c r="A45" t="str">
        <f t="shared" si="6"/>
        <v/>
      </c>
      <c r="D45" s="41"/>
      <c r="E45" s="41"/>
      <c r="F45" s="41"/>
      <c r="G45" s="41">
        <v>0</v>
      </c>
      <c r="I45" s="315"/>
      <c r="J45" s="163" t="s">
        <v>669</v>
      </c>
      <c r="K45" s="324"/>
      <c r="L45" s="324"/>
      <c r="M45" s="324"/>
      <c r="N45" s="324"/>
      <c r="O45" s="324"/>
      <c r="P45" s="324"/>
      <c r="Q45" s="324"/>
      <c r="R45" s="324"/>
      <c r="S45" s="324"/>
      <c r="T45" s="324"/>
      <c r="U45" s="324"/>
      <c r="V45" s="324"/>
      <c r="W45" s="324"/>
      <c r="X45" s="324"/>
      <c r="Y45" s="324"/>
      <c r="Z45" s="324"/>
      <c r="AA45" s="324"/>
      <c r="AB45" s="324"/>
      <c r="AC45" s="324"/>
      <c r="AD45" s="266"/>
    </row>
    <row r="46" spans="1:30" ht="15" customHeight="1">
      <c r="A46" t="str">
        <f t="shared" si="6"/>
        <v/>
      </c>
      <c r="D46" s="41"/>
      <c r="E46" s="41"/>
      <c r="F46" s="41"/>
      <c r="G46" s="41">
        <v>0</v>
      </c>
      <c r="I46" s="315"/>
      <c r="J46" s="314" t="s">
        <v>659</v>
      </c>
      <c r="K46" s="297"/>
      <c r="L46" s="297"/>
      <c r="M46" s="297"/>
      <c r="N46" s="297"/>
      <c r="O46" s="297"/>
      <c r="P46" s="297"/>
      <c r="Q46" s="297"/>
      <c r="R46" s="297"/>
      <c r="S46" s="297"/>
      <c r="T46" s="297"/>
      <c r="U46" s="297"/>
      <c r="V46" s="297"/>
      <c r="W46" s="297"/>
      <c r="X46" s="297"/>
      <c r="Y46" s="297"/>
      <c r="Z46" s="297"/>
      <c r="AA46" s="297"/>
      <c r="AB46" s="297"/>
      <c r="AC46" s="297"/>
      <c r="AD46" s="266"/>
    </row>
    <row r="47" spans="1:30" ht="15" customHeight="1">
      <c r="A47" t="str">
        <f t="shared" si="6"/>
        <v/>
      </c>
      <c r="D47" s="41"/>
      <c r="E47" s="41"/>
      <c r="F47" s="41"/>
      <c r="G47" s="41">
        <v>0</v>
      </c>
      <c r="I47" s="166"/>
      <c r="J47" s="308"/>
      <c r="K47" s="168"/>
      <c r="L47" s="168"/>
      <c r="M47" s="168"/>
      <c r="N47" s="325"/>
      <c r="O47" s="325"/>
      <c r="P47" s="325"/>
      <c r="Q47" s="325"/>
      <c r="R47" s="325"/>
      <c r="S47" s="325"/>
      <c r="T47" s="325"/>
      <c r="U47" s="325"/>
      <c r="V47" s="325"/>
      <c r="W47" s="325"/>
      <c r="X47" s="325"/>
      <c r="Y47" s="325"/>
      <c r="Z47" s="325"/>
      <c r="AA47" s="325"/>
      <c r="AB47" s="325"/>
      <c r="AC47" s="325"/>
      <c r="AD47" s="247"/>
    </row>
    <row r="48" spans="1:30" ht="15" customHeight="1">
      <c r="J48" s="64"/>
    </row>
    <row r="49" spans="10:10" ht="17.25" customHeight="1">
      <c r="J49" s="64"/>
    </row>
    <row r="50" spans="10:10" ht="17.25" customHeight="1">
      <c r="J50" s="64"/>
    </row>
    <row r="51" spans="10:10" ht="17.25" customHeight="1">
      <c r="J51" s="64"/>
    </row>
    <row r="52" spans="10:10" ht="17.25" customHeight="1">
      <c r="J52" s="64"/>
    </row>
    <row r="53" spans="10:10" ht="17.25" customHeight="1">
      <c r="J53" s="64"/>
    </row>
    <row r="54" spans="10:10" ht="17.25" customHeight="1">
      <c r="J54" s="64"/>
    </row>
    <row r="55" spans="10:10" ht="17.25" customHeight="1">
      <c r="J55" s="64"/>
    </row>
    <row r="56" spans="10:10" ht="17.25" customHeight="1">
      <c r="J56" s="64"/>
    </row>
  </sheetData>
  <mergeCells count="1">
    <mergeCell ref="I7:J8"/>
  </mergeCells>
  <phoneticPr fontId="2" type="noConversion"/>
  <conditionalFormatting sqref="K32:AC46 AB25:AC25 AA11:AC11">
    <cfRule type="expression" dxfId="0" priority="1" stopIfTrue="1">
      <formula>K11=""</formula>
    </cfRule>
  </conditionalFormatting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BL472"/>
  <sheetViews>
    <sheetView showGridLines="0" zoomScale="85" zoomScaleNormal="85" workbookViewId="0">
      <pane xSplit="11" ySplit="9" topLeftCell="L10" activePane="bottomRight" state="frozen"/>
      <selection pane="topRight" activeCell="J1" sqref="J1"/>
      <selection pane="bottomLeft" activeCell="A10" sqref="A10"/>
      <selection pane="bottomRight" activeCell="L10" sqref="L10"/>
    </sheetView>
  </sheetViews>
  <sheetFormatPr defaultRowHeight="16.5"/>
  <cols>
    <col min="1" max="1" width="28.125" style="9" customWidth="1"/>
    <col min="2" max="6" width="2.625" hidden="1" customWidth="1"/>
    <col min="7" max="7" width="4.75" customWidth="1"/>
    <col min="8" max="8" width="16.75" customWidth="1"/>
    <col min="9" max="9" width="21.125" customWidth="1"/>
    <col min="10" max="10" width="7.625" customWidth="1"/>
    <col min="11" max="11" width="1.125" customWidth="1"/>
    <col min="36" max="40" width="9.5" bestFit="1" customWidth="1"/>
    <col min="41" max="41" width="10.625" bestFit="1" customWidth="1"/>
    <col min="42" max="47" width="9.125" bestFit="1" customWidth="1"/>
    <col min="48" max="52" width="9.5" bestFit="1" customWidth="1"/>
    <col min="53" max="53" width="10.625" bestFit="1" customWidth="1"/>
    <col min="54" max="59" width="9.125" bestFit="1" customWidth="1"/>
    <col min="60" max="60" width="1.75" customWidth="1"/>
    <col min="61" max="64" width="11" customWidth="1"/>
  </cols>
  <sheetData>
    <row r="1" spans="1:64">
      <c r="C1" s="9"/>
      <c r="E1" s="9"/>
      <c r="G1" s="9"/>
      <c r="I1" s="9"/>
      <c r="K1" s="9"/>
      <c r="M1" s="9"/>
      <c r="O1" s="9"/>
      <c r="Q1" s="9"/>
      <c r="S1" s="9"/>
      <c r="U1" s="9"/>
      <c r="W1" s="9"/>
      <c r="Y1" s="9"/>
      <c r="AA1" s="9"/>
      <c r="AC1" s="9"/>
      <c r="AE1" s="9"/>
      <c r="AG1" s="9"/>
      <c r="AI1" s="9"/>
      <c r="AK1" s="9"/>
      <c r="AM1" s="9"/>
      <c r="AO1" s="9"/>
      <c r="AQ1" s="9"/>
      <c r="AS1" s="9"/>
      <c r="AU1" s="9"/>
      <c r="AW1" s="9"/>
      <c r="AY1" s="9"/>
      <c r="BA1" s="9"/>
      <c r="BC1" s="9"/>
      <c r="BE1" s="9"/>
      <c r="BG1" s="9"/>
      <c r="BI1" s="9"/>
      <c r="BK1" s="9"/>
    </row>
    <row r="5" spans="1:64" ht="17.25" thickBot="1"/>
    <row r="6" spans="1:64">
      <c r="L6" s="23">
        <v>1</v>
      </c>
      <c r="M6" s="24">
        <v>2</v>
      </c>
      <c r="N6" s="24">
        <v>3</v>
      </c>
      <c r="O6" s="24">
        <v>4</v>
      </c>
      <c r="P6" s="24">
        <v>5</v>
      </c>
      <c r="Q6" s="24">
        <v>6</v>
      </c>
      <c r="R6" s="24">
        <v>7</v>
      </c>
      <c r="S6" s="24">
        <v>8</v>
      </c>
      <c r="T6" s="24">
        <v>9</v>
      </c>
      <c r="U6" s="24">
        <v>10</v>
      </c>
      <c r="V6" s="24">
        <v>11</v>
      </c>
      <c r="W6" s="25">
        <v>12</v>
      </c>
      <c r="X6" s="23">
        <v>13</v>
      </c>
      <c r="Y6" s="24">
        <v>14</v>
      </c>
      <c r="Z6" s="24">
        <v>15</v>
      </c>
      <c r="AA6" s="24">
        <v>16</v>
      </c>
      <c r="AB6" s="24">
        <v>17</v>
      </c>
      <c r="AC6" s="24">
        <v>18</v>
      </c>
      <c r="AD6" s="24">
        <v>19</v>
      </c>
      <c r="AE6" s="24">
        <v>20</v>
      </c>
      <c r="AF6" s="24">
        <v>21</v>
      </c>
      <c r="AG6" s="24">
        <v>22</v>
      </c>
      <c r="AH6" s="24">
        <v>23</v>
      </c>
      <c r="AI6" s="25">
        <v>24</v>
      </c>
      <c r="AJ6" s="23">
        <v>25</v>
      </c>
      <c r="AK6" s="24">
        <v>26</v>
      </c>
      <c r="AL6" s="24">
        <v>27</v>
      </c>
      <c r="AM6" s="24">
        <v>28</v>
      </c>
      <c r="AN6" s="24">
        <v>29</v>
      </c>
      <c r="AO6" s="24">
        <v>30</v>
      </c>
      <c r="AP6" s="24">
        <v>31</v>
      </c>
      <c r="AQ6" s="24">
        <v>32</v>
      </c>
      <c r="AR6" s="24">
        <v>33</v>
      </c>
      <c r="AS6" s="24">
        <v>34</v>
      </c>
      <c r="AT6" s="24">
        <v>35</v>
      </c>
      <c r="AU6" s="25">
        <v>36</v>
      </c>
      <c r="AV6" s="23">
        <v>37</v>
      </c>
      <c r="AW6" s="24">
        <v>38</v>
      </c>
      <c r="AX6" s="24">
        <v>39</v>
      </c>
      <c r="AY6" s="24">
        <v>40</v>
      </c>
      <c r="AZ6" s="24">
        <v>41</v>
      </c>
      <c r="BA6" s="24">
        <v>42</v>
      </c>
      <c r="BB6" s="24">
        <v>43</v>
      </c>
      <c r="BC6" s="24">
        <v>44</v>
      </c>
      <c r="BD6" s="24">
        <v>45</v>
      </c>
      <c r="BE6" s="24">
        <v>46</v>
      </c>
      <c r="BF6" s="24">
        <v>47</v>
      </c>
      <c r="BG6" s="25">
        <v>48</v>
      </c>
      <c r="BI6" s="31"/>
      <c r="BJ6" s="31"/>
      <c r="BK6" s="31"/>
      <c r="BL6" s="31">
        <f>--RIGHT(N_YYYYMM,2)</f>
        <v>10</v>
      </c>
    </row>
    <row r="7" spans="1:64">
      <c r="I7" s="20"/>
      <c r="K7" s="20" t="s">
        <v>73</v>
      </c>
      <c r="L7" s="26" t="str">
        <f t="shared" ref="L7:BG7" si="0">TEXT(DATE(LEFT(N_YYYYMM,4)-3,L$6,1),"YYYYMM")</f>
        <v>201201</v>
      </c>
      <c r="M7" s="22" t="str">
        <f t="shared" si="0"/>
        <v>201202</v>
      </c>
      <c r="N7" s="22" t="str">
        <f t="shared" si="0"/>
        <v>201203</v>
      </c>
      <c r="O7" s="22" t="str">
        <f t="shared" si="0"/>
        <v>201204</v>
      </c>
      <c r="P7" s="22" t="str">
        <f t="shared" si="0"/>
        <v>201205</v>
      </c>
      <c r="Q7" s="22" t="str">
        <f t="shared" si="0"/>
        <v>201206</v>
      </c>
      <c r="R7" s="22" t="str">
        <f t="shared" si="0"/>
        <v>201207</v>
      </c>
      <c r="S7" s="22" t="str">
        <f t="shared" si="0"/>
        <v>201208</v>
      </c>
      <c r="T7" s="22" t="str">
        <f t="shared" si="0"/>
        <v>201209</v>
      </c>
      <c r="U7" s="22" t="str">
        <f t="shared" si="0"/>
        <v>201210</v>
      </c>
      <c r="V7" s="22" t="str">
        <f t="shared" si="0"/>
        <v>201211</v>
      </c>
      <c r="W7" s="27" t="str">
        <f t="shared" si="0"/>
        <v>201212</v>
      </c>
      <c r="X7" s="26" t="str">
        <f t="shared" si="0"/>
        <v>201301</v>
      </c>
      <c r="Y7" s="22" t="str">
        <f t="shared" si="0"/>
        <v>201302</v>
      </c>
      <c r="Z7" s="22" t="str">
        <f t="shared" si="0"/>
        <v>201303</v>
      </c>
      <c r="AA7" s="22" t="str">
        <f t="shared" si="0"/>
        <v>201304</v>
      </c>
      <c r="AB7" s="22" t="str">
        <f t="shared" si="0"/>
        <v>201305</v>
      </c>
      <c r="AC7" s="22" t="str">
        <f t="shared" si="0"/>
        <v>201306</v>
      </c>
      <c r="AD7" s="22" t="str">
        <f t="shared" si="0"/>
        <v>201307</v>
      </c>
      <c r="AE7" s="22" t="str">
        <f t="shared" si="0"/>
        <v>201308</v>
      </c>
      <c r="AF7" s="22" t="str">
        <f t="shared" si="0"/>
        <v>201309</v>
      </c>
      <c r="AG7" s="22" t="str">
        <f t="shared" si="0"/>
        <v>201310</v>
      </c>
      <c r="AH7" s="22" t="str">
        <f t="shared" si="0"/>
        <v>201311</v>
      </c>
      <c r="AI7" s="27" t="str">
        <f t="shared" si="0"/>
        <v>201312</v>
      </c>
      <c r="AJ7" s="26" t="str">
        <f t="shared" si="0"/>
        <v>201401</v>
      </c>
      <c r="AK7" s="22" t="str">
        <f t="shared" si="0"/>
        <v>201402</v>
      </c>
      <c r="AL7" s="22" t="str">
        <f t="shared" si="0"/>
        <v>201403</v>
      </c>
      <c r="AM7" s="22" t="str">
        <f t="shared" si="0"/>
        <v>201404</v>
      </c>
      <c r="AN7" s="22" t="str">
        <f t="shared" si="0"/>
        <v>201405</v>
      </c>
      <c r="AO7" s="22" t="str">
        <f t="shared" si="0"/>
        <v>201406</v>
      </c>
      <c r="AP7" s="22" t="str">
        <f t="shared" si="0"/>
        <v>201407</v>
      </c>
      <c r="AQ7" s="22" t="str">
        <f t="shared" si="0"/>
        <v>201408</v>
      </c>
      <c r="AR7" s="22" t="str">
        <f t="shared" si="0"/>
        <v>201409</v>
      </c>
      <c r="AS7" s="22" t="str">
        <f t="shared" si="0"/>
        <v>201410</v>
      </c>
      <c r="AT7" s="22" t="str">
        <f t="shared" si="0"/>
        <v>201411</v>
      </c>
      <c r="AU7" s="27" t="str">
        <f t="shared" si="0"/>
        <v>201412</v>
      </c>
      <c r="AV7" s="26" t="str">
        <f t="shared" si="0"/>
        <v>201501</v>
      </c>
      <c r="AW7" s="22" t="str">
        <f t="shared" si="0"/>
        <v>201502</v>
      </c>
      <c r="AX7" s="22" t="str">
        <f t="shared" si="0"/>
        <v>201503</v>
      </c>
      <c r="AY7" s="22" t="str">
        <f t="shared" si="0"/>
        <v>201504</v>
      </c>
      <c r="AZ7" s="22" t="str">
        <f t="shared" si="0"/>
        <v>201505</v>
      </c>
      <c r="BA7" s="22" t="str">
        <f t="shared" si="0"/>
        <v>201506</v>
      </c>
      <c r="BB7" s="22" t="str">
        <f t="shared" si="0"/>
        <v>201507</v>
      </c>
      <c r="BC7" s="22" t="str">
        <f t="shared" si="0"/>
        <v>201508</v>
      </c>
      <c r="BD7" s="22" t="str">
        <f t="shared" si="0"/>
        <v>201509</v>
      </c>
      <c r="BE7" s="22" t="str">
        <f t="shared" si="0"/>
        <v>201510</v>
      </c>
      <c r="BF7" s="22" t="str">
        <f t="shared" si="0"/>
        <v>201511</v>
      </c>
      <c r="BG7" s="27" t="str">
        <f t="shared" si="0"/>
        <v>201512</v>
      </c>
      <c r="BI7" s="32" t="str">
        <f>LEFT(L7,4)&amp;"연간"</f>
        <v>2012연간</v>
      </c>
      <c r="BJ7" s="32" t="str">
        <f>LEFT(X7,4)&amp;"연간"</f>
        <v>2013연간</v>
      </c>
      <c r="BK7" s="32" t="str">
        <f>LEFT(AJ7,4)&amp;"연간"</f>
        <v>2014연간</v>
      </c>
      <c r="BL7" s="32" t="str">
        <f>N_YYYYMM&amp;"누계"</f>
        <v>201510누계</v>
      </c>
    </row>
    <row r="8" spans="1:64" ht="17.25" thickBot="1">
      <c r="A8" s="9" t="s">
        <v>79</v>
      </c>
      <c r="I8" s="20"/>
      <c r="K8" s="20" t="s">
        <v>57</v>
      </c>
      <c r="L8" s="28" t="str">
        <f t="shared" ref="L8:BG8" si="1">TEXT(DATE(LEFT(N_YYYYMM,4)-4,L$6,1),"YYYYMM")</f>
        <v>201101</v>
      </c>
      <c r="M8" s="29" t="str">
        <f t="shared" si="1"/>
        <v>201102</v>
      </c>
      <c r="N8" s="29" t="str">
        <f t="shared" si="1"/>
        <v>201103</v>
      </c>
      <c r="O8" s="29" t="str">
        <f t="shared" si="1"/>
        <v>201104</v>
      </c>
      <c r="P8" s="29" t="str">
        <f t="shared" si="1"/>
        <v>201105</v>
      </c>
      <c r="Q8" s="29" t="str">
        <f t="shared" si="1"/>
        <v>201106</v>
      </c>
      <c r="R8" s="29" t="str">
        <f t="shared" si="1"/>
        <v>201107</v>
      </c>
      <c r="S8" s="29" t="str">
        <f t="shared" si="1"/>
        <v>201108</v>
      </c>
      <c r="T8" s="29" t="str">
        <f t="shared" si="1"/>
        <v>201109</v>
      </c>
      <c r="U8" s="29" t="str">
        <f t="shared" si="1"/>
        <v>201110</v>
      </c>
      <c r="V8" s="29" t="str">
        <f t="shared" si="1"/>
        <v>201111</v>
      </c>
      <c r="W8" s="30" t="str">
        <f t="shared" si="1"/>
        <v>201112</v>
      </c>
      <c r="X8" s="28" t="str">
        <f t="shared" si="1"/>
        <v>201201</v>
      </c>
      <c r="Y8" s="29" t="str">
        <f t="shared" si="1"/>
        <v>201202</v>
      </c>
      <c r="Z8" s="29" t="str">
        <f t="shared" si="1"/>
        <v>201203</v>
      </c>
      <c r="AA8" s="29" t="str">
        <f t="shared" si="1"/>
        <v>201204</v>
      </c>
      <c r="AB8" s="29" t="str">
        <f t="shared" si="1"/>
        <v>201205</v>
      </c>
      <c r="AC8" s="29" t="str">
        <f t="shared" si="1"/>
        <v>201206</v>
      </c>
      <c r="AD8" s="29" t="str">
        <f t="shared" si="1"/>
        <v>201207</v>
      </c>
      <c r="AE8" s="29" t="str">
        <f t="shared" si="1"/>
        <v>201208</v>
      </c>
      <c r="AF8" s="29" t="str">
        <f t="shared" si="1"/>
        <v>201209</v>
      </c>
      <c r="AG8" s="29" t="str">
        <f t="shared" si="1"/>
        <v>201210</v>
      </c>
      <c r="AH8" s="29" t="str">
        <f t="shared" si="1"/>
        <v>201211</v>
      </c>
      <c r="AI8" s="30" t="str">
        <f t="shared" si="1"/>
        <v>201212</v>
      </c>
      <c r="AJ8" s="28" t="str">
        <f t="shared" si="1"/>
        <v>201301</v>
      </c>
      <c r="AK8" s="29" t="str">
        <f t="shared" si="1"/>
        <v>201302</v>
      </c>
      <c r="AL8" s="29" t="str">
        <f t="shared" si="1"/>
        <v>201303</v>
      </c>
      <c r="AM8" s="29" t="str">
        <f t="shared" si="1"/>
        <v>201304</v>
      </c>
      <c r="AN8" s="29" t="str">
        <f t="shared" si="1"/>
        <v>201305</v>
      </c>
      <c r="AO8" s="29" t="str">
        <f t="shared" si="1"/>
        <v>201306</v>
      </c>
      <c r="AP8" s="29" t="str">
        <f t="shared" si="1"/>
        <v>201307</v>
      </c>
      <c r="AQ8" s="29" t="str">
        <f t="shared" si="1"/>
        <v>201308</v>
      </c>
      <c r="AR8" s="29" t="str">
        <f t="shared" si="1"/>
        <v>201309</v>
      </c>
      <c r="AS8" s="29" t="str">
        <f t="shared" si="1"/>
        <v>201310</v>
      </c>
      <c r="AT8" s="29" t="str">
        <f t="shared" si="1"/>
        <v>201311</v>
      </c>
      <c r="AU8" s="30" t="str">
        <f t="shared" si="1"/>
        <v>201312</v>
      </c>
      <c r="AV8" s="28" t="str">
        <f t="shared" si="1"/>
        <v>201401</v>
      </c>
      <c r="AW8" s="29" t="str">
        <f t="shared" si="1"/>
        <v>201402</v>
      </c>
      <c r="AX8" s="29" t="str">
        <f t="shared" si="1"/>
        <v>201403</v>
      </c>
      <c r="AY8" s="29" t="str">
        <f t="shared" si="1"/>
        <v>201404</v>
      </c>
      <c r="AZ8" s="29" t="str">
        <f t="shared" si="1"/>
        <v>201405</v>
      </c>
      <c r="BA8" s="29" t="str">
        <f t="shared" si="1"/>
        <v>201406</v>
      </c>
      <c r="BB8" s="29" t="str">
        <f t="shared" si="1"/>
        <v>201407</v>
      </c>
      <c r="BC8" s="29" t="str">
        <f t="shared" si="1"/>
        <v>201408</v>
      </c>
      <c r="BD8" s="29" t="str">
        <f t="shared" si="1"/>
        <v>201409</v>
      </c>
      <c r="BE8" s="29" t="str">
        <f t="shared" si="1"/>
        <v>201410</v>
      </c>
      <c r="BF8" s="29" t="str">
        <f t="shared" si="1"/>
        <v>201411</v>
      </c>
      <c r="BG8" s="30" t="str">
        <f t="shared" si="1"/>
        <v>201412</v>
      </c>
      <c r="BI8" s="33"/>
      <c r="BJ8" s="33"/>
      <c r="BK8" s="33"/>
      <c r="BL8" s="33"/>
    </row>
    <row r="9" spans="1:64" ht="6.75" customHeight="1">
      <c r="K9" s="20"/>
    </row>
    <row r="10" spans="1:64">
      <c r="A10" s="21" t="str">
        <f>TRIM(B10)&amp;TRIM(C10)&amp;TRIM(D10)&amp;TRIM(E10)&amp;TRIM(F10)&amp;TRIM(G10)&amp;TRIM(H10)&amp;TRIM(I10)&amp;TRIM(J10)</f>
        <v>GBUSALE1.당월실적_법인전체_SALE금년</v>
      </c>
      <c r="B10" s="18"/>
      <c r="C10" s="18"/>
      <c r="D10" s="18"/>
      <c r="E10" s="18"/>
      <c r="F10" s="18"/>
      <c r="G10" s="18" t="s">
        <v>44</v>
      </c>
      <c r="H10" s="18" t="s">
        <v>45</v>
      </c>
      <c r="I10" s="18" t="s">
        <v>115</v>
      </c>
      <c r="J10" s="21" t="s">
        <v>73</v>
      </c>
      <c r="K10" s="20"/>
      <c r="L10" s="35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7"/>
      <c r="X10" s="35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7"/>
      <c r="AJ10" s="35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7"/>
      <c r="AV10" s="35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7"/>
      <c r="BH10" s="38"/>
      <c r="BI10" s="36"/>
      <c r="BJ10" s="36"/>
      <c r="BK10" s="36"/>
      <c r="BL10" s="36"/>
    </row>
    <row r="11" spans="1:64">
      <c r="A11" s="21" t="str">
        <f>TRIM(B11)&amp;TRIM(C11)&amp;TRIM(D11)&amp;TRIM(E11)&amp;TRIM(F11)&amp;TRIM(G11)&amp;TRIM(H11)&amp;TRIM(I11)&amp;TRIM(J11)</f>
        <v>GBUSALE1.당월실적_법인전체_SALE전년</v>
      </c>
      <c r="B11" s="18"/>
      <c r="C11" s="18"/>
      <c r="D11" s="18"/>
      <c r="E11" s="18"/>
      <c r="F11" s="18"/>
      <c r="G11" s="18" t="str">
        <f>G10</f>
        <v>GBU</v>
      </c>
      <c r="H11" s="18" t="str">
        <f>H10</f>
        <v>SALE</v>
      </c>
      <c r="I11" s="18" t="s">
        <v>116</v>
      </c>
      <c r="J11" s="34" t="s">
        <v>57</v>
      </c>
      <c r="K11" s="20"/>
      <c r="L11" s="35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7"/>
      <c r="X11" s="35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7"/>
      <c r="AJ11" s="35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7"/>
      <c r="AV11" s="35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7"/>
      <c r="BH11" s="38"/>
      <c r="BI11" s="36"/>
      <c r="BJ11" s="36"/>
      <c r="BK11" s="36"/>
      <c r="BL11" s="36"/>
    </row>
    <row r="12" spans="1:64">
      <c r="A12" s="17"/>
      <c r="K12" s="20"/>
    </row>
    <row r="13" spans="1:64">
      <c r="A13" s="21" t="str">
        <f t="shared" ref="A13:A32" si="2">TRIM(B13)&amp;TRIM(C13)&amp;TRIM(D13)&amp;TRIM(E13)&amp;TRIM(F13)&amp;TRIM(G13)&amp;TRIM(H13)&amp;TRIM(I13)&amp;TRIM(J13)</f>
        <v>GLTSALE2.당월실적_B2C금년</v>
      </c>
      <c r="B13" s="18"/>
      <c r="C13" s="18"/>
      <c r="D13" s="18"/>
      <c r="E13" s="18"/>
      <c r="F13" s="18"/>
      <c r="G13" s="18" t="s">
        <v>13</v>
      </c>
      <c r="H13" s="18" t="s">
        <v>77</v>
      </c>
      <c r="I13" s="18" t="s">
        <v>78</v>
      </c>
      <c r="J13" s="21" t="s">
        <v>73</v>
      </c>
      <c r="K13" s="20"/>
      <c r="L13" s="35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7"/>
      <c r="X13" s="35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7"/>
      <c r="AJ13" s="35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7"/>
      <c r="AV13" s="35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7"/>
      <c r="BH13" s="38"/>
      <c r="BI13" s="36"/>
      <c r="BJ13" s="36"/>
      <c r="BK13" s="36"/>
      <c r="BL13" s="36"/>
    </row>
    <row r="14" spans="1:64">
      <c r="A14" s="21" t="str">
        <f t="shared" si="2"/>
        <v>GLTSALE2.당월실적_B2C전년</v>
      </c>
      <c r="B14" s="18"/>
      <c r="C14" s="18"/>
      <c r="D14" s="18"/>
      <c r="E14" s="18"/>
      <c r="F14" s="18"/>
      <c r="G14" s="18" t="s">
        <v>13</v>
      </c>
      <c r="H14" s="18" t="s">
        <v>77</v>
      </c>
      <c r="I14" s="18" t="s">
        <v>78</v>
      </c>
      <c r="J14" s="34" t="s">
        <v>57</v>
      </c>
      <c r="K14" s="20"/>
      <c r="L14" s="35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7"/>
      <c r="X14" s="35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7"/>
      <c r="AJ14" s="35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7"/>
      <c r="AV14" s="35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7"/>
      <c r="BH14" s="38"/>
      <c r="BI14" s="36"/>
      <c r="BJ14" s="36"/>
      <c r="BK14" s="36"/>
      <c r="BL14" s="36"/>
    </row>
    <row r="15" spans="1:64">
      <c r="A15" s="21" t="str">
        <f t="shared" si="2"/>
        <v>GTTSALE2.당월실적_B2C금년</v>
      </c>
      <c r="B15" s="18"/>
      <c r="C15" s="18"/>
      <c r="D15" s="18"/>
      <c r="E15" s="18"/>
      <c r="F15" s="18"/>
      <c r="G15" s="18" t="s">
        <v>15</v>
      </c>
      <c r="H15" s="18" t="s">
        <v>77</v>
      </c>
      <c r="I15" s="18" t="s">
        <v>78</v>
      </c>
      <c r="J15" s="21" t="s">
        <v>73</v>
      </c>
      <c r="K15" s="20"/>
      <c r="L15" s="35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7"/>
      <c r="X15" s="35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7"/>
      <c r="AJ15" s="35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7"/>
      <c r="AV15" s="35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7"/>
      <c r="BH15" s="38"/>
      <c r="BI15" s="36"/>
      <c r="BJ15" s="36"/>
      <c r="BK15" s="36"/>
      <c r="BL15" s="36"/>
    </row>
    <row r="16" spans="1:64">
      <c r="A16" s="21" t="str">
        <f t="shared" si="2"/>
        <v>GTTSALE2.당월실적_B2C전년</v>
      </c>
      <c r="B16" s="18"/>
      <c r="C16" s="18"/>
      <c r="D16" s="18"/>
      <c r="E16" s="18"/>
      <c r="F16" s="18"/>
      <c r="G16" s="18" t="s">
        <v>15</v>
      </c>
      <c r="H16" s="18" t="s">
        <v>77</v>
      </c>
      <c r="I16" s="18" t="s">
        <v>78</v>
      </c>
      <c r="J16" s="34" t="s">
        <v>57</v>
      </c>
      <c r="K16" s="20"/>
      <c r="L16" s="35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7"/>
      <c r="X16" s="35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7"/>
      <c r="AJ16" s="35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7"/>
      <c r="AV16" s="35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7"/>
      <c r="BH16" s="38"/>
      <c r="BI16" s="36"/>
      <c r="BJ16" s="36"/>
      <c r="BK16" s="36"/>
      <c r="BL16" s="36"/>
    </row>
    <row r="17" spans="1:64">
      <c r="A17" s="21" t="str">
        <f t="shared" si="2"/>
        <v>PNTSALE2.당월실적_B2C금년</v>
      </c>
      <c r="B17" s="18"/>
      <c r="C17" s="18"/>
      <c r="D17" s="18"/>
      <c r="E17" s="18"/>
      <c r="F17" s="18"/>
      <c r="G17" s="18" t="s">
        <v>17</v>
      </c>
      <c r="H17" s="18" t="s">
        <v>77</v>
      </c>
      <c r="I17" s="18" t="s">
        <v>78</v>
      </c>
      <c r="J17" s="21" t="s">
        <v>73</v>
      </c>
      <c r="K17" s="20"/>
      <c r="L17" s="35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7"/>
      <c r="X17" s="35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7"/>
      <c r="AJ17" s="35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7"/>
      <c r="AV17" s="35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7"/>
      <c r="BH17" s="38"/>
      <c r="BI17" s="36"/>
      <c r="BJ17" s="36"/>
      <c r="BK17" s="36"/>
      <c r="BL17" s="36"/>
    </row>
    <row r="18" spans="1:64">
      <c r="A18" s="21" t="str">
        <f t="shared" si="2"/>
        <v>PNTSALE2.당월실적_B2C전년</v>
      </c>
      <c r="B18" s="18"/>
      <c r="C18" s="18"/>
      <c r="D18" s="18"/>
      <c r="E18" s="18"/>
      <c r="F18" s="18"/>
      <c r="G18" s="18" t="s">
        <v>17</v>
      </c>
      <c r="H18" s="18" t="s">
        <v>77</v>
      </c>
      <c r="I18" s="18" t="s">
        <v>78</v>
      </c>
      <c r="J18" s="34" t="s">
        <v>57</v>
      </c>
      <c r="K18" s="20"/>
      <c r="L18" s="35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7"/>
      <c r="X18" s="35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7"/>
      <c r="AJ18" s="35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7"/>
      <c r="AV18" s="35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7"/>
      <c r="BH18" s="38"/>
      <c r="BI18" s="36"/>
      <c r="BJ18" s="36"/>
      <c r="BK18" s="36"/>
      <c r="BL18" s="36"/>
    </row>
    <row r="19" spans="1:64">
      <c r="A19" s="21" t="str">
        <f t="shared" si="2"/>
        <v>MSTSALE2.당월실적_B2C금년</v>
      </c>
      <c r="B19" s="18"/>
      <c r="C19" s="18"/>
      <c r="D19" s="18"/>
      <c r="E19" s="18"/>
      <c r="F19" s="18"/>
      <c r="G19" s="18" t="s">
        <v>16</v>
      </c>
      <c r="H19" s="18" t="s">
        <v>77</v>
      </c>
      <c r="I19" s="18" t="s">
        <v>78</v>
      </c>
      <c r="J19" s="21" t="s">
        <v>73</v>
      </c>
      <c r="K19" s="20"/>
      <c r="L19" s="35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7"/>
      <c r="X19" s="35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7"/>
      <c r="AJ19" s="35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7"/>
      <c r="AV19" s="35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7"/>
      <c r="BH19" s="38"/>
      <c r="BI19" s="36"/>
      <c r="BJ19" s="36"/>
      <c r="BK19" s="36"/>
      <c r="BL19" s="36"/>
    </row>
    <row r="20" spans="1:64">
      <c r="A20" s="21" t="str">
        <f t="shared" si="2"/>
        <v>MSTSALE2.당월실적_B2C전년</v>
      </c>
      <c r="B20" s="18"/>
      <c r="C20" s="18"/>
      <c r="D20" s="18"/>
      <c r="E20" s="18"/>
      <c r="F20" s="18"/>
      <c r="G20" s="18" t="s">
        <v>16</v>
      </c>
      <c r="H20" s="18" t="s">
        <v>77</v>
      </c>
      <c r="I20" s="18" t="s">
        <v>78</v>
      </c>
      <c r="J20" s="34" t="s">
        <v>57</v>
      </c>
      <c r="K20" s="20"/>
      <c r="L20" s="35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7"/>
      <c r="X20" s="35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7"/>
      <c r="AJ20" s="35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7"/>
      <c r="AV20" s="35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7"/>
      <c r="BH20" s="38"/>
      <c r="BI20" s="36"/>
      <c r="BJ20" s="36"/>
      <c r="BK20" s="36"/>
      <c r="BL20" s="36"/>
    </row>
    <row r="21" spans="1:64">
      <c r="A21" s="21" t="str">
        <f t="shared" si="2"/>
        <v>CNTSALE2.당월실적_B2C금년</v>
      </c>
      <c r="B21" s="18"/>
      <c r="C21" s="18"/>
      <c r="D21" s="18"/>
      <c r="E21" s="18"/>
      <c r="F21" s="18"/>
      <c r="G21" s="18" t="s">
        <v>7</v>
      </c>
      <c r="H21" s="18" t="s">
        <v>77</v>
      </c>
      <c r="I21" s="18" t="s">
        <v>78</v>
      </c>
      <c r="J21" s="21" t="s">
        <v>73</v>
      </c>
      <c r="K21" s="20"/>
      <c r="L21" s="35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7"/>
      <c r="X21" s="35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7"/>
      <c r="AJ21" s="35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7"/>
      <c r="AV21" s="35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7"/>
      <c r="BH21" s="38"/>
      <c r="BI21" s="36"/>
      <c r="BJ21" s="36"/>
      <c r="BK21" s="36"/>
      <c r="BL21" s="36"/>
    </row>
    <row r="22" spans="1:64">
      <c r="A22" s="21" t="str">
        <f t="shared" si="2"/>
        <v>CNTSALE2.당월실적_B2C전년</v>
      </c>
      <c r="B22" s="18"/>
      <c r="C22" s="18"/>
      <c r="D22" s="18"/>
      <c r="E22" s="18"/>
      <c r="F22" s="18"/>
      <c r="G22" s="18" t="s">
        <v>7</v>
      </c>
      <c r="H22" s="18" t="s">
        <v>77</v>
      </c>
      <c r="I22" s="18" t="s">
        <v>78</v>
      </c>
      <c r="J22" s="34" t="s">
        <v>57</v>
      </c>
      <c r="K22" s="20"/>
      <c r="L22" s="35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7"/>
      <c r="X22" s="35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7"/>
      <c r="AJ22" s="35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7"/>
      <c r="AV22" s="35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7"/>
      <c r="BH22" s="38"/>
      <c r="BI22" s="36"/>
      <c r="BJ22" s="36"/>
      <c r="BK22" s="36"/>
      <c r="BL22" s="36"/>
    </row>
    <row r="23" spans="1:64">
      <c r="A23" s="21" t="str">
        <f t="shared" si="2"/>
        <v>DFTSALE2.당월실적_B2C금년</v>
      </c>
      <c r="B23" s="18"/>
      <c r="C23" s="18"/>
      <c r="D23" s="18"/>
      <c r="E23" s="18"/>
      <c r="F23" s="18"/>
      <c r="G23" s="18" t="s">
        <v>8</v>
      </c>
      <c r="H23" s="18" t="str">
        <f t="shared" ref="H23:I32" si="3">H13</f>
        <v>SALE</v>
      </c>
      <c r="I23" s="18" t="str">
        <f t="shared" si="3"/>
        <v>2.당월실적_B2C</v>
      </c>
      <c r="J23" s="21" t="s">
        <v>73</v>
      </c>
      <c r="K23" s="20"/>
      <c r="L23" s="35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7"/>
      <c r="X23" s="35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7"/>
      <c r="AJ23" s="35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7"/>
      <c r="AV23" s="35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7"/>
      <c r="BH23" s="38"/>
      <c r="BI23" s="36"/>
      <c r="BJ23" s="36"/>
      <c r="BK23" s="36"/>
      <c r="BL23" s="36"/>
    </row>
    <row r="24" spans="1:64">
      <c r="A24" s="21" t="str">
        <f t="shared" si="2"/>
        <v>DFTSALE2.당월실적_B2C전년</v>
      </c>
      <c r="B24" s="18"/>
      <c r="C24" s="18"/>
      <c r="D24" s="18"/>
      <c r="E24" s="18"/>
      <c r="F24" s="18"/>
      <c r="G24" s="18" t="s">
        <v>8</v>
      </c>
      <c r="H24" s="18" t="str">
        <f t="shared" si="3"/>
        <v>SALE</v>
      </c>
      <c r="I24" s="18" t="str">
        <f t="shared" si="3"/>
        <v>2.당월실적_B2C</v>
      </c>
      <c r="J24" s="34" t="s">
        <v>57</v>
      </c>
      <c r="K24" s="20"/>
      <c r="L24" s="35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7"/>
      <c r="X24" s="35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7"/>
      <c r="AJ24" s="35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7"/>
      <c r="AV24" s="35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7"/>
      <c r="BH24" s="38"/>
      <c r="BI24" s="36"/>
      <c r="BJ24" s="36"/>
      <c r="BK24" s="36"/>
      <c r="BL24" s="36"/>
    </row>
    <row r="25" spans="1:64">
      <c r="A25" s="21" t="str">
        <f t="shared" si="2"/>
        <v>DGTSALE2.당월실적_B2C금년</v>
      </c>
      <c r="B25" s="18"/>
      <c r="C25" s="18"/>
      <c r="D25" s="18"/>
      <c r="E25" s="18"/>
      <c r="F25" s="18"/>
      <c r="G25" s="18" t="s">
        <v>9</v>
      </c>
      <c r="H25" s="18" t="str">
        <f t="shared" si="3"/>
        <v>SALE</v>
      </c>
      <c r="I25" s="18" t="str">
        <f t="shared" si="3"/>
        <v>2.당월실적_B2C</v>
      </c>
      <c r="J25" s="21" t="s">
        <v>73</v>
      </c>
      <c r="K25" s="20"/>
      <c r="L25" s="35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7"/>
      <c r="X25" s="35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7"/>
      <c r="AJ25" s="35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7"/>
      <c r="AV25" s="35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7"/>
      <c r="BH25" s="38"/>
      <c r="BI25" s="36"/>
      <c r="BJ25" s="36"/>
      <c r="BK25" s="36"/>
      <c r="BL25" s="36"/>
    </row>
    <row r="26" spans="1:64">
      <c r="A26" s="21" t="str">
        <f t="shared" si="2"/>
        <v>DGTSALE2.당월실적_B2C전년</v>
      </c>
      <c r="B26" s="18"/>
      <c r="C26" s="18"/>
      <c r="D26" s="18"/>
      <c r="E26" s="18"/>
      <c r="F26" s="18"/>
      <c r="G26" s="18" t="s">
        <v>9</v>
      </c>
      <c r="H26" s="18" t="str">
        <f t="shared" si="3"/>
        <v>SALE</v>
      </c>
      <c r="I26" s="18" t="str">
        <f t="shared" si="3"/>
        <v>2.당월실적_B2C</v>
      </c>
      <c r="J26" s="34" t="s">
        <v>57</v>
      </c>
      <c r="K26" s="20"/>
      <c r="L26" s="35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7"/>
      <c r="X26" s="35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7"/>
      <c r="AJ26" s="35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7"/>
      <c r="AV26" s="35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7"/>
      <c r="BH26" s="38"/>
      <c r="BI26" s="36"/>
      <c r="BJ26" s="36"/>
      <c r="BK26" s="36"/>
      <c r="BL26" s="36"/>
    </row>
    <row r="27" spans="1:64">
      <c r="A27" s="21" t="str">
        <f t="shared" si="2"/>
        <v>PCTSALE2.당월실적_B2C금년</v>
      </c>
      <c r="B27" s="18"/>
      <c r="C27" s="18"/>
      <c r="D27" s="18"/>
      <c r="E27" s="18"/>
      <c r="F27" s="18"/>
      <c r="G27" s="18" t="s">
        <v>20</v>
      </c>
      <c r="H27" s="18" t="str">
        <f t="shared" si="3"/>
        <v>SALE</v>
      </c>
      <c r="I27" s="18" t="str">
        <f t="shared" si="3"/>
        <v>2.당월실적_B2C</v>
      </c>
      <c r="J27" s="21" t="s">
        <v>73</v>
      </c>
      <c r="K27" s="20"/>
      <c r="L27" s="35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7"/>
      <c r="X27" s="35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7"/>
      <c r="AJ27" s="35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7"/>
      <c r="AV27" s="35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7"/>
      <c r="BH27" s="38"/>
      <c r="BI27" s="36"/>
      <c r="BJ27" s="36"/>
      <c r="BK27" s="36"/>
      <c r="BL27" s="36"/>
    </row>
    <row r="28" spans="1:64">
      <c r="A28" s="21" t="str">
        <f t="shared" si="2"/>
        <v>PCTSALE2.당월실적_B2C전년</v>
      </c>
      <c r="B28" s="18"/>
      <c r="C28" s="18"/>
      <c r="D28" s="18"/>
      <c r="E28" s="18"/>
      <c r="F28" s="18"/>
      <c r="G28" s="18" t="s">
        <v>20</v>
      </c>
      <c r="H28" s="18" t="str">
        <f t="shared" si="3"/>
        <v>SALE</v>
      </c>
      <c r="I28" s="18" t="str">
        <f t="shared" si="3"/>
        <v>2.당월실적_B2C</v>
      </c>
      <c r="J28" s="34" t="s">
        <v>57</v>
      </c>
      <c r="K28" s="20"/>
      <c r="L28" s="35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7"/>
      <c r="X28" s="35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7"/>
      <c r="AJ28" s="35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7"/>
      <c r="AV28" s="35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7"/>
      <c r="BH28" s="38"/>
      <c r="BI28" s="36"/>
      <c r="BJ28" s="36"/>
      <c r="BK28" s="36"/>
      <c r="BL28" s="36"/>
    </row>
    <row r="29" spans="1:64">
      <c r="A29" s="21" t="str">
        <f t="shared" si="2"/>
        <v>PSTSALE2.당월실적_B2C금년</v>
      </c>
      <c r="B29" s="18"/>
      <c r="C29" s="18"/>
      <c r="D29" s="18"/>
      <c r="E29" s="18"/>
      <c r="F29" s="18"/>
      <c r="G29" s="18" t="s">
        <v>18</v>
      </c>
      <c r="H29" s="18" t="str">
        <f t="shared" si="3"/>
        <v>SALE</v>
      </c>
      <c r="I29" s="18" t="str">
        <f t="shared" si="3"/>
        <v>2.당월실적_B2C</v>
      </c>
      <c r="J29" s="21" t="s">
        <v>73</v>
      </c>
      <c r="K29" s="20"/>
      <c r="L29" s="35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7"/>
      <c r="X29" s="35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7"/>
      <c r="AJ29" s="35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7"/>
      <c r="AV29" s="35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7"/>
      <c r="BH29" s="38"/>
      <c r="BI29" s="36"/>
      <c r="BJ29" s="36"/>
      <c r="BK29" s="36"/>
      <c r="BL29" s="36"/>
    </row>
    <row r="30" spans="1:64">
      <c r="A30" s="21" t="str">
        <f t="shared" si="2"/>
        <v>PSTSALE2.당월실적_B2C전년</v>
      </c>
      <c r="B30" s="18"/>
      <c r="C30" s="18"/>
      <c r="D30" s="18"/>
      <c r="E30" s="18"/>
      <c r="F30" s="18"/>
      <c r="G30" s="18" t="s">
        <v>18</v>
      </c>
      <c r="H30" s="18" t="str">
        <f t="shared" si="3"/>
        <v>SALE</v>
      </c>
      <c r="I30" s="18" t="str">
        <f t="shared" si="3"/>
        <v>2.당월실적_B2C</v>
      </c>
      <c r="J30" s="34" t="s">
        <v>57</v>
      </c>
      <c r="K30" s="20"/>
      <c r="L30" s="35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7"/>
      <c r="X30" s="35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7"/>
      <c r="AJ30" s="35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7"/>
      <c r="AV30" s="35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7"/>
      <c r="BH30" s="38"/>
      <c r="BI30" s="36"/>
      <c r="BJ30" s="36"/>
      <c r="BK30" s="36"/>
      <c r="BL30" s="36"/>
    </row>
    <row r="31" spans="1:64">
      <c r="A31" s="21" t="str">
        <f t="shared" si="2"/>
        <v>DVTSALE2.당월실적_B2C금년</v>
      </c>
      <c r="B31" s="18"/>
      <c r="C31" s="18"/>
      <c r="D31" s="18"/>
      <c r="E31" s="18"/>
      <c r="F31" s="18"/>
      <c r="G31" s="18" t="s">
        <v>11</v>
      </c>
      <c r="H31" s="18" t="str">
        <f t="shared" si="3"/>
        <v>SALE</v>
      </c>
      <c r="I31" s="18" t="str">
        <f t="shared" si="3"/>
        <v>2.당월실적_B2C</v>
      </c>
      <c r="J31" s="21" t="s">
        <v>73</v>
      </c>
      <c r="K31" s="20"/>
      <c r="L31" s="35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7"/>
      <c r="X31" s="35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7"/>
      <c r="AJ31" s="35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7"/>
      <c r="AV31" s="35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7"/>
      <c r="BH31" s="38"/>
      <c r="BI31" s="36"/>
      <c r="BJ31" s="36"/>
      <c r="BK31" s="36"/>
      <c r="BL31" s="36"/>
    </row>
    <row r="32" spans="1:64">
      <c r="A32" s="21" t="str">
        <f t="shared" si="2"/>
        <v>DVTSALE2.당월실적_B2C전년</v>
      </c>
      <c r="B32" s="18"/>
      <c r="C32" s="18"/>
      <c r="D32" s="18"/>
      <c r="E32" s="18"/>
      <c r="F32" s="18"/>
      <c r="G32" s="18" t="s">
        <v>11</v>
      </c>
      <c r="H32" s="18" t="str">
        <f t="shared" si="3"/>
        <v>SALE</v>
      </c>
      <c r="I32" s="18" t="str">
        <f t="shared" si="3"/>
        <v>2.당월실적_B2C</v>
      </c>
      <c r="J32" s="34" t="s">
        <v>57</v>
      </c>
      <c r="K32" s="20"/>
      <c r="L32" s="35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7"/>
      <c r="X32" s="35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7"/>
      <c r="AJ32" s="35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7"/>
      <c r="AV32" s="35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7"/>
      <c r="BH32" s="38"/>
      <c r="BI32" s="36"/>
      <c r="BJ32" s="36"/>
      <c r="BK32" s="36"/>
      <c r="BL32" s="36"/>
    </row>
    <row r="33" spans="1:64">
      <c r="A33" s="17"/>
      <c r="K33" s="20"/>
    </row>
    <row r="34" spans="1:64">
      <c r="A34" s="21" t="str">
        <f t="shared" ref="A34:A47" si="4">TRIM(B34)&amp;TRIM(C34)&amp;TRIM(D34)&amp;TRIM(E34)&amp;TRIM(F34)&amp;TRIM(G34)&amp;TRIM(H34)&amp;TRIM(I34)&amp;TRIM(J34)</f>
        <v>GJTSALE2.당월실적_B2B금년</v>
      </c>
      <c r="B34" s="18"/>
      <c r="C34" s="18"/>
      <c r="D34" s="18"/>
      <c r="E34" s="18"/>
      <c r="F34" s="18"/>
      <c r="G34" s="18" t="s">
        <v>12</v>
      </c>
      <c r="H34" s="18" t="s">
        <v>77</v>
      </c>
      <c r="I34" s="18" t="s">
        <v>119</v>
      </c>
      <c r="J34" s="21" t="s">
        <v>73</v>
      </c>
      <c r="K34" s="20"/>
      <c r="L34" s="35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7"/>
      <c r="X34" s="35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7"/>
      <c r="AJ34" s="35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7"/>
      <c r="AV34" s="35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7"/>
      <c r="BH34" s="38"/>
      <c r="BI34" s="36"/>
      <c r="BJ34" s="36"/>
      <c r="BK34" s="36"/>
      <c r="BL34" s="36"/>
    </row>
    <row r="35" spans="1:64" ht="18" customHeight="1">
      <c r="A35" s="21" t="str">
        <f t="shared" si="4"/>
        <v>GJTSALE2.당월실적_B2B전년</v>
      </c>
      <c r="B35" s="18"/>
      <c r="C35" s="18"/>
      <c r="D35" s="18"/>
      <c r="E35" s="18"/>
      <c r="F35" s="18"/>
      <c r="G35" s="18" t="s">
        <v>12</v>
      </c>
      <c r="H35" s="18" t="s">
        <v>77</v>
      </c>
      <c r="I35" s="18" t="s">
        <v>119</v>
      </c>
      <c r="J35" s="34" t="s">
        <v>57</v>
      </c>
      <c r="K35" s="20"/>
      <c r="L35" s="35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7"/>
      <c r="X35" s="35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7"/>
      <c r="AJ35" s="35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7"/>
      <c r="AV35" s="35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7"/>
      <c r="BH35" s="38"/>
      <c r="BI35" s="36"/>
      <c r="BJ35" s="36"/>
      <c r="BK35" s="36"/>
      <c r="BL35" s="36"/>
    </row>
    <row r="36" spans="1:64">
      <c r="A36" s="21" t="str">
        <f t="shared" si="4"/>
        <v>GNTSALE2.당월실적_B2B금년</v>
      </c>
      <c r="B36" s="18"/>
      <c r="C36" s="18"/>
      <c r="D36" s="18"/>
      <c r="E36" s="18"/>
      <c r="F36" s="18"/>
      <c r="G36" s="18" t="s">
        <v>14</v>
      </c>
      <c r="H36" s="18" t="s">
        <v>77</v>
      </c>
      <c r="I36" s="18" t="s">
        <v>119</v>
      </c>
      <c r="J36" s="21" t="s">
        <v>73</v>
      </c>
      <c r="K36" s="20"/>
      <c r="L36" s="35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7"/>
      <c r="X36" s="35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7"/>
      <c r="AJ36" s="35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7"/>
      <c r="AV36" s="35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7"/>
      <c r="BH36" s="38"/>
      <c r="BI36" s="36"/>
      <c r="BJ36" s="36"/>
      <c r="BK36" s="36"/>
      <c r="BL36" s="36"/>
    </row>
    <row r="37" spans="1:64">
      <c r="A37" s="21" t="str">
        <f t="shared" si="4"/>
        <v>GNTSALE2.당월실적_B2B전년</v>
      </c>
      <c r="B37" s="18"/>
      <c r="C37" s="18"/>
      <c r="D37" s="18"/>
      <c r="E37" s="18"/>
      <c r="F37" s="18"/>
      <c r="G37" s="18" t="s">
        <v>14</v>
      </c>
      <c r="H37" s="18" t="s">
        <v>77</v>
      </c>
      <c r="I37" s="18" t="s">
        <v>119</v>
      </c>
      <c r="J37" s="34" t="s">
        <v>57</v>
      </c>
      <c r="K37" s="20"/>
      <c r="L37" s="35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7"/>
      <c r="X37" s="35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7"/>
      <c r="AJ37" s="35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7"/>
      <c r="AV37" s="35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7"/>
      <c r="BH37" s="38"/>
      <c r="BI37" s="36"/>
      <c r="BJ37" s="36"/>
      <c r="BK37" s="36"/>
      <c r="BL37" s="36"/>
    </row>
    <row r="38" spans="1:64">
      <c r="A38" s="21" t="str">
        <f t="shared" si="4"/>
        <v>GOTSALE2.당월실적_B2B금년</v>
      </c>
      <c r="B38" s="18"/>
      <c r="C38" s="18"/>
      <c r="D38" s="18"/>
      <c r="E38" s="18"/>
      <c r="F38" s="18"/>
      <c r="G38" s="18" t="s">
        <v>117</v>
      </c>
      <c r="H38" s="18" t="s">
        <v>77</v>
      </c>
      <c r="I38" s="18" t="s">
        <v>119</v>
      </c>
      <c r="J38" s="21" t="s">
        <v>73</v>
      </c>
      <c r="K38" s="20"/>
      <c r="L38" s="35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7"/>
      <c r="X38" s="35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7"/>
      <c r="AJ38" s="35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7"/>
      <c r="AV38" s="35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7"/>
      <c r="BH38" s="38"/>
      <c r="BI38" s="36"/>
      <c r="BJ38" s="36"/>
      <c r="BK38" s="36"/>
      <c r="BL38" s="36"/>
    </row>
    <row r="39" spans="1:64">
      <c r="A39" s="21" t="str">
        <f t="shared" si="4"/>
        <v>GOTSALE2.당월실적_B2B전년</v>
      </c>
      <c r="B39" s="18"/>
      <c r="C39" s="18"/>
      <c r="D39" s="18"/>
      <c r="E39" s="18"/>
      <c r="F39" s="18"/>
      <c r="G39" s="18" t="s">
        <v>117</v>
      </c>
      <c r="H39" s="18" t="s">
        <v>77</v>
      </c>
      <c r="I39" s="18" t="s">
        <v>119</v>
      </c>
      <c r="J39" s="34" t="s">
        <v>57</v>
      </c>
      <c r="K39" s="20"/>
      <c r="L39" s="35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7"/>
      <c r="X39" s="35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7"/>
      <c r="AJ39" s="35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7"/>
      <c r="AV39" s="35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7"/>
      <c r="BH39" s="38"/>
      <c r="BI39" s="36"/>
      <c r="BJ39" s="36"/>
      <c r="BK39" s="36"/>
      <c r="BL39" s="36"/>
    </row>
    <row r="40" spans="1:64">
      <c r="A40" s="21" t="str">
        <f t="shared" si="4"/>
        <v>PKTSALE2.당월실적_B2B금년</v>
      </c>
      <c r="B40" s="18"/>
      <c r="C40" s="18"/>
      <c r="D40" s="18"/>
      <c r="E40" s="18"/>
      <c r="F40" s="18"/>
      <c r="G40" s="18" t="s">
        <v>105</v>
      </c>
      <c r="H40" s="18" t="s">
        <v>77</v>
      </c>
      <c r="I40" s="18" t="s">
        <v>119</v>
      </c>
      <c r="J40" s="21" t="s">
        <v>73</v>
      </c>
      <c r="K40" s="20"/>
      <c r="L40" s="35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7"/>
      <c r="X40" s="35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7"/>
      <c r="AJ40" s="35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7"/>
      <c r="AV40" s="35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7"/>
      <c r="BH40" s="38"/>
      <c r="BI40" s="36"/>
      <c r="BJ40" s="36"/>
      <c r="BK40" s="36"/>
      <c r="BL40" s="36"/>
    </row>
    <row r="41" spans="1:64">
      <c r="A41" s="21" t="str">
        <f t="shared" si="4"/>
        <v>PKTSALE2.당월실적_B2B전년</v>
      </c>
      <c r="B41" s="18"/>
      <c r="C41" s="18"/>
      <c r="D41" s="18"/>
      <c r="E41" s="18"/>
      <c r="F41" s="18"/>
      <c r="G41" s="18" t="s">
        <v>105</v>
      </c>
      <c r="H41" s="18" t="str">
        <f t="shared" ref="H41:H47" si="5">H34</f>
        <v>SALE</v>
      </c>
      <c r="I41" s="18" t="s">
        <v>119</v>
      </c>
      <c r="J41" s="34" t="s">
        <v>57</v>
      </c>
      <c r="K41" s="20"/>
      <c r="L41" s="35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7"/>
      <c r="X41" s="35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7"/>
      <c r="AJ41" s="35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7"/>
      <c r="AV41" s="35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7"/>
      <c r="BH41" s="38"/>
      <c r="BI41" s="36"/>
      <c r="BJ41" s="36"/>
      <c r="BK41" s="36"/>
      <c r="BL41" s="36"/>
    </row>
    <row r="42" spans="1:64">
      <c r="A42" s="21" t="str">
        <f t="shared" si="4"/>
        <v>DMTSALE2.당월실적_B2B금년</v>
      </c>
      <c r="B42" s="18"/>
      <c r="C42" s="18"/>
      <c r="D42" s="18"/>
      <c r="E42" s="18"/>
      <c r="F42" s="18"/>
      <c r="G42" s="18" t="s">
        <v>10</v>
      </c>
      <c r="H42" s="18" t="str">
        <f t="shared" si="5"/>
        <v>SALE</v>
      </c>
      <c r="I42" s="18" t="s">
        <v>119</v>
      </c>
      <c r="J42" s="21" t="s">
        <v>73</v>
      </c>
      <c r="K42" s="20"/>
      <c r="L42" s="35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7"/>
      <c r="X42" s="35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7"/>
      <c r="AJ42" s="35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7"/>
      <c r="AV42" s="35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7"/>
      <c r="BH42" s="38"/>
      <c r="BI42" s="36"/>
      <c r="BJ42" s="36"/>
      <c r="BK42" s="36"/>
      <c r="BL42" s="36"/>
    </row>
    <row r="43" spans="1:64">
      <c r="A43" s="21" t="str">
        <f t="shared" si="4"/>
        <v>DMTSALE2.당월실적_B2B전년</v>
      </c>
      <c r="B43" s="18"/>
      <c r="C43" s="18"/>
      <c r="D43" s="18"/>
      <c r="E43" s="18"/>
      <c r="F43" s="18"/>
      <c r="G43" s="18" t="s">
        <v>10</v>
      </c>
      <c r="H43" s="18" t="str">
        <f t="shared" si="5"/>
        <v>SALE</v>
      </c>
      <c r="I43" s="18" t="s">
        <v>119</v>
      </c>
      <c r="J43" s="34" t="s">
        <v>57</v>
      </c>
      <c r="K43" s="20"/>
      <c r="L43" s="35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7"/>
      <c r="X43" s="35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7"/>
      <c r="AJ43" s="35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7"/>
      <c r="AV43" s="35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7"/>
      <c r="BH43" s="38"/>
      <c r="BI43" s="36"/>
      <c r="BJ43" s="36"/>
      <c r="BK43" s="36"/>
      <c r="BL43" s="36"/>
    </row>
    <row r="44" spans="1:64">
      <c r="A44" s="21" t="str">
        <f t="shared" si="4"/>
        <v>DTTSALE2.당월실적_B2B금년</v>
      </c>
      <c r="B44" s="18"/>
      <c r="C44" s="18"/>
      <c r="D44" s="18"/>
      <c r="E44" s="18"/>
      <c r="F44" s="18"/>
      <c r="G44" s="18" t="s">
        <v>118</v>
      </c>
      <c r="H44" s="18" t="str">
        <f t="shared" si="5"/>
        <v>SALE</v>
      </c>
      <c r="I44" s="18" t="s">
        <v>119</v>
      </c>
      <c r="J44" s="21" t="s">
        <v>73</v>
      </c>
      <c r="K44" s="20"/>
      <c r="L44" s="35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7"/>
      <c r="X44" s="35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7"/>
      <c r="AJ44" s="35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7"/>
      <c r="AV44" s="35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7"/>
      <c r="BH44" s="38"/>
      <c r="BI44" s="36"/>
      <c r="BJ44" s="36"/>
      <c r="BK44" s="36"/>
      <c r="BL44" s="36"/>
    </row>
    <row r="45" spans="1:64">
      <c r="A45" s="21" t="str">
        <f t="shared" si="4"/>
        <v>DTTSALE2.당월실적_B2B전년</v>
      </c>
      <c r="B45" s="18"/>
      <c r="C45" s="18"/>
      <c r="D45" s="18"/>
      <c r="E45" s="18"/>
      <c r="F45" s="18"/>
      <c r="G45" s="18" t="s">
        <v>118</v>
      </c>
      <c r="H45" s="18" t="str">
        <f t="shared" si="5"/>
        <v>SALE</v>
      </c>
      <c r="I45" s="18" t="s">
        <v>119</v>
      </c>
      <c r="J45" s="34" t="s">
        <v>57</v>
      </c>
      <c r="K45" s="20"/>
      <c r="L45" s="35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7"/>
      <c r="X45" s="35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7"/>
      <c r="AJ45" s="35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7"/>
      <c r="AV45" s="35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7"/>
      <c r="BH45" s="38"/>
      <c r="BI45" s="36"/>
      <c r="BJ45" s="36"/>
      <c r="BK45" s="36"/>
      <c r="BL45" s="36"/>
    </row>
    <row r="46" spans="1:64">
      <c r="A46" s="21" t="str">
        <f t="shared" si="4"/>
        <v>PGTSALE2.당월실적_B2B금년</v>
      </c>
      <c r="B46" s="18"/>
      <c r="C46" s="18"/>
      <c r="D46" s="18"/>
      <c r="E46" s="18"/>
      <c r="F46" s="18"/>
      <c r="G46" s="18" t="s">
        <v>19</v>
      </c>
      <c r="H46" s="18" t="str">
        <f t="shared" si="5"/>
        <v>SALE</v>
      </c>
      <c r="I46" s="18" t="s">
        <v>119</v>
      </c>
      <c r="J46" s="21" t="s">
        <v>73</v>
      </c>
      <c r="K46" s="20"/>
      <c r="L46" s="35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7"/>
      <c r="X46" s="35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7"/>
      <c r="AJ46" s="35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7"/>
      <c r="AV46" s="35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7"/>
      <c r="BH46" s="38"/>
      <c r="BI46" s="36"/>
      <c r="BJ46" s="36"/>
      <c r="BK46" s="36"/>
      <c r="BL46" s="36"/>
    </row>
    <row r="47" spans="1:64">
      <c r="A47" s="21" t="str">
        <f t="shared" si="4"/>
        <v>PGTSALE2.당월실적_B2B전년</v>
      </c>
      <c r="B47" s="18"/>
      <c r="C47" s="18"/>
      <c r="D47" s="18"/>
      <c r="E47" s="18"/>
      <c r="F47" s="18"/>
      <c r="G47" s="18" t="s">
        <v>19</v>
      </c>
      <c r="H47" s="18" t="str">
        <f t="shared" si="5"/>
        <v>SALE</v>
      </c>
      <c r="I47" s="18" t="s">
        <v>119</v>
      </c>
      <c r="J47" s="34" t="s">
        <v>57</v>
      </c>
      <c r="K47" s="20"/>
      <c r="L47" s="35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7"/>
      <c r="X47" s="35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7"/>
      <c r="AJ47" s="35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7"/>
      <c r="AV47" s="35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7"/>
      <c r="BH47" s="38"/>
      <c r="BI47" s="36"/>
      <c r="BJ47" s="36"/>
      <c r="BK47" s="36"/>
      <c r="BL47" s="36"/>
    </row>
    <row r="48" spans="1:64">
      <c r="A48" s="17"/>
      <c r="K48" s="20"/>
    </row>
    <row r="49" spans="1:64">
      <c r="A49" s="21" t="str">
        <f t="shared" ref="A49:A68" si="6">TRIM(B49)&amp;TRIM(C49)&amp;TRIM(D49)&amp;TRIM(E49)&amp;TRIM(F49)&amp;TRIM(G49)&amp;TRIM(H49)&amp;TRIM(I49)&amp;TRIM(J49)</f>
        <v>GLTOH_COST2.당월실적_법인전체_OH금년</v>
      </c>
      <c r="B49" s="18"/>
      <c r="C49" s="18"/>
      <c r="D49" s="18"/>
      <c r="E49" s="18"/>
      <c r="F49" s="18"/>
      <c r="G49" s="18" t="s">
        <v>13</v>
      </c>
      <c r="H49" s="18" t="s">
        <v>121</v>
      </c>
      <c r="I49" s="18" t="s">
        <v>122</v>
      </c>
      <c r="J49" s="21" t="s">
        <v>73</v>
      </c>
      <c r="K49" s="20"/>
      <c r="L49" s="35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7"/>
      <c r="X49" s="35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7"/>
      <c r="AJ49" s="35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7"/>
      <c r="AV49" s="35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7"/>
      <c r="BH49" s="38"/>
      <c r="BI49" s="36"/>
      <c r="BJ49" s="36"/>
      <c r="BK49" s="36"/>
      <c r="BL49" s="36"/>
    </row>
    <row r="50" spans="1:64">
      <c r="A50" s="21" t="str">
        <f t="shared" si="6"/>
        <v>GLTOH_COST2.당월실적_법인전체_OH전년</v>
      </c>
      <c r="B50" s="18"/>
      <c r="C50" s="18"/>
      <c r="D50" s="18"/>
      <c r="E50" s="18"/>
      <c r="F50" s="18"/>
      <c r="G50" s="18" t="s">
        <v>13</v>
      </c>
      <c r="H50" s="18" t="s">
        <v>121</v>
      </c>
      <c r="I50" s="18" t="s">
        <v>122</v>
      </c>
      <c r="J50" s="34" t="s">
        <v>57</v>
      </c>
      <c r="K50" s="20"/>
      <c r="L50" s="35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7"/>
      <c r="X50" s="35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7"/>
      <c r="AJ50" s="35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7"/>
      <c r="AV50" s="35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7"/>
      <c r="BH50" s="38"/>
      <c r="BI50" s="36"/>
      <c r="BJ50" s="36"/>
      <c r="BK50" s="36"/>
      <c r="BL50" s="36"/>
    </row>
    <row r="51" spans="1:64">
      <c r="A51" s="21" t="str">
        <f t="shared" si="6"/>
        <v>GTTOH_COST2.당월실적_법인전체_OH금년</v>
      </c>
      <c r="B51" s="18"/>
      <c r="C51" s="18"/>
      <c r="D51" s="18"/>
      <c r="E51" s="18"/>
      <c r="F51" s="18"/>
      <c r="G51" s="18" t="s">
        <v>15</v>
      </c>
      <c r="H51" s="18" t="s">
        <v>121</v>
      </c>
      <c r="I51" s="18" t="s">
        <v>122</v>
      </c>
      <c r="J51" s="21" t="s">
        <v>73</v>
      </c>
      <c r="K51" s="20"/>
      <c r="L51" s="35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7"/>
      <c r="X51" s="35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7"/>
      <c r="AJ51" s="35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7"/>
      <c r="AV51" s="35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7"/>
      <c r="BH51" s="38"/>
      <c r="BI51" s="36"/>
      <c r="BJ51" s="36"/>
      <c r="BK51" s="36"/>
      <c r="BL51" s="36"/>
    </row>
    <row r="52" spans="1:64">
      <c r="A52" s="21" t="str">
        <f t="shared" si="6"/>
        <v>GTTOH_COST2.당월실적_법인전체_OH전년</v>
      </c>
      <c r="B52" s="18"/>
      <c r="C52" s="18"/>
      <c r="D52" s="18"/>
      <c r="E52" s="18"/>
      <c r="F52" s="18"/>
      <c r="G52" s="18" t="s">
        <v>15</v>
      </c>
      <c r="H52" s="18" t="s">
        <v>121</v>
      </c>
      <c r="I52" s="18" t="s">
        <v>122</v>
      </c>
      <c r="J52" s="34" t="s">
        <v>57</v>
      </c>
      <c r="K52" s="20"/>
      <c r="L52" s="35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7"/>
      <c r="X52" s="35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7"/>
      <c r="AJ52" s="35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7"/>
      <c r="AV52" s="35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7"/>
      <c r="BH52" s="38"/>
      <c r="BI52" s="36"/>
      <c r="BJ52" s="36"/>
      <c r="BK52" s="36"/>
      <c r="BL52" s="36"/>
    </row>
    <row r="53" spans="1:64">
      <c r="A53" s="21" t="str">
        <f t="shared" si="6"/>
        <v>PNTOH_COST2.당월실적_법인전체_OH금년</v>
      </c>
      <c r="B53" s="18"/>
      <c r="C53" s="18"/>
      <c r="D53" s="18"/>
      <c r="E53" s="18"/>
      <c r="F53" s="18"/>
      <c r="G53" s="18" t="s">
        <v>17</v>
      </c>
      <c r="H53" s="18" t="s">
        <v>121</v>
      </c>
      <c r="I53" s="18" t="s">
        <v>122</v>
      </c>
      <c r="J53" s="21" t="s">
        <v>73</v>
      </c>
      <c r="K53" s="20"/>
      <c r="L53" s="35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7"/>
      <c r="X53" s="35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7"/>
      <c r="AJ53" s="35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7"/>
      <c r="AV53" s="35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7"/>
      <c r="BH53" s="38"/>
      <c r="BI53" s="36"/>
      <c r="BJ53" s="36"/>
      <c r="BK53" s="36"/>
      <c r="BL53" s="36"/>
    </row>
    <row r="54" spans="1:64">
      <c r="A54" s="21" t="str">
        <f t="shared" si="6"/>
        <v>PNTOH_COST2.당월실적_법인전체_OH전년</v>
      </c>
      <c r="B54" s="18"/>
      <c r="C54" s="18"/>
      <c r="D54" s="18"/>
      <c r="E54" s="18"/>
      <c r="F54" s="18"/>
      <c r="G54" s="18" t="s">
        <v>17</v>
      </c>
      <c r="H54" s="18" t="s">
        <v>121</v>
      </c>
      <c r="I54" s="18" t="s">
        <v>122</v>
      </c>
      <c r="J54" s="34" t="s">
        <v>57</v>
      </c>
      <c r="K54" s="20"/>
      <c r="L54" s="35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7"/>
      <c r="X54" s="35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7"/>
      <c r="AJ54" s="35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7"/>
      <c r="AV54" s="35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7"/>
      <c r="BH54" s="38"/>
      <c r="BI54" s="36"/>
      <c r="BJ54" s="36"/>
      <c r="BK54" s="36"/>
      <c r="BL54" s="36"/>
    </row>
    <row r="55" spans="1:64">
      <c r="A55" s="21" t="str">
        <f t="shared" si="6"/>
        <v>MSTOH_COST2.당월실적_법인전체_OH금년</v>
      </c>
      <c r="B55" s="18"/>
      <c r="C55" s="18"/>
      <c r="D55" s="18"/>
      <c r="E55" s="18"/>
      <c r="F55" s="18"/>
      <c r="G55" s="18" t="s">
        <v>16</v>
      </c>
      <c r="H55" s="18" t="s">
        <v>121</v>
      </c>
      <c r="I55" s="18" t="s">
        <v>122</v>
      </c>
      <c r="J55" s="21" t="s">
        <v>73</v>
      </c>
      <c r="K55" s="20"/>
      <c r="L55" s="35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7"/>
      <c r="X55" s="35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7"/>
      <c r="AJ55" s="35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7"/>
      <c r="AV55" s="35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7"/>
      <c r="BH55" s="38"/>
      <c r="BI55" s="36"/>
      <c r="BJ55" s="36"/>
      <c r="BK55" s="36"/>
      <c r="BL55" s="36"/>
    </row>
    <row r="56" spans="1:64">
      <c r="A56" s="21" t="str">
        <f t="shared" si="6"/>
        <v>MSTOH_COST2.당월실적_법인전체_OH전년</v>
      </c>
      <c r="B56" s="18"/>
      <c r="C56" s="18"/>
      <c r="D56" s="18"/>
      <c r="E56" s="18"/>
      <c r="F56" s="18"/>
      <c r="G56" s="18" t="s">
        <v>16</v>
      </c>
      <c r="H56" s="18" t="s">
        <v>121</v>
      </c>
      <c r="I56" s="18" t="s">
        <v>122</v>
      </c>
      <c r="J56" s="34" t="s">
        <v>57</v>
      </c>
      <c r="K56" s="20"/>
      <c r="L56" s="35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7"/>
      <c r="X56" s="35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7"/>
      <c r="AJ56" s="35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7"/>
      <c r="AV56" s="35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7"/>
      <c r="BH56" s="38"/>
      <c r="BI56" s="36"/>
      <c r="BJ56" s="36"/>
      <c r="BK56" s="36"/>
      <c r="BL56" s="36"/>
    </row>
    <row r="57" spans="1:64">
      <c r="A57" s="21" t="str">
        <f t="shared" si="6"/>
        <v>CNTOH_COST2.당월실적_법인전체_OH금년</v>
      </c>
      <c r="B57" s="18"/>
      <c r="C57" s="18"/>
      <c r="D57" s="18"/>
      <c r="E57" s="18"/>
      <c r="F57" s="18"/>
      <c r="G57" s="18" t="s">
        <v>7</v>
      </c>
      <c r="H57" s="18" t="s">
        <v>121</v>
      </c>
      <c r="I57" s="18" t="s">
        <v>122</v>
      </c>
      <c r="J57" s="21" t="s">
        <v>73</v>
      </c>
      <c r="K57" s="20"/>
      <c r="L57" s="35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7"/>
      <c r="X57" s="35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7"/>
      <c r="AJ57" s="35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7"/>
      <c r="AV57" s="35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7"/>
      <c r="BH57" s="38"/>
      <c r="BI57" s="36"/>
      <c r="BJ57" s="36"/>
      <c r="BK57" s="36"/>
      <c r="BL57" s="36"/>
    </row>
    <row r="58" spans="1:64">
      <c r="A58" s="21" t="str">
        <f t="shared" si="6"/>
        <v>CNTOH_COST2.당월실적_법인전체_OH전년</v>
      </c>
      <c r="B58" s="18"/>
      <c r="C58" s="18"/>
      <c r="D58" s="18"/>
      <c r="E58" s="18"/>
      <c r="F58" s="18"/>
      <c r="G58" s="18" t="s">
        <v>7</v>
      </c>
      <c r="H58" s="18" t="s">
        <v>121</v>
      </c>
      <c r="I58" s="18" t="s">
        <v>122</v>
      </c>
      <c r="J58" s="34" t="s">
        <v>57</v>
      </c>
      <c r="K58" s="20"/>
      <c r="L58" s="35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7"/>
      <c r="X58" s="35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7"/>
      <c r="AJ58" s="35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7"/>
      <c r="AV58" s="35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7"/>
      <c r="BH58" s="38"/>
      <c r="BI58" s="36"/>
      <c r="BJ58" s="36"/>
      <c r="BK58" s="36"/>
      <c r="BL58" s="36"/>
    </row>
    <row r="59" spans="1:64">
      <c r="A59" s="21" t="str">
        <f t="shared" si="6"/>
        <v>DFTOH_COST2.당월실적_법인전체_OH금년</v>
      </c>
      <c r="B59" s="18"/>
      <c r="C59" s="18"/>
      <c r="D59" s="18"/>
      <c r="E59" s="18"/>
      <c r="F59" s="18"/>
      <c r="G59" s="18" t="s">
        <v>8</v>
      </c>
      <c r="H59" s="18" t="s">
        <v>121</v>
      </c>
      <c r="I59" s="18" t="s">
        <v>122</v>
      </c>
      <c r="J59" s="21" t="s">
        <v>73</v>
      </c>
      <c r="K59" s="20"/>
      <c r="L59" s="35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7"/>
      <c r="X59" s="35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7"/>
      <c r="AJ59" s="35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7"/>
      <c r="AV59" s="35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7"/>
      <c r="BH59" s="38"/>
      <c r="BI59" s="36"/>
      <c r="BJ59" s="36"/>
      <c r="BK59" s="36"/>
      <c r="BL59" s="36"/>
    </row>
    <row r="60" spans="1:64">
      <c r="A60" s="21" t="str">
        <f t="shared" si="6"/>
        <v>DFTOH_COST2.당월실적_법인전체_OH전년</v>
      </c>
      <c r="B60" s="18"/>
      <c r="C60" s="18"/>
      <c r="D60" s="18"/>
      <c r="E60" s="18"/>
      <c r="F60" s="18"/>
      <c r="G60" s="18" t="s">
        <v>8</v>
      </c>
      <c r="H60" s="18" t="s">
        <v>121</v>
      </c>
      <c r="I60" s="18" t="s">
        <v>122</v>
      </c>
      <c r="J60" s="34" t="s">
        <v>57</v>
      </c>
      <c r="K60" s="20"/>
      <c r="L60" s="35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7"/>
      <c r="X60" s="35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7"/>
      <c r="AJ60" s="35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7"/>
      <c r="AV60" s="35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7"/>
      <c r="BH60" s="38"/>
      <c r="BI60" s="36"/>
      <c r="BJ60" s="36"/>
      <c r="BK60" s="36"/>
      <c r="BL60" s="36"/>
    </row>
    <row r="61" spans="1:64">
      <c r="A61" s="21" t="str">
        <f t="shared" si="6"/>
        <v>DGTOH_COST2.당월실적_법인전체_OH금년</v>
      </c>
      <c r="B61" s="18"/>
      <c r="C61" s="18"/>
      <c r="D61" s="18"/>
      <c r="E61" s="18"/>
      <c r="F61" s="18"/>
      <c r="G61" s="18" t="s">
        <v>9</v>
      </c>
      <c r="H61" s="18" t="s">
        <v>121</v>
      </c>
      <c r="I61" s="18" t="s">
        <v>122</v>
      </c>
      <c r="J61" s="21" t="s">
        <v>73</v>
      </c>
      <c r="K61" s="20"/>
      <c r="L61" s="35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7"/>
      <c r="X61" s="35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7"/>
      <c r="AJ61" s="35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7"/>
      <c r="AV61" s="35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7"/>
      <c r="BH61" s="38"/>
      <c r="BI61" s="36"/>
      <c r="BJ61" s="36"/>
      <c r="BK61" s="36"/>
      <c r="BL61" s="36"/>
    </row>
    <row r="62" spans="1:64">
      <c r="A62" s="21" t="str">
        <f t="shared" si="6"/>
        <v>DGTOH_COST2.당월실적_법인전체_OH전년</v>
      </c>
      <c r="B62" s="18"/>
      <c r="C62" s="18"/>
      <c r="D62" s="18"/>
      <c r="E62" s="18"/>
      <c r="F62" s="18"/>
      <c r="G62" s="18" t="s">
        <v>9</v>
      </c>
      <c r="H62" s="18" t="s">
        <v>121</v>
      </c>
      <c r="I62" s="18" t="s">
        <v>124</v>
      </c>
      <c r="J62" s="34" t="s">
        <v>57</v>
      </c>
      <c r="K62" s="20"/>
      <c r="L62" s="35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7"/>
      <c r="X62" s="35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7"/>
      <c r="AJ62" s="35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7"/>
      <c r="AV62" s="35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7"/>
      <c r="BH62" s="38"/>
      <c r="BI62" s="36"/>
      <c r="BJ62" s="36"/>
      <c r="BK62" s="36"/>
      <c r="BL62" s="36"/>
    </row>
    <row r="63" spans="1:64">
      <c r="A63" s="21" t="str">
        <f t="shared" si="6"/>
        <v>PCTOH_COST2.당월실적_법인전체_OH금년</v>
      </c>
      <c r="B63" s="18"/>
      <c r="C63" s="18"/>
      <c r="D63" s="18"/>
      <c r="E63" s="18"/>
      <c r="F63" s="18"/>
      <c r="G63" s="18" t="s">
        <v>20</v>
      </c>
      <c r="H63" s="18" t="s">
        <v>121</v>
      </c>
      <c r="I63" s="18" t="s">
        <v>124</v>
      </c>
      <c r="J63" s="21" t="s">
        <v>73</v>
      </c>
      <c r="K63" s="20"/>
      <c r="L63" s="35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7"/>
      <c r="X63" s="35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7"/>
      <c r="AJ63" s="35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7"/>
      <c r="AV63" s="35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7"/>
      <c r="BH63" s="38"/>
      <c r="BI63" s="36"/>
      <c r="BJ63" s="36"/>
      <c r="BK63" s="36"/>
      <c r="BL63" s="36"/>
    </row>
    <row r="64" spans="1:64">
      <c r="A64" s="21" t="str">
        <f t="shared" si="6"/>
        <v>PCTOH_COST2.당월실적_법인전체_OH전년</v>
      </c>
      <c r="B64" s="18"/>
      <c r="C64" s="18"/>
      <c r="D64" s="18"/>
      <c r="E64" s="18"/>
      <c r="F64" s="18"/>
      <c r="G64" s="18" t="s">
        <v>20</v>
      </c>
      <c r="H64" s="18" t="s">
        <v>121</v>
      </c>
      <c r="I64" s="18" t="s">
        <v>124</v>
      </c>
      <c r="J64" s="34" t="s">
        <v>57</v>
      </c>
      <c r="K64" s="20"/>
      <c r="L64" s="35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7"/>
      <c r="X64" s="35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7"/>
      <c r="AJ64" s="35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7"/>
      <c r="AV64" s="35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7"/>
      <c r="BH64" s="38"/>
      <c r="BI64" s="36"/>
      <c r="BJ64" s="36"/>
      <c r="BK64" s="36"/>
      <c r="BL64" s="36"/>
    </row>
    <row r="65" spans="1:64">
      <c r="A65" s="21" t="str">
        <f t="shared" si="6"/>
        <v>PSTOH_COST2.당월실적_법인전체_OH금년</v>
      </c>
      <c r="B65" s="18"/>
      <c r="C65" s="18"/>
      <c r="D65" s="18"/>
      <c r="E65" s="18"/>
      <c r="F65" s="18"/>
      <c r="G65" s="18" t="s">
        <v>18</v>
      </c>
      <c r="H65" s="18" t="s">
        <v>121</v>
      </c>
      <c r="I65" s="18" t="s">
        <v>124</v>
      </c>
      <c r="J65" s="21" t="s">
        <v>73</v>
      </c>
      <c r="K65" s="20"/>
      <c r="L65" s="35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7"/>
      <c r="X65" s="35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7"/>
      <c r="AJ65" s="35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7"/>
      <c r="AV65" s="35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7"/>
      <c r="BH65" s="38"/>
      <c r="BI65" s="36"/>
      <c r="BJ65" s="36"/>
      <c r="BK65" s="36"/>
      <c r="BL65" s="36"/>
    </row>
    <row r="66" spans="1:64">
      <c r="A66" s="21" t="str">
        <f t="shared" si="6"/>
        <v>PSTOH_COST2.당월실적_법인전체_OH전년</v>
      </c>
      <c r="B66" s="18"/>
      <c r="C66" s="18"/>
      <c r="D66" s="18"/>
      <c r="E66" s="18"/>
      <c r="F66" s="18"/>
      <c r="G66" s="18" t="s">
        <v>18</v>
      </c>
      <c r="H66" s="18" t="s">
        <v>121</v>
      </c>
      <c r="I66" s="18" t="s">
        <v>124</v>
      </c>
      <c r="J66" s="34" t="s">
        <v>57</v>
      </c>
      <c r="K66" s="20"/>
      <c r="L66" s="35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7"/>
      <c r="X66" s="35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7"/>
      <c r="AJ66" s="35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7"/>
      <c r="AV66" s="35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7"/>
      <c r="BH66" s="38"/>
      <c r="BI66" s="36"/>
      <c r="BJ66" s="36"/>
      <c r="BK66" s="36"/>
      <c r="BL66" s="36"/>
    </row>
    <row r="67" spans="1:64">
      <c r="A67" s="21" t="str">
        <f t="shared" si="6"/>
        <v>DVTOH_COST2.당월실적_법인전체_OH금년</v>
      </c>
      <c r="B67" s="18"/>
      <c r="C67" s="18"/>
      <c r="D67" s="18"/>
      <c r="E67" s="18"/>
      <c r="F67" s="18"/>
      <c r="G67" s="18" t="s">
        <v>11</v>
      </c>
      <c r="H67" s="18" t="s">
        <v>121</v>
      </c>
      <c r="I67" s="18" t="s">
        <v>124</v>
      </c>
      <c r="J67" s="21" t="s">
        <v>73</v>
      </c>
      <c r="K67" s="20"/>
      <c r="L67" s="35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7"/>
      <c r="X67" s="35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7"/>
      <c r="AJ67" s="35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7"/>
      <c r="AV67" s="35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7"/>
      <c r="BH67" s="38"/>
      <c r="BI67" s="36"/>
      <c r="BJ67" s="36"/>
      <c r="BK67" s="36"/>
      <c r="BL67" s="36"/>
    </row>
    <row r="68" spans="1:64">
      <c r="A68" s="21" t="str">
        <f t="shared" si="6"/>
        <v>DVTOH_COST2.당월실적_법인전체_OH전년</v>
      </c>
      <c r="B68" s="18"/>
      <c r="C68" s="18"/>
      <c r="D68" s="18"/>
      <c r="E68" s="18"/>
      <c r="F68" s="18"/>
      <c r="G68" s="18" t="s">
        <v>11</v>
      </c>
      <c r="H68" s="18" t="s">
        <v>121</v>
      </c>
      <c r="I68" s="18" t="s">
        <v>124</v>
      </c>
      <c r="J68" s="34" t="s">
        <v>57</v>
      </c>
      <c r="K68" s="20"/>
      <c r="L68" s="35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7"/>
      <c r="X68" s="35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7"/>
      <c r="AJ68" s="35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7"/>
      <c r="AV68" s="35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7"/>
      <c r="BH68" s="38"/>
      <c r="BI68" s="36"/>
      <c r="BJ68" s="36"/>
      <c r="BK68" s="36"/>
      <c r="BL68" s="36"/>
    </row>
    <row r="69" spans="1:64">
      <c r="A69" s="17"/>
      <c r="K69" s="20"/>
    </row>
    <row r="70" spans="1:64">
      <c r="A70" s="21" t="str">
        <f t="shared" ref="A70:A83" si="7">TRIM(B70)&amp;TRIM(C70)&amp;TRIM(D70)&amp;TRIM(E70)&amp;TRIM(F70)&amp;TRIM(G70)&amp;TRIM(H70)&amp;TRIM(I70)&amp;TRIM(J70)</f>
        <v>GJTOH_COST2.당월실적_법인전체_OH금년</v>
      </c>
      <c r="B70" s="18"/>
      <c r="C70" s="18"/>
      <c r="D70" s="18"/>
      <c r="E70" s="18"/>
      <c r="F70" s="18"/>
      <c r="G70" s="18" t="s">
        <v>12</v>
      </c>
      <c r="H70" s="18" t="s">
        <v>121</v>
      </c>
      <c r="I70" s="18" t="s">
        <v>124</v>
      </c>
      <c r="J70" s="21" t="s">
        <v>73</v>
      </c>
      <c r="K70" s="20"/>
      <c r="L70" s="35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7"/>
      <c r="X70" s="35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7"/>
      <c r="AJ70" s="35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7"/>
      <c r="AV70" s="35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7"/>
      <c r="BH70" s="38"/>
      <c r="BI70" s="36"/>
      <c r="BJ70" s="36"/>
      <c r="BK70" s="36"/>
      <c r="BL70" s="36"/>
    </row>
    <row r="71" spans="1:64" ht="18" customHeight="1">
      <c r="A71" s="21" t="str">
        <f t="shared" si="7"/>
        <v>GJTOH_COST2.당월실적_법인전체_OH전년</v>
      </c>
      <c r="B71" s="18"/>
      <c r="C71" s="18"/>
      <c r="D71" s="18"/>
      <c r="E71" s="18"/>
      <c r="F71" s="18"/>
      <c r="G71" s="18" t="s">
        <v>12</v>
      </c>
      <c r="H71" s="18" t="s">
        <v>121</v>
      </c>
      <c r="I71" s="18" t="s">
        <v>124</v>
      </c>
      <c r="J71" s="34" t="s">
        <v>57</v>
      </c>
      <c r="K71" s="20"/>
      <c r="L71" s="35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7"/>
      <c r="X71" s="35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7"/>
      <c r="AJ71" s="35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7"/>
      <c r="AV71" s="35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7"/>
      <c r="BH71" s="38"/>
      <c r="BI71" s="36"/>
      <c r="BJ71" s="36"/>
      <c r="BK71" s="36"/>
      <c r="BL71" s="36"/>
    </row>
    <row r="72" spans="1:64">
      <c r="A72" s="21" t="str">
        <f t="shared" si="7"/>
        <v>GNTOH_COST2.당월실적_법인전체_OH금년</v>
      </c>
      <c r="B72" s="18"/>
      <c r="C72" s="18"/>
      <c r="D72" s="18"/>
      <c r="E72" s="18"/>
      <c r="F72" s="18"/>
      <c r="G72" s="18" t="s">
        <v>14</v>
      </c>
      <c r="H72" s="18" t="s">
        <v>121</v>
      </c>
      <c r="I72" s="18" t="s">
        <v>124</v>
      </c>
      <c r="J72" s="21" t="s">
        <v>73</v>
      </c>
      <c r="K72" s="20"/>
      <c r="L72" s="35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7"/>
      <c r="X72" s="35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7"/>
      <c r="AJ72" s="35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7"/>
      <c r="AV72" s="35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7"/>
      <c r="BH72" s="38"/>
      <c r="BI72" s="36"/>
      <c r="BJ72" s="36"/>
      <c r="BK72" s="36"/>
      <c r="BL72" s="36"/>
    </row>
    <row r="73" spans="1:64">
      <c r="A73" s="21" t="str">
        <f t="shared" si="7"/>
        <v>GNTOH_COST2.당월실적_법인전체_OH전년</v>
      </c>
      <c r="B73" s="18"/>
      <c r="C73" s="18"/>
      <c r="D73" s="18"/>
      <c r="E73" s="18"/>
      <c r="F73" s="18"/>
      <c r="G73" s="18" t="s">
        <v>14</v>
      </c>
      <c r="H73" s="18" t="s">
        <v>121</v>
      </c>
      <c r="I73" s="18" t="s">
        <v>124</v>
      </c>
      <c r="J73" s="34" t="s">
        <v>57</v>
      </c>
      <c r="K73" s="20"/>
      <c r="L73" s="35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7"/>
      <c r="X73" s="35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7"/>
      <c r="AJ73" s="35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7"/>
      <c r="AV73" s="35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7"/>
      <c r="BH73" s="38"/>
      <c r="BI73" s="36"/>
      <c r="BJ73" s="36"/>
      <c r="BK73" s="36"/>
      <c r="BL73" s="36"/>
    </row>
    <row r="74" spans="1:64">
      <c r="A74" s="21" t="str">
        <f t="shared" si="7"/>
        <v>GOTOH_COST2.당월실적_법인전체_OH금년</v>
      </c>
      <c r="B74" s="18"/>
      <c r="C74" s="18"/>
      <c r="D74" s="18"/>
      <c r="E74" s="18"/>
      <c r="F74" s="18"/>
      <c r="G74" s="18" t="s">
        <v>117</v>
      </c>
      <c r="H74" s="18" t="s">
        <v>121</v>
      </c>
      <c r="I74" s="18" t="s">
        <v>124</v>
      </c>
      <c r="J74" s="21" t="s">
        <v>73</v>
      </c>
      <c r="K74" s="20"/>
      <c r="L74" s="35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7"/>
      <c r="X74" s="35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7"/>
      <c r="AJ74" s="35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7"/>
      <c r="AV74" s="35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7"/>
      <c r="BH74" s="38"/>
      <c r="BI74" s="36"/>
      <c r="BJ74" s="36"/>
      <c r="BK74" s="36"/>
      <c r="BL74" s="36"/>
    </row>
    <row r="75" spans="1:64">
      <c r="A75" s="21" t="str">
        <f t="shared" si="7"/>
        <v>GOTOH_COST2.당월실적_법인전체_OH전년</v>
      </c>
      <c r="B75" s="18"/>
      <c r="C75" s="18"/>
      <c r="D75" s="18"/>
      <c r="E75" s="18"/>
      <c r="F75" s="18"/>
      <c r="G75" s="18" t="s">
        <v>117</v>
      </c>
      <c r="H75" s="18" t="s">
        <v>121</v>
      </c>
      <c r="I75" s="18" t="s">
        <v>124</v>
      </c>
      <c r="J75" s="34" t="s">
        <v>57</v>
      </c>
      <c r="K75" s="20"/>
      <c r="L75" s="35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7"/>
      <c r="X75" s="35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7"/>
      <c r="AJ75" s="35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7"/>
      <c r="AV75" s="35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7"/>
      <c r="BH75" s="38"/>
      <c r="BI75" s="36"/>
      <c r="BJ75" s="36"/>
      <c r="BK75" s="36"/>
      <c r="BL75" s="36"/>
    </row>
    <row r="76" spans="1:64">
      <c r="A76" s="21" t="str">
        <f t="shared" si="7"/>
        <v>PKTOH_COST2.당월실적_법인전체_OH금년</v>
      </c>
      <c r="B76" s="18"/>
      <c r="C76" s="18"/>
      <c r="D76" s="18"/>
      <c r="E76" s="18"/>
      <c r="F76" s="18"/>
      <c r="G76" s="18" t="s">
        <v>105</v>
      </c>
      <c r="H76" s="18" t="s">
        <v>121</v>
      </c>
      <c r="I76" s="18" t="s">
        <v>124</v>
      </c>
      <c r="J76" s="21" t="s">
        <v>73</v>
      </c>
      <c r="K76" s="20"/>
      <c r="L76" s="35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7"/>
      <c r="X76" s="35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7"/>
      <c r="AJ76" s="35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7"/>
      <c r="AV76" s="35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7"/>
      <c r="BH76" s="38"/>
      <c r="BI76" s="36"/>
      <c r="BJ76" s="36"/>
      <c r="BK76" s="36"/>
      <c r="BL76" s="36"/>
    </row>
    <row r="77" spans="1:64">
      <c r="A77" s="21" t="str">
        <f t="shared" si="7"/>
        <v>PKTOH_COST2.당월실적_법인전체_OH전년</v>
      </c>
      <c r="B77" s="18"/>
      <c r="C77" s="18"/>
      <c r="D77" s="18"/>
      <c r="E77" s="18"/>
      <c r="F77" s="18"/>
      <c r="G77" s="18" t="s">
        <v>105</v>
      </c>
      <c r="H77" s="18" t="s">
        <v>121</v>
      </c>
      <c r="I77" s="18" t="s">
        <v>124</v>
      </c>
      <c r="J77" s="34" t="s">
        <v>57</v>
      </c>
      <c r="K77" s="20"/>
      <c r="L77" s="35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7"/>
      <c r="X77" s="35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7"/>
      <c r="AJ77" s="35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7"/>
      <c r="AV77" s="35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7"/>
      <c r="BH77" s="38"/>
      <c r="BI77" s="36"/>
      <c r="BJ77" s="36"/>
      <c r="BK77" s="36"/>
      <c r="BL77" s="36"/>
    </row>
    <row r="78" spans="1:64">
      <c r="A78" s="21" t="str">
        <f t="shared" si="7"/>
        <v>DMTOH_COST2.당월실적_법인전체_OH금년</v>
      </c>
      <c r="B78" s="18"/>
      <c r="C78" s="18"/>
      <c r="D78" s="18"/>
      <c r="E78" s="18"/>
      <c r="F78" s="18"/>
      <c r="G78" s="18" t="s">
        <v>10</v>
      </c>
      <c r="H78" s="18" t="s">
        <v>121</v>
      </c>
      <c r="I78" s="18" t="s">
        <v>124</v>
      </c>
      <c r="J78" s="21" t="s">
        <v>73</v>
      </c>
      <c r="K78" s="20"/>
      <c r="L78" s="35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7"/>
      <c r="X78" s="35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7"/>
      <c r="AJ78" s="35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7"/>
      <c r="AV78" s="35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7"/>
      <c r="BH78" s="38"/>
      <c r="BI78" s="36"/>
      <c r="BJ78" s="36"/>
      <c r="BK78" s="36"/>
      <c r="BL78" s="36"/>
    </row>
    <row r="79" spans="1:64">
      <c r="A79" s="21" t="str">
        <f t="shared" si="7"/>
        <v>DMTOH_COST2.당월실적_법인전체_OH전년</v>
      </c>
      <c r="B79" s="18"/>
      <c r="C79" s="18"/>
      <c r="D79" s="18"/>
      <c r="E79" s="18"/>
      <c r="F79" s="18"/>
      <c r="G79" s="18" t="s">
        <v>10</v>
      </c>
      <c r="H79" s="18" t="s">
        <v>121</v>
      </c>
      <c r="I79" s="18" t="s">
        <v>124</v>
      </c>
      <c r="J79" s="34" t="s">
        <v>57</v>
      </c>
      <c r="K79" s="20"/>
      <c r="L79" s="35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7"/>
      <c r="X79" s="35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7"/>
      <c r="AJ79" s="35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7"/>
      <c r="AV79" s="35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7"/>
      <c r="BH79" s="38"/>
      <c r="BI79" s="36"/>
      <c r="BJ79" s="36"/>
      <c r="BK79" s="36"/>
      <c r="BL79" s="36"/>
    </row>
    <row r="80" spans="1:64">
      <c r="A80" s="21" t="str">
        <f t="shared" si="7"/>
        <v>DTTOH_COST2.당월실적_법인전체_OH금년</v>
      </c>
      <c r="B80" s="18"/>
      <c r="C80" s="18"/>
      <c r="D80" s="18"/>
      <c r="E80" s="18"/>
      <c r="F80" s="18"/>
      <c r="G80" s="18" t="s">
        <v>118</v>
      </c>
      <c r="H80" s="18" t="s">
        <v>121</v>
      </c>
      <c r="I80" s="18" t="s">
        <v>124</v>
      </c>
      <c r="J80" s="21" t="s">
        <v>73</v>
      </c>
      <c r="K80" s="20"/>
      <c r="L80" s="35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7"/>
      <c r="X80" s="35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7"/>
      <c r="AJ80" s="35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7"/>
      <c r="AV80" s="35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7"/>
      <c r="BH80" s="38"/>
      <c r="BI80" s="36"/>
      <c r="BJ80" s="36"/>
      <c r="BK80" s="36"/>
      <c r="BL80" s="36"/>
    </row>
    <row r="81" spans="1:64">
      <c r="A81" s="21" t="str">
        <f t="shared" si="7"/>
        <v>DTTOH_COST2.당월실적_법인전체_OH전년</v>
      </c>
      <c r="B81" s="18"/>
      <c r="C81" s="18"/>
      <c r="D81" s="18"/>
      <c r="E81" s="18"/>
      <c r="F81" s="18"/>
      <c r="G81" s="18" t="s">
        <v>118</v>
      </c>
      <c r="H81" s="18" t="s">
        <v>121</v>
      </c>
      <c r="I81" s="18" t="s">
        <v>124</v>
      </c>
      <c r="J81" s="34" t="s">
        <v>57</v>
      </c>
      <c r="K81" s="20"/>
      <c r="L81" s="35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7"/>
      <c r="X81" s="35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7"/>
      <c r="AJ81" s="35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7"/>
      <c r="AV81" s="35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7"/>
      <c r="BH81" s="38"/>
      <c r="BI81" s="36"/>
      <c r="BJ81" s="36"/>
      <c r="BK81" s="36"/>
      <c r="BL81" s="36"/>
    </row>
    <row r="82" spans="1:64">
      <c r="A82" s="21" t="str">
        <f t="shared" si="7"/>
        <v>PGTOH_COST2.당월실적_법인전체_OH금년</v>
      </c>
      <c r="B82" s="18"/>
      <c r="C82" s="18"/>
      <c r="D82" s="18"/>
      <c r="E82" s="18"/>
      <c r="F82" s="18"/>
      <c r="G82" s="18" t="s">
        <v>19</v>
      </c>
      <c r="H82" s="18" t="s">
        <v>121</v>
      </c>
      <c r="I82" s="18" t="s">
        <v>124</v>
      </c>
      <c r="J82" s="21" t="s">
        <v>73</v>
      </c>
      <c r="K82" s="20"/>
      <c r="L82" s="35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7"/>
      <c r="X82" s="35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7"/>
      <c r="AJ82" s="35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7"/>
      <c r="AV82" s="35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7"/>
      <c r="BH82" s="38"/>
      <c r="BI82" s="36"/>
      <c r="BJ82" s="36"/>
      <c r="BK82" s="36"/>
      <c r="BL82" s="36"/>
    </row>
    <row r="83" spans="1:64">
      <c r="A83" s="21" t="str">
        <f t="shared" si="7"/>
        <v>PGTOH_COST2.당월실적_법인전체_OH전년</v>
      </c>
      <c r="B83" s="18"/>
      <c r="C83" s="18"/>
      <c r="D83" s="18"/>
      <c r="E83" s="18"/>
      <c r="F83" s="18"/>
      <c r="G83" s="18" t="s">
        <v>19</v>
      </c>
      <c r="H83" s="18" t="s">
        <v>121</v>
      </c>
      <c r="I83" s="18" t="s">
        <v>124</v>
      </c>
      <c r="J83" s="34" t="s">
        <v>57</v>
      </c>
      <c r="K83" s="20"/>
      <c r="L83" s="35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7"/>
      <c r="X83" s="35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7"/>
      <c r="AJ83" s="35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7"/>
      <c r="AV83" s="35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7"/>
      <c r="BH83" s="38"/>
      <c r="BI83" s="36"/>
      <c r="BJ83" s="36"/>
      <c r="BK83" s="36"/>
      <c r="BL83" s="36"/>
    </row>
    <row r="84" spans="1:64">
      <c r="A84" s="17"/>
      <c r="K84" s="20"/>
    </row>
    <row r="85" spans="1:64">
      <c r="A85" s="17"/>
      <c r="K85" s="20"/>
    </row>
    <row r="86" spans="1:64">
      <c r="A86" s="21" t="str">
        <f t="shared" ref="A86:A105" si="8">TRIM(B86)&amp;TRIM(C86)&amp;TRIM(D86)&amp;TRIM(E86)&amp;TRIM(F86)&amp;TRIM(G86)&amp;TRIM(H86)&amp;TRIM(I86)&amp;TRIM(J86)</f>
        <v>GLTSALES_DEDUCTION2.당월실적_B2C금년</v>
      </c>
      <c r="B86" s="18"/>
      <c r="C86" s="18"/>
      <c r="D86" s="18"/>
      <c r="E86" s="18"/>
      <c r="F86" s="18"/>
      <c r="G86" s="18" t="s">
        <v>13</v>
      </c>
      <c r="H86" s="18" t="s">
        <v>125</v>
      </c>
      <c r="I86" s="18" t="s">
        <v>78</v>
      </c>
      <c r="J86" s="21" t="s">
        <v>73</v>
      </c>
      <c r="K86" s="20"/>
      <c r="L86" s="35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7"/>
      <c r="X86" s="35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7"/>
      <c r="AJ86" s="35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7"/>
      <c r="AV86" s="35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7"/>
      <c r="BH86" s="38"/>
      <c r="BI86" s="36"/>
      <c r="BJ86" s="36"/>
      <c r="BK86" s="36"/>
      <c r="BL86" s="36"/>
    </row>
    <row r="87" spans="1:64">
      <c r="A87" s="21" t="str">
        <f t="shared" si="8"/>
        <v>GLTSALES_DEDUCTION2.당월실적_B2C전년</v>
      </c>
      <c r="B87" s="18"/>
      <c r="C87" s="18"/>
      <c r="D87" s="18"/>
      <c r="E87" s="18"/>
      <c r="F87" s="18"/>
      <c r="G87" s="18" t="s">
        <v>13</v>
      </c>
      <c r="H87" s="18" t="s">
        <v>76</v>
      </c>
      <c r="I87" s="18" t="s">
        <v>78</v>
      </c>
      <c r="J87" s="34" t="s">
        <v>57</v>
      </c>
      <c r="K87" s="20"/>
      <c r="L87" s="35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7"/>
      <c r="X87" s="35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7"/>
      <c r="AJ87" s="35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7"/>
      <c r="AV87" s="35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7"/>
      <c r="BH87" s="38"/>
      <c r="BI87" s="36"/>
      <c r="BJ87" s="36"/>
      <c r="BK87" s="36"/>
      <c r="BL87" s="36"/>
    </row>
    <row r="88" spans="1:64">
      <c r="A88" s="21" t="str">
        <f t="shared" si="8"/>
        <v>GTTSALES_DEDUCTION2.당월실적_B2C금년</v>
      </c>
      <c r="B88" s="18"/>
      <c r="C88" s="18"/>
      <c r="D88" s="18"/>
      <c r="E88" s="18"/>
      <c r="F88" s="18"/>
      <c r="G88" s="18" t="s">
        <v>15</v>
      </c>
      <c r="H88" s="18" t="s">
        <v>76</v>
      </c>
      <c r="I88" s="18" t="s">
        <v>78</v>
      </c>
      <c r="J88" s="21" t="s">
        <v>73</v>
      </c>
      <c r="K88" s="20"/>
      <c r="L88" s="35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7"/>
      <c r="X88" s="35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7"/>
      <c r="AJ88" s="35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7"/>
      <c r="AV88" s="35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7"/>
      <c r="BH88" s="38"/>
      <c r="BI88" s="36"/>
      <c r="BJ88" s="36"/>
      <c r="BK88" s="36"/>
      <c r="BL88" s="36"/>
    </row>
    <row r="89" spans="1:64">
      <c r="A89" s="21" t="str">
        <f t="shared" si="8"/>
        <v>GTTSALES_DEDUCTION2.당월실적_B2C전년</v>
      </c>
      <c r="B89" s="18"/>
      <c r="C89" s="18"/>
      <c r="D89" s="18"/>
      <c r="E89" s="18"/>
      <c r="F89" s="18"/>
      <c r="G89" s="18" t="s">
        <v>15</v>
      </c>
      <c r="H89" s="18" t="s">
        <v>76</v>
      </c>
      <c r="I89" s="18" t="s">
        <v>78</v>
      </c>
      <c r="J89" s="34" t="s">
        <v>57</v>
      </c>
      <c r="K89" s="20"/>
      <c r="L89" s="35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7"/>
      <c r="X89" s="35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7"/>
      <c r="AJ89" s="35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7"/>
      <c r="AV89" s="35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7"/>
      <c r="BH89" s="38"/>
      <c r="BI89" s="36"/>
      <c r="BJ89" s="36"/>
      <c r="BK89" s="36"/>
      <c r="BL89" s="36"/>
    </row>
    <row r="90" spans="1:64">
      <c r="A90" s="21" t="str">
        <f t="shared" si="8"/>
        <v>PNTSALES_DEDUCTION2.당월실적_B2C금년</v>
      </c>
      <c r="B90" s="18"/>
      <c r="C90" s="18"/>
      <c r="D90" s="18"/>
      <c r="E90" s="18"/>
      <c r="F90" s="18"/>
      <c r="G90" s="18" t="s">
        <v>17</v>
      </c>
      <c r="H90" s="18" t="s">
        <v>76</v>
      </c>
      <c r="I90" s="18" t="s">
        <v>78</v>
      </c>
      <c r="J90" s="21" t="s">
        <v>73</v>
      </c>
      <c r="K90" s="20"/>
      <c r="L90" s="35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7"/>
      <c r="X90" s="35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7"/>
      <c r="AJ90" s="35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7"/>
      <c r="AV90" s="35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7"/>
      <c r="BH90" s="38"/>
      <c r="BI90" s="36"/>
      <c r="BJ90" s="36"/>
      <c r="BK90" s="36"/>
      <c r="BL90" s="36"/>
    </row>
    <row r="91" spans="1:64">
      <c r="A91" s="21" t="str">
        <f t="shared" si="8"/>
        <v>PNTSALES_DEDUCTION2.당월실적_B2C전년</v>
      </c>
      <c r="B91" s="18"/>
      <c r="C91" s="18"/>
      <c r="D91" s="18"/>
      <c r="E91" s="18"/>
      <c r="F91" s="18"/>
      <c r="G91" s="18" t="s">
        <v>17</v>
      </c>
      <c r="H91" s="18" t="s">
        <v>76</v>
      </c>
      <c r="I91" s="18" t="s">
        <v>78</v>
      </c>
      <c r="J91" s="34" t="s">
        <v>57</v>
      </c>
      <c r="K91" s="20"/>
      <c r="L91" s="35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7"/>
      <c r="X91" s="35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7"/>
      <c r="AJ91" s="35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7"/>
      <c r="AV91" s="35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7"/>
      <c r="BH91" s="38"/>
      <c r="BI91" s="36"/>
      <c r="BJ91" s="36"/>
      <c r="BK91" s="36"/>
      <c r="BL91" s="36"/>
    </row>
    <row r="92" spans="1:64">
      <c r="A92" s="21" t="str">
        <f t="shared" si="8"/>
        <v>MSTSALES_DEDUCTION2.당월실적_B2C금년</v>
      </c>
      <c r="B92" s="18"/>
      <c r="C92" s="18"/>
      <c r="D92" s="18"/>
      <c r="E92" s="18"/>
      <c r="F92" s="18"/>
      <c r="G92" s="18" t="s">
        <v>16</v>
      </c>
      <c r="H92" s="18" t="s">
        <v>76</v>
      </c>
      <c r="I92" s="18" t="s">
        <v>78</v>
      </c>
      <c r="J92" s="21" t="s">
        <v>73</v>
      </c>
      <c r="K92" s="20"/>
      <c r="L92" s="35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7"/>
      <c r="X92" s="35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7"/>
      <c r="AJ92" s="35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7"/>
      <c r="AV92" s="35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7"/>
      <c r="BH92" s="38"/>
      <c r="BI92" s="36"/>
      <c r="BJ92" s="36"/>
      <c r="BK92" s="36"/>
      <c r="BL92" s="36"/>
    </row>
    <row r="93" spans="1:64">
      <c r="A93" s="21" t="str">
        <f t="shared" si="8"/>
        <v>MSTSALES_DEDUCTION2.당월실적_B2C전년</v>
      </c>
      <c r="B93" s="18"/>
      <c r="C93" s="18"/>
      <c r="D93" s="18"/>
      <c r="E93" s="18"/>
      <c r="F93" s="18"/>
      <c r="G93" s="18" t="s">
        <v>16</v>
      </c>
      <c r="H93" s="18" t="s">
        <v>76</v>
      </c>
      <c r="I93" s="18" t="s">
        <v>78</v>
      </c>
      <c r="J93" s="34" t="s">
        <v>57</v>
      </c>
      <c r="K93" s="20"/>
      <c r="L93" s="35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7"/>
      <c r="X93" s="35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7"/>
      <c r="AJ93" s="35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7"/>
      <c r="AV93" s="35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7"/>
      <c r="BH93" s="38"/>
      <c r="BI93" s="36"/>
      <c r="BJ93" s="36"/>
      <c r="BK93" s="36"/>
      <c r="BL93" s="36"/>
    </row>
    <row r="94" spans="1:64">
      <c r="A94" s="21" t="str">
        <f t="shared" si="8"/>
        <v>CNTSALES_DEDUCTION2.당월실적_B2C금년</v>
      </c>
      <c r="B94" s="18"/>
      <c r="C94" s="18"/>
      <c r="D94" s="18"/>
      <c r="E94" s="18"/>
      <c r="F94" s="18"/>
      <c r="G94" s="18" t="s">
        <v>7</v>
      </c>
      <c r="H94" s="18" t="s">
        <v>76</v>
      </c>
      <c r="I94" s="18" t="s">
        <v>78</v>
      </c>
      <c r="J94" s="21" t="s">
        <v>73</v>
      </c>
      <c r="K94" s="20"/>
      <c r="L94" s="35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7"/>
      <c r="X94" s="35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7"/>
      <c r="AJ94" s="35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7"/>
      <c r="AV94" s="35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7"/>
      <c r="BH94" s="38"/>
      <c r="BI94" s="36"/>
      <c r="BJ94" s="36"/>
      <c r="BK94" s="36"/>
      <c r="BL94" s="36"/>
    </row>
    <row r="95" spans="1:64">
      <c r="A95" s="21" t="str">
        <f t="shared" si="8"/>
        <v>CNTSALES_DEDUCTION2.당월실적_B2C전년</v>
      </c>
      <c r="B95" s="18"/>
      <c r="C95" s="18"/>
      <c r="D95" s="18"/>
      <c r="E95" s="18"/>
      <c r="F95" s="18"/>
      <c r="G95" s="18" t="s">
        <v>7</v>
      </c>
      <c r="H95" s="18" t="s">
        <v>76</v>
      </c>
      <c r="I95" s="18" t="s">
        <v>78</v>
      </c>
      <c r="J95" s="34" t="s">
        <v>57</v>
      </c>
      <c r="K95" s="20"/>
      <c r="L95" s="35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7"/>
      <c r="X95" s="35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7"/>
      <c r="AJ95" s="35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7"/>
      <c r="AV95" s="35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7"/>
      <c r="BH95" s="38"/>
      <c r="BI95" s="36"/>
      <c r="BJ95" s="36"/>
      <c r="BK95" s="36"/>
      <c r="BL95" s="36"/>
    </row>
    <row r="96" spans="1:64">
      <c r="A96" s="21" t="str">
        <f t="shared" si="8"/>
        <v>DFTSALES_DEDUCTION2.당월실적_B2C금년</v>
      </c>
      <c r="B96" s="18"/>
      <c r="C96" s="18"/>
      <c r="D96" s="18"/>
      <c r="E96" s="18"/>
      <c r="F96" s="18"/>
      <c r="G96" s="18" t="s">
        <v>8</v>
      </c>
      <c r="H96" s="18" t="s">
        <v>76</v>
      </c>
      <c r="I96" s="18" t="str">
        <f t="shared" ref="I96:I105" si="9">I86</f>
        <v>2.당월실적_B2C</v>
      </c>
      <c r="J96" s="21" t="s">
        <v>73</v>
      </c>
      <c r="K96" s="20"/>
      <c r="L96" s="35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7"/>
      <c r="X96" s="35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7"/>
      <c r="AJ96" s="35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7"/>
      <c r="AV96" s="35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7"/>
      <c r="BH96" s="38"/>
      <c r="BI96" s="36"/>
      <c r="BJ96" s="36"/>
      <c r="BK96" s="36"/>
      <c r="BL96" s="36"/>
    </row>
    <row r="97" spans="1:64">
      <c r="A97" s="21" t="str">
        <f t="shared" si="8"/>
        <v>DFTSALES_DEDUCTION2.당월실적_B2C전년</v>
      </c>
      <c r="B97" s="18"/>
      <c r="C97" s="18"/>
      <c r="D97" s="18"/>
      <c r="E97" s="18"/>
      <c r="F97" s="18"/>
      <c r="G97" s="18" t="s">
        <v>8</v>
      </c>
      <c r="H97" s="18" t="s">
        <v>76</v>
      </c>
      <c r="I97" s="18" t="str">
        <f t="shared" si="9"/>
        <v>2.당월실적_B2C</v>
      </c>
      <c r="J97" s="34" t="s">
        <v>57</v>
      </c>
      <c r="K97" s="20"/>
      <c r="L97" s="35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7"/>
      <c r="X97" s="35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7"/>
      <c r="AJ97" s="35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7"/>
      <c r="AV97" s="35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7"/>
      <c r="BH97" s="38"/>
      <c r="BI97" s="36"/>
      <c r="BJ97" s="36"/>
      <c r="BK97" s="36"/>
      <c r="BL97" s="36"/>
    </row>
    <row r="98" spans="1:64">
      <c r="A98" s="21" t="str">
        <f t="shared" si="8"/>
        <v>DGTSALES_DEDUCTION2.당월실적_B2C금년</v>
      </c>
      <c r="B98" s="18"/>
      <c r="C98" s="18"/>
      <c r="D98" s="18"/>
      <c r="E98" s="18"/>
      <c r="F98" s="18"/>
      <c r="G98" s="18" t="s">
        <v>9</v>
      </c>
      <c r="H98" s="18" t="s">
        <v>76</v>
      </c>
      <c r="I98" s="18" t="str">
        <f t="shared" si="9"/>
        <v>2.당월실적_B2C</v>
      </c>
      <c r="J98" s="21" t="s">
        <v>73</v>
      </c>
      <c r="K98" s="20"/>
      <c r="L98" s="35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7"/>
      <c r="X98" s="35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7"/>
      <c r="AJ98" s="35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7"/>
      <c r="AV98" s="35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7"/>
      <c r="BH98" s="38"/>
      <c r="BI98" s="36"/>
      <c r="BJ98" s="36"/>
      <c r="BK98" s="36"/>
      <c r="BL98" s="36"/>
    </row>
    <row r="99" spans="1:64">
      <c r="A99" s="21" t="str">
        <f t="shared" si="8"/>
        <v>DGTSALES_DEDUCTION2.당월실적_B2C전년</v>
      </c>
      <c r="B99" s="18"/>
      <c r="C99" s="18"/>
      <c r="D99" s="18"/>
      <c r="E99" s="18"/>
      <c r="F99" s="18"/>
      <c r="G99" s="18" t="s">
        <v>9</v>
      </c>
      <c r="H99" s="18" t="s">
        <v>76</v>
      </c>
      <c r="I99" s="18" t="str">
        <f t="shared" si="9"/>
        <v>2.당월실적_B2C</v>
      </c>
      <c r="J99" s="34" t="s">
        <v>57</v>
      </c>
      <c r="K99" s="20"/>
      <c r="L99" s="35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7"/>
      <c r="X99" s="35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7"/>
      <c r="AJ99" s="35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7"/>
      <c r="AV99" s="35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7"/>
      <c r="BH99" s="38"/>
      <c r="BI99" s="36"/>
      <c r="BJ99" s="36"/>
      <c r="BK99" s="36"/>
      <c r="BL99" s="36"/>
    </row>
    <row r="100" spans="1:64">
      <c r="A100" s="21" t="str">
        <f t="shared" si="8"/>
        <v>PCTSALES_DEDUCTION2.당월실적_B2C금년</v>
      </c>
      <c r="B100" s="18"/>
      <c r="C100" s="18"/>
      <c r="D100" s="18"/>
      <c r="E100" s="18"/>
      <c r="F100" s="18"/>
      <c r="G100" s="18" t="s">
        <v>20</v>
      </c>
      <c r="H100" s="18" t="s">
        <v>76</v>
      </c>
      <c r="I100" s="18" t="str">
        <f t="shared" si="9"/>
        <v>2.당월실적_B2C</v>
      </c>
      <c r="J100" s="21" t="s">
        <v>73</v>
      </c>
      <c r="K100" s="20"/>
      <c r="L100" s="35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7"/>
      <c r="X100" s="35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7"/>
      <c r="AJ100" s="35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7"/>
      <c r="AV100" s="35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7"/>
      <c r="BH100" s="38"/>
      <c r="BI100" s="36"/>
      <c r="BJ100" s="36"/>
      <c r="BK100" s="36"/>
      <c r="BL100" s="36"/>
    </row>
    <row r="101" spans="1:64">
      <c r="A101" s="21" t="str">
        <f t="shared" si="8"/>
        <v>PCTSALES_DEDUCTION2.당월실적_B2C전년</v>
      </c>
      <c r="B101" s="18"/>
      <c r="C101" s="18"/>
      <c r="D101" s="18"/>
      <c r="E101" s="18"/>
      <c r="F101" s="18"/>
      <c r="G101" s="18" t="s">
        <v>20</v>
      </c>
      <c r="H101" s="18" t="s">
        <v>76</v>
      </c>
      <c r="I101" s="18" t="str">
        <f t="shared" si="9"/>
        <v>2.당월실적_B2C</v>
      </c>
      <c r="J101" s="34" t="s">
        <v>57</v>
      </c>
      <c r="K101" s="20"/>
      <c r="L101" s="35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7"/>
      <c r="X101" s="35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7"/>
      <c r="AJ101" s="35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7"/>
      <c r="AV101" s="35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7"/>
      <c r="BH101" s="38"/>
      <c r="BI101" s="36"/>
      <c r="BJ101" s="36"/>
      <c r="BK101" s="36"/>
      <c r="BL101" s="36"/>
    </row>
    <row r="102" spans="1:64">
      <c r="A102" s="21" t="str">
        <f t="shared" si="8"/>
        <v>PSTSALES_DEDUCTION2.당월실적_B2C금년</v>
      </c>
      <c r="B102" s="18"/>
      <c r="C102" s="18"/>
      <c r="D102" s="18"/>
      <c r="E102" s="18"/>
      <c r="F102" s="18"/>
      <c r="G102" s="18" t="s">
        <v>18</v>
      </c>
      <c r="H102" s="18" t="s">
        <v>76</v>
      </c>
      <c r="I102" s="18" t="str">
        <f t="shared" si="9"/>
        <v>2.당월실적_B2C</v>
      </c>
      <c r="J102" s="21" t="s">
        <v>73</v>
      </c>
      <c r="K102" s="20"/>
      <c r="L102" s="35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7"/>
      <c r="X102" s="35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7"/>
      <c r="AJ102" s="35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7"/>
      <c r="AV102" s="35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7"/>
      <c r="BH102" s="38"/>
      <c r="BI102" s="36"/>
      <c r="BJ102" s="36"/>
      <c r="BK102" s="36"/>
      <c r="BL102" s="36"/>
    </row>
    <row r="103" spans="1:64">
      <c r="A103" s="21" t="str">
        <f t="shared" si="8"/>
        <v>PSTSALES_DEDUCTION2.당월실적_B2C전년</v>
      </c>
      <c r="B103" s="18"/>
      <c r="C103" s="18"/>
      <c r="D103" s="18"/>
      <c r="E103" s="18"/>
      <c r="F103" s="18"/>
      <c r="G103" s="18" t="s">
        <v>18</v>
      </c>
      <c r="H103" s="18" t="s">
        <v>76</v>
      </c>
      <c r="I103" s="18" t="str">
        <f t="shared" si="9"/>
        <v>2.당월실적_B2C</v>
      </c>
      <c r="J103" s="34" t="s">
        <v>57</v>
      </c>
      <c r="K103" s="20"/>
      <c r="L103" s="35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7"/>
      <c r="X103" s="35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7"/>
      <c r="AJ103" s="35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7"/>
      <c r="AV103" s="35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7"/>
      <c r="BH103" s="38"/>
      <c r="BI103" s="36"/>
      <c r="BJ103" s="36"/>
      <c r="BK103" s="36"/>
      <c r="BL103" s="36"/>
    </row>
    <row r="104" spans="1:64">
      <c r="A104" s="21" t="str">
        <f t="shared" si="8"/>
        <v>DVTSALES_DEDUCTION2.당월실적_B2C금년</v>
      </c>
      <c r="B104" s="18"/>
      <c r="C104" s="18"/>
      <c r="D104" s="18"/>
      <c r="E104" s="18"/>
      <c r="F104" s="18"/>
      <c r="G104" s="18" t="s">
        <v>11</v>
      </c>
      <c r="H104" s="18" t="s">
        <v>76</v>
      </c>
      <c r="I104" s="18" t="str">
        <f t="shared" si="9"/>
        <v>2.당월실적_B2C</v>
      </c>
      <c r="J104" s="21" t="s">
        <v>73</v>
      </c>
      <c r="K104" s="20"/>
      <c r="L104" s="35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7"/>
      <c r="X104" s="35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7"/>
      <c r="AJ104" s="35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7"/>
      <c r="AV104" s="35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7"/>
      <c r="BH104" s="38"/>
      <c r="BI104" s="36"/>
      <c r="BJ104" s="36"/>
      <c r="BK104" s="36"/>
      <c r="BL104" s="36"/>
    </row>
    <row r="105" spans="1:64">
      <c r="A105" s="21" t="str">
        <f t="shared" si="8"/>
        <v>DVTSALES_DEDUCTION2.당월실적_B2C전년</v>
      </c>
      <c r="B105" s="18"/>
      <c r="C105" s="18"/>
      <c r="D105" s="18"/>
      <c r="E105" s="18"/>
      <c r="F105" s="18"/>
      <c r="G105" s="18" t="s">
        <v>11</v>
      </c>
      <c r="H105" s="18" t="s">
        <v>76</v>
      </c>
      <c r="I105" s="18" t="str">
        <f t="shared" si="9"/>
        <v>2.당월실적_B2C</v>
      </c>
      <c r="J105" s="34" t="s">
        <v>57</v>
      </c>
      <c r="K105" s="20"/>
      <c r="L105" s="35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7"/>
      <c r="X105" s="35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7"/>
      <c r="AJ105" s="35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7"/>
      <c r="AV105" s="35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7"/>
      <c r="BH105" s="38"/>
      <c r="BI105" s="36"/>
      <c r="BJ105" s="36"/>
      <c r="BK105" s="36"/>
      <c r="BL105" s="36"/>
    </row>
    <row r="106" spans="1:64">
      <c r="A106" s="17"/>
      <c r="K106" s="20"/>
    </row>
    <row r="107" spans="1:64">
      <c r="A107" s="21" t="str">
        <f t="shared" ref="A107:A120" si="10">TRIM(B107)&amp;TRIM(C107)&amp;TRIM(D107)&amp;TRIM(E107)&amp;TRIM(F107)&amp;TRIM(G107)&amp;TRIM(H107)&amp;TRIM(I107)&amp;TRIM(J107)</f>
        <v>GJTSALES_DEDUCTION2.당월실적_B2B금년</v>
      </c>
      <c r="B107" s="18"/>
      <c r="C107" s="18"/>
      <c r="D107" s="18"/>
      <c r="E107" s="18"/>
      <c r="F107" s="18"/>
      <c r="G107" s="18" t="s">
        <v>12</v>
      </c>
      <c r="H107" s="18" t="s">
        <v>76</v>
      </c>
      <c r="I107" s="18" t="s">
        <v>119</v>
      </c>
      <c r="J107" s="21" t="s">
        <v>73</v>
      </c>
      <c r="K107" s="20"/>
      <c r="L107" s="35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7"/>
      <c r="X107" s="35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7"/>
      <c r="AJ107" s="35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7"/>
      <c r="AV107" s="35"/>
      <c r="AW107" s="36"/>
      <c r="AX107" s="36"/>
      <c r="AY107" s="36"/>
      <c r="AZ107" s="36"/>
      <c r="BA107" s="36"/>
      <c r="BB107" s="36"/>
      <c r="BC107" s="36"/>
      <c r="BD107" s="36"/>
      <c r="BE107" s="36"/>
      <c r="BF107" s="36"/>
      <c r="BG107" s="37"/>
      <c r="BH107" s="38"/>
      <c r="BI107" s="36"/>
      <c r="BJ107" s="36"/>
      <c r="BK107" s="36"/>
      <c r="BL107" s="36"/>
    </row>
    <row r="108" spans="1:64" ht="18" customHeight="1">
      <c r="A108" s="21" t="str">
        <f t="shared" si="10"/>
        <v>GJTSALES_DEDUCTION2.당월실적_B2B전년</v>
      </c>
      <c r="B108" s="18"/>
      <c r="C108" s="18"/>
      <c r="D108" s="18"/>
      <c r="E108" s="18"/>
      <c r="F108" s="18"/>
      <c r="G108" s="18" t="s">
        <v>12</v>
      </c>
      <c r="H108" s="18" t="s">
        <v>76</v>
      </c>
      <c r="I108" s="18" t="s">
        <v>119</v>
      </c>
      <c r="J108" s="34" t="s">
        <v>57</v>
      </c>
      <c r="K108" s="20"/>
      <c r="L108" s="35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7"/>
      <c r="X108" s="35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7"/>
      <c r="AJ108" s="35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7"/>
      <c r="AV108" s="35"/>
      <c r="AW108" s="36"/>
      <c r="AX108" s="36"/>
      <c r="AY108" s="36"/>
      <c r="AZ108" s="36"/>
      <c r="BA108" s="36"/>
      <c r="BB108" s="36"/>
      <c r="BC108" s="36"/>
      <c r="BD108" s="36"/>
      <c r="BE108" s="36"/>
      <c r="BF108" s="36"/>
      <c r="BG108" s="37"/>
      <c r="BH108" s="38"/>
      <c r="BI108" s="36"/>
      <c r="BJ108" s="36"/>
      <c r="BK108" s="36"/>
      <c r="BL108" s="36"/>
    </row>
    <row r="109" spans="1:64">
      <c r="A109" s="21" t="str">
        <f t="shared" si="10"/>
        <v>GNTSALES_DEDUCTION2.당월실적_B2B금년</v>
      </c>
      <c r="B109" s="18"/>
      <c r="C109" s="18"/>
      <c r="D109" s="18"/>
      <c r="E109" s="18"/>
      <c r="F109" s="18"/>
      <c r="G109" s="18" t="s">
        <v>14</v>
      </c>
      <c r="H109" s="18" t="s">
        <v>76</v>
      </c>
      <c r="I109" s="18" t="s">
        <v>119</v>
      </c>
      <c r="J109" s="21" t="s">
        <v>73</v>
      </c>
      <c r="K109" s="20"/>
      <c r="L109" s="35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7"/>
      <c r="X109" s="35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7"/>
      <c r="AJ109" s="35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7"/>
      <c r="AV109" s="35"/>
      <c r="AW109" s="36"/>
      <c r="AX109" s="36"/>
      <c r="AY109" s="36"/>
      <c r="AZ109" s="36"/>
      <c r="BA109" s="36"/>
      <c r="BB109" s="36"/>
      <c r="BC109" s="36"/>
      <c r="BD109" s="36"/>
      <c r="BE109" s="36"/>
      <c r="BF109" s="36"/>
      <c r="BG109" s="37"/>
      <c r="BH109" s="38"/>
      <c r="BI109" s="36"/>
      <c r="BJ109" s="36"/>
      <c r="BK109" s="36"/>
      <c r="BL109" s="36"/>
    </row>
    <row r="110" spans="1:64">
      <c r="A110" s="21" t="str">
        <f t="shared" si="10"/>
        <v>GNTSALES_DEDUCTION2.당월실적_B2B전년</v>
      </c>
      <c r="B110" s="18"/>
      <c r="C110" s="18"/>
      <c r="D110" s="18"/>
      <c r="E110" s="18"/>
      <c r="F110" s="18"/>
      <c r="G110" s="18" t="s">
        <v>14</v>
      </c>
      <c r="H110" s="18" t="s">
        <v>76</v>
      </c>
      <c r="I110" s="18" t="s">
        <v>119</v>
      </c>
      <c r="J110" s="34" t="s">
        <v>57</v>
      </c>
      <c r="K110" s="20"/>
      <c r="L110" s="35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7"/>
      <c r="X110" s="35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7"/>
      <c r="AJ110" s="35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7"/>
      <c r="AV110" s="35"/>
      <c r="AW110" s="36"/>
      <c r="AX110" s="36"/>
      <c r="AY110" s="36"/>
      <c r="AZ110" s="36"/>
      <c r="BA110" s="36"/>
      <c r="BB110" s="36"/>
      <c r="BC110" s="36"/>
      <c r="BD110" s="36"/>
      <c r="BE110" s="36"/>
      <c r="BF110" s="36"/>
      <c r="BG110" s="37"/>
      <c r="BH110" s="38"/>
      <c r="BI110" s="36"/>
      <c r="BJ110" s="36"/>
      <c r="BK110" s="36"/>
      <c r="BL110" s="36"/>
    </row>
    <row r="111" spans="1:64">
      <c r="A111" s="21" t="str">
        <f t="shared" si="10"/>
        <v>GOTSALES_DEDUCTION2.당월실적_B2B금년</v>
      </c>
      <c r="B111" s="18"/>
      <c r="C111" s="18"/>
      <c r="D111" s="18"/>
      <c r="E111" s="18"/>
      <c r="F111" s="18"/>
      <c r="G111" s="18" t="s">
        <v>117</v>
      </c>
      <c r="H111" s="18" t="s">
        <v>76</v>
      </c>
      <c r="I111" s="18" t="s">
        <v>119</v>
      </c>
      <c r="J111" s="21" t="s">
        <v>73</v>
      </c>
      <c r="K111" s="20"/>
      <c r="L111" s="35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7"/>
      <c r="X111" s="35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7"/>
      <c r="AJ111" s="35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7"/>
      <c r="AV111" s="35"/>
      <c r="AW111" s="36"/>
      <c r="AX111" s="36"/>
      <c r="AY111" s="36"/>
      <c r="AZ111" s="36"/>
      <c r="BA111" s="36"/>
      <c r="BB111" s="36"/>
      <c r="BC111" s="36"/>
      <c r="BD111" s="36"/>
      <c r="BE111" s="36"/>
      <c r="BF111" s="36"/>
      <c r="BG111" s="37"/>
      <c r="BH111" s="38"/>
      <c r="BI111" s="36"/>
      <c r="BJ111" s="36"/>
      <c r="BK111" s="36"/>
      <c r="BL111" s="36"/>
    </row>
    <row r="112" spans="1:64">
      <c r="A112" s="21" t="str">
        <f t="shared" si="10"/>
        <v>GOTSALES_DEDUCTION2.당월실적_B2B전년</v>
      </c>
      <c r="B112" s="18"/>
      <c r="C112" s="18"/>
      <c r="D112" s="18"/>
      <c r="E112" s="18"/>
      <c r="F112" s="18"/>
      <c r="G112" s="18" t="s">
        <v>117</v>
      </c>
      <c r="H112" s="18" t="s">
        <v>76</v>
      </c>
      <c r="I112" s="18" t="s">
        <v>119</v>
      </c>
      <c r="J112" s="34" t="s">
        <v>57</v>
      </c>
      <c r="K112" s="20"/>
      <c r="L112" s="35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7"/>
      <c r="X112" s="35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7"/>
      <c r="AJ112" s="35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7"/>
      <c r="AV112" s="35"/>
      <c r="AW112" s="36"/>
      <c r="AX112" s="36"/>
      <c r="AY112" s="36"/>
      <c r="AZ112" s="36"/>
      <c r="BA112" s="36"/>
      <c r="BB112" s="36"/>
      <c r="BC112" s="36"/>
      <c r="BD112" s="36"/>
      <c r="BE112" s="36"/>
      <c r="BF112" s="36"/>
      <c r="BG112" s="37"/>
      <c r="BH112" s="38"/>
      <c r="BI112" s="36"/>
      <c r="BJ112" s="36"/>
      <c r="BK112" s="36"/>
      <c r="BL112" s="36"/>
    </row>
    <row r="113" spans="1:64">
      <c r="A113" s="21" t="str">
        <f t="shared" si="10"/>
        <v>PKTSALES_DEDUCTION2.당월실적_B2B금년</v>
      </c>
      <c r="B113" s="18"/>
      <c r="C113" s="18"/>
      <c r="D113" s="18"/>
      <c r="E113" s="18"/>
      <c r="F113" s="18"/>
      <c r="G113" s="18" t="s">
        <v>105</v>
      </c>
      <c r="H113" s="18" t="s">
        <v>76</v>
      </c>
      <c r="I113" s="18" t="s">
        <v>119</v>
      </c>
      <c r="J113" s="21" t="s">
        <v>73</v>
      </c>
      <c r="K113" s="20"/>
      <c r="L113" s="35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7"/>
      <c r="X113" s="35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7"/>
      <c r="AJ113" s="35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7"/>
      <c r="AV113" s="35"/>
      <c r="AW113" s="36"/>
      <c r="AX113" s="36"/>
      <c r="AY113" s="36"/>
      <c r="AZ113" s="36"/>
      <c r="BA113" s="36"/>
      <c r="BB113" s="36"/>
      <c r="BC113" s="36"/>
      <c r="BD113" s="36"/>
      <c r="BE113" s="36"/>
      <c r="BF113" s="36"/>
      <c r="BG113" s="37"/>
      <c r="BH113" s="38"/>
      <c r="BI113" s="36"/>
      <c r="BJ113" s="36"/>
      <c r="BK113" s="36"/>
      <c r="BL113" s="36"/>
    </row>
    <row r="114" spans="1:64">
      <c r="A114" s="21" t="str">
        <f t="shared" si="10"/>
        <v>PKTSALES_DEDUCTION2.당월실적_B2B전년</v>
      </c>
      <c r="B114" s="18"/>
      <c r="C114" s="18"/>
      <c r="D114" s="18"/>
      <c r="E114" s="18"/>
      <c r="F114" s="18"/>
      <c r="G114" s="18" t="s">
        <v>105</v>
      </c>
      <c r="H114" s="18" t="s">
        <v>76</v>
      </c>
      <c r="I114" s="18" t="s">
        <v>119</v>
      </c>
      <c r="J114" s="34" t="s">
        <v>57</v>
      </c>
      <c r="K114" s="20"/>
      <c r="L114" s="35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7"/>
      <c r="X114" s="35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7"/>
      <c r="AJ114" s="35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7"/>
      <c r="AV114" s="35"/>
      <c r="AW114" s="36"/>
      <c r="AX114" s="36"/>
      <c r="AY114" s="36"/>
      <c r="AZ114" s="36"/>
      <c r="BA114" s="36"/>
      <c r="BB114" s="36"/>
      <c r="BC114" s="36"/>
      <c r="BD114" s="36"/>
      <c r="BE114" s="36"/>
      <c r="BF114" s="36"/>
      <c r="BG114" s="37"/>
      <c r="BH114" s="38"/>
      <c r="BI114" s="36"/>
      <c r="BJ114" s="36"/>
      <c r="BK114" s="36"/>
      <c r="BL114" s="36"/>
    </row>
    <row r="115" spans="1:64">
      <c r="A115" s="21" t="str">
        <f t="shared" si="10"/>
        <v>DMTSALES_DEDUCTION2.당월실적_B2B금년</v>
      </c>
      <c r="B115" s="18"/>
      <c r="C115" s="18"/>
      <c r="D115" s="18"/>
      <c r="E115" s="18"/>
      <c r="F115" s="18"/>
      <c r="G115" s="18" t="s">
        <v>10</v>
      </c>
      <c r="H115" s="18" t="s">
        <v>76</v>
      </c>
      <c r="I115" s="18" t="s">
        <v>119</v>
      </c>
      <c r="J115" s="21" t="s">
        <v>73</v>
      </c>
      <c r="K115" s="20"/>
      <c r="L115" s="35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7"/>
      <c r="X115" s="35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7"/>
      <c r="AJ115" s="35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7"/>
      <c r="AV115" s="35"/>
      <c r="AW115" s="36"/>
      <c r="AX115" s="36"/>
      <c r="AY115" s="36"/>
      <c r="AZ115" s="36"/>
      <c r="BA115" s="36"/>
      <c r="BB115" s="36"/>
      <c r="BC115" s="36"/>
      <c r="BD115" s="36"/>
      <c r="BE115" s="36"/>
      <c r="BF115" s="36"/>
      <c r="BG115" s="37"/>
      <c r="BH115" s="38"/>
      <c r="BI115" s="36"/>
      <c r="BJ115" s="36"/>
      <c r="BK115" s="36"/>
      <c r="BL115" s="36"/>
    </row>
    <row r="116" spans="1:64">
      <c r="A116" s="21" t="str">
        <f t="shared" si="10"/>
        <v>DMTSALES_DEDUCTION2.당월실적_B2B전년</v>
      </c>
      <c r="B116" s="18"/>
      <c r="C116" s="18"/>
      <c r="D116" s="18"/>
      <c r="E116" s="18"/>
      <c r="F116" s="18"/>
      <c r="G116" s="18" t="s">
        <v>10</v>
      </c>
      <c r="H116" s="18" t="s">
        <v>76</v>
      </c>
      <c r="I116" s="18" t="s">
        <v>119</v>
      </c>
      <c r="J116" s="34" t="s">
        <v>57</v>
      </c>
      <c r="K116" s="20"/>
      <c r="L116" s="35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7"/>
      <c r="X116" s="35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7"/>
      <c r="AJ116" s="35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7"/>
      <c r="AV116" s="35"/>
      <c r="AW116" s="36"/>
      <c r="AX116" s="36"/>
      <c r="AY116" s="36"/>
      <c r="AZ116" s="36"/>
      <c r="BA116" s="36"/>
      <c r="BB116" s="36"/>
      <c r="BC116" s="36"/>
      <c r="BD116" s="36"/>
      <c r="BE116" s="36"/>
      <c r="BF116" s="36"/>
      <c r="BG116" s="37"/>
      <c r="BH116" s="38"/>
      <c r="BI116" s="36"/>
      <c r="BJ116" s="36"/>
      <c r="BK116" s="36"/>
      <c r="BL116" s="36"/>
    </row>
    <row r="117" spans="1:64">
      <c r="A117" s="21" t="str">
        <f t="shared" si="10"/>
        <v>DTTSALES_DEDUCTION2.당월실적_B2B금년</v>
      </c>
      <c r="B117" s="18"/>
      <c r="C117" s="18"/>
      <c r="D117" s="18"/>
      <c r="E117" s="18"/>
      <c r="F117" s="18"/>
      <c r="G117" s="18" t="s">
        <v>118</v>
      </c>
      <c r="H117" s="18" t="s">
        <v>76</v>
      </c>
      <c r="I117" s="18" t="s">
        <v>119</v>
      </c>
      <c r="J117" s="21" t="s">
        <v>73</v>
      </c>
      <c r="K117" s="20"/>
      <c r="L117" s="35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7"/>
      <c r="X117" s="35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7"/>
      <c r="AJ117" s="35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7"/>
      <c r="AV117" s="35"/>
      <c r="AW117" s="36"/>
      <c r="AX117" s="36"/>
      <c r="AY117" s="36"/>
      <c r="AZ117" s="36"/>
      <c r="BA117" s="36"/>
      <c r="BB117" s="36"/>
      <c r="BC117" s="36"/>
      <c r="BD117" s="36"/>
      <c r="BE117" s="36"/>
      <c r="BF117" s="36"/>
      <c r="BG117" s="37"/>
      <c r="BH117" s="38"/>
      <c r="BI117" s="36"/>
      <c r="BJ117" s="36"/>
      <c r="BK117" s="36"/>
      <c r="BL117" s="36"/>
    </row>
    <row r="118" spans="1:64">
      <c r="A118" s="21" t="str">
        <f t="shared" si="10"/>
        <v>DTTSALES_DEDUCTION2.당월실적_B2B전년</v>
      </c>
      <c r="B118" s="18"/>
      <c r="C118" s="18"/>
      <c r="D118" s="18"/>
      <c r="E118" s="18"/>
      <c r="F118" s="18"/>
      <c r="G118" s="18" t="s">
        <v>118</v>
      </c>
      <c r="H118" s="18" t="s">
        <v>76</v>
      </c>
      <c r="I118" s="18" t="s">
        <v>119</v>
      </c>
      <c r="J118" s="34" t="s">
        <v>57</v>
      </c>
      <c r="K118" s="20"/>
      <c r="L118" s="35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7"/>
      <c r="X118" s="35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7"/>
      <c r="AJ118" s="35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7"/>
      <c r="AV118" s="35"/>
      <c r="AW118" s="36"/>
      <c r="AX118" s="36"/>
      <c r="AY118" s="36"/>
      <c r="AZ118" s="36"/>
      <c r="BA118" s="36"/>
      <c r="BB118" s="36"/>
      <c r="BC118" s="36"/>
      <c r="BD118" s="36"/>
      <c r="BE118" s="36"/>
      <c r="BF118" s="36"/>
      <c r="BG118" s="37"/>
      <c r="BH118" s="38"/>
      <c r="BI118" s="36"/>
      <c r="BJ118" s="36"/>
      <c r="BK118" s="36"/>
      <c r="BL118" s="36"/>
    </row>
    <row r="119" spans="1:64">
      <c r="A119" s="21" t="str">
        <f t="shared" si="10"/>
        <v>PGTSALES_DEDUCTION2.당월실적_B2B금년</v>
      </c>
      <c r="B119" s="18"/>
      <c r="C119" s="18"/>
      <c r="D119" s="18"/>
      <c r="E119" s="18"/>
      <c r="F119" s="18"/>
      <c r="G119" s="18" t="s">
        <v>19</v>
      </c>
      <c r="H119" s="18" t="s">
        <v>76</v>
      </c>
      <c r="I119" s="18" t="s">
        <v>119</v>
      </c>
      <c r="J119" s="21" t="s">
        <v>73</v>
      </c>
      <c r="K119" s="20"/>
      <c r="L119" s="35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7"/>
      <c r="X119" s="35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7"/>
      <c r="AJ119" s="35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7"/>
      <c r="AV119" s="35"/>
      <c r="AW119" s="36"/>
      <c r="AX119" s="36"/>
      <c r="AY119" s="36"/>
      <c r="AZ119" s="36"/>
      <c r="BA119" s="36"/>
      <c r="BB119" s="36"/>
      <c r="BC119" s="36"/>
      <c r="BD119" s="36"/>
      <c r="BE119" s="36"/>
      <c r="BF119" s="36"/>
      <c r="BG119" s="37"/>
      <c r="BH119" s="38"/>
      <c r="BI119" s="36"/>
      <c r="BJ119" s="36"/>
      <c r="BK119" s="36"/>
      <c r="BL119" s="36"/>
    </row>
    <row r="120" spans="1:64">
      <c r="A120" s="21" t="str">
        <f t="shared" si="10"/>
        <v>PGTSALES_DEDUCTION2.당월실적_B2B전년</v>
      </c>
      <c r="B120" s="18"/>
      <c r="C120" s="18"/>
      <c r="D120" s="18"/>
      <c r="E120" s="18"/>
      <c r="F120" s="18"/>
      <c r="G120" s="18" t="s">
        <v>19</v>
      </c>
      <c r="H120" s="18" t="s">
        <v>76</v>
      </c>
      <c r="I120" s="18" t="s">
        <v>119</v>
      </c>
      <c r="J120" s="34" t="s">
        <v>57</v>
      </c>
      <c r="K120" s="20"/>
      <c r="L120" s="35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7"/>
      <c r="X120" s="35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7"/>
      <c r="AJ120" s="35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7"/>
      <c r="AV120" s="35"/>
      <c r="AW120" s="36"/>
      <c r="AX120" s="36"/>
      <c r="AY120" s="36"/>
      <c r="AZ120" s="36"/>
      <c r="BA120" s="36"/>
      <c r="BB120" s="36"/>
      <c r="BC120" s="36"/>
      <c r="BD120" s="36"/>
      <c r="BE120" s="36"/>
      <c r="BF120" s="36"/>
      <c r="BG120" s="37"/>
      <c r="BH120" s="38"/>
      <c r="BI120" s="36"/>
      <c r="BJ120" s="36"/>
      <c r="BK120" s="36"/>
      <c r="BL120" s="36"/>
    </row>
    <row r="121" spans="1:64">
      <c r="A121" s="17"/>
      <c r="K121" s="20"/>
    </row>
    <row r="122" spans="1:64">
      <c r="A122" s="21" t="str">
        <f t="shared" ref="A122:A141" si="11">TRIM(B122)&amp;TRIM(C122)&amp;TRIM(D122)&amp;TRIM(E122)&amp;TRIM(F122)&amp;TRIM(G122)&amp;TRIM(H122)&amp;TRIM(I122)&amp;TRIM(J122)</f>
        <v>GLTOH_V_COST2.당월실적_B2C금년</v>
      </c>
      <c r="B122" s="18"/>
      <c r="C122" s="18"/>
      <c r="D122" s="18"/>
      <c r="E122" s="18"/>
      <c r="F122" s="18"/>
      <c r="G122" s="18" t="s">
        <v>13</v>
      </c>
      <c r="H122" s="18" t="s">
        <v>126</v>
      </c>
      <c r="I122" s="18" t="s">
        <v>78</v>
      </c>
      <c r="J122" s="21" t="s">
        <v>73</v>
      </c>
      <c r="K122" s="20"/>
      <c r="L122" s="35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7"/>
      <c r="X122" s="35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7"/>
      <c r="AJ122" s="35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7"/>
      <c r="AV122" s="35"/>
      <c r="AW122" s="36"/>
      <c r="AX122" s="36"/>
      <c r="AY122" s="36"/>
      <c r="AZ122" s="36"/>
      <c r="BA122" s="36"/>
      <c r="BB122" s="36"/>
      <c r="BC122" s="36"/>
      <c r="BD122" s="36"/>
      <c r="BE122" s="36"/>
      <c r="BF122" s="36"/>
      <c r="BG122" s="37"/>
      <c r="BH122" s="38"/>
      <c r="BI122" s="36"/>
      <c r="BJ122" s="36"/>
      <c r="BK122" s="36"/>
      <c r="BL122" s="36"/>
    </row>
    <row r="123" spans="1:64">
      <c r="A123" s="21" t="str">
        <f t="shared" si="11"/>
        <v>GLTOH_V_COST2.당월실적_B2C전년</v>
      </c>
      <c r="B123" s="18"/>
      <c r="C123" s="18"/>
      <c r="D123" s="18"/>
      <c r="E123" s="18"/>
      <c r="F123" s="18"/>
      <c r="G123" s="18" t="s">
        <v>13</v>
      </c>
      <c r="H123" s="18" t="s">
        <v>126</v>
      </c>
      <c r="I123" s="18" t="s">
        <v>78</v>
      </c>
      <c r="J123" s="34" t="s">
        <v>57</v>
      </c>
      <c r="K123" s="20"/>
      <c r="L123" s="35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7"/>
      <c r="X123" s="35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7"/>
      <c r="AJ123" s="35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7"/>
      <c r="AV123" s="35"/>
      <c r="AW123" s="36"/>
      <c r="AX123" s="36"/>
      <c r="AY123" s="36"/>
      <c r="AZ123" s="36"/>
      <c r="BA123" s="36"/>
      <c r="BB123" s="36"/>
      <c r="BC123" s="36"/>
      <c r="BD123" s="36"/>
      <c r="BE123" s="36"/>
      <c r="BF123" s="36"/>
      <c r="BG123" s="37"/>
      <c r="BH123" s="38"/>
      <c r="BI123" s="36"/>
      <c r="BJ123" s="36"/>
      <c r="BK123" s="36"/>
      <c r="BL123" s="36"/>
    </row>
    <row r="124" spans="1:64">
      <c r="A124" s="21" t="str">
        <f t="shared" si="11"/>
        <v>GTTOH_V_COST2.당월실적_B2C금년</v>
      </c>
      <c r="B124" s="18"/>
      <c r="C124" s="18"/>
      <c r="D124" s="18"/>
      <c r="E124" s="18"/>
      <c r="F124" s="18"/>
      <c r="G124" s="18" t="s">
        <v>15</v>
      </c>
      <c r="H124" s="18" t="s">
        <v>126</v>
      </c>
      <c r="I124" s="18" t="s">
        <v>78</v>
      </c>
      <c r="J124" s="21" t="s">
        <v>73</v>
      </c>
      <c r="K124" s="20"/>
      <c r="L124" s="35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7"/>
      <c r="X124" s="35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7"/>
      <c r="AJ124" s="35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7"/>
      <c r="AV124" s="35"/>
      <c r="AW124" s="36"/>
      <c r="AX124" s="36"/>
      <c r="AY124" s="36"/>
      <c r="AZ124" s="36"/>
      <c r="BA124" s="36"/>
      <c r="BB124" s="36"/>
      <c r="BC124" s="36"/>
      <c r="BD124" s="36"/>
      <c r="BE124" s="36"/>
      <c r="BF124" s="36"/>
      <c r="BG124" s="37"/>
      <c r="BH124" s="38"/>
      <c r="BI124" s="36"/>
      <c r="BJ124" s="36"/>
      <c r="BK124" s="36"/>
      <c r="BL124" s="36"/>
    </row>
    <row r="125" spans="1:64">
      <c r="A125" s="21" t="str">
        <f t="shared" si="11"/>
        <v>GTTOH_V_COST2.당월실적_B2C전년</v>
      </c>
      <c r="B125" s="18"/>
      <c r="C125" s="18"/>
      <c r="D125" s="18"/>
      <c r="E125" s="18"/>
      <c r="F125" s="18"/>
      <c r="G125" s="18" t="s">
        <v>15</v>
      </c>
      <c r="H125" s="18" t="s">
        <v>126</v>
      </c>
      <c r="I125" s="18" t="s">
        <v>78</v>
      </c>
      <c r="J125" s="34" t="s">
        <v>57</v>
      </c>
      <c r="K125" s="20"/>
      <c r="L125" s="35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7"/>
      <c r="X125" s="35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7"/>
      <c r="AJ125" s="35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7"/>
      <c r="AV125" s="35"/>
      <c r="AW125" s="36"/>
      <c r="AX125" s="36"/>
      <c r="AY125" s="36"/>
      <c r="AZ125" s="36"/>
      <c r="BA125" s="36"/>
      <c r="BB125" s="36"/>
      <c r="BC125" s="36"/>
      <c r="BD125" s="36"/>
      <c r="BE125" s="36"/>
      <c r="BF125" s="36"/>
      <c r="BG125" s="37"/>
      <c r="BH125" s="38"/>
      <c r="BI125" s="36"/>
      <c r="BJ125" s="36"/>
      <c r="BK125" s="36"/>
      <c r="BL125" s="36"/>
    </row>
    <row r="126" spans="1:64">
      <c r="A126" s="21" t="str">
        <f t="shared" si="11"/>
        <v>PNTOH_V_COST2.당월실적_B2C금년</v>
      </c>
      <c r="B126" s="18"/>
      <c r="C126" s="18"/>
      <c r="D126" s="18"/>
      <c r="E126" s="18"/>
      <c r="F126" s="18"/>
      <c r="G126" s="18" t="s">
        <v>17</v>
      </c>
      <c r="H126" s="18" t="s">
        <v>126</v>
      </c>
      <c r="I126" s="18" t="s">
        <v>78</v>
      </c>
      <c r="J126" s="21" t="s">
        <v>73</v>
      </c>
      <c r="K126" s="20"/>
      <c r="L126" s="35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7"/>
      <c r="X126" s="35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7"/>
      <c r="AJ126" s="35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7"/>
      <c r="AV126" s="35"/>
      <c r="AW126" s="36"/>
      <c r="AX126" s="36"/>
      <c r="AY126" s="36"/>
      <c r="AZ126" s="36"/>
      <c r="BA126" s="36"/>
      <c r="BB126" s="36"/>
      <c r="BC126" s="36"/>
      <c r="BD126" s="36"/>
      <c r="BE126" s="36"/>
      <c r="BF126" s="36"/>
      <c r="BG126" s="37"/>
      <c r="BH126" s="38"/>
      <c r="BI126" s="36"/>
      <c r="BJ126" s="36"/>
      <c r="BK126" s="36"/>
      <c r="BL126" s="36"/>
    </row>
    <row r="127" spans="1:64">
      <c r="A127" s="21" t="str">
        <f t="shared" si="11"/>
        <v>PNTOH_V_COST2.당월실적_B2C전년</v>
      </c>
      <c r="B127" s="18"/>
      <c r="C127" s="18"/>
      <c r="D127" s="18"/>
      <c r="E127" s="18"/>
      <c r="F127" s="18"/>
      <c r="G127" s="18" t="s">
        <v>17</v>
      </c>
      <c r="H127" s="18" t="s">
        <v>126</v>
      </c>
      <c r="I127" s="18" t="s">
        <v>78</v>
      </c>
      <c r="J127" s="34" t="s">
        <v>57</v>
      </c>
      <c r="K127" s="20"/>
      <c r="L127" s="35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7"/>
      <c r="X127" s="35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7"/>
      <c r="AJ127" s="35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7"/>
      <c r="AV127" s="35"/>
      <c r="AW127" s="36"/>
      <c r="AX127" s="36"/>
      <c r="AY127" s="36"/>
      <c r="AZ127" s="36"/>
      <c r="BA127" s="36"/>
      <c r="BB127" s="36"/>
      <c r="BC127" s="36"/>
      <c r="BD127" s="36"/>
      <c r="BE127" s="36"/>
      <c r="BF127" s="36"/>
      <c r="BG127" s="37"/>
      <c r="BH127" s="38"/>
      <c r="BI127" s="36"/>
      <c r="BJ127" s="36"/>
      <c r="BK127" s="36"/>
      <c r="BL127" s="36"/>
    </row>
    <row r="128" spans="1:64">
      <c r="A128" s="21" t="str">
        <f t="shared" si="11"/>
        <v>MSTOH_V_COST2.당월실적_B2C금년</v>
      </c>
      <c r="B128" s="18"/>
      <c r="C128" s="18"/>
      <c r="D128" s="18"/>
      <c r="E128" s="18"/>
      <c r="F128" s="18"/>
      <c r="G128" s="18" t="s">
        <v>16</v>
      </c>
      <c r="H128" s="18" t="s">
        <v>126</v>
      </c>
      <c r="I128" s="18" t="s">
        <v>78</v>
      </c>
      <c r="J128" s="21" t="s">
        <v>73</v>
      </c>
      <c r="K128" s="20"/>
      <c r="L128" s="35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7"/>
      <c r="X128" s="35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7"/>
      <c r="AJ128" s="35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7"/>
      <c r="AV128" s="35"/>
      <c r="AW128" s="36"/>
      <c r="AX128" s="36"/>
      <c r="AY128" s="36"/>
      <c r="AZ128" s="36"/>
      <c r="BA128" s="36"/>
      <c r="BB128" s="36"/>
      <c r="BC128" s="36"/>
      <c r="BD128" s="36"/>
      <c r="BE128" s="36"/>
      <c r="BF128" s="36"/>
      <c r="BG128" s="37"/>
      <c r="BH128" s="38"/>
      <c r="BI128" s="36"/>
      <c r="BJ128" s="36"/>
      <c r="BK128" s="36"/>
      <c r="BL128" s="36"/>
    </row>
    <row r="129" spans="1:64">
      <c r="A129" s="21" t="str">
        <f t="shared" si="11"/>
        <v>MSTOH_V_COST2.당월실적_B2C전년</v>
      </c>
      <c r="B129" s="18"/>
      <c r="C129" s="18"/>
      <c r="D129" s="18"/>
      <c r="E129" s="18"/>
      <c r="F129" s="18"/>
      <c r="G129" s="18" t="s">
        <v>16</v>
      </c>
      <c r="H129" s="18" t="s">
        <v>126</v>
      </c>
      <c r="I129" s="18" t="s">
        <v>78</v>
      </c>
      <c r="J129" s="34" t="s">
        <v>57</v>
      </c>
      <c r="K129" s="20"/>
      <c r="L129" s="35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7"/>
      <c r="X129" s="35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7"/>
      <c r="AJ129" s="35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7"/>
      <c r="AV129" s="35"/>
      <c r="AW129" s="36"/>
      <c r="AX129" s="36"/>
      <c r="AY129" s="36"/>
      <c r="AZ129" s="36"/>
      <c r="BA129" s="36"/>
      <c r="BB129" s="36"/>
      <c r="BC129" s="36"/>
      <c r="BD129" s="36"/>
      <c r="BE129" s="36"/>
      <c r="BF129" s="36"/>
      <c r="BG129" s="37"/>
      <c r="BH129" s="38"/>
      <c r="BI129" s="36"/>
      <c r="BJ129" s="36"/>
      <c r="BK129" s="36"/>
      <c r="BL129" s="36"/>
    </row>
    <row r="130" spans="1:64">
      <c r="A130" s="21" t="str">
        <f t="shared" si="11"/>
        <v>CNTOH_V_COST2.당월실적_B2C금년</v>
      </c>
      <c r="B130" s="18"/>
      <c r="C130" s="18"/>
      <c r="D130" s="18"/>
      <c r="E130" s="18"/>
      <c r="F130" s="18"/>
      <c r="G130" s="18" t="s">
        <v>7</v>
      </c>
      <c r="H130" s="18" t="s">
        <v>126</v>
      </c>
      <c r="I130" s="18" t="s">
        <v>78</v>
      </c>
      <c r="J130" s="21" t="s">
        <v>73</v>
      </c>
      <c r="K130" s="20"/>
      <c r="L130" s="35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7"/>
      <c r="X130" s="35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7"/>
      <c r="AJ130" s="35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7"/>
      <c r="AV130" s="35"/>
      <c r="AW130" s="36"/>
      <c r="AX130" s="36"/>
      <c r="AY130" s="36"/>
      <c r="AZ130" s="36"/>
      <c r="BA130" s="36"/>
      <c r="BB130" s="36"/>
      <c r="BC130" s="36"/>
      <c r="BD130" s="36"/>
      <c r="BE130" s="36"/>
      <c r="BF130" s="36"/>
      <c r="BG130" s="37"/>
      <c r="BH130" s="38"/>
      <c r="BI130" s="36"/>
      <c r="BJ130" s="36"/>
      <c r="BK130" s="36"/>
      <c r="BL130" s="36"/>
    </row>
    <row r="131" spans="1:64">
      <c r="A131" s="21" t="str">
        <f t="shared" si="11"/>
        <v>CNTOH_V_COST2.당월실적_B2C전년</v>
      </c>
      <c r="B131" s="18"/>
      <c r="C131" s="18"/>
      <c r="D131" s="18"/>
      <c r="E131" s="18"/>
      <c r="F131" s="18"/>
      <c r="G131" s="18" t="s">
        <v>7</v>
      </c>
      <c r="H131" s="18" t="s">
        <v>126</v>
      </c>
      <c r="I131" s="18" t="s">
        <v>78</v>
      </c>
      <c r="J131" s="34" t="s">
        <v>57</v>
      </c>
      <c r="K131" s="20"/>
      <c r="L131" s="35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7"/>
      <c r="X131" s="35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7"/>
      <c r="AJ131" s="35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7"/>
      <c r="AV131" s="35"/>
      <c r="AW131" s="36"/>
      <c r="AX131" s="36"/>
      <c r="AY131" s="36"/>
      <c r="AZ131" s="36"/>
      <c r="BA131" s="36"/>
      <c r="BB131" s="36"/>
      <c r="BC131" s="36"/>
      <c r="BD131" s="36"/>
      <c r="BE131" s="36"/>
      <c r="BF131" s="36"/>
      <c r="BG131" s="37"/>
      <c r="BH131" s="38"/>
      <c r="BI131" s="36"/>
      <c r="BJ131" s="36"/>
      <c r="BK131" s="36"/>
      <c r="BL131" s="36"/>
    </row>
    <row r="132" spans="1:64">
      <c r="A132" s="21" t="str">
        <f t="shared" si="11"/>
        <v>DFTOH_V_COST2.당월실적_B2C금년</v>
      </c>
      <c r="B132" s="18"/>
      <c r="C132" s="18"/>
      <c r="D132" s="18"/>
      <c r="E132" s="18"/>
      <c r="F132" s="18"/>
      <c r="G132" s="18" t="s">
        <v>8</v>
      </c>
      <c r="H132" s="18" t="s">
        <v>126</v>
      </c>
      <c r="I132" s="18" t="str">
        <f t="shared" ref="I132:I141" si="12">I122</f>
        <v>2.당월실적_B2C</v>
      </c>
      <c r="J132" s="21" t="s">
        <v>73</v>
      </c>
      <c r="K132" s="20"/>
      <c r="L132" s="35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7"/>
      <c r="X132" s="35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7"/>
      <c r="AJ132" s="35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7"/>
      <c r="AV132" s="35"/>
      <c r="AW132" s="36"/>
      <c r="AX132" s="36"/>
      <c r="AY132" s="36"/>
      <c r="AZ132" s="36"/>
      <c r="BA132" s="36"/>
      <c r="BB132" s="36"/>
      <c r="BC132" s="36"/>
      <c r="BD132" s="36"/>
      <c r="BE132" s="36"/>
      <c r="BF132" s="36"/>
      <c r="BG132" s="37"/>
      <c r="BH132" s="38"/>
      <c r="BI132" s="36"/>
      <c r="BJ132" s="36"/>
      <c r="BK132" s="36"/>
      <c r="BL132" s="36"/>
    </row>
    <row r="133" spans="1:64">
      <c r="A133" s="21" t="str">
        <f t="shared" si="11"/>
        <v>DFTOH_V_COST2.당월실적_B2C전년</v>
      </c>
      <c r="B133" s="18"/>
      <c r="C133" s="18"/>
      <c r="D133" s="18"/>
      <c r="E133" s="18"/>
      <c r="F133" s="18"/>
      <c r="G133" s="18" t="s">
        <v>8</v>
      </c>
      <c r="H133" s="18" t="s">
        <v>126</v>
      </c>
      <c r="I133" s="18" t="str">
        <f t="shared" si="12"/>
        <v>2.당월실적_B2C</v>
      </c>
      <c r="J133" s="34" t="s">
        <v>57</v>
      </c>
      <c r="K133" s="20"/>
      <c r="L133" s="35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7"/>
      <c r="X133" s="35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7"/>
      <c r="AJ133" s="35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7"/>
      <c r="AV133" s="35"/>
      <c r="AW133" s="36"/>
      <c r="AX133" s="36"/>
      <c r="AY133" s="36"/>
      <c r="AZ133" s="36"/>
      <c r="BA133" s="36"/>
      <c r="BB133" s="36"/>
      <c r="BC133" s="36"/>
      <c r="BD133" s="36"/>
      <c r="BE133" s="36"/>
      <c r="BF133" s="36"/>
      <c r="BG133" s="37"/>
      <c r="BH133" s="38"/>
      <c r="BI133" s="36"/>
      <c r="BJ133" s="36"/>
      <c r="BK133" s="36"/>
      <c r="BL133" s="36"/>
    </row>
    <row r="134" spans="1:64">
      <c r="A134" s="21" t="str">
        <f t="shared" si="11"/>
        <v>DGTOH_V_COST2.당월실적_B2C금년</v>
      </c>
      <c r="B134" s="18"/>
      <c r="C134" s="18"/>
      <c r="D134" s="18"/>
      <c r="E134" s="18"/>
      <c r="F134" s="18"/>
      <c r="G134" s="18" t="s">
        <v>9</v>
      </c>
      <c r="H134" s="18" t="s">
        <v>126</v>
      </c>
      <c r="I134" s="18" t="str">
        <f t="shared" si="12"/>
        <v>2.당월실적_B2C</v>
      </c>
      <c r="J134" s="21" t="s">
        <v>73</v>
      </c>
      <c r="K134" s="20"/>
      <c r="L134" s="35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7"/>
      <c r="X134" s="35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7"/>
      <c r="AJ134" s="35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7"/>
      <c r="AV134" s="35"/>
      <c r="AW134" s="36"/>
      <c r="AX134" s="36"/>
      <c r="AY134" s="36"/>
      <c r="AZ134" s="36"/>
      <c r="BA134" s="36"/>
      <c r="BB134" s="36"/>
      <c r="BC134" s="36"/>
      <c r="BD134" s="36"/>
      <c r="BE134" s="36"/>
      <c r="BF134" s="36"/>
      <c r="BG134" s="37"/>
      <c r="BH134" s="38"/>
      <c r="BI134" s="36"/>
      <c r="BJ134" s="36"/>
      <c r="BK134" s="36"/>
      <c r="BL134" s="36"/>
    </row>
    <row r="135" spans="1:64">
      <c r="A135" s="21" t="str">
        <f t="shared" si="11"/>
        <v>DGTOH_V_COST2.당월실적_B2C전년</v>
      </c>
      <c r="B135" s="18"/>
      <c r="C135" s="18"/>
      <c r="D135" s="18"/>
      <c r="E135" s="18"/>
      <c r="F135" s="18"/>
      <c r="G135" s="18" t="s">
        <v>9</v>
      </c>
      <c r="H135" s="18" t="s">
        <v>126</v>
      </c>
      <c r="I135" s="18" t="str">
        <f t="shared" si="12"/>
        <v>2.당월실적_B2C</v>
      </c>
      <c r="J135" s="34" t="s">
        <v>57</v>
      </c>
      <c r="K135" s="20"/>
      <c r="L135" s="35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7"/>
      <c r="X135" s="35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7"/>
      <c r="AJ135" s="35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7"/>
      <c r="AV135" s="35"/>
      <c r="AW135" s="36"/>
      <c r="AX135" s="36"/>
      <c r="AY135" s="36"/>
      <c r="AZ135" s="36"/>
      <c r="BA135" s="36"/>
      <c r="BB135" s="36"/>
      <c r="BC135" s="36"/>
      <c r="BD135" s="36"/>
      <c r="BE135" s="36"/>
      <c r="BF135" s="36"/>
      <c r="BG135" s="37"/>
      <c r="BH135" s="38"/>
      <c r="BI135" s="36"/>
      <c r="BJ135" s="36"/>
      <c r="BK135" s="36"/>
      <c r="BL135" s="36"/>
    </row>
    <row r="136" spans="1:64">
      <c r="A136" s="21" t="str">
        <f t="shared" si="11"/>
        <v>PCTOH_V_COST2.당월실적_B2C금년</v>
      </c>
      <c r="B136" s="18"/>
      <c r="C136" s="18"/>
      <c r="D136" s="18"/>
      <c r="E136" s="18"/>
      <c r="F136" s="18"/>
      <c r="G136" s="18" t="s">
        <v>20</v>
      </c>
      <c r="H136" s="18" t="s">
        <v>126</v>
      </c>
      <c r="I136" s="18" t="str">
        <f t="shared" si="12"/>
        <v>2.당월실적_B2C</v>
      </c>
      <c r="J136" s="21" t="s">
        <v>73</v>
      </c>
      <c r="K136" s="20"/>
      <c r="L136" s="35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7"/>
      <c r="X136" s="35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7"/>
      <c r="AJ136" s="35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7"/>
      <c r="AV136" s="35"/>
      <c r="AW136" s="36"/>
      <c r="AX136" s="36"/>
      <c r="AY136" s="36"/>
      <c r="AZ136" s="36"/>
      <c r="BA136" s="36"/>
      <c r="BB136" s="36"/>
      <c r="BC136" s="36"/>
      <c r="BD136" s="36"/>
      <c r="BE136" s="36"/>
      <c r="BF136" s="36"/>
      <c r="BG136" s="37"/>
      <c r="BH136" s="38"/>
      <c r="BI136" s="36"/>
      <c r="BJ136" s="36"/>
      <c r="BK136" s="36"/>
      <c r="BL136" s="36"/>
    </row>
    <row r="137" spans="1:64">
      <c r="A137" s="21" t="str">
        <f t="shared" si="11"/>
        <v>PCTOH_V_COST2.당월실적_B2C전년</v>
      </c>
      <c r="B137" s="18"/>
      <c r="C137" s="18"/>
      <c r="D137" s="18"/>
      <c r="E137" s="18"/>
      <c r="F137" s="18"/>
      <c r="G137" s="18" t="s">
        <v>20</v>
      </c>
      <c r="H137" s="18" t="s">
        <v>126</v>
      </c>
      <c r="I137" s="18" t="str">
        <f t="shared" si="12"/>
        <v>2.당월실적_B2C</v>
      </c>
      <c r="J137" s="34" t="s">
        <v>57</v>
      </c>
      <c r="K137" s="20"/>
      <c r="L137" s="35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7"/>
      <c r="X137" s="35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7"/>
      <c r="AJ137" s="35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7"/>
      <c r="AV137" s="35"/>
      <c r="AW137" s="36"/>
      <c r="AX137" s="36"/>
      <c r="AY137" s="36"/>
      <c r="AZ137" s="36"/>
      <c r="BA137" s="36"/>
      <c r="BB137" s="36"/>
      <c r="BC137" s="36"/>
      <c r="BD137" s="36"/>
      <c r="BE137" s="36"/>
      <c r="BF137" s="36"/>
      <c r="BG137" s="37"/>
      <c r="BH137" s="38"/>
      <c r="BI137" s="36"/>
      <c r="BJ137" s="36"/>
      <c r="BK137" s="36"/>
      <c r="BL137" s="36"/>
    </row>
    <row r="138" spans="1:64">
      <c r="A138" s="21" t="str">
        <f t="shared" si="11"/>
        <v>PSTOH_V_COST2.당월실적_B2C금년</v>
      </c>
      <c r="B138" s="18"/>
      <c r="C138" s="18"/>
      <c r="D138" s="18"/>
      <c r="E138" s="18"/>
      <c r="F138" s="18"/>
      <c r="G138" s="18" t="s">
        <v>18</v>
      </c>
      <c r="H138" s="18" t="s">
        <v>126</v>
      </c>
      <c r="I138" s="18" t="str">
        <f t="shared" si="12"/>
        <v>2.당월실적_B2C</v>
      </c>
      <c r="J138" s="21" t="s">
        <v>73</v>
      </c>
      <c r="K138" s="20"/>
      <c r="L138" s="35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7"/>
      <c r="X138" s="35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7"/>
      <c r="AJ138" s="35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7"/>
      <c r="AV138" s="35"/>
      <c r="AW138" s="36"/>
      <c r="AX138" s="36"/>
      <c r="AY138" s="36"/>
      <c r="AZ138" s="36"/>
      <c r="BA138" s="36"/>
      <c r="BB138" s="36"/>
      <c r="BC138" s="36"/>
      <c r="BD138" s="36"/>
      <c r="BE138" s="36"/>
      <c r="BF138" s="36"/>
      <c r="BG138" s="37"/>
      <c r="BH138" s="38"/>
      <c r="BI138" s="36"/>
      <c r="BJ138" s="36"/>
      <c r="BK138" s="36"/>
      <c r="BL138" s="36"/>
    </row>
    <row r="139" spans="1:64">
      <c r="A139" s="21" t="str">
        <f t="shared" si="11"/>
        <v>PSTOH_V_COST2.당월실적_B2C전년</v>
      </c>
      <c r="B139" s="18"/>
      <c r="C139" s="18"/>
      <c r="D139" s="18"/>
      <c r="E139" s="18"/>
      <c r="F139" s="18"/>
      <c r="G139" s="18" t="s">
        <v>18</v>
      </c>
      <c r="H139" s="18" t="s">
        <v>126</v>
      </c>
      <c r="I139" s="18" t="str">
        <f t="shared" si="12"/>
        <v>2.당월실적_B2C</v>
      </c>
      <c r="J139" s="34" t="s">
        <v>57</v>
      </c>
      <c r="K139" s="20"/>
      <c r="L139" s="35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7"/>
      <c r="X139" s="35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7"/>
      <c r="AJ139" s="35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7"/>
      <c r="AV139" s="35"/>
      <c r="AW139" s="36"/>
      <c r="AX139" s="36"/>
      <c r="AY139" s="36"/>
      <c r="AZ139" s="36"/>
      <c r="BA139" s="36"/>
      <c r="BB139" s="36"/>
      <c r="BC139" s="36"/>
      <c r="BD139" s="36"/>
      <c r="BE139" s="36"/>
      <c r="BF139" s="36"/>
      <c r="BG139" s="37"/>
      <c r="BH139" s="38"/>
      <c r="BI139" s="36"/>
      <c r="BJ139" s="36"/>
      <c r="BK139" s="36"/>
      <c r="BL139" s="36"/>
    </row>
    <row r="140" spans="1:64">
      <c r="A140" s="21" t="str">
        <f t="shared" si="11"/>
        <v>DVTOH_V_COST2.당월실적_B2C금년</v>
      </c>
      <c r="B140" s="18"/>
      <c r="C140" s="18"/>
      <c r="D140" s="18"/>
      <c r="E140" s="18"/>
      <c r="F140" s="18"/>
      <c r="G140" s="18" t="s">
        <v>11</v>
      </c>
      <c r="H140" s="18" t="s">
        <v>126</v>
      </c>
      <c r="I140" s="18" t="str">
        <f t="shared" si="12"/>
        <v>2.당월실적_B2C</v>
      </c>
      <c r="J140" s="21" t="s">
        <v>73</v>
      </c>
      <c r="K140" s="20"/>
      <c r="L140" s="35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7"/>
      <c r="X140" s="35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7"/>
      <c r="AJ140" s="35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7"/>
      <c r="AV140" s="35"/>
      <c r="AW140" s="36"/>
      <c r="AX140" s="36"/>
      <c r="AY140" s="36"/>
      <c r="AZ140" s="36"/>
      <c r="BA140" s="36"/>
      <c r="BB140" s="36"/>
      <c r="BC140" s="36"/>
      <c r="BD140" s="36"/>
      <c r="BE140" s="36"/>
      <c r="BF140" s="36"/>
      <c r="BG140" s="37"/>
      <c r="BH140" s="38"/>
      <c r="BI140" s="36"/>
      <c r="BJ140" s="36"/>
      <c r="BK140" s="36"/>
      <c r="BL140" s="36"/>
    </row>
    <row r="141" spans="1:64">
      <c r="A141" s="21" t="str">
        <f t="shared" si="11"/>
        <v>DVTOH_V_COST2.당월실적_B2C전년</v>
      </c>
      <c r="B141" s="18"/>
      <c r="C141" s="18"/>
      <c r="D141" s="18"/>
      <c r="E141" s="18"/>
      <c r="F141" s="18"/>
      <c r="G141" s="18" t="s">
        <v>11</v>
      </c>
      <c r="H141" s="18" t="s">
        <v>126</v>
      </c>
      <c r="I141" s="18" t="str">
        <f t="shared" si="12"/>
        <v>2.당월실적_B2C</v>
      </c>
      <c r="J141" s="34" t="s">
        <v>57</v>
      </c>
      <c r="K141" s="20"/>
      <c r="L141" s="35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7"/>
      <c r="X141" s="35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7"/>
      <c r="AJ141" s="35"/>
      <c r="AK141" s="36"/>
      <c r="AL141" s="36"/>
      <c r="AM141" s="36"/>
      <c r="AN141" s="36"/>
      <c r="AO141" s="36"/>
      <c r="AP141" s="36"/>
      <c r="AQ141" s="36"/>
      <c r="AR141" s="36"/>
      <c r="AS141" s="36"/>
      <c r="AT141" s="36"/>
      <c r="AU141" s="37"/>
      <c r="AV141" s="35"/>
      <c r="AW141" s="36"/>
      <c r="AX141" s="36"/>
      <c r="AY141" s="36"/>
      <c r="AZ141" s="36"/>
      <c r="BA141" s="36"/>
      <c r="BB141" s="36"/>
      <c r="BC141" s="36"/>
      <c r="BD141" s="36"/>
      <c r="BE141" s="36"/>
      <c r="BF141" s="36"/>
      <c r="BG141" s="37"/>
      <c r="BH141" s="38"/>
      <c r="BI141" s="36"/>
      <c r="BJ141" s="36"/>
      <c r="BK141" s="36"/>
      <c r="BL141" s="36"/>
    </row>
    <row r="142" spans="1:64">
      <c r="A142" s="17"/>
      <c r="H142" t="s">
        <v>126</v>
      </c>
      <c r="K142" s="20"/>
    </row>
    <row r="143" spans="1:64">
      <c r="A143" s="21" t="str">
        <f t="shared" ref="A143:A156" si="13">TRIM(B143)&amp;TRIM(C143)&amp;TRIM(D143)&amp;TRIM(E143)&amp;TRIM(F143)&amp;TRIM(G143)&amp;TRIM(H143)&amp;TRIM(I143)&amp;TRIM(J143)</f>
        <v>GJTOH_V_COST2.당월실적_B2B금년</v>
      </c>
      <c r="B143" s="18"/>
      <c r="C143" s="18"/>
      <c r="D143" s="18"/>
      <c r="E143" s="18"/>
      <c r="F143" s="18"/>
      <c r="G143" s="18" t="s">
        <v>12</v>
      </c>
      <c r="H143" s="18" t="s">
        <v>126</v>
      </c>
      <c r="I143" s="18" t="s">
        <v>119</v>
      </c>
      <c r="J143" s="21" t="s">
        <v>73</v>
      </c>
      <c r="K143" s="20"/>
      <c r="L143" s="35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7"/>
      <c r="X143" s="35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7"/>
      <c r="AJ143" s="35"/>
      <c r="AK143" s="36"/>
      <c r="AL143" s="36"/>
      <c r="AM143" s="36"/>
      <c r="AN143" s="36"/>
      <c r="AO143" s="36"/>
      <c r="AP143" s="36"/>
      <c r="AQ143" s="36"/>
      <c r="AR143" s="36"/>
      <c r="AS143" s="36"/>
      <c r="AT143" s="36"/>
      <c r="AU143" s="37"/>
      <c r="AV143" s="35"/>
      <c r="AW143" s="36"/>
      <c r="AX143" s="36"/>
      <c r="AY143" s="36"/>
      <c r="AZ143" s="36"/>
      <c r="BA143" s="36"/>
      <c r="BB143" s="36"/>
      <c r="BC143" s="36"/>
      <c r="BD143" s="36"/>
      <c r="BE143" s="36"/>
      <c r="BF143" s="36"/>
      <c r="BG143" s="37"/>
      <c r="BH143" s="38"/>
      <c r="BI143" s="36"/>
      <c r="BJ143" s="36"/>
      <c r="BK143" s="36"/>
      <c r="BL143" s="36"/>
    </row>
    <row r="144" spans="1:64" ht="18" customHeight="1">
      <c r="A144" s="21" t="str">
        <f t="shared" si="13"/>
        <v>GJTOH_V_COST2.당월실적_B2B전년</v>
      </c>
      <c r="B144" s="18"/>
      <c r="C144" s="18"/>
      <c r="D144" s="18"/>
      <c r="E144" s="18"/>
      <c r="F144" s="18"/>
      <c r="G144" s="18" t="s">
        <v>12</v>
      </c>
      <c r="H144" s="18" t="s">
        <v>126</v>
      </c>
      <c r="I144" s="18" t="s">
        <v>119</v>
      </c>
      <c r="J144" s="34" t="s">
        <v>57</v>
      </c>
      <c r="K144" s="20"/>
      <c r="L144" s="35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7"/>
      <c r="X144" s="35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7"/>
      <c r="AJ144" s="35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7"/>
      <c r="AV144" s="35"/>
      <c r="AW144" s="36"/>
      <c r="AX144" s="36"/>
      <c r="AY144" s="36"/>
      <c r="AZ144" s="36"/>
      <c r="BA144" s="36"/>
      <c r="BB144" s="36"/>
      <c r="BC144" s="36"/>
      <c r="BD144" s="36"/>
      <c r="BE144" s="36"/>
      <c r="BF144" s="36"/>
      <c r="BG144" s="37"/>
      <c r="BH144" s="38"/>
      <c r="BI144" s="36"/>
      <c r="BJ144" s="36"/>
      <c r="BK144" s="36"/>
      <c r="BL144" s="36"/>
    </row>
    <row r="145" spans="1:64">
      <c r="A145" s="21" t="str">
        <f t="shared" si="13"/>
        <v>GNTOH_V_COST2.당월실적_B2B금년</v>
      </c>
      <c r="B145" s="18"/>
      <c r="C145" s="18"/>
      <c r="D145" s="18"/>
      <c r="E145" s="18"/>
      <c r="F145" s="18"/>
      <c r="G145" s="18" t="s">
        <v>14</v>
      </c>
      <c r="H145" s="18" t="s">
        <v>126</v>
      </c>
      <c r="I145" s="18" t="s">
        <v>119</v>
      </c>
      <c r="J145" s="21" t="s">
        <v>73</v>
      </c>
      <c r="K145" s="20"/>
      <c r="L145" s="35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7"/>
      <c r="X145" s="35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7"/>
      <c r="AJ145" s="35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7"/>
      <c r="AV145" s="35"/>
      <c r="AW145" s="36"/>
      <c r="AX145" s="36"/>
      <c r="AY145" s="36"/>
      <c r="AZ145" s="36"/>
      <c r="BA145" s="36"/>
      <c r="BB145" s="36"/>
      <c r="BC145" s="36"/>
      <c r="BD145" s="36"/>
      <c r="BE145" s="36"/>
      <c r="BF145" s="36"/>
      <c r="BG145" s="37"/>
      <c r="BH145" s="38"/>
      <c r="BI145" s="36"/>
      <c r="BJ145" s="36"/>
      <c r="BK145" s="36"/>
      <c r="BL145" s="36"/>
    </row>
    <row r="146" spans="1:64">
      <c r="A146" s="21" t="str">
        <f t="shared" si="13"/>
        <v>GNTOH_V_COST2.당월실적_B2B전년</v>
      </c>
      <c r="B146" s="18"/>
      <c r="C146" s="18"/>
      <c r="D146" s="18"/>
      <c r="E146" s="18"/>
      <c r="F146" s="18"/>
      <c r="G146" s="18" t="s">
        <v>14</v>
      </c>
      <c r="H146" s="18" t="s">
        <v>126</v>
      </c>
      <c r="I146" s="18" t="s">
        <v>119</v>
      </c>
      <c r="J146" s="34" t="s">
        <v>57</v>
      </c>
      <c r="K146" s="20"/>
      <c r="L146" s="35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7"/>
      <c r="X146" s="35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7"/>
      <c r="AJ146" s="35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7"/>
      <c r="AV146" s="35"/>
      <c r="AW146" s="36"/>
      <c r="AX146" s="36"/>
      <c r="AY146" s="36"/>
      <c r="AZ146" s="36"/>
      <c r="BA146" s="36"/>
      <c r="BB146" s="36"/>
      <c r="BC146" s="36"/>
      <c r="BD146" s="36"/>
      <c r="BE146" s="36"/>
      <c r="BF146" s="36"/>
      <c r="BG146" s="37"/>
      <c r="BH146" s="38"/>
      <c r="BI146" s="36"/>
      <c r="BJ146" s="36"/>
      <c r="BK146" s="36"/>
      <c r="BL146" s="36"/>
    </row>
    <row r="147" spans="1:64">
      <c r="A147" s="21" t="str">
        <f t="shared" si="13"/>
        <v>GOTOH_V_COST2.당월실적_B2B금년</v>
      </c>
      <c r="B147" s="18"/>
      <c r="C147" s="18"/>
      <c r="D147" s="18"/>
      <c r="E147" s="18"/>
      <c r="F147" s="18"/>
      <c r="G147" s="18" t="s">
        <v>117</v>
      </c>
      <c r="H147" s="18" t="s">
        <v>126</v>
      </c>
      <c r="I147" s="18" t="s">
        <v>119</v>
      </c>
      <c r="J147" s="21" t="s">
        <v>73</v>
      </c>
      <c r="K147" s="20"/>
      <c r="L147" s="35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7"/>
      <c r="X147" s="35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7"/>
      <c r="AJ147" s="35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7"/>
      <c r="AV147" s="35"/>
      <c r="AW147" s="36"/>
      <c r="AX147" s="36"/>
      <c r="AY147" s="36"/>
      <c r="AZ147" s="36"/>
      <c r="BA147" s="36"/>
      <c r="BB147" s="36"/>
      <c r="BC147" s="36"/>
      <c r="BD147" s="36"/>
      <c r="BE147" s="36"/>
      <c r="BF147" s="36"/>
      <c r="BG147" s="37"/>
      <c r="BH147" s="38"/>
      <c r="BI147" s="36"/>
      <c r="BJ147" s="36"/>
      <c r="BK147" s="36"/>
      <c r="BL147" s="36"/>
    </row>
    <row r="148" spans="1:64">
      <c r="A148" s="21" t="str">
        <f t="shared" si="13"/>
        <v>GOTOH_V_COST2.당월실적_B2B전년</v>
      </c>
      <c r="B148" s="18"/>
      <c r="C148" s="18"/>
      <c r="D148" s="18"/>
      <c r="E148" s="18"/>
      <c r="F148" s="18"/>
      <c r="G148" s="18" t="s">
        <v>117</v>
      </c>
      <c r="H148" s="18" t="s">
        <v>126</v>
      </c>
      <c r="I148" s="18" t="s">
        <v>119</v>
      </c>
      <c r="J148" s="34" t="s">
        <v>57</v>
      </c>
      <c r="K148" s="20"/>
      <c r="L148" s="35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7"/>
      <c r="X148" s="35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7"/>
      <c r="AJ148" s="35"/>
      <c r="AK148" s="36"/>
      <c r="AL148" s="36"/>
      <c r="AM148" s="36"/>
      <c r="AN148" s="36"/>
      <c r="AO148" s="36"/>
      <c r="AP148" s="36"/>
      <c r="AQ148" s="36"/>
      <c r="AR148" s="36"/>
      <c r="AS148" s="36"/>
      <c r="AT148" s="36"/>
      <c r="AU148" s="37"/>
      <c r="AV148" s="35"/>
      <c r="AW148" s="36"/>
      <c r="AX148" s="36"/>
      <c r="AY148" s="36"/>
      <c r="AZ148" s="36"/>
      <c r="BA148" s="36"/>
      <c r="BB148" s="36"/>
      <c r="BC148" s="36"/>
      <c r="BD148" s="36"/>
      <c r="BE148" s="36"/>
      <c r="BF148" s="36"/>
      <c r="BG148" s="37"/>
      <c r="BH148" s="38"/>
      <c r="BI148" s="36"/>
      <c r="BJ148" s="36"/>
      <c r="BK148" s="36"/>
      <c r="BL148" s="36"/>
    </row>
    <row r="149" spans="1:64">
      <c r="A149" s="21" t="str">
        <f t="shared" si="13"/>
        <v>PKTOH_V_COST2.당월실적_B2B금년</v>
      </c>
      <c r="B149" s="18"/>
      <c r="C149" s="18"/>
      <c r="D149" s="18"/>
      <c r="E149" s="18"/>
      <c r="F149" s="18"/>
      <c r="G149" s="18" t="s">
        <v>105</v>
      </c>
      <c r="H149" s="18" t="s">
        <v>126</v>
      </c>
      <c r="I149" s="18" t="s">
        <v>119</v>
      </c>
      <c r="J149" s="21" t="s">
        <v>73</v>
      </c>
      <c r="K149" s="20"/>
      <c r="L149" s="35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7"/>
      <c r="X149" s="35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7"/>
      <c r="AJ149" s="35"/>
      <c r="AK149" s="36"/>
      <c r="AL149" s="36"/>
      <c r="AM149" s="36"/>
      <c r="AN149" s="36"/>
      <c r="AO149" s="36"/>
      <c r="AP149" s="36"/>
      <c r="AQ149" s="36"/>
      <c r="AR149" s="36"/>
      <c r="AS149" s="36"/>
      <c r="AT149" s="36"/>
      <c r="AU149" s="37"/>
      <c r="AV149" s="35"/>
      <c r="AW149" s="36"/>
      <c r="AX149" s="36"/>
      <c r="AY149" s="36"/>
      <c r="AZ149" s="36"/>
      <c r="BA149" s="36"/>
      <c r="BB149" s="36"/>
      <c r="BC149" s="36"/>
      <c r="BD149" s="36"/>
      <c r="BE149" s="36"/>
      <c r="BF149" s="36"/>
      <c r="BG149" s="37"/>
      <c r="BH149" s="38"/>
      <c r="BI149" s="36"/>
      <c r="BJ149" s="36"/>
      <c r="BK149" s="36"/>
      <c r="BL149" s="36"/>
    </row>
    <row r="150" spans="1:64">
      <c r="A150" s="21" t="str">
        <f t="shared" si="13"/>
        <v>PKTOH_V_COST2.당월실적_B2B전년</v>
      </c>
      <c r="B150" s="18"/>
      <c r="C150" s="18"/>
      <c r="D150" s="18"/>
      <c r="E150" s="18"/>
      <c r="F150" s="18"/>
      <c r="G150" s="18" t="s">
        <v>105</v>
      </c>
      <c r="H150" s="18" t="s">
        <v>126</v>
      </c>
      <c r="I150" s="18" t="s">
        <v>119</v>
      </c>
      <c r="J150" s="34" t="s">
        <v>57</v>
      </c>
      <c r="K150" s="20"/>
      <c r="L150" s="35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7"/>
      <c r="X150" s="35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7"/>
      <c r="AJ150" s="35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7"/>
      <c r="AV150" s="35"/>
      <c r="AW150" s="36"/>
      <c r="AX150" s="36"/>
      <c r="AY150" s="36"/>
      <c r="AZ150" s="36"/>
      <c r="BA150" s="36"/>
      <c r="BB150" s="36"/>
      <c r="BC150" s="36"/>
      <c r="BD150" s="36"/>
      <c r="BE150" s="36"/>
      <c r="BF150" s="36"/>
      <c r="BG150" s="37"/>
      <c r="BH150" s="38"/>
      <c r="BI150" s="36"/>
      <c r="BJ150" s="36"/>
      <c r="BK150" s="36"/>
      <c r="BL150" s="36"/>
    </row>
    <row r="151" spans="1:64">
      <c r="A151" s="21" t="str">
        <f t="shared" si="13"/>
        <v>DMTOH_V_COST2.당월실적_B2B금년</v>
      </c>
      <c r="B151" s="18"/>
      <c r="C151" s="18"/>
      <c r="D151" s="18"/>
      <c r="E151" s="18"/>
      <c r="F151" s="18"/>
      <c r="G151" s="18" t="s">
        <v>10</v>
      </c>
      <c r="H151" s="18" t="s">
        <v>126</v>
      </c>
      <c r="I151" s="18" t="s">
        <v>119</v>
      </c>
      <c r="J151" s="21" t="s">
        <v>73</v>
      </c>
      <c r="K151" s="20"/>
      <c r="L151" s="35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7"/>
      <c r="X151" s="35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7"/>
      <c r="AJ151" s="35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7"/>
      <c r="AV151" s="35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7"/>
      <c r="BH151" s="38"/>
      <c r="BI151" s="36"/>
      <c r="BJ151" s="36"/>
      <c r="BK151" s="36"/>
      <c r="BL151" s="36"/>
    </row>
    <row r="152" spans="1:64">
      <c r="A152" s="21" t="str">
        <f t="shared" si="13"/>
        <v>DMTOH_V_COST2.당월실적_B2B전년</v>
      </c>
      <c r="B152" s="18"/>
      <c r="C152" s="18"/>
      <c r="D152" s="18"/>
      <c r="E152" s="18"/>
      <c r="F152" s="18"/>
      <c r="G152" s="18" t="s">
        <v>10</v>
      </c>
      <c r="H152" s="18" t="s">
        <v>126</v>
      </c>
      <c r="I152" s="18" t="s">
        <v>119</v>
      </c>
      <c r="J152" s="34" t="s">
        <v>57</v>
      </c>
      <c r="K152" s="20"/>
      <c r="L152" s="35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7"/>
      <c r="X152" s="35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7"/>
      <c r="AJ152" s="35"/>
      <c r="AK152" s="36"/>
      <c r="AL152" s="36"/>
      <c r="AM152" s="36"/>
      <c r="AN152" s="36"/>
      <c r="AO152" s="36"/>
      <c r="AP152" s="36"/>
      <c r="AQ152" s="36"/>
      <c r="AR152" s="36"/>
      <c r="AS152" s="36"/>
      <c r="AT152" s="36"/>
      <c r="AU152" s="37"/>
      <c r="AV152" s="35"/>
      <c r="AW152" s="36"/>
      <c r="AX152" s="36"/>
      <c r="AY152" s="36"/>
      <c r="AZ152" s="36"/>
      <c r="BA152" s="36"/>
      <c r="BB152" s="36"/>
      <c r="BC152" s="36"/>
      <c r="BD152" s="36"/>
      <c r="BE152" s="36"/>
      <c r="BF152" s="36"/>
      <c r="BG152" s="37"/>
      <c r="BH152" s="38"/>
      <c r="BI152" s="36"/>
      <c r="BJ152" s="36"/>
      <c r="BK152" s="36"/>
      <c r="BL152" s="36"/>
    </row>
    <row r="153" spans="1:64">
      <c r="A153" s="21" t="str">
        <f t="shared" si="13"/>
        <v>DTTOH_V_COST2.당월실적_B2B금년</v>
      </c>
      <c r="B153" s="18"/>
      <c r="C153" s="18"/>
      <c r="D153" s="18"/>
      <c r="E153" s="18"/>
      <c r="F153" s="18"/>
      <c r="G153" s="18" t="s">
        <v>118</v>
      </c>
      <c r="H153" s="18" t="s">
        <v>126</v>
      </c>
      <c r="I153" s="18" t="s">
        <v>119</v>
      </c>
      <c r="J153" s="21" t="s">
        <v>73</v>
      </c>
      <c r="K153" s="20"/>
      <c r="L153" s="35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7"/>
      <c r="X153" s="35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7"/>
      <c r="AJ153" s="35"/>
      <c r="AK153" s="36"/>
      <c r="AL153" s="36"/>
      <c r="AM153" s="36"/>
      <c r="AN153" s="36"/>
      <c r="AO153" s="36"/>
      <c r="AP153" s="36"/>
      <c r="AQ153" s="36"/>
      <c r="AR153" s="36"/>
      <c r="AS153" s="36"/>
      <c r="AT153" s="36"/>
      <c r="AU153" s="37"/>
      <c r="AV153" s="35"/>
      <c r="AW153" s="36"/>
      <c r="AX153" s="36"/>
      <c r="AY153" s="36"/>
      <c r="AZ153" s="36"/>
      <c r="BA153" s="36"/>
      <c r="BB153" s="36"/>
      <c r="BC153" s="36"/>
      <c r="BD153" s="36"/>
      <c r="BE153" s="36"/>
      <c r="BF153" s="36"/>
      <c r="BG153" s="37"/>
      <c r="BH153" s="38"/>
      <c r="BI153" s="36"/>
      <c r="BJ153" s="36"/>
      <c r="BK153" s="36"/>
      <c r="BL153" s="36"/>
    </row>
    <row r="154" spans="1:64">
      <c r="A154" s="21" t="str">
        <f t="shared" si="13"/>
        <v>DTTOH_V_COST2.당월실적_B2B전년</v>
      </c>
      <c r="B154" s="18"/>
      <c r="C154" s="18"/>
      <c r="D154" s="18"/>
      <c r="E154" s="18"/>
      <c r="F154" s="18"/>
      <c r="G154" s="18" t="s">
        <v>118</v>
      </c>
      <c r="H154" s="18" t="s">
        <v>126</v>
      </c>
      <c r="I154" s="18" t="s">
        <v>119</v>
      </c>
      <c r="J154" s="34" t="s">
        <v>57</v>
      </c>
      <c r="K154" s="20"/>
      <c r="L154" s="35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7"/>
      <c r="X154" s="35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7"/>
      <c r="AJ154" s="35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7"/>
      <c r="AV154" s="35"/>
      <c r="AW154" s="36"/>
      <c r="AX154" s="36"/>
      <c r="AY154" s="36"/>
      <c r="AZ154" s="36"/>
      <c r="BA154" s="36"/>
      <c r="BB154" s="36"/>
      <c r="BC154" s="36"/>
      <c r="BD154" s="36"/>
      <c r="BE154" s="36"/>
      <c r="BF154" s="36"/>
      <c r="BG154" s="37"/>
      <c r="BH154" s="38"/>
      <c r="BI154" s="36"/>
      <c r="BJ154" s="36"/>
      <c r="BK154" s="36"/>
      <c r="BL154" s="36"/>
    </row>
    <row r="155" spans="1:64">
      <c r="A155" s="21" t="str">
        <f t="shared" si="13"/>
        <v>PGTOH_V_COST2.당월실적_B2B금년</v>
      </c>
      <c r="B155" s="18"/>
      <c r="C155" s="18"/>
      <c r="D155" s="18"/>
      <c r="E155" s="18"/>
      <c r="F155" s="18"/>
      <c r="G155" s="18" t="s">
        <v>19</v>
      </c>
      <c r="H155" s="18" t="s">
        <v>126</v>
      </c>
      <c r="I155" s="18" t="s">
        <v>119</v>
      </c>
      <c r="J155" s="21" t="s">
        <v>73</v>
      </c>
      <c r="K155" s="20"/>
      <c r="L155" s="35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7"/>
      <c r="X155" s="35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7"/>
      <c r="AJ155" s="35"/>
      <c r="AK155" s="36"/>
      <c r="AL155" s="36"/>
      <c r="AM155" s="36"/>
      <c r="AN155" s="36"/>
      <c r="AO155" s="36"/>
      <c r="AP155" s="36"/>
      <c r="AQ155" s="36"/>
      <c r="AR155" s="36"/>
      <c r="AS155" s="36"/>
      <c r="AT155" s="36"/>
      <c r="AU155" s="37"/>
      <c r="AV155" s="35"/>
      <c r="AW155" s="36"/>
      <c r="AX155" s="36"/>
      <c r="AY155" s="36"/>
      <c r="AZ155" s="36"/>
      <c r="BA155" s="36"/>
      <c r="BB155" s="36"/>
      <c r="BC155" s="36"/>
      <c r="BD155" s="36"/>
      <c r="BE155" s="36"/>
      <c r="BF155" s="36"/>
      <c r="BG155" s="37"/>
      <c r="BH155" s="38"/>
      <c r="BI155" s="36"/>
      <c r="BJ155" s="36"/>
      <c r="BK155" s="36"/>
      <c r="BL155" s="36"/>
    </row>
    <row r="156" spans="1:64">
      <c r="A156" s="21" t="str">
        <f t="shared" si="13"/>
        <v>PGTOH_V_COST2.당월실적_B2B전년</v>
      </c>
      <c r="B156" s="18"/>
      <c r="C156" s="18"/>
      <c r="D156" s="18"/>
      <c r="E156" s="18"/>
      <c r="F156" s="18"/>
      <c r="G156" s="18" t="s">
        <v>19</v>
      </c>
      <c r="H156" s="18" t="s">
        <v>126</v>
      </c>
      <c r="I156" s="18" t="s">
        <v>119</v>
      </c>
      <c r="J156" s="34" t="s">
        <v>57</v>
      </c>
      <c r="K156" s="20"/>
      <c r="L156" s="35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7"/>
      <c r="X156" s="35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7"/>
      <c r="AJ156" s="35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7"/>
      <c r="AV156" s="35"/>
      <c r="AW156" s="36"/>
      <c r="AX156" s="36"/>
      <c r="AY156" s="36"/>
      <c r="AZ156" s="36"/>
      <c r="BA156" s="36"/>
      <c r="BB156" s="36"/>
      <c r="BC156" s="36"/>
      <c r="BD156" s="36"/>
      <c r="BE156" s="36"/>
      <c r="BF156" s="36"/>
      <c r="BG156" s="37"/>
      <c r="BH156" s="38"/>
      <c r="BI156" s="36"/>
      <c r="BJ156" s="36"/>
      <c r="BK156" s="36"/>
      <c r="BL156" s="36"/>
    </row>
    <row r="157" spans="1:64">
      <c r="A157" s="17"/>
      <c r="K157" s="20"/>
    </row>
    <row r="158" spans="1:64">
      <c r="A158" s="21" t="str">
        <f t="shared" ref="A158:A177" si="14">TRIM(B158)&amp;TRIM(C158)&amp;TRIM(D158)&amp;TRIM(E158)&amp;TRIM(F158)&amp;TRIM(G158)&amp;TRIM(H158)&amp;TRIM(I158)&amp;TRIM(J158)</f>
        <v>GLTOH_V_AD_PROMOTION2.당월실적_B2C금년</v>
      </c>
      <c r="B158" s="18"/>
      <c r="C158" s="18"/>
      <c r="D158" s="18"/>
      <c r="E158" s="18"/>
      <c r="F158" s="18"/>
      <c r="G158" s="18" t="s">
        <v>13</v>
      </c>
      <c r="H158" s="18" t="s">
        <v>127</v>
      </c>
      <c r="I158" s="18" t="s">
        <v>78</v>
      </c>
      <c r="J158" s="21" t="s">
        <v>73</v>
      </c>
      <c r="K158" s="20"/>
      <c r="L158" s="35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7"/>
      <c r="X158" s="35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7"/>
      <c r="AJ158" s="35"/>
      <c r="AK158" s="36"/>
      <c r="AL158" s="36"/>
      <c r="AM158" s="36"/>
      <c r="AN158" s="36"/>
      <c r="AO158" s="36"/>
      <c r="AP158" s="36"/>
      <c r="AQ158" s="36"/>
      <c r="AR158" s="36"/>
      <c r="AS158" s="36"/>
      <c r="AT158" s="36"/>
      <c r="AU158" s="37"/>
      <c r="AV158" s="35"/>
      <c r="AW158" s="36"/>
      <c r="AX158" s="36"/>
      <c r="AY158" s="36"/>
      <c r="AZ158" s="36"/>
      <c r="BA158" s="36"/>
      <c r="BB158" s="36"/>
      <c r="BC158" s="36"/>
      <c r="BD158" s="36"/>
      <c r="BE158" s="36"/>
      <c r="BF158" s="36"/>
      <c r="BG158" s="37"/>
      <c r="BH158" s="38"/>
      <c r="BI158" s="36"/>
      <c r="BJ158" s="36"/>
      <c r="BK158" s="36"/>
      <c r="BL158" s="36"/>
    </row>
    <row r="159" spans="1:64">
      <c r="A159" s="21" t="str">
        <f t="shared" si="14"/>
        <v>GLTOH_V_AD_PROMOTION2.당월실적_B2C전년</v>
      </c>
      <c r="B159" s="18"/>
      <c r="C159" s="18"/>
      <c r="D159" s="18"/>
      <c r="E159" s="18"/>
      <c r="F159" s="18"/>
      <c r="G159" s="18" t="s">
        <v>13</v>
      </c>
      <c r="H159" s="18" t="s">
        <v>127</v>
      </c>
      <c r="I159" s="18" t="s">
        <v>78</v>
      </c>
      <c r="J159" s="34" t="s">
        <v>57</v>
      </c>
      <c r="K159" s="20"/>
      <c r="L159" s="35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7"/>
      <c r="X159" s="35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7"/>
      <c r="AJ159" s="35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7"/>
      <c r="AV159" s="35"/>
      <c r="AW159" s="36"/>
      <c r="AX159" s="36"/>
      <c r="AY159" s="36"/>
      <c r="AZ159" s="36"/>
      <c r="BA159" s="36"/>
      <c r="BB159" s="36"/>
      <c r="BC159" s="36"/>
      <c r="BD159" s="36"/>
      <c r="BE159" s="36"/>
      <c r="BF159" s="36"/>
      <c r="BG159" s="37"/>
      <c r="BH159" s="38"/>
      <c r="BI159" s="36"/>
      <c r="BJ159" s="36"/>
      <c r="BK159" s="36"/>
      <c r="BL159" s="36"/>
    </row>
    <row r="160" spans="1:64">
      <c r="A160" s="21" t="str">
        <f t="shared" si="14"/>
        <v>GTTOH_V_AD_PROMOTION2.당월실적_B2C금년</v>
      </c>
      <c r="B160" s="18"/>
      <c r="C160" s="18"/>
      <c r="D160" s="18"/>
      <c r="E160" s="18"/>
      <c r="F160" s="18"/>
      <c r="G160" s="18" t="s">
        <v>15</v>
      </c>
      <c r="H160" s="18" t="s">
        <v>127</v>
      </c>
      <c r="I160" s="18" t="s">
        <v>78</v>
      </c>
      <c r="J160" s="21" t="s">
        <v>73</v>
      </c>
      <c r="K160" s="20"/>
      <c r="L160" s="35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7"/>
      <c r="X160" s="35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7"/>
      <c r="AJ160" s="35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7"/>
      <c r="AV160" s="35"/>
      <c r="AW160" s="36"/>
      <c r="AX160" s="36"/>
      <c r="AY160" s="36"/>
      <c r="AZ160" s="36"/>
      <c r="BA160" s="36"/>
      <c r="BB160" s="36"/>
      <c r="BC160" s="36"/>
      <c r="BD160" s="36"/>
      <c r="BE160" s="36"/>
      <c r="BF160" s="36"/>
      <c r="BG160" s="37"/>
      <c r="BH160" s="38"/>
      <c r="BI160" s="36"/>
      <c r="BJ160" s="36"/>
      <c r="BK160" s="36"/>
      <c r="BL160" s="36"/>
    </row>
    <row r="161" spans="1:64">
      <c r="A161" s="21" t="str">
        <f t="shared" si="14"/>
        <v>GTTOH_V_AD_PROMOTION2.당월실적_B2C전년</v>
      </c>
      <c r="B161" s="18"/>
      <c r="C161" s="18"/>
      <c r="D161" s="18"/>
      <c r="E161" s="18"/>
      <c r="F161" s="18"/>
      <c r="G161" s="18" t="s">
        <v>15</v>
      </c>
      <c r="H161" s="18" t="s">
        <v>127</v>
      </c>
      <c r="I161" s="18" t="s">
        <v>78</v>
      </c>
      <c r="J161" s="34" t="s">
        <v>57</v>
      </c>
      <c r="K161" s="20"/>
      <c r="L161" s="35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7"/>
      <c r="X161" s="35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7"/>
      <c r="AJ161" s="35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7"/>
      <c r="AV161" s="35"/>
      <c r="AW161" s="36"/>
      <c r="AX161" s="36"/>
      <c r="AY161" s="36"/>
      <c r="AZ161" s="36"/>
      <c r="BA161" s="36"/>
      <c r="BB161" s="36"/>
      <c r="BC161" s="36"/>
      <c r="BD161" s="36"/>
      <c r="BE161" s="36"/>
      <c r="BF161" s="36"/>
      <c r="BG161" s="37"/>
      <c r="BH161" s="38"/>
      <c r="BI161" s="36"/>
      <c r="BJ161" s="36"/>
      <c r="BK161" s="36"/>
      <c r="BL161" s="36"/>
    </row>
    <row r="162" spans="1:64">
      <c r="A162" s="21" t="str">
        <f t="shared" si="14"/>
        <v>PNTOH_V_AD_PROMOTION2.당월실적_B2C금년</v>
      </c>
      <c r="B162" s="18"/>
      <c r="C162" s="18"/>
      <c r="D162" s="18"/>
      <c r="E162" s="18"/>
      <c r="F162" s="18"/>
      <c r="G162" s="18" t="s">
        <v>17</v>
      </c>
      <c r="H162" s="18" t="s">
        <v>127</v>
      </c>
      <c r="I162" s="18" t="s">
        <v>78</v>
      </c>
      <c r="J162" s="21" t="s">
        <v>73</v>
      </c>
      <c r="K162" s="20"/>
      <c r="L162" s="35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7"/>
      <c r="X162" s="35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7"/>
      <c r="AJ162" s="35"/>
      <c r="AK162" s="36"/>
      <c r="AL162" s="36"/>
      <c r="AM162" s="36"/>
      <c r="AN162" s="36"/>
      <c r="AO162" s="36"/>
      <c r="AP162" s="36"/>
      <c r="AQ162" s="36"/>
      <c r="AR162" s="36"/>
      <c r="AS162" s="36"/>
      <c r="AT162" s="36"/>
      <c r="AU162" s="37"/>
      <c r="AV162" s="35"/>
      <c r="AW162" s="36"/>
      <c r="AX162" s="36"/>
      <c r="AY162" s="36"/>
      <c r="AZ162" s="36"/>
      <c r="BA162" s="36"/>
      <c r="BB162" s="36"/>
      <c r="BC162" s="36"/>
      <c r="BD162" s="36"/>
      <c r="BE162" s="36"/>
      <c r="BF162" s="36"/>
      <c r="BG162" s="37"/>
      <c r="BH162" s="38"/>
      <c r="BI162" s="36"/>
      <c r="BJ162" s="36"/>
      <c r="BK162" s="36"/>
      <c r="BL162" s="36"/>
    </row>
    <row r="163" spans="1:64">
      <c r="A163" s="21" t="str">
        <f t="shared" si="14"/>
        <v>PNTOH_V_AD_PROMOTION2.당월실적_B2C전년</v>
      </c>
      <c r="B163" s="18"/>
      <c r="C163" s="18"/>
      <c r="D163" s="18"/>
      <c r="E163" s="18"/>
      <c r="F163" s="18"/>
      <c r="G163" s="18" t="s">
        <v>17</v>
      </c>
      <c r="H163" s="18" t="s">
        <v>127</v>
      </c>
      <c r="I163" s="18" t="s">
        <v>78</v>
      </c>
      <c r="J163" s="34" t="s">
        <v>57</v>
      </c>
      <c r="K163" s="20"/>
      <c r="L163" s="35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7"/>
      <c r="X163" s="35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7"/>
      <c r="AJ163" s="35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7"/>
      <c r="AV163" s="35"/>
      <c r="AW163" s="36"/>
      <c r="AX163" s="36"/>
      <c r="AY163" s="36"/>
      <c r="AZ163" s="36"/>
      <c r="BA163" s="36"/>
      <c r="BB163" s="36"/>
      <c r="BC163" s="36"/>
      <c r="BD163" s="36"/>
      <c r="BE163" s="36"/>
      <c r="BF163" s="36"/>
      <c r="BG163" s="37"/>
      <c r="BH163" s="38"/>
      <c r="BI163" s="36"/>
      <c r="BJ163" s="36"/>
      <c r="BK163" s="36"/>
      <c r="BL163" s="36"/>
    </row>
    <row r="164" spans="1:64">
      <c r="A164" s="21" t="str">
        <f t="shared" si="14"/>
        <v>MSTOH_V_AD_PROMOTION2.당월실적_B2C금년</v>
      </c>
      <c r="B164" s="18"/>
      <c r="C164" s="18"/>
      <c r="D164" s="18"/>
      <c r="E164" s="18"/>
      <c r="F164" s="18"/>
      <c r="G164" s="18" t="s">
        <v>16</v>
      </c>
      <c r="H164" s="18" t="s">
        <v>127</v>
      </c>
      <c r="I164" s="18" t="s">
        <v>78</v>
      </c>
      <c r="J164" s="21" t="s">
        <v>73</v>
      </c>
      <c r="K164" s="20"/>
      <c r="L164" s="35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7"/>
      <c r="X164" s="35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7"/>
      <c r="AJ164" s="35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7"/>
      <c r="AV164" s="35"/>
      <c r="AW164" s="36"/>
      <c r="AX164" s="36"/>
      <c r="AY164" s="36"/>
      <c r="AZ164" s="36"/>
      <c r="BA164" s="36"/>
      <c r="BB164" s="36"/>
      <c r="BC164" s="36"/>
      <c r="BD164" s="36"/>
      <c r="BE164" s="36"/>
      <c r="BF164" s="36"/>
      <c r="BG164" s="37"/>
      <c r="BH164" s="38"/>
      <c r="BI164" s="36"/>
      <c r="BJ164" s="36"/>
      <c r="BK164" s="36"/>
      <c r="BL164" s="36"/>
    </row>
    <row r="165" spans="1:64">
      <c r="A165" s="21" t="str">
        <f t="shared" si="14"/>
        <v>MSTOH_V_AD_PROMOTION2.당월실적_B2C전년</v>
      </c>
      <c r="B165" s="18"/>
      <c r="C165" s="18"/>
      <c r="D165" s="18"/>
      <c r="E165" s="18"/>
      <c r="F165" s="18"/>
      <c r="G165" s="18" t="s">
        <v>16</v>
      </c>
      <c r="H165" s="18" t="s">
        <v>127</v>
      </c>
      <c r="I165" s="18" t="s">
        <v>78</v>
      </c>
      <c r="J165" s="34" t="s">
        <v>57</v>
      </c>
      <c r="K165" s="20"/>
      <c r="L165" s="35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7"/>
      <c r="X165" s="35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7"/>
      <c r="AJ165" s="35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/>
      <c r="AU165" s="37"/>
      <c r="AV165" s="35"/>
      <c r="AW165" s="36"/>
      <c r="AX165" s="36"/>
      <c r="AY165" s="36"/>
      <c r="AZ165" s="36"/>
      <c r="BA165" s="36"/>
      <c r="BB165" s="36"/>
      <c r="BC165" s="36"/>
      <c r="BD165" s="36"/>
      <c r="BE165" s="36"/>
      <c r="BF165" s="36"/>
      <c r="BG165" s="37"/>
      <c r="BH165" s="38"/>
      <c r="BI165" s="36"/>
      <c r="BJ165" s="36"/>
      <c r="BK165" s="36"/>
      <c r="BL165" s="36"/>
    </row>
    <row r="166" spans="1:64">
      <c r="A166" s="21" t="str">
        <f t="shared" si="14"/>
        <v>CNTOH_V_AD_PROMOTION2.당월실적_B2C금년</v>
      </c>
      <c r="B166" s="18"/>
      <c r="C166" s="18"/>
      <c r="D166" s="18"/>
      <c r="E166" s="18"/>
      <c r="F166" s="18"/>
      <c r="G166" s="18" t="s">
        <v>7</v>
      </c>
      <c r="H166" s="18" t="s">
        <v>127</v>
      </c>
      <c r="I166" s="18" t="s">
        <v>78</v>
      </c>
      <c r="J166" s="21" t="s">
        <v>73</v>
      </c>
      <c r="K166" s="20"/>
      <c r="L166" s="35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7"/>
      <c r="X166" s="35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7"/>
      <c r="AJ166" s="35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7"/>
      <c r="AV166" s="35"/>
      <c r="AW166" s="36"/>
      <c r="AX166" s="36"/>
      <c r="AY166" s="36"/>
      <c r="AZ166" s="36"/>
      <c r="BA166" s="36"/>
      <c r="BB166" s="36"/>
      <c r="BC166" s="36"/>
      <c r="BD166" s="36"/>
      <c r="BE166" s="36"/>
      <c r="BF166" s="36"/>
      <c r="BG166" s="37"/>
      <c r="BH166" s="38"/>
      <c r="BI166" s="36"/>
      <c r="BJ166" s="36"/>
      <c r="BK166" s="36"/>
      <c r="BL166" s="36"/>
    </row>
    <row r="167" spans="1:64">
      <c r="A167" s="21" t="str">
        <f t="shared" si="14"/>
        <v>CNTOH_V_AD_PROMOTION2.당월실적_B2C전년</v>
      </c>
      <c r="B167" s="18"/>
      <c r="C167" s="18"/>
      <c r="D167" s="18"/>
      <c r="E167" s="18"/>
      <c r="F167" s="18"/>
      <c r="G167" s="18" t="s">
        <v>7</v>
      </c>
      <c r="H167" s="18" t="s">
        <v>127</v>
      </c>
      <c r="I167" s="18" t="s">
        <v>78</v>
      </c>
      <c r="J167" s="34" t="s">
        <v>57</v>
      </c>
      <c r="K167" s="20"/>
      <c r="L167" s="35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7"/>
      <c r="X167" s="35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7"/>
      <c r="AJ167" s="35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7"/>
      <c r="AV167" s="35"/>
      <c r="AW167" s="36"/>
      <c r="AX167" s="36"/>
      <c r="AY167" s="36"/>
      <c r="AZ167" s="36"/>
      <c r="BA167" s="36"/>
      <c r="BB167" s="36"/>
      <c r="BC167" s="36"/>
      <c r="BD167" s="36"/>
      <c r="BE167" s="36"/>
      <c r="BF167" s="36"/>
      <c r="BG167" s="37"/>
      <c r="BH167" s="38"/>
      <c r="BI167" s="36"/>
      <c r="BJ167" s="36"/>
      <c r="BK167" s="36"/>
      <c r="BL167" s="36"/>
    </row>
    <row r="168" spans="1:64">
      <c r="A168" s="21" t="str">
        <f t="shared" si="14"/>
        <v>DFTOH_V_AD_PROMOTION2.당월실적_B2C금년</v>
      </c>
      <c r="B168" s="18"/>
      <c r="C168" s="18"/>
      <c r="D168" s="18"/>
      <c r="E168" s="18"/>
      <c r="F168" s="18"/>
      <c r="G168" s="18" t="s">
        <v>8</v>
      </c>
      <c r="H168" s="18" t="s">
        <v>127</v>
      </c>
      <c r="I168" s="18" t="str">
        <f t="shared" ref="I168:I177" si="15">I158</f>
        <v>2.당월실적_B2C</v>
      </c>
      <c r="J168" s="21" t="s">
        <v>73</v>
      </c>
      <c r="K168" s="20"/>
      <c r="L168" s="35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7"/>
      <c r="X168" s="35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7"/>
      <c r="AJ168" s="35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7"/>
      <c r="AV168" s="35"/>
      <c r="AW168" s="36"/>
      <c r="AX168" s="36"/>
      <c r="AY168" s="36"/>
      <c r="AZ168" s="36"/>
      <c r="BA168" s="36"/>
      <c r="BB168" s="36"/>
      <c r="BC168" s="36"/>
      <c r="BD168" s="36"/>
      <c r="BE168" s="36"/>
      <c r="BF168" s="36"/>
      <c r="BG168" s="37"/>
      <c r="BH168" s="38"/>
      <c r="BI168" s="36"/>
      <c r="BJ168" s="36"/>
      <c r="BK168" s="36"/>
      <c r="BL168" s="36"/>
    </row>
    <row r="169" spans="1:64">
      <c r="A169" s="21" t="str">
        <f t="shared" si="14"/>
        <v>DFTOH_V_AD_PROMOTION2.당월실적_B2C전년</v>
      </c>
      <c r="B169" s="18"/>
      <c r="C169" s="18"/>
      <c r="D169" s="18"/>
      <c r="E169" s="18"/>
      <c r="F169" s="18"/>
      <c r="G169" s="18" t="s">
        <v>8</v>
      </c>
      <c r="H169" s="18" t="s">
        <v>127</v>
      </c>
      <c r="I169" s="18" t="str">
        <f t="shared" si="15"/>
        <v>2.당월실적_B2C</v>
      </c>
      <c r="J169" s="34" t="s">
        <v>57</v>
      </c>
      <c r="K169" s="20"/>
      <c r="L169" s="35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7"/>
      <c r="X169" s="35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7"/>
      <c r="AJ169" s="35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7"/>
      <c r="AV169" s="35"/>
      <c r="AW169" s="36"/>
      <c r="AX169" s="36"/>
      <c r="AY169" s="36"/>
      <c r="AZ169" s="36"/>
      <c r="BA169" s="36"/>
      <c r="BB169" s="36"/>
      <c r="BC169" s="36"/>
      <c r="BD169" s="36"/>
      <c r="BE169" s="36"/>
      <c r="BF169" s="36"/>
      <c r="BG169" s="37"/>
      <c r="BH169" s="38"/>
      <c r="BI169" s="36"/>
      <c r="BJ169" s="36"/>
      <c r="BK169" s="36"/>
      <c r="BL169" s="36"/>
    </row>
    <row r="170" spans="1:64">
      <c r="A170" s="21" t="str">
        <f t="shared" si="14"/>
        <v>DGTOH_V_AD_PROMOTION2.당월실적_B2C금년</v>
      </c>
      <c r="B170" s="18"/>
      <c r="C170" s="18"/>
      <c r="D170" s="18"/>
      <c r="E170" s="18"/>
      <c r="F170" s="18"/>
      <c r="G170" s="18" t="s">
        <v>9</v>
      </c>
      <c r="H170" s="18" t="s">
        <v>127</v>
      </c>
      <c r="I170" s="18" t="str">
        <f t="shared" si="15"/>
        <v>2.당월실적_B2C</v>
      </c>
      <c r="J170" s="21" t="s">
        <v>73</v>
      </c>
      <c r="K170" s="20"/>
      <c r="L170" s="35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7"/>
      <c r="X170" s="35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7"/>
      <c r="AJ170" s="35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7"/>
      <c r="AV170" s="35"/>
      <c r="AW170" s="36"/>
      <c r="AX170" s="36"/>
      <c r="AY170" s="36"/>
      <c r="AZ170" s="36"/>
      <c r="BA170" s="36"/>
      <c r="BB170" s="36"/>
      <c r="BC170" s="36"/>
      <c r="BD170" s="36"/>
      <c r="BE170" s="36"/>
      <c r="BF170" s="36"/>
      <c r="BG170" s="37"/>
      <c r="BH170" s="38"/>
      <c r="BI170" s="36"/>
      <c r="BJ170" s="36"/>
      <c r="BK170" s="36"/>
      <c r="BL170" s="36"/>
    </row>
    <row r="171" spans="1:64">
      <c r="A171" s="21" t="str">
        <f t="shared" si="14"/>
        <v>DGTOH_V_AD_PROMOTION2.당월실적_B2C전년</v>
      </c>
      <c r="B171" s="18"/>
      <c r="C171" s="18"/>
      <c r="D171" s="18"/>
      <c r="E171" s="18"/>
      <c r="F171" s="18"/>
      <c r="G171" s="18" t="s">
        <v>9</v>
      </c>
      <c r="H171" s="18" t="s">
        <v>127</v>
      </c>
      <c r="I171" s="18" t="str">
        <f t="shared" si="15"/>
        <v>2.당월실적_B2C</v>
      </c>
      <c r="J171" s="34" t="s">
        <v>57</v>
      </c>
      <c r="K171" s="20"/>
      <c r="L171" s="35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7"/>
      <c r="X171" s="35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7"/>
      <c r="AJ171" s="35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7"/>
      <c r="AV171" s="35"/>
      <c r="AW171" s="36"/>
      <c r="AX171" s="36"/>
      <c r="AY171" s="36"/>
      <c r="AZ171" s="36"/>
      <c r="BA171" s="36"/>
      <c r="BB171" s="36"/>
      <c r="BC171" s="36"/>
      <c r="BD171" s="36"/>
      <c r="BE171" s="36"/>
      <c r="BF171" s="36"/>
      <c r="BG171" s="37"/>
      <c r="BH171" s="38"/>
      <c r="BI171" s="36"/>
      <c r="BJ171" s="36"/>
      <c r="BK171" s="36"/>
      <c r="BL171" s="36"/>
    </row>
    <row r="172" spans="1:64">
      <c r="A172" s="21" t="str">
        <f t="shared" si="14"/>
        <v>PCTOH_V_AD_PROMOTION2.당월실적_B2C금년</v>
      </c>
      <c r="B172" s="18"/>
      <c r="C172" s="18"/>
      <c r="D172" s="18"/>
      <c r="E172" s="18"/>
      <c r="F172" s="18"/>
      <c r="G172" s="18" t="s">
        <v>20</v>
      </c>
      <c r="H172" s="18" t="s">
        <v>127</v>
      </c>
      <c r="I172" s="18" t="str">
        <f t="shared" si="15"/>
        <v>2.당월실적_B2C</v>
      </c>
      <c r="J172" s="21" t="s">
        <v>73</v>
      </c>
      <c r="K172" s="20"/>
      <c r="L172" s="35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7"/>
      <c r="X172" s="35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7"/>
      <c r="AJ172" s="35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7"/>
      <c r="AV172" s="35"/>
      <c r="AW172" s="36"/>
      <c r="AX172" s="36"/>
      <c r="AY172" s="36"/>
      <c r="AZ172" s="36"/>
      <c r="BA172" s="36"/>
      <c r="BB172" s="36"/>
      <c r="BC172" s="36"/>
      <c r="BD172" s="36"/>
      <c r="BE172" s="36"/>
      <c r="BF172" s="36"/>
      <c r="BG172" s="37"/>
      <c r="BH172" s="38"/>
      <c r="BI172" s="36"/>
      <c r="BJ172" s="36"/>
      <c r="BK172" s="36"/>
      <c r="BL172" s="36"/>
    </row>
    <row r="173" spans="1:64">
      <c r="A173" s="21" t="str">
        <f t="shared" si="14"/>
        <v>PCTOH_V_AD_PROMOTION2.당월실적_B2C전년</v>
      </c>
      <c r="B173" s="18"/>
      <c r="C173" s="18"/>
      <c r="D173" s="18"/>
      <c r="E173" s="18"/>
      <c r="F173" s="18"/>
      <c r="G173" s="18" t="s">
        <v>20</v>
      </c>
      <c r="H173" s="18" t="s">
        <v>127</v>
      </c>
      <c r="I173" s="18" t="str">
        <f t="shared" si="15"/>
        <v>2.당월실적_B2C</v>
      </c>
      <c r="J173" s="34" t="s">
        <v>57</v>
      </c>
      <c r="K173" s="20"/>
      <c r="L173" s="35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7"/>
      <c r="X173" s="35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7"/>
      <c r="AJ173" s="35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7"/>
      <c r="AV173" s="35"/>
      <c r="AW173" s="36"/>
      <c r="AX173" s="36"/>
      <c r="AY173" s="36"/>
      <c r="AZ173" s="36"/>
      <c r="BA173" s="36"/>
      <c r="BB173" s="36"/>
      <c r="BC173" s="36"/>
      <c r="BD173" s="36"/>
      <c r="BE173" s="36"/>
      <c r="BF173" s="36"/>
      <c r="BG173" s="37"/>
      <c r="BH173" s="38"/>
      <c r="BI173" s="36"/>
      <c r="BJ173" s="36"/>
      <c r="BK173" s="36"/>
      <c r="BL173" s="36"/>
    </row>
    <row r="174" spans="1:64">
      <c r="A174" s="21" t="str">
        <f t="shared" si="14"/>
        <v>PSTOH_V_AD_PROMOTION2.당월실적_B2C금년</v>
      </c>
      <c r="B174" s="18"/>
      <c r="C174" s="18"/>
      <c r="D174" s="18"/>
      <c r="E174" s="18"/>
      <c r="F174" s="18"/>
      <c r="G174" s="18" t="s">
        <v>18</v>
      </c>
      <c r="H174" s="18" t="s">
        <v>127</v>
      </c>
      <c r="I174" s="18" t="str">
        <f t="shared" si="15"/>
        <v>2.당월실적_B2C</v>
      </c>
      <c r="J174" s="21" t="s">
        <v>73</v>
      </c>
      <c r="K174" s="20"/>
      <c r="L174" s="35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7"/>
      <c r="X174" s="35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7"/>
      <c r="AJ174" s="35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7"/>
      <c r="AV174" s="35"/>
      <c r="AW174" s="36"/>
      <c r="AX174" s="36"/>
      <c r="AY174" s="36"/>
      <c r="AZ174" s="36"/>
      <c r="BA174" s="36"/>
      <c r="BB174" s="36"/>
      <c r="BC174" s="36"/>
      <c r="BD174" s="36"/>
      <c r="BE174" s="36"/>
      <c r="BF174" s="36"/>
      <c r="BG174" s="37"/>
      <c r="BH174" s="38"/>
      <c r="BI174" s="36"/>
      <c r="BJ174" s="36"/>
      <c r="BK174" s="36"/>
      <c r="BL174" s="36"/>
    </row>
    <row r="175" spans="1:64">
      <c r="A175" s="21" t="str">
        <f t="shared" si="14"/>
        <v>PSTOH_V_AD_PROMOTION2.당월실적_B2C전년</v>
      </c>
      <c r="B175" s="18"/>
      <c r="C175" s="18"/>
      <c r="D175" s="18"/>
      <c r="E175" s="18"/>
      <c r="F175" s="18"/>
      <c r="G175" s="18" t="s">
        <v>18</v>
      </c>
      <c r="H175" s="18" t="s">
        <v>127</v>
      </c>
      <c r="I175" s="18" t="str">
        <f t="shared" si="15"/>
        <v>2.당월실적_B2C</v>
      </c>
      <c r="J175" s="34" t="s">
        <v>57</v>
      </c>
      <c r="K175" s="20"/>
      <c r="L175" s="35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7"/>
      <c r="X175" s="35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7"/>
      <c r="AJ175" s="35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7"/>
      <c r="AV175" s="35"/>
      <c r="AW175" s="36"/>
      <c r="AX175" s="36"/>
      <c r="AY175" s="36"/>
      <c r="AZ175" s="36"/>
      <c r="BA175" s="36"/>
      <c r="BB175" s="36"/>
      <c r="BC175" s="36"/>
      <c r="BD175" s="36"/>
      <c r="BE175" s="36"/>
      <c r="BF175" s="36"/>
      <c r="BG175" s="37"/>
      <c r="BH175" s="38"/>
      <c r="BI175" s="36"/>
      <c r="BJ175" s="36"/>
      <c r="BK175" s="36"/>
      <c r="BL175" s="36"/>
    </row>
    <row r="176" spans="1:64">
      <c r="A176" s="21" t="str">
        <f t="shared" si="14"/>
        <v>DVTOH_V_AD_PROMOTION2.당월실적_B2C금년</v>
      </c>
      <c r="B176" s="18"/>
      <c r="C176" s="18"/>
      <c r="D176" s="18"/>
      <c r="E176" s="18"/>
      <c r="F176" s="18"/>
      <c r="G176" s="18" t="s">
        <v>11</v>
      </c>
      <c r="H176" s="18" t="s">
        <v>127</v>
      </c>
      <c r="I176" s="18" t="str">
        <f t="shared" si="15"/>
        <v>2.당월실적_B2C</v>
      </c>
      <c r="J176" s="21" t="s">
        <v>73</v>
      </c>
      <c r="K176" s="20"/>
      <c r="L176" s="35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7"/>
      <c r="X176" s="35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7"/>
      <c r="AJ176" s="35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7"/>
      <c r="AV176" s="35"/>
      <c r="AW176" s="36"/>
      <c r="AX176" s="36"/>
      <c r="AY176" s="36"/>
      <c r="AZ176" s="36"/>
      <c r="BA176" s="36"/>
      <c r="BB176" s="36"/>
      <c r="BC176" s="36"/>
      <c r="BD176" s="36"/>
      <c r="BE176" s="36"/>
      <c r="BF176" s="36"/>
      <c r="BG176" s="37"/>
      <c r="BH176" s="38"/>
      <c r="BI176" s="36"/>
      <c r="BJ176" s="36"/>
      <c r="BK176" s="36"/>
      <c r="BL176" s="36"/>
    </row>
    <row r="177" spans="1:64">
      <c r="A177" s="21" t="str">
        <f t="shared" si="14"/>
        <v>DVTOH_V_AD_PROMOTION2.당월실적_B2C전년</v>
      </c>
      <c r="B177" s="18"/>
      <c r="C177" s="18"/>
      <c r="D177" s="18"/>
      <c r="E177" s="18"/>
      <c r="F177" s="18"/>
      <c r="G177" s="18" t="s">
        <v>11</v>
      </c>
      <c r="H177" s="18" t="s">
        <v>127</v>
      </c>
      <c r="I177" s="18" t="str">
        <f t="shared" si="15"/>
        <v>2.당월실적_B2C</v>
      </c>
      <c r="J177" s="34" t="s">
        <v>57</v>
      </c>
      <c r="K177" s="20"/>
      <c r="L177" s="35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7"/>
      <c r="X177" s="35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7"/>
      <c r="AJ177" s="35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7"/>
      <c r="AV177" s="35"/>
      <c r="AW177" s="36"/>
      <c r="AX177" s="36"/>
      <c r="AY177" s="36"/>
      <c r="AZ177" s="36"/>
      <c r="BA177" s="36"/>
      <c r="BB177" s="36"/>
      <c r="BC177" s="36"/>
      <c r="BD177" s="36"/>
      <c r="BE177" s="36"/>
      <c r="BF177" s="36"/>
      <c r="BG177" s="37"/>
      <c r="BH177" s="38"/>
      <c r="BI177" s="36"/>
      <c r="BJ177" s="36"/>
      <c r="BK177" s="36"/>
      <c r="BL177" s="36"/>
    </row>
    <row r="178" spans="1:64">
      <c r="A178" s="17"/>
      <c r="H178" t="s">
        <v>127</v>
      </c>
      <c r="K178" s="20"/>
    </row>
    <row r="179" spans="1:64">
      <c r="A179" s="21" t="str">
        <f t="shared" ref="A179:A192" si="16">TRIM(B179)&amp;TRIM(C179)&amp;TRIM(D179)&amp;TRIM(E179)&amp;TRIM(F179)&amp;TRIM(G179)&amp;TRIM(H179)&amp;TRIM(I179)&amp;TRIM(J179)</f>
        <v>GJTOH_V_AD_PROMOTION2.당월실적_B2B금년</v>
      </c>
      <c r="B179" s="18"/>
      <c r="C179" s="18"/>
      <c r="D179" s="18"/>
      <c r="E179" s="18"/>
      <c r="F179" s="18"/>
      <c r="G179" s="18" t="s">
        <v>12</v>
      </c>
      <c r="H179" s="18" t="s">
        <v>127</v>
      </c>
      <c r="I179" s="18" t="s">
        <v>119</v>
      </c>
      <c r="J179" s="21" t="s">
        <v>73</v>
      </c>
      <c r="K179" s="20"/>
      <c r="L179" s="35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7"/>
      <c r="X179" s="35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7"/>
      <c r="AJ179" s="35"/>
      <c r="AK179" s="36"/>
      <c r="AL179" s="36"/>
      <c r="AM179" s="36"/>
      <c r="AN179" s="36"/>
      <c r="AO179" s="36"/>
      <c r="AP179" s="36"/>
      <c r="AQ179" s="36"/>
      <c r="AR179" s="36"/>
      <c r="AS179" s="36"/>
      <c r="AT179" s="36"/>
      <c r="AU179" s="37"/>
      <c r="AV179" s="35"/>
      <c r="AW179" s="36"/>
      <c r="AX179" s="36"/>
      <c r="AY179" s="36"/>
      <c r="AZ179" s="36"/>
      <c r="BA179" s="36"/>
      <c r="BB179" s="36"/>
      <c r="BC179" s="36"/>
      <c r="BD179" s="36"/>
      <c r="BE179" s="36"/>
      <c r="BF179" s="36"/>
      <c r="BG179" s="37"/>
      <c r="BH179" s="38"/>
      <c r="BI179" s="36"/>
      <c r="BJ179" s="36"/>
      <c r="BK179" s="36"/>
      <c r="BL179" s="36"/>
    </row>
    <row r="180" spans="1:64" ht="18" customHeight="1">
      <c r="A180" s="21" t="str">
        <f t="shared" si="16"/>
        <v>GJTOH_V_AD_PROMOTION2.당월실적_B2B전년</v>
      </c>
      <c r="B180" s="18"/>
      <c r="C180" s="18"/>
      <c r="D180" s="18"/>
      <c r="E180" s="18"/>
      <c r="F180" s="18"/>
      <c r="G180" s="18" t="s">
        <v>12</v>
      </c>
      <c r="H180" s="18" t="s">
        <v>127</v>
      </c>
      <c r="I180" s="18" t="s">
        <v>119</v>
      </c>
      <c r="J180" s="34" t="s">
        <v>57</v>
      </c>
      <c r="K180" s="20"/>
      <c r="L180" s="35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7"/>
      <c r="X180" s="35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7"/>
      <c r="AJ180" s="35"/>
      <c r="AK180" s="36"/>
      <c r="AL180" s="36"/>
      <c r="AM180" s="36"/>
      <c r="AN180" s="36"/>
      <c r="AO180" s="36"/>
      <c r="AP180" s="36"/>
      <c r="AQ180" s="36"/>
      <c r="AR180" s="36"/>
      <c r="AS180" s="36"/>
      <c r="AT180" s="36"/>
      <c r="AU180" s="37"/>
      <c r="AV180" s="35"/>
      <c r="AW180" s="36"/>
      <c r="AX180" s="36"/>
      <c r="AY180" s="36"/>
      <c r="AZ180" s="36"/>
      <c r="BA180" s="36"/>
      <c r="BB180" s="36"/>
      <c r="BC180" s="36"/>
      <c r="BD180" s="36"/>
      <c r="BE180" s="36"/>
      <c r="BF180" s="36"/>
      <c r="BG180" s="37"/>
      <c r="BH180" s="38"/>
      <c r="BI180" s="36"/>
      <c r="BJ180" s="36"/>
      <c r="BK180" s="36"/>
      <c r="BL180" s="36"/>
    </row>
    <row r="181" spans="1:64">
      <c r="A181" s="21" t="str">
        <f t="shared" si="16"/>
        <v>GNTOH_V_AD_PROMOTION2.당월실적_B2B금년</v>
      </c>
      <c r="B181" s="18"/>
      <c r="C181" s="18"/>
      <c r="D181" s="18"/>
      <c r="E181" s="18"/>
      <c r="F181" s="18"/>
      <c r="G181" s="18" t="s">
        <v>14</v>
      </c>
      <c r="H181" s="18" t="s">
        <v>127</v>
      </c>
      <c r="I181" s="18" t="s">
        <v>119</v>
      </c>
      <c r="J181" s="21" t="s">
        <v>73</v>
      </c>
      <c r="K181" s="20"/>
      <c r="L181" s="35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7"/>
      <c r="X181" s="35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7"/>
      <c r="AJ181" s="35"/>
      <c r="AK181" s="36"/>
      <c r="AL181" s="36"/>
      <c r="AM181" s="36"/>
      <c r="AN181" s="36"/>
      <c r="AO181" s="36"/>
      <c r="AP181" s="36"/>
      <c r="AQ181" s="36"/>
      <c r="AR181" s="36"/>
      <c r="AS181" s="36"/>
      <c r="AT181" s="36"/>
      <c r="AU181" s="37"/>
      <c r="AV181" s="35"/>
      <c r="AW181" s="36"/>
      <c r="AX181" s="36"/>
      <c r="AY181" s="36"/>
      <c r="AZ181" s="36"/>
      <c r="BA181" s="36"/>
      <c r="BB181" s="36"/>
      <c r="BC181" s="36"/>
      <c r="BD181" s="36"/>
      <c r="BE181" s="36"/>
      <c r="BF181" s="36"/>
      <c r="BG181" s="37"/>
      <c r="BH181" s="38"/>
      <c r="BI181" s="36"/>
      <c r="BJ181" s="36"/>
      <c r="BK181" s="36"/>
      <c r="BL181" s="36"/>
    </row>
    <row r="182" spans="1:64">
      <c r="A182" s="21" t="str">
        <f t="shared" si="16"/>
        <v>GNTOH_V_AD_PROMOTION2.당월실적_B2B전년</v>
      </c>
      <c r="B182" s="18"/>
      <c r="C182" s="18"/>
      <c r="D182" s="18"/>
      <c r="E182" s="18"/>
      <c r="F182" s="18"/>
      <c r="G182" s="18" t="s">
        <v>14</v>
      </c>
      <c r="H182" s="18" t="s">
        <v>127</v>
      </c>
      <c r="I182" s="18" t="s">
        <v>119</v>
      </c>
      <c r="J182" s="34" t="s">
        <v>57</v>
      </c>
      <c r="K182" s="20"/>
      <c r="L182" s="35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7"/>
      <c r="X182" s="35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7"/>
      <c r="AJ182" s="35"/>
      <c r="AK182" s="36"/>
      <c r="AL182" s="36"/>
      <c r="AM182" s="36"/>
      <c r="AN182" s="36"/>
      <c r="AO182" s="36"/>
      <c r="AP182" s="36"/>
      <c r="AQ182" s="36"/>
      <c r="AR182" s="36"/>
      <c r="AS182" s="36"/>
      <c r="AT182" s="36"/>
      <c r="AU182" s="37"/>
      <c r="AV182" s="35"/>
      <c r="AW182" s="36"/>
      <c r="AX182" s="36"/>
      <c r="AY182" s="36"/>
      <c r="AZ182" s="36"/>
      <c r="BA182" s="36"/>
      <c r="BB182" s="36"/>
      <c r="BC182" s="36"/>
      <c r="BD182" s="36"/>
      <c r="BE182" s="36"/>
      <c r="BF182" s="36"/>
      <c r="BG182" s="37"/>
      <c r="BH182" s="38"/>
      <c r="BI182" s="36"/>
      <c r="BJ182" s="36"/>
      <c r="BK182" s="36"/>
      <c r="BL182" s="36"/>
    </row>
    <row r="183" spans="1:64">
      <c r="A183" s="21" t="str">
        <f t="shared" si="16"/>
        <v>GOTOH_V_AD_PROMOTION2.당월실적_B2B금년</v>
      </c>
      <c r="B183" s="18"/>
      <c r="C183" s="18"/>
      <c r="D183" s="18"/>
      <c r="E183" s="18"/>
      <c r="F183" s="18"/>
      <c r="G183" s="18" t="s">
        <v>117</v>
      </c>
      <c r="H183" s="18" t="s">
        <v>127</v>
      </c>
      <c r="I183" s="18" t="s">
        <v>119</v>
      </c>
      <c r="J183" s="21" t="s">
        <v>73</v>
      </c>
      <c r="K183" s="20"/>
      <c r="L183" s="35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7"/>
      <c r="X183" s="35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7"/>
      <c r="AJ183" s="35"/>
      <c r="AK183" s="36"/>
      <c r="AL183" s="36"/>
      <c r="AM183" s="36"/>
      <c r="AN183" s="36"/>
      <c r="AO183" s="36"/>
      <c r="AP183" s="36"/>
      <c r="AQ183" s="36"/>
      <c r="AR183" s="36"/>
      <c r="AS183" s="36"/>
      <c r="AT183" s="36"/>
      <c r="AU183" s="37"/>
      <c r="AV183" s="35"/>
      <c r="AW183" s="36"/>
      <c r="AX183" s="36"/>
      <c r="AY183" s="36"/>
      <c r="AZ183" s="36"/>
      <c r="BA183" s="36"/>
      <c r="BB183" s="36"/>
      <c r="BC183" s="36"/>
      <c r="BD183" s="36"/>
      <c r="BE183" s="36"/>
      <c r="BF183" s="36"/>
      <c r="BG183" s="37"/>
      <c r="BH183" s="38"/>
      <c r="BI183" s="36"/>
      <c r="BJ183" s="36"/>
      <c r="BK183" s="36"/>
      <c r="BL183" s="36"/>
    </row>
    <row r="184" spans="1:64">
      <c r="A184" s="21" t="str">
        <f t="shared" si="16"/>
        <v>GOTOH_V_AD_PROMOTION2.당월실적_B2B전년</v>
      </c>
      <c r="B184" s="18"/>
      <c r="C184" s="18"/>
      <c r="D184" s="18"/>
      <c r="E184" s="18"/>
      <c r="F184" s="18"/>
      <c r="G184" s="18" t="s">
        <v>117</v>
      </c>
      <c r="H184" s="18" t="s">
        <v>127</v>
      </c>
      <c r="I184" s="18" t="s">
        <v>119</v>
      </c>
      <c r="J184" s="34" t="s">
        <v>57</v>
      </c>
      <c r="K184" s="20"/>
      <c r="L184" s="35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7"/>
      <c r="X184" s="35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7"/>
      <c r="AJ184" s="35"/>
      <c r="AK184" s="36"/>
      <c r="AL184" s="36"/>
      <c r="AM184" s="36"/>
      <c r="AN184" s="36"/>
      <c r="AO184" s="36"/>
      <c r="AP184" s="36"/>
      <c r="AQ184" s="36"/>
      <c r="AR184" s="36"/>
      <c r="AS184" s="36"/>
      <c r="AT184" s="36"/>
      <c r="AU184" s="37"/>
      <c r="AV184" s="35"/>
      <c r="AW184" s="36"/>
      <c r="AX184" s="36"/>
      <c r="AY184" s="36"/>
      <c r="AZ184" s="36"/>
      <c r="BA184" s="36"/>
      <c r="BB184" s="36"/>
      <c r="BC184" s="36"/>
      <c r="BD184" s="36"/>
      <c r="BE184" s="36"/>
      <c r="BF184" s="36"/>
      <c r="BG184" s="37"/>
      <c r="BH184" s="38"/>
      <c r="BI184" s="36"/>
      <c r="BJ184" s="36"/>
      <c r="BK184" s="36"/>
      <c r="BL184" s="36"/>
    </row>
    <row r="185" spans="1:64">
      <c r="A185" s="21" t="str">
        <f t="shared" si="16"/>
        <v>PKTOH_V_AD_PROMOTION2.당월실적_B2B금년</v>
      </c>
      <c r="B185" s="18"/>
      <c r="C185" s="18"/>
      <c r="D185" s="18"/>
      <c r="E185" s="18"/>
      <c r="F185" s="18"/>
      <c r="G185" s="18" t="s">
        <v>105</v>
      </c>
      <c r="H185" s="18" t="s">
        <v>127</v>
      </c>
      <c r="I185" s="18" t="s">
        <v>119</v>
      </c>
      <c r="J185" s="21" t="s">
        <v>73</v>
      </c>
      <c r="K185" s="20"/>
      <c r="L185" s="35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7"/>
      <c r="X185" s="35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7"/>
      <c r="AJ185" s="35"/>
      <c r="AK185" s="36"/>
      <c r="AL185" s="36"/>
      <c r="AM185" s="36"/>
      <c r="AN185" s="36"/>
      <c r="AO185" s="36"/>
      <c r="AP185" s="36"/>
      <c r="AQ185" s="36"/>
      <c r="AR185" s="36"/>
      <c r="AS185" s="36"/>
      <c r="AT185" s="36"/>
      <c r="AU185" s="37"/>
      <c r="AV185" s="35"/>
      <c r="AW185" s="36"/>
      <c r="AX185" s="36"/>
      <c r="AY185" s="36"/>
      <c r="AZ185" s="36"/>
      <c r="BA185" s="36"/>
      <c r="BB185" s="36"/>
      <c r="BC185" s="36"/>
      <c r="BD185" s="36"/>
      <c r="BE185" s="36"/>
      <c r="BF185" s="36"/>
      <c r="BG185" s="37"/>
      <c r="BH185" s="38"/>
      <c r="BI185" s="36"/>
      <c r="BJ185" s="36"/>
      <c r="BK185" s="36"/>
      <c r="BL185" s="36"/>
    </row>
    <row r="186" spans="1:64">
      <c r="A186" s="21" t="str">
        <f t="shared" si="16"/>
        <v>PKTOH_V_AD_PROMOTION2.당월실적_B2B전년</v>
      </c>
      <c r="B186" s="18"/>
      <c r="C186" s="18"/>
      <c r="D186" s="18"/>
      <c r="E186" s="18"/>
      <c r="F186" s="18"/>
      <c r="G186" s="18" t="s">
        <v>105</v>
      </c>
      <c r="H186" s="18" t="s">
        <v>127</v>
      </c>
      <c r="I186" s="18" t="s">
        <v>119</v>
      </c>
      <c r="J186" s="34" t="s">
        <v>57</v>
      </c>
      <c r="K186" s="20"/>
      <c r="L186" s="35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7"/>
      <c r="X186" s="35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7"/>
      <c r="AJ186" s="35"/>
      <c r="AK186" s="36"/>
      <c r="AL186" s="36"/>
      <c r="AM186" s="36"/>
      <c r="AN186" s="36"/>
      <c r="AO186" s="36"/>
      <c r="AP186" s="36"/>
      <c r="AQ186" s="36"/>
      <c r="AR186" s="36"/>
      <c r="AS186" s="36"/>
      <c r="AT186" s="36"/>
      <c r="AU186" s="37"/>
      <c r="AV186" s="35"/>
      <c r="AW186" s="36"/>
      <c r="AX186" s="36"/>
      <c r="AY186" s="36"/>
      <c r="AZ186" s="36"/>
      <c r="BA186" s="36"/>
      <c r="BB186" s="36"/>
      <c r="BC186" s="36"/>
      <c r="BD186" s="36"/>
      <c r="BE186" s="36"/>
      <c r="BF186" s="36"/>
      <c r="BG186" s="37"/>
      <c r="BH186" s="38"/>
      <c r="BI186" s="36"/>
      <c r="BJ186" s="36"/>
      <c r="BK186" s="36"/>
      <c r="BL186" s="36"/>
    </row>
    <row r="187" spans="1:64">
      <c r="A187" s="21" t="str">
        <f t="shared" si="16"/>
        <v>DMTOH_V_AD_PROMOTION2.당월실적_B2B금년</v>
      </c>
      <c r="B187" s="18"/>
      <c r="C187" s="18"/>
      <c r="D187" s="18"/>
      <c r="E187" s="18"/>
      <c r="F187" s="18"/>
      <c r="G187" s="18" t="s">
        <v>10</v>
      </c>
      <c r="H187" s="18" t="s">
        <v>127</v>
      </c>
      <c r="I187" s="18" t="s">
        <v>119</v>
      </c>
      <c r="J187" s="21" t="s">
        <v>73</v>
      </c>
      <c r="K187" s="20"/>
      <c r="L187" s="35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7"/>
      <c r="X187" s="35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7"/>
      <c r="AJ187" s="35"/>
      <c r="AK187" s="36"/>
      <c r="AL187" s="36"/>
      <c r="AM187" s="36"/>
      <c r="AN187" s="36"/>
      <c r="AO187" s="36"/>
      <c r="AP187" s="36"/>
      <c r="AQ187" s="36"/>
      <c r="AR187" s="36"/>
      <c r="AS187" s="36"/>
      <c r="AT187" s="36"/>
      <c r="AU187" s="37"/>
      <c r="AV187" s="35"/>
      <c r="AW187" s="36"/>
      <c r="AX187" s="36"/>
      <c r="AY187" s="36"/>
      <c r="AZ187" s="36"/>
      <c r="BA187" s="36"/>
      <c r="BB187" s="36"/>
      <c r="BC187" s="36"/>
      <c r="BD187" s="36"/>
      <c r="BE187" s="36"/>
      <c r="BF187" s="36"/>
      <c r="BG187" s="37"/>
      <c r="BH187" s="38"/>
      <c r="BI187" s="36"/>
      <c r="BJ187" s="36"/>
      <c r="BK187" s="36"/>
      <c r="BL187" s="36"/>
    </row>
    <row r="188" spans="1:64">
      <c r="A188" s="21" t="str">
        <f t="shared" si="16"/>
        <v>DMTOH_V_AD_PROMOTION2.당월실적_B2B전년</v>
      </c>
      <c r="B188" s="18"/>
      <c r="C188" s="18"/>
      <c r="D188" s="18"/>
      <c r="E188" s="18"/>
      <c r="F188" s="18"/>
      <c r="G188" s="18" t="s">
        <v>10</v>
      </c>
      <c r="H188" s="18" t="s">
        <v>127</v>
      </c>
      <c r="I188" s="18" t="s">
        <v>119</v>
      </c>
      <c r="J188" s="34" t="s">
        <v>57</v>
      </c>
      <c r="K188" s="20"/>
      <c r="L188" s="35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7"/>
      <c r="X188" s="35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7"/>
      <c r="AJ188" s="35"/>
      <c r="AK188" s="36"/>
      <c r="AL188" s="36"/>
      <c r="AM188" s="36"/>
      <c r="AN188" s="36"/>
      <c r="AO188" s="36"/>
      <c r="AP188" s="36"/>
      <c r="AQ188" s="36"/>
      <c r="AR188" s="36"/>
      <c r="AS188" s="36"/>
      <c r="AT188" s="36"/>
      <c r="AU188" s="37"/>
      <c r="AV188" s="35"/>
      <c r="AW188" s="36"/>
      <c r="AX188" s="36"/>
      <c r="AY188" s="36"/>
      <c r="AZ188" s="36"/>
      <c r="BA188" s="36"/>
      <c r="BB188" s="36"/>
      <c r="BC188" s="36"/>
      <c r="BD188" s="36"/>
      <c r="BE188" s="36"/>
      <c r="BF188" s="36"/>
      <c r="BG188" s="37"/>
      <c r="BH188" s="38"/>
      <c r="BI188" s="36"/>
      <c r="BJ188" s="36"/>
      <c r="BK188" s="36"/>
      <c r="BL188" s="36"/>
    </row>
    <row r="189" spans="1:64">
      <c r="A189" s="21" t="str">
        <f t="shared" si="16"/>
        <v>DTTOH_V_AD_PROMOTION2.당월실적_B2B금년</v>
      </c>
      <c r="B189" s="18"/>
      <c r="C189" s="18"/>
      <c r="D189" s="18"/>
      <c r="E189" s="18"/>
      <c r="F189" s="18"/>
      <c r="G189" s="18" t="s">
        <v>118</v>
      </c>
      <c r="H189" s="18" t="s">
        <v>127</v>
      </c>
      <c r="I189" s="18" t="s">
        <v>119</v>
      </c>
      <c r="J189" s="21" t="s">
        <v>73</v>
      </c>
      <c r="K189" s="20"/>
      <c r="L189" s="35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7"/>
      <c r="X189" s="35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7"/>
      <c r="AJ189" s="35"/>
      <c r="AK189" s="36"/>
      <c r="AL189" s="36"/>
      <c r="AM189" s="36"/>
      <c r="AN189" s="36"/>
      <c r="AO189" s="36"/>
      <c r="AP189" s="36"/>
      <c r="AQ189" s="36"/>
      <c r="AR189" s="36"/>
      <c r="AS189" s="36"/>
      <c r="AT189" s="36"/>
      <c r="AU189" s="37"/>
      <c r="AV189" s="35"/>
      <c r="AW189" s="36"/>
      <c r="AX189" s="36"/>
      <c r="AY189" s="36"/>
      <c r="AZ189" s="36"/>
      <c r="BA189" s="36"/>
      <c r="BB189" s="36"/>
      <c r="BC189" s="36"/>
      <c r="BD189" s="36"/>
      <c r="BE189" s="36"/>
      <c r="BF189" s="36"/>
      <c r="BG189" s="37"/>
      <c r="BH189" s="38"/>
      <c r="BI189" s="36"/>
      <c r="BJ189" s="36"/>
      <c r="BK189" s="36"/>
      <c r="BL189" s="36"/>
    </row>
    <row r="190" spans="1:64">
      <c r="A190" s="21" t="str">
        <f t="shared" si="16"/>
        <v>DTTOH_V_AD_PROMOTION2.당월실적_B2B전년</v>
      </c>
      <c r="B190" s="18"/>
      <c r="C190" s="18"/>
      <c r="D190" s="18"/>
      <c r="E190" s="18"/>
      <c r="F190" s="18"/>
      <c r="G190" s="18" t="s">
        <v>118</v>
      </c>
      <c r="H190" s="18" t="s">
        <v>127</v>
      </c>
      <c r="I190" s="18" t="s">
        <v>119</v>
      </c>
      <c r="J190" s="34" t="s">
        <v>57</v>
      </c>
      <c r="K190" s="20"/>
      <c r="L190" s="35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7"/>
      <c r="X190" s="35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7"/>
      <c r="AJ190" s="35"/>
      <c r="AK190" s="36"/>
      <c r="AL190" s="36"/>
      <c r="AM190" s="36"/>
      <c r="AN190" s="36"/>
      <c r="AO190" s="36"/>
      <c r="AP190" s="36"/>
      <c r="AQ190" s="36"/>
      <c r="AR190" s="36"/>
      <c r="AS190" s="36"/>
      <c r="AT190" s="36"/>
      <c r="AU190" s="37"/>
      <c r="AV190" s="35"/>
      <c r="AW190" s="36"/>
      <c r="AX190" s="36"/>
      <c r="AY190" s="36"/>
      <c r="AZ190" s="36"/>
      <c r="BA190" s="36"/>
      <c r="BB190" s="36"/>
      <c r="BC190" s="36"/>
      <c r="BD190" s="36"/>
      <c r="BE190" s="36"/>
      <c r="BF190" s="36"/>
      <c r="BG190" s="37"/>
      <c r="BH190" s="38"/>
      <c r="BI190" s="36"/>
      <c r="BJ190" s="36"/>
      <c r="BK190" s="36"/>
      <c r="BL190" s="36"/>
    </row>
    <row r="191" spans="1:64">
      <c r="A191" s="21" t="str">
        <f t="shared" si="16"/>
        <v>PGTOH_V_AD_PROMOTION2.당월실적_B2B금년</v>
      </c>
      <c r="B191" s="18"/>
      <c r="C191" s="18"/>
      <c r="D191" s="18"/>
      <c r="E191" s="18"/>
      <c r="F191" s="18"/>
      <c r="G191" s="18" t="s">
        <v>19</v>
      </c>
      <c r="H191" s="18" t="s">
        <v>127</v>
      </c>
      <c r="I191" s="18" t="s">
        <v>119</v>
      </c>
      <c r="J191" s="21" t="s">
        <v>73</v>
      </c>
      <c r="K191" s="20"/>
      <c r="L191" s="35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7"/>
      <c r="X191" s="35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7"/>
      <c r="AJ191" s="35"/>
      <c r="AK191" s="36"/>
      <c r="AL191" s="36"/>
      <c r="AM191" s="36"/>
      <c r="AN191" s="36"/>
      <c r="AO191" s="36"/>
      <c r="AP191" s="36"/>
      <c r="AQ191" s="36"/>
      <c r="AR191" s="36"/>
      <c r="AS191" s="36"/>
      <c r="AT191" s="36"/>
      <c r="AU191" s="37"/>
      <c r="AV191" s="35"/>
      <c r="AW191" s="36"/>
      <c r="AX191" s="36"/>
      <c r="AY191" s="36"/>
      <c r="AZ191" s="36"/>
      <c r="BA191" s="36"/>
      <c r="BB191" s="36"/>
      <c r="BC191" s="36"/>
      <c r="BD191" s="36"/>
      <c r="BE191" s="36"/>
      <c r="BF191" s="36"/>
      <c r="BG191" s="37"/>
      <c r="BH191" s="38"/>
      <c r="BI191" s="36"/>
      <c r="BJ191" s="36"/>
      <c r="BK191" s="36"/>
      <c r="BL191" s="36"/>
    </row>
    <row r="192" spans="1:64">
      <c r="A192" s="21" t="str">
        <f t="shared" si="16"/>
        <v>PGTOH_V_AD_PROMOTION2.당월실적_B2B전년</v>
      </c>
      <c r="B192" s="18"/>
      <c r="C192" s="18"/>
      <c r="D192" s="18"/>
      <c r="E192" s="18"/>
      <c r="F192" s="18"/>
      <c r="G192" s="18" t="s">
        <v>19</v>
      </c>
      <c r="H192" s="18" t="s">
        <v>127</v>
      </c>
      <c r="I192" s="18" t="s">
        <v>119</v>
      </c>
      <c r="J192" s="34" t="s">
        <v>57</v>
      </c>
      <c r="K192" s="20"/>
      <c r="L192" s="35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7"/>
      <c r="X192" s="35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7"/>
      <c r="AJ192" s="35"/>
      <c r="AK192" s="36"/>
      <c r="AL192" s="36"/>
      <c r="AM192" s="36"/>
      <c r="AN192" s="36"/>
      <c r="AO192" s="36"/>
      <c r="AP192" s="36"/>
      <c r="AQ192" s="36"/>
      <c r="AR192" s="36"/>
      <c r="AS192" s="36"/>
      <c r="AT192" s="36"/>
      <c r="AU192" s="37"/>
      <c r="AV192" s="35"/>
      <c r="AW192" s="36"/>
      <c r="AX192" s="36"/>
      <c r="AY192" s="36"/>
      <c r="AZ192" s="36"/>
      <c r="BA192" s="36"/>
      <c r="BB192" s="36"/>
      <c r="BC192" s="36"/>
      <c r="BD192" s="36"/>
      <c r="BE192" s="36"/>
      <c r="BF192" s="36"/>
      <c r="BG192" s="37"/>
      <c r="BH192" s="38"/>
      <c r="BI192" s="36"/>
      <c r="BJ192" s="36"/>
      <c r="BK192" s="36"/>
      <c r="BL192" s="36"/>
    </row>
    <row r="193" spans="1:64">
      <c r="A193" s="17"/>
      <c r="K193" s="20"/>
    </row>
    <row r="194" spans="1:64">
      <c r="A194" s="21" t="str">
        <f t="shared" ref="A194:A213" si="17">TRIM(B194)&amp;TRIM(C194)&amp;TRIM(D194)&amp;TRIM(E194)&amp;TRIM(F194)&amp;TRIM(G194)&amp;TRIM(H194)&amp;TRIM(I194)&amp;TRIM(J194)</f>
        <v>GLTOH_V_TRANS2.당월실적_B2C금년</v>
      </c>
      <c r="B194" s="18"/>
      <c r="C194" s="18"/>
      <c r="D194" s="18"/>
      <c r="E194" s="18"/>
      <c r="F194" s="18"/>
      <c r="G194" s="18" t="s">
        <v>13</v>
      </c>
      <c r="H194" s="18" t="s">
        <v>128</v>
      </c>
      <c r="I194" s="18" t="s">
        <v>78</v>
      </c>
      <c r="J194" s="21" t="s">
        <v>73</v>
      </c>
      <c r="K194" s="20"/>
      <c r="L194" s="35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7"/>
      <c r="X194" s="35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7"/>
      <c r="AJ194" s="35"/>
      <c r="AK194" s="36"/>
      <c r="AL194" s="36"/>
      <c r="AM194" s="36"/>
      <c r="AN194" s="36"/>
      <c r="AO194" s="36"/>
      <c r="AP194" s="36"/>
      <c r="AQ194" s="36"/>
      <c r="AR194" s="36"/>
      <c r="AS194" s="36"/>
      <c r="AT194" s="36"/>
      <c r="AU194" s="37"/>
      <c r="AV194" s="35"/>
      <c r="AW194" s="36"/>
      <c r="AX194" s="36"/>
      <c r="AY194" s="36"/>
      <c r="AZ194" s="36"/>
      <c r="BA194" s="36"/>
      <c r="BB194" s="36"/>
      <c r="BC194" s="36"/>
      <c r="BD194" s="36"/>
      <c r="BE194" s="36"/>
      <c r="BF194" s="36"/>
      <c r="BG194" s="37"/>
      <c r="BH194" s="38"/>
      <c r="BI194" s="36"/>
      <c r="BJ194" s="36"/>
      <c r="BK194" s="36"/>
      <c r="BL194" s="36"/>
    </row>
    <row r="195" spans="1:64">
      <c r="A195" s="21" t="str">
        <f t="shared" si="17"/>
        <v>GLTOH_V_TRANS2.당월실적_B2C전년</v>
      </c>
      <c r="B195" s="18"/>
      <c r="C195" s="18"/>
      <c r="D195" s="18"/>
      <c r="E195" s="18"/>
      <c r="F195" s="18"/>
      <c r="G195" s="18" t="s">
        <v>13</v>
      </c>
      <c r="H195" s="18" t="s">
        <v>128</v>
      </c>
      <c r="I195" s="18" t="s">
        <v>78</v>
      </c>
      <c r="J195" s="34" t="s">
        <v>57</v>
      </c>
      <c r="K195" s="20"/>
      <c r="L195" s="35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7"/>
      <c r="X195" s="35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7"/>
      <c r="AJ195" s="35"/>
      <c r="AK195" s="36"/>
      <c r="AL195" s="36"/>
      <c r="AM195" s="36"/>
      <c r="AN195" s="36"/>
      <c r="AO195" s="36"/>
      <c r="AP195" s="36"/>
      <c r="AQ195" s="36"/>
      <c r="AR195" s="36"/>
      <c r="AS195" s="36"/>
      <c r="AT195" s="36"/>
      <c r="AU195" s="37"/>
      <c r="AV195" s="35"/>
      <c r="AW195" s="36"/>
      <c r="AX195" s="36"/>
      <c r="AY195" s="36"/>
      <c r="AZ195" s="36"/>
      <c r="BA195" s="36"/>
      <c r="BB195" s="36"/>
      <c r="BC195" s="36"/>
      <c r="BD195" s="36"/>
      <c r="BE195" s="36"/>
      <c r="BF195" s="36"/>
      <c r="BG195" s="37"/>
      <c r="BH195" s="38"/>
      <c r="BI195" s="36"/>
      <c r="BJ195" s="36"/>
      <c r="BK195" s="36"/>
      <c r="BL195" s="36"/>
    </row>
    <row r="196" spans="1:64">
      <c r="A196" s="21" t="str">
        <f t="shared" si="17"/>
        <v>GTTOH_V_TRANS2.당월실적_B2C금년</v>
      </c>
      <c r="B196" s="18"/>
      <c r="C196" s="18"/>
      <c r="D196" s="18"/>
      <c r="E196" s="18"/>
      <c r="F196" s="18"/>
      <c r="G196" s="18" t="s">
        <v>15</v>
      </c>
      <c r="H196" s="18" t="s">
        <v>128</v>
      </c>
      <c r="I196" s="18" t="s">
        <v>78</v>
      </c>
      <c r="J196" s="21" t="s">
        <v>73</v>
      </c>
      <c r="K196" s="20"/>
      <c r="L196" s="35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7"/>
      <c r="X196" s="35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7"/>
      <c r="AJ196" s="35"/>
      <c r="AK196" s="36"/>
      <c r="AL196" s="36"/>
      <c r="AM196" s="36"/>
      <c r="AN196" s="36"/>
      <c r="AO196" s="36"/>
      <c r="AP196" s="36"/>
      <c r="AQ196" s="36"/>
      <c r="AR196" s="36"/>
      <c r="AS196" s="36"/>
      <c r="AT196" s="36"/>
      <c r="AU196" s="37"/>
      <c r="AV196" s="35"/>
      <c r="AW196" s="36"/>
      <c r="AX196" s="36"/>
      <c r="AY196" s="36"/>
      <c r="AZ196" s="36"/>
      <c r="BA196" s="36"/>
      <c r="BB196" s="36"/>
      <c r="BC196" s="36"/>
      <c r="BD196" s="36"/>
      <c r="BE196" s="36"/>
      <c r="BF196" s="36"/>
      <c r="BG196" s="37"/>
      <c r="BH196" s="38"/>
      <c r="BI196" s="36"/>
      <c r="BJ196" s="36"/>
      <c r="BK196" s="36"/>
      <c r="BL196" s="36"/>
    </row>
    <row r="197" spans="1:64">
      <c r="A197" s="21" t="str">
        <f t="shared" si="17"/>
        <v>GTTOH_V_TRANS2.당월실적_B2C전년</v>
      </c>
      <c r="B197" s="18"/>
      <c r="C197" s="18"/>
      <c r="D197" s="18"/>
      <c r="E197" s="18"/>
      <c r="F197" s="18"/>
      <c r="G197" s="18" t="s">
        <v>15</v>
      </c>
      <c r="H197" s="18" t="s">
        <v>128</v>
      </c>
      <c r="I197" s="18" t="s">
        <v>78</v>
      </c>
      <c r="J197" s="34" t="s">
        <v>57</v>
      </c>
      <c r="K197" s="20"/>
      <c r="L197" s="35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7"/>
      <c r="X197" s="35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7"/>
      <c r="AJ197" s="35"/>
      <c r="AK197" s="36"/>
      <c r="AL197" s="36"/>
      <c r="AM197" s="36"/>
      <c r="AN197" s="36"/>
      <c r="AO197" s="36"/>
      <c r="AP197" s="36"/>
      <c r="AQ197" s="36"/>
      <c r="AR197" s="36"/>
      <c r="AS197" s="36"/>
      <c r="AT197" s="36"/>
      <c r="AU197" s="37"/>
      <c r="AV197" s="35"/>
      <c r="AW197" s="36"/>
      <c r="AX197" s="36"/>
      <c r="AY197" s="36"/>
      <c r="AZ197" s="36"/>
      <c r="BA197" s="36"/>
      <c r="BB197" s="36"/>
      <c r="BC197" s="36"/>
      <c r="BD197" s="36"/>
      <c r="BE197" s="36"/>
      <c r="BF197" s="36"/>
      <c r="BG197" s="37"/>
      <c r="BH197" s="38"/>
      <c r="BI197" s="36"/>
      <c r="BJ197" s="36"/>
      <c r="BK197" s="36"/>
      <c r="BL197" s="36"/>
    </row>
    <row r="198" spans="1:64">
      <c r="A198" s="21" t="str">
        <f t="shared" si="17"/>
        <v>PNTOH_V_TRANS2.당월실적_B2C금년</v>
      </c>
      <c r="B198" s="18"/>
      <c r="C198" s="18"/>
      <c r="D198" s="18"/>
      <c r="E198" s="18"/>
      <c r="F198" s="18"/>
      <c r="G198" s="18" t="s">
        <v>17</v>
      </c>
      <c r="H198" s="18" t="s">
        <v>128</v>
      </c>
      <c r="I198" s="18" t="s">
        <v>78</v>
      </c>
      <c r="J198" s="21" t="s">
        <v>73</v>
      </c>
      <c r="K198" s="20"/>
      <c r="L198" s="35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7"/>
      <c r="X198" s="35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7"/>
      <c r="AJ198" s="35"/>
      <c r="AK198" s="36"/>
      <c r="AL198" s="36"/>
      <c r="AM198" s="36"/>
      <c r="AN198" s="36"/>
      <c r="AO198" s="36"/>
      <c r="AP198" s="36"/>
      <c r="AQ198" s="36"/>
      <c r="AR198" s="36"/>
      <c r="AS198" s="36"/>
      <c r="AT198" s="36"/>
      <c r="AU198" s="37"/>
      <c r="AV198" s="35"/>
      <c r="AW198" s="36"/>
      <c r="AX198" s="36"/>
      <c r="AY198" s="36"/>
      <c r="AZ198" s="36"/>
      <c r="BA198" s="36"/>
      <c r="BB198" s="36"/>
      <c r="BC198" s="36"/>
      <c r="BD198" s="36"/>
      <c r="BE198" s="36"/>
      <c r="BF198" s="36"/>
      <c r="BG198" s="37"/>
      <c r="BH198" s="38"/>
      <c r="BI198" s="36"/>
      <c r="BJ198" s="36"/>
      <c r="BK198" s="36"/>
      <c r="BL198" s="36"/>
    </row>
    <row r="199" spans="1:64">
      <c r="A199" s="21" t="str">
        <f t="shared" si="17"/>
        <v>PNTOH_V_TRANS2.당월실적_B2C전년</v>
      </c>
      <c r="B199" s="18"/>
      <c r="C199" s="18"/>
      <c r="D199" s="18"/>
      <c r="E199" s="18"/>
      <c r="F199" s="18"/>
      <c r="G199" s="18" t="s">
        <v>17</v>
      </c>
      <c r="H199" s="18" t="s">
        <v>128</v>
      </c>
      <c r="I199" s="18" t="s">
        <v>78</v>
      </c>
      <c r="J199" s="34" t="s">
        <v>57</v>
      </c>
      <c r="K199" s="20"/>
      <c r="L199" s="35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7"/>
      <c r="X199" s="35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7"/>
      <c r="AJ199" s="35"/>
      <c r="AK199" s="36"/>
      <c r="AL199" s="36"/>
      <c r="AM199" s="36"/>
      <c r="AN199" s="36"/>
      <c r="AO199" s="36"/>
      <c r="AP199" s="36"/>
      <c r="AQ199" s="36"/>
      <c r="AR199" s="36"/>
      <c r="AS199" s="36"/>
      <c r="AT199" s="36"/>
      <c r="AU199" s="37"/>
      <c r="AV199" s="35"/>
      <c r="AW199" s="36"/>
      <c r="AX199" s="36"/>
      <c r="AY199" s="36"/>
      <c r="AZ199" s="36"/>
      <c r="BA199" s="36"/>
      <c r="BB199" s="36"/>
      <c r="BC199" s="36"/>
      <c r="BD199" s="36"/>
      <c r="BE199" s="36"/>
      <c r="BF199" s="36"/>
      <c r="BG199" s="37"/>
      <c r="BH199" s="38"/>
      <c r="BI199" s="36"/>
      <c r="BJ199" s="36"/>
      <c r="BK199" s="36"/>
      <c r="BL199" s="36"/>
    </row>
    <row r="200" spans="1:64">
      <c r="A200" s="21" t="str">
        <f t="shared" si="17"/>
        <v>MSTOH_V_TRANS2.당월실적_B2C금년</v>
      </c>
      <c r="B200" s="18"/>
      <c r="C200" s="18"/>
      <c r="D200" s="18"/>
      <c r="E200" s="18"/>
      <c r="F200" s="18"/>
      <c r="G200" s="18" t="s">
        <v>16</v>
      </c>
      <c r="H200" s="18" t="s">
        <v>128</v>
      </c>
      <c r="I200" s="18" t="s">
        <v>78</v>
      </c>
      <c r="J200" s="21" t="s">
        <v>73</v>
      </c>
      <c r="K200" s="20"/>
      <c r="L200" s="35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7"/>
      <c r="X200" s="35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7"/>
      <c r="AJ200" s="35"/>
      <c r="AK200" s="36"/>
      <c r="AL200" s="36"/>
      <c r="AM200" s="36"/>
      <c r="AN200" s="36"/>
      <c r="AO200" s="36"/>
      <c r="AP200" s="36"/>
      <c r="AQ200" s="36"/>
      <c r="AR200" s="36"/>
      <c r="AS200" s="36"/>
      <c r="AT200" s="36"/>
      <c r="AU200" s="37"/>
      <c r="AV200" s="35"/>
      <c r="AW200" s="36"/>
      <c r="AX200" s="36"/>
      <c r="AY200" s="36"/>
      <c r="AZ200" s="36"/>
      <c r="BA200" s="36"/>
      <c r="BB200" s="36"/>
      <c r="BC200" s="36"/>
      <c r="BD200" s="36"/>
      <c r="BE200" s="36"/>
      <c r="BF200" s="36"/>
      <c r="BG200" s="37"/>
      <c r="BH200" s="38"/>
      <c r="BI200" s="36"/>
      <c r="BJ200" s="36"/>
      <c r="BK200" s="36"/>
      <c r="BL200" s="36"/>
    </row>
    <row r="201" spans="1:64">
      <c r="A201" s="21" t="str">
        <f t="shared" si="17"/>
        <v>MSTOH_V_TRANS2.당월실적_B2C전년</v>
      </c>
      <c r="B201" s="18"/>
      <c r="C201" s="18"/>
      <c r="D201" s="18"/>
      <c r="E201" s="18"/>
      <c r="F201" s="18"/>
      <c r="G201" s="18" t="s">
        <v>16</v>
      </c>
      <c r="H201" s="18" t="s">
        <v>128</v>
      </c>
      <c r="I201" s="18" t="s">
        <v>78</v>
      </c>
      <c r="J201" s="34" t="s">
        <v>57</v>
      </c>
      <c r="K201" s="20"/>
      <c r="L201" s="35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7"/>
      <c r="X201" s="35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7"/>
      <c r="AJ201" s="35"/>
      <c r="AK201" s="36"/>
      <c r="AL201" s="36"/>
      <c r="AM201" s="36"/>
      <c r="AN201" s="36"/>
      <c r="AO201" s="36"/>
      <c r="AP201" s="36"/>
      <c r="AQ201" s="36"/>
      <c r="AR201" s="36"/>
      <c r="AS201" s="36"/>
      <c r="AT201" s="36"/>
      <c r="AU201" s="37"/>
      <c r="AV201" s="35"/>
      <c r="AW201" s="36"/>
      <c r="AX201" s="36"/>
      <c r="AY201" s="36"/>
      <c r="AZ201" s="36"/>
      <c r="BA201" s="36"/>
      <c r="BB201" s="36"/>
      <c r="BC201" s="36"/>
      <c r="BD201" s="36"/>
      <c r="BE201" s="36"/>
      <c r="BF201" s="36"/>
      <c r="BG201" s="37"/>
      <c r="BH201" s="38"/>
      <c r="BI201" s="36"/>
      <c r="BJ201" s="36"/>
      <c r="BK201" s="36"/>
      <c r="BL201" s="36"/>
    </row>
    <row r="202" spans="1:64">
      <c r="A202" s="21" t="str">
        <f t="shared" si="17"/>
        <v>CNTOH_V_TRANS2.당월실적_B2C금년</v>
      </c>
      <c r="B202" s="18"/>
      <c r="C202" s="18"/>
      <c r="D202" s="18"/>
      <c r="E202" s="18"/>
      <c r="F202" s="18"/>
      <c r="G202" s="18" t="s">
        <v>7</v>
      </c>
      <c r="H202" s="18" t="s">
        <v>128</v>
      </c>
      <c r="I202" s="18" t="s">
        <v>78</v>
      </c>
      <c r="J202" s="21" t="s">
        <v>73</v>
      </c>
      <c r="K202" s="20"/>
      <c r="L202" s="35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7"/>
      <c r="X202" s="35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7"/>
      <c r="AJ202" s="35"/>
      <c r="AK202" s="36"/>
      <c r="AL202" s="36"/>
      <c r="AM202" s="36"/>
      <c r="AN202" s="36"/>
      <c r="AO202" s="36"/>
      <c r="AP202" s="36"/>
      <c r="AQ202" s="36"/>
      <c r="AR202" s="36"/>
      <c r="AS202" s="36"/>
      <c r="AT202" s="36"/>
      <c r="AU202" s="37"/>
      <c r="AV202" s="35"/>
      <c r="AW202" s="36"/>
      <c r="AX202" s="36"/>
      <c r="AY202" s="36"/>
      <c r="AZ202" s="36"/>
      <c r="BA202" s="36"/>
      <c r="BB202" s="36"/>
      <c r="BC202" s="36"/>
      <c r="BD202" s="36"/>
      <c r="BE202" s="36"/>
      <c r="BF202" s="36"/>
      <c r="BG202" s="37"/>
      <c r="BH202" s="38"/>
      <c r="BI202" s="36"/>
      <c r="BJ202" s="36"/>
      <c r="BK202" s="36"/>
      <c r="BL202" s="36"/>
    </row>
    <row r="203" spans="1:64">
      <c r="A203" s="21" t="str">
        <f t="shared" si="17"/>
        <v>CNTOH_V_TRANS2.당월실적_B2C전년</v>
      </c>
      <c r="B203" s="18"/>
      <c r="C203" s="18"/>
      <c r="D203" s="18"/>
      <c r="E203" s="18"/>
      <c r="F203" s="18"/>
      <c r="G203" s="18" t="s">
        <v>7</v>
      </c>
      <c r="H203" s="18" t="s">
        <v>128</v>
      </c>
      <c r="I203" s="18" t="s">
        <v>78</v>
      </c>
      <c r="J203" s="34" t="s">
        <v>57</v>
      </c>
      <c r="K203" s="20"/>
      <c r="L203" s="35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7"/>
      <c r="X203" s="35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7"/>
      <c r="AJ203" s="35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7"/>
      <c r="AV203" s="35"/>
      <c r="AW203" s="36"/>
      <c r="AX203" s="36"/>
      <c r="AY203" s="36"/>
      <c r="AZ203" s="36"/>
      <c r="BA203" s="36"/>
      <c r="BB203" s="36"/>
      <c r="BC203" s="36"/>
      <c r="BD203" s="36"/>
      <c r="BE203" s="36"/>
      <c r="BF203" s="36"/>
      <c r="BG203" s="37"/>
      <c r="BH203" s="38"/>
      <c r="BI203" s="36"/>
      <c r="BJ203" s="36"/>
      <c r="BK203" s="36"/>
      <c r="BL203" s="36"/>
    </row>
    <row r="204" spans="1:64">
      <c r="A204" s="21" t="str">
        <f t="shared" si="17"/>
        <v>DFTOH_V_TRANS2.당월실적_B2C금년</v>
      </c>
      <c r="B204" s="18"/>
      <c r="C204" s="18"/>
      <c r="D204" s="18"/>
      <c r="E204" s="18"/>
      <c r="F204" s="18"/>
      <c r="G204" s="18" t="s">
        <v>8</v>
      </c>
      <c r="H204" s="18" t="s">
        <v>128</v>
      </c>
      <c r="I204" s="18" t="str">
        <f t="shared" ref="I204:I213" si="18">I194</f>
        <v>2.당월실적_B2C</v>
      </c>
      <c r="J204" s="21" t="s">
        <v>73</v>
      </c>
      <c r="K204" s="20"/>
      <c r="L204" s="35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7"/>
      <c r="X204" s="35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7"/>
      <c r="AJ204" s="35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7"/>
      <c r="AV204" s="35"/>
      <c r="AW204" s="36"/>
      <c r="AX204" s="36"/>
      <c r="AY204" s="36"/>
      <c r="AZ204" s="36"/>
      <c r="BA204" s="36"/>
      <c r="BB204" s="36"/>
      <c r="BC204" s="36"/>
      <c r="BD204" s="36"/>
      <c r="BE204" s="36"/>
      <c r="BF204" s="36"/>
      <c r="BG204" s="37"/>
      <c r="BH204" s="38"/>
      <c r="BI204" s="36"/>
      <c r="BJ204" s="36"/>
      <c r="BK204" s="36"/>
      <c r="BL204" s="36"/>
    </row>
    <row r="205" spans="1:64">
      <c r="A205" s="21" t="str">
        <f t="shared" si="17"/>
        <v>DFTOH_V_TRANS2.당월실적_B2C전년</v>
      </c>
      <c r="B205" s="18"/>
      <c r="C205" s="18"/>
      <c r="D205" s="18"/>
      <c r="E205" s="18"/>
      <c r="F205" s="18"/>
      <c r="G205" s="18" t="s">
        <v>8</v>
      </c>
      <c r="H205" s="18" t="s">
        <v>128</v>
      </c>
      <c r="I205" s="18" t="str">
        <f t="shared" si="18"/>
        <v>2.당월실적_B2C</v>
      </c>
      <c r="J205" s="34" t="s">
        <v>57</v>
      </c>
      <c r="K205" s="20"/>
      <c r="L205" s="35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7"/>
      <c r="X205" s="35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7"/>
      <c r="AJ205" s="35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7"/>
      <c r="AV205" s="35"/>
      <c r="AW205" s="36"/>
      <c r="AX205" s="36"/>
      <c r="AY205" s="36"/>
      <c r="AZ205" s="36"/>
      <c r="BA205" s="36"/>
      <c r="BB205" s="36"/>
      <c r="BC205" s="36"/>
      <c r="BD205" s="36"/>
      <c r="BE205" s="36"/>
      <c r="BF205" s="36"/>
      <c r="BG205" s="37"/>
      <c r="BH205" s="38"/>
      <c r="BI205" s="36"/>
      <c r="BJ205" s="36"/>
      <c r="BK205" s="36"/>
      <c r="BL205" s="36"/>
    </row>
    <row r="206" spans="1:64">
      <c r="A206" s="21" t="str">
        <f t="shared" si="17"/>
        <v>DGTOH_V_TRANS2.당월실적_B2C금년</v>
      </c>
      <c r="B206" s="18"/>
      <c r="C206" s="18"/>
      <c r="D206" s="18"/>
      <c r="E206" s="18"/>
      <c r="F206" s="18"/>
      <c r="G206" s="18" t="s">
        <v>9</v>
      </c>
      <c r="H206" s="18" t="s">
        <v>128</v>
      </c>
      <c r="I206" s="18" t="str">
        <f t="shared" si="18"/>
        <v>2.당월실적_B2C</v>
      </c>
      <c r="J206" s="21" t="s">
        <v>73</v>
      </c>
      <c r="K206" s="20"/>
      <c r="L206" s="35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7"/>
      <c r="X206" s="35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7"/>
      <c r="AJ206" s="35"/>
      <c r="AK206" s="36"/>
      <c r="AL206" s="36"/>
      <c r="AM206" s="36"/>
      <c r="AN206" s="36"/>
      <c r="AO206" s="36"/>
      <c r="AP206" s="36"/>
      <c r="AQ206" s="36"/>
      <c r="AR206" s="36"/>
      <c r="AS206" s="36"/>
      <c r="AT206" s="36"/>
      <c r="AU206" s="37"/>
      <c r="AV206" s="35"/>
      <c r="AW206" s="36"/>
      <c r="AX206" s="36"/>
      <c r="AY206" s="36"/>
      <c r="AZ206" s="36"/>
      <c r="BA206" s="36"/>
      <c r="BB206" s="36"/>
      <c r="BC206" s="36"/>
      <c r="BD206" s="36"/>
      <c r="BE206" s="36"/>
      <c r="BF206" s="36"/>
      <c r="BG206" s="37"/>
      <c r="BH206" s="38"/>
      <c r="BI206" s="36"/>
      <c r="BJ206" s="36"/>
      <c r="BK206" s="36"/>
      <c r="BL206" s="36"/>
    </row>
    <row r="207" spans="1:64">
      <c r="A207" s="21" t="str">
        <f t="shared" si="17"/>
        <v>DGTOH_V_TRANS2.당월실적_B2C전년</v>
      </c>
      <c r="B207" s="18"/>
      <c r="C207" s="18"/>
      <c r="D207" s="18"/>
      <c r="E207" s="18"/>
      <c r="F207" s="18"/>
      <c r="G207" s="18" t="s">
        <v>9</v>
      </c>
      <c r="H207" s="18" t="s">
        <v>128</v>
      </c>
      <c r="I207" s="18" t="str">
        <f t="shared" si="18"/>
        <v>2.당월실적_B2C</v>
      </c>
      <c r="J207" s="34" t="s">
        <v>57</v>
      </c>
      <c r="K207" s="20"/>
      <c r="L207" s="35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7"/>
      <c r="X207" s="35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7"/>
      <c r="AJ207" s="35"/>
      <c r="AK207" s="36"/>
      <c r="AL207" s="36"/>
      <c r="AM207" s="36"/>
      <c r="AN207" s="36"/>
      <c r="AO207" s="36"/>
      <c r="AP207" s="36"/>
      <c r="AQ207" s="36"/>
      <c r="AR207" s="36"/>
      <c r="AS207" s="36"/>
      <c r="AT207" s="36"/>
      <c r="AU207" s="37"/>
      <c r="AV207" s="35"/>
      <c r="AW207" s="36"/>
      <c r="AX207" s="36"/>
      <c r="AY207" s="36"/>
      <c r="AZ207" s="36"/>
      <c r="BA207" s="36"/>
      <c r="BB207" s="36"/>
      <c r="BC207" s="36"/>
      <c r="BD207" s="36"/>
      <c r="BE207" s="36"/>
      <c r="BF207" s="36"/>
      <c r="BG207" s="37"/>
      <c r="BH207" s="38"/>
      <c r="BI207" s="36"/>
      <c r="BJ207" s="36"/>
      <c r="BK207" s="36"/>
      <c r="BL207" s="36"/>
    </row>
    <row r="208" spans="1:64">
      <c r="A208" s="21" t="str">
        <f t="shared" si="17"/>
        <v>PCTOH_V_TRANS2.당월실적_B2C금년</v>
      </c>
      <c r="B208" s="18"/>
      <c r="C208" s="18"/>
      <c r="D208" s="18"/>
      <c r="E208" s="18"/>
      <c r="F208" s="18"/>
      <c r="G208" s="18" t="s">
        <v>20</v>
      </c>
      <c r="H208" s="18" t="s">
        <v>128</v>
      </c>
      <c r="I208" s="18" t="str">
        <f t="shared" si="18"/>
        <v>2.당월실적_B2C</v>
      </c>
      <c r="J208" s="21" t="s">
        <v>73</v>
      </c>
      <c r="K208" s="20"/>
      <c r="L208" s="35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7"/>
      <c r="X208" s="35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7"/>
      <c r="AJ208" s="35"/>
      <c r="AK208" s="36"/>
      <c r="AL208" s="36"/>
      <c r="AM208" s="36"/>
      <c r="AN208" s="36"/>
      <c r="AO208" s="36"/>
      <c r="AP208" s="36"/>
      <c r="AQ208" s="36"/>
      <c r="AR208" s="36"/>
      <c r="AS208" s="36"/>
      <c r="AT208" s="36"/>
      <c r="AU208" s="37"/>
      <c r="AV208" s="35"/>
      <c r="AW208" s="36"/>
      <c r="AX208" s="36"/>
      <c r="AY208" s="36"/>
      <c r="AZ208" s="36"/>
      <c r="BA208" s="36"/>
      <c r="BB208" s="36"/>
      <c r="BC208" s="36"/>
      <c r="BD208" s="36"/>
      <c r="BE208" s="36"/>
      <c r="BF208" s="36"/>
      <c r="BG208" s="37"/>
      <c r="BH208" s="38"/>
      <c r="BI208" s="36"/>
      <c r="BJ208" s="36"/>
      <c r="BK208" s="36"/>
      <c r="BL208" s="36"/>
    </row>
    <row r="209" spans="1:64">
      <c r="A209" s="21" t="str">
        <f t="shared" si="17"/>
        <v>PCTOH_V_TRANS2.당월실적_B2C전년</v>
      </c>
      <c r="B209" s="18"/>
      <c r="C209" s="18"/>
      <c r="D209" s="18"/>
      <c r="E209" s="18"/>
      <c r="F209" s="18"/>
      <c r="G209" s="18" t="s">
        <v>20</v>
      </c>
      <c r="H209" s="18" t="s">
        <v>128</v>
      </c>
      <c r="I209" s="18" t="str">
        <f t="shared" si="18"/>
        <v>2.당월실적_B2C</v>
      </c>
      <c r="J209" s="34" t="s">
        <v>57</v>
      </c>
      <c r="K209" s="20"/>
      <c r="L209" s="35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7"/>
      <c r="X209" s="35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7"/>
      <c r="AJ209" s="35"/>
      <c r="AK209" s="36"/>
      <c r="AL209" s="36"/>
      <c r="AM209" s="36"/>
      <c r="AN209" s="36"/>
      <c r="AO209" s="36"/>
      <c r="AP209" s="36"/>
      <c r="AQ209" s="36"/>
      <c r="AR209" s="36"/>
      <c r="AS209" s="36"/>
      <c r="AT209" s="36"/>
      <c r="AU209" s="37"/>
      <c r="AV209" s="35"/>
      <c r="AW209" s="36"/>
      <c r="AX209" s="36"/>
      <c r="AY209" s="36"/>
      <c r="AZ209" s="36"/>
      <c r="BA209" s="36"/>
      <c r="BB209" s="36"/>
      <c r="BC209" s="36"/>
      <c r="BD209" s="36"/>
      <c r="BE209" s="36"/>
      <c r="BF209" s="36"/>
      <c r="BG209" s="37"/>
      <c r="BH209" s="38"/>
      <c r="BI209" s="36"/>
      <c r="BJ209" s="36"/>
      <c r="BK209" s="36"/>
      <c r="BL209" s="36"/>
    </row>
    <row r="210" spans="1:64">
      <c r="A210" s="21" t="str">
        <f t="shared" si="17"/>
        <v>PSTOH_V_TRANS2.당월실적_B2C금년</v>
      </c>
      <c r="B210" s="18"/>
      <c r="C210" s="18"/>
      <c r="D210" s="18"/>
      <c r="E210" s="18"/>
      <c r="F210" s="18"/>
      <c r="G210" s="18" t="s">
        <v>18</v>
      </c>
      <c r="H210" s="18" t="s">
        <v>128</v>
      </c>
      <c r="I210" s="18" t="str">
        <f t="shared" si="18"/>
        <v>2.당월실적_B2C</v>
      </c>
      <c r="J210" s="21" t="s">
        <v>73</v>
      </c>
      <c r="K210" s="20"/>
      <c r="L210" s="35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7"/>
      <c r="X210" s="35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7"/>
      <c r="AJ210" s="35"/>
      <c r="AK210" s="36"/>
      <c r="AL210" s="36"/>
      <c r="AM210" s="36"/>
      <c r="AN210" s="36"/>
      <c r="AO210" s="36"/>
      <c r="AP210" s="36"/>
      <c r="AQ210" s="36"/>
      <c r="AR210" s="36"/>
      <c r="AS210" s="36"/>
      <c r="AT210" s="36"/>
      <c r="AU210" s="37"/>
      <c r="AV210" s="35"/>
      <c r="AW210" s="36"/>
      <c r="AX210" s="36"/>
      <c r="AY210" s="36"/>
      <c r="AZ210" s="36"/>
      <c r="BA210" s="36"/>
      <c r="BB210" s="36"/>
      <c r="BC210" s="36"/>
      <c r="BD210" s="36"/>
      <c r="BE210" s="36"/>
      <c r="BF210" s="36"/>
      <c r="BG210" s="37"/>
      <c r="BH210" s="38"/>
      <c r="BI210" s="36"/>
      <c r="BJ210" s="36"/>
      <c r="BK210" s="36"/>
      <c r="BL210" s="36"/>
    </row>
    <row r="211" spans="1:64">
      <c r="A211" s="21" t="str">
        <f t="shared" si="17"/>
        <v>PSTOH_V_TRANS2.당월실적_B2C전년</v>
      </c>
      <c r="B211" s="18"/>
      <c r="C211" s="18"/>
      <c r="D211" s="18"/>
      <c r="E211" s="18"/>
      <c r="F211" s="18"/>
      <c r="G211" s="18" t="s">
        <v>18</v>
      </c>
      <c r="H211" s="18" t="s">
        <v>128</v>
      </c>
      <c r="I211" s="18" t="str">
        <f t="shared" si="18"/>
        <v>2.당월실적_B2C</v>
      </c>
      <c r="J211" s="34" t="s">
        <v>57</v>
      </c>
      <c r="K211" s="20"/>
      <c r="L211" s="35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7"/>
      <c r="X211" s="35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7"/>
      <c r="AJ211" s="35"/>
      <c r="AK211" s="36"/>
      <c r="AL211" s="36"/>
      <c r="AM211" s="36"/>
      <c r="AN211" s="36"/>
      <c r="AO211" s="36"/>
      <c r="AP211" s="36"/>
      <c r="AQ211" s="36"/>
      <c r="AR211" s="36"/>
      <c r="AS211" s="36"/>
      <c r="AT211" s="36"/>
      <c r="AU211" s="37"/>
      <c r="AV211" s="35"/>
      <c r="AW211" s="36"/>
      <c r="AX211" s="36"/>
      <c r="AY211" s="36"/>
      <c r="AZ211" s="36"/>
      <c r="BA211" s="36"/>
      <c r="BB211" s="36"/>
      <c r="BC211" s="36"/>
      <c r="BD211" s="36"/>
      <c r="BE211" s="36"/>
      <c r="BF211" s="36"/>
      <c r="BG211" s="37"/>
      <c r="BH211" s="38"/>
      <c r="BI211" s="36"/>
      <c r="BJ211" s="36"/>
      <c r="BK211" s="36"/>
      <c r="BL211" s="36"/>
    </row>
    <row r="212" spans="1:64">
      <c r="A212" s="21" t="str">
        <f t="shared" si="17"/>
        <v>DVTOH_V_TRANS2.당월실적_B2C금년</v>
      </c>
      <c r="B212" s="18"/>
      <c r="C212" s="18"/>
      <c r="D212" s="18"/>
      <c r="E212" s="18"/>
      <c r="F212" s="18"/>
      <c r="G212" s="18" t="s">
        <v>11</v>
      </c>
      <c r="H212" s="18" t="s">
        <v>128</v>
      </c>
      <c r="I212" s="18" t="str">
        <f t="shared" si="18"/>
        <v>2.당월실적_B2C</v>
      </c>
      <c r="J212" s="21" t="s">
        <v>73</v>
      </c>
      <c r="K212" s="20"/>
      <c r="L212" s="35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7"/>
      <c r="X212" s="35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7"/>
      <c r="AJ212" s="35"/>
      <c r="AK212" s="36"/>
      <c r="AL212" s="36"/>
      <c r="AM212" s="36"/>
      <c r="AN212" s="36"/>
      <c r="AO212" s="36"/>
      <c r="AP212" s="36"/>
      <c r="AQ212" s="36"/>
      <c r="AR212" s="36"/>
      <c r="AS212" s="36"/>
      <c r="AT212" s="36"/>
      <c r="AU212" s="37"/>
      <c r="AV212" s="35"/>
      <c r="AW212" s="36"/>
      <c r="AX212" s="36"/>
      <c r="AY212" s="36"/>
      <c r="AZ212" s="36"/>
      <c r="BA212" s="36"/>
      <c r="BB212" s="36"/>
      <c r="BC212" s="36"/>
      <c r="BD212" s="36"/>
      <c r="BE212" s="36"/>
      <c r="BF212" s="36"/>
      <c r="BG212" s="37"/>
      <c r="BH212" s="38"/>
      <c r="BI212" s="36"/>
      <c r="BJ212" s="36"/>
      <c r="BK212" s="36"/>
      <c r="BL212" s="36"/>
    </row>
    <row r="213" spans="1:64">
      <c r="A213" s="21" t="str">
        <f t="shared" si="17"/>
        <v>DVTOH_V_TRANS2.당월실적_B2C전년</v>
      </c>
      <c r="B213" s="18"/>
      <c r="C213" s="18"/>
      <c r="D213" s="18"/>
      <c r="E213" s="18"/>
      <c r="F213" s="18"/>
      <c r="G213" s="18" t="s">
        <v>11</v>
      </c>
      <c r="H213" s="18" t="s">
        <v>128</v>
      </c>
      <c r="I213" s="18" t="str">
        <f t="shared" si="18"/>
        <v>2.당월실적_B2C</v>
      </c>
      <c r="J213" s="34" t="s">
        <v>57</v>
      </c>
      <c r="K213" s="20"/>
      <c r="L213" s="35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7"/>
      <c r="X213" s="35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7"/>
      <c r="AJ213" s="35"/>
      <c r="AK213" s="36"/>
      <c r="AL213" s="36"/>
      <c r="AM213" s="36"/>
      <c r="AN213" s="36"/>
      <c r="AO213" s="36"/>
      <c r="AP213" s="36"/>
      <c r="AQ213" s="36"/>
      <c r="AR213" s="36"/>
      <c r="AS213" s="36"/>
      <c r="AT213" s="36"/>
      <c r="AU213" s="37"/>
      <c r="AV213" s="35"/>
      <c r="AW213" s="36"/>
      <c r="AX213" s="36"/>
      <c r="AY213" s="36"/>
      <c r="AZ213" s="36"/>
      <c r="BA213" s="36"/>
      <c r="BB213" s="36"/>
      <c r="BC213" s="36"/>
      <c r="BD213" s="36"/>
      <c r="BE213" s="36"/>
      <c r="BF213" s="36"/>
      <c r="BG213" s="37"/>
      <c r="BH213" s="38"/>
      <c r="BI213" s="36"/>
      <c r="BJ213" s="36"/>
      <c r="BK213" s="36"/>
      <c r="BL213" s="36"/>
    </row>
    <row r="214" spans="1:64">
      <c r="A214" s="17"/>
      <c r="H214" t="s">
        <v>128</v>
      </c>
      <c r="K214" s="20"/>
    </row>
    <row r="215" spans="1:64">
      <c r="A215" s="21" t="str">
        <f t="shared" ref="A215:A228" si="19">TRIM(B215)&amp;TRIM(C215)&amp;TRIM(D215)&amp;TRIM(E215)&amp;TRIM(F215)&amp;TRIM(G215)&amp;TRIM(H215)&amp;TRIM(I215)&amp;TRIM(J215)</f>
        <v>GJTOH_V_TRANS2.당월실적_B2B금년</v>
      </c>
      <c r="B215" s="18"/>
      <c r="C215" s="18"/>
      <c r="D215" s="18"/>
      <c r="E215" s="18"/>
      <c r="F215" s="18"/>
      <c r="G215" s="18" t="s">
        <v>12</v>
      </c>
      <c r="H215" s="18" t="s">
        <v>128</v>
      </c>
      <c r="I215" s="18" t="s">
        <v>119</v>
      </c>
      <c r="J215" s="21" t="s">
        <v>73</v>
      </c>
      <c r="K215" s="20"/>
      <c r="L215" s="35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7"/>
      <c r="X215" s="35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7"/>
      <c r="AJ215" s="35"/>
      <c r="AK215" s="36"/>
      <c r="AL215" s="36"/>
      <c r="AM215" s="36"/>
      <c r="AN215" s="36"/>
      <c r="AO215" s="36"/>
      <c r="AP215" s="36"/>
      <c r="AQ215" s="36"/>
      <c r="AR215" s="36"/>
      <c r="AS215" s="36"/>
      <c r="AT215" s="36"/>
      <c r="AU215" s="37"/>
      <c r="AV215" s="35"/>
      <c r="AW215" s="36"/>
      <c r="AX215" s="36"/>
      <c r="AY215" s="36"/>
      <c r="AZ215" s="36"/>
      <c r="BA215" s="36"/>
      <c r="BB215" s="36"/>
      <c r="BC215" s="36"/>
      <c r="BD215" s="36"/>
      <c r="BE215" s="36"/>
      <c r="BF215" s="36"/>
      <c r="BG215" s="37"/>
      <c r="BH215" s="38"/>
      <c r="BI215" s="36"/>
      <c r="BJ215" s="36"/>
      <c r="BK215" s="36"/>
      <c r="BL215" s="36"/>
    </row>
    <row r="216" spans="1:64" ht="18" customHeight="1">
      <c r="A216" s="21" t="str">
        <f t="shared" si="19"/>
        <v>GJTOH_V_TRANS2.당월실적_B2B전년</v>
      </c>
      <c r="B216" s="18"/>
      <c r="C216" s="18"/>
      <c r="D216" s="18"/>
      <c r="E216" s="18"/>
      <c r="F216" s="18"/>
      <c r="G216" s="18" t="s">
        <v>12</v>
      </c>
      <c r="H216" s="18" t="s">
        <v>128</v>
      </c>
      <c r="I216" s="18" t="s">
        <v>119</v>
      </c>
      <c r="J216" s="34" t="s">
        <v>57</v>
      </c>
      <c r="K216" s="20"/>
      <c r="L216" s="35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7"/>
      <c r="X216" s="35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7"/>
      <c r="AJ216" s="35"/>
      <c r="AK216" s="36"/>
      <c r="AL216" s="36"/>
      <c r="AM216" s="36"/>
      <c r="AN216" s="36"/>
      <c r="AO216" s="36"/>
      <c r="AP216" s="36"/>
      <c r="AQ216" s="36"/>
      <c r="AR216" s="36"/>
      <c r="AS216" s="36"/>
      <c r="AT216" s="36"/>
      <c r="AU216" s="37"/>
      <c r="AV216" s="35"/>
      <c r="AW216" s="36"/>
      <c r="AX216" s="36"/>
      <c r="AY216" s="36"/>
      <c r="AZ216" s="36"/>
      <c r="BA216" s="36"/>
      <c r="BB216" s="36"/>
      <c r="BC216" s="36"/>
      <c r="BD216" s="36"/>
      <c r="BE216" s="36"/>
      <c r="BF216" s="36"/>
      <c r="BG216" s="37"/>
      <c r="BH216" s="38"/>
      <c r="BI216" s="36"/>
      <c r="BJ216" s="36"/>
      <c r="BK216" s="36"/>
      <c r="BL216" s="36"/>
    </row>
    <row r="217" spans="1:64">
      <c r="A217" s="21" t="str">
        <f t="shared" si="19"/>
        <v>GNTOH_V_TRANS2.당월실적_B2B금년</v>
      </c>
      <c r="B217" s="18"/>
      <c r="C217" s="18"/>
      <c r="D217" s="18"/>
      <c r="E217" s="18"/>
      <c r="F217" s="18"/>
      <c r="G217" s="18" t="s">
        <v>14</v>
      </c>
      <c r="H217" s="18" t="s">
        <v>128</v>
      </c>
      <c r="I217" s="18" t="s">
        <v>119</v>
      </c>
      <c r="J217" s="21" t="s">
        <v>73</v>
      </c>
      <c r="K217" s="20"/>
      <c r="L217" s="35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7"/>
      <c r="X217" s="35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7"/>
      <c r="AJ217" s="35"/>
      <c r="AK217" s="36"/>
      <c r="AL217" s="36"/>
      <c r="AM217" s="36"/>
      <c r="AN217" s="36"/>
      <c r="AO217" s="36"/>
      <c r="AP217" s="36"/>
      <c r="AQ217" s="36"/>
      <c r="AR217" s="36"/>
      <c r="AS217" s="36"/>
      <c r="AT217" s="36"/>
      <c r="AU217" s="37"/>
      <c r="AV217" s="35"/>
      <c r="AW217" s="36"/>
      <c r="AX217" s="36"/>
      <c r="AY217" s="36"/>
      <c r="AZ217" s="36"/>
      <c r="BA217" s="36"/>
      <c r="BB217" s="36"/>
      <c r="BC217" s="36"/>
      <c r="BD217" s="36"/>
      <c r="BE217" s="36"/>
      <c r="BF217" s="36"/>
      <c r="BG217" s="37"/>
      <c r="BH217" s="38"/>
      <c r="BI217" s="36"/>
      <c r="BJ217" s="36"/>
      <c r="BK217" s="36"/>
      <c r="BL217" s="36"/>
    </row>
    <row r="218" spans="1:64">
      <c r="A218" s="21" t="str">
        <f t="shared" si="19"/>
        <v>GNTOH_V_TRANS2.당월실적_B2B전년</v>
      </c>
      <c r="B218" s="18"/>
      <c r="C218" s="18"/>
      <c r="D218" s="18"/>
      <c r="E218" s="18"/>
      <c r="F218" s="18"/>
      <c r="G218" s="18" t="s">
        <v>14</v>
      </c>
      <c r="H218" s="18" t="s">
        <v>128</v>
      </c>
      <c r="I218" s="18" t="s">
        <v>119</v>
      </c>
      <c r="J218" s="34" t="s">
        <v>57</v>
      </c>
      <c r="K218" s="20"/>
      <c r="L218" s="35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7"/>
      <c r="X218" s="35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7"/>
      <c r="AJ218" s="35"/>
      <c r="AK218" s="36"/>
      <c r="AL218" s="36"/>
      <c r="AM218" s="36"/>
      <c r="AN218" s="36"/>
      <c r="AO218" s="36"/>
      <c r="AP218" s="36"/>
      <c r="AQ218" s="36"/>
      <c r="AR218" s="36"/>
      <c r="AS218" s="36"/>
      <c r="AT218" s="36"/>
      <c r="AU218" s="37"/>
      <c r="AV218" s="35"/>
      <c r="AW218" s="36"/>
      <c r="AX218" s="36"/>
      <c r="AY218" s="36"/>
      <c r="AZ218" s="36"/>
      <c r="BA218" s="36"/>
      <c r="BB218" s="36"/>
      <c r="BC218" s="36"/>
      <c r="BD218" s="36"/>
      <c r="BE218" s="36"/>
      <c r="BF218" s="36"/>
      <c r="BG218" s="37"/>
      <c r="BH218" s="38"/>
      <c r="BI218" s="36"/>
      <c r="BJ218" s="36"/>
      <c r="BK218" s="36"/>
      <c r="BL218" s="36"/>
    </row>
    <row r="219" spans="1:64">
      <c r="A219" s="21" t="str">
        <f t="shared" si="19"/>
        <v>GOTOH_V_TRANS2.당월실적_B2B금년</v>
      </c>
      <c r="B219" s="18"/>
      <c r="C219" s="18"/>
      <c r="D219" s="18"/>
      <c r="E219" s="18"/>
      <c r="F219" s="18"/>
      <c r="G219" s="18" t="s">
        <v>117</v>
      </c>
      <c r="H219" s="18" t="s">
        <v>128</v>
      </c>
      <c r="I219" s="18" t="s">
        <v>119</v>
      </c>
      <c r="J219" s="21" t="s">
        <v>73</v>
      </c>
      <c r="K219" s="20"/>
      <c r="L219" s="35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7"/>
      <c r="X219" s="35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7"/>
      <c r="AJ219" s="35"/>
      <c r="AK219" s="36"/>
      <c r="AL219" s="36"/>
      <c r="AM219" s="36"/>
      <c r="AN219" s="36"/>
      <c r="AO219" s="36"/>
      <c r="AP219" s="36"/>
      <c r="AQ219" s="36"/>
      <c r="AR219" s="36"/>
      <c r="AS219" s="36"/>
      <c r="AT219" s="36"/>
      <c r="AU219" s="37"/>
      <c r="AV219" s="35"/>
      <c r="AW219" s="36"/>
      <c r="AX219" s="36"/>
      <c r="AY219" s="36"/>
      <c r="AZ219" s="36"/>
      <c r="BA219" s="36"/>
      <c r="BB219" s="36"/>
      <c r="BC219" s="36"/>
      <c r="BD219" s="36"/>
      <c r="BE219" s="36"/>
      <c r="BF219" s="36"/>
      <c r="BG219" s="37"/>
      <c r="BH219" s="38"/>
      <c r="BI219" s="36"/>
      <c r="BJ219" s="36"/>
      <c r="BK219" s="36"/>
      <c r="BL219" s="36"/>
    </row>
    <row r="220" spans="1:64">
      <c r="A220" s="21" t="str">
        <f t="shared" si="19"/>
        <v>GOTOH_V_TRANS2.당월실적_B2B전년</v>
      </c>
      <c r="B220" s="18"/>
      <c r="C220" s="18"/>
      <c r="D220" s="18"/>
      <c r="E220" s="18"/>
      <c r="F220" s="18"/>
      <c r="G220" s="18" t="s">
        <v>117</v>
      </c>
      <c r="H220" s="18" t="s">
        <v>128</v>
      </c>
      <c r="I220" s="18" t="s">
        <v>119</v>
      </c>
      <c r="J220" s="34" t="s">
        <v>57</v>
      </c>
      <c r="K220" s="20"/>
      <c r="L220" s="35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7"/>
      <c r="X220" s="35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7"/>
      <c r="AJ220" s="35"/>
      <c r="AK220" s="36"/>
      <c r="AL220" s="36"/>
      <c r="AM220" s="36"/>
      <c r="AN220" s="36"/>
      <c r="AO220" s="36"/>
      <c r="AP220" s="36"/>
      <c r="AQ220" s="36"/>
      <c r="AR220" s="36"/>
      <c r="AS220" s="36"/>
      <c r="AT220" s="36"/>
      <c r="AU220" s="37"/>
      <c r="AV220" s="35"/>
      <c r="AW220" s="36"/>
      <c r="AX220" s="36"/>
      <c r="AY220" s="36"/>
      <c r="AZ220" s="36"/>
      <c r="BA220" s="36"/>
      <c r="BB220" s="36"/>
      <c r="BC220" s="36"/>
      <c r="BD220" s="36"/>
      <c r="BE220" s="36"/>
      <c r="BF220" s="36"/>
      <c r="BG220" s="37"/>
      <c r="BH220" s="38"/>
      <c r="BI220" s="36"/>
      <c r="BJ220" s="36"/>
      <c r="BK220" s="36"/>
      <c r="BL220" s="36"/>
    </row>
    <row r="221" spans="1:64">
      <c r="A221" s="21" t="str">
        <f t="shared" si="19"/>
        <v>PKTOH_V_TRANS2.당월실적_B2B금년</v>
      </c>
      <c r="B221" s="18"/>
      <c r="C221" s="18"/>
      <c r="D221" s="18"/>
      <c r="E221" s="18"/>
      <c r="F221" s="18"/>
      <c r="G221" s="18" t="s">
        <v>105</v>
      </c>
      <c r="H221" s="18" t="s">
        <v>128</v>
      </c>
      <c r="I221" s="18" t="s">
        <v>119</v>
      </c>
      <c r="J221" s="21" t="s">
        <v>73</v>
      </c>
      <c r="K221" s="20"/>
      <c r="L221" s="35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7"/>
      <c r="X221" s="35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7"/>
      <c r="AJ221" s="35"/>
      <c r="AK221" s="36"/>
      <c r="AL221" s="36"/>
      <c r="AM221" s="36"/>
      <c r="AN221" s="36"/>
      <c r="AO221" s="36"/>
      <c r="AP221" s="36"/>
      <c r="AQ221" s="36"/>
      <c r="AR221" s="36"/>
      <c r="AS221" s="36"/>
      <c r="AT221" s="36"/>
      <c r="AU221" s="37"/>
      <c r="AV221" s="35"/>
      <c r="AW221" s="36"/>
      <c r="AX221" s="36"/>
      <c r="AY221" s="36"/>
      <c r="AZ221" s="36"/>
      <c r="BA221" s="36"/>
      <c r="BB221" s="36"/>
      <c r="BC221" s="36"/>
      <c r="BD221" s="36"/>
      <c r="BE221" s="36"/>
      <c r="BF221" s="36"/>
      <c r="BG221" s="37"/>
      <c r="BH221" s="38"/>
      <c r="BI221" s="36"/>
      <c r="BJ221" s="36"/>
      <c r="BK221" s="36"/>
      <c r="BL221" s="36"/>
    </row>
    <row r="222" spans="1:64">
      <c r="A222" s="21" t="str">
        <f t="shared" si="19"/>
        <v>PKTOH_V_TRANS2.당월실적_B2B전년</v>
      </c>
      <c r="B222" s="18"/>
      <c r="C222" s="18"/>
      <c r="D222" s="18"/>
      <c r="E222" s="18"/>
      <c r="F222" s="18"/>
      <c r="G222" s="18" t="s">
        <v>105</v>
      </c>
      <c r="H222" s="18" t="s">
        <v>128</v>
      </c>
      <c r="I222" s="18" t="s">
        <v>119</v>
      </c>
      <c r="J222" s="34" t="s">
        <v>57</v>
      </c>
      <c r="K222" s="20"/>
      <c r="L222" s="35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7"/>
      <c r="X222" s="35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7"/>
      <c r="AJ222" s="35"/>
      <c r="AK222" s="36"/>
      <c r="AL222" s="36"/>
      <c r="AM222" s="36"/>
      <c r="AN222" s="36"/>
      <c r="AO222" s="36"/>
      <c r="AP222" s="36"/>
      <c r="AQ222" s="36"/>
      <c r="AR222" s="36"/>
      <c r="AS222" s="36"/>
      <c r="AT222" s="36"/>
      <c r="AU222" s="37"/>
      <c r="AV222" s="35"/>
      <c r="AW222" s="36"/>
      <c r="AX222" s="36"/>
      <c r="AY222" s="36"/>
      <c r="AZ222" s="36"/>
      <c r="BA222" s="36"/>
      <c r="BB222" s="36"/>
      <c r="BC222" s="36"/>
      <c r="BD222" s="36"/>
      <c r="BE222" s="36"/>
      <c r="BF222" s="36"/>
      <c r="BG222" s="37"/>
      <c r="BH222" s="38"/>
      <c r="BI222" s="36"/>
      <c r="BJ222" s="36"/>
      <c r="BK222" s="36"/>
      <c r="BL222" s="36"/>
    </row>
    <row r="223" spans="1:64">
      <c r="A223" s="21" t="str">
        <f t="shared" si="19"/>
        <v>DMTOH_V_TRANS2.당월실적_B2B금년</v>
      </c>
      <c r="B223" s="18"/>
      <c r="C223" s="18"/>
      <c r="D223" s="18"/>
      <c r="E223" s="18"/>
      <c r="F223" s="18"/>
      <c r="G223" s="18" t="s">
        <v>10</v>
      </c>
      <c r="H223" s="18" t="s">
        <v>128</v>
      </c>
      <c r="I223" s="18" t="s">
        <v>119</v>
      </c>
      <c r="J223" s="21" t="s">
        <v>73</v>
      </c>
      <c r="K223" s="20"/>
      <c r="L223" s="35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7"/>
      <c r="X223" s="35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7"/>
      <c r="AJ223" s="35"/>
      <c r="AK223" s="36"/>
      <c r="AL223" s="36"/>
      <c r="AM223" s="36"/>
      <c r="AN223" s="36"/>
      <c r="AO223" s="36"/>
      <c r="AP223" s="36"/>
      <c r="AQ223" s="36"/>
      <c r="AR223" s="36"/>
      <c r="AS223" s="36"/>
      <c r="AT223" s="36"/>
      <c r="AU223" s="37"/>
      <c r="AV223" s="35"/>
      <c r="AW223" s="36"/>
      <c r="AX223" s="36"/>
      <c r="AY223" s="36"/>
      <c r="AZ223" s="36"/>
      <c r="BA223" s="36"/>
      <c r="BB223" s="36"/>
      <c r="BC223" s="36"/>
      <c r="BD223" s="36"/>
      <c r="BE223" s="36"/>
      <c r="BF223" s="36"/>
      <c r="BG223" s="37"/>
      <c r="BH223" s="38"/>
      <c r="BI223" s="36"/>
      <c r="BJ223" s="36"/>
      <c r="BK223" s="36"/>
      <c r="BL223" s="36"/>
    </row>
    <row r="224" spans="1:64">
      <c r="A224" s="21" t="str">
        <f t="shared" si="19"/>
        <v>DMTOH_V_TRANS2.당월실적_B2B전년</v>
      </c>
      <c r="B224" s="18"/>
      <c r="C224" s="18"/>
      <c r="D224" s="18"/>
      <c r="E224" s="18"/>
      <c r="F224" s="18"/>
      <c r="G224" s="18" t="s">
        <v>10</v>
      </c>
      <c r="H224" s="18" t="s">
        <v>128</v>
      </c>
      <c r="I224" s="18" t="s">
        <v>119</v>
      </c>
      <c r="J224" s="34" t="s">
        <v>57</v>
      </c>
      <c r="K224" s="20"/>
      <c r="L224" s="35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7"/>
      <c r="X224" s="35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7"/>
      <c r="AJ224" s="35"/>
      <c r="AK224" s="36"/>
      <c r="AL224" s="36"/>
      <c r="AM224" s="36"/>
      <c r="AN224" s="36"/>
      <c r="AO224" s="36"/>
      <c r="AP224" s="36"/>
      <c r="AQ224" s="36"/>
      <c r="AR224" s="36"/>
      <c r="AS224" s="36"/>
      <c r="AT224" s="36"/>
      <c r="AU224" s="37"/>
      <c r="AV224" s="35"/>
      <c r="AW224" s="36"/>
      <c r="AX224" s="36"/>
      <c r="AY224" s="36"/>
      <c r="AZ224" s="36"/>
      <c r="BA224" s="36"/>
      <c r="BB224" s="36"/>
      <c r="BC224" s="36"/>
      <c r="BD224" s="36"/>
      <c r="BE224" s="36"/>
      <c r="BF224" s="36"/>
      <c r="BG224" s="37"/>
      <c r="BH224" s="38"/>
      <c r="BI224" s="36"/>
      <c r="BJ224" s="36"/>
      <c r="BK224" s="36"/>
      <c r="BL224" s="36"/>
    </row>
    <row r="225" spans="1:64">
      <c r="A225" s="21" t="str">
        <f t="shared" si="19"/>
        <v>DTTOH_V_TRANS2.당월실적_B2B금년</v>
      </c>
      <c r="B225" s="18"/>
      <c r="C225" s="18"/>
      <c r="D225" s="18"/>
      <c r="E225" s="18"/>
      <c r="F225" s="18"/>
      <c r="G225" s="18" t="s">
        <v>118</v>
      </c>
      <c r="H225" s="18" t="s">
        <v>128</v>
      </c>
      <c r="I225" s="18" t="s">
        <v>119</v>
      </c>
      <c r="J225" s="21" t="s">
        <v>73</v>
      </c>
      <c r="K225" s="20"/>
      <c r="L225" s="35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7"/>
      <c r="X225" s="35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7"/>
      <c r="AJ225" s="35"/>
      <c r="AK225" s="36"/>
      <c r="AL225" s="36"/>
      <c r="AM225" s="36"/>
      <c r="AN225" s="36"/>
      <c r="AO225" s="36"/>
      <c r="AP225" s="36"/>
      <c r="AQ225" s="36"/>
      <c r="AR225" s="36"/>
      <c r="AS225" s="36"/>
      <c r="AT225" s="36"/>
      <c r="AU225" s="37"/>
      <c r="AV225" s="35"/>
      <c r="AW225" s="36"/>
      <c r="AX225" s="36"/>
      <c r="AY225" s="36"/>
      <c r="AZ225" s="36"/>
      <c r="BA225" s="36"/>
      <c r="BB225" s="36"/>
      <c r="BC225" s="36"/>
      <c r="BD225" s="36"/>
      <c r="BE225" s="36"/>
      <c r="BF225" s="36"/>
      <c r="BG225" s="37"/>
      <c r="BH225" s="38"/>
      <c r="BI225" s="36"/>
      <c r="BJ225" s="36"/>
      <c r="BK225" s="36"/>
      <c r="BL225" s="36"/>
    </row>
    <row r="226" spans="1:64">
      <c r="A226" s="21" t="str">
        <f t="shared" si="19"/>
        <v>DTTOH_V_TRANS2.당월실적_B2B전년</v>
      </c>
      <c r="B226" s="18"/>
      <c r="C226" s="18"/>
      <c r="D226" s="18"/>
      <c r="E226" s="18"/>
      <c r="F226" s="18"/>
      <c r="G226" s="18" t="s">
        <v>118</v>
      </c>
      <c r="H226" s="18" t="s">
        <v>128</v>
      </c>
      <c r="I226" s="18" t="s">
        <v>119</v>
      </c>
      <c r="J226" s="34" t="s">
        <v>57</v>
      </c>
      <c r="K226" s="20"/>
      <c r="L226" s="35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7"/>
      <c r="X226" s="35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7"/>
      <c r="AJ226" s="35"/>
      <c r="AK226" s="36"/>
      <c r="AL226" s="36"/>
      <c r="AM226" s="36"/>
      <c r="AN226" s="36"/>
      <c r="AO226" s="36"/>
      <c r="AP226" s="36"/>
      <c r="AQ226" s="36"/>
      <c r="AR226" s="36"/>
      <c r="AS226" s="36"/>
      <c r="AT226" s="36"/>
      <c r="AU226" s="37"/>
      <c r="AV226" s="35"/>
      <c r="AW226" s="36"/>
      <c r="AX226" s="36"/>
      <c r="AY226" s="36"/>
      <c r="AZ226" s="36"/>
      <c r="BA226" s="36"/>
      <c r="BB226" s="36"/>
      <c r="BC226" s="36"/>
      <c r="BD226" s="36"/>
      <c r="BE226" s="36"/>
      <c r="BF226" s="36"/>
      <c r="BG226" s="37"/>
      <c r="BH226" s="38"/>
      <c r="BI226" s="36"/>
      <c r="BJ226" s="36"/>
      <c r="BK226" s="36"/>
      <c r="BL226" s="36"/>
    </row>
    <row r="227" spans="1:64">
      <c r="A227" s="21" t="str">
        <f t="shared" si="19"/>
        <v>PGTOH_V_TRANS2.당월실적_B2B금년</v>
      </c>
      <c r="B227" s="18"/>
      <c r="C227" s="18"/>
      <c r="D227" s="18"/>
      <c r="E227" s="18"/>
      <c r="F227" s="18"/>
      <c r="G227" s="18" t="s">
        <v>19</v>
      </c>
      <c r="H227" s="18" t="s">
        <v>128</v>
      </c>
      <c r="I227" s="18" t="s">
        <v>119</v>
      </c>
      <c r="J227" s="21" t="s">
        <v>73</v>
      </c>
      <c r="K227" s="20"/>
      <c r="L227" s="35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7"/>
      <c r="X227" s="35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7"/>
      <c r="AJ227" s="35"/>
      <c r="AK227" s="36"/>
      <c r="AL227" s="36"/>
      <c r="AM227" s="36"/>
      <c r="AN227" s="36"/>
      <c r="AO227" s="36"/>
      <c r="AP227" s="36"/>
      <c r="AQ227" s="36"/>
      <c r="AR227" s="36"/>
      <c r="AS227" s="36"/>
      <c r="AT227" s="36"/>
      <c r="AU227" s="37"/>
      <c r="AV227" s="35"/>
      <c r="AW227" s="36"/>
      <c r="AX227" s="36"/>
      <c r="AY227" s="36"/>
      <c r="AZ227" s="36"/>
      <c r="BA227" s="36"/>
      <c r="BB227" s="36"/>
      <c r="BC227" s="36"/>
      <c r="BD227" s="36"/>
      <c r="BE227" s="36"/>
      <c r="BF227" s="36"/>
      <c r="BG227" s="37"/>
      <c r="BH227" s="38"/>
      <c r="BI227" s="36"/>
      <c r="BJ227" s="36"/>
      <c r="BK227" s="36"/>
      <c r="BL227" s="36"/>
    </row>
    <row r="228" spans="1:64">
      <c r="A228" s="21" t="str">
        <f t="shared" si="19"/>
        <v>PGTOH_V_TRANS2.당월실적_B2B전년</v>
      </c>
      <c r="B228" s="18"/>
      <c r="C228" s="18"/>
      <c r="D228" s="18"/>
      <c r="E228" s="18"/>
      <c r="F228" s="18"/>
      <c r="G228" s="18" t="s">
        <v>19</v>
      </c>
      <c r="H228" s="18" t="s">
        <v>128</v>
      </c>
      <c r="I228" s="18" t="s">
        <v>119</v>
      </c>
      <c r="J228" s="34" t="s">
        <v>57</v>
      </c>
      <c r="K228" s="20"/>
      <c r="L228" s="35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7"/>
      <c r="X228" s="35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7"/>
      <c r="AJ228" s="35"/>
      <c r="AK228" s="36"/>
      <c r="AL228" s="36"/>
      <c r="AM228" s="36"/>
      <c r="AN228" s="36"/>
      <c r="AO228" s="36"/>
      <c r="AP228" s="36"/>
      <c r="AQ228" s="36"/>
      <c r="AR228" s="36"/>
      <c r="AS228" s="36"/>
      <c r="AT228" s="36"/>
      <c r="AU228" s="37"/>
      <c r="AV228" s="35"/>
      <c r="AW228" s="36"/>
      <c r="AX228" s="36"/>
      <c r="AY228" s="36"/>
      <c r="AZ228" s="36"/>
      <c r="BA228" s="36"/>
      <c r="BB228" s="36"/>
      <c r="BC228" s="36"/>
      <c r="BD228" s="36"/>
      <c r="BE228" s="36"/>
      <c r="BF228" s="36"/>
      <c r="BG228" s="37"/>
      <c r="BH228" s="38"/>
      <c r="BI228" s="36"/>
      <c r="BJ228" s="36"/>
      <c r="BK228" s="36"/>
      <c r="BL228" s="36"/>
    </row>
    <row r="229" spans="1:64">
      <c r="A229" s="17"/>
      <c r="K229" s="20"/>
    </row>
    <row r="230" spans="1:64">
      <c r="A230" s="21" t="str">
        <f t="shared" ref="A230:A249" si="20">TRIM(B230)&amp;TRIM(C230)&amp;TRIM(D230)&amp;TRIM(E230)&amp;TRIM(F230)&amp;TRIM(G230)&amp;TRIM(H230)&amp;TRIM(I230)&amp;TRIM(J230)</f>
        <v>GLTOH_V_SVC2.당월실적_B2C금년</v>
      </c>
      <c r="B230" s="18"/>
      <c r="C230" s="18"/>
      <c r="D230" s="18"/>
      <c r="E230" s="18"/>
      <c r="F230" s="18"/>
      <c r="G230" s="18" t="s">
        <v>13</v>
      </c>
      <c r="H230" s="18" t="s">
        <v>129</v>
      </c>
      <c r="I230" s="18" t="s">
        <v>78</v>
      </c>
      <c r="J230" s="21" t="s">
        <v>73</v>
      </c>
      <c r="K230" s="20"/>
      <c r="L230" s="35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7"/>
      <c r="X230" s="35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7"/>
      <c r="AJ230" s="35"/>
      <c r="AK230" s="36"/>
      <c r="AL230" s="36"/>
      <c r="AM230" s="36"/>
      <c r="AN230" s="36"/>
      <c r="AO230" s="36"/>
      <c r="AP230" s="36"/>
      <c r="AQ230" s="36"/>
      <c r="AR230" s="36"/>
      <c r="AS230" s="36"/>
      <c r="AT230" s="36"/>
      <c r="AU230" s="37"/>
      <c r="AV230" s="35"/>
      <c r="AW230" s="36"/>
      <c r="AX230" s="36"/>
      <c r="AY230" s="36"/>
      <c r="AZ230" s="36"/>
      <c r="BA230" s="36"/>
      <c r="BB230" s="36"/>
      <c r="BC230" s="36"/>
      <c r="BD230" s="36"/>
      <c r="BE230" s="36"/>
      <c r="BF230" s="36"/>
      <c r="BG230" s="37"/>
      <c r="BH230" s="38"/>
      <c r="BI230" s="36"/>
      <c r="BJ230" s="36"/>
      <c r="BK230" s="36"/>
      <c r="BL230" s="36"/>
    </row>
    <row r="231" spans="1:64">
      <c r="A231" s="21" t="str">
        <f t="shared" si="20"/>
        <v>GLTOH_V_SVC2.당월실적_B2C전년</v>
      </c>
      <c r="B231" s="18"/>
      <c r="C231" s="18"/>
      <c r="D231" s="18"/>
      <c r="E231" s="18"/>
      <c r="F231" s="18"/>
      <c r="G231" s="18" t="s">
        <v>13</v>
      </c>
      <c r="H231" s="18" t="s">
        <v>129</v>
      </c>
      <c r="I231" s="18" t="s">
        <v>78</v>
      </c>
      <c r="J231" s="34" t="s">
        <v>57</v>
      </c>
      <c r="K231" s="20"/>
      <c r="L231" s="35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7"/>
      <c r="X231" s="35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7"/>
      <c r="AJ231" s="35"/>
      <c r="AK231" s="36"/>
      <c r="AL231" s="36"/>
      <c r="AM231" s="36"/>
      <c r="AN231" s="36"/>
      <c r="AO231" s="36"/>
      <c r="AP231" s="36"/>
      <c r="AQ231" s="36"/>
      <c r="AR231" s="36"/>
      <c r="AS231" s="36"/>
      <c r="AT231" s="36"/>
      <c r="AU231" s="37"/>
      <c r="AV231" s="35"/>
      <c r="AW231" s="36"/>
      <c r="AX231" s="36"/>
      <c r="AY231" s="36"/>
      <c r="AZ231" s="36"/>
      <c r="BA231" s="36"/>
      <c r="BB231" s="36"/>
      <c r="BC231" s="36"/>
      <c r="BD231" s="36"/>
      <c r="BE231" s="36"/>
      <c r="BF231" s="36"/>
      <c r="BG231" s="37"/>
      <c r="BH231" s="38"/>
      <c r="BI231" s="36"/>
      <c r="BJ231" s="36"/>
      <c r="BK231" s="36"/>
      <c r="BL231" s="36"/>
    </row>
    <row r="232" spans="1:64">
      <c r="A232" s="21" t="str">
        <f t="shared" si="20"/>
        <v>GTTOH_V_SVC2.당월실적_B2C금년</v>
      </c>
      <c r="B232" s="18"/>
      <c r="C232" s="18"/>
      <c r="D232" s="18"/>
      <c r="E232" s="18"/>
      <c r="F232" s="18"/>
      <c r="G232" s="18" t="s">
        <v>15</v>
      </c>
      <c r="H232" s="18" t="s">
        <v>129</v>
      </c>
      <c r="I232" s="18" t="s">
        <v>78</v>
      </c>
      <c r="J232" s="21" t="s">
        <v>73</v>
      </c>
      <c r="K232" s="20"/>
      <c r="L232" s="35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7"/>
      <c r="X232" s="35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7"/>
      <c r="AJ232" s="35"/>
      <c r="AK232" s="36"/>
      <c r="AL232" s="36"/>
      <c r="AM232" s="36"/>
      <c r="AN232" s="36"/>
      <c r="AO232" s="36"/>
      <c r="AP232" s="36"/>
      <c r="AQ232" s="36"/>
      <c r="AR232" s="36"/>
      <c r="AS232" s="36"/>
      <c r="AT232" s="36"/>
      <c r="AU232" s="37"/>
      <c r="AV232" s="35"/>
      <c r="AW232" s="36"/>
      <c r="AX232" s="36"/>
      <c r="AY232" s="36"/>
      <c r="AZ232" s="36"/>
      <c r="BA232" s="36"/>
      <c r="BB232" s="36"/>
      <c r="BC232" s="36"/>
      <c r="BD232" s="36"/>
      <c r="BE232" s="36"/>
      <c r="BF232" s="36"/>
      <c r="BG232" s="37"/>
      <c r="BH232" s="38"/>
      <c r="BI232" s="36"/>
      <c r="BJ232" s="36"/>
      <c r="BK232" s="36"/>
      <c r="BL232" s="36"/>
    </row>
    <row r="233" spans="1:64">
      <c r="A233" s="21" t="str">
        <f t="shared" si="20"/>
        <v>GTTOH_V_SVC2.당월실적_B2C전년</v>
      </c>
      <c r="B233" s="18"/>
      <c r="C233" s="18"/>
      <c r="D233" s="18"/>
      <c r="E233" s="18"/>
      <c r="F233" s="18"/>
      <c r="G233" s="18" t="s">
        <v>15</v>
      </c>
      <c r="H233" s="18" t="s">
        <v>129</v>
      </c>
      <c r="I233" s="18" t="s">
        <v>78</v>
      </c>
      <c r="J233" s="34" t="s">
        <v>57</v>
      </c>
      <c r="K233" s="20"/>
      <c r="L233" s="35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7"/>
      <c r="X233" s="35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7"/>
      <c r="AJ233" s="35"/>
      <c r="AK233" s="36"/>
      <c r="AL233" s="36"/>
      <c r="AM233" s="36"/>
      <c r="AN233" s="36"/>
      <c r="AO233" s="36"/>
      <c r="AP233" s="36"/>
      <c r="AQ233" s="36"/>
      <c r="AR233" s="36"/>
      <c r="AS233" s="36"/>
      <c r="AT233" s="36"/>
      <c r="AU233" s="37"/>
      <c r="AV233" s="35"/>
      <c r="AW233" s="36"/>
      <c r="AX233" s="36"/>
      <c r="AY233" s="36"/>
      <c r="AZ233" s="36"/>
      <c r="BA233" s="36"/>
      <c r="BB233" s="36"/>
      <c r="BC233" s="36"/>
      <c r="BD233" s="36"/>
      <c r="BE233" s="36"/>
      <c r="BF233" s="36"/>
      <c r="BG233" s="37"/>
      <c r="BH233" s="38"/>
      <c r="BI233" s="36"/>
      <c r="BJ233" s="36"/>
      <c r="BK233" s="36"/>
      <c r="BL233" s="36"/>
    </row>
    <row r="234" spans="1:64">
      <c r="A234" s="21" t="str">
        <f t="shared" si="20"/>
        <v>PNTOH_V_SVC2.당월실적_B2C금년</v>
      </c>
      <c r="B234" s="18"/>
      <c r="C234" s="18"/>
      <c r="D234" s="18"/>
      <c r="E234" s="18"/>
      <c r="F234" s="18"/>
      <c r="G234" s="18" t="s">
        <v>17</v>
      </c>
      <c r="H234" s="18" t="s">
        <v>129</v>
      </c>
      <c r="I234" s="18" t="s">
        <v>78</v>
      </c>
      <c r="J234" s="21" t="s">
        <v>73</v>
      </c>
      <c r="K234" s="20"/>
      <c r="L234" s="35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7"/>
      <c r="X234" s="35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7"/>
      <c r="AJ234" s="35"/>
      <c r="AK234" s="36"/>
      <c r="AL234" s="36"/>
      <c r="AM234" s="36"/>
      <c r="AN234" s="36"/>
      <c r="AO234" s="36"/>
      <c r="AP234" s="36"/>
      <c r="AQ234" s="36"/>
      <c r="AR234" s="36"/>
      <c r="AS234" s="36"/>
      <c r="AT234" s="36"/>
      <c r="AU234" s="37"/>
      <c r="AV234" s="35"/>
      <c r="AW234" s="36"/>
      <c r="AX234" s="36"/>
      <c r="AY234" s="36"/>
      <c r="AZ234" s="36"/>
      <c r="BA234" s="36"/>
      <c r="BB234" s="36"/>
      <c r="BC234" s="36"/>
      <c r="BD234" s="36"/>
      <c r="BE234" s="36"/>
      <c r="BF234" s="36"/>
      <c r="BG234" s="37"/>
      <c r="BH234" s="38"/>
      <c r="BI234" s="36"/>
      <c r="BJ234" s="36"/>
      <c r="BK234" s="36"/>
      <c r="BL234" s="36"/>
    </row>
    <row r="235" spans="1:64">
      <c r="A235" s="21" t="str">
        <f t="shared" si="20"/>
        <v>PNTOH_V_SVC2.당월실적_B2C전년</v>
      </c>
      <c r="B235" s="18"/>
      <c r="C235" s="18"/>
      <c r="D235" s="18"/>
      <c r="E235" s="18"/>
      <c r="F235" s="18"/>
      <c r="G235" s="18" t="s">
        <v>17</v>
      </c>
      <c r="H235" s="18" t="s">
        <v>129</v>
      </c>
      <c r="I235" s="18" t="s">
        <v>78</v>
      </c>
      <c r="J235" s="34" t="s">
        <v>57</v>
      </c>
      <c r="K235" s="20"/>
      <c r="L235" s="35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7"/>
      <c r="X235" s="35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7"/>
      <c r="AJ235" s="35"/>
      <c r="AK235" s="36"/>
      <c r="AL235" s="36"/>
      <c r="AM235" s="36"/>
      <c r="AN235" s="36"/>
      <c r="AO235" s="36"/>
      <c r="AP235" s="36"/>
      <c r="AQ235" s="36"/>
      <c r="AR235" s="36"/>
      <c r="AS235" s="36"/>
      <c r="AT235" s="36"/>
      <c r="AU235" s="37"/>
      <c r="AV235" s="35"/>
      <c r="AW235" s="36"/>
      <c r="AX235" s="36"/>
      <c r="AY235" s="36"/>
      <c r="AZ235" s="36"/>
      <c r="BA235" s="36"/>
      <c r="BB235" s="36"/>
      <c r="BC235" s="36"/>
      <c r="BD235" s="36"/>
      <c r="BE235" s="36"/>
      <c r="BF235" s="36"/>
      <c r="BG235" s="37"/>
      <c r="BH235" s="38"/>
      <c r="BI235" s="36"/>
      <c r="BJ235" s="36"/>
      <c r="BK235" s="36"/>
      <c r="BL235" s="36"/>
    </row>
    <row r="236" spans="1:64">
      <c r="A236" s="21" t="str">
        <f t="shared" si="20"/>
        <v>MSTOH_V_SVC2.당월실적_B2C금년</v>
      </c>
      <c r="B236" s="18"/>
      <c r="C236" s="18"/>
      <c r="D236" s="18"/>
      <c r="E236" s="18"/>
      <c r="F236" s="18"/>
      <c r="G236" s="18" t="s">
        <v>16</v>
      </c>
      <c r="H236" s="18" t="s">
        <v>129</v>
      </c>
      <c r="I236" s="18" t="s">
        <v>78</v>
      </c>
      <c r="J236" s="21" t="s">
        <v>73</v>
      </c>
      <c r="K236" s="20"/>
      <c r="L236" s="35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7"/>
      <c r="X236" s="35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7"/>
      <c r="AJ236" s="35"/>
      <c r="AK236" s="36"/>
      <c r="AL236" s="36"/>
      <c r="AM236" s="36"/>
      <c r="AN236" s="36"/>
      <c r="AO236" s="36"/>
      <c r="AP236" s="36"/>
      <c r="AQ236" s="36"/>
      <c r="AR236" s="36"/>
      <c r="AS236" s="36"/>
      <c r="AT236" s="36"/>
      <c r="AU236" s="37"/>
      <c r="AV236" s="35"/>
      <c r="AW236" s="36"/>
      <c r="AX236" s="36"/>
      <c r="AY236" s="36"/>
      <c r="AZ236" s="36"/>
      <c r="BA236" s="36"/>
      <c r="BB236" s="36"/>
      <c r="BC236" s="36"/>
      <c r="BD236" s="36"/>
      <c r="BE236" s="36"/>
      <c r="BF236" s="36"/>
      <c r="BG236" s="37"/>
      <c r="BH236" s="38"/>
      <c r="BI236" s="36"/>
      <c r="BJ236" s="36"/>
      <c r="BK236" s="36"/>
      <c r="BL236" s="36"/>
    </row>
    <row r="237" spans="1:64">
      <c r="A237" s="21" t="str">
        <f t="shared" si="20"/>
        <v>MSTOH_V_SVC2.당월실적_B2C전년</v>
      </c>
      <c r="B237" s="18"/>
      <c r="C237" s="18"/>
      <c r="D237" s="18"/>
      <c r="E237" s="18"/>
      <c r="F237" s="18"/>
      <c r="G237" s="18" t="s">
        <v>16</v>
      </c>
      <c r="H237" s="18" t="s">
        <v>129</v>
      </c>
      <c r="I237" s="18" t="s">
        <v>78</v>
      </c>
      <c r="J237" s="34" t="s">
        <v>57</v>
      </c>
      <c r="K237" s="20"/>
      <c r="L237" s="35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7"/>
      <c r="X237" s="35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7"/>
      <c r="AJ237" s="35"/>
      <c r="AK237" s="36"/>
      <c r="AL237" s="36"/>
      <c r="AM237" s="36"/>
      <c r="AN237" s="36"/>
      <c r="AO237" s="36"/>
      <c r="AP237" s="36"/>
      <c r="AQ237" s="36"/>
      <c r="AR237" s="36"/>
      <c r="AS237" s="36"/>
      <c r="AT237" s="36"/>
      <c r="AU237" s="37"/>
      <c r="AV237" s="35"/>
      <c r="AW237" s="36"/>
      <c r="AX237" s="36"/>
      <c r="AY237" s="36"/>
      <c r="AZ237" s="36"/>
      <c r="BA237" s="36"/>
      <c r="BB237" s="36"/>
      <c r="BC237" s="36"/>
      <c r="BD237" s="36"/>
      <c r="BE237" s="36"/>
      <c r="BF237" s="36"/>
      <c r="BG237" s="37"/>
      <c r="BH237" s="38"/>
      <c r="BI237" s="36"/>
      <c r="BJ237" s="36"/>
      <c r="BK237" s="36"/>
      <c r="BL237" s="36"/>
    </row>
    <row r="238" spans="1:64">
      <c r="A238" s="21" t="str">
        <f t="shared" si="20"/>
        <v>CNTOH_V_SVC2.당월실적_B2C금년</v>
      </c>
      <c r="B238" s="18"/>
      <c r="C238" s="18"/>
      <c r="D238" s="18"/>
      <c r="E238" s="18"/>
      <c r="F238" s="18"/>
      <c r="G238" s="18" t="s">
        <v>7</v>
      </c>
      <c r="H238" s="18" t="s">
        <v>129</v>
      </c>
      <c r="I238" s="18" t="s">
        <v>78</v>
      </c>
      <c r="J238" s="21" t="s">
        <v>73</v>
      </c>
      <c r="K238" s="20"/>
      <c r="L238" s="35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7"/>
      <c r="X238" s="35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7"/>
      <c r="AJ238" s="35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7"/>
      <c r="AV238" s="35"/>
      <c r="AW238" s="36"/>
      <c r="AX238" s="36"/>
      <c r="AY238" s="36"/>
      <c r="AZ238" s="36"/>
      <c r="BA238" s="36"/>
      <c r="BB238" s="36"/>
      <c r="BC238" s="36"/>
      <c r="BD238" s="36"/>
      <c r="BE238" s="36"/>
      <c r="BF238" s="36"/>
      <c r="BG238" s="37"/>
      <c r="BH238" s="38"/>
      <c r="BI238" s="36"/>
      <c r="BJ238" s="36"/>
      <c r="BK238" s="36"/>
      <c r="BL238" s="36"/>
    </row>
    <row r="239" spans="1:64">
      <c r="A239" s="21" t="str">
        <f t="shared" si="20"/>
        <v>CNTOH_V_SVC2.당월실적_B2C전년</v>
      </c>
      <c r="B239" s="18"/>
      <c r="C239" s="18"/>
      <c r="D239" s="18"/>
      <c r="E239" s="18"/>
      <c r="F239" s="18"/>
      <c r="G239" s="18" t="s">
        <v>7</v>
      </c>
      <c r="H239" s="18" t="s">
        <v>129</v>
      </c>
      <c r="I239" s="18" t="s">
        <v>78</v>
      </c>
      <c r="J239" s="34" t="s">
        <v>57</v>
      </c>
      <c r="K239" s="20"/>
      <c r="L239" s="35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7"/>
      <c r="X239" s="35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7"/>
      <c r="AJ239" s="35"/>
      <c r="AK239" s="36"/>
      <c r="AL239" s="36"/>
      <c r="AM239" s="36"/>
      <c r="AN239" s="36"/>
      <c r="AO239" s="36"/>
      <c r="AP239" s="36"/>
      <c r="AQ239" s="36"/>
      <c r="AR239" s="36"/>
      <c r="AS239" s="36"/>
      <c r="AT239" s="36"/>
      <c r="AU239" s="37"/>
      <c r="AV239" s="35"/>
      <c r="AW239" s="36"/>
      <c r="AX239" s="36"/>
      <c r="AY239" s="36"/>
      <c r="AZ239" s="36"/>
      <c r="BA239" s="36"/>
      <c r="BB239" s="36"/>
      <c r="BC239" s="36"/>
      <c r="BD239" s="36"/>
      <c r="BE239" s="36"/>
      <c r="BF239" s="36"/>
      <c r="BG239" s="37"/>
      <c r="BH239" s="38"/>
      <c r="BI239" s="36"/>
      <c r="BJ239" s="36"/>
      <c r="BK239" s="36"/>
      <c r="BL239" s="36"/>
    </row>
    <row r="240" spans="1:64">
      <c r="A240" s="21" t="str">
        <f t="shared" si="20"/>
        <v>DFTOH_V_SVC2.당월실적_B2C금년</v>
      </c>
      <c r="B240" s="18"/>
      <c r="C240" s="18"/>
      <c r="D240" s="18"/>
      <c r="E240" s="18"/>
      <c r="F240" s="18"/>
      <c r="G240" s="18" t="s">
        <v>8</v>
      </c>
      <c r="H240" s="18" t="s">
        <v>129</v>
      </c>
      <c r="I240" s="18" t="str">
        <f t="shared" ref="I240:I249" si="21">I230</f>
        <v>2.당월실적_B2C</v>
      </c>
      <c r="J240" s="21" t="s">
        <v>73</v>
      </c>
      <c r="K240" s="20"/>
      <c r="L240" s="35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7"/>
      <c r="X240" s="35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7"/>
      <c r="AJ240" s="35"/>
      <c r="AK240" s="36"/>
      <c r="AL240" s="36"/>
      <c r="AM240" s="36"/>
      <c r="AN240" s="36"/>
      <c r="AO240" s="36"/>
      <c r="AP240" s="36"/>
      <c r="AQ240" s="36"/>
      <c r="AR240" s="36"/>
      <c r="AS240" s="36"/>
      <c r="AT240" s="36"/>
      <c r="AU240" s="37"/>
      <c r="AV240" s="35"/>
      <c r="AW240" s="36"/>
      <c r="AX240" s="36"/>
      <c r="AY240" s="36"/>
      <c r="AZ240" s="36"/>
      <c r="BA240" s="36"/>
      <c r="BB240" s="36"/>
      <c r="BC240" s="36"/>
      <c r="BD240" s="36"/>
      <c r="BE240" s="36"/>
      <c r="BF240" s="36"/>
      <c r="BG240" s="37"/>
      <c r="BH240" s="38"/>
      <c r="BI240" s="36"/>
      <c r="BJ240" s="36"/>
      <c r="BK240" s="36"/>
      <c r="BL240" s="36"/>
    </row>
    <row r="241" spans="1:64">
      <c r="A241" s="21" t="str">
        <f t="shared" si="20"/>
        <v>DFTOH_V_SVC2.당월실적_B2C전년</v>
      </c>
      <c r="B241" s="18"/>
      <c r="C241" s="18"/>
      <c r="D241" s="18"/>
      <c r="E241" s="18"/>
      <c r="F241" s="18"/>
      <c r="G241" s="18" t="s">
        <v>8</v>
      </c>
      <c r="H241" s="18" t="s">
        <v>129</v>
      </c>
      <c r="I241" s="18" t="str">
        <f t="shared" si="21"/>
        <v>2.당월실적_B2C</v>
      </c>
      <c r="J241" s="34" t="s">
        <v>57</v>
      </c>
      <c r="K241" s="20"/>
      <c r="L241" s="35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7"/>
      <c r="X241" s="35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7"/>
      <c r="AJ241" s="35"/>
      <c r="AK241" s="36"/>
      <c r="AL241" s="36"/>
      <c r="AM241" s="36"/>
      <c r="AN241" s="36"/>
      <c r="AO241" s="36"/>
      <c r="AP241" s="36"/>
      <c r="AQ241" s="36"/>
      <c r="AR241" s="36"/>
      <c r="AS241" s="36"/>
      <c r="AT241" s="36"/>
      <c r="AU241" s="37"/>
      <c r="AV241" s="35"/>
      <c r="AW241" s="36"/>
      <c r="AX241" s="36"/>
      <c r="AY241" s="36"/>
      <c r="AZ241" s="36"/>
      <c r="BA241" s="36"/>
      <c r="BB241" s="36"/>
      <c r="BC241" s="36"/>
      <c r="BD241" s="36"/>
      <c r="BE241" s="36"/>
      <c r="BF241" s="36"/>
      <c r="BG241" s="37"/>
      <c r="BH241" s="38"/>
      <c r="BI241" s="36"/>
      <c r="BJ241" s="36"/>
      <c r="BK241" s="36"/>
      <c r="BL241" s="36"/>
    </row>
    <row r="242" spans="1:64">
      <c r="A242" s="21" t="str">
        <f t="shared" si="20"/>
        <v>DGTOH_V_SVC2.당월실적_B2C금년</v>
      </c>
      <c r="B242" s="18"/>
      <c r="C242" s="18"/>
      <c r="D242" s="18"/>
      <c r="E242" s="18"/>
      <c r="F242" s="18"/>
      <c r="G242" s="18" t="s">
        <v>9</v>
      </c>
      <c r="H242" s="18" t="s">
        <v>129</v>
      </c>
      <c r="I242" s="18" t="str">
        <f t="shared" si="21"/>
        <v>2.당월실적_B2C</v>
      </c>
      <c r="J242" s="21" t="s">
        <v>73</v>
      </c>
      <c r="K242" s="20"/>
      <c r="L242" s="35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7"/>
      <c r="X242" s="35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7"/>
      <c r="AJ242" s="35"/>
      <c r="AK242" s="36"/>
      <c r="AL242" s="36"/>
      <c r="AM242" s="36"/>
      <c r="AN242" s="36"/>
      <c r="AO242" s="36"/>
      <c r="AP242" s="36"/>
      <c r="AQ242" s="36"/>
      <c r="AR242" s="36"/>
      <c r="AS242" s="36"/>
      <c r="AT242" s="36"/>
      <c r="AU242" s="37"/>
      <c r="AV242" s="35"/>
      <c r="AW242" s="36"/>
      <c r="AX242" s="36"/>
      <c r="AY242" s="36"/>
      <c r="AZ242" s="36"/>
      <c r="BA242" s="36"/>
      <c r="BB242" s="36"/>
      <c r="BC242" s="36"/>
      <c r="BD242" s="36"/>
      <c r="BE242" s="36"/>
      <c r="BF242" s="36"/>
      <c r="BG242" s="37"/>
      <c r="BH242" s="38"/>
      <c r="BI242" s="36"/>
      <c r="BJ242" s="36"/>
      <c r="BK242" s="36"/>
      <c r="BL242" s="36"/>
    </row>
    <row r="243" spans="1:64">
      <c r="A243" s="21" t="str">
        <f t="shared" si="20"/>
        <v>DGTOH_V_SVC2.당월실적_B2C전년</v>
      </c>
      <c r="B243" s="18"/>
      <c r="C243" s="18"/>
      <c r="D243" s="18"/>
      <c r="E243" s="18"/>
      <c r="F243" s="18"/>
      <c r="G243" s="18" t="s">
        <v>9</v>
      </c>
      <c r="H243" s="18" t="s">
        <v>129</v>
      </c>
      <c r="I243" s="18" t="str">
        <f t="shared" si="21"/>
        <v>2.당월실적_B2C</v>
      </c>
      <c r="J243" s="34" t="s">
        <v>57</v>
      </c>
      <c r="K243" s="20"/>
      <c r="L243" s="35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7"/>
      <c r="X243" s="35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7"/>
      <c r="AJ243" s="35"/>
      <c r="AK243" s="36"/>
      <c r="AL243" s="36"/>
      <c r="AM243" s="36"/>
      <c r="AN243" s="36"/>
      <c r="AO243" s="36"/>
      <c r="AP243" s="36"/>
      <c r="AQ243" s="36"/>
      <c r="AR243" s="36"/>
      <c r="AS243" s="36"/>
      <c r="AT243" s="36"/>
      <c r="AU243" s="37"/>
      <c r="AV243" s="35"/>
      <c r="AW243" s="36"/>
      <c r="AX243" s="36"/>
      <c r="AY243" s="36"/>
      <c r="AZ243" s="36"/>
      <c r="BA243" s="36"/>
      <c r="BB243" s="36"/>
      <c r="BC243" s="36"/>
      <c r="BD243" s="36"/>
      <c r="BE243" s="36"/>
      <c r="BF243" s="36"/>
      <c r="BG243" s="37"/>
      <c r="BH243" s="38"/>
      <c r="BI243" s="36"/>
      <c r="BJ243" s="36"/>
      <c r="BK243" s="36"/>
      <c r="BL243" s="36"/>
    </row>
    <row r="244" spans="1:64">
      <c r="A244" s="21" t="str">
        <f t="shared" si="20"/>
        <v>PCTOH_V_SVC2.당월실적_B2C금년</v>
      </c>
      <c r="B244" s="18"/>
      <c r="C244" s="18"/>
      <c r="D244" s="18"/>
      <c r="E244" s="18"/>
      <c r="F244" s="18"/>
      <c r="G244" s="18" t="s">
        <v>20</v>
      </c>
      <c r="H244" s="18" t="s">
        <v>129</v>
      </c>
      <c r="I244" s="18" t="str">
        <f t="shared" si="21"/>
        <v>2.당월실적_B2C</v>
      </c>
      <c r="J244" s="21" t="s">
        <v>73</v>
      </c>
      <c r="K244" s="20"/>
      <c r="L244" s="35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7"/>
      <c r="X244" s="35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7"/>
      <c r="AJ244" s="35"/>
      <c r="AK244" s="36"/>
      <c r="AL244" s="36"/>
      <c r="AM244" s="36"/>
      <c r="AN244" s="36"/>
      <c r="AO244" s="36"/>
      <c r="AP244" s="36"/>
      <c r="AQ244" s="36"/>
      <c r="AR244" s="36"/>
      <c r="AS244" s="36"/>
      <c r="AT244" s="36"/>
      <c r="AU244" s="37"/>
      <c r="AV244" s="35"/>
      <c r="AW244" s="36"/>
      <c r="AX244" s="36"/>
      <c r="AY244" s="36"/>
      <c r="AZ244" s="36"/>
      <c r="BA244" s="36"/>
      <c r="BB244" s="36"/>
      <c r="BC244" s="36"/>
      <c r="BD244" s="36"/>
      <c r="BE244" s="36"/>
      <c r="BF244" s="36"/>
      <c r="BG244" s="37"/>
      <c r="BH244" s="38"/>
      <c r="BI244" s="36"/>
      <c r="BJ244" s="36"/>
      <c r="BK244" s="36"/>
      <c r="BL244" s="36"/>
    </row>
    <row r="245" spans="1:64">
      <c r="A245" s="21" t="str">
        <f t="shared" si="20"/>
        <v>PCTOH_V_SVC2.당월실적_B2C전년</v>
      </c>
      <c r="B245" s="18"/>
      <c r="C245" s="18"/>
      <c r="D245" s="18"/>
      <c r="E245" s="18"/>
      <c r="F245" s="18"/>
      <c r="G245" s="18" t="s">
        <v>20</v>
      </c>
      <c r="H245" s="18" t="s">
        <v>129</v>
      </c>
      <c r="I245" s="18" t="str">
        <f t="shared" si="21"/>
        <v>2.당월실적_B2C</v>
      </c>
      <c r="J245" s="34" t="s">
        <v>57</v>
      </c>
      <c r="K245" s="20"/>
      <c r="L245" s="35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7"/>
      <c r="X245" s="35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7"/>
      <c r="AJ245" s="35"/>
      <c r="AK245" s="36"/>
      <c r="AL245" s="36"/>
      <c r="AM245" s="36"/>
      <c r="AN245" s="36"/>
      <c r="AO245" s="36"/>
      <c r="AP245" s="36"/>
      <c r="AQ245" s="36"/>
      <c r="AR245" s="36"/>
      <c r="AS245" s="36"/>
      <c r="AT245" s="36"/>
      <c r="AU245" s="37"/>
      <c r="AV245" s="35"/>
      <c r="AW245" s="36"/>
      <c r="AX245" s="36"/>
      <c r="AY245" s="36"/>
      <c r="AZ245" s="36"/>
      <c r="BA245" s="36"/>
      <c r="BB245" s="36"/>
      <c r="BC245" s="36"/>
      <c r="BD245" s="36"/>
      <c r="BE245" s="36"/>
      <c r="BF245" s="36"/>
      <c r="BG245" s="37"/>
      <c r="BH245" s="38"/>
      <c r="BI245" s="36"/>
      <c r="BJ245" s="36"/>
      <c r="BK245" s="36"/>
      <c r="BL245" s="36"/>
    </row>
    <row r="246" spans="1:64">
      <c r="A246" s="21" t="str">
        <f t="shared" si="20"/>
        <v>PSTOH_V_SVC2.당월실적_B2C금년</v>
      </c>
      <c r="B246" s="18"/>
      <c r="C246" s="18"/>
      <c r="D246" s="18"/>
      <c r="E246" s="18"/>
      <c r="F246" s="18"/>
      <c r="G246" s="18" t="s">
        <v>18</v>
      </c>
      <c r="H246" s="18" t="s">
        <v>129</v>
      </c>
      <c r="I246" s="18" t="str">
        <f t="shared" si="21"/>
        <v>2.당월실적_B2C</v>
      </c>
      <c r="J246" s="21" t="s">
        <v>73</v>
      </c>
      <c r="K246" s="20"/>
      <c r="L246" s="35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7"/>
      <c r="X246" s="35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7"/>
      <c r="AJ246" s="35"/>
      <c r="AK246" s="36"/>
      <c r="AL246" s="36"/>
      <c r="AM246" s="36"/>
      <c r="AN246" s="36"/>
      <c r="AO246" s="36"/>
      <c r="AP246" s="36"/>
      <c r="AQ246" s="36"/>
      <c r="AR246" s="36"/>
      <c r="AS246" s="36"/>
      <c r="AT246" s="36"/>
      <c r="AU246" s="37"/>
      <c r="AV246" s="35"/>
      <c r="AW246" s="36"/>
      <c r="AX246" s="36"/>
      <c r="AY246" s="36"/>
      <c r="AZ246" s="36"/>
      <c r="BA246" s="36"/>
      <c r="BB246" s="36"/>
      <c r="BC246" s="36"/>
      <c r="BD246" s="36"/>
      <c r="BE246" s="36"/>
      <c r="BF246" s="36"/>
      <c r="BG246" s="37"/>
      <c r="BH246" s="38"/>
      <c r="BI246" s="36"/>
      <c r="BJ246" s="36"/>
      <c r="BK246" s="36"/>
      <c r="BL246" s="36"/>
    </row>
    <row r="247" spans="1:64">
      <c r="A247" s="21" t="str">
        <f t="shared" si="20"/>
        <v>PSTOH_V_SVC2.당월실적_B2C전년</v>
      </c>
      <c r="B247" s="18"/>
      <c r="C247" s="18"/>
      <c r="D247" s="18"/>
      <c r="E247" s="18"/>
      <c r="F247" s="18"/>
      <c r="G247" s="18" t="s">
        <v>18</v>
      </c>
      <c r="H247" s="18" t="s">
        <v>129</v>
      </c>
      <c r="I247" s="18" t="str">
        <f t="shared" si="21"/>
        <v>2.당월실적_B2C</v>
      </c>
      <c r="J247" s="34" t="s">
        <v>57</v>
      </c>
      <c r="K247" s="20"/>
      <c r="L247" s="35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7"/>
      <c r="X247" s="35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7"/>
      <c r="AJ247" s="35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7"/>
      <c r="AV247" s="35"/>
      <c r="AW247" s="36"/>
      <c r="AX247" s="36"/>
      <c r="AY247" s="36"/>
      <c r="AZ247" s="36"/>
      <c r="BA247" s="36"/>
      <c r="BB247" s="36"/>
      <c r="BC247" s="36"/>
      <c r="BD247" s="36"/>
      <c r="BE247" s="36"/>
      <c r="BF247" s="36"/>
      <c r="BG247" s="37"/>
      <c r="BH247" s="38"/>
      <c r="BI247" s="36"/>
      <c r="BJ247" s="36"/>
      <c r="BK247" s="36"/>
      <c r="BL247" s="36"/>
    </row>
    <row r="248" spans="1:64">
      <c r="A248" s="21" t="str">
        <f t="shared" si="20"/>
        <v>DVTOH_V_SVC2.당월실적_B2C금년</v>
      </c>
      <c r="B248" s="18"/>
      <c r="C248" s="18"/>
      <c r="D248" s="18"/>
      <c r="E248" s="18"/>
      <c r="F248" s="18"/>
      <c r="G248" s="18" t="s">
        <v>11</v>
      </c>
      <c r="H248" s="18" t="s">
        <v>129</v>
      </c>
      <c r="I248" s="18" t="str">
        <f t="shared" si="21"/>
        <v>2.당월실적_B2C</v>
      </c>
      <c r="J248" s="21" t="s">
        <v>73</v>
      </c>
      <c r="K248" s="20"/>
      <c r="L248" s="35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7"/>
      <c r="X248" s="35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7"/>
      <c r="AJ248" s="35"/>
      <c r="AK248" s="36"/>
      <c r="AL248" s="36"/>
      <c r="AM248" s="36"/>
      <c r="AN248" s="36"/>
      <c r="AO248" s="36"/>
      <c r="AP248" s="36"/>
      <c r="AQ248" s="36"/>
      <c r="AR248" s="36"/>
      <c r="AS248" s="36"/>
      <c r="AT248" s="36"/>
      <c r="AU248" s="37"/>
      <c r="AV248" s="35"/>
      <c r="AW248" s="36"/>
      <c r="AX248" s="36"/>
      <c r="AY248" s="36"/>
      <c r="AZ248" s="36"/>
      <c r="BA248" s="36"/>
      <c r="BB248" s="36"/>
      <c r="BC248" s="36"/>
      <c r="BD248" s="36"/>
      <c r="BE248" s="36"/>
      <c r="BF248" s="36"/>
      <c r="BG248" s="37"/>
      <c r="BH248" s="38"/>
      <c r="BI248" s="36"/>
      <c r="BJ248" s="36"/>
      <c r="BK248" s="36"/>
      <c r="BL248" s="36"/>
    </row>
    <row r="249" spans="1:64">
      <c r="A249" s="21" t="str">
        <f t="shared" si="20"/>
        <v>DVTOH_V_SVC2.당월실적_B2C전년</v>
      </c>
      <c r="B249" s="18"/>
      <c r="C249" s="18"/>
      <c r="D249" s="18"/>
      <c r="E249" s="18"/>
      <c r="F249" s="18"/>
      <c r="G249" s="18" t="s">
        <v>11</v>
      </c>
      <c r="H249" s="18" t="s">
        <v>129</v>
      </c>
      <c r="I249" s="18" t="str">
        <f t="shared" si="21"/>
        <v>2.당월실적_B2C</v>
      </c>
      <c r="J249" s="34" t="s">
        <v>57</v>
      </c>
      <c r="K249" s="20"/>
      <c r="L249" s="35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7"/>
      <c r="X249" s="35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7"/>
      <c r="AJ249" s="35"/>
      <c r="AK249" s="36"/>
      <c r="AL249" s="36"/>
      <c r="AM249" s="36"/>
      <c r="AN249" s="36"/>
      <c r="AO249" s="36"/>
      <c r="AP249" s="36"/>
      <c r="AQ249" s="36"/>
      <c r="AR249" s="36"/>
      <c r="AS249" s="36"/>
      <c r="AT249" s="36"/>
      <c r="AU249" s="37"/>
      <c r="AV249" s="35"/>
      <c r="AW249" s="36"/>
      <c r="AX249" s="36"/>
      <c r="AY249" s="36"/>
      <c r="AZ249" s="36"/>
      <c r="BA249" s="36"/>
      <c r="BB249" s="36"/>
      <c r="BC249" s="36"/>
      <c r="BD249" s="36"/>
      <c r="BE249" s="36"/>
      <c r="BF249" s="36"/>
      <c r="BG249" s="37"/>
      <c r="BH249" s="38"/>
      <c r="BI249" s="36"/>
      <c r="BJ249" s="36"/>
      <c r="BK249" s="36"/>
      <c r="BL249" s="36"/>
    </row>
    <row r="250" spans="1:64">
      <c r="A250" s="17"/>
      <c r="H250" t="s">
        <v>129</v>
      </c>
      <c r="K250" s="20"/>
    </row>
    <row r="251" spans="1:64">
      <c r="A251" s="21" t="str">
        <f t="shared" ref="A251:A264" si="22">TRIM(B251)&amp;TRIM(C251)&amp;TRIM(D251)&amp;TRIM(E251)&amp;TRIM(F251)&amp;TRIM(G251)&amp;TRIM(H251)&amp;TRIM(I251)&amp;TRIM(J251)</f>
        <v>GJTOH_V_SVC2.당월실적_B2B금년</v>
      </c>
      <c r="B251" s="18"/>
      <c r="C251" s="18"/>
      <c r="D251" s="18"/>
      <c r="E251" s="18"/>
      <c r="F251" s="18"/>
      <c r="G251" s="18" t="s">
        <v>12</v>
      </c>
      <c r="H251" s="18" t="s">
        <v>129</v>
      </c>
      <c r="I251" s="18" t="s">
        <v>119</v>
      </c>
      <c r="J251" s="21" t="s">
        <v>73</v>
      </c>
      <c r="K251" s="20"/>
      <c r="L251" s="35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7"/>
      <c r="X251" s="35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7"/>
      <c r="AJ251" s="35"/>
      <c r="AK251" s="36"/>
      <c r="AL251" s="36"/>
      <c r="AM251" s="36"/>
      <c r="AN251" s="36"/>
      <c r="AO251" s="36"/>
      <c r="AP251" s="36"/>
      <c r="AQ251" s="36"/>
      <c r="AR251" s="36"/>
      <c r="AS251" s="36"/>
      <c r="AT251" s="36"/>
      <c r="AU251" s="37"/>
      <c r="AV251" s="35"/>
      <c r="AW251" s="36"/>
      <c r="AX251" s="36"/>
      <c r="AY251" s="36"/>
      <c r="AZ251" s="36"/>
      <c r="BA251" s="36"/>
      <c r="BB251" s="36"/>
      <c r="BC251" s="36"/>
      <c r="BD251" s="36"/>
      <c r="BE251" s="36"/>
      <c r="BF251" s="36"/>
      <c r="BG251" s="37"/>
      <c r="BH251" s="38"/>
      <c r="BI251" s="36"/>
      <c r="BJ251" s="36"/>
      <c r="BK251" s="36"/>
      <c r="BL251" s="36"/>
    </row>
    <row r="252" spans="1:64" ht="18" customHeight="1">
      <c r="A252" s="21" t="str">
        <f t="shared" si="22"/>
        <v>GJTOH_V_SVC2.당월실적_B2B전년</v>
      </c>
      <c r="B252" s="18"/>
      <c r="C252" s="18"/>
      <c r="D252" s="18"/>
      <c r="E252" s="18"/>
      <c r="F252" s="18"/>
      <c r="G252" s="18" t="s">
        <v>12</v>
      </c>
      <c r="H252" s="18" t="s">
        <v>129</v>
      </c>
      <c r="I252" s="18" t="s">
        <v>119</v>
      </c>
      <c r="J252" s="34" t="s">
        <v>57</v>
      </c>
      <c r="K252" s="20"/>
      <c r="L252" s="35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7"/>
      <c r="X252" s="35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7"/>
      <c r="AJ252" s="35"/>
      <c r="AK252" s="36"/>
      <c r="AL252" s="36"/>
      <c r="AM252" s="36"/>
      <c r="AN252" s="36"/>
      <c r="AO252" s="36"/>
      <c r="AP252" s="36"/>
      <c r="AQ252" s="36"/>
      <c r="AR252" s="36"/>
      <c r="AS252" s="36"/>
      <c r="AT252" s="36"/>
      <c r="AU252" s="37"/>
      <c r="AV252" s="35"/>
      <c r="AW252" s="36"/>
      <c r="AX252" s="36"/>
      <c r="AY252" s="36"/>
      <c r="AZ252" s="36"/>
      <c r="BA252" s="36"/>
      <c r="BB252" s="36"/>
      <c r="BC252" s="36"/>
      <c r="BD252" s="36"/>
      <c r="BE252" s="36"/>
      <c r="BF252" s="36"/>
      <c r="BG252" s="37"/>
      <c r="BH252" s="38"/>
      <c r="BI252" s="36"/>
      <c r="BJ252" s="36"/>
      <c r="BK252" s="36"/>
      <c r="BL252" s="36"/>
    </row>
    <row r="253" spans="1:64">
      <c r="A253" s="21" t="str">
        <f t="shared" si="22"/>
        <v>GNTOH_V_SVC2.당월실적_B2B금년</v>
      </c>
      <c r="B253" s="18"/>
      <c r="C253" s="18"/>
      <c r="D253" s="18"/>
      <c r="E253" s="18"/>
      <c r="F253" s="18"/>
      <c r="G253" s="18" t="s">
        <v>14</v>
      </c>
      <c r="H253" s="18" t="s">
        <v>129</v>
      </c>
      <c r="I253" s="18" t="s">
        <v>119</v>
      </c>
      <c r="J253" s="21" t="s">
        <v>73</v>
      </c>
      <c r="K253" s="20"/>
      <c r="L253" s="35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7"/>
      <c r="X253" s="35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7"/>
      <c r="AJ253" s="35"/>
      <c r="AK253" s="36"/>
      <c r="AL253" s="36"/>
      <c r="AM253" s="36"/>
      <c r="AN253" s="36"/>
      <c r="AO253" s="36"/>
      <c r="AP253" s="36"/>
      <c r="AQ253" s="36"/>
      <c r="AR253" s="36"/>
      <c r="AS253" s="36"/>
      <c r="AT253" s="36"/>
      <c r="AU253" s="37"/>
      <c r="AV253" s="35"/>
      <c r="AW253" s="36"/>
      <c r="AX253" s="36"/>
      <c r="AY253" s="36"/>
      <c r="AZ253" s="36"/>
      <c r="BA253" s="36"/>
      <c r="BB253" s="36"/>
      <c r="BC253" s="36"/>
      <c r="BD253" s="36"/>
      <c r="BE253" s="36"/>
      <c r="BF253" s="36"/>
      <c r="BG253" s="37"/>
      <c r="BH253" s="38"/>
      <c r="BI253" s="36"/>
      <c r="BJ253" s="36"/>
      <c r="BK253" s="36"/>
      <c r="BL253" s="36"/>
    </row>
    <row r="254" spans="1:64">
      <c r="A254" s="21" t="str">
        <f t="shared" si="22"/>
        <v>GNTOH_V_SVC2.당월실적_B2B전년</v>
      </c>
      <c r="B254" s="18"/>
      <c r="C254" s="18"/>
      <c r="D254" s="18"/>
      <c r="E254" s="18"/>
      <c r="F254" s="18"/>
      <c r="G254" s="18" t="s">
        <v>14</v>
      </c>
      <c r="H254" s="18" t="s">
        <v>129</v>
      </c>
      <c r="I254" s="18" t="s">
        <v>119</v>
      </c>
      <c r="J254" s="34" t="s">
        <v>57</v>
      </c>
      <c r="K254" s="20"/>
      <c r="L254" s="35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7"/>
      <c r="X254" s="35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7"/>
      <c r="AJ254" s="35"/>
      <c r="AK254" s="36"/>
      <c r="AL254" s="36"/>
      <c r="AM254" s="36"/>
      <c r="AN254" s="36"/>
      <c r="AO254" s="36"/>
      <c r="AP254" s="36"/>
      <c r="AQ254" s="36"/>
      <c r="AR254" s="36"/>
      <c r="AS254" s="36"/>
      <c r="AT254" s="36"/>
      <c r="AU254" s="37"/>
      <c r="AV254" s="35"/>
      <c r="AW254" s="36"/>
      <c r="AX254" s="36"/>
      <c r="AY254" s="36"/>
      <c r="AZ254" s="36"/>
      <c r="BA254" s="36"/>
      <c r="BB254" s="36"/>
      <c r="BC254" s="36"/>
      <c r="BD254" s="36"/>
      <c r="BE254" s="36"/>
      <c r="BF254" s="36"/>
      <c r="BG254" s="37"/>
      <c r="BH254" s="38"/>
      <c r="BI254" s="36"/>
      <c r="BJ254" s="36"/>
      <c r="BK254" s="36"/>
      <c r="BL254" s="36"/>
    </row>
    <row r="255" spans="1:64">
      <c r="A255" s="21" t="str">
        <f t="shared" si="22"/>
        <v>GOTOH_V_SVC2.당월실적_B2B금년</v>
      </c>
      <c r="B255" s="18"/>
      <c r="C255" s="18"/>
      <c r="D255" s="18"/>
      <c r="E255" s="18"/>
      <c r="F255" s="18"/>
      <c r="G255" s="18" t="s">
        <v>117</v>
      </c>
      <c r="H255" s="18" t="s">
        <v>129</v>
      </c>
      <c r="I255" s="18" t="s">
        <v>119</v>
      </c>
      <c r="J255" s="21" t="s">
        <v>73</v>
      </c>
      <c r="K255" s="20"/>
      <c r="L255" s="35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7"/>
      <c r="X255" s="35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7"/>
      <c r="AJ255" s="35"/>
      <c r="AK255" s="36"/>
      <c r="AL255" s="36"/>
      <c r="AM255" s="36"/>
      <c r="AN255" s="36"/>
      <c r="AO255" s="36"/>
      <c r="AP255" s="36"/>
      <c r="AQ255" s="36"/>
      <c r="AR255" s="36"/>
      <c r="AS255" s="36"/>
      <c r="AT255" s="36"/>
      <c r="AU255" s="37"/>
      <c r="AV255" s="35"/>
      <c r="AW255" s="36"/>
      <c r="AX255" s="36"/>
      <c r="AY255" s="36"/>
      <c r="AZ255" s="36"/>
      <c r="BA255" s="36"/>
      <c r="BB255" s="36"/>
      <c r="BC255" s="36"/>
      <c r="BD255" s="36"/>
      <c r="BE255" s="36"/>
      <c r="BF255" s="36"/>
      <c r="BG255" s="37"/>
      <c r="BH255" s="38"/>
      <c r="BI255" s="36"/>
      <c r="BJ255" s="36"/>
      <c r="BK255" s="36"/>
      <c r="BL255" s="36"/>
    </row>
    <row r="256" spans="1:64">
      <c r="A256" s="21" t="str">
        <f t="shared" si="22"/>
        <v>GOTOH_V_SVC2.당월실적_B2B전년</v>
      </c>
      <c r="B256" s="18"/>
      <c r="C256" s="18"/>
      <c r="D256" s="18"/>
      <c r="E256" s="18"/>
      <c r="F256" s="18"/>
      <c r="G256" s="18" t="s">
        <v>117</v>
      </c>
      <c r="H256" s="18" t="s">
        <v>129</v>
      </c>
      <c r="I256" s="18" t="s">
        <v>119</v>
      </c>
      <c r="J256" s="34" t="s">
        <v>57</v>
      </c>
      <c r="K256" s="20"/>
      <c r="L256" s="35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7"/>
      <c r="X256" s="35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7"/>
      <c r="AJ256" s="35"/>
      <c r="AK256" s="36"/>
      <c r="AL256" s="36"/>
      <c r="AM256" s="36"/>
      <c r="AN256" s="36"/>
      <c r="AO256" s="36"/>
      <c r="AP256" s="36"/>
      <c r="AQ256" s="36"/>
      <c r="AR256" s="36"/>
      <c r="AS256" s="36"/>
      <c r="AT256" s="36"/>
      <c r="AU256" s="37"/>
      <c r="AV256" s="35"/>
      <c r="AW256" s="36"/>
      <c r="AX256" s="36"/>
      <c r="AY256" s="36"/>
      <c r="AZ256" s="36"/>
      <c r="BA256" s="36"/>
      <c r="BB256" s="36"/>
      <c r="BC256" s="36"/>
      <c r="BD256" s="36"/>
      <c r="BE256" s="36"/>
      <c r="BF256" s="36"/>
      <c r="BG256" s="37"/>
      <c r="BH256" s="38"/>
      <c r="BI256" s="36"/>
      <c r="BJ256" s="36"/>
      <c r="BK256" s="36"/>
      <c r="BL256" s="36"/>
    </row>
    <row r="257" spans="1:64">
      <c r="A257" s="21" t="str">
        <f t="shared" si="22"/>
        <v>PKTOH_V_SVC2.당월실적_B2B금년</v>
      </c>
      <c r="B257" s="18"/>
      <c r="C257" s="18"/>
      <c r="D257" s="18"/>
      <c r="E257" s="18"/>
      <c r="F257" s="18"/>
      <c r="G257" s="18" t="s">
        <v>105</v>
      </c>
      <c r="H257" s="18" t="s">
        <v>129</v>
      </c>
      <c r="I257" s="18" t="s">
        <v>119</v>
      </c>
      <c r="J257" s="21" t="s">
        <v>73</v>
      </c>
      <c r="K257" s="20"/>
      <c r="L257" s="35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7"/>
      <c r="X257" s="35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7"/>
      <c r="AJ257" s="35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7"/>
      <c r="AV257" s="35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7"/>
      <c r="BH257" s="38"/>
      <c r="BI257" s="36"/>
      <c r="BJ257" s="36"/>
      <c r="BK257" s="36"/>
      <c r="BL257" s="36"/>
    </row>
    <row r="258" spans="1:64">
      <c r="A258" s="21" t="str">
        <f t="shared" si="22"/>
        <v>PKTOH_V_SVC2.당월실적_B2B전년</v>
      </c>
      <c r="B258" s="18"/>
      <c r="C258" s="18"/>
      <c r="D258" s="18"/>
      <c r="E258" s="18"/>
      <c r="F258" s="18"/>
      <c r="G258" s="18" t="s">
        <v>105</v>
      </c>
      <c r="H258" s="18" t="s">
        <v>129</v>
      </c>
      <c r="I258" s="18" t="s">
        <v>119</v>
      </c>
      <c r="J258" s="34" t="s">
        <v>57</v>
      </c>
      <c r="K258" s="20"/>
      <c r="L258" s="35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7"/>
      <c r="X258" s="35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7"/>
      <c r="AJ258" s="35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7"/>
      <c r="AV258" s="35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7"/>
      <c r="BH258" s="38"/>
      <c r="BI258" s="36"/>
      <c r="BJ258" s="36"/>
      <c r="BK258" s="36"/>
      <c r="BL258" s="36"/>
    </row>
    <row r="259" spans="1:64">
      <c r="A259" s="21" t="str">
        <f t="shared" si="22"/>
        <v>DMTOH_V_SVC2.당월실적_B2B금년</v>
      </c>
      <c r="B259" s="18"/>
      <c r="C259" s="18"/>
      <c r="D259" s="18"/>
      <c r="E259" s="18"/>
      <c r="F259" s="18"/>
      <c r="G259" s="18" t="s">
        <v>10</v>
      </c>
      <c r="H259" s="18" t="s">
        <v>129</v>
      </c>
      <c r="I259" s="18" t="s">
        <v>119</v>
      </c>
      <c r="J259" s="21" t="s">
        <v>73</v>
      </c>
      <c r="K259" s="20"/>
      <c r="L259" s="35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7"/>
      <c r="X259" s="35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7"/>
      <c r="AJ259" s="35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7"/>
      <c r="AV259" s="35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7"/>
      <c r="BH259" s="38"/>
      <c r="BI259" s="36"/>
      <c r="BJ259" s="36"/>
      <c r="BK259" s="36"/>
      <c r="BL259" s="36"/>
    </row>
    <row r="260" spans="1:64">
      <c r="A260" s="21" t="str">
        <f t="shared" si="22"/>
        <v>DMTOH_V_SVC2.당월실적_B2B전년</v>
      </c>
      <c r="B260" s="18"/>
      <c r="C260" s="18"/>
      <c r="D260" s="18"/>
      <c r="E260" s="18"/>
      <c r="F260" s="18"/>
      <c r="G260" s="18" t="s">
        <v>10</v>
      </c>
      <c r="H260" s="18" t="s">
        <v>129</v>
      </c>
      <c r="I260" s="18" t="s">
        <v>119</v>
      </c>
      <c r="J260" s="34" t="s">
        <v>57</v>
      </c>
      <c r="K260" s="20"/>
      <c r="L260" s="35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7"/>
      <c r="X260" s="35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7"/>
      <c r="AJ260" s="35"/>
      <c r="AK260" s="36"/>
      <c r="AL260" s="36"/>
      <c r="AM260" s="36"/>
      <c r="AN260" s="36"/>
      <c r="AO260" s="36"/>
      <c r="AP260" s="36"/>
      <c r="AQ260" s="36"/>
      <c r="AR260" s="36"/>
      <c r="AS260" s="36"/>
      <c r="AT260" s="36"/>
      <c r="AU260" s="37"/>
      <c r="AV260" s="35"/>
      <c r="AW260" s="36"/>
      <c r="AX260" s="36"/>
      <c r="AY260" s="36"/>
      <c r="AZ260" s="36"/>
      <c r="BA260" s="36"/>
      <c r="BB260" s="36"/>
      <c r="BC260" s="36"/>
      <c r="BD260" s="36"/>
      <c r="BE260" s="36"/>
      <c r="BF260" s="36"/>
      <c r="BG260" s="37"/>
      <c r="BH260" s="38"/>
      <c r="BI260" s="36"/>
      <c r="BJ260" s="36"/>
      <c r="BK260" s="36"/>
      <c r="BL260" s="36"/>
    </row>
    <row r="261" spans="1:64">
      <c r="A261" s="21" t="str">
        <f t="shared" si="22"/>
        <v>DTTOH_V_SVC2.당월실적_B2B금년</v>
      </c>
      <c r="B261" s="18"/>
      <c r="C261" s="18"/>
      <c r="D261" s="18"/>
      <c r="E261" s="18"/>
      <c r="F261" s="18"/>
      <c r="G261" s="18" t="s">
        <v>118</v>
      </c>
      <c r="H261" s="18" t="s">
        <v>129</v>
      </c>
      <c r="I261" s="18" t="s">
        <v>119</v>
      </c>
      <c r="J261" s="21" t="s">
        <v>73</v>
      </c>
      <c r="K261" s="20"/>
      <c r="L261" s="35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7"/>
      <c r="X261" s="35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7"/>
      <c r="AJ261" s="35"/>
      <c r="AK261" s="36"/>
      <c r="AL261" s="36"/>
      <c r="AM261" s="36"/>
      <c r="AN261" s="36"/>
      <c r="AO261" s="36"/>
      <c r="AP261" s="36"/>
      <c r="AQ261" s="36"/>
      <c r="AR261" s="36"/>
      <c r="AS261" s="36"/>
      <c r="AT261" s="36"/>
      <c r="AU261" s="37"/>
      <c r="AV261" s="35"/>
      <c r="AW261" s="36"/>
      <c r="AX261" s="36"/>
      <c r="AY261" s="36"/>
      <c r="AZ261" s="36"/>
      <c r="BA261" s="36"/>
      <c r="BB261" s="36"/>
      <c r="BC261" s="36"/>
      <c r="BD261" s="36"/>
      <c r="BE261" s="36"/>
      <c r="BF261" s="36"/>
      <c r="BG261" s="37"/>
      <c r="BH261" s="38"/>
      <c r="BI261" s="36"/>
      <c r="BJ261" s="36"/>
      <c r="BK261" s="36"/>
      <c r="BL261" s="36"/>
    </row>
    <row r="262" spans="1:64">
      <c r="A262" s="21" t="str">
        <f t="shared" si="22"/>
        <v>DTTOH_V_SVC2.당월실적_B2B전년</v>
      </c>
      <c r="B262" s="18"/>
      <c r="C262" s="18"/>
      <c r="D262" s="18"/>
      <c r="E262" s="18"/>
      <c r="F262" s="18"/>
      <c r="G262" s="18" t="s">
        <v>118</v>
      </c>
      <c r="H262" s="18" t="s">
        <v>129</v>
      </c>
      <c r="I262" s="18" t="s">
        <v>119</v>
      </c>
      <c r="J262" s="34" t="s">
        <v>57</v>
      </c>
      <c r="K262" s="20"/>
      <c r="L262" s="35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7"/>
      <c r="X262" s="35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7"/>
      <c r="AJ262" s="35"/>
      <c r="AK262" s="36"/>
      <c r="AL262" s="36"/>
      <c r="AM262" s="36"/>
      <c r="AN262" s="36"/>
      <c r="AO262" s="36"/>
      <c r="AP262" s="36"/>
      <c r="AQ262" s="36"/>
      <c r="AR262" s="36"/>
      <c r="AS262" s="36"/>
      <c r="AT262" s="36"/>
      <c r="AU262" s="37"/>
      <c r="AV262" s="35"/>
      <c r="AW262" s="36"/>
      <c r="AX262" s="36"/>
      <c r="AY262" s="36"/>
      <c r="AZ262" s="36"/>
      <c r="BA262" s="36"/>
      <c r="BB262" s="36"/>
      <c r="BC262" s="36"/>
      <c r="BD262" s="36"/>
      <c r="BE262" s="36"/>
      <c r="BF262" s="36"/>
      <c r="BG262" s="37"/>
      <c r="BH262" s="38"/>
      <c r="BI262" s="36"/>
      <c r="BJ262" s="36"/>
      <c r="BK262" s="36"/>
      <c r="BL262" s="36"/>
    </row>
    <row r="263" spans="1:64">
      <c r="A263" s="21" t="str">
        <f t="shared" si="22"/>
        <v>PGTOH_V_SVC2.당월실적_B2B금년</v>
      </c>
      <c r="B263" s="18"/>
      <c r="C263" s="18"/>
      <c r="D263" s="18"/>
      <c r="E263" s="18"/>
      <c r="F263" s="18"/>
      <c r="G263" s="18" t="s">
        <v>19</v>
      </c>
      <c r="H263" s="18" t="s">
        <v>129</v>
      </c>
      <c r="I263" s="18" t="s">
        <v>119</v>
      </c>
      <c r="J263" s="21" t="s">
        <v>73</v>
      </c>
      <c r="K263" s="20"/>
      <c r="L263" s="35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7"/>
      <c r="X263" s="35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7"/>
      <c r="AJ263" s="35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7"/>
      <c r="AV263" s="35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7"/>
      <c r="BH263" s="38"/>
      <c r="BI263" s="36"/>
      <c r="BJ263" s="36"/>
      <c r="BK263" s="36"/>
      <c r="BL263" s="36"/>
    </row>
    <row r="264" spans="1:64">
      <c r="A264" s="21" t="str">
        <f t="shared" si="22"/>
        <v>PGTOH_V_SVC2.당월실적_B2B전년</v>
      </c>
      <c r="B264" s="18"/>
      <c r="C264" s="18"/>
      <c r="D264" s="18"/>
      <c r="E264" s="18"/>
      <c r="F264" s="18"/>
      <c r="G264" s="18" t="s">
        <v>19</v>
      </c>
      <c r="H264" s="18" t="s">
        <v>129</v>
      </c>
      <c r="I264" s="18" t="s">
        <v>119</v>
      </c>
      <c r="J264" s="34" t="s">
        <v>57</v>
      </c>
      <c r="K264" s="20"/>
      <c r="L264" s="35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7"/>
      <c r="X264" s="35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7"/>
      <c r="AJ264" s="35"/>
      <c r="AK264" s="36"/>
      <c r="AL264" s="36"/>
      <c r="AM264" s="36"/>
      <c r="AN264" s="36"/>
      <c r="AO264" s="36"/>
      <c r="AP264" s="36"/>
      <c r="AQ264" s="36"/>
      <c r="AR264" s="36"/>
      <c r="AS264" s="36"/>
      <c r="AT264" s="36"/>
      <c r="AU264" s="37"/>
      <c r="AV264" s="35"/>
      <c r="AW264" s="36"/>
      <c r="AX264" s="36"/>
      <c r="AY264" s="36"/>
      <c r="AZ264" s="36"/>
      <c r="BA264" s="36"/>
      <c r="BB264" s="36"/>
      <c r="BC264" s="36"/>
      <c r="BD264" s="36"/>
      <c r="BE264" s="36"/>
      <c r="BF264" s="36"/>
      <c r="BG264" s="37"/>
      <c r="BH264" s="38"/>
      <c r="BI264" s="36"/>
      <c r="BJ264" s="36"/>
      <c r="BK264" s="36"/>
      <c r="BL264" s="36"/>
    </row>
    <row r="265" spans="1:64">
      <c r="A265" s="17"/>
      <c r="K265" s="20"/>
    </row>
    <row r="266" spans="1:64">
      <c r="A266" s="21" t="str">
        <f t="shared" ref="A266:A285" si="23">TRIM(B266)&amp;TRIM(C266)&amp;TRIM(D266)&amp;TRIM(E266)&amp;TRIM(F266)&amp;TRIM(G266)&amp;TRIM(H266)&amp;TRIM(I266)&amp;TRIM(J266)</f>
        <v>GLTOH_F_COST2.당월실적_B2C금년</v>
      </c>
      <c r="B266" s="18"/>
      <c r="C266" s="18"/>
      <c r="D266" s="18"/>
      <c r="E266" s="18"/>
      <c r="F266" s="18"/>
      <c r="G266" s="18" t="s">
        <v>13</v>
      </c>
      <c r="H266" s="18" t="s">
        <v>130</v>
      </c>
      <c r="I266" s="18" t="s">
        <v>78</v>
      </c>
      <c r="J266" s="21" t="s">
        <v>73</v>
      </c>
      <c r="K266" s="20"/>
      <c r="L266" s="35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7"/>
      <c r="X266" s="35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7"/>
      <c r="AJ266" s="35"/>
      <c r="AK266" s="36"/>
      <c r="AL266" s="36"/>
      <c r="AM266" s="36"/>
      <c r="AN266" s="36"/>
      <c r="AO266" s="36"/>
      <c r="AP266" s="36"/>
      <c r="AQ266" s="36"/>
      <c r="AR266" s="36"/>
      <c r="AS266" s="36"/>
      <c r="AT266" s="36"/>
      <c r="AU266" s="37"/>
      <c r="AV266" s="35"/>
      <c r="AW266" s="36"/>
      <c r="AX266" s="36"/>
      <c r="AY266" s="36"/>
      <c r="AZ266" s="36"/>
      <c r="BA266" s="36"/>
      <c r="BB266" s="36"/>
      <c r="BC266" s="36"/>
      <c r="BD266" s="36"/>
      <c r="BE266" s="36"/>
      <c r="BF266" s="36"/>
      <c r="BG266" s="37"/>
      <c r="BH266" s="38"/>
      <c r="BI266" s="36"/>
      <c r="BJ266" s="36"/>
      <c r="BK266" s="36"/>
      <c r="BL266" s="36"/>
    </row>
    <row r="267" spans="1:64">
      <c r="A267" s="21" t="str">
        <f t="shared" si="23"/>
        <v>GLTOH_F_COST2.당월실적_B2C전년</v>
      </c>
      <c r="B267" s="18"/>
      <c r="C267" s="18"/>
      <c r="D267" s="18"/>
      <c r="E267" s="18"/>
      <c r="F267" s="18"/>
      <c r="G267" s="18" t="s">
        <v>13</v>
      </c>
      <c r="H267" s="18" t="s">
        <v>130</v>
      </c>
      <c r="I267" s="18" t="s">
        <v>78</v>
      </c>
      <c r="J267" s="34" t="s">
        <v>57</v>
      </c>
      <c r="K267" s="20"/>
      <c r="L267" s="35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7"/>
      <c r="X267" s="35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7"/>
      <c r="AJ267" s="35"/>
      <c r="AK267" s="36"/>
      <c r="AL267" s="36"/>
      <c r="AM267" s="36"/>
      <c r="AN267" s="36"/>
      <c r="AO267" s="36"/>
      <c r="AP267" s="36"/>
      <c r="AQ267" s="36"/>
      <c r="AR267" s="36"/>
      <c r="AS267" s="36"/>
      <c r="AT267" s="36"/>
      <c r="AU267" s="37"/>
      <c r="AV267" s="35"/>
      <c r="AW267" s="36"/>
      <c r="AX267" s="36"/>
      <c r="AY267" s="36"/>
      <c r="AZ267" s="36"/>
      <c r="BA267" s="36"/>
      <c r="BB267" s="36"/>
      <c r="BC267" s="36"/>
      <c r="BD267" s="36"/>
      <c r="BE267" s="36"/>
      <c r="BF267" s="36"/>
      <c r="BG267" s="37"/>
      <c r="BH267" s="38"/>
      <c r="BI267" s="36"/>
      <c r="BJ267" s="36"/>
      <c r="BK267" s="36"/>
      <c r="BL267" s="36"/>
    </row>
    <row r="268" spans="1:64">
      <c r="A268" s="21" t="str">
        <f t="shared" si="23"/>
        <v>GTTOH_F_COST2.당월실적_B2C금년</v>
      </c>
      <c r="B268" s="18"/>
      <c r="C268" s="18"/>
      <c r="D268" s="18"/>
      <c r="E268" s="18"/>
      <c r="F268" s="18"/>
      <c r="G268" s="18" t="s">
        <v>15</v>
      </c>
      <c r="H268" s="18" t="s">
        <v>130</v>
      </c>
      <c r="I268" s="18" t="s">
        <v>78</v>
      </c>
      <c r="J268" s="21" t="s">
        <v>73</v>
      </c>
      <c r="K268" s="20"/>
      <c r="L268" s="35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7"/>
      <c r="X268" s="35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7"/>
      <c r="AJ268" s="35"/>
      <c r="AK268" s="36"/>
      <c r="AL268" s="36"/>
      <c r="AM268" s="36"/>
      <c r="AN268" s="36"/>
      <c r="AO268" s="36"/>
      <c r="AP268" s="36"/>
      <c r="AQ268" s="36"/>
      <c r="AR268" s="36"/>
      <c r="AS268" s="36"/>
      <c r="AT268" s="36"/>
      <c r="AU268" s="37"/>
      <c r="AV268" s="35"/>
      <c r="AW268" s="36"/>
      <c r="AX268" s="36"/>
      <c r="AY268" s="36"/>
      <c r="AZ268" s="36"/>
      <c r="BA268" s="36"/>
      <c r="BB268" s="36"/>
      <c r="BC268" s="36"/>
      <c r="BD268" s="36"/>
      <c r="BE268" s="36"/>
      <c r="BF268" s="36"/>
      <c r="BG268" s="37"/>
      <c r="BH268" s="38"/>
      <c r="BI268" s="36"/>
      <c r="BJ268" s="36"/>
      <c r="BK268" s="36"/>
      <c r="BL268" s="36"/>
    </row>
    <row r="269" spans="1:64">
      <c r="A269" s="21" t="str">
        <f t="shared" si="23"/>
        <v>GTTOH_F_COST2.당월실적_B2C전년</v>
      </c>
      <c r="B269" s="18"/>
      <c r="C269" s="18"/>
      <c r="D269" s="18"/>
      <c r="E269" s="18"/>
      <c r="F269" s="18"/>
      <c r="G269" s="18" t="s">
        <v>15</v>
      </c>
      <c r="H269" s="18" t="s">
        <v>130</v>
      </c>
      <c r="I269" s="18" t="s">
        <v>78</v>
      </c>
      <c r="J269" s="34" t="s">
        <v>57</v>
      </c>
      <c r="K269" s="20"/>
      <c r="L269" s="35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7"/>
      <c r="X269" s="35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7"/>
      <c r="AJ269" s="35"/>
      <c r="AK269" s="36"/>
      <c r="AL269" s="36"/>
      <c r="AM269" s="36"/>
      <c r="AN269" s="36"/>
      <c r="AO269" s="36"/>
      <c r="AP269" s="36"/>
      <c r="AQ269" s="36"/>
      <c r="AR269" s="36"/>
      <c r="AS269" s="36"/>
      <c r="AT269" s="36"/>
      <c r="AU269" s="37"/>
      <c r="AV269" s="35"/>
      <c r="AW269" s="36"/>
      <c r="AX269" s="36"/>
      <c r="AY269" s="36"/>
      <c r="AZ269" s="36"/>
      <c r="BA269" s="36"/>
      <c r="BB269" s="36"/>
      <c r="BC269" s="36"/>
      <c r="BD269" s="36"/>
      <c r="BE269" s="36"/>
      <c r="BF269" s="36"/>
      <c r="BG269" s="37"/>
      <c r="BH269" s="38"/>
      <c r="BI269" s="36"/>
      <c r="BJ269" s="36"/>
      <c r="BK269" s="36"/>
      <c r="BL269" s="36"/>
    </row>
    <row r="270" spans="1:64">
      <c r="A270" s="21" t="str">
        <f t="shared" si="23"/>
        <v>PNTOH_F_COST2.당월실적_B2C금년</v>
      </c>
      <c r="B270" s="18"/>
      <c r="C270" s="18"/>
      <c r="D270" s="18"/>
      <c r="E270" s="18"/>
      <c r="F270" s="18"/>
      <c r="G270" s="18" t="s">
        <v>17</v>
      </c>
      <c r="H270" s="18" t="s">
        <v>130</v>
      </c>
      <c r="I270" s="18" t="s">
        <v>78</v>
      </c>
      <c r="J270" s="21" t="s">
        <v>73</v>
      </c>
      <c r="K270" s="20"/>
      <c r="L270" s="35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7"/>
      <c r="X270" s="35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7"/>
      <c r="AJ270" s="35"/>
      <c r="AK270" s="36"/>
      <c r="AL270" s="36"/>
      <c r="AM270" s="36"/>
      <c r="AN270" s="36"/>
      <c r="AO270" s="36"/>
      <c r="AP270" s="36"/>
      <c r="AQ270" s="36"/>
      <c r="AR270" s="36"/>
      <c r="AS270" s="36"/>
      <c r="AT270" s="36"/>
      <c r="AU270" s="37"/>
      <c r="AV270" s="35"/>
      <c r="AW270" s="36"/>
      <c r="AX270" s="36"/>
      <c r="AY270" s="36"/>
      <c r="AZ270" s="36"/>
      <c r="BA270" s="36"/>
      <c r="BB270" s="36"/>
      <c r="BC270" s="36"/>
      <c r="BD270" s="36"/>
      <c r="BE270" s="36"/>
      <c r="BF270" s="36"/>
      <c r="BG270" s="37"/>
      <c r="BH270" s="38"/>
      <c r="BI270" s="36"/>
      <c r="BJ270" s="36"/>
      <c r="BK270" s="36"/>
      <c r="BL270" s="36"/>
    </row>
    <row r="271" spans="1:64">
      <c r="A271" s="21" t="str">
        <f t="shared" si="23"/>
        <v>PNTOH_F_COST2.당월실적_B2C전년</v>
      </c>
      <c r="B271" s="18"/>
      <c r="C271" s="18"/>
      <c r="D271" s="18"/>
      <c r="E271" s="18"/>
      <c r="F271" s="18"/>
      <c r="G271" s="18" t="s">
        <v>17</v>
      </c>
      <c r="H271" s="18" t="s">
        <v>130</v>
      </c>
      <c r="I271" s="18" t="s">
        <v>78</v>
      </c>
      <c r="J271" s="34" t="s">
        <v>57</v>
      </c>
      <c r="K271" s="20"/>
      <c r="L271" s="35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7"/>
      <c r="X271" s="35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7"/>
      <c r="AJ271" s="35"/>
      <c r="AK271" s="36"/>
      <c r="AL271" s="36"/>
      <c r="AM271" s="36"/>
      <c r="AN271" s="36"/>
      <c r="AO271" s="36"/>
      <c r="AP271" s="36"/>
      <c r="AQ271" s="36"/>
      <c r="AR271" s="36"/>
      <c r="AS271" s="36"/>
      <c r="AT271" s="36"/>
      <c r="AU271" s="37"/>
      <c r="AV271" s="35"/>
      <c r="AW271" s="36"/>
      <c r="AX271" s="36"/>
      <c r="AY271" s="36"/>
      <c r="AZ271" s="36"/>
      <c r="BA271" s="36"/>
      <c r="BB271" s="36"/>
      <c r="BC271" s="36"/>
      <c r="BD271" s="36"/>
      <c r="BE271" s="36"/>
      <c r="BF271" s="36"/>
      <c r="BG271" s="37"/>
      <c r="BH271" s="38"/>
      <c r="BI271" s="36"/>
      <c r="BJ271" s="36"/>
      <c r="BK271" s="36"/>
      <c r="BL271" s="36"/>
    </row>
    <row r="272" spans="1:64">
      <c r="A272" s="21" t="str">
        <f t="shared" si="23"/>
        <v>MSTOH_F_COST2.당월실적_B2C금년</v>
      </c>
      <c r="B272" s="18"/>
      <c r="C272" s="18"/>
      <c r="D272" s="18"/>
      <c r="E272" s="18"/>
      <c r="F272" s="18"/>
      <c r="G272" s="18" t="s">
        <v>16</v>
      </c>
      <c r="H272" s="18" t="s">
        <v>130</v>
      </c>
      <c r="I272" s="18" t="s">
        <v>78</v>
      </c>
      <c r="J272" s="21" t="s">
        <v>73</v>
      </c>
      <c r="K272" s="20"/>
      <c r="L272" s="35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7"/>
      <c r="X272" s="35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7"/>
      <c r="AJ272" s="35"/>
      <c r="AK272" s="36"/>
      <c r="AL272" s="36"/>
      <c r="AM272" s="36"/>
      <c r="AN272" s="36"/>
      <c r="AO272" s="36"/>
      <c r="AP272" s="36"/>
      <c r="AQ272" s="36"/>
      <c r="AR272" s="36"/>
      <c r="AS272" s="36"/>
      <c r="AT272" s="36"/>
      <c r="AU272" s="37"/>
      <c r="AV272" s="35"/>
      <c r="AW272" s="36"/>
      <c r="AX272" s="36"/>
      <c r="AY272" s="36"/>
      <c r="AZ272" s="36"/>
      <c r="BA272" s="36"/>
      <c r="BB272" s="36"/>
      <c r="BC272" s="36"/>
      <c r="BD272" s="36"/>
      <c r="BE272" s="36"/>
      <c r="BF272" s="36"/>
      <c r="BG272" s="37"/>
      <c r="BH272" s="38"/>
      <c r="BI272" s="36"/>
      <c r="BJ272" s="36"/>
      <c r="BK272" s="36"/>
      <c r="BL272" s="36"/>
    </row>
    <row r="273" spans="1:64">
      <c r="A273" s="21" t="str">
        <f t="shared" si="23"/>
        <v>MSTOH_F_COST2.당월실적_B2C전년</v>
      </c>
      <c r="B273" s="18"/>
      <c r="C273" s="18"/>
      <c r="D273" s="18"/>
      <c r="E273" s="18"/>
      <c r="F273" s="18"/>
      <c r="G273" s="18" t="s">
        <v>16</v>
      </c>
      <c r="H273" s="18" t="s">
        <v>130</v>
      </c>
      <c r="I273" s="18" t="s">
        <v>78</v>
      </c>
      <c r="J273" s="34" t="s">
        <v>57</v>
      </c>
      <c r="K273" s="20"/>
      <c r="L273" s="35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7"/>
      <c r="X273" s="35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7"/>
      <c r="AJ273" s="35"/>
      <c r="AK273" s="36"/>
      <c r="AL273" s="36"/>
      <c r="AM273" s="36"/>
      <c r="AN273" s="36"/>
      <c r="AO273" s="36"/>
      <c r="AP273" s="36"/>
      <c r="AQ273" s="36"/>
      <c r="AR273" s="36"/>
      <c r="AS273" s="36"/>
      <c r="AT273" s="36"/>
      <c r="AU273" s="37"/>
      <c r="AV273" s="35"/>
      <c r="AW273" s="36"/>
      <c r="AX273" s="36"/>
      <c r="AY273" s="36"/>
      <c r="AZ273" s="36"/>
      <c r="BA273" s="36"/>
      <c r="BB273" s="36"/>
      <c r="BC273" s="36"/>
      <c r="BD273" s="36"/>
      <c r="BE273" s="36"/>
      <c r="BF273" s="36"/>
      <c r="BG273" s="37"/>
      <c r="BH273" s="38"/>
      <c r="BI273" s="36"/>
      <c r="BJ273" s="36"/>
      <c r="BK273" s="36"/>
      <c r="BL273" s="36"/>
    </row>
    <row r="274" spans="1:64">
      <c r="A274" s="21" t="str">
        <f t="shared" si="23"/>
        <v>CNTOH_F_COST2.당월실적_B2C금년</v>
      </c>
      <c r="B274" s="18"/>
      <c r="C274" s="18"/>
      <c r="D274" s="18"/>
      <c r="E274" s="18"/>
      <c r="F274" s="18"/>
      <c r="G274" s="18" t="s">
        <v>7</v>
      </c>
      <c r="H274" s="18" t="s">
        <v>130</v>
      </c>
      <c r="I274" s="18" t="s">
        <v>78</v>
      </c>
      <c r="J274" s="21" t="s">
        <v>73</v>
      </c>
      <c r="K274" s="20"/>
      <c r="L274" s="35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7"/>
      <c r="X274" s="35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7"/>
      <c r="AJ274" s="35"/>
      <c r="AK274" s="36"/>
      <c r="AL274" s="36"/>
      <c r="AM274" s="36"/>
      <c r="AN274" s="36"/>
      <c r="AO274" s="36"/>
      <c r="AP274" s="36"/>
      <c r="AQ274" s="36"/>
      <c r="AR274" s="36"/>
      <c r="AS274" s="36"/>
      <c r="AT274" s="36"/>
      <c r="AU274" s="37"/>
      <c r="AV274" s="35"/>
      <c r="AW274" s="36"/>
      <c r="AX274" s="36"/>
      <c r="AY274" s="36"/>
      <c r="AZ274" s="36"/>
      <c r="BA274" s="36"/>
      <c r="BB274" s="36"/>
      <c r="BC274" s="36"/>
      <c r="BD274" s="36"/>
      <c r="BE274" s="36"/>
      <c r="BF274" s="36"/>
      <c r="BG274" s="37"/>
      <c r="BH274" s="38"/>
      <c r="BI274" s="36"/>
      <c r="BJ274" s="36"/>
      <c r="BK274" s="36"/>
      <c r="BL274" s="36"/>
    </row>
    <row r="275" spans="1:64">
      <c r="A275" s="21" t="str">
        <f t="shared" si="23"/>
        <v>CNTOH_F_COST2.당월실적_B2C전년</v>
      </c>
      <c r="B275" s="18"/>
      <c r="C275" s="18"/>
      <c r="D275" s="18"/>
      <c r="E275" s="18"/>
      <c r="F275" s="18"/>
      <c r="G275" s="18" t="s">
        <v>7</v>
      </c>
      <c r="H275" s="18" t="s">
        <v>130</v>
      </c>
      <c r="I275" s="18" t="s">
        <v>78</v>
      </c>
      <c r="J275" s="34" t="s">
        <v>57</v>
      </c>
      <c r="K275" s="20"/>
      <c r="L275" s="35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7"/>
      <c r="X275" s="35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7"/>
      <c r="AJ275" s="35"/>
      <c r="AK275" s="36"/>
      <c r="AL275" s="36"/>
      <c r="AM275" s="36"/>
      <c r="AN275" s="36"/>
      <c r="AO275" s="36"/>
      <c r="AP275" s="36"/>
      <c r="AQ275" s="36"/>
      <c r="AR275" s="36"/>
      <c r="AS275" s="36"/>
      <c r="AT275" s="36"/>
      <c r="AU275" s="37"/>
      <c r="AV275" s="35"/>
      <c r="AW275" s="36"/>
      <c r="AX275" s="36"/>
      <c r="AY275" s="36"/>
      <c r="AZ275" s="36"/>
      <c r="BA275" s="36"/>
      <c r="BB275" s="36"/>
      <c r="BC275" s="36"/>
      <c r="BD275" s="36"/>
      <c r="BE275" s="36"/>
      <c r="BF275" s="36"/>
      <c r="BG275" s="37"/>
      <c r="BH275" s="38"/>
      <c r="BI275" s="36"/>
      <c r="BJ275" s="36"/>
      <c r="BK275" s="36"/>
      <c r="BL275" s="36"/>
    </row>
    <row r="276" spans="1:64">
      <c r="A276" s="21" t="str">
        <f t="shared" si="23"/>
        <v>DFTOH_F_COST2.당월실적_B2C금년</v>
      </c>
      <c r="B276" s="18"/>
      <c r="C276" s="18"/>
      <c r="D276" s="18"/>
      <c r="E276" s="18"/>
      <c r="F276" s="18"/>
      <c r="G276" s="18" t="s">
        <v>8</v>
      </c>
      <c r="H276" s="18" t="s">
        <v>130</v>
      </c>
      <c r="I276" s="18" t="str">
        <f t="shared" ref="I276:I285" si="24">I266</f>
        <v>2.당월실적_B2C</v>
      </c>
      <c r="J276" s="21" t="s">
        <v>73</v>
      </c>
      <c r="K276" s="20"/>
      <c r="L276" s="35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7"/>
      <c r="X276" s="35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7"/>
      <c r="AJ276" s="35"/>
      <c r="AK276" s="36"/>
      <c r="AL276" s="36"/>
      <c r="AM276" s="36"/>
      <c r="AN276" s="36"/>
      <c r="AO276" s="36"/>
      <c r="AP276" s="36"/>
      <c r="AQ276" s="36"/>
      <c r="AR276" s="36"/>
      <c r="AS276" s="36"/>
      <c r="AT276" s="36"/>
      <c r="AU276" s="37"/>
      <c r="AV276" s="35"/>
      <c r="AW276" s="36"/>
      <c r="AX276" s="36"/>
      <c r="AY276" s="36"/>
      <c r="AZ276" s="36"/>
      <c r="BA276" s="36"/>
      <c r="BB276" s="36"/>
      <c r="BC276" s="36"/>
      <c r="BD276" s="36"/>
      <c r="BE276" s="36"/>
      <c r="BF276" s="36"/>
      <c r="BG276" s="37"/>
      <c r="BH276" s="38"/>
      <c r="BI276" s="36"/>
      <c r="BJ276" s="36"/>
      <c r="BK276" s="36"/>
      <c r="BL276" s="36"/>
    </row>
    <row r="277" spans="1:64">
      <c r="A277" s="21" t="str">
        <f t="shared" si="23"/>
        <v>DFTOH_F_COST2.당월실적_B2C전년</v>
      </c>
      <c r="B277" s="18"/>
      <c r="C277" s="18"/>
      <c r="D277" s="18"/>
      <c r="E277" s="18"/>
      <c r="F277" s="18"/>
      <c r="G277" s="18" t="s">
        <v>8</v>
      </c>
      <c r="H277" s="18" t="s">
        <v>130</v>
      </c>
      <c r="I277" s="18" t="str">
        <f t="shared" si="24"/>
        <v>2.당월실적_B2C</v>
      </c>
      <c r="J277" s="34" t="s">
        <v>57</v>
      </c>
      <c r="K277" s="20"/>
      <c r="L277" s="35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7"/>
      <c r="X277" s="35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7"/>
      <c r="AJ277" s="35"/>
      <c r="AK277" s="36"/>
      <c r="AL277" s="36"/>
      <c r="AM277" s="36"/>
      <c r="AN277" s="36"/>
      <c r="AO277" s="36"/>
      <c r="AP277" s="36"/>
      <c r="AQ277" s="36"/>
      <c r="AR277" s="36"/>
      <c r="AS277" s="36"/>
      <c r="AT277" s="36"/>
      <c r="AU277" s="37"/>
      <c r="AV277" s="35"/>
      <c r="AW277" s="36"/>
      <c r="AX277" s="36"/>
      <c r="AY277" s="36"/>
      <c r="AZ277" s="36"/>
      <c r="BA277" s="36"/>
      <c r="BB277" s="36"/>
      <c r="BC277" s="36"/>
      <c r="BD277" s="36"/>
      <c r="BE277" s="36"/>
      <c r="BF277" s="36"/>
      <c r="BG277" s="37"/>
      <c r="BH277" s="38"/>
      <c r="BI277" s="36"/>
      <c r="BJ277" s="36"/>
      <c r="BK277" s="36"/>
      <c r="BL277" s="36"/>
    </row>
    <row r="278" spans="1:64">
      <c r="A278" s="21" t="str">
        <f t="shared" si="23"/>
        <v>DGTOH_F_COST2.당월실적_B2C금년</v>
      </c>
      <c r="B278" s="18"/>
      <c r="C278" s="18"/>
      <c r="D278" s="18"/>
      <c r="E278" s="18"/>
      <c r="F278" s="18"/>
      <c r="G278" s="18" t="s">
        <v>9</v>
      </c>
      <c r="H278" s="18" t="s">
        <v>130</v>
      </c>
      <c r="I278" s="18" t="str">
        <f t="shared" si="24"/>
        <v>2.당월실적_B2C</v>
      </c>
      <c r="J278" s="21" t="s">
        <v>73</v>
      </c>
      <c r="K278" s="20"/>
      <c r="L278" s="35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7"/>
      <c r="X278" s="35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7"/>
      <c r="AJ278" s="35"/>
      <c r="AK278" s="36"/>
      <c r="AL278" s="36"/>
      <c r="AM278" s="36"/>
      <c r="AN278" s="36"/>
      <c r="AO278" s="36"/>
      <c r="AP278" s="36"/>
      <c r="AQ278" s="36"/>
      <c r="AR278" s="36"/>
      <c r="AS278" s="36"/>
      <c r="AT278" s="36"/>
      <c r="AU278" s="37"/>
      <c r="AV278" s="35"/>
      <c r="AW278" s="36"/>
      <c r="AX278" s="36"/>
      <c r="AY278" s="36"/>
      <c r="AZ278" s="36"/>
      <c r="BA278" s="36"/>
      <c r="BB278" s="36"/>
      <c r="BC278" s="36"/>
      <c r="BD278" s="36"/>
      <c r="BE278" s="36"/>
      <c r="BF278" s="36"/>
      <c r="BG278" s="37"/>
      <c r="BH278" s="38"/>
      <c r="BI278" s="36"/>
      <c r="BJ278" s="36"/>
      <c r="BK278" s="36"/>
      <c r="BL278" s="36"/>
    </row>
    <row r="279" spans="1:64">
      <c r="A279" s="21" t="str">
        <f t="shared" si="23"/>
        <v>DGTOH_F_COST2.당월실적_B2C전년</v>
      </c>
      <c r="B279" s="18"/>
      <c r="C279" s="18"/>
      <c r="D279" s="18"/>
      <c r="E279" s="18"/>
      <c r="F279" s="18"/>
      <c r="G279" s="18" t="s">
        <v>9</v>
      </c>
      <c r="H279" s="18" t="s">
        <v>130</v>
      </c>
      <c r="I279" s="18" t="str">
        <f t="shared" si="24"/>
        <v>2.당월실적_B2C</v>
      </c>
      <c r="J279" s="34" t="s">
        <v>57</v>
      </c>
      <c r="K279" s="20"/>
      <c r="L279" s="35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7"/>
      <c r="X279" s="35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7"/>
      <c r="AJ279" s="35"/>
      <c r="AK279" s="36"/>
      <c r="AL279" s="36"/>
      <c r="AM279" s="36"/>
      <c r="AN279" s="36"/>
      <c r="AO279" s="36"/>
      <c r="AP279" s="36"/>
      <c r="AQ279" s="36"/>
      <c r="AR279" s="36"/>
      <c r="AS279" s="36"/>
      <c r="AT279" s="36"/>
      <c r="AU279" s="37"/>
      <c r="AV279" s="35"/>
      <c r="AW279" s="36"/>
      <c r="AX279" s="36"/>
      <c r="AY279" s="36"/>
      <c r="AZ279" s="36"/>
      <c r="BA279" s="36"/>
      <c r="BB279" s="36"/>
      <c r="BC279" s="36"/>
      <c r="BD279" s="36"/>
      <c r="BE279" s="36"/>
      <c r="BF279" s="36"/>
      <c r="BG279" s="37"/>
      <c r="BH279" s="38"/>
      <c r="BI279" s="36"/>
      <c r="BJ279" s="36"/>
      <c r="BK279" s="36"/>
      <c r="BL279" s="36"/>
    </row>
    <row r="280" spans="1:64">
      <c r="A280" s="21" t="str">
        <f t="shared" si="23"/>
        <v>PCTOH_F_COST2.당월실적_B2C금년</v>
      </c>
      <c r="B280" s="18"/>
      <c r="C280" s="18"/>
      <c r="D280" s="18"/>
      <c r="E280" s="18"/>
      <c r="F280" s="18"/>
      <c r="G280" s="18" t="s">
        <v>20</v>
      </c>
      <c r="H280" s="18" t="s">
        <v>130</v>
      </c>
      <c r="I280" s="18" t="str">
        <f t="shared" si="24"/>
        <v>2.당월실적_B2C</v>
      </c>
      <c r="J280" s="21" t="s">
        <v>73</v>
      </c>
      <c r="K280" s="20"/>
      <c r="L280" s="35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7"/>
      <c r="X280" s="35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7"/>
      <c r="AJ280" s="35"/>
      <c r="AK280" s="36"/>
      <c r="AL280" s="36"/>
      <c r="AM280" s="36"/>
      <c r="AN280" s="36"/>
      <c r="AO280" s="36"/>
      <c r="AP280" s="36"/>
      <c r="AQ280" s="36"/>
      <c r="AR280" s="36"/>
      <c r="AS280" s="36"/>
      <c r="AT280" s="36"/>
      <c r="AU280" s="37"/>
      <c r="AV280" s="35"/>
      <c r="AW280" s="36"/>
      <c r="AX280" s="36"/>
      <c r="AY280" s="36"/>
      <c r="AZ280" s="36"/>
      <c r="BA280" s="36"/>
      <c r="BB280" s="36"/>
      <c r="BC280" s="36"/>
      <c r="BD280" s="36"/>
      <c r="BE280" s="36"/>
      <c r="BF280" s="36"/>
      <c r="BG280" s="37"/>
      <c r="BH280" s="38"/>
      <c r="BI280" s="36"/>
      <c r="BJ280" s="36"/>
      <c r="BK280" s="36"/>
      <c r="BL280" s="36"/>
    </row>
    <row r="281" spans="1:64">
      <c r="A281" s="21" t="str">
        <f t="shared" si="23"/>
        <v>PCTOH_F_COST2.당월실적_B2C전년</v>
      </c>
      <c r="B281" s="18"/>
      <c r="C281" s="18"/>
      <c r="D281" s="18"/>
      <c r="E281" s="18"/>
      <c r="F281" s="18"/>
      <c r="G281" s="18" t="s">
        <v>20</v>
      </c>
      <c r="H281" s="18" t="s">
        <v>130</v>
      </c>
      <c r="I281" s="18" t="str">
        <f t="shared" si="24"/>
        <v>2.당월실적_B2C</v>
      </c>
      <c r="J281" s="34" t="s">
        <v>57</v>
      </c>
      <c r="K281" s="20"/>
      <c r="L281" s="35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7"/>
      <c r="X281" s="35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7"/>
      <c r="AJ281" s="35"/>
      <c r="AK281" s="36"/>
      <c r="AL281" s="36"/>
      <c r="AM281" s="36"/>
      <c r="AN281" s="36"/>
      <c r="AO281" s="36"/>
      <c r="AP281" s="36"/>
      <c r="AQ281" s="36"/>
      <c r="AR281" s="36"/>
      <c r="AS281" s="36"/>
      <c r="AT281" s="36"/>
      <c r="AU281" s="37"/>
      <c r="AV281" s="35"/>
      <c r="AW281" s="36"/>
      <c r="AX281" s="36"/>
      <c r="AY281" s="36"/>
      <c r="AZ281" s="36"/>
      <c r="BA281" s="36"/>
      <c r="BB281" s="36"/>
      <c r="BC281" s="36"/>
      <c r="BD281" s="36"/>
      <c r="BE281" s="36"/>
      <c r="BF281" s="36"/>
      <c r="BG281" s="37"/>
      <c r="BH281" s="38"/>
      <c r="BI281" s="36"/>
      <c r="BJ281" s="36"/>
      <c r="BK281" s="36"/>
      <c r="BL281" s="36"/>
    </row>
    <row r="282" spans="1:64">
      <c r="A282" s="21" t="str">
        <f t="shared" si="23"/>
        <v>PSTOH_F_COST2.당월실적_B2C금년</v>
      </c>
      <c r="B282" s="18"/>
      <c r="C282" s="18"/>
      <c r="D282" s="18"/>
      <c r="E282" s="18"/>
      <c r="F282" s="18"/>
      <c r="G282" s="18" t="s">
        <v>18</v>
      </c>
      <c r="H282" s="18" t="s">
        <v>130</v>
      </c>
      <c r="I282" s="18" t="str">
        <f t="shared" si="24"/>
        <v>2.당월실적_B2C</v>
      </c>
      <c r="J282" s="21" t="s">
        <v>73</v>
      </c>
      <c r="K282" s="20"/>
      <c r="L282" s="35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7"/>
      <c r="X282" s="35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7"/>
      <c r="AJ282" s="35"/>
      <c r="AK282" s="36"/>
      <c r="AL282" s="36"/>
      <c r="AM282" s="36"/>
      <c r="AN282" s="36"/>
      <c r="AO282" s="36"/>
      <c r="AP282" s="36"/>
      <c r="AQ282" s="36"/>
      <c r="AR282" s="36"/>
      <c r="AS282" s="36"/>
      <c r="AT282" s="36"/>
      <c r="AU282" s="37"/>
      <c r="AV282" s="35"/>
      <c r="AW282" s="36"/>
      <c r="AX282" s="36"/>
      <c r="AY282" s="36"/>
      <c r="AZ282" s="36"/>
      <c r="BA282" s="36"/>
      <c r="BB282" s="36"/>
      <c r="BC282" s="36"/>
      <c r="BD282" s="36"/>
      <c r="BE282" s="36"/>
      <c r="BF282" s="36"/>
      <c r="BG282" s="37"/>
      <c r="BH282" s="38"/>
      <c r="BI282" s="36"/>
      <c r="BJ282" s="36"/>
      <c r="BK282" s="36"/>
      <c r="BL282" s="36"/>
    </row>
    <row r="283" spans="1:64">
      <c r="A283" s="21" t="str">
        <f t="shared" si="23"/>
        <v>PSTOH_F_COST2.당월실적_B2C전년</v>
      </c>
      <c r="B283" s="18"/>
      <c r="C283" s="18"/>
      <c r="D283" s="18"/>
      <c r="E283" s="18"/>
      <c r="F283" s="18"/>
      <c r="G283" s="18" t="s">
        <v>18</v>
      </c>
      <c r="H283" s="18" t="s">
        <v>130</v>
      </c>
      <c r="I283" s="18" t="str">
        <f t="shared" si="24"/>
        <v>2.당월실적_B2C</v>
      </c>
      <c r="J283" s="34" t="s">
        <v>57</v>
      </c>
      <c r="K283" s="20"/>
      <c r="L283" s="35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7"/>
      <c r="X283" s="35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7"/>
      <c r="AJ283" s="35"/>
      <c r="AK283" s="36"/>
      <c r="AL283" s="36"/>
      <c r="AM283" s="36"/>
      <c r="AN283" s="36"/>
      <c r="AO283" s="36"/>
      <c r="AP283" s="36"/>
      <c r="AQ283" s="36"/>
      <c r="AR283" s="36"/>
      <c r="AS283" s="36"/>
      <c r="AT283" s="36"/>
      <c r="AU283" s="37"/>
      <c r="AV283" s="35"/>
      <c r="AW283" s="36"/>
      <c r="AX283" s="36"/>
      <c r="AY283" s="36"/>
      <c r="AZ283" s="36"/>
      <c r="BA283" s="36"/>
      <c r="BB283" s="36"/>
      <c r="BC283" s="36"/>
      <c r="BD283" s="36"/>
      <c r="BE283" s="36"/>
      <c r="BF283" s="36"/>
      <c r="BG283" s="37"/>
      <c r="BH283" s="38"/>
      <c r="BI283" s="36"/>
      <c r="BJ283" s="36"/>
      <c r="BK283" s="36"/>
      <c r="BL283" s="36"/>
    </row>
    <row r="284" spans="1:64">
      <c r="A284" s="21" t="str">
        <f t="shared" si="23"/>
        <v>DVTOH_F_COST2.당월실적_B2C금년</v>
      </c>
      <c r="B284" s="18"/>
      <c r="C284" s="18"/>
      <c r="D284" s="18"/>
      <c r="E284" s="18"/>
      <c r="F284" s="18"/>
      <c r="G284" s="18" t="s">
        <v>11</v>
      </c>
      <c r="H284" s="18" t="s">
        <v>130</v>
      </c>
      <c r="I284" s="18" t="str">
        <f t="shared" si="24"/>
        <v>2.당월실적_B2C</v>
      </c>
      <c r="J284" s="21" t="s">
        <v>73</v>
      </c>
      <c r="K284" s="20"/>
      <c r="L284" s="35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7"/>
      <c r="X284" s="35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7"/>
      <c r="AJ284" s="35"/>
      <c r="AK284" s="36"/>
      <c r="AL284" s="36"/>
      <c r="AM284" s="36"/>
      <c r="AN284" s="36"/>
      <c r="AO284" s="36"/>
      <c r="AP284" s="36"/>
      <c r="AQ284" s="36"/>
      <c r="AR284" s="36"/>
      <c r="AS284" s="36"/>
      <c r="AT284" s="36"/>
      <c r="AU284" s="37"/>
      <c r="AV284" s="35"/>
      <c r="AW284" s="36"/>
      <c r="AX284" s="36"/>
      <c r="AY284" s="36"/>
      <c r="AZ284" s="36"/>
      <c r="BA284" s="36"/>
      <c r="BB284" s="36"/>
      <c r="BC284" s="36"/>
      <c r="BD284" s="36"/>
      <c r="BE284" s="36"/>
      <c r="BF284" s="36"/>
      <c r="BG284" s="37"/>
      <c r="BH284" s="38"/>
      <c r="BI284" s="36"/>
      <c r="BJ284" s="36"/>
      <c r="BK284" s="36"/>
      <c r="BL284" s="36"/>
    </row>
    <row r="285" spans="1:64">
      <c r="A285" s="21" t="str">
        <f t="shared" si="23"/>
        <v>DVTOH_F_COST2.당월실적_B2C전년</v>
      </c>
      <c r="B285" s="18"/>
      <c r="C285" s="18"/>
      <c r="D285" s="18"/>
      <c r="E285" s="18"/>
      <c r="F285" s="18"/>
      <c r="G285" s="18" t="s">
        <v>11</v>
      </c>
      <c r="H285" s="18" t="s">
        <v>130</v>
      </c>
      <c r="I285" s="18" t="str">
        <f t="shared" si="24"/>
        <v>2.당월실적_B2C</v>
      </c>
      <c r="J285" s="34" t="s">
        <v>57</v>
      </c>
      <c r="K285" s="20"/>
      <c r="L285" s="35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7"/>
      <c r="X285" s="35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7"/>
      <c r="AJ285" s="35"/>
      <c r="AK285" s="36"/>
      <c r="AL285" s="36"/>
      <c r="AM285" s="36"/>
      <c r="AN285" s="36"/>
      <c r="AO285" s="36"/>
      <c r="AP285" s="36"/>
      <c r="AQ285" s="36"/>
      <c r="AR285" s="36"/>
      <c r="AS285" s="36"/>
      <c r="AT285" s="36"/>
      <c r="AU285" s="37"/>
      <c r="AV285" s="35"/>
      <c r="AW285" s="36"/>
      <c r="AX285" s="36"/>
      <c r="AY285" s="36"/>
      <c r="AZ285" s="36"/>
      <c r="BA285" s="36"/>
      <c r="BB285" s="36"/>
      <c r="BC285" s="36"/>
      <c r="BD285" s="36"/>
      <c r="BE285" s="36"/>
      <c r="BF285" s="36"/>
      <c r="BG285" s="37"/>
      <c r="BH285" s="38"/>
      <c r="BI285" s="36"/>
      <c r="BJ285" s="36"/>
      <c r="BK285" s="36"/>
      <c r="BL285" s="36"/>
    </row>
    <row r="286" spans="1:64">
      <c r="A286" s="17"/>
      <c r="H286" t="s">
        <v>130</v>
      </c>
      <c r="K286" s="20"/>
    </row>
    <row r="287" spans="1:64">
      <c r="A287" s="21" t="str">
        <f t="shared" ref="A287:A300" si="25">TRIM(B287)&amp;TRIM(C287)&amp;TRIM(D287)&amp;TRIM(E287)&amp;TRIM(F287)&amp;TRIM(G287)&amp;TRIM(H287)&amp;TRIM(I287)&amp;TRIM(J287)</f>
        <v>GJTOH_F_COST2.당월실적_B2B금년</v>
      </c>
      <c r="B287" s="18"/>
      <c r="C287" s="18"/>
      <c r="D287" s="18"/>
      <c r="E287" s="18"/>
      <c r="F287" s="18"/>
      <c r="G287" s="18" t="s">
        <v>12</v>
      </c>
      <c r="H287" s="18" t="s">
        <v>130</v>
      </c>
      <c r="I287" s="18" t="s">
        <v>119</v>
      </c>
      <c r="J287" s="21" t="s">
        <v>73</v>
      </c>
      <c r="K287" s="20"/>
      <c r="L287" s="35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7"/>
      <c r="X287" s="35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7"/>
      <c r="AJ287" s="35"/>
      <c r="AK287" s="36"/>
      <c r="AL287" s="36"/>
      <c r="AM287" s="36"/>
      <c r="AN287" s="36"/>
      <c r="AO287" s="36"/>
      <c r="AP287" s="36"/>
      <c r="AQ287" s="36"/>
      <c r="AR287" s="36"/>
      <c r="AS287" s="36"/>
      <c r="AT287" s="36"/>
      <c r="AU287" s="37"/>
      <c r="AV287" s="35"/>
      <c r="AW287" s="36"/>
      <c r="AX287" s="36"/>
      <c r="AY287" s="36"/>
      <c r="AZ287" s="36"/>
      <c r="BA287" s="36"/>
      <c r="BB287" s="36"/>
      <c r="BC287" s="36"/>
      <c r="BD287" s="36"/>
      <c r="BE287" s="36"/>
      <c r="BF287" s="36"/>
      <c r="BG287" s="37"/>
      <c r="BH287" s="38"/>
      <c r="BI287" s="36"/>
      <c r="BJ287" s="36"/>
      <c r="BK287" s="36"/>
      <c r="BL287" s="36"/>
    </row>
    <row r="288" spans="1:64" ht="18" customHeight="1">
      <c r="A288" s="21" t="str">
        <f t="shared" si="25"/>
        <v>GJTOH_F_COST2.당월실적_B2B전년</v>
      </c>
      <c r="B288" s="18"/>
      <c r="C288" s="18"/>
      <c r="D288" s="18"/>
      <c r="E288" s="18"/>
      <c r="F288" s="18"/>
      <c r="G288" s="18" t="s">
        <v>12</v>
      </c>
      <c r="H288" s="18" t="s">
        <v>130</v>
      </c>
      <c r="I288" s="18" t="s">
        <v>119</v>
      </c>
      <c r="J288" s="34" t="s">
        <v>57</v>
      </c>
      <c r="K288" s="20"/>
      <c r="L288" s="35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7"/>
      <c r="X288" s="35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7"/>
      <c r="AJ288" s="35"/>
      <c r="AK288" s="36"/>
      <c r="AL288" s="36"/>
      <c r="AM288" s="36"/>
      <c r="AN288" s="36"/>
      <c r="AO288" s="36"/>
      <c r="AP288" s="36"/>
      <c r="AQ288" s="36"/>
      <c r="AR288" s="36"/>
      <c r="AS288" s="36"/>
      <c r="AT288" s="36"/>
      <c r="AU288" s="37"/>
      <c r="AV288" s="35"/>
      <c r="AW288" s="36"/>
      <c r="AX288" s="36"/>
      <c r="AY288" s="36"/>
      <c r="AZ288" s="36"/>
      <c r="BA288" s="36"/>
      <c r="BB288" s="36"/>
      <c r="BC288" s="36"/>
      <c r="BD288" s="36"/>
      <c r="BE288" s="36"/>
      <c r="BF288" s="36"/>
      <c r="BG288" s="37"/>
      <c r="BH288" s="38"/>
      <c r="BI288" s="36"/>
      <c r="BJ288" s="36"/>
      <c r="BK288" s="36"/>
      <c r="BL288" s="36"/>
    </row>
    <row r="289" spans="1:64">
      <c r="A289" s="21" t="str">
        <f t="shared" si="25"/>
        <v>GNTOH_F_COST2.당월실적_B2B금년</v>
      </c>
      <c r="B289" s="18"/>
      <c r="C289" s="18"/>
      <c r="D289" s="18"/>
      <c r="E289" s="18"/>
      <c r="F289" s="18"/>
      <c r="G289" s="18" t="s">
        <v>14</v>
      </c>
      <c r="H289" s="18" t="s">
        <v>130</v>
      </c>
      <c r="I289" s="18" t="s">
        <v>119</v>
      </c>
      <c r="J289" s="21" t="s">
        <v>73</v>
      </c>
      <c r="K289" s="20"/>
      <c r="L289" s="35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7"/>
      <c r="X289" s="35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7"/>
      <c r="AJ289" s="35"/>
      <c r="AK289" s="36"/>
      <c r="AL289" s="36"/>
      <c r="AM289" s="36"/>
      <c r="AN289" s="36"/>
      <c r="AO289" s="36"/>
      <c r="AP289" s="36"/>
      <c r="AQ289" s="36"/>
      <c r="AR289" s="36"/>
      <c r="AS289" s="36"/>
      <c r="AT289" s="36"/>
      <c r="AU289" s="37"/>
      <c r="AV289" s="35"/>
      <c r="AW289" s="36"/>
      <c r="AX289" s="36"/>
      <c r="AY289" s="36"/>
      <c r="AZ289" s="36"/>
      <c r="BA289" s="36"/>
      <c r="BB289" s="36"/>
      <c r="BC289" s="36"/>
      <c r="BD289" s="36"/>
      <c r="BE289" s="36"/>
      <c r="BF289" s="36"/>
      <c r="BG289" s="37"/>
      <c r="BH289" s="38"/>
      <c r="BI289" s="36"/>
      <c r="BJ289" s="36"/>
      <c r="BK289" s="36"/>
      <c r="BL289" s="36"/>
    </row>
    <row r="290" spans="1:64">
      <c r="A290" s="21" t="str">
        <f t="shared" si="25"/>
        <v>GNTOH_F_COST2.당월실적_B2B전년</v>
      </c>
      <c r="B290" s="18"/>
      <c r="C290" s="18"/>
      <c r="D290" s="18"/>
      <c r="E290" s="18"/>
      <c r="F290" s="18"/>
      <c r="G290" s="18" t="s">
        <v>14</v>
      </c>
      <c r="H290" s="18" t="s">
        <v>130</v>
      </c>
      <c r="I290" s="18" t="s">
        <v>119</v>
      </c>
      <c r="J290" s="34" t="s">
        <v>57</v>
      </c>
      <c r="K290" s="20"/>
      <c r="L290" s="35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7"/>
      <c r="X290" s="35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7"/>
      <c r="AJ290" s="35"/>
      <c r="AK290" s="36"/>
      <c r="AL290" s="36"/>
      <c r="AM290" s="36"/>
      <c r="AN290" s="36"/>
      <c r="AO290" s="36"/>
      <c r="AP290" s="36"/>
      <c r="AQ290" s="36"/>
      <c r="AR290" s="36"/>
      <c r="AS290" s="36"/>
      <c r="AT290" s="36"/>
      <c r="AU290" s="37"/>
      <c r="AV290" s="35"/>
      <c r="AW290" s="36"/>
      <c r="AX290" s="36"/>
      <c r="AY290" s="36"/>
      <c r="AZ290" s="36"/>
      <c r="BA290" s="36"/>
      <c r="BB290" s="36"/>
      <c r="BC290" s="36"/>
      <c r="BD290" s="36"/>
      <c r="BE290" s="36"/>
      <c r="BF290" s="36"/>
      <c r="BG290" s="37"/>
      <c r="BH290" s="38"/>
      <c r="BI290" s="36"/>
      <c r="BJ290" s="36"/>
      <c r="BK290" s="36"/>
      <c r="BL290" s="36"/>
    </row>
    <row r="291" spans="1:64">
      <c r="A291" s="21" t="str">
        <f t="shared" si="25"/>
        <v>GOTOH_F_COST2.당월실적_B2B금년</v>
      </c>
      <c r="B291" s="18"/>
      <c r="C291" s="18"/>
      <c r="D291" s="18"/>
      <c r="E291" s="18"/>
      <c r="F291" s="18"/>
      <c r="G291" s="18" t="s">
        <v>117</v>
      </c>
      <c r="H291" s="18" t="s">
        <v>130</v>
      </c>
      <c r="I291" s="18" t="s">
        <v>119</v>
      </c>
      <c r="J291" s="21" t="s">
        <v>73</v>
      </c>
      <c r="K291" s="20"/>
      <c r="L291" s="35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7"/>
      <c r="X291" s="35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7"/>
      <c r="AJ291" s="35"/>
      <c r="AK291" s="36"/>
      <c r="AL291" s="36"/>
      <c r="AM291" s="36"/>
      <c r="AN291" s="36"/>
      <c r="AO291" s="36"/>
      <c r="AP291" s="36"/>
      <c r="AQ291" s="36"/>
      <c r="AR291" s="36"/>
      <c r="AS291" s="36"/>
      <c r="AT291" s="36"/>
      <c r="AU291" s="37"/>
      <c r="AV291" s="35"/>
      <c r="AW291" s="36"/>
      <c r="AX291" s="36"/>
      <c r="AY291" s="36"/>
      <c r="AZ291" s="36"/>
      <c r="BA291" s="36"/>
      <c r="BB291" s="36"/>
      <c r="BC291" s="36"/>
      <c r="BD291" s="36"/>
      <c r="BE291" s="36"/>
      <c r="BF291" s="36"/>
      <c r="BG291" s="37"/>
      <c r="BH291" s="38"/>
      <c r="BI291" s="36"/>
      <c r="BJ291" s="36"/>
      <c r="BK291" s="36"/>
      <c r="BL291" s="36"/>
    </row>
    <row r="292" spans="1:64">
      <c r="A292" s="21" t="str">
        <f t="shared" si="25"/>
        <v>GOTOH_F_COST2.당월실적_B2B전년</v>
      </c>
      <c r="B292" s="18"/>
      <c r="C292" s="18"/>
      <c r="D292" s="18"/>
      <c r="E292" s="18"/>
      <c r="F292" s="18"/>
      <c r="G292" s="18" t="s">
        <v>117</v>
      </c>
      <c r="H292" s="18" t="s">
        <v>130</v>
      </c>
      <c r="I292" s="18" t="s">
        <v>119</v>
      </c>
      <c r="J292" s="34" t="s">
        <v>57</v>
      </c>
      <c r="K292" s="20"/>
      <c r="L292" s="35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7"/>
      <c r="X292" s="35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7"/>
      <c r="AJ292" s="35"/>
      <c r="AK292" s="36"/>
      <c r="AL292" s="36"/>
      <c r="AM292" s="36"/>
      <c r="AN292" s="36"/>
      <c r="AO292" s="36"/>
      <c r="AP292" s="36"/>
      <c r="AQ292" s="36"/>
      <c r="AR292" s="36"/>
      <c r="AS292" s="36"/>
      <c r="AT292" s="36"/>
      <c r="AU292" s="37"/>
      <c r="AV292" s="35"/>
      <c r="AW292" s="36"/>
      <c r="AX292" s="36"/>
      <c r="AY292" s="36"/>
      <c r="AZ292" s="36"/>
      <c r="BA292" s="36"/>
      <c r="BB292" s="36"/>
      <c r="BC292" s="36"/>
      <c r="BD292" s="36"/>
      <c r="BE292" s="36"/>
      <c r="BF292" s="36"/>
      <c r="BG292" s="37"/>
      <c r="BH292" s="38"/>
      <c r="BI292" s="36"/>
      <c r="BJ292" s="36"/>
      <c r="BK292" s="36"/>
      <c r="BL292" s="36"/>
    </row>
    <row r="293" spans="1:64">
      <c r="A293" s="21" t="str">
        <f t="shared" si="25"/>
        <v>PKTOH_F_COST2.당월실적_B2B금년</v>
      </c>
      <c r="B293" s="18"/>
      <c r="C293" s="18"/>
      <c r="D293" s="18"/>
      <c r="E293" s="18"/>
      <c r="F293" s="18"/>
      <c r="G293" s="18" t="s">
        <v>105</v>
      </c>
      <c r="H293" s="18" t="s">
        <v>130</v>
      </c>
      <c r="I293" s="18" t="s">
        <v>119</v>
      </c>
      <c r="J293" s="21" t="s">
        <v>73</v>
      </c>
      <c r="K293" s="20"/>
      <c r="L293" s="35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7"/>
      <c r="X293" s="35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7"/>
      <c r="AJ293" s="35"/>
      <c r="AK293" s="36"/>
      <c r="AL293" s="36"/>
      <c r="AM293" s="36"/>
      <c r="AN293" s="36"/>
      <c r="AO293" s="36"/>
      <c r="AP293" s="36"/>
      <c r="AQ293" s="36"/>
      <c r="AR293" s="36"/>
      <c r="AS293" s="36"/>
      <c r="AT293" s="36"/>
      <c r="AU293" s="37"/>
      <c r="AV293" s="35"/>
      <c r="AW293" s="36"/>
      <c r="AX293" s="36"/>
      <c r="AY293" s="36"/>
      <c r="AZ293" s="36"/>
      <c r="BA293" s="36"/>
      <c r="BB293" s="36"/>
      <c r="BC293" s="36"/>
      <c r="BD293" s="36"/>
      <c r="BE293" s="36"/>
      <c r="BF293" s="36"/>
      <c r="BG293" s="37"/>
      <c r="BH293" s="38"/>
      <c r="BI293" s="36"/>
      <c r="BJ293" s="36"/>
      <c r="BK293" s="36"/>
      <c r="BL293" s="36"/>
    </row>
    <row r="294" spans="1:64">
      <c r="A294" s="21" t="str">
        <f t="shared" si="25"/>
        <v>PKTOH_F_COST2.당월실적_B2B전년</v>
      </c>
      <c r="B294" s="18"/>
      <c r="C294" s="18"/>
      <c r="D294" s="18"/>
      <c r="E294" s="18"/>
      <c r="F294" s="18"/>
      <c r="G294" s="18" t="s">
        <v>105</v>
      </c>
      <c r="H294" s="18" t="s">
        <v>130</v>
      </c>
      <c r="I294" s="18" t="s">
        <v>119</v>
      </c>
      <c r="J294" s="34" t="s">
        <v>57</v>
      </c>
      <c r="K294" s="20"/>
      <c r="L294" s="35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7"/>
      <c r="X294" s="35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7"/>
      <c r="AJ294" s="35"/>
      <c r="AK294" s="36"/>
      <c r="AL294" s="36"/>
      <c r="AM294" s="36"/>
      <c r="AN294" s="36"/>
      <c r="AO294" s="36"/>
      <c r="AP294" s="36"/>
      <c r="AQ294" s="36"/>
      <c r="AR294" s="36"/>
      <c r="AS294" s="36"/>
      <c r="AT294" s="36"/>
      <c r="AU294" s="37"/>
      <c r="AV294" s="35"/>
      <c r="AW294" s="36"/>
      <c r="AX294" s="36"/>
      <c r="AY294" s="36"/>
      <c r="AZ294" s="36"/>
      <c r="BA294" s="36"/>
      <c r="BB294" s="36"/>
      <c r="BC294" s="36"/>
      <c r="BD294" s="36"/>
      <c r="BE294" s="36"/>
      <c r="BF294" s="36"/>
      <c r="BG294" s="37"/>
      <c r="BH294" s="38"/>
      <c r="BI294" s="36"/>
      <c r="BJ294" s="36"/>
      <c r="BK294" s="36"/>
      <c r="BL294" s="36"/>
    </row>
    <row r="295" spans="1:64">
      <c r="A295" s="21" t="str">
        <f t="shared" si="25"/>
        <v>DMTOH_F_COST2.당월실적_B2B금년</v>
      </c>
      <c r="B295" s="18"/>
      <c r="C295" s="18"/>
      <c r="D295" s="18"/>
      <c r="E295" s="18"/>
      <c r="F295" s="18"/>
      <c r="G295" s="18" t="s">
        <v>10</v>
      </c>
      <c r="H295" s="18" t="s">
        <v>130</v>
      </c>
      <c r="I295" s="18" t="s">
        <v>119</v>
      </c>
      <c r="J295" s="21" t="s">
        <v>73</v>
      </c>
      <c r="K295" s="20"/>
      <c r="L295" s="35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7"/>
      <c r="X295" s="35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7"/>
      <c r="AJ295" s="35"/>
      <c r="AK295" s="36"/>
      <c r="AL295" s="36"/>
      <c r="AM295" s="36"/>
      <c r="AN295" s="36"/>
      <c r="AO295" s="36"/>
      <c r="AP295" s="36"/>
      <c r="AQ295" s="36"/>
      <c r="AR295" s="36"/>
      <c r="AS295" s="36"/>
      <c r="AT295" s="36"/>
      <c r="AU295" s="37"/>
      <c r="AV295" s="35"/>
      <c r="AW295" s="36"/>
      <c r="AX295" s="36"/>
      <c r="AY295" s="36"/>
      <c r="AZ295" s="36"/>
      <c r="BA295" s="36"/>
      <c r="BB295" s="36"/>
      <c r="BC295" s="36"/>
      <c r="BD295" s="36"/>
      <c r="BE295" s="36"/>
      <c r="BF295" s="36"/>
      <c r="BG295" s="37"/>
      <c r="BH295" s="38"/>
      <c r="BI295" s="36"/>
      <c r="BJ295" s="36"/>
      <c r="BK295" s="36"/>
      <c r="BL295" s="36"/>
    </row>
    <row r="296" spans="1:64">
      <c r="A296" s="21" t="str">
        <f t="shared" si="25"/>
        <v>DMTOH_F_COST2.당월실적_B2B전년</v>
      </c>
      <c r="B296" s="18"/>
      <c r="C296" s="18"/>
      <c r="D296" s="18"/>
      <c r="E296" s="18"/>
      <c r="F296" s="18"/>
      <c r="G296" s="18" t="s">
        <v>10</v>
      </c>
      <c r="H296" s="18" t="s">
        <v>130</v>
      </c>
      <c r="I296" s="18" t="s">
        <v>119</v>
      </c>
      <c r="J296" s="34" t="s">
        <v>57</v>
      </c>
      <c r="K296" s="20"/>
      <c r="L296" s="35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7"/>
      <c r="X296" s="35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7"/>
      <c r="AJ296" s="35"/>
      <c r="AK296" s="36"/>
      <c r="AL296" s="36"/>
      <c r="AM296" s="36"/>
      <c r="AN296" s="36"/>
      <c r="AO296" s="36"/>
      <c r="AP296" s="36"/>
      <c r="AQ296" s="36"/>
      <c r="AR296" s="36"/>
      <c r="AS296" s="36"/>
      <c r="AT296" s="36"/>
      <c r="AU296" s="37"/>
      <c r="AV296" s="35"/>
      <c r="AW296" s="36"/>
      <c r="AX296" s="36"/>
      <c r="AY296" s="36"/>
      <c r="AZ296" s="36"/>
      <c r="BA296" s="36"/>
      <c r="BB296" s="36"/>
      <c r="BC296" s="36"/>
      <c r="BD296" s="36"/>
      <c r="BE296" s="36"/>
      <c r="BF296" s="36"/>
      <c r="BG296" s="37"/>
      <c r="BH296" s="38"/>
      <c r="BI296" s="36"/>
      <c r="BJ296" s="36"/>
      <c r="BK296" s="36"/>
      <c r="BL296" s="36"/>
    </row>
    <row r="297" spans="1:64">
      <c r="A297" s="21" t="str">
        <f t="shared" si="25"/>
        <v>DTTOH_F_COST2.당월실적_B2B금년</v>
      </c>
      <c r="B297" s="18"/>
      <c r="C297" s="18"/>
      <c r="D297" s="18"/>
      <c r="E297" s="18"/>
      <c r="F297" s="18"/>
      <c r="G297" s="18" t="s">
        <v>118</v>
      </c>
      <c r="H297" s="18" t="s">
        <v>130</v>
      </c>
      <c r="I297" s="18" t="s">
        <v>119</v>
      </c>
      <c r="J297" s="21" t="s">
        <v>73</v>
      </c>
      <c r="K297" s="20"/>
      <c r="L297" s="35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7"/>
      <c r="X297" s="35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7"/>
      <c r="AJ297" s="35"/>
      <c r="AK297" s="36"/>
      <c r="AL297" s="36"/>
      <c r="AM297" s="36"/>
      <c r="AN297" s="36"/>
      <c r="AO297" s="36"/>
      <c r="AP297" s="36"/>
      <c r="AQ297" s="36"/>
      <c r="AR297" s="36"/>
      <c r="AS297" s="36"/>
      <c r="AT297" s="36"/>
      <c r="AU297" s="37"/>
      <c r="AV297" s="35"/>
      <c r="AW297" s="36"/>
      <c r="AX297" s="36"/>
      <c r="AY297" s="36"/>
      <c r="AZ297" s="36"/>
      <c r="BA297" s="36"/>
      <c r="BB297" s="36"/>
      <c r="BC297" s="36"/>
      <c r="BD297" s="36"/>
      <c r="BE297" s="36"/>
      <c r="BF297" s="36"/>
      <c r="BG297" s="37"/>
      <c r="BH297" s="38"/>
      <c r="BI297" s="36"/>
      <c r="BJ297" s="36"/>
      <c r="BK297" s="36"/>
      <c r="BL297" s="36"/>
    </row>
    <row r="298" spans="1:64">
      <c r="A298" s="21" t="str">
        <f t="shared" si="25"/>
        <v>DTTOH_F_COST2.당월실적_B2B전년</v>
      </c>
      <c r="B298" s="18"/>
      <c r="C298" s="18"/>
      <c r="D298" s="18"/>
      <c r="E298" s="18"/>
      <c r="F298" s="18"/>
      <c r="G298" s="18" t="s">
        <v>118</v>
      </c>
      <c r="H298" s="18" t="s">
        <v>130</v>
      </c>
      <c r="I298" s="18" t="s">
        <v>119</v>
      </c>
      <c r="J298" s="34" t="s">
        <v>57</v>
      </c>
      <c r="K298" s="20"/>
      <c r="L298" s="35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7"/>
      <c r="X298" s="35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7"/>
      <c r="AJ298" s="35"/>
      <c r="AK298" s="36"/>
      <c r="AL298" s="36"/>
      <c r="AM298" s="36"/>
      <c r="AN298" s="36"/>
      <c r="AO298" s="36"/>
      <c r="AP298" s="36"/>
      <c r="AQ298" s="36"/>
      <c r="AR298" s="36"/>
      <c r="AS298" s="36"/>
      <c r="AT298" s="36"/>
      <c r="AU298" s="37"/>
      <c r="AV298" s="35"/>
      <c r="AW298" s="36"/>
      <c r="AX298" s="36"/>
      <c r="AY298" s="36"/>
      <c r="AZ298" s="36"/>
      <c r="BA298" s="36"/>
      <c r="BB298" s="36"/>
      <c r="BC298" s="36"/>
      <c r="BD298" s="36"/>
      <c r="BE298" s="36"/>
      <c r="BF298" s="36"/>
      <c r="BG298" s="37"/>
      <c r="BH298" s="38"/>
      <c r="BI298" s="36"/>
      <c r="BJ298" s="36"/>
      <c r="BK298" s="36"/>
      <c r="BL298" s="36"/>
    </row>
    <row r="299" spans="1:64">
      <c r="A299" s="21" t="str">
        <f t="shared" si="25"/>
        <v>PGTOH_F_COST2.당월실적_B2B금년</v>
      </c>
      <c r="B299" s="18"/>
      <c r="C299" s="18"/>
      <c r="D299" s="18"/>
      <c r="E299" s="18"/>
      <c r="F299" s="18"/>
      <c r="G299" s="18" t="s">
        <v>19</v>
      </c>
      <c r="H299" s="18" t="s">
        <v>130</v>
      </c>
      <c r="I299" s="18" t="s">
        <v>119</v>
      </c>
      <c r="J299" s="21" t="s">
        <v>73</v>
      </c>
      <c r="K299" s="20"/>
      <c r="L299" s="35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7"/>
      <c r="X299" s="35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7"/>
      <c r="AJ299" s="35"/>
      <c r="AK299" s="36"/>
      <c r="AL299" s="36"/>
      <c r="AM299" s="36"/>
      <c r="AN299" s="36"/>
      <c r="AO299" s="36"/>
      <c r="AP299" s="36"/>
      <c r="AQ299" s="36"/>
      <c r="AR299" s="36"/>
      <c r="AS299" s="36"/>
      <c r="AT299" s="36"/>
      <c r="AU299" s="37"/>
      <c r="AV299" s="35"/>
      <c r="AW299" s="36"/>
      <c r="AX299" s="36"/>
      <c r="AY299" s="36"/>
      <c r="AZ299" s="36"/>
      <c r="BA299" s="36"/>
      <c r="BB299" s="36"/>
      <c r="BC299" s="36"/>
      <c r="BD299" s="36"/>
      <c r="BE299" s="36"/>
      <c r="BF299" s="36"/>
      <c r="BG299" s="37"/>
      <c r="BH299" s="38"/>
      <c r="BI299" s="36"/>
      <c r="BJ299" s="36"/>
      <c r="BK299" s="36"/>
      <c r="BL299" s="36"/>
    </row>
    <row r="300" spans="1:64">
      <c r="A300" s="21" t="str">
        <f t="shared" si="25"/>
        <v>PGTOH_F_COST2.당월실적_B2B전년</v>
      </c>
      <c r="B300" s="18"/>
      <c r="C300" s="18"/>
      <c r="D300" s="18"/>
      <c r="E300" s="18"/>
      <c r="F300" s="18"/>
      <c r="G300" s="18" t="s">
        <v>19</v>
      </c>
      <c r="H300" s="18" t="s">
        <v>130</v>
      </c>
      <c r="I300" s="18" t="s">
        <v>119</v>
      </c>
      <c r="J300" s="34" t="s">
        <v>57</v>
      </c>
      <c r="K300" s="20"/>
      <c r="L300" s="35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7"/>
      <c r="X300" s="35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7"/>
      <c r="AJ300" s="35"/>
      <c r="AK300" s="36"/>
      <c r="AL300" s="36"/>
      <c r="AM300" s="36"/>
      <c r="AN300" s="36"/>
      <c r="AO300" s="36"/>
      <c r="AP300" s="36"/>
      <c r="AQ300" s="36"/>
      <c r="AR300" s="36"/>
      <c r="AS300" s="36"/>
      <c r="AT300" s="36"/>
      <c r="AU300" s="37"/>
      <c r="AV300" s="35"/>
      <c r="AW300" s="36"/>
      <c r="AX300" s="36"/>
      <c r="AY300" s="36"/>
      <c r="AZ300" s="36"/>
      <c r="BA300" s="36"/>
      <c r="BB300" s="36"/>
      <c r="BC300" s="36"/>
      <c r="BD300" s="36"/>
      <c r="BE300" s="36"/>
      <c r="BF300" s="36"/>
      <c r="BG300" s="37"/>
      <c r="BH300" s="38"/>
      <c r="BI300" s="36"/>
      <c r="BJ300" s="36"/>
      <c r="BK300" s="36"/>
      <c r="BL300" s="36"/>
    </row>
    <row r="301" spans="1:64">
      <c r="A301" s="17"/>
      <c r="K301" s="20"/>
    </row>
    <row r="302" spans="1:64">
      <c r="A302" s="21" t="str">
        <f t="shared" ref="A302:A321" si="26">TRIM(B302)&amp;TRIM(C302)&amp;TRIM(D302)&amp;TRIM(E302)&amp;TRIM(F302)&amp;TRIM(G302)&amp;TRIM(H302)&amp;TRIM(I302)&amp;TRIM(J302)</f>
        <v>GLTOH_F_LABOR2.당월실적_B2C금년</v>
      </c>
      <c r="B302" s="18"/>
      <c r="C302" s="18"/>
      <c r="D302" s="18"/>
      <c r="E302" s="18"/>
      <c r="F302" s="18"/>
      <c r="G302" s="18" t="s">
        <v>13</v>
      </c>
      <c r="H302" s="18" t="s">
        <v>131</v>
      </c>
      <c r="I302" s="18" t="s">
        <v>78</v>
      </c>
      <c r="J302" s="21" t="s">
        <v>73</v>
      </c>
      <c r="K302" s="20"/>
      <c r="L302" s="35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7"/>
      <c r="X302" s="35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7"/>
      <c r="AJ302" s="35"/>
      <c r="AK302" s="36"/>
      <c r="AL302" s="36"/>
      <c r="AM302" s="36"/>
      <c r="AN302" s="36"/>
      <c r="AO302" s="36"/>
      <c r="AP302" s="36"/>
      <c r="AQ302" s="36"/>
      <c r="AR302" s="36"/>
      <c r="AS302" s="36"/>
      <c r="AT302" s="36"/>
      <c r="AU302" s="37"/>
      <c r="AV302" s="35"/>
      <c r="AW302" s="36"/>
      <c r="AX302" s="36"/>
      <c r="AY302" s="36"/>
      <c r="AZ302" s="36"/>
      <c r="BA302" s="36"/>
      <c r="BB302" s="36"/>
      <c r="BC302" s="36"/>
      <c r="BD302" s="36"/>
      <c r="BE302" s="36"/>
      <c r="BF302" s="36"/>
      <c r="BG302" s="37"/>
      <c r="BH302" s="38"/>
      <c r="BI302" s="36"/>
      <c r="BJ302" s="36"/>
      <c r="BK302" s="36"/>
      <c r="BL302" s="36"/>
    </row>
    <row r="303" spans="1:64">
      <c r="A303" s="21" t="str">
        <f t="shared" si="26"/>
        <v>GLTOH_F_LABOR2.당월실적_B2C전년</v>
      </c>
      <c r="B303" s="18"/>
      <c r="C303" s="18"/>
      <c r="D303" s="18"/>
      <c r="E303" s="18"/>
      <c r="F303" s="18"/>
      <c r="G303" s="18" t="s">
        <v>13</v>
      </c>
      <c r="H303" s="18" t="s">
        <v>131</v>
      </c>
      <c r="I303" s="18" t="s">
        <v>78</v>
      </c>
      <c r="J303" s="34" t="s">
        <v>57</v>
      </c>
      <c r="K303" s="20"/>
      <c r="L303" s="35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7"/>
      <c r="X303" s="35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7"/>
      <c r="AJ303" s="35"/>
      <c r="AK303" s="36"/>
      <c r="AL303" s="36"/>
      <c r="AM303" s="36"/>
      <c r="AN303" s="36"/>
      <c r="AO303" s="36"/>
      <c r="AP303" s="36"/>
      <c r="AQ303" s="36"/>
      <c r="AR303" s="36"/>
      <c r="AS303" s="36"/>
      <c r="AT303" s="36"/>
      <c r="AU303" s="37"/>
      <c r="AV303" s="35"/>
      <c r="AW303" s="36"/>
      <c r="AX303" s="36"/>
      <c r="AY303" s="36"/>
      <c r="AZ303" s="36"/>
      <c r="BA303" s="36"/>
      <c r="BB303" s="36"/>
      <c r="BC303" s="36"/>
      <c r="BD303" s="36"/>
      <c r="BE303" s="36"/>
      <c r="BF303" s="36"/>
      <c r="BG303" s="37"/>
      <c r="BH303" s="38"/>
      <c r="BI303" s="36"/>
      <c r="BJ303" s="36"/>
      <c r="BK303" s="36"/>
      <c r="BL303" s="36"/>
    </row>
    <row r="304" spans="1:64">
      <c r="A304" s="21" t="str">
        <f t="shared" si="26"/>
        <v>GTTOH_F_LABOR2.당월실적_B2C금년</v>
      </c>
      <c r="B304" s="18"/>
      <c r="C304" s="18"/>
      <c r="D304" s="18"/>
      <c r="E304" s="18"/>
      <c r="F304" s="18"/>
      <c r="G304" s="18" t="s">
        <v>15</v>
      </c>
      <c r="H304" s="18" t="s">
        <v>131</v>
      </c>
      <c r="I304" s="18" t="s">
        <v>78</v>
      </c>
      <c r="J304" s="21" t="s">
        <v>73</v>
      </c>
      <c r="K304" s="20"/>
      <c r="L304" s="35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7"/>
      <c r="X304" s="35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7"/>
      <c r="AJ304" s="35"/>
      <c r="AK304" s="36"/>
      <c r="AL304" s="36"/>
      <c r="AM304" s="36"/>
      <c r="AN304" s="36"/>
      <c r="AO304" s="36"/>
      <c r="AP304" s="36"/>
      <c r="AQ304" s="36"/>
      <c r="AR304" s="36"/>
      <c r="AS304" s="36"/>
      <c r="AT304" s="36"/>
      <c r="AU304" s="37"/>
      <c r="AV304" s="35"/>
      <c r="AW304" s="36"/>
      <c r="AX304" s="36"/>
      <c r="AY304" s="36"/>
      <c r="AZ304" s="36"/>
      <c r="BA304" s="36"/>
      <c r="BB304" s="36"/>
      <c r="BC304" s="36"/>
      <c r="BD304" s="36"/>
      <c r="BE304" s="36"/>
      <c r="BF304" s="36"/>
      <c r="BG304" s="37"/>
      <c r="BH304" s="38"/>
      <c r="BI304" s="36"/>
      <c r="BJ304" s="36"/>
      <c r="BK304" s="36"/>
      <c r="BL304" s="36"/>
    </row>
    <row r="305" spans="1:64">
      <c r="A305" s="21" t="str">
        <f t="shared" si="26"/>
        <v>GTTOH_F_LABOR2.당월실적_B2C전년</v>
      </c>
      <c r="B305" s="18"/>
      <c r="C305" s="18"/>
      <c r="D305" s="18"/>
      <c r="E305" s="18"/>
      <c r="F305" s="18"/>
      <c r="G305" s="18" t="s">
        <v>15</v>
      </c>
      <c r="H305" s="18" t="s">
        <v>131</v>
      </c>
      <c r="I305" s="18" t="s">
        <v>78</v>
      </c>
      <c r="J305" s="34" t="s">
        <v>57</v>
      </c>
      <c r="K305" s="20"/>
      <c r="L305" s="35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7"/>
      <c r="X305" s="35"/>
      <c r="Y305" s="36"/>
      <c r="Z305" s="36"/>
      <c r="AA305" s="36"/>
      <c r="AB305" s="36"/>
      <c r="AC305" s="36"/>
      <c r="AD305" s="36"/>
      <c r="AE305" s="36"/>
      <c r="AF305" s="36"/>
      <c r="AG305" s="36"/>
      <c r="AH305" s="36"/>
      <c r="AI305" s="37"/>
      <c r="AJ305" s="35"/>
      <c r="AK305" s="36"/>
      <c r="AL305" s="36"/>
      <c r="AM305" s="36"/>
      <c r="AN305" s="36"/>
      <c r="AO305" s="36"/>
      <c r="AP305" s="36"/>
      <c r="AQ305" s="36"/>
      <c r="AR305" s="36"/>
      <c r="AS305" s="36"/>
      <c r="AT305" s="36"/>
      <c r="AU305" s="37"/>
      <c r="AV305" s="35"/>
      <c r="AW305" s="36"/>
      <c r="AX305" s="36"/>
      <c r="AY305" s="36"/>
      <c r="AZ305" s="36"/>
      <c r="BA305" s="36"/>
      <c r="BB305" s="36"/>
      <c r="BC305" s="36"/>
      <c r="BD305" s="36"/>
      <c r="BE305" s="36"/>
      <c r="BF305" s="36"/>
      <c r="BG305" s="37"/>
      <c r="BH305" s="38"/>
      <c r="BI305" s="36"/>
      <c r="BJ305" s="36"/>
      <c r="BK305" s="36"/>
      <c r="BL305" s="36"/>
    </row>
    <row r="306" spans="1:64">
      <c r="A306" s="21" t="str">
        <f t="shared" si="26"/>
        <v>PNTOH_F_LABOR2.당월실적_B2C금년</v>
      </c>
      <c r="B306" s="18"/>
      <c r="C306" s="18"/>
      <c r="D306" s="18"/>
      <c r="E306" s="18"/>
      <c r="F306" s="18"/>
      <c r="G306" s="18" t="s">
        <v>17</v>
      </c>
      <c r="H306" s="18" t="s">
        <v>131</v>
      </c>
      <c r="I306" s="18" t="s">
        <v>78</v>
      </c>
      <c r="J306" s="21" t="s">
        <v>73</v>
      </c>
      <c r="K306" s="20"/>
      <c r="L306" s="35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7"/>
      <c r="X306" s="35"/>
      <c r="Y306" s="36"/>
      <c r="Z306" s="36"/>
      <c r="AA306" s="36"/>
      <c r="AB306" s="36"/>
      <c r="AC306" s="36"/>
      <c r="AD306" s="36"/>
      <c r="AE306" s="36"/>
      <c r="AF306" s="36"/>
      <c r="AG306" s="36"/>
      <c r="AH306" s="36"/>
      <c r="AI306" s="37"/>
      <c r="AJ306" s="35"/>
      <c r="AK306" s="36"/>
      <c r="AL306" s="36"/>
      <c r="AM306" s="36"/>
      <c r="AN306" s="36"/>
      <c r="AO306" s="36"/>
      <c r="AP306" s="36"/>
      <c r="AQ306" s="36"/>
      <c r="AR306" s="36"/>
      <c r="AS306" s="36"/>
      <c r="AT306" s="36"/>
      <c r="AU306" s="37"/>
      <c r="AV306" s="35"/>
      <c r="AW306" s="36"/>
      <c r="AX306" s="36"/>
      <c r="AY306" s="36"/>
      <c r="AZ306" s="36"/>
      <c r="BA306" s="36"/>
      <c r="BB306" s="36"/>
      <c r="BC306" s="36"/>
      <c r="BD306" s="36"/>
      <c r="BE306" s="36"/>
      <c r="BF306" s="36"/>
      <c r="BG306" s="37"/>
      <c r="BH306" s="38"/>
      <c r="BI306" s="36"/>
      <c r="BJ306" s="36"/>
      <c r="BK306" s="36"/>
      <c r="BL306" s="36"/>
    </row>
    <row r="307" spans="1:64">
      <c r="A307" s="21" t="str">
        <f t="shared" si="26"/>
        <v>PNTOH_F_LABOR2.당월실적_B2C전년</v>
      </c>
      <c r="B307" s="18"/>
      <c r="C307" s="18"/>
      <c r="D307" s="18"/>
      <c r="E307" s="18"/>
      <c r="F307" s="18"/>
      <c r="G307" s="18" t="s">
        <v>17</v>
      </c>
      <c r="H307" s="18" t="s">
        <v>131</v>
      </c>
      <c r="I307" s="18" t="s">
        <v>78</v>
      </c>
      <c r="J307" s="34" t="s">
        <v>57</v>
      </c>
      <c r="K307" s="20"/>
      <c r="L307" s="35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7"/>
      <c r="X307" s="35"/>
      <c r="Y307" s="36"/>
      <c r="Z307" s="36"/>
      <c r="AA307" s="36"/>
      <c r="AB307" s="36"/>
      <c r="AC307" s="36"/>
      <c r="AD307" s="36"/>
      <c r="AE307" s="36"/>
      <c r="AF307" s="36"/>
      <c r="AG307" s="36"/>
      <c r="AH307" s="36"/>
      <c r="AI307" s="37"/>
      <c r="AJ307" s="35"/>
      <c r="AK307" s="36"/>
      <c r="AL307" s="36"/>
      <c r="AM307" s="36"/>
      <c r="AN307" s="36"/>
      <c r="AO307" s="36"/>
      <c r="AP307" s="36"/>
      <c r="AQ307" s="36"/>
      <c r="AR307" s="36"/>
      <c r="AS307" s="36"/>
      <c r="AT307" s="36"/>
      <c r="AU307" s="37"/>
      <c r="AV307" s="35"/>
      <c r="AW307" s="36"/>
      <c r="AX307" s="36"/>
      <c r="AY307" s="36"/>
      <c r="AZ307" s="36"/>
      <c r="BA307" s="36"/>
      <c r="BB307" s="36"/>
      <c r="BC307" s="36"/>
      <c r="BD307" s="36"/>
      <c r="BE307" s="36"/>
      <c r="BF307" s="36"/>
      <c r="BG307" s="37"/>
      <c r="BH307" s="38"/>
      <c r="BI307" s="36"/>
      <c r="BJ307" s="36"/>
      <c r="BK307" s="36"/>
      <c r="BL307" s="36"/>
    </row>
    <row r="308" spans="1:64">
      <c r="A308" s="21" t="str">
        <f t="shared" si="26"/>
        <v>MSTOH_F_LABOR2.당월실적_B2C금년</v>
      </c>
      <c r="B308" s="18"/>
      <c r="C308" s="18"/>
      <c r="D308" s="18"/>
      <c r="E308" s="18"/>
      <c r="F308" s="18"/>
      <c r="G308" s="18" t="s">
        <v>16</v>
      </c>
      <c r="H308" s="18" t="s">
        <v>131</v>
      </c>
      <c r="I308" s="18" t="s">
        <v>78</v>
      </c>
      <c r="J308" s="21" t="s">
        <v>73</v>
      </c>
      <c r="K308" s="20"/>
      <c r="L308" s="35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7"/>
      <c r="X308" s="35"/>
      <c r="Y308" s="36"/>
      <c r="Z308" s="36"/>
      <c r="AA308" s="36"/>
      <c r="AB308" s="36"/>
      <c r="AC308" s="36"/>
      <c r="AD308" s="36"/>
      <c r="AE308" s="36"/>
      <c r="AF308" s="36"/>
      <c r="AG308" s="36"/>
      <c r="AH308" s="36"/>
      <c r="AI308" s="37"/>
      <c r="AJ308" s="35"/>
      <c r="AK308" s="36"/>
      <c r="AL308" s="36"/>
      <c r="AM308" s="36"/>
      <c r="AN308" s="36"/>
      <c r="AO308" s="36"/>
      <c r="AP308" s="36"/>
      <c r="AQ308" s="36"/>
      <c r="AR308" s="36"/>
      <c r="AS308" s="36"/>
      <c r="AT308" s="36"/>
      <c r="AU308" s="37"/>
      <c r="AV308" s="35"/>
      <c r="AW308" s="36"/>
      <c r="AX308" s="36"/>
      <c r="AY308" s="36"/>
      <c r="AZ308" s="36"/>
      <c r="BA308" s="36"/>
      <c r="BB308" s="36"/>
      <c r="BC308" s="36"/>
      <c r="BD308" s="36"/>
      <c r="BE308" s="36"/>
      <c r="BF308" s="36"/>
      <c r="BG308" s="37"/>
      <c r="BH308" s="38"/>
      <c r="BI308" s="36"/>
      <c r="BJ308" s="36"/>
      <c r="BK308" s="36"/>
      <c r="BL308" s="36"/>
    </row>
    <row r="309" spans="1:64">
      <c r="A309" s="21" t="str">
        <f t="shared" si="26"/>
        <v>MSTOH_F_LABOR2.당월실적_B2C전년</v>
      </c>
      <c r="B309" s="18"/>
      <c r="C309" s="18"/>
      <c r="D309" s="18"/>
      <c r="E309" s="18"/>
      <c r="F309" s="18"/>
      <c r="G309" s="18" t="s">
        <v>16</v>
      </c>
      <c r="H309" s="18" t="s">
        <v>131</v>
      </c>
      <c r="I309" s="18" t="s">
        <v>78</v>
      </c>
      <c r="J309" s="34" t="s">
        <v>57</v>
      </c>
      <c r="K309" s="20"/>
      <c r="L309" s="35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7"/>
      <c r="X309" s="35"/>
      <c r="Y309" s="36"/>
      <c r="Z309" s="36"/>
      <c r="AA309" s="36"/>
      <c r="AB309" s="36"/>
      <c r="AC309" s="36"/>
      <c r="AD309" s="36"/>
      <c r="AE309" s="36"/>
      <c r="AF309" s="36"/>
      <c r="AG309" s="36"/>
      <c r="AH309" s="36"/>
      <c r="AI309" s="37"/>
      <c r="AJ309" s="35"/>
      <c r="AK309" s="36"/>
      <c r="AL309" s="36"/>
      <c r="AM309" s="36"/>
      <c r="AN309" s="36"/>
      <c r="AO309" s="36"/>
      <c r="AP309" s="36"/>
      <c r="AQ309" s="36"/>
      <c r="AR309" s="36"/>
      <c r="AS309" s="36"/>
      <c r="AT309" s="36"/>
      <c r="AU309" s="37"/>
      <c r="AV309" s="35"/>
      <c r="AW309" s="36"/>
      <c r="AX309" s="36"/>
      <c r="AY309" s="36"/>
      <c r="AZ309" s="36"/>
      <c r="BA309" s="36"/>
      <c r="BB309" s="36"/>
      <c r="BC309" s="36"/>
      <c r="BD309" s="36"/>
      <c r="BE309" s="36"/>
      <c r="BF309" s="36"/>
      <c r="BG309" s="37"/>
      <c r="BH309" s="38"/>
      <c r="BI309" s="36"/>
      <c r="BJ309" s="36"/>
      <c r="BK309" s="36"/>
      <c r="BL309" s="36"/>
    </row>
    <row r="310" spans="1:64">
      <c r="A310" s="21" t="str">
        <f t="shared" si="26"/>
        <v>CNTOH_F_LABOR2.당월실적_B2C금년</v>
      </c>
      <c r="B310" s="18"/>
      <c r="C310" s="18"/>
      <c r="D310" s="18"/>
      <c r="E310" s="18"/>
      <c r="F310" s="18"/>
      <c r="G310" s="18" t="s">
        <v>7</v>
      </c>
      <c r="H310" s="18" t="s">
        <v>131</v>
      </c>
      <c r="I310" s="18" t="s">
        <v>78</v>
      </c>
      <c r="J310" s="21" t="s">
        <v>73</v>
      </c>
      <c r="K310" s="20"/>
      <c r="L310" s="35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7"/>
      <c r="X310" s="35"/>
      <c r="Y310" s="36"/>
      <c r="Z310" s="36"/>
      <c r="AA310" s="36"/>
      <c r="AB310" s="36"/>
      <c r="AC310" s="36"/>
      <c r="AD310" s="36"/>
      <c r="AE310" s="36"/>
      <c r="AF310" s="36"/>
      <c r="AG310" s="36"/>
      <c r="AH310" s="36"/>
      <c r="AI310" s="37"/>
      <c r="AJ310" s="35"/>
      <c r="AK310" s="36"/>
      <c r="AL310" s="36"/>
      <c r="AM310" s="36"/>
      <c r="AN310" s="36"/>
      <c r="AO310" s="36"/>
      <c r="AP310" s="36"/>
      <c r="AQ310" s="36"/>
      <c r="AR310" s="36"/>
      <c r="AS310" s="36"/>
      <c r="AT310" s="36"/>
      <c r="AU310" s="37"/>
      <c r="AV310" s="35"/>
      <c r="AW310" s="36"/>
      <c r="AX310" s="36"/>
      <c r="AY310" s="36"/>
      <c r="AZ310" s="36"/>
      <c r="BA310" s="36"/>
      <c r="BB310" s="36"/>
      <c r="BC310" s="36"/>
      <c r="BD310" s="36"/>
      <c r="BE310" s="36"/>
      <c r="BF310" s="36"/>
      <c r="BG310" s="37"/>
      <c r="BH310" s="38"/>
      <c r="BI310" s="36"/>
      <c r="BJ310" s="36"/>
      <c r="BK310" s="36"/>
      <c r="BL310" s="36"/>
    </row>
    <row r="311" spans="1:64">
      <c r="A311" s="21" t="str">
        <f t="shared" si="26"/>
        <v>CNTOH_F_LABOR2.당월실적_B2C전년</v>
      </c>
      <c r="B311" s="18"/>
      <c r="C311" s="18"/>
      <c r="D311" s="18"/>
      <c r="E311" s="18"/>
      <c r="F311" s="18"/>
      <c r="G311" s="18" t="s">
        <v>7</v>
      </c>
      <c r="H311" s="18" t="s">
        <v>131</v>
      </c>
      <c r="I311" s="18" t="s">
        <v>78</v>
      </c>
      <c r="J311" s="34" t="s">
        <v>57</v>
      </c>
      <c r="K311" s="20"/>
      <c r="L311" s="35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7"/>
      <c r="X311" s="35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7"/>
      <c r="AJ311" s="35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7"/>
      <c r="AV311" s="35"/>
      <c r="AW311" s="36"/>
      <c r="AX311" s="36"/>
      <c r="AY311" s="36"/>
      <c r="AZ311" s="36"/>
      <c r="BA311" s="36"/>
      <c r="BB311" s="36"/>
      <c r="BC311" s="36"/>
      <c r="BD311" s="36"/>
      <c r="BE311" s="36"/>
      <c r="BF311" s="36"/>
      <c r="BG311" s="37"/>
      <c r="BH311" s="38"/>
      <c r="BI311" s="36"/>
      <c r="BJ311" s="36"/>
      <c r="BK311" s="36"/>
      <c r="BL311" s="36"/>
    </row>
    <row r="312" spans="1:64">
      <c r="A312" s="21" t="str">
        <f t="shared" si="26"/>
        <v>DFTOH_F_LABOR2.당월실적_B2C금년</v>
      </c>
      <c r="B312" s="18"/>
      <c r="C312" s="18"/>
      <c r="D312" s="18"/>
      <c r="E312" s="18"/>
      <c r="F312" s="18"/>
      <c r="G312" s="18" t="s">
        <v>8</v>
      </c>
      <c r="H312" s="18" t="s">
        <v>131</v>
      </c>
      <c r="I312" s="18" t="str">
        <f t="shared" ref="I312:I321" si="27">I302</f>
        <v>2.당월실적_B2C</v>
      </c>
      <c r="J312" s="21" t="s">
        <v>73</v>
      </c>
      <c r="K312" s="20"/>
      <c r="L312" s="35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7"/>
      <c r="X312" s="35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7"/>
      <c r="AJ312" s="35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7"/>
      <c r="AV312" s="35"/>
      <c r="AW312" s="36"/>
      <c r="AX312" s="36"/>
      <c r="AY312" s="36"/>
      <c r="AZ312" s="36"/>
      <c r="BA312" s="36"/>
      <c r="BB312" s="36"/>
      <c r="BC312" s="36"/>
      <c r="BD312" s="36"/>
      <c r="BE312" s="36"/>
      <c r="BF312" s="36"/>
      <c r="BG312" s="37"/>
      <c r="BH312" s="38"/>
      <c r="BI312" s="36"/>
      <c r="BJ312" s="36"/>
      <c r="BK312" s="36"/>
      <c r="BL312" s="36"/>
    </row>
    <row r="313" spans="1:64">
      <c r="A313" s="21" t="str">
        <f t="shared" si="26"/>
        <v>DFTOH_F_LABOR2.당월실적_B2C전년</v>
      </c>
      <c r="B313" s="18"/>
      <c r="C313" s="18"/>
      <c r="D313" s="18"/>
      <c r="E313" s="18"/>
      <c r="F313" s="18"/>
      <c r="G313" s="18" t="s">
        <v>8</v>
      </c>
      <c r="H313" s="18" t="s">
        <v>131</v>
      </c>
      <c r="I313" s="18" t="str">
        <f t="shared" si="27"/>
        <v>2.당월실적_B2C</v>
      </c>
      <c r="J313" s="34" t="s">
        <v>57</v>
      </c>
      <c r="K313" s="20"/>
      <c r="L313" s="35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7"/>
      <c r="X313" s="35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7"/>
      <c r="AJ313" s="35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7"/>
      <c r="AV313" s="35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7"/>
      <c r="BH313" s="38"/>
      <c r="BI313" s="36"/>
      <c r="BJ313" s="36"/>
      <c r="BK313" s="36"/>
      <c r="BL313" s="36"/>
    </row>
    <row r="314" spans="1:64">
      <c r="A314" s="21" t="str">
        <f t="shared" si="26"/>
        <v>DGTOH_F_LABOR2.당월실적_B2C금년</v>
      </c>
      <c r="B314" s="18"/>
      <c r="C314" s="18"/>
      <c r="D314" s="18"/>
      <c r="E314" s="18"/>
      <c r="F314" s="18"/>
      <c r="G314" s="18" t="s">
        <v>9</v>
      </c>
      <c r="H314" s="18" t="s">
        <v>131</v>
      </c>
      <c r="I314" s="18" t="str">
        <f t="shared" si="27"/>
        <v>2.당월실적_B2C</v>
      </c>
      <c r="J314" s="21" t="s">
        <v>73</v>
      </c>
      <c r="K314" s="20"/>
      <c r="L314" s="35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7"/>
      <c r="X314" s="35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7"/>
      <c r="AJ314" s="35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7"/>
      <c r="AV314" s="35"/>
      <c r="AW314" s="36"/>
      <c r="AX314" s="36"/>
      <c r="AY314" s="36"/>
      <c r="AZ314" s="36"/>
      <c r="BA314" s="36"/>
      <c r="BB314" s="36"/>
      <c r="BC314" s="36"/>
      <c r="BD314" s="36"/>
      <c r="BE314" s="36"/>
      <c r="BF314" s="36"/>
      <c r="BG314" s="37"/>
      <c r="BH314" s="38"/>
      <c r="BI314" s="36"/>
      <c r="BJ314" s="36"/>
      <c r="BK314" s="36"/>
      <c r="BL314" s="36"/>
    </row>
    <row r="315" spans="1:64">
      <c r="A315" s="21" t="str">
        <f t="shared" si="26"/>
        <v>DGTOH_F_LABOR2.당월실적_B2C전년</v>
      </c>
      <c r="B315" s="18"/>
      <c r="C315" s="18"/>
      <c r="D315" s="18"/>
      <c r="E315" s="18"/>
      <c r="F315" s="18"/>
      <c r="G315" s="18" t="s">
        <v>9</v>
      </c>
      <c r="H315" s="18" t="s">
        <v>131</v>
      </c>
      <c r="I315" s="18" t="str">
        <f t="shared" si="27"/>
        <v>2.당월실적_B2C</v>
      </c>
      <c r="J315" s="34" t="s">
        <v>57</v>
      </c>
      <c r="K315" s="20"/>
      <c r="L315" s="35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7"/>
      <c r="X315" s="35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7"/>
      <c r="AJ315" s="35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7"/>
      <c r="AV315" s="35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7"/>
      <c r="BH315" s="38"/>
      <c r="BI315" s="36"/>
      <c r="BJ315" s="36"/>
      <c r="BK315" s="36"/>
      <c r="BL315" s="36"/>
    </row>
    <row r="316" spans="1:64">
      <c r="A316" s="21" t="str">
        <f t="shared" si="26"/>
        <v>PCTOH_F_LABOR2.당월실적_B2C금년</v>
      </c>
      <c r="B316" s="18"/>
      <c r="C316" s="18"/>
      <c r="D316" s="18"/>
      <c r="E316" s="18"/>
      <c r="F316" s="18"/>
      <c r="G316" s="18" t="s">
        <v>20</v>
      </c>
      <c r="H316" s="18" t="s">
        <v>131</v>
      </c>
      <c r="I316" s="18" t="str">
        <f t="shared" si="27"/>
        <v>2.당월실적_B2C</v>
      </c>
      <c r="J316" s="21" t="s">
        <v>73</v>
      </c>
      <c r="K316" s="20"/>
      <c r="L316" s="35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7"/>
      <c r="X316" s="35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7"/>
      <c r="AJ316" s="35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7"/>
      <c r="AV316" s="35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7"/>
      <c r="BH316" s="38"/>
      <c r="BI316" s="36"/>
      <c r="BJ316" s="36"/>
      <c r="BK316" s="36"/>
      <c r="BL316" s="36"/>
    </row>
    <row r="317" spans="1:64">
      <c r="A317" s="21" t="str">
        <f t="shared" si="26"/>
        <v>PCTOH_F_LABOR2.당월실적_B2C전년</v>
      </c>
      <c r="B317" s="18"/>
      <c r="C317" s="18"/>
      <c r="D317" s="18"/>
      <c r="E317" s="18"/>
      <c r="F317" s="18"/>
      <c r="G317" s="18" t="s">
        <v>20</v>
      </c>
      <c r="H317" s="18" t="s">
        <v>131</v>
      </c>
      <c r="I317" s="18" t="str">
        <f t="shared" si="27"/>
        <v>2.당월실적_B2C</v>
      </c>
      <c r="J317" s="34" t="s">
        <v>57</v>
      </c>
      <c r="K317" s="20"/>
      <c r="L317" s="35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7"/>
      <c r="X317" s="35"/>
      <c r="Y317" s="36"/>
      <c r="Z317" s="36"/>
      <c r="AA317" s="36"/>
      <c r="AB317" s="36"/>
      <c r="AC317" s="36"/>
      <c r="AD317" s="36"/>
      <c r="AE317" s="36"/>
      <c r="AF317" s="36"/>
      <c r="AG317" s="36"/>
      <c r="AH317" s="36"/>
      <c r="AI317" s="37"/>
      <c r="AJ317" s="35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7"/>
      <c r="AV317" s="35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7"/>
      <c r="BH317" s="38"/>
      <c r="BI317" s="36"/>
      <c r="BJ317" s="36"/>
      <c r="BK317" s="36"/>
      <c r="BL317" s="36"/>
    </row>
    <row r="318" spans="1:64">
      <c r="A318" s="21" t="str">
        <f t="shared" si="26"/>
        <v>PSTOH_F_LABOR2.당월실적_B2C금년</v>
      </c>
      <c r="B318" s="18"/>
      <c r="C318" s="18"/>
      <c r="D318" s="18"/>
      <c r="E318" s="18"/>
      <c r="F318" s="18"/>
      <c r="G318" s="18" t="s">
        <v>18</v>
      </c>
      <c r="H318" s="18" t="s">
        <v>131</v>
      </c>
      <c r="I318" s="18" t="str">
        <f t="shared" si="27"/>
        <v>2.당월실적_B2C</v>
      </c>
      <c r="J318" s="21" t="s">
        <v>73</v>
      </c>
      <c r="K318" s="20"/>
      <c r="L318" s="35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7"/>
      <c r="X318" s="35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7"/>
      <c r="AJ318" s="35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7"/>
      <c r="AV318" s="35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7"/>
      <c r="BH318" s="38"/>
      <c r="BI318" s="36"/>
      <c r="BJ318" s="36"/>
      <c r="BK318" s="36"/>
      <c r="BL318" s="36"/>
    </row>
    <row r="319" spans="1:64">
      <c r="A319" s="21" t="str">
        <f t="shared" si="26"/>
        <v>PSTOH_F_LABOR2.당월실적_B2C전년</v>
      </c>
      <c r="B319" s="18"/>
      <c r="C319" s="18"/>
      <c r="D319" s="18"/>
      <c r="E319" s="18"/>
      <c r="F319" s="18"/>
      <c r="G319" s="18" t="s">
        <v>18</v>
      </c>
      <c r="H319" s="18" t="s">
        <v>131</v>
      </c>
      <c r="I319" s="18" t="str">
        <f t="shared" si="27"/>
        <v>2.당월실적_B2C</v>
      </c>
      <c r="J319" s="34" t="s">
        <v>57</v>
      </c>
      <c r="K319" s="20"/>
      <c r="L319" s="35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7"/>
      <c r="X319" s="35"/>
      <c r="Y319" s="36"/>
      <c r="Z319" s="36"/>
      <c r="AA319" s="36"/>
      <c r="AB319" s="36"/>
      <c r="AC319" s="36"/>
      <c r="AD319" s="36"/>
      <c r="AE319" s="36"/>
      <c r="AF319" s="36"/>
      <c r="AG319" s="36"/>
      <c r="AH319" s="36"/>
      <c r="AI319" s="37"/>
      <c r="AJ319" s="35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7"/>
      <c r="AV319" s="35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7"/>
      <c r="BH319" s="38"/>
      <c r="BI319" s="36"/>
      <c r="BJ319" s="36"/>
      <c r="BK319" s="36"/>
      <c r="BL319" s="36"/>
    </row>
    <row r="320" spans="1:64">
      <c r="A320" s="21" t="str">
        <f t="shared" si="26"/>
        <v>DVTOH_F_LABOR2.당월실적_B2C금년</v>
      </c>
      <c r="B320" s="18"/>
      <c r="C320" s="18"/>
      <c r="D320" s="18"/>
      <c r="E320" s="18"/>
      <c r="F320" s="18"/>
      <c r="G320" s="18" t="s">
        <v>11</v>
      </c>
      <c r="H320" s="18" t="s">
        <v>131</v>
      </c>
      <c r="I320" s="18" t="str">
        <f t="shared" si="27"/>
        <v>2.당월실적_B2C</v>
      </c>
      <c r="J320" s="21" t="s">
        <v>73</v>
      </c>
      <c r="K320" s="20"/>
      <c r="L320" s="35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7"/>
      <c r="X320" s="35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7"/>
      <c r="AJ320" s="35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7"/>
      <c r="AV320" s="35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7"/>
      <c r="BH320" s="38"/>
      <c r="BI320" s="36"/>
      <c r="BJ320" s="36"/>
      <c r="BK320" s="36"/>
      <c r="BL320" s="36"/>
    </row>
    <row r="321" spans="1:64">
      <c r="A321" s="21" t="str">
        <f t="shared" si="26"/>
        <v>DVTOH_F_LABOR2.당월실적_B2C전년</v>
      </c>
      <c r="B321" s="18"/>
      <c r="C321" s="18"/>
      <c r="D321" s="18"/>
      <c r="E321" s="18"/>
      <c r="F321" s="18"/>
      <c r="G321" s="18" t="s">
        <v>11</v>
      </c>
      <c r="H321" s="18" t="s">
        <v>131</v>
      </c>
      <c r="I321" s="18" t="str">
        <f t="shared" si="27"/>
        <v>2.당월실적_B2C</v>
      </c>
      <c r="J321" s="34" t="s">
        <v>57</v>
      </c>
      <c r="K321" s="20"/>
      <c r="L321" s="35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7"/>
      <c r="X321" s="35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7"/>
      <c r="AJ321" s="35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7"/>
      <c r="AV321" s="35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7"/>
      <c r="BH321" s="38"/>
      <c r="BI321" s="36"/>
      <c r="BJ321" s="36"/>
      <c r="BK321" s="36"/>
      <c r="BL321" s="36"/>
    </row>
    <row r="322" spans="1:64">
      <c r="A322" s="17"/>
      <c r="H322" t="s">
        <v>131</v>
      </c>
      <c r="K322" s="20"/>
    </row>
    <row r="323" spans="1:64">
      <c r="A323" s="21" t="str">
        <f t="shared" ref="A323:A336" si="28">TRIM(B323)&amp;TRIM(C323)&amp;TRIM(D323)&amp;TRIM(E323)&amp;TRIM(F323)&amp;TRIM(G323)&amp;TRIM(H323)&amp;TRIM(I323)&amp;TRIM(J323)</f>
        <v>GJTOH_F_LABOR2.당월실적_B2B금년</v>
      </c>
      <c r="B323" s="18"/>
      <c r="C323" s="18"/>
      <c r="D323" s="18"/>
      <c r="E323" s="18"/>
      <c r="F323" s="18"/>
      <c r="G323" s="18" t="s">
        <v>12</v>
      </c>
      <c r="H323" s="18" t="s">
        <v>131</v>
      </c>
      <c r="I323" s="18" t="s">
        <v>119</v>
      </c>
      <c r="J323" s="21" t="s">
        <v>73</v>
      </c>
      <c r="K323" s="20"/>
      <c r="L323" s="35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7"/>
      <c r="X323" s="35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7"/>
      <c r="AJ323" s="35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7"/>
      <c r="AV323" s="35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7"/>
      <c r="BH323" s="38"/>
      <c r="BI323" s="36"/>
      <c r="BJ323" s="36"/>
      <c r="BK323" s="36"/>
      <c r="BL323" s="36"/>
    </row>
    <row r="324" spans="1:64" ht="18" customHeight="1">
      <c r="A324" s="21" t="str">
        <f t="shared" si="28"/>
        <v>GJTOH_F_LABOR2.당월실적_B2B전년</v>
      </c>
      <c r="B324" s="18"/>
      <c r="C324" s="18"/>
      <c r="D324" s="18"/>
      <c r="E324" s="18"/>
      <c r="F324" s="18"/>
      <c r="G324" s="18" t="s">
        <v>12</v>
      </c>
      <c r="H324" s="18" t="s">
        <v>131</v>
      </c>
      <c r="I324" s="18" t="s">
        <v>119</v>
      </c>
      <c r="J324" s="34" t="s">
        <v>57</v>
      </c>
      <c r="K324" s="20"/>
      <c r="L324" s="35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7"/>
      <c r="X324" s="35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7"/>
      <c r="AJ324" s="35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7"/>
      <c r="AV324" s="35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7"/>
      <c r="BH324" s="38"/>
      <c r="BI324" s="36"/>
      <c r="BJ324" s="36"/>
      <c r="BK324" s="36"/>
      <c r="BL324" s="36"/>
    </row>
    <row r="325" spans="1:64">
      <c r="A325" s="21" t="str">
        <f t="shared" si="28"/>
        <v>GNTOH_F_LABOR2.당월실적_B2B금년</v>
      </c>
      <c r="B325" s="18"/>
      <c r="C325" s="18"/>
      <c r="D325" s="18"/>
      <c r="E325" s="18"/>
      <c r="F325" s="18"/>
      <c r="G325" s="18" t="s">
        <v>14</v>
      </c>
      <c r="H325" s="18" t="s">
        <v>131</v>
      </c>
      <c r="I325" s="18" t="s">
        <v>119</v>
      </c>
      <c r="J325" s="21" t="s">
        <v>73</v>
      </c>
      <c r="K325" s="20"/>
      <c r="L325" s="35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7"/>
      <c r="X325" s="35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7"/>
      <c r="AJ325" s="35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7"/>
      <c r="AV325" s="35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7"/>
      <c r="BH325" s="38"/>
      <c r="BI325" s="36"/>
      <c r="BJ325" s="36"/>
      <c r="BK325" s="36"/>
      <c r="BL325" s="36"/>
    </row>
    <row r="326" spans="1:64">
      <c r="A326" s="21" t="str">
        <f t="shared" si="28"/>
        <v>GNTOH_F_LABOR2.당월실적_B2B전년</v>
      </c>
      <c r="B326" s="18"/>
      <c r="C326" s="18"/>
      <c r="D326" s="18"/>
      <c r="E326" s="18"/>
      <c r="F326" s="18"/>
      <c r="G326" s="18" t="s">
        <v>14</v>
      </c>
      <c r="H326" s="18" t="s">
        <v>131</v>
      </c>
      <c r="I326" s="18" t="s">
        <v>119</v>
      </c>
      <c r="J326" s="34" t="s">
        <v>57</v>
      </c>
      <c r="K326" s="20"/>
      <c r="L326" s="35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7"/>
      <c r="X326" s="35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7"/>
      <c r="AJ326" s="35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7"/>
      <c r="AV326" s="35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7"/>
      <c r="BH326" s="38"/>
      <c r="BI326" s="36"/>
      <c r="BJ326" s="36"/>
      <c r="BK326" s="36"/>
      <c r="BL326" s="36"/>
    </row>
    <row r="327" spans="1:64">
      <c r="A327" s="21" t="str">
        <f t="shared" si="28"/>
        <v>GOTOH_F_LABOR2.당월실적_B2B금년</v>
      </c>
      <c r="B327" s="18"/>
      <c r="C327" s="18"/>
      <c r="D327" s="18"/>
      <c r="E327" s="18"/>
      <c r="F327" s="18"/>
      <c r="G327" s="18" t="s">
        <v>117</v>
      </c>
      <c r="H327" s="18" t="s">
        <v>131</v>
      </c>
      <c r="I327" s="18" t="s">
        <v>119</v>
      </c>
      <c r="J327" s="21" t="s">
        <v>73</v>
      </c>
      <c r="K327" s="20"/>
      <c r="L327" s="35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7"/>
      <c r="X327" s="35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7"/>
      <c r="AJ327" s="35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7"/>
      <c r="AV327" s="35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7"/>
      <c r="BH327" s="38"/>
      <c r="BI327" s="36"/>
      <c r="BJ327" s="36"/>
      <c r="BK327" s="36"/>
      <c r="BL327" s="36"/>
    </row>
    <row r="328" spans="1:64">
      <c r="A328" s="21" t="str">
        <f t="shared" si="28"/>
        <v>GOTOH_F_LABOR2.당월실적_B2B전년</v>
      </c>
      <c r="B328" s="18"/>
      <c r="C328" s="18"/>
      <c r="D328" s="18"/>
      <c r="E328" s="18"/>
      <c r="F328" s="18"/>
      <c r="G328" s="18" t="s">
        <v>117</v>
      </c>
      <c r="H328" s="18" t="s">
        <v>131</v>
      </c>
      <c r="I328" s="18" t="s">
        <v>119</v>
      </c>
      <c r="J328" s="34" t="s">
        <v>57</v>
      </c>
      <c r="K328" s="20"/>
      <c r="L328" s="35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7"/>
      <c r="X328" s="35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7"/>
      <c r="AJ328" s="35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7"/>
      <c r="AV328" s="35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7"/>
      <c r="BH328" s="38"/>
      <c r="BI328" s="36"/>
      <c r="BJ328" s="36"/>
      <c r="BK328" s="36"/>
      <c r="BL328" s="36"/>
    </row>
    <row r="329" spans="1:64">
      <c r="A329" s="21" t="str">
        <f t="shared" si="28"/>
        <v>PKTOH_F_LABOR2.당월실적_B2B금년</v>
      </c>
      <c r="B329" s="18"/>
      <c r="C329" s="18"/>
      <c r="D329" s="18"/>
      <c r="E329" s="18"/>
      <c r="F329" s="18"/>
      <c r="G329" s="18" t="s">
        <v>105</v>
      </c>
      <c r="H329" s="18" t="s">
        <v>131</v>
      </c>
      <c r="I329" s="18" t="s">
        <v>119</v>
      </c>
      <c r="J329" s="21" t="s">
        <v>73</v>
      </c>
      <c r="K329" s="20"/>
      <c r="L329" s="35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7"/>
      <c r="X329" s="35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7"/>
      <c r="AJ329" s="35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7"/>
      <c r="AV329" s="35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7"/>
      <c r="BH329" s="38"/>
      <c r="BI329" s="36"/>
      <c r="BJ329" s="36"/>
      <c r="BK329" s="36"/>
      <c r="BL329" s="36"/>
    </row>
    <row r="330" spans="1:64">
      <c r="A330" s="21" t="str">
        <f t="shared" si="28"/>
        <v>PKTOH_F_LABOR2.당월실적_B2B전년</v>
      </c>
      <c r="B330" s="18"/>
      <c r="C330" s="18"/>
      <c r="D330" s="18"/>
      <c r="E330" s="18"/>
      <c r="F330" s="18"/>
      <c r="G330" s="18" t="s">
        <v>105</v>
      </c>
      <c r="H330" s="18" t="s">
        <v>131</v>
      </c>
      <c r="I330" s="18" t="s">
        <v>119</v>
      </c>
      <c r="J330" s="34" t="s">
        <v>57</v>
      </c>
      <c r="K330" s="20"/>
      <c r="L330" s="35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7"/>
      <c r="X330" s="35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7"/>
      <c r="AJ330" s="35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7"/>
      <c r="AV330" s="35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7"/>
      <c r="BH330" s="38"/>
      <c r="BI330" s="36"/>
      <c r="BJ330" s="36"/>
      <c r="BK330" s="36"/>
      <c r="BL330" s="36"/>
    </row>
    <row r="331" spans="1:64">
      <c r="A331" s="21" t="str">
        <f t="shared" si="28"/>
        <v>DMTOH_F_LABOR2.당월실적_B2B금년</v>
      </c>
      <c r="B331" s="18"/>
      <c r="C331" s="18"/>
      <c r="D331" s="18"/>
      <c r="E331" s="18"/>
      <c r="F331" s="18"/>
      <c r="G331" s="18" t="s">
        <v>10</v>
      </c>
      <c r="H331" s="18" t="s">
        <v>131</v>
      </c>
      <c r="I331" s="18" t="s">
        <v>119</v>
      </c>
      <c r="J331" s="21" t="s">
        <v>73</v>
      </c>
      <c r="K331" s="20"/>
      <c r="L331" s="35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7"/>
      <c r="X331" s="35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7"/>
      <c r="AJ331" s="35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7"/>
      <c r="AV331" s="35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7"/>
      <c r="BH331" s="38"/>
      <c r="BI331" s="36"/>
      <c r="BJ331" s="36"/>
      <c r="BK331" s="36"/>
      <c r="BL331" s="36"/>
    </row>
    <row r="332" spans="1:64">
      <c r="A332" s="21" t="str">
        <f t="shared" si="28"/>
        <v>DMTOH_F_LABOR2.당월실적_B2B전년</v>
      </c>
      <c r="B332" s="18"/>
      <c r="C332" s="18"/>
      <c r="D332" s="18"/>
      <c r="E332" s="18"/>
      <c r="F332" s="18"/>
      <c r="G332" s="18" t="s">
        <v>10</v>
      </c>
      <c r="H332" s="18" t="s">
        <v>131</v>
      </c>
      <c r="I332" s="18" t="s">
        <v>119</v>
      </c>
      <c r="J332" s="34" t="s">
        <v>57</v>
      </c>
      <c r="K332" s="20"/>
      <c r="L332" s="35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7"/>
      <c r="X332" s="35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7"/>
      <c r="AJ332" s="35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7"/>
      <c r="AV332" s="35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7"/>
      <c r="BH332" s="38"/>
      <c r="BI332" s="36"/>
      <c r="BJ332" s="36"/>
      <c r="BK332" s="36"/>
      <c r="BL332" s="36"/>
    </row>
    <row r="333" spans="1:64">
      <c r="A333" s="21" t="str">
        <f t="shared" si="28"/>
        <v>DTTOH_F_LABOR2.당월실적_B2B금년</v>
      </c>
      <c r="B333" s="18"/>
      <c r="C333" s="18"/>
      <c r="D333" s="18"/>
      <c r="E333" s="18"/>
      <c r="F333" s="18"/>
      <c r="G333" s="18" t="s">
        <v>118</v>
      </c>
      <c r="H333" s="18" t="s">
        <v>131</v>
      </c>
      <c r="I333" s="18" t="s">
        <v>119</v>
      </c>
      <c r="J333" s="21" t="s">
        <v>73</v>
      </c>
      <c r="K333" s="20"/>
      <c r="L333" s="35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7"/>
      <c r="X333" s="35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7"/>
      <c r="AJ333" s="35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7"/>
      <c r="AV333" s="35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7"/>
      <c r="BH333" s="38"/>
      <c r="BI333" s="36"/>
      <c r="BJ333" s="36"/>
      <c r="BK333" s="36"/>
      <c r="BL333" s="36"/>
    </row>
    <row r="334" spans="1:64">
      <c r="A334" s="21" t="str">
        <f t="shared" si="28"/>
        <v>DTTOH_F_LABOR2.당월실적_B2B전년</v>
      </c>
      <c r="B334" s="18"/>
      <c r="C334" s="18"/>
      <c r="D334" s="18"/>
      <c r="E334" s="18"/>
      <c r="F334" s="18"/>
      <c r="G334" s="18" t="s">
        <v>118</v>
      </c>
      <c r="H334" s="18" t="s">
        <v>131</v>
      </c>
      <c r="I334" s="18" t="s">
        <v>119</v>
      </c>
      <c r="J334" s="34" t="s">
        <v>57</v>
      </c>
      <c r="K334" s="20"/>
      <c r="L334" s="35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7"/>
      <c r="X334" s="35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7"/>
      <c r="AJ334" s="35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7"/>
      <c r="AV334" s="35"/>
      <c r="AW334" s="36"/>
      <c r="AX334" s="36"/>
      <c r="AY334" s="36"/>
      <c r="AZ334" s="36"/>
      <c r="BA334" s="36"/>
      <c r="BB334" s="36"/>
      <c r="BC334" s="36"/>
      <c r="BD334" s="36"/>
      <c r="BE334" s="36"/>
      <c r="BF334" s="36"/>
      <c r="BG334" s="37"/>
      <c r="BH334" s="38"/>
      <c r="BI334" s="36"/>
      <c r="BJ334" s="36"/>
      <c r="BK334" s="36"/>
      <c r="BL334" s="36"/>
    </row>
    <row r="335" spans="1:64">
      <c r="A335" s="21" t="str">
        <f t="shared" si="28"/>
        <v>PGTOH_F_LABOR2.당월실적_B2B금년</v>
      </c>
      <c r="B335" s="18"/>
      <c r="C335" s="18"/>
      <c r="D335" s="18"/>
      <c r="E335" s="18"/>
      <c r="F335" s="18"/>
      <c r="G335" s="18" t="s">
        <v>19</v>
      </c>
      <c r="H335" s="18" t="s">
        <v>131</v>
      </c>
      <c r="I335" s="18" t="s">
        <v>119</v>
      </c>
      <c r="J335" s="21" t="s">
        <v>73</v>
      </c>
      <c r="K335" s="20"/>
      <c r="L335" s="35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7"/>
      <c r="X335" s="35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7"/>
      <c r="AJ335" s="35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7"/>
      <c r="AV335" s="35"/>
      <c r="AW335" s="36"/>
      <c r="AX335" s="36"/>
      <c r="AY335" s="36"/>
      <c r="AZ335" s="36"/>
      <c r="BA335" s="36"/>
      <c r="BB335" s="36"/>
      <c r="BC335" s="36"/>
      <c r="BD335" s="36"/>
      <c r="BE335" s="36"/>
      <c r="BF335" s="36"/>
      <c r="BG335" s="37"/>
      <c r="BH335" s="38"/>
      <c r="BI335" s="36"/>
      <c r="BJ335" s="36"/>
      <c r="BK335" s="36"/>
      <c r="BL335" s="36"/>
    </row>
    <row r="336" spans="1:64">
      <c r="A336" s="21" t="str">
        <f t="shared" si="28"/>
        <v>PGTOH_F_LABOR2.당월실적_B2B전년</v>
      </c>
      <c r="B336" s="18"/>
      <c r="C336" s="18"/>
      <c r="D336" s="18"/>
      <c r="E336" s="18"/>
      <c r="F336" s="18"/>
      <c r="G336" s="18" t="s">
        <v>19</v>
      </c>
      <c r="H336" s="18" t="s">
        <v>131</v>
      </c>
      <c r="I336" s="18" t="s">
        <v>119</v>
      </c>
      <c r="J336" s="34" t="s">
        <v>57</v>
      </c>
      <c r="K336" s="20"/>
      <c r="L336" s="35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7"/>
      <c r="X336" s="35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7"/>
      <c r="AJ336" s="35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7"/>
      <c r="AV336" s="35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7"/>
      <c r="BH336" s="38"/>
      <c r="BI336" s="36"/>
      <c r="BJ336" s="36"/>
      <c r="BK336" s="36"/>
      <c r="BL336" s="36"/>
    </row>
    <row r="337" spans="1:64">
      <c r="A337" s="17"/>
      <c r="K337" s="20"/>
    </row>
    <row r="338" spans="1:64">
      <c r="A338" s="21" t="str">
        <f t="shared" ref="A338:A357" si="29">TRIM(B338)&amp;TRIM(C338)&amp;TRIM(D338)&amp;TRIM(E338)&amp;TRIM(F338)&amp;TRIM(G338)&amp;TRIM(H338)&amp;TRIM(I338)&amp;TRIM(J338)</f>
        <v>GLTOH_F_AD_PROMOTION2.당월실적_B2C금년</v>
      </c>
      <c r="B338" s="18"/>
      <c r="C338" s="18"/>
      <c r="D338" s="18"/>
      <c r="E338" s="18"/>
      <c r="F338" s="18"/>
      <c r="G338" s="18" t="s">
        <v>13</v>
      </c>
      <c r="H338" s="18" t="s">
        <v>132</v>
      </c>
      <c r="I338" s="18" t="s">
        <v>78</v>
      </c>
      <c r="J338" s="21" t="s">
        <v>73</v>
      </c>
      <c r="K338" s="20"/>
      <c r="L338" s="35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7"/>
      <c r="X338" s="35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7"/>
      <c r="AJ338" s="35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7"/>
      <c r="AV338" s="35"/>
      <c r="AW338" s="36"/>
      <c r="AX338" s="36"/>
      <c r="AY338" s="36"/>
      <c r="AZ338" s="36"/>
      <c r="BA338" s="36"/>
      <c r="BB338" s="36"/>
      <c r="BC338" s="36"/>
      <c r="BD338" s="36"/>
      <c r="BE338" s="36"/>
      <c r="BF338" s="36"/>
      <c r="BG338" s="37"/>
      <c r="BH338" s="38"/>
      <c r="BI338" s="36"/>
      <c r="BJ338" s="36"/>
      <c r="BK338" s="36"/>
      <c r="BL338" s="36"/>
    </row>
    <row r="339" spans="1:64">
      <c r="A339" s="21" t="str">
        <f t="shared" si="29"/>
        <v>GLTOH_F_AD_PROMOTION2.당월실적_B2C전년</v>
      </c>
      <c r="B339" s="18"/>
      <c r="C339" s="18"/>
      <c r="D339" s="18"/>
      <c r="E339" s="18"/>
      <c r="F339" s="18"/>
      <c r="G339" s="18" t="s">
        <v>13</v>
      </c>
      <c r="H339" s="18" t="s">
        <v>132</v>
      </c>
      <c r="I339" s="18" t="s">
        <v>78</v>
      </c>
      <c r="J339" s="34" t="s">
        <v>57</v>
      </c>
      <c r="K339" s="20"/>
      <c r="L339" s="35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7"/>
      <c r="X339" s="35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7"/>
      <c r="AJ339" s="35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7"/>
      <c r="AV339" s="35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7"/>
      <c r="BH339" s="38"/>
      <c r="BI339" s="36"/>
      <c r="BJ339" s="36"/>
      <c r="BK339" s="36"/>
      <c r="BL339" s="36"/>
    </row>
    <row r="340" spans="1:64">
      <c r="A340" s="21" t="str">
        <f t="shared" si="29"/>
        <v>GTTOH_F_AD_PROMOTION2.당월실적_B2C금년</v>
      </c>
      <c r="B340" s="18"/>
      <c r="C340" s="18"/>
      <c r="D340" s="18"/>
      <c r="E340" s="18"/>
      <c r="F340" s="18"/>
      <c r="G340" s="18" t="s">
        <v>15</v>
      </c>
      <c r="H340" s="18" t="s">
        <v>132</v>
      </c>
      <c r="I340" s="18" t="s">
        <v>78</v>
      </c>
      <c r="J340" s="21" t="s">
        <v>73</v>
      </c>
      <c r="K340" s="20"/>
      <c r="L340" s="35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7"/>
      <c r="X340" s="35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7"/>
      <c r="AJ340" s="35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7"/>
      <c r="AV340" s="35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7"/>
      <c r="BH340" s="38"/>
      <c r="BI340" s="36"/>
      <c r="BJ340" s="36"/>
      <c r="BK340" s="36"/>
      <c r="BL340" s="36"/>
    </row>
    <row r="341" spans="1:64">
      <c r="A341" s="21" t="str">
        <f t="shared" si="29"/>
        <v>GTTOH_F_AD_PROMOTION2.당월실적_B2C전년</v>
      </c>
      <c r="B341" s="18"/>
      <c r="C341" s="18"/>
      <c r="D341" s="18"/>
      <c r="E341" s="18"/>
      <c r="F341" s="18"/>
      <c r="G341" s="18" t="s">
        <v>15</v>
      </c>
      <c r="H341" s="18" t="s">
        <v>132</v>
      </c>
      <c r="I341" s="18" t="s">
        <v>78</v>
      </c>
      <c r="J341" s="34" t="s">
        <v>57</v>
      </c>
      <c r="K341" s="20"/>
      <c r="L341" s="35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7"/>
      <c r="X341" s="35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7"/>
      <c r="AJ341" s="35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7"/>
      <c r="AV341" s="35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7"/>
      <c r="BH341" s="38"/>
      <c r="BI341" s="36"/>
      <c r="BJ341" s="36"/>
      <c r="BK341" s="36"/>
      <c r="BL341" s="36"/>
    </row>
    <row r="342" spans="1:64">
      <c r="A342" s="21" t="str">
        <f t="shared" si="29"/>
        <v>PNTOH_F_AD_PROMOTION2.당월실적_B2C금년</v>
      </c>
      <c r="B342" s="18"/>
      <c r="C342" s="18"/>
      <c r="D342" s="18"/>
      <c r="E342" s="18"/>
      <c r="F342" s="18"/>
      <c r="G342" s="18" t="s">
        <v>17</v>
      </c>
      <c r="H342" s="18" t="s">
        <v>132</v>
      </c>
      <c r="I342" s="18" t="s">
        <v>78</v>
      </c>
      <c r="J342" s="21" t="s">
        <v>73</v>
      </c>
      <c r="K342" s="20"/>
      <c r="L342" s="35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7"/>
      <c r="X342" s="35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7"/>
      <c r="AJ342" s="35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7"/>
      <c r="AV342" s="35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7"/>
      <c r="BH342" s="38"/>
      <c r="BI342" s="36"/>
      <c r="BJ342" s="36"/>
      <c r="BK342" s="36"/>
      <c r="BL342" s="36"/>
    </row>
    <row r="343" spans="1:64">
      <c r="A343" s="21" t="str">
        <f t="shared" si="29"/>
        <v>PNTOH_F_AD_PROMOTION2.당월실적_B2C전년</v>
      </c>
      <c r="B343" s="18"/>
      <c r="C343" s="18"/>
      <c r="D343" s="18"/>
      <c r="E343" s="18"/>
      <c r="F343" s="18"/>
      <c r="G343" s="18" t="s">
        <v>17</v>
      </c>
      <c r="H343" s="18" t="s">
        <v>132</v>
      </c>
      <c r="I343" s="18" t="s">
        <v>78</v>
      </c>
      <c r="J343" s="34" t="s">
        <v>57</v>
      </c>
      <c r="K343" s="20"/>
      <c r="L343" s="35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7"/>
      <c r="X343" s="35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7"/>
      <c r="AJ343" s="35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7"/>
      <c r="AV343" s="35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7"/>
      <c r="BH343" s="38"/>
      <c r="BI343" s="36"/>
      <c r="BJ343" s="36"/>
      <c r="BK343" s="36"/>
      <c r="BL343" s="36"/>
    </row>
    <row r="344" spans="1:64">
      <c r="A344" s="21" t="str">
        <f t="shared" si="29"/>
        <v>MSTOH_F_AD_PROMOTION2.당월실적_B2C금년</v>
      </c>
      <c r="B344" s="18"/>
      <c r="C344" s="18"/>
      <c r="D344" s="18"/>
      <c r="E344" s="18"/>
      <c r="F344" s="18"/>
      <c r="G344" s="18" t="s">
        <v>16</v>
      </c>
      <c r="H344" s="18" t="s">
        <v>132</v>
      </c>
      <c r="I344" s="18" t="s">
        <v>78</v>
      </c>
      <c r="J344" s="21" t="s">
        <v>73</v>
      </c>
      <c r="K344" s="20"/>
      <c r="L344" s="35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7"/>
      <c r="X344" s="35"/>
      <c r="Y344" s="36"/>
      <c r="Z344" s="36"/>
      <c r="AA344" s="36"/>
      <c r="AB344" s="36"/>
      <c r="AC344" s="36"/>
      <c r="AD344" s="36"/>
      <c r="AE344" s="36"/>
      <c r="AF344" s="36"/>
      <c r="AG344" s="36"/>
      <c r="AH344" s="36"/>
      <c r="AI344" s="37"/>
      <c r="AJ344" s="35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7"/>
      <c r="AV344" s="35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7"/>
      <c r="BH344" s="38"/>
      <c r="BI344" s="36"/>
      <c r="BJ344" s="36"/>
      <c r="BK344" s="36"/>
      <c r="BL344" s="36"/>
    </row>
    <row r="345" spans="1:64">
      <c r="A345" s="21" t="str">
        <f t="shared" si="29"/>
        <v>MSTOH_F_AD_PROMOTION2.당월실적_B2C전년</v>
      </c>
      <c r="B345" s="18"/>
      <c r="C345" s="18"/>
      <c r="D345" s="18"/>
      <c r="E345" s="18"/>
      <c r="F345" s="18"/>
      <c r="G345" s="18" t="s">
        <v>16</v>
      </c>
      <c r="H345" s="18" t="s">
        <v>132</v>
      </c>
      <c r="I345" s="18" t="s">
        <v>78</v>
      </c>
      <c r="J345" s="34" t="s">
        <v>57</v>
      </c>
      <c r="K345" s="20"/>
      <c r="L345" s="35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7"/>
      <c r="X345" s="35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7"/>
      <c r="AJ345" s="35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7"/>
      <c r="AV345" s="35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7"/>
      <c r="BH345" s="38"/>
      <c r="BI345" s="36"/>
      <c r="BJ345" s="36"/>
      <c r="BK345" s="36"/>
      <c r="BL345" s="36"/>
    </row>
    <row r="346" spans="1:64">
      <c r="A346" s="21" t="str">
        <f t="shared" si="29"/>
        <v>CNTOH_F_AD_PROMOTION2.당월실적_B2C금년</v>
      </c>
      <c r="B346" s="18"/>
      <c r="C346" s="18"/>
      <c r="D346" s="18"/>
      <c r="E346" s="18"/>
      <c r="F346" s="18"/>
      <c r="G346" s="18" t="s">
        <v>7</v>
      </c>
      <c r="H346" s="18" t="s">
        <v>132</v>
      </c>
      <c r="I346" s="18" t="s">
        <v>78</v>
      </c>
      <c r="J346" s="21" t="s">
        <v>73</v>
      </c>
      <c r="K346" s="20"/>
      <c r="L346" s="35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7"/>
      <c r="X346" s="35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7"/>
      <c r="AJ346" s="35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7"/>
      <c r="AV346" s="35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7"/>
      <c r="BH346" s="38"/>
      <c r="BI346" s="36"/>
      <c r="BJ346" s="36"/>
      <c r="BK346" s="36"/>
      <c r="BL346" s="36"/>
    </row>
    <row r="347" spans="1:64">
      <c r="A347" s="21" t="str">
        <f t="shared" si="29"/>
        <v>CNTOH_F_AD_PROMOTION2.당월실적_B2C전년</v>
      </c>
      <c r="B347" s="18"/>
      <c r="C347" s="18"/>
      <c r="D347" s="18"/>
      <c r="E347" s="18"/>
      <c r="F347" s="18"/>
      <c r="G347" s="18" t="s">
        <v>7</v>
      </c>
      <c r="H347" s="18" t="s">
        <v>132</v>
      </c>
      <c r="I347" s="18" t="s">
        <v>78</v>
      </c>
      <c r="J347" s="34" t="s">
        <v>57</v>
      </c>
      <c r="K347" s="20"/>
      <c r="L347" s="35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7"/>
      <c r="X347" s="35"/>
      <c r="Y347" s="36"/>
      <c r="Z347" s="36"/>
      <c r="AA347" s="36"/>
      <c r="AB347" s="36"/>
      <c r="AC347" s="36"/>
      <c r="AD347" s="36"/>
      <c r="AE347" s="36"/>
      <c r="AF347" s="36"/>
      <c r="AG347" s="36"/>
      <c r="AH347" s="36"/>
      <c r="AI347" s="37"/>
      <c r="AJ347" s="35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7"/>
      <c r="AV347" s="35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7"/>
      <c r="BH347" s="38"/>
      <c r="BI347" s="36"/>
      <c r="BJ347" s="36"/>
      <c r="BK347" s="36"/>
      <c r="BL347" s="36"/>
    </row>
    <row r="348" spans="1:64">
      <c r="A348" s="21" t="str">
        <f t="shared" si="29"/>
        <v>DFTOH_F_AD_PROMOTION2.당월실적_B2C금년</v>
      </c>
      <c r="B348" s="18"/>
      <c r="C348" s="18"/>
      <c r="D348" s="18"/>
      <c r="E348" s="18"/>
      <c r="F348" s="18"/>
      <c r="G348" s="18" t="s">
        <v>8</v>
      </c>
      <c r="H348" s="18" t="s">
        <v>132</v>
      </c>
      <c r="I348" s="18" t="str">
        <f t="shared" ref="I348:I357" si="30">I338</f>
        <v>2.당월실적_B2C</v>
      </c>
      <c r="J348" s="21" t="s">
        <v>73</v>
      </c>
      <c r="K348" s="20"/>
      <c r="L348" s="35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7"/>
      <c r="X348" s="35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7"/>
      <c r="AJ348" s="35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7"/>
      <c r="AV348" s="35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7"/>
      <c r="BH348" s="38"/>
      <c r="BI348" s="36"/>
      <c r="BJ348" s="36"/>
      <c r="BK348" s="36"/>
      <c r="BL348" s="36"/>
    </row>
    <row r="349" spans="1:64">
      <c r="A349" s="21" t="str">
        <f t="shared" si="29"/>
        <v>DFTOH_F_AD_PROMOTION2.당월실적_B2C전년</v>
      </c>
      <c r="B349" s="18"/>
      <c r="C349" s="18"/>
      <c r="D349" s="18"/>
      <c r="E349" s="18"/>
      <c r="F349" s="18"/>
      <c r="G349" s="18" t="s">
        <v>8</v>
      </c>
      <c r="H349" s="18" t="s">
        <v>132</v>
      </c>
      <c r="I349" s="18" t="str">
        <f t="shared" si="30"/>
        <v>2.당월실적_B2C</v>
      </c>
      <c r="J349" s="34" t="s">
        <v>57</v>
      </c>
      <c r="K349" s="20"/>
      <c r="L349" s="35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7"/>
      <c r="X349" s="35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7"/>
      <c r="AJ349" s="35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7"/>
      <c r="AV349" s="35"/>
      <c r="AW349" s="36"/>
      <c r="AX349" s="36"/>
      <c r="AY349" s="36"/>
      <c r="AZ349" s="36"/>
      <c r="BA349" s="36"/>
      <c r="BB349" s="36"/>
      <c r="BC349" s="36"/>
      <c r="BD349" s="36"/>
      <c r="BE349" s="36"/>
      <c r="BF349" s="36"/>
      <c r="BG349" s="37"/>
      <c r="BH349" s="38"/>
      <c r="BI349" s="36"/>
      <c r="BJ349" s="36"/>
      <c r="BK349" s="36"/>
      <c r="BL349" s="36"/>
    </row>
    <row r="350" spans="1:64">
      <c r="A350" s="21" t="str">
        <f t="shared" si="29"/>
        <v>DGTOH_F_AD_PROMOTION2.당월실적_B2C금년</v>
      </c>
      <c r="B350" s="18"/>
      <c r="C350" s="18"/>
      <c r="D350" s="18"/>
      <c r="E350" s="18"/>
      <c r="F350" s="18"/>
      <c r="G350" s="18" t="s">
        <v>9</v>
      </c>
      <c r="H350" s="18" t="s">
        <v>132</v>
      </c>
      <c r="I350" s="18" t="str">
        <f t="shared" si="30"/>
        <v>2.당월실적_B2C</v>
      </c>
      <c r="J350" s="21" t="s">
        <v>73</v>
      </c>
      <c r="K350" s="20"/>
      <c r="L350" s="35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7"/>
      <c r="X350" s="35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7"/>
      <c r="AJ350" s="35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7"/>
      <c r="AV350" s="35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7"/>
      <c r="BH350" s="38"/>
      <c r="BI350" s="36"/>
      <c r="BJ350" s="36"/>
      <c r="BK350" s="36"/>
      <c r="BL350" s="36"/>
    </row>
    <row r="351" spans="1:64">
      <c r="A351" s="21" t="str">
        <f t="shared" si="29"/>
        <v>DGTOH_F_AD_PROMOTION2.당월실적_B2C전년</v>
      </c>
      <c r="B351" s="18"/>
      <c r="C351" s="18"/>
      <c r="D351" s="18"/>
      <c r="E351" s="18"/>
      <c r="F351" s="18"/>
      <c r="G351" s="18" t="s">
        <v>9</v>
      </c>
      <c r="H351" s="18" t="s">
        <v>132</v>
      </c>
      <c r="I351" s="18" t="str">
        <f t="shared" si="30"/>
        <v>2.당월실적_B2C</v>
      </c>
      <c r="J351" s="34" t="s">
        <v>57</v>
      </c>
      <c r="K351" s="20"/>
      <c r="L351" s="35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7"/>
      <c r="X351" s="35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7"/>
      <c r="AJ351" s="35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7"/>
      <c r="AV351" s="35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7"/>
      <c r="BH351" s="38"/>
      <c r="BI351" s="36"/>
      <c r="BJ351" s="36"/>
      <c r="BK351" s="36"/>
      <c r="BL351" s="36"/>
    </row>
    <row r="352" spans="1:64">
      <c r="A352" s="21" t="str">
        <f t="shared" si="29"/>
        <v>PCTOH_F_AD_PROMOTION2.당월실적_B2C금년</v>
      </c>
      <c r="B352" s="18"/>
      <c r="C352" s="18"/>
      <c r="D352" s="18"/>
      <c r="E352" s="18"/>
      <c r="F352" s="18"/>
      <c r="G352" s="18" t="s">
        <v>20</v>
      </c>
      <c r="H352" s="18" t="s">
        <v>132</v>
      </c>
      <c r="I352" s="18" t="str">
        <f t="shared" si="30"/>
        <v>2.당월실적_B2C</v>
      </c>
      <c r="J352" s="21" t="s">
        <v>73</v>
      </c>
      <c r="K352" s="20"/>
      <c r="L352" s="35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7"/>
      <c r="X352" s="35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7"/>
      <c r="AJ352" s="35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7"/>
      <c r="AV352" s="35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7"/>
      <c r="BH352" s="38"/>
      <c r="BI352" s="36"/>
      <c r="BJ352" s="36"/>
      <c r="BK352" s="36"/>
      <c r="BL352" s="36"/>
    </row>
    <row r="353" spans="1:64">
      <c r="A353" s="21" t="str">
        <f t="shared" si="29"/>
        <v>PCTOH_F_AD_PROMOTION2.당월실적_B2C전년</v>
      </c>
      <c r="B353" s="18"/>
      <c r="C353" s="18"/>
      <c r="D353" s="18"/>
      <c r="E353" s="18"/>
      <c r="F353" s="18"/>
      <c r="G353" s="18" t="s">
        <v>20</v>
      </c>
      <c r="H353" s="18" t="s">
        <v>132</v>
      </c>
      <c r="I353" s="18" t="str">
        <f t="shared" si="30"/>
        <v>2.당월실적_B2C</v>
      </c>
      <c r="J353" s="34" t="s">
        <v>57</v>
      </c>
      <c r="K353" s="20"/>
      <c r="L353" s="35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7"/>
      <c r="X353" s="35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7"/>
      <c r="AJ353" s="35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7"/>
      <c r="AV353" s="35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7"/>
      <c r="BH353" s="38"/>
      <c r="BI353" s="36"/>
      <c r="BJ353" s="36"/>
      <c r="BK353" s="36"/>
      <c r="BL353" s="36"/>
    </row>
    <row r="354" spans="1:64">
      <c r="A354" s="21" t="str">
        <f t="shared" si="29"/>
        <v>PSTOH_F_AD_PROMOTION2.당월실적_B2C금년</v>
      </c>
      <c r="B354" s="18"/>
      <c r="C354" s="18"/>
      <c r="D354" s="18"/>
      <c r="E354" s="18"/>
      <c r="F354" s="18"/>
      <c r="G354" s="18" t="s">
        <v>18</v>
      </c>
      <c r="H354" s="18" t="s">
        <v>132</v>
      </c>
      <c r="I354" s="18" t="str">
        <f t="shared" si="30"/>
        <v>2.당월실적_B2C</v>
      </c>
      <c r="J354" s="21" t="s">
        <v>73</v>
      </c>
      <c r="K354" s="20"/>
      <c r="L354" s="35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7"/>
      <c r="X354" s="35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7"/>
      <c r="AJ354" s="35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7"/>
      <c r="AV354" s="35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7"/>
      <c r="BH354" s="38"/>
      <c r="BI354" s="36"/>
      <c r="BJ354" s="36"/>
      <c r="BK354" s="36"/>
      <c r="BL354" s="36"/>
    </row>
    <row r="355" spans="1:64">
      <c r="A355" s="21" t="str">
        <f t="shared" si="29"/>
        <v>PSTOH_F_AD_PROMOTION2.당월실적_B2C전년</v>
      </c>
      <c r="B355" s="18"/>
      <c r="C355" s="18"/>
      <c r="D355" s="18"/>
      <c r="E355" s="18"/>
      <c r="F355" s="18"/>
      <c r="G355" s="18" t="s">
        <v>18</v>
      </c>
      <c r="H355" s="18" t="s">
        <v>132</v>
      </c>
      <c r="I355" s="18" t="str">
        <f t="shared" si="30"/>
        <v>2.당월실적_B2C</v>
      </c>
      <c r="J355" s="34" t="s">
        <v>57</v>
      </c>
      <c r="K355" s="20"/>
      <c r="L355" s="35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7"/>
      <c r="X355" s="35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7"/>
      <c r="AJ355" s="35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7"/>
      <c r="AV355" s="35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7"/>
      <c r="BH355" s="38"/>
      <c r="BI355" s="36"/>
      <c r="BJ355" s="36"/>
      <c r="BK355" s="36"/>
      <c r="BL355" s="36"/>
    </row>
    <row r="356" spans="1:64">
      <c r="A356" s="21" t="str">
        <f t="shared" si="29"/>
        <v>DVTOH_F_AD_PROMOTION2.당월실적_B2C금년</v>
      </c>
      <c r="B356" s="18"/>
      <c r="C356" s="18"/>
      <c r="D356" s="18"/>
      <c r="E356" s="18"/>
      <c r="F356" s="18"/>
      <c r="G356" s="18" t="s">
        <v>11</v>
      </c>
      <c r="H356" s="18" t="s">
        <v>132</v>
      </c>
      <c r="I356" s="18" t="str">
        <f t="shared" si="30"/>
        <v>2.당월실적_B2C</v>
      </c>
      <c r="J356" s="21" t="s">
        <v>73</v>
      </c>
      <c r="K356" s="20"/>
      <c r="L356" s="35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7"/>
      <c r="X356" s="35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7"/>
      <c r="AJ356" s="35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7"/>
      <c r="AV356" s="35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7"/>
      <c r="BH356" s="38"/>
      <c r="BI356" s="36"/>
      <c r="BJ356" s="36"/>
      <c r="BK356" s="36"/>
      <c r="BL356" s="36"/>
    </row>
    <row r="357" spans="1:64">
      <c r="A357" s="21" t="str">
        <f t="shared" si="29"/>
        <v>DVTOH_F_AD_PROMOTION2.당월실적_B2C전년</v>
      </c>
      <c r="B357" s="18"/>
      <c r="C357" s="18"/>
      <c r="D357" s="18"/>
      <c r="E357" s="18"/>
      <c r="F357" s="18"/>
      <c r="G357" s="18" t="s">
        <v>11</v>
      </c>
      <c r="H357" s="18" t="s">
        <v>132</v>
      </c>
      <c r="I357" s="18" t="str">
        <f t="shared" si="30"/>
        <v>2.당월실적_B2C</v>
      </c>
      <c r="J357" s="34" t="s">
        <v>57</v>
      </c>
      <c r="K357" s="20"/>
      <c r="L357" s="35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7"/>
      <c r="X357" s="35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7"/>
      <c r="AJ357" s="35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7"/>
      <c r="AV357" s="35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7"/>
      <c r="BH357" s="38"/>
      <c r="BI357" s="36"/>
      <c r="BJ357" s="36"/>
      <c r="BK357" s="36"/>
      <c r="BL357" s="36"/>
    </row>
    <row r="358" spans="1:64">
      <c r="A358" s="17"/>
      <c r="H358" t="s">
        <v>132</v>
      </c>
      <c r="K358" s="20"/>
    </row>
    <row r="359" spans="1:64">
      <c r="A359" s="21" t="str">
        <f t="shared" ref="A359:A372" si="31">TRIM(B359)&amp;TRIM(C359)&amp;TRIM(D359)&amp;TRIM(E359)&amp;TRIM(F359)&amp;TRIM(G359)&amp;TRIM(H359)&amp;TRIM(I359)&amp;TRIM(J359)</f>
        <v>GJTOH_F_AD_PROMOTION2.당월실적_B2B금년</v>
      </c>
      <c r="B359" s="18"/>
      <c r="C359" s="18"/>
      <c r="D359" s="18"/>
      <c r="E359" s="18"/>
      <c r="F359" s="18"/>
      <c r="G359" s="18" t="s">
        <v>12</v>
      </c>
      <c r="H359" s="18" t="s">
        <v>132</v>
      </c>
      <c r="I359" s="18" t="s">
        <v>119</v>
      </c>
      <c r="J359" s="21" t="s">
        <v>73</v>
      </c>
      <c r="K359" s="20"/>
      <c r="L359" s="35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7"/>
      <c r="X359" s="35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7"/>
      <c r="AJ359" s="35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7"/>
      <c r="AV359" s="35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/>
      <c r="BG359" s="37"/>
      <c r="BH359" s="38"/>
      <c r="BI359" s="36"/>
      <c r="BJ359" s="36"/>
      <c r="BK359" s="36"/>
      <c r="BL359" s="36"/>
    </row>
    <row r="360" spans="1:64" ht="18" customHeight="1">
      <c r="A360" s="21" t="str">
        <f t="shared" si="31"/>
        <v>GJTOH_F_AD_PROMOTION2.당월실적_B2B전년</v>
      </c>
      <c r="B360" s="18"/>
      <c r="C360" s="18"/>
      <c r="D360" s="18"/>
      <c r="E360" s="18"/>
      <c r="F360" s="18"/>
      <c r="G360" s="18" t="s">
        <v>12</v>
      </c>
      <c r="H360" s="18" t="s">
        <v>132</v>
      </c>
      <c r="I360" s="18" t="s">
        <v>119</v>
      </c>
      <c r="J360" s="34" t="s">
        <v>57</v>
      </c>
      <c r="K360" s="20"/>
      <c r="L360" s="35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7"/>
      <c r="X360" s="35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7"/>
      <c r="AJ360" s="35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7"/>
      <c r="AV360" s="35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7"/>
      <c r="BH360" s="38"/>
      <c r="BI360" s="36"/>
      <c r="BJ360" s="36"/>
      <c r="BK360" s="36"/>
      <c r="BL360" s="36"/>
    </row>
    <row r="361" spans="1:64">
      <c r="A361" s="21" t="str">
        <f t="shared" si="31"/>
        <v>GNTOH_F_AD_PROMOTION2.당월실적_B2B금년</v>
      </c>
      <c r="B361" s="18"/>
      <c r="C361" s="18"/>
      <c r="D361" s="18"/>
      <c r="E361" s="18"/>
      <c r="F361" s="18"/>
      <c r="G361" s="18" t="s">
        <v>14</v>
      </c>
      <c r="H361" s="18" t="s">
        <v>132</v>
      </c>
      <c r="I361" s="18" t="s">
        <v>119</v>
      </c>
      <c r="J361" s="21" t="s">
        <v>73</v>
      </c>
      <c r="K361" s="20"/>
      <c r="L361" s="35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7"/>
      <c r="X361" s="35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7"/>
      <c r="AJ361" s="35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7"/>
      <c r="AV361" s="35"/>
      <c r="AW361" s="36"/>
      <c r="AX361" s="36"/>
      <c r="AY361" s="36"/>
      <c r="AZ361" s="36"/>
      <c r="BA361" s="36"/>
      <c r="BB361" s="36"/>
      <c r="BC361" s="36"/>
      <c r="BD361" s="36"/>
      <c r="BE361" s="36"/>
      <c r="BF361" s="36"/>
      <c r="BG361" s="37"/>
      <c r="BH361" s="38"/>
      <c r="BI361" s="36"/>
      <c r="BJ361" s="36"/>
      <c r="BK361" s="36"/>
      <c r="BL361" s="36"/>
    </row>
    <row r="362" spans="1:64">
      <c r="A362" s="21" t="str">
        <f t="shared" si="31"/>
        <v>GNTOH_F_AD_PROMOTION2.당월실적_B2B전년</v>
      </c>
      <c r="B362" s="18"/>
      <c r="C362" s="18"/>
      <c r="D362" s="18"/>
      <c r="E362" s="18"/>
      <c r="F362" s="18"/>
      <c r="G362" s="18" t="s">
        <v>14</v>
      </c>
      <c r="H362" s="18" t="s">
        <v>132</v>
      </c>
      <c r="I362" s="18" t="s">
        <v>119</v>
      </c>
      <c r="J362" s="34" t="s">
        <v>57</v>
      </c>
      <c r="K362" s="20"/>
      <c r="L362" s="35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7"/>
      <c r="X362" s="35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7"/>
      <c r="AJ362" s="35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7"/>
      <c r="AV362" s="35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7"/>
      <c r="BH362" s="38"/>
      <c r="BI362" s="36"/>
      <c r="BJ362" s="36"/>
      <c r="BK362" s="36"/>
      <c r="BL362" s="36"/>
    </row>
    <row r="363" spans="1:64">
      <c r="A363" s="21" t="str">
        <f t="shared" si="31"/>
        <v>GOTOH_F_AD_PROMOTION2.당월실적_B2B금년</v>
      </c>
      <c r="B363" s="18"/>
      <c r="C363" s="18"/>
      <c r="D363" s="18"/>
      <c r="E363" s="18"/>
      <c r="F363" s="18"/>
      <c r="G363" s="18" t="s">
        <v>117</v>
      </c>
      <c r="H363" s="18" t="s">
        <v>132</v>
      </c>
      <c r="I363" s="18" t="s">
        <v>119</v>
      </c>
      <c r="J363" s="21" t="s">
        <v>73</v>
      </c>
      <c r="K363" s="20"/>
      <c r="L363" s="35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7"/>
      <c r="X363" s="35"/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7"/>
      <c r="AJ363" s="35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7"/>
      <c r="AV363" s="35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7"/>
      <c r="BH363" s="38"/>
      <c r="BI363" s="36"/>
      <c r="BJ363" s="36"/>
      <c r="BK363" s="36"/>
      <c r="BL363" s="36"/>
    </row>
    <row r="364" spans="1:64">
      <c r="A364" s="21" t="str">
        <f t="shared" si="31"/>
        <v>GOTOH_F_AD_PROMOTION2.당월실적_B2B전년</v>
      </c>
      <c r="B364" s="18"/>
      <c r="C364" s="18"/>
      <c r="D364" s="18"/>
      <c r="E364" s="18"/>
      <c r="F364" s="18"/>
      <c r="G364" s="18" t="s">
        <v>117</v>
      </c>
      <c r="H364" s="18" t="s">
        <v>132</v>
      </c>
      <c r="I364" s="18" t="s">
        <v>119</v>
      </c>
      <c r="J364" s="34" t="s">
        <v>57</v>
      </c>
      <c r="K364" s="20"/>
      <c r="L364" s="35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7"/>
      <c r="X364" s="35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7"/>
      <c r="AJ364" s="35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7"/>
      <c r="AV364" s="35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7"/>
      <c r="BH364" s="38"/>
      <c r="BI364" s="36"/>
      <c r="BJ364" s="36"/>
      <c r="BK364" s="36"/>
      <c r="BL364" s="36"/>
    </row>
    <row r="365" spans="1:64">
      <c r="A365" s="21" t="str">
        <f t="shared" si="31"/>
        <v>PKTOH_F_AD_PROMOTION2.당월실적_B2B금년</v>
      </c>
      <c r="B365" s="18"/>
      <c r="C365" s="18"/>
      <c r="D365" s="18"/>
      <c r="E365" s="18"/>
      <c r="F365" s="18"/>
      <c r="G365" s="18" t="s">
        <v>105</v>
      </c>
      <c r="H365" s="18" t="s">
        <v>132</v>
      </c>
      <c r="I365" s="18" t="s">
        <v>119</v>
      </c>
      <c r="J365" s="21" t="s">
        <v>73</v>
      </c>
      <c r="K365" s="20"/>
      <c r="L365" s="35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7"/>
      <c r="X365" s="35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7"/>
      <c r="AJ365" s="35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7"/>
      <c r="AV365" s="35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7"/>
      <c r="BH365" s="38"/>
      <c r="BI365" s="36"/>
      <c r="BJ365" s="36"/>
      <c r="BK365" s="36"/>
      <c r="BL365" s="36"/>
    </row>
    <row r="366" spans="1:64">
      <c r="A366" s="21" t="str">
        <f t="shared" si="31"/>
        <v>PKTOH_F_AD_PROMOTION2.당월실적_B2B전년</v>
      </c>
      <c r="B366" s="18"/>
      <c r="C366" s="18"/>
      <c r="D366" s="18"/>
      <c r="E366" s="18"/>
      <c r="F366" s="18"/>
      <c r="G366" s="18" t="s">
        <v>105</v>
      </c>
      <c r="H366" s="18" t="s">
        <v>132</v>
      </c>
      <c r="I366" s="18" t="s">
        <v>119</v>
      </c>
      <c r="J366" s="34" t="s">
        <v>57</v>
      </c>
      <c r="K366" s="20"/>
      <c r="L366" s="35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7"/>
      <c r="X366" s="35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7"/>
      <c r="AJ366" s="35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7"/>
      <c r="AV366" s="35"/>
      <c r="AW366" s="36"/>
      <c r="AX366" s="36"/>
      <c r="AY366" s="36"/>
      <c r="AZ366" s="36"/>
      <c r="BA366" s="36"/>
      <c r="BB366" s="36"/>
      <c r="BC366" s="36"/>
      <c r="BD366" s="36"/>
      <c r="BE366" s="36"/>
      <c r="BF366" s="36"/>
      <c r="BG366" s="37"/>
      <c r="BH366" s="38"/>
      <c r="BI366" s="36"/>
      <c r="BJ366" s="36"/>
      <c r="BK366" s="36"/>
      <c r="BL366" s="36"/>
    </row>
    <row r="367" spans="1:64">
      <c r="A367" s="21" t="str">
        <f t="shared" si="31"/>
        <v>DMTOH_F_AD_PROMOTION2.당월실적_B2B금년</v>
      </c>
      <c r="B367" s="18"/>
      <c r="C367" s="18"/>
      <c r="D367" s="18"/>
      <c r="E367" s="18"/>
      <c r="F367" s="18"/>
      <c r="G367" s="18" t="s">
        <v>10</v>
      </c>
      <c r="H367" s="18" t="s">
        <v>132</v>
      </c>
      <c r="I367" s="18" t="s">
        <v>119</v>
      </c>
      <c r="J367" s="21" t="s">
        <v>73</v>
      </c>
      <c r="K367" s="20"/>
      <c r="L367" s="35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7"/>
      <c r="X367" s="35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7"/>
      <c r="AJ367" s="35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7"/>
      <c r="AV367" s="35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7"/>
      <c r="BH367" s="38"/>
      <c r="BI367" s="36"/>
      <c r="BJ367" s="36"/>
      <c r="BK367" s="36"/>
      <c r="BL367" s="36"/>
    </row>
    <row r="368" spans="1:64">
      <c r="A368" s="21" t="str">
        <f t="shared" si="31"/>
        <v>DMTOH_F_AD_PROMOTION2.당월실적_B2B전년</v>
      </c>
      <c r="B368" s="18"/>
      <c r="C368" s="18"/>
      <c r="D368" s="18"/>
      <c r="E368" s="18"/>
      <c r="F368" s="18"/>
      <c r="G368" s="18" t="s">
        <v>10</v>
      </c>
      <c r="H368" s="18" t="s">
        <v>132</v>
      </c>
      <c r="I368" s="18" t="s">
        <v>119</v>
      </c>
      <c r="J368" s="34" t="s">
        <v>57</v>
      </c>
      <c r="K368" s="20"/>
      <c r="L368" s="35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7"/>
      <c r="X368" s="35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7"/>
      <c r="AJ368" s="35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7"/>
      <c r="AV368" s="35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7"/>
      <c r="BH368" s="38"/>
      <c r="BI368" s="36"/>
      <c r="BJ368" s="36"/>
      <c r="BK368" s="36"/>
      <c r="BL368" s="36"/>
    </row>
    <row r="369" spans="1:64">
      <c r="A369" s="21" t="str">
        <f t="shared" si="31"/>
        <v>DTTOH_F_AD_PROMOTION2.당월실적_B2B금년</v>
      </c>
      <c r="B369" s="18"/>
      <c r="C369" s="18"/>
      <c r="D369" s="18"/>
      <c r="E369" s="18"/>
      <c r="F369" s="18"/>
      <c r="G369" s="18" t="s">
        <v>118</v>
      </c>
      <c r="H369" s="18" t="s">
        <v>132</v>
      </c>
      <c r="I369" s="18" t="s">
        <v>119</v>
      </c>
      <c r="J369" s="21" t="s">
        <v>73</v>
      </c>
      <c r="K369" s="20"/>
      <c r="L369" s="35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7"/>
      <c r="X369" s="35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7"/>
      <c r="AJ369" s="35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7"/>
      <c r="AV369" s="35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7"/>
      <c r="BH369" s="38"/>
      <c r="BI369" s="36"/>
      <c r="BJ369" s="36"/>
      <c r="BK369" s="36"/>
      <c r="BL369" s="36"/>
    </row>
    <row r="370" spans="1:64">
      <c r="A370" s="21" t="str">
        <f t="shared" si="31"/>
        <v>DTTOH_F_AD_PROMOTION2.당월실적_B2B전년</v>
      </c>
      <c r="B370" s="18"/>
      <c r="C370" s="18"/>
      <c r="D370" s="18"/>
      <c r="E370" s="18"/>
      <c r="F370" s="18"/>
      <c r="G370" s="18" t="s">
        <v>118</v>
      </c>
      <c r="H370" s="18" t="s">
        <v>132</v>
      </c>
      <c r="I370" s="18" t="s">
        <v>119</v>
      </c>
      <c r="J370" s="34" t="s">
        <v>57</v>
      </c>
      <c r="K370" s="20"/>
      <c r="L370" s="35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7"/>
      <c r="X370" s="35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7"/>
      <c r="AJ370" s="35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7"/>
      <c r="AV370" s="35"/>
      <c r="AW370" s="36"/>
      <c r="AX370" s="36"/>
      <c r="AY370" s="36"/>
      <c r="AZ370" s="36"/>
      <c r="BA370" s="36"/>
      <c r="BB370" s="36"/>
      <c r="BC370" s="36"/>
      <c r="BD370" s="36"/>
      <c r="BE370" s="36"/>
      <c r="BF370" s="36"/>
      <c r="BG370" s="37"/>
      <c r="BH370" s="38"/>
      <c r="BI370" s="36"/>
      <c r="BJ370" s="36"/>
      <c r="BK370" s="36"/>
      <c r="BL370" s="36"/>
    </row>
    <row r="371" spans="1:64">
      <c r="A371" s="21" t="str">
        <f t="shared" si="31"/>
        <v>PGTOH_F_AD_PROMOTION2.당월실적_B2B금년</v>
      </c>
      <c r="B371" s="18"/>
      <c r="C371" s="18"/>
      <c r="D371" s="18"/>
      <c r="E371" s="18"/>
      <c r="F371" s="18"/>
      <c r="G371" s="18" t="s">
        <v>19</v>
      </c>
      <c r="H371" s="18" t="s">
        <v>132</v>
      </c>
      <c r="I371" s="18" t="s">
        <v>119</v>
      </c>
      <c r="J371" s="21" t="s">
        <v>73</v>
      </c>
      <c r="K371" s="20"/>
      <c r="L371" s="35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7"/>
      <c r="X371" s="35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7"/>
      <c r="AJ371" s="35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7"/>
      <c r="AV371" s="35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7"/>
      <c r="BH371" s="38"/>
      <c r="BI371" s="36"/>
      <c r="BJ371" s="36"/>
      <c r="BK371" s="36"/>
      <c r="BL371" s="36"/>
    </row>
    <row r="372" spans="1:64">
      <c r="A372" s="21" t="str">
        <f t="shared" si="31"/>
        <v>PGTOH_F_AD_PROMOTION2.당월실적_B2B전년</v>
      </c>
      <c r="B372" s="18"/>
      <c r="C372" s="18"/>
      <c r="D372" s="18"/>
      <c r="E372" s="18"/>
      <c r="F372" s="18"/>
      <c r="G372" s="18" t="s">
        <v>19</v>
      </c>
      <c r="H372" s="18" t="s">
        <v>132</v>
      </c>
      <c r="I372" s="18" t="s">
        <v>119</v>
      </c>
      <c r="J372" s="34" t="s">
        <v>57</v>
      </c>
      <c r="K372" s="20"/>
      <c r="L372" s="35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7"/>
      <c r="X372" s="35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  <c r="AI372" s="37"/>
      <c r="AJ372" s="35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7"/>
      <c r="AV372" s="35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7"/>
      <c r="BH372" s="38"/>
      <c r="BI372" s="36"/>
      <c r="BJ372" s="36"/>
      <c r="BK372" s="36"/>
      <c r="BL372" s="36"/>
    </row>
    <row r="373" spans="1:64">
      <c r="A373" s="17"/>
      <c r="K373" s="20"/>
    </row>
    <row r="374" spans="1:64">
      <c r="A374" s="21" t="str">
        <f t="shared" ref="A374:A393" si="32">TRIM(B374)&amp;TRIM(C374)&amp;TRIM(D374)&amp;TRIM(E374)&amp;TRIM(F374)&amp;TRIM(G374)&amp;TRIM(H374)&amp;TRIM(I374)&amp;TRIM(J374)</f>
        <v>GLTOH_F_COMMISSION2.당월실적_B2C금년</v>
      </c>
      <c r="B374" s="18"/>
      <c r="C374" s="18"/>
      <c r="D374" s="18"/>
      <c r="E374" s="18"/>
      <c r="F374" s="18"/>
      <c r="G374" s="18" t="s">
        <v>13</v>
      </c>
      <c r="H374" s="18" t="s">
        <v>133</v>
      </c>
      <c r="I374" s="18" t="s">
        <v>78</v>
      </c>
      <c r="J374" s="21" t="s">
        <v>73</v>
      </c>
      <c r="K374" s="20"/>
      <c r="L374" s="35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7"/>
      <c r="X374" s="35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7"/>
      <c r="AJ374" s="35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7"/>
      <c r="AV374" s="35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7"/>
      <c r="BH374" s="38"/>
      <c r="BI374" s="36"/>
      <c r="BJ374" s="36"/>
      <c r="BK374" s="36"/>
      <c r="BL374" s="36"/>
    </row>
    <row r="375" spans="1:64">
      <c r="A375" s="21" t="str">
        <f t="shared" si="32"/>
        <v>GLTOH_F_COMMISSION2.당월실적_B2C전년</v>
      </c>
      <c r="B375" s="18"/>
      <c r="C375" s="18"/>
      <c r="D375" s="18"/>
      <c r="E375" s="18"/>
      <c r="F375" s="18"/>
      <c r="G375" s="18" t="s">
        <v>13</v>
      </c>
      <c r="H375" s="18" t="s">
        <v>133</v>
      </c>
      <c r="I375" s="18" t="s">
        <v>78</v>
      </c>
      <c r="J375" s="34" t="s">
        <v>57</v>
      </c>
      <c r="K375" s="20"/>
      <c r="L375" s="35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7"/>
      <c r="X375" s="35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7"/>
      <c r="AJ375" s="35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7"/>
      <c r="AV375" s="35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7"/>
      <c r="BH375" s="38"/>
      <c r="BI375" s="36"/>
      <c r="BJ375" s="36"/>
      <c r="BK375" s="36"/>
      <c r="BL375" s="36"/>
    </row>
    <row r="376" spans="1:64">
      <c r="A376" s="21" t="str">
        <f t="shared" si="32"/>
        <v>GTTOH_F_COMMISSION2.당월실적_B2C금년</v>
      </c>
      <c r="B376" s="18"/>
      <c r="C376" s="18"/>
      <c r="D376" s="18"/>
      <c r="E376" s="18"/>
      <c r="F376" s="18"/>
      <c r="G376" s="18" t="s">
        <v>15</v>
      </c>
      <c r="H376" s="18" t="s">
        <v>133</v>
      </c>
      <c r="I376" s="18" t="s">
        <v>78</v>
      </c>
      <c r="J376" s="21" t="s">
        <v>73</v>
      </c>
      <c r="K376" s="20"/>
      <c r="L376" s="35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7"/>
      <c r="X376" s="35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7"/>
      <c r="AJ376" s="35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7"/>
      <c r="AV376" s="35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7"/>
      <c r="BH376" s="38"/>
      <c r="BI376" s="36"/>
      <c r="BJ376" s="36"/>
      <c r="BK376" s="36"/>
      <c r="BL376" s="36"/>
    </row>
    <row r="377" spans="1:64">
      <c r="A377" s="21" t="str">
        <f t="shared" si="32"/>
        <v>GTTOH_F_COMMISSION2.당월실적_B2C전년</v>
      </c>
      <c r="B377" s="18"/>
      <c r="C377" s="18"/>
      <c r="D377" s="18"/>
      <c r="E377" s="18"/>
      <c r="F377" s="18"/>
      <c r="G377" s="18" t="s">
        <v>15</v>
      </c>
      <c r="H377" s="18" t="s">
        <v>133</v>
      </c>
      <c r="I377" s="18" t="s">
        <v>78</v>
      </c>
      <c r="J377" s="34" t="s">
        <v>57</v>
      </c>
      <c r="K377" s="20"/>
      <c r="L377" s="35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7"/>
      <c r="X377" s="35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7"/>
      <c r="AJ377" s="35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7"/>
      <c r="AV377" s="35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7"/>
      <c r="BH377" s="38"/>
      <c r="BI377" s="36"/>
      <c r="BJ377" s="36"/>
      <c r="BK377" s="36"/>
      <c r="BL377" s="36"/>
    </row>
    <row r="378" spans="1:64">
      <c r="A378" s="21" t="str">
        <f t="shared" si="32"/>
        <v>PNTOH_F_COMMISSION2.당월실적_B2C금년</v>
      </c>
      <c r="B378" s="18"/>
      <c r="C378" s="18"/>
      <c r="D378" s="18"/>
      <c r="E378" s="18"/>
      <c r="F378" s="18"/>
      <c r="G378" s="18" t="s">
        <v>17</v>
      </c>
      <c r="H378" s="18" t="s">
        <v>133</v>
      </c>
      <c r="I378" s="18" t="s">
        <v>78</v>
      </c>
      <c r="J378" s="21" t="s">
        <v>73</v>
      </c>
      <c r="K378" s="20"/>
      <c r="L378" s="35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7"/>
      <c r="X378" s="35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7"/>
      <c r="AJ378" s="35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7"/>
      <c r="AV378" s="35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7"/>
      <c r="BH378" s="38"/>
      <c r="BI378" s="36"/>
      <c r="BJ378" s="36"/>
      <c r="BK378" s="36"/>
      <c r="BL378" s="36"/>
    </row>
    <row r="379" spans="1:64">
      <c r="A379" s="21" t="str">
        <f t="shared" si="32"/>
        <v>PNTOH_F_COMMISSION2.당월실적_B2C전년</v>
      </c>
      <c r="B379" s="18"/>
      <c r="C379" s="18"/>
      <c r="D379" s="18"/>
      <c r="E379" s="18"/>
      <c r="F379" s="18"/>
      <c r="G379" s="18" t="s">
        <v>17</v>
      </c>
      <c r="H379" s="18" t="s">
        <v>133</v>
      </c>
      <c r="I379" s="18" t="s">
        <v>78</v>
      </c>
      <c r="J379" s="34" t="s">
        <v>57</v>
      </c>
      <c r="K379" s="20"/>
      <c r="L379" s="35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7"/>
      <c r="X379" s="35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7"/>
      <c r="AJ379" s="35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7"/>
      <c r="AV379" s="35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7"/>
      <c r="BH379" s="38"/>
      <c r="BI379" s="36"/>
      <c r="BJ379" s="36"/>
      <c r="BK379" s="36"/>
      <c r="BL379" s="36"/>
    </row>
    <row r="380" spans="1:64">
      <c r="A380" s="21" t="str">
        <f t="shared" si="32"/>
        <v>MSTOH_F_COMMISSION2.당월실적_B2C금년</v>
      </c>
      <c r="B380" s="18"/>
      <c r="C380" s="18"/>
      <c r="D380" s="18"/>
      <c r="E380" s="18"/>
      <c r="F380" s="18"/>
      <c r="G380" s="18" t="s">
        <v>16</v>
      </c>
      <c r="H380" s="18" t="s">
        <v>133</v>
      </c>
      <c r="I380" s="18" t="s">
        <v>78</v>
      </c>
      <c r="J380" s="21" t="s">
        <v>73</v>
      </c>
      <c r="K380" s="20"/>
      <c r="L380" s="35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7"/>
      <c r="X380" s="35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7"/>
      <c r="AJ380" s="35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7"/>
      <c r="AV380" s="35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7"/>
      <c r="BH380" s="38"/>
      <c r="BI380" s="36"/>
      <c r="BJ380" s="36"/>
      <c r="BK380" s="36"/>
      <c r="BL380" s="36"/>
    </row>
    <row r="381" spans="1:64">
      <c r="A381" s="21" t="str">
        <f t="shared" si="32"/>
        <v>MSTOH_F_COMMISSION2.당월실적_B2C전년</v>
      </c>
      <c r="B381" s="18"/>
      <c r="C381" s="18"/>
      <c r="D381" s="18"/>
      <c r="E381" s="18"/>
      <c r="F381" s="18"/>
      <c r="G381" s="18" t="s">
        <v>16</v>
      </c>
      <c r="H381" s="18" t="s">
        <v>133</v>
      </c>
      <c r="I381" s="18" t="s">
        <v>78</v>
      </c>
      <c r="J381" s="34" t="s">
        <v>57</v>
      </c>
      <c r="K381" s="20"/>
      <c r="L381" s="35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7"/>
      <c r="X381" s="35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7"/>
      <c r="AJ381" s="35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7"/>
      <c r="AV381" s="35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7"/>
      <c r="BH381" s="38"/>
      <c r="BI381" s="36"/>
      <c r="BJ381" s="36"/>
      <c r="BK381" s="36"/>
      <c r="BL381" s="36"/>
    </row>
    <row r="382" spans="1:64">
      <c r="A382" s="21" t="str">
        <f t="shared" si="32"/>
        <v>CNTOH_F_COMMISSION2.당월실적_B2C금년</v>
      </c>
      <c r="B382" s="18"/>
      <c r="C382" s="18"/>
      <c r="D382" s="18"/>
      <c r="E382" s="18"/>
      <c r="F382" s="18"/>
      <c r="G382" s="18" t="s">
        <v>7</v>
      </c>
      <c r="H382" s="18" t="s">
        <v>133</v>
      </c>
      <c r="I382" s="18" t="s">
        <v>78</v>
      </c>
      <c r="J382" s="21" t="s">
        <v>73</v>
      </c>
      <c r="K382" s="20"/>
      <c r="L382" s="35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7"/>
      <c r="X382" s="35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7"/>
      <c r="AJ382" s="35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7"/>
      <c r="AV382" s="35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7"/>
      <c r="BH382" s="38"/>
      <c r="BI382" s="36"/>
      <c r="BJ382" s="36"/>
      <c r="BK382" s="36"/>
      <c r="BL382" s="36"/>
    </row>
    <row r="383" spans="1:64">
      <c r="A383" s="21" t="str">
        <f t="shared" si="32"/>
        <v>CNTOH_F_COMMISSION2.당월실적_B2C전년</v>
      </c>
      <c r="B383" s="18"/>
      <c r="C383" s="18"/>
      <c r="D383" s="18"/>
      <c r="E383" s="18"/>
      <c r="F383" s="18"/>
      <c r="G383" s="18" t="s">
        <v>7</v>
      </c>
      <c r="H383" s="18" t="s">
        <v>133</v>
      </c>
      <c r="I383" s="18" t="s">
        <v>78</v>
      </c>
      <c r="J383" s="34" t="s">
        <v>57</v>
      </c>
      <c r="K383" s="20"/>
      <c r="L383" s="35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7"/>
      <c r="X383" s="35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7"/>
      <c r="AJ383" s="35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7"/>
      <c r="AV383" s="35"/>
      <c r="AW383" s="36"/>
      <c r="AX383" s="36"/>
      <c r="AY383" s="36"/>
      <c r="AZ383" s="36"/>
      <c r="BA383" s="36"/>
      <c r="BB383" s="36"/>
      <c r="BC383" s="36"/>
      <c r="BD383" s="36"/>
      <c r="BE383" s="36"/>
      <c r="BF383" s="36"/>
      <c r="BG383" s="37"/>
      <c r="BH383" s="38"/>
      <c r="BI383" s="36"/>
      <c r="BJ383" s="36"/>
      <c r="BK383" s="36"/>
      <c r="BL383" s="36"/>
    </row>
    <row r="384" spans="1:64">
      <c r="A384" s="21" t="str">
        <f t="shared" si="32"/>
        <v>DFTOH_F_COMMISSION2.당월실적_B2C금년</v>
      </c>
      <c r="B384" s="18"/>
      <c r="C384" s="18"/>
      <c r="D384" s="18"/>
      <c r="E384" s="18"/>
      <c r="F384" s="18"/>
      <c r="G384" s="18" t="s">
        <v>8</v>
      </c>
      <c r="H384" s="18" t="s">
        <v>133</v>
      </c>
      <c r="I384" s="18" t="str">
        <f t="shared" ref="I384:I393" si="33">I374</f>
        <v>2.당월실적_B2C</v>
      </c>
      <c r="J384" s="21" t="s">
        <v>73</v>
      </c>
      <c r="K384" s="20"/>
      <c r="L384" s="35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7"/>
      <c r="X384" s="35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7"/>
      <c r="AJ384" s="35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7"/>
      <c r="AV384" s="35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7"/>
      <c r="BH384" s="38"/>
      <c r="BI384" s="36"/>
      <c r="BJ384" s="36"/>
      <c r="BK384" s="36"/>
      <c r="BL384" s="36"/>
    </row>
    <row r="385" spans="1:64">
      <c r="A385" s="21" t="str">
        <f t="shared" si="32"/>
        <v>DFTOH_F_COMMISSION2.당월실적_B2C전년</v>
      </c>
      <c r="B385" s="18"/>
      <c r="C385" s="18"/>
      <c r="D385" s="18"/>
      <c r="E385" s="18"/>
      <c r="F385" s="18"/>
      <c r="G385" s="18" t="s">
        <v>8</v>
      </c>
      <c r="H385" s="18" t="s">
        <v>133</v>
      </c>
      <c r="I385" s="18" t="str">
        <f t="shared" si="33"/>
        <v>2.당월실적_B2C</v>
      </c>
      <c r="J385" s="34" t="s">
        <v>57</v>
      </c>
      <c r="K385" s="20"/>
      <c r="L385" s="35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7"/>
      <c r="X385" s="35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7"/>
      <c r="AJ385" s="35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7"/>
      <c r="AV385" s="35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7"/>
      <c r="BH385" s="38"/>
      <c r="BI385" s="36"/>
      <c r="BJ385" s="36"/>
      <c r="BK385" s="36"/>
      <c r="BL385" s="36"/>
    </row>
    <row r="386" spans="1:64">
      <c r="A386" s="21" t="str">
        <f t="shared" si="32"/>
        <v>DGTOH_F_COMMISSION2.당월실적_B2C금년</v>
      </c>
      <c r="B386" s="18"/>
      <c r="C386" s="18"/>
      <c r="D386" s="18"/>
      <c r="E386" s="18"/>
      <c r="F386" s="18"/>
      <c r="G386" s="18" t="s">
        <v>9</v>
      </c>
      <c r="H386" s="18" t="s">
        <v>133</v>
      </c>
      <c r="I386" s="18" t="str">
        <f t="shared" si="33"/>
        <v>2.당월실적_B2C</v>
      </c>
      <c r="J386" s="21" t="s">
        <v>73</v>
      </c>
      <c r="K386" s="20"/>
      <c r="L386" s="35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7"/>
      <c r="X386" s="35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7"/>
      <c r="AJ386" s="35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7"/>
      <c r="AV386" s="35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7"/>
      <c r="BH386" s="38"/>
      <c r="BI386" s="36"/>
      <c r="BJ386" s="36"/>
      <c r="BK386" s="36"/>
      <c r="BL386" s="36"/>
    </row>
    <row r="387" spans="1:64">
      <c r="A387" s="21" t="str">
        <f t="shared" si="32"/>
        <v>DGTOH_F_COMMISSION2.당월실적_B2C전년</v>
      </c>
      <c r="B387" s="18"/>
      <c r="C387" s="18"/>
      <c r="D387" s="18"/>
      <c r="E387" s="18"/>
      <c r="F387" s="18"/>
      <c r="G387" s="18" t="s">
        <v>9</v>
      </c>
      <c r="H387" s="18" t="s">
        <v>133</v>
      </c>
      <c r="I387" s="18" t="str">
        <f t="shared" si="33"/>
        <v>2.당월실적_B2C</v>
      </c>
      <c r="J387" s="34" t="s">
        <v>57</v>
      </c>
      <c r="K387" s="20"/>
      <c r="L387" s="35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7"/>
      <c r="X387" s="35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7"/>
      <c r="AJ387" s="35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7"/>
      <c r="AV387" s="35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7"/>
      <c r="BH387" s="38"/>
      <c r="BI387" s="36"/>
      <c r="BJ387" s="36"/>
      <c r="BK387" s="36"/>
      <c r="BL387" s="36"/>
    </row>
    <row r="388" spans="1:64">
      <c r="A388" s="21" t="str">
        <f t="shared" si="32"/>
        <v>PCTOH_F_COMMISSION2.당월실적_B2C금년</v>
      </c>
      <c r="B388" s="18"/>
      <c r="C388" s="18"/>
      <c r="D388" s="18"/>
      <c r="E388" s="18"/>
      <c r="F388" s="18"/>
      <c r="G388" s="18" t="s">
        <v>20</v>
      </c>
      <c r="H388" s="18" t="s">
        <v>133</v>
      </c>
      <c r="I388" s="18" t="str">
        <f t="shared" si="33"/>
        <v>2.당월실적_B2C</v>
      </c>
      <c r="J388" s="21" t="s">
        <v>73</v>
      </c>
      <c r="K388" s="20"/>
      <c r="L388" s="35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7"/>
      <c r="X388" s="35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7"/>
      <c r="AJ388" s="35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7"/>
      <c r="AV388" s="35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7"/>
      <c r="BH388" s="38"/>
      <c r="BI388" s="36"/>
      <c r="BJ388" s="36"/>
      <c r="BK388" s="36"/>
      <c r="BL388" s="36"/>
    </row>
    <row r="389" spans="1:64">
      <c r="A389" s="21" t="str">
        <f t="shared" si="32"/>
        <v>PCTOH_F_COMMISSION2.당월실적_B2C전년</v>
      </c>
      <c r="B389" s="18"/>
      <c r="C389" s="18"/>
      <c r="D389" s="18"/>
      <c r="E389" s="18"/>
      <c r="F389" s="18"/>
      <c r="G389" s="18" t="s">
        <v>20</v>
      </c>
      <c r="H389" s="18" t="s">
        <v>133</v>
      </c>
      <c r="I389" s="18" t="str">
        <f t="shared" si="33"/>
        <v>2.당월실적_B2C</v>
      </c>
      <c r="J389" s="34" t="s">
        <v>57</v>
      </c>
      <c r="K389" s="20"/>
      <c r="L389" s="35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7"/>
      <c r="X389" s="35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7"/>
      <c r="AJ389" s="35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7"/>
      <c r="AV389" s="35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7"/>
      <c r="BH389" s="38"/>
      <c r="BI389" s="36"/>
      <c r="BJ389" s="36"/>
      <c r="BK389" s="36"/>
      <c r="BL389" s="36"/>
    </row>
    <row r="390" spans="1:64">
      <c r="A390" s="21" t="str">
        <f t="shared" si="32"/>
        <v>PSTOH_F_COMMISSION2.당월실적_B2C금년</v>
      </c>
      <c r="B390" s="18"/>
      <c r="C390" s="18"/>
      <c r="D390" s="18"/>
      <c r="E390" s="18"/>
      <c r="F390" s="18"/>
      <c r="G390" s="18" t="s">
        <v>18</v>
      </c>
      <c r="H390" s="18" t="s">
        <v>133</v>
      </c>
      <c r="I390" s="18" t="str">
        <f t="shared" si="33"/>
        <v>2.당월실적_B2C</v>
      </c>
      <c r="J390" s="21" t="s">
        <v>73</v>
      </c>
      <c r="K390" s="20"/>
      <c r="L390" s="35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7"/>
      <c r="X390" s="35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7"/>
      <c r="AJ390" s="35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7"/>
      <c r="AV390" s="35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7"/>
      <c r="BH390" s="38"/>
      <c r="BI390" s="36"/>
      <c r="BJ390" s="36"/>
      <c r="BK390" s="36"/>
      <c r="BL390" s="36"/>
    </row>
    <row r="391" spans="1:64">
      <c r="A391" s="21" t="str">
        <f t="shared" si="32"/>
        <v>PSTOH_F_COMMISSION2.당월실적_B2C전년</v>
      </c>
      <c r="B391" s="18"/>
      <c r="C391" s="18"/>
      <c r="D391" s="18"/>
      <c r="E391" s="18"/>
      <c r="F391" s="18"/>
      <c r="G391" s="18" t="s">
        <v>18</v>
      </c>
      <c r="H391" s="18" t="s">
        <v>133</v>
      </c>
      <c r="I391" s="18" t="str">
        <f t="shared" si="33"/>
        <v>2.당월실적_B2C</v>
      </c>
      <c r="J391" s="34" t="s">
        <v>57</v>
      </c>
      <c r="K391" s="20"/>
      <c r="L391" s="35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7"/>
      <c r="X391" s="35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  <c r="AI391" s="37"/>
      <c r="AJ391" s="35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7"/>
      <c r="AV391" s="35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7"/>
      <c r="BH391" s="38"/>
      <c r="BI391" s="36"/>
      <c r="BJ391" s="36"/>
      <c r="BK391" s="36"/>
      <c r="BL391" s="36"/>
    </row>
    <row r="392" spans="1:64">
      <c r="A392" s="21" t="str">
        <f t="shared" si="32"/>
        <v>DVTOH_F_COMMISSION2.당월실적_B2C금년</v>
      </c>
      <c r="B392" s="18"/>
      <c r="C392" s="18"/>
      <c r="D392" s="18"/>
      <c r="E392" s="18"/>
      <c r="F392" s="18"/>
      <c r="G392" s="18" t="s">
        <v>11</v>
      </c>
      <c r="H392" s="18" t="s">
        <v>133</v>
      </c>
      <c r="I392" s="18" t="str">
        <f t="shared" si="33"/>
        <v>2.당월실적_B2C</v>
      </c>
      <c r="J392" s="21" t="s">
        <v>73</v>
      </c>
      <c r="K392" s="20"/>
      <c r="L392" s="35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7"/>
      <c r="X392" s="35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37"/>
      <c r="AJ392" s="35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7"/>
      <c r="AV392" s="35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7"/>
      <c r="BH392" s="38"/>
      <c r="BI392" s="36"/>
      <c r="BJ392" s="36"/>
      <c r="BK392" s="36"/>
      <c r="BL392" s="36"/>
    </row>
    <row r="393" spans="1:64">
      <c r="A393" s="21" t="str">
        <f t="shared" si="32"/>
        <v>DVTOH_F_COMMISSION2.당월실적_B2C전년</v>
      </c>
      <c r="B393" s="18"/>
      <c r="C393" s="18"/>
      <c r="D393" s="18"/>
      <c r="E393" s="18"/>
      <c r="F393" s="18"/>
      <c r="G393" s="18" t="s">
        <v>11</v>
      </c>
      <c r="H393" s="18" t="s">
        <v>133</v>
      </c>
      <c r="I393" s="18" t="str">
        <f t="shared" si="33"/>
        <v>2.당월실적_B2C</v>
      </c>
      <c r="J393" s="34" t="s">
        <v>57</v>
      </c>
      <c r="K393" s="20"/>
      <c r="L393" s="35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7"/>
      <c r="X393" s="35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7"/>
      <c r="AJ393" s="35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7"/>
      <c r="AV393" s="35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7"/>
      <c r="BH393" s="38"/>
      <c r="BI393" s="36"/>
      <c r="BJ393" s="36"/>
      <c r="BK393" s="36"/>
      <c r="BL393" s="36"/>
    </row>
    <row r="394" spans="1:64">
      <c r="A394" s="17"/>
      <c r="H394" t="s">
        <v>133</v>
      </c>
      <c r="K394" s="20"/>
    </row>
    <row r="395" spans="1:64">
      <c r="A395" s="21" t="str">
        <f t="shared" ref="A395:A408" si="34">TRIM(B395)&amp;TRIM(C395)&amp;TRIM(D395)&amp;TRIM(E395)&amp;TRIM(F395)&amp;TRIM(G395)&amp;TRIM(H395)&amp;TRIM(I395)&amp;TRIM(J395)</f>
        <v>GJTOH_F_COMMISSION2.당월실적_B2B금년</v>
      </c>
      <c r="B395" s="18"/>
      <c r="C395" s="18"/>
      <c r="D395" s="18"/>
      <c r="E395" s="18"/>
      <c r="F395" s="18"/>
      <c r="G395" s="18" t="s">
        <v>12</v>
      </c>
      <c r="H395" s="18" t="s">
        <v>133</v>
      </c>
      <c r="I395" s="18" t="s">
        <v>119</v>
      </c>
      <c r="J395" s="21" t="s">
        <v>73</v>
      </c>
      <c r="K395" s="20"/>
      <c r="L395" s="35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7"/>
      <c r="X395" s="35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7"/>
      <c r="AJ395" s="35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7"/>
      <c r="AV395" s="35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7"/>
      <c r="BH395" s="38"/>
      <c r="BI395" s="36"/>
      <c r="BJ395" s="36"/>
      <c r="BK395" s="36"/>
      <c r="BL395" s="36"/>
    </row>
    <row r="396" spans="1:64" ht="18" customHeight="1">
      <c r="A396" s="21" t="str">
        <f t="shared" si="34"/>
        <v>GJTOH_F_COMMISSION2.당월실적_B2B전년</v>
      </c>
      <c r="B396" s="18"/>
      <c r="C396" s="18"/>
      <c r="D396" s="18"/>
      <c r="E396" s="18"/>
      <c r="F396" s="18"/>
      <c r="G396" s="18" t="s">
        <v>12</v>
      </c>
      <c r="H396" s="18" t="s">
        <v>133</v>
      </c>
      <c r="I396" s="18" t="s">
        <v>119</v>
      </c>
      <c r="J396" s="34" t="s">
        <v>57</v>
      </c>
      <c r="K396" s="20"/>
      <c r="L396" s="35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7"/>
      <c r="X396" s="35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7"/>
      <c r="AJ396" s="35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7"/>
      <c r="AV396" s="35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7"/>
      <c r="BH396" s="38"/>
      <c r="BI396" s="36"/>
      <c r="BJ396" s="36"/>
      <c r="BK396" s="36"/>
      <c r="BL396" s="36"/>
    </row>
    <row r="397" spans="1:64">
      <c r="A397" s="21" t="str">
        <f t="shared" si="34"/>
        <v>GNTOH_F_COMMISSION2.당월실적_B2B금년</v>
      </c>
      <c r="B397" s="18"/>
      <c r="C397" s="18"/>
      <c r="D397" s="18"/>
      <c r="E397" s="18"/>
      <c r="F397" s="18"/>
      <c r="G397" s="18" t="s">
        <v>14</v>
      </c>
      <c r="H397" s="18" t="s">
        <v>133</v>
      </c>
      <c r="I397" s="18" t="s">
        <v>119</v>
      </c>
      <c r="J397" s="21" t="s">
        <v>73</v>
      </c>
      <c r="K397" s="20"/>
      <c r="L397" s="35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7"/>
      <c r="X397" s="35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7"/>
      <c r="AJ397" s="35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7"/>
      <c r="AV397" s="35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7"/>
      <c r="BH397" s="38"/>
      <c r="BI397" s="36"/>
      <c r="BJ397" s="36"/>
      <c r="BK397" s="36"/>
      <c r="BL397" s="36"/>
    </row>
    <row r="398" spans="1:64">
      <c r="A398" s="21" t="str">
        <f t="shared" si="34"/>
        <v>GNTOH_F_COMMISSION2.당월실적_B2B전년</v>
      </c>
      <c r="B398" s="18"/>
      <c r="C398" s="18"/>
      <c r="D398" s="18"/>
      <c r="E398" s="18"/>
      <c r="F398" s="18"/>
      <c r="G398" s="18" t="s">
        <v>14</v>
      </c>
      <c r="H398" s="18" t="s">
        <v>133</v>
      </c>
      <c r="I398" s="18" t="s">
        <v>119</v>
      </c>
      <c r="J398" s="34" t="s">
        <v>57</v>
      </c>
      <c r="K398" s="20"/>
      <c r="L398" s="35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7"/>
      <c r="X398" s="35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7"/>
      <c r="AJ398" s="35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7"/>
      <c r="AV398" s="35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7"/>
      <c r="BH398" s="38"/>
      <c r="BI398" s="36"/>
      <c r="BJ398" s="36"/>
      <c r="BK398" s="36"/>
      <c r="BL398" s="36"/>
    </row>
    <row r="399" spans="1:64">
      <c r="A399" s="21" t="str">
        <f t="shared" si="34"/>
        <v>GOTOH_F_COMMISSION2.당월실적_B2B금년</v>
      </c>
      <c r="B399" s="18"/>
      <c r="C399" s="18"/>
      <c r="D399" s="18"/>
      <c r="E399" s="18"/>
      <c r="F399" s="18"/>
      <c r="G399" s="18" t="s">
        <v>117</v>
      </c>
      <c r="H399" s="18" t="s">
        <v>133</v>
      </c>
      <c r="I399" s="18" t="s">
        <v>119</v>
      </c>
      <c r="J399" s="21" t="s">
        <v>73</v>
      </c>
      <c r="K399" s="20"/>
      <c r="L399" s="35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7"/>
      <c r="X399" s="35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7"/>
      <c r="AJ399" s="35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7"/>
      <c r="AV399" s="35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7"/>
      <c r="BH399" s="38"/>
      <c r="BI399" s="36"/>
      <c r="BJ399" s="36"/>
      <c r="BK399" s="36"/>
      <c r="BL399" s="36"/>
    </row>
    <row r="400" spans="1:64">
      <c r="A400" s="21" t="str">
        <f t="shared" si="34"/>
        <v>GOTOH_F_COMMISSION2.당월실적_B2B전년</v>
      </c>
      <c r="B400" s="18"/>
      <c r="C400" s="18"/>
      <c r="D400" s="18"/>
      <c r="E400" s="18"/>
      <c r="F400" s="18"/>
      <c r="G400" s="18" t="s">
        <v>117</v>
      </c>
      <c r="H400" s="18" t="s">
        <v>133</v>
      </c>
      <c r="I400" s="18" t="s">
        <v>119</v>
      </c>
      <c r="J400" s="34" t="s">
        <v>57</v>
      </c>
      <c r="K400" s="20"/>
      <c r="L400" s="35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7"/>
      <c r="X400" s="35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  <c r="AI400" s="37"/>
      <c r="AJ400" s="35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7"/>
      <c r="AV400" s="35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7"/>
      <c r="BH400" s="38"/>
      <c r="BI400" s="36"/>
      <c r="BJ400" s="36"/>
      <c r="BK400" s="36"/>
      <c r="BL400" s="36"/>
    </row>
    <row r="401" spans="1:64">
      <c r="A401" s="21" t="str">
        <f t="shared" si="34"/>
        <v>PKTOH_F_COMMISSION2.당월실적_B2B금년</v>
      </c>
      <c r="B401" s="18"/>
      <c r="C401" s="18"/>
      <c r="D401" s="18"/>
      <c r="E401" s="18"/>
      <c r="F401" s="18"/>
      <c r="G401" s="18" t="s">
        <v>105</v>
      </c>
      <c r="H401" s="18" t="s">
        <v>133</v>
      </c>
      <c r="I401" s="18" t="s">
        <v>119</v>
      </c>
      <c r="J401" s="21" t="s">
        <v>73</v>
      </c>
      <c r="K401" s="20"/>
      <c r="L401" s="35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7"/>
      <c r="X401" s="35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7"/>
      <c r="AJ401" s="35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7"/>
      <c r="AV401" s="35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7"/>
      <c r="BH401" s="38"/>
      <c r="BI401" s="36"/>
      <c r="BJ401" s="36"/>
      <c r="BK401" s="36"/>
      <c r="BL401" s="36"/>
    </row>
    <row r="402" spans="1:64">
      <c r="A402" s="21" t="str">
        <f t="shared" si="34"/>
        <v>PKTOH_F_COMMISSION2.당월실적_B2B전년</v>
      </c>
      <c r="B402" s="18"/>
      <c r="C402" s="18"/>
      <c r="D402" s="18"/>
      <c r="E402" s="18"/>
      <c r="F402" s="18"/>
      <c r="G402" s="18" t="s">
        <v>105</v>
      </c>
      <c r="H402" s="18" t="s">
        <v>133</v>
      </c>
      <c r="I402" s="18" t="s">
        <v>119</v>
      </c>
      <c r="J402" s="34" t="s">
        <v>57</v>
      </c>
      <c r="K402" s="20"/>
      <c r="L402" s="35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7"/>
      <c r="X402" s="35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7"/>
      <c r="AJ402" s="35"/>
      <c r="AK402" s="36"/>
      <c r="AL402" s="36"/>
      <c r="AM402" s="36"/>
      <c r="AN402" s="36"/>
      <c r="AO402" s="36"/>
      <c r="AP402" s="36"/>
      <c r="AQ402" s="36"/>
      <c r="AR402" s="36"/>
      <c r="AS402" s="36"/>
      <c r="AT402" s="36"/>
      <c r="AU402" s="37"/>
      <c r="AV402" s="35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7"/>
      <c r="BH402" s="38"/>
      <c r="BI402" s="36"/>
      <c r="BJ402" s="36"/>
      <c r="BK402" s="36"/>
      <c r="BL402" s="36"/>
    </row>
    <row r="403" spans="1:64">
      <c r="A403" s="21" t="str">
        <f t="shared" si="34"/>
        <v>DMTOH_F_COMMISSION2.당월실적_B2B금년</v>
      </c>
      <c r="B403" s="18"/>
      <c r="C403" s="18"/>
      <c r="D403" s="18"/>
      <c r="E403" s="18"/>
      <c r="F403" s="18"/>
      <c r="G403" s="18" t="s">
        <v>10</v>
      </c>
      <c r="H403" s="18" t="s">
        <v>133</v>
      </c>
      <c r="I403" s="18" t="s">
        <v>119</v>
      </c>
      <c r="J403" s="21" t="s">
        <v>73</v>
      </c>
      <c r="K403" s="20"/>
      <c r="L403" s="35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7"/>
      <c r="X403" s="35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7"/>
      <c r="AJ403" s="35"/>
      <c r="AK403" s="36"/>
      <c r="AL403" s="36"/>
      <c r="AM403" s="36"/>
      <c r="AN403" s="36"/>
      <c r="AO403" s="36"/>
      <c r="AP403" s="36"/>
      <c r="AQ403" s="36"/>
      <c r="AR403" s="36"/>
      <c r="AS403" s="36"/>
      <c r="AT403" s="36"/>
      <c r="AU403" s="37"/>
      <c r="AV403" s="35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7"/>
      <c r="BH403" s="38"/>
      <c r="BI403" s="36"/>
      <c r="BJ403" s="36"/>
      <c r="BK403" s="36"/>
      <c r="BL403" s="36"/>
    </row>
    <row r="404" spans="1:64">
      <c r="A404" s="21" t="str">
        <f t="shared" si="34"/>
        <v>DMTOH_F_COMMISSION2.당월실적_B2B전년</v>
      </c>
      <c r="B404" s="18"/>
      <c r="C404" s="18"/>
      <c r="D404" s="18"/>
      <c r="E404" s="18"/>
      <c r="F404" s="18"/>
      <c r="G404" s="18" t="s">
        <v>10</v>
      </c>
      <c r="H404" s="18" t="s">
        <v>133</v>
      </c>
      <c r="I404" s="18" t="s">
        <v>119</v>
      </c>
      <c r="J404" s="34" t="s">
        <v>57</v>
      </c>
      <c r="K404" s="20"/>
      <c r="L404" s="35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7"/>
      <c r="X404" s="35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7"/>
      <c r="AJ404" s="35"/>
      <c r="AK404" s="36"/>
      <c r="AL404" s="36"/>
      <c r="AM404" s="36"/>
      <c r="AN404" s="36"/>
      <c r="AO404" s="36"/>
      <c r="AP404" s="36"/>
      <c r="AQ404" s="36"/>
      <c r="AR404" s="36"/>
      <c r="AS404" s="36"/>
      <c r="AT404" s="36"/>
      <c r="AU404" s="37"/>
      <c r="AV404" s="35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7"/>
      <c r="BH404" s="38"/>
      <c r="BI404" s="36"/>
      <c r="BJ404" s="36"/>
      <c r="BK404" s="36"/>
      <c r="BL404" s="36"/>
    </row>
    <row r="405" spans="1:64">
      <c r="A405" s="21" t="str">
        <f t="shared" si="34"/>
        <v>DTTOH_F_COMMISSION2.당월실적_B2B금년</v>
      </c>
      <c r="B405" s="18"/>
      <c r="C405" s="18"/>
      <c r="D405" s="18"/>
      <c r="E405" s="18"/>
      <c r="F405" s="18"/>
      <c r="G405" s="18" t="s">
        <v>118</v>
      </c>
      <c r="H405" s="18" t="s">
        <v>133</v>
      </c>
      <c r="I405" s="18" t="s">
        <v>119</v>
      </c>
      <c r="J405" s="21" t="s">
        <v>73</v>
      </c>
      <c r="K405" s="20"/>
      <c r="L405" s="35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7"/>
      <c r="X405" s="35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7"/>
      <c r="AJ405" s="35"/>
      <c r="AK405" s="36"/>
      <c r="AL405" s="36"/>
      <c r="AM405" s="36"/>
      <c r="AN405" s="36"/>
      <c r="AO405" s="36"/>
      <c r="AP405" s="36"/>
      <c r="AQ405" s="36"/>
      <c r="AR405" s="36"/>
      <c r="AS405" s="36"/>
      <c r="AT405" s="36"/>
      <c r="AU405" s="37"/>
      <c r="AV405" s="35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7"/>
      <c r="BH405" s="38"/>
      <c r="BI405" s="36"/>
      <c r="BJ405" s="36"/>
      <c r="BK405" s="36"/>
      <c r="BL405" s="36"/>
    </row>
    <row r="406" spans="1:64">
      <c r="A406" s="21" t="str">
        <f t="shared" si="34"/>
        <v>DTTOH_F_COMMISSION2.당월실적_B2B전년</v>
      </c>
      <c r="B406" s="18"/>
      <c r="C406" s="18"/>
      <c r="D406" s="18"/>
      <c r="E406" s="18"/>
      <c r="F406" s="18"/>
      <c r="G406" s="18" t="s">
        <v>118</v>
      </c>
      <c r="H406" s="18" t="s">
        <v>133</v>
      </c>
      <c r="I406" s="18" t="s">
        <v>119</v>
      </c>
      <c r="J406" s="34" t="s">
        <v>57</v>
      </c>
      <c r="K406" s="20"/>
      <c r="L406" s="35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7"/>
      <c r="X406" s="35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7"/>
      <c r="AJ406" s="35"/>
      <c r="AK406" s="36"/>
      <c r="AL406" s="36"/>
      <c r="AM406" s="36"/>
      <c r="AN406" s="36"/>
      <c r="AO406" s="36"/>
      <c r="AP406" s="36"/>
      <c r="AQ406" s="36"/>
      <c r="AR406" s="36"/>
      <c r="AS406" s="36"/>
      <c r="AT406" s="36"/>
      <c r="AU406" s="37"/>
      <c r="AV406" s="35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7"/>
      <c r="BH406" s="38"/>
      <c r="BI406" s="36"/>
      <c r="BJ406" s="36"/>
      <c r="BK406" s="36"/>
      <c r="BL406" s="36"/>
    </row>
    <row r="407" spans="1:64">
      <c r="A407" s="21" t="str">
        <f t="shared" si="34"/>
        <v>PGTOH_F_COMMISSION2.당월실적_B2B금년</v>
      </c>
      <c r="B407" s="18"/>
      <c r="C407" s="18"/>
      <c r="D407" s="18"/>
      <c r="E407" s="18"/>
      <c r="F407" s="18"/>
      <c r="G407" s="18" t="s">
        <v>19</v>
      </c>
      <c r="H407" s="18" t="s">
        <v>133</v>
      </c>
      <c r="I407" s="18" t="s">
        <v>119</v>
      </c>
      <c r="J407" s="21" t="s">
        <v>73</v>
      </c>
      <c r="K407" s="20"/>
      <c r="L407" s="35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7"/>
      <c r="X407" s="35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7"/>
      <c r="AJ407" s="35"/>
      <c r="AK407" s="36"/>
      <c r="AL407" s="36"/>
      <c r="AM407" s="36"/>
      <c r="AN407" s="36"/>
      <c r="AO407" s="36"/>
      <c r="AP407" s="36"/>
      <c r="AQ407" s="36"/>
      <c r="AR407" s="36"/>
      <c r="AS407" s="36"/>
      <c r="AT407" s="36"/>
      <c r="AU407" s="37"/>
      <c r="AV407" s="35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7"/>
      <c r="BH407" s="38"/>
      <c r="BI407" s="36"/>
      <c r="BJ407" s="36"/>
      <c r="BK407" s="36"/>
      <c r="BL407" s="36"/>
    </row>
    <row r="408" spans="1:64">
      <c r="A408" s="21" t="str">
        <f t="shared" si="34"/>
        <v>PGTOH_F_COMMISSION2.당월실적_B2B전년</v>
      </c>
      <c r="B408" s="18"/>
      <c r="C408" s="18"/>
      <c r="D408" s="18"/>
      <c r="E408" s="18"/>
      <c r="F408" s="18"/>
      <c r="G408" s="18" t="s">
        <v>19</v>
      </c>
      <c r="H408" s="18" t="s">
        <v>133</v>
      </c>
      <c r="I408" s="18" t="s">
        <v>119</v>
      </c>
      <c r="J408" s="34" t="s">
        <v>57</v>
      </c>
      <c r="K408" s="20"/>
      <c r="L408" s="35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7"/>
      <c r="X408" s="35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7"/>
      <c r="AJ408" s="35"/>
      <c r="AK408" s="36"/>
      <c r="AL408" s="36"/>
      <c r="AM408" s="36"/>
      <c r="AN408" s="36"/>
      <c r="AO408" s="36"/>
      <c r="AP408" s="36"/>
      <c r="AQ408" s="36"/>
      <c r="AR408" s="36"/>
      <c r="AS408" s="36"/>
      <c r="AT408" s="36"/>
      <c r="AU408" s="37"/>
      <c r="AV408" s="35"/>
      <c r="AW408" s="36"/>
      <c r="AX408" s="36"/>
      <c r="AY408" s="36"/>
      <c r="AZ408" s="36"/>
      <c r="BA408" s="36"/>
      <c r="BB408" s="36"/>
      <c r="BC408" s="36"/>
      <c r="BD408" s="36"/>
      <c r="BE408" s="36"/>
      <c r="BF408" s="36"/>
      <c r="BG408" s="37"/>
      <c r="BH408" s="38"/>
      <c r="BI408" s="36"/>
      <c r="BJ408" s="36"/>
      <c r="BK408" s="36"/>
      <c r="BL408" s="36"/>
    </row>
    <row r="410" spans="1:64" ht="6" customHeight="1">
      <c r="A410" s="39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  <c r="BA410" s="40"/>
      <c r="BB410" s="40"/>
      <c r="BC410" s="40"/>
      <c r="BD410" s="40"/>
      <c r="BE410" s="40"/>
      <c r="BF410" s="40"/>
      <c r="BG410" s="40"/>
      <c r="BH410" s="40"/>
      <c r="BI410" s="40"/>
      <c r="BJ410" s="40"/>
      <c r="BK410" s="40"/>
      <c r="BL410" s="40"/>
    </row>
    <row r="411" spans="1:64">
      <c r="A411" s="9" t="s">
        <v>80</v>
      </c>
    </row>
    <row r="412" spans="1:64">
      <c r="A412" s="21" t="str">
        <f>TRIM(B412)&amp;TRIM(C412)&amp;TRIM(D412)&amp;TRIM(E412)&amp;TRIM(F412)&amp;TRIM(G412)&amp;TRIM(H412)&amp;TRIM(I412)&amp;TRIM(J412)</f>
        <v>GBUOH_COST(법인전체)금년</v>
      </c>
      <c r="B412" s="13"/>
      <c r="C412" s="13"/>
      <c r="D412" s="13"/>
      <c r="E412" s="13"/>
      <c r="F412" s="13"/>
      <c r="G412" s="13" t="s">
        <v>120</v>
      </c>
      <c r="H412" s="13" t="s">
        <v>123</v>
      </c>
      <c r="I412" s="13"/>
      <c r="J412" s="21" t="s">
        <v>73</v>
      </c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  <c r="AX412" s="36"/>
      <c r="AY412" s="36"/>
      <c r="AZ412" s="36"/>
      <c r="BA412" s="36"/>
      <c r="BB412" s="36"/>
      <c r="BC412" s="36"/>
      <c r="BD412" s="36"/>
      <c r="BE412" s="36"/>
      <c r="BF412" s="36"/>
      <c r="BG412" s="36"/>
      <c r="BH412" s="36"/>
      <c r="BI412" s="36"/>
      <c r="BJ412" s="36"/>
      <c r="BK412" s="36"/>
      <c r="BL412" s="36"/>
    </row>
    <row r="413" spans="1:64">
      <c r="A413" s="21" t="str">
        <f>TRIM(B413)&amp;TRIM(C413)&amp;TRIM(D413)&amp;TRIM(E413)&amp;TRIM(F413)&amp;TRIM(G413)&amp;TRIM(H413)&amp;TRIM(I413)&amp;TRIM(J413)</f>
        <v>GBUOH_COST(법인전체)전년</v>
      </c>
      <c r="B413" s="13"/>
      <c r="C413" s="13"/>
      <c r="D413" s="13"/>
      <c r="E413" s="13"/>
      <c r="F413" s="13"/>
      <c r="G413" s="13" t="s">
        <v>120</v>
      </c>
      <c r="H413" s="13" t="s">
        <v>123</v>
      </c>
      <c r="I413" s="13"/>
      <c r="J413" s="34" t="s">
        <v>57</v>
      </c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  <c r="AX413" s="36"/>
      <c r="AY413" s="36"/>
      <c r="AZ413" s="36"/>
      <c r="BA413" s="36"/>
      <c r="BB413" s="36"/>
      <c r="BC413" s="36"/>
      <c r="BD413" s="36"/>
      <c r="BE413" s="36"/>
      <c r="BF413" s="36"/>
      <c r="BG413" s="36"/>
      <c r="BH413" s="36"/>
      <c r="BI413" s="36"/>
      <c r="BJ413" s="36"/>
      <c r="BK413" s="36"/>
      <c r="BL413" s="36"/>
    </row>
    <row r="414" spans="1:64">
      <c r="A414" s="21" t="str">
        <f>TRIM(B414)&amp;TRIM(C414)&amp;TRIM(D414)&amp;TRIM(E414)&amp;TRIM(F414)&amp;TRIM(G414)&amp;TRIM(H414)&amp;TRIM(I414)&amp;TRIM(J414)</f>
        <v>GBUOH_COST율(법인전체)금년</v>
      </c>
      <c r="B414" s="13"/>
      <c r="C414" s="13"/>
      <c r="D414" s="13"/>
      <c r="E414" s="13"/>
      <c r="F414" s="13"/>
      <c r="G414" s="13" t="s">
        <v>120</v>
      </c>
      <c r="H414" s="13" t="s">
        <v>134</v>
      </c>
      <c r="I414" s="13"/>
      <c r="J414" s="21" t="s">
        <v>73</v>
      </c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1"/>
      <c r="AJ414" s="61"/>
      <c r="AK414" s="61"/>
      <c r="AL414" s="61"/>
      <c r="AM414" s="61"/>
      <c r="AN414" s="61"/>
      <c r="AO414" s="61"/>
      <c r="AP414" s="61"/>
      <c r="AQ414" s="61"/>
      <c r="AR414" s="61"/>
      <c r="AS414" s="61"/>
      <c r="AT414" s="61"/>
      <c r="AU414" s="61"/>
      <c r="AV414" s="61"/>
      <c r="AW414" s="61"/>
      <c r="AX414" s="61"/>
      <c r="AY414" s="61"/>
      <c r="AZ414" s="61"/>
      <c r="BA414" s="61"/>
      <c r="BB414" s="61"/>
      <c r="BC414" s="61"/>
      <c r="BD414" s="61"/>
      <c r="BE414" s="61"/>
      <c r="BF414" s="61"/>
      <c r="BG414" s="61"/>
      <c r="BH414" s="61"/>
      <c r="BI414" s="61"/>
      <c r="BJ414" s="61"/>
      <c r="BK414" s="61"/>
      <c r="BL414" s="61"/>
    </row>
    <row r="415" spans="1:64">
      <c r="A415" s="21" t="str">
        <f>TRIM(B415)&amp;TRIM(C415)&amp;TRIM(D415)&amp;TRIM(E415)&amp;TRIM(F415)&amp;TRIM(G415)&amp;TRIM(H415)&amp;TRIM(I415)&amp;TRIM(J415)</f>
        <v>GBUOH_COST율(법인전체)전년</v>
      </c>
      <c r="B415" s="13"/>
      <c r="C415" s="13"/>
      <c r="D415" s="13"/>
      <c r="E415" s="13"/>
      <c r="F415" s="13"/>
      <c r="G415" s="13" t="s">
        <v>120</v>
      </c>
      <c r="H415" s="13" t="s">
        <v>134</v>
      </c>
      <c r="I415" s="13"/>
      <c r="J415" s="34" t="s">
        <v>57</v>
      </c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1"/>
      <c r="AJ415" s="61"/>
      <c r="AK415" s="61"/>
      <c r="AL415" s="61"/>
      <c r="AM415" s="61"/>
      <c r="AN415" s="61"/>
      <c r="AO415" s="61"/>
      <c r="AP415" s="61"/>
      <c r="AQ415" s="61"/>
      <c r="AR415" s="61"/>
      <c r="AS415" s="61"/>
      <c r="AT415" s="61"/>
      <c r="AU415" s="61"/>
      <c r="AV415" s="61"/>
      <c r="AW415" s="61"/>
      <c r="AX415" s="61"/>
      <c r="AY415" s="61"/>
      <c r="AZ415" s="61"/>
      <c r="BA415" s="61"/>
      <c r="BB415" s="61"/>
      <c r="BC415" s="61"/>
      <c r="BD415" s="61"/>
      <c r="BE415" s="61"/>
      <c r="BF415" s="61"/>
      <c r="BG415" s="61"/>
      <c r="BH415" s="61"/>
      <c r="BI415" s="61"/>
      <c r="BJ415" s="61"/>
      <c r="BK415" s="61"/>
      <c r="BL415" s="61"/>
    </row>
    <row r="416" spans="1:64">
      <c r="A416" s="21" t="str">
        <f>TRIM(B416)&amp;TRIM(C416)&amp;TRIM(D416)&amp;TRIM(E416)&amp;TRIM(F416)&amp;TRIM(G416)&amp;TRIM(H416)&amp;TRIM(I416)&amp;TRIM(J416)</f>
        <v>GBUOH_COST율(법인전체)전년대비</v>
      </c>
      <c r="B416" s="13"/>
      <c r="C416" s="13"/>
      <c r="D416" s="13"/>
      <c r="E416" s="13"/>
      <c r="F416" s="13"/>
      <c r="G416" s="13" t="s">
        <v>120</v>
      </c>
      <c r="H416" s="13" t="s">
        <v>135</v>
      </c>
      <c r="I416" s="13"/>
      <c r="J416" s="13" t="s">
        <v>75</v>
      </c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  <c r="AX416" s="36"/>
      <c r="AY416" s="36"/>
      <c r="AZ416" s="36"/>
      <c r="BA416" s="36"/>
      <c r="BB416" s="36"/>
      <c r="BC416" s="36"/>
      <c r="BD416" s="36"/>
      <c r="BE416" s="36"/>
      <c r="BF416" s="36"/>
      <c r="BG416" s="36"/>
      <c r="BH416" s="36"/>
      <c r="BI416" s="36"/>
      <c r="BJ416" s="36"/>
      <c r="BK416" s="36"/>
      <c r="BL416" s="36"/>
    </row>
    <row r="418" spans="1:64">
      <c r="A418" s="21" t="str">
        <f>TRIM(B418)&amp;TRIM(C418)&amp;TRIM(D418)&amp;TRIM(E418)&amp;TRIM(F418)&amp;TRIM(G418)&amp;TRIM(H418)&amp;TRIM(I418)&amp;TRIM(J418)</f>
        <v>GBUB2B매출금년</v>
      </c>
      <c r="B418" s="13"/>
      <c r="C418" s="13"/>
      <c r="D418" s="13"/>
      <c r="E418" s="13"/>
      <c r="F418" s="13"/>
      <c r="G418" s="13" t="s">
        <v>120</v>
      </c>
      <c r="H418" s="13" t="s">
        <v>148</v>
      </c>
      <c r="I418" s="13"/>
      <c r="J418" s="21" t="s">
        <v>73</v>
      </c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  <c r="AX418" s="36"/>
      <c r="AY418" s="36"/>
      <c r="AZ418" s="36"/>
      <c r="BA418" s="36"/>
      <c r="BB418" s="36"/>
      <c r="BC418" s="36"/>
      <c r="BD418" s="36"/>
      <c r="BE418" s="36"/>
      <c r="BF418" s="36"/>
      <c r="BG418" s="36"/>
      <c r="BH418" s="36"/>
      <c r="BI418" s="36"/>
      <c r="BJ418" s="36"/>
      <c r="BK418" s="36"/>
      <c r="BL418" s="36"/>
    </row>
    <row r="419" spans="1:64">
      <c r="A419" s="21" t="str">
        <f>TRIM(B419)&amp;TRIM(C419)&amp;TRIM(D419)&amp;TRIM(E419)&amp;TRIM(F419)&amp;TRIM(G419)&amp;TRIM(H419)&amp;TRIM(I419)&amp;TRIM(J419)</f>
        <v>GBUB2B매출전년</v>
      </c>
      <c r="B419" s="13"/>
      <c r="C419" s="13"/>
      <c r="D419" s="13"/>
      <c r="E419" s="13"/>
      <c r="F419" s="13"/>
      <c r="G419" s="13" t="s">
        <v>120</v>
      </c>
      <c r="H419" s="13" t="s">
        <v>148</v>
      </c>
      <c r="I419" s="13"/>
      <c r="J419" s="34" t="s">
        <v>57</v>
      </c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  <c r="AX419" s="36"/>
      <c r="AY419" s="36"/>
      <c r="AZ419" s="36"/>
      <c r="BA419" s="36"/>
      <c r="BB419" s="36"/>
      <c r="BC419" s="36"/>
      <c r="BD419" s="36"/>
      <c r="BE419" s="36"/>
      <c r="BF419" s="36"/>
      <c r="BG419" s="36"/>
      <c r="BH419" s="36"/>
      <c r="BI419" s="36"/>
      <c r="BJ419" s="36"/>
      <c r="BK419" s="36"/>
      <c r="BL419" s="36"/>
    </row>
    <row r="420" spans="1:64">
      <c r="A420" s="21" t="str">
        <f>TRIM(B420)&amp;TRIM(C420)&amp;TRIM(D420)&amp;TRIM(E420)&amp;TRIM(F420)&amp;TRIM(G420)&amp;TRIM(H420)&amp;TRIM(I420)&amp;TRIM(J420)</f>
        <v>GBUB2B매출전년대비</v>
      </c>
      <c r="B420" s="13"/>
      <c r="C420" s="13"/>
      <c r="D420" s="13"/>
      <c r="E420" s="13"/>
      <c r="F420" s="13"/>
      <c r="G420" s="13" t="s">
        <v>120</v>
      </c>
      <c r="H420" s="13" t="s">
        <v>148</v>
      </c>
      <c r="I420" s="13"/>
      <c r="J420" s="13" t="s">
        <v>75</v>
      </c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  <c r="AX420" s="36"/>
      <c r="AY420" s="36"/>
      <c r="AZ420" s="36"/>
      <c r="BA420" s="36"/>
      <c r="BB420" s="36"/>
      <c r="BC420" s="36"/>
      <c r="BD420" s="36"/>
      <c r="BE420" s="36"/>
      <c r="BF420" s="36"/>
      <c r="BG420" s="36"/>
      <c r="BH420" s="36"/>
      <c r="BI420" s="36"/>
      <c r="BJ420" s="36"/>
      <c r="BK420" s="36"/>
      <c r="BL420" s="36"/>
    </row>
    <row r="422" spans="1:64">
      <c r="A422" s="21" t="str">
        <f>TRIM(B422)&amp;TRIM(C422)&amp;TRIM(D422)&amp;TRIM(E422)&amp;TRIM(F422)&amp;TRIM(G422)&amp;TRIM(H422)&amp;TRIM(I422)&amp;TRIM(J422)</f>
        <v>GBUB2B_SALES_DEDUCTION금년</v>
      </c>
      <c r="B422" s="13"/>
      <c r="C422" s="13"/>
      <c r="D422" s="13"/>
      <c r="E422" s="13"/>
      <c r="F422" s="13"/>
      <c r="G422" s="13" t="s">
        <v>120</v>
      </c>
      <c r="H422" s="13" t="s">
        <v>161</v>
      </c>
      <c r="I422" s="13"/>
      <c r="J422" s="21" t="s">
        <v>73</v>
      </c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  <c r="AX422" s="36"/>
      <c r="AY422" s="36"/>
      <c r="AZ422" s="36"/>
      <c r="BA422" s="36"/>
      <c r="BB422" s="36"/>
      <c r="BC422" s="36"/>
      <c r="BD422" s="36"/>
      <c r="BE422" s="36"/>
      <c r="BF422" s="36"/>
      <c r="BG422" s="36"/>
      <c r="BH422" s="36"/>
      <c r="BI422" s="36"/>
      <c r="BJ422" s="36"/>
      <c r="BK422" s="36"/>
      <c r="BL422" s="36"/>
    </row>
    <row r="423" spans="1:64">
      <c r="A423" s="21" t="str">
        <f>TRIM(B423)&amp;TRIM(C423)&amp;TRIM(D423)&amp;TRIM(E423)&amp;TRIM(F423)&amp;TRIM(G423)&amp;TRIM(H423)&amp;TRIM(I423)&amp;TRIM(J423)</f>
        <v>GBUB2B_SALES_DEDUCTION전년</v>
      </c>
      <c r="B423" s="13"/>
      <c r="C423" s="13"/>
      <c r="D423" s="13"/>
      <c r="E423" s="13"/>
      <c r="F423" s="13"/>
      <c r="G423" s="13" t="s">
        <v>120</v>
      </c>
      <c r="H423" s="13" t="s">
        <v>161</v>
      </c>
      <c r="I423" s="13"/>
      <c r="J423" s="34" t="s">
        <v>57</v>
      </c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  <c r="AX423" s="36"/>
      <c r="AY423" s="36"/>
      <c r="AZ423" s="36"/>
      <c r="BA423" s="36"/>
      <c r="BB423" s="36"/>
      <c r="BC423" s="36"/>
      <c r="BD423" s="36"/>
      <c r="BE423" s="36"/>
      <c r="BF423" s="36"/>
      <c r="BG423" s="36"/>
      <c r="BH423" s="36"/>
      <c r="BI423" s="36"/>
      <c r="BJ423" s="36"/>
      <c r="BK423" s="36"/>
      <c r="BL423" s="36"/>
    </row>
    <row r="425" spans="1:64">
      <c r="A425" s="21" t="str">
        <f>TRIM(B425)&amp;TRIM(C425)&amp;TRIM(D425)&amp;TRIM(E425)&amp;TRIM(F425)&amp;TRIM(G425)&amp;TRIM(H425)&amp;TRIM(I425)&amp;TRIM(J425)</f>
        <v>GBUB2B가격성판촉율금년</v>
      </c>
      <c r="B425" s="13"/>
      <c r="C425" s="13"/>
      <c r="D425" s="13"/>
      <c r="E425" s="13"/>
      <c r="F425" s="13"/>
      <c r="G425" s="13" t="s">
        <v>120</v>
      </c>
      <c r="H425" s="13" t="s">
        <v>149</v>
      </c>
      <c r="I425" s="13"/>
      <c r="J425" s="21" t="s">
        <v>73</v>
      </c>
      <c r="L425" s="61"/>
      <c r="M425" s="61"/>
      <c r="N425" s="61"/>
      <c r="O425" s="61"/>
      <c r="P425" s="61"/>
      <c r="Q425" s="61"/>
      <c r="R425" s="61"/>
      <c r="S425" s="61"/>
      <c r="T425" s="61"/>
      <c r="U425" s="61"/>
      <c r="V425" s="61"/>
      <c r="W425" s="61"/>
      <c r="X425" s="61"/>
      <c r="Y425" s="61"/>
      <c r="Z425" s="61"/>
      <c r="AA425" s="61"/>
      <c r="AB425" s="61"/>
      <c r="AC425" s="61"/>
      <c r="AD425" s="61"/>
      <c r="AE425" s="61"/>
      <c r="AF425" s="61"/>
      <c r="AG425" s="61"/>
      <c r="AH425" s="61"/>
      <c r="AI425" s="61"/>
      <c r="AJ425" s="61"/>
      <c r="AK425" s="61"/>
      <c r="AL425" s="61"/>
      <c r="AM425" s="61"/>
      <c r="AN425" s="61"/>
      <c r="AO425" s="61"/>
      <c r="AP425" s="61"/>
      <c r="AQ425" s="61"/>
      <c r="AR425" s="61"/>
      <c r="AS425" s="61"/>
      <c r="AT425" s="61"/>
      <c r="AU425" s="61"/>
      <c r="AV425" s="61"/>
      <c r="AW425" s="61"/>
      <c r="AX425" s="61"/>
      <c r="AY425" s="61"/>
      <c r="AZ425" s="61"/>
      <c r="BA425" s="61"/>
      <c r="BB425" s="61"/>
      <c r="BC425" s="61"/>
      <c r="BD425" s="61"/>
      <c r="BE425" s="61"/>
      <c r="BF425" s="61"/>
      <c r="BG425" s="61"/>
      <c r="BH425" s="61"/>
      <c r="BI425" s="61"/>
      <c r="BJ425" s="61"/>
      <c r="BK425" s="61"/>
      <c r="BL425" s="61"/>
    </row>
    <row r="426" spans="1:64">
      <c r="A426" s="21" t="str">
        <f>TRIM(B426)&amp;TRIM(C426)&amp;TRIM(D426)&amp;TRIM(E426)&amp;TRIM(F426)&amp;TRIM(G426)&amp;TRIM(H426)&amp;TRIM(I426)&amp;TRIM(J426)</f>
        <v>GBUB2B가격성판촉율전년</v>
      </c>
      <c r="B426" s="13"/>
      <c r="C426" s="13"/>
      <c r="D426" s="13"/>
      <c r="E426" s="13"/>
      <c r="F426" s="13"/>
      <c r="G426" s="13" t="s">
        <v>120</v>
      </c>
      <c r="H426" s="13" t="s">
        <v>149</v>
      </c>
      <c r="I426" s="13"/>
      <c r="J426" s="34" t="s">
        <v>57</v>
      </c>
      <c r="L426" s="61"/>
      <c r="M426" s="61"/>
      <c r="N426" s="61"/>
      <c r="O426" s="61"/>
      <c r="P426" s="61"/>
      <c r="Q426" s="61"/>
      <c r="R426" s="61"/>
      <c r="S426" s="61"/>
      <c r="T426" s="61"/>
      <c r="U426" s="61"/>
      <c r="V426" s="61"/>
      <c r="W426" s="61"/>
      <c r="X426" s="61"/>
      <c r="Y426" s="61"/>
      <c r="Z426" s="61"/>
      <c r="AA426" s="61"/>
      <c r="AB426" s="61"/>
      <c r="AC426" s="61"/>
      <c r="AD426" s="61"/>
      <c r="AE426" s="61"/>
      <c r="AF426" s="61"/>
      <c r="AG426" s="61"/>
      <c r="AH426" s="61"/>
      <c r="AI426" s="61"/>
      <c r="AJ426" s="61"/>
      <c r="AK426" s="61"/>
      <c r="AL426" s="61"/>
      <c r="AM426" s="61"/>
      <c r="AN426" s="61"/>
      <c r="AO426" s="61"/>
      <c r="AP426" s="61"/>
      <c r="AQ426" s="61"/>
      <c r="AR426" s="61"/>
      <c r="AS426" s="61"/>
      <c r="AT426" s="61"/>
      <c r="AU426" s="61"/>
      <c r="AV426" s="61"/>
      <c r="AW426" s="61"/>
      <c r="AX426" s="61"/>
      <c r="AY426" s="61"/>
      <c r="AZ426" s="61"/>
      <c r="BA426" s="61"/>
      <c r="BB426" s="61"/>
      <c r="BC426" s="61"/>
      <c r="BD426" s="61"/>
      <c r="BE426" s="61"/>
      <c r="BF426" s="61"/>
      <c r="BG426" s="61"/>
      <c r="BH426" s="61"/>
      <c r="BI426" s="61"/>
      <c r="BJ426" s="61"/>
      <c r="BK426" s="61"/>
      <c r="BL426" s="61"/>
    </row>
    <row r="427" spans="1:64">
      <c r="A427" s="21" t="str">
        <f>TRIM(B427)&amp;TRIM(C427)&amp;TRIM(D427)&amp;TRIM(E427)&amp;TRIM(F427)&amp;TRIM(G427)&amp;TRIM(H427)&amp;TRIM(I427)&amp;TRIM(J427)</f>
        <v>GBUB2B가격성판촉율전년대비</v>
      </c>
      <c r="B427" s="13"/>
      <c r="C427" s="13"/>
      <c r="D427" s="13"/>
      <c r="E427" s="13"/>
      <c r="F427" s="13"/>
      <c r="G427" s="13" t="s">
        <v>120</v>
      </c>
      <c r="H427" s="13" t="s">
        <v>149</v>
      </c>
      <c r="I427" s="13"/>
      <c r="J427" s="13" t="s">
        <v>75</v>
      </c>
      <c r="L427" s="61"/>
      <c r="M427" s="61"/>
      <c r="N427" s="61"/>
      <c r="O427" s="61"/>
      <c r="P427" s="61"/>
      <c r="Q427" s="61"/>
      <c r="R427" s="61"/>
      <c r="S427" s="61"/>
      <c r="T427" s="61"/>
      <c r="U427" s="61"/>
      <c r="V427" s="61"/>
      <c r="W427" s="61"/>
      <c r="X427" s="61"/>
      <c r="Y427" s="61"/>
      <c r="Z427" s="61"/>
      <c r="AA427" s="61"/>
      <c r="AB427" s="61"/>
      <c r="AC427" s="61"/>
      <c r="AD427" s="61"/>
      <c r="AE427" s="61"/>
      <c r="AF427" s="61"/>
      <c r="AG427" s="61"/>
      <c r="AH427" s="61"/>
      <c r="AI427" s="61"/>
      <c r="AJ427" s="61"/>
      <c r="AK427" s="61"/>
      <c r="AL427" s="61"/>
      <c r="AM427" s="61"/>
      <c r="AN427" s="61"/>
      <c r="AO427" s="61"/>
      <c r="AP427" s="61"/>
      <c r="AQ427" s="61"/>
      <c r="AR427" s="61"/>
      <c r="AS427" s="61"/>
      <c r="AT427" s="61"/>
      <c r="AU427" s="61"/>
      <c r="AV427" s="61"/>
      <c r="AW427" s="61"/>
      <c r="AX427" s="61"/>
      <c r="AY427" s="61"/>
      <c r="AZ427" s="61"/>
      <c r="BA427" s="61"/>
      <c r="BB427" s="61"/>
      <c r="BC427" s="61"/>
      <c r="BD427" s="61"/>
      <c r="BE427" s="61"/>
      <c r="BF427" s="61"/>
      <c r="BG427" s="61"/>
      <c r="BH427" s="61"/>
      <c r="BI427" s="61"/>
      <c r="BJ427" s="61"/>
      <c r="BK427" s="61"/>
      <c r="BL427" s="61"/>
    </row>
    <row r="429" spans="1:64">
      <c r="A429" s="21" t="str">
        <f>TRIM(B429)&amp;TRIM(C429)&amp;TRIM(D429)&amp;TRIM(E429)&amp;TRIM(F429)&amp;TRIM(G429)&amp;TRIM(H429)&amp;TRIM(I429)&amp;TRIM(J429)</f>
        <v>GBUB2B_OH_COST금년</v>
      </c>
      <c r="B429" s="13"/>
      <c r="C429" s="13"/>
      <c r="D429" s="13"/>
      <c r="E429" s="13"/>
      <c r="F429" s="13"/>
      <c r="G429" s="13" t="s">
        <v>120</v>
      </c>
      <c r="H429" s="13" t="s">
        <v>150</v>
      </c>
      <c r="I429" s="13"/>
      <c r="J429" s="21" t="s">
        <v>73</v>
      </c>
      <c r="L429" s="60"/>
      <c r="M429" s="60"/>
      <c r="N429" s="60"/>
      <c r="O429" s="60"/>
      <c r="P429" s="60"/>
      <c r="Q429" s="60"/>
      <c r="R429" s="60"/>
      <c r="S429" s="60"/>
      <c r="T429" s="60"/>
      <c r="U429" s="60"/>
      <c r="V429" s="60"/>
      <c r="W429" s="60"/>
      <c r="X429" s="60"/>
      <c r="Y429" s="60"/>
      <c r="Z429" s="60"/>
      <c r="AA429" s="60"/>
      <c r="AB429" s="60"/>
      <c r="AC429" s="60"/>
      <c r="AD429" s="60"/>
      <c r="AE429" s="60"/>
      <c r="AF429" s="60"/>
      <c r="AG429" s="60"/>
      <c r="AH429" s="60"/>
      <c r="AI429" s="60"/>
      <c r="AJ429" s="60"/>
      <c r="AK429" s="60"/>
      <c r="AL429" s="60"/>
      <c r="AM429" s="60"/>
      <c r="AN429" s="60"/>
      <c r="AO429" s="60"/>
      <c r="AP429" s="60"/>
      <c r="AQ429" s="60"/>
      <c r="AR429" s="60"/>
      <c r="AS429" s="60"/>
      <c r="AT429" s="60"/>
      <c r="AU429" s="60"/>
      <c r="AV429" s="60"/>
      <c r="AW429" s="60"/>
      <c r="AX429" s="60"/>
      <c r="AY429" s="60"/>
      <c r="AZ429" s="60"/>
      <c r="BA429" s="60"/>
      <c r="BB429" s="60"/>
      <c r="BC429" s="60"/>
      <c r="BD429" s="60"/>
      <c r="BE429" s="60"/>
      <c r="BF429" s="60"/>
      <c r="BG429" s="60"/>
      <c r="BH429" s="60"/>
      <c r="BI429" s="60"/>
      <c r="BJ429" s="60"/>
      <c r="BK429" s="60"/>
      <c r="BL429" s="60"/>
    </row>
    <row r="430" spans="1:64">
      <c r="A430" s="21" t="str">
        <f>TRIM(B430)&amp;TRIM(C430)&amp;TRIM(D430)&amp;TRIM(E430)&amp;TRIM(F430)&amp;TRIM(G430)&amp;TRIM(H430)&amp;TRIM(I430)&amp;TRIM(J430)</f>
        <v>GBUB2B_OH_COST전년</v>
      </c>
      <c r="B430" s="13"/>
      <c r="C430" s="13"/>
      <c r="D430" s="13"/>
      <c r="E430" s="13"/>
      <c r="F430" s="13"/>
      <c r="G430" s="13" t="s">
        <v>120</v>
      </c>
      <c r="H430" s="13" t="s">
        <v>150</v>
      </c>
      <c r="I430" s="13"/>
      <c r="J430" s="34" t="s">
        <v>57</v>
      </c>
      <c r="L430" s="60"/>
      <c r="M430" s="60"/>
      <c r="N430" s="60"/>
      <c r="O430" s="60"/>
      <c r="P430" s="60"/>
      <c r="Q430" s="60"/>
      <c r="R430" s="60"/>
      <c r="S430" s="60"/>
      <c r="T430" s="60"/>
      <c r="U430" s="60"/>
      <c r="V430" s="60"/>
      <c r="W430" s="60"/>
      <c r="X430" s="60"/>
      <c r="Y430" s="60"/>
      <c r="Z430" s="60"/>
      <c r="AA430" s="60"/>
      <c r="AB430" s="60"/>
      <c r="AC430" s="60"/>
      <c r="AD430" s="60"/>
      <c r="AE430" s="60"/>
      <c r="AF430" s="60"/>
      <c r="AG430" s="60"/>
      <c r="AH430" s="60"/>
      <c r="AI430" s="60"/>
      <c r="AJ430" s="60"/>
      <c r="AK430" s="60"/>
      <c r="AL430" s="60"/>
      <c r="AM430" s="60"/>
      <c r="AN430" s="60"/>
      <c r="AO430" s="60"/>
      <c r="AP430" s="60"/>
      <c r="AQ430" s="60"/>
      <c r="AR430" s="60"/>
      <c r="AS430" s="60"/>
      <c r="AT430" s="60"/>
      <c r="AU430" s="60"/>
      <c r="AV430" s="60"/>
      <c r="AW430" s="60"/>
      <c r="AX430" s="60"/>
      <c r="AY430" s="60"/>
      <c r="AZ430" s="60"/>
      <c r="BA430" s="60"/>
      <c r="BB430" s="60"/>
      <c r="BC430" s="60"/>
      <c r="BD430" s="60"/>
      <c r="BE430" s="60"/>
      <c r="BF430" s="60"/>
      <c r="BG430" s="60"/>
      <c r="BH430" s="60"/>
      <c r="BI430" s="60"/>
      <c r="BJ430" s="60"/>
      <c r="BK430" s="60"/>
      <c r="BL430" s="60"/>
    </row>
    <row r="432" spans="1:64">
      <c r="A432" s="21" t="str">
        <f>TRIM(B432)&amp;TRIM(C432)&amp;TRIM(D432)&amp;TRIM(E432)&amp;TRIM(F432)&amp;TRIM(G432)&amp;TRIM(H432)&amp;TRIM(I432)&amp;TRIM(J432)</f>
        <v>GBUB2B_Overhead_Rate금년</v>
      </c>
      <c r="B432" s="13"/>
      <c r="C432" s="13"/>
      <c r="D432" s="13"/>
      <c r="E432" s="13"/>
      <c r="F432" s="13"/>
      <c r="G432" s="13" t="s">
        <v>120</v>
      </c>
      <c r="H432" s="13" t="s">
        <v>151</v>
      </c>
      <c r="I432" s="13"/>
      <c r="J432" s="21" t="s">
        <v>73</v>
      </c>
      <c r="L432" s="62"/>
      <c r="M432" s="61"/>
      <c r="N432" s="61"/>
      <c r="O432" s="61"/>
      <c r="P432" s="61"/>
      <c r="Q432" s="61"/>
      <c r="R432" s="61"/>
      <c r="S432" s="61"/>
      <c r="T432" s="61"/>
      <c r="U432" s="61"/>
      <c r="V432" s="61"/>
      <c r="W432" s="61"/>
      <c r="X432" s="61"/>
      <c r="Y432" s="61"/>
      <c r="Z432" s="61"/>
      <c r="AA432" s="61"/>
      <c r="AB432" s="61"/>
      <c r="AC432" s="61"/>
      <c r="AD432" s="61"/>
      <c r="AE432" s="61"/>
      <c r="AF432" s="61"/>
      <c r="AG432" s="61"/>
      <c r="AH432" s="61"/>
      <c r="AI432" s="61"/>
      <c r="AJ432" s="61"/>
      <c r="AK432" s="61"/>
      <c r="AL432" s="61"/>
      <c r="AM432" s="61"/>
      <c r="AN432" s="61"/>
      <c r="AO432" s="61"/>
      <c r="AP432" s="61"/>
      <c r="AQ432" s="61"/>
      <c r="AR432" s="61"/>
      <c r="AS432" s="61"/>
      <c r="AT432" s="61"/>
      <c r="AU432" s="61"/>
      <c r="AV432" s="61"/>
      <c r="AW432" s="61"/>
      <c r="AX432" s="61"/>
      <c r="AY432" s="61"/>
      <c r="AZ432" s="61"/>
      <c r="BA432" s="61"/>
      <c r="BB432" s="61"/>
      <c r="BC432" s="61"/>
      <c r="BD432" s="61"/>
      <c r="BE432" s="61"/>
      <c r="BF432" s="61"/>
      <c r="BG432" s="61"/>
      <c r="BH432" s="61"/>
      <c r="BI432" s="61"/>
      <c r="BJ432" s="61"/>
      <c r="BK432" s="61"/>
      <c r="BL432" s="61"/>
    </row>
    <row r="433" spans="1:64">
      <c r="A433" s="21" t="str">
        <f>TRIM(B433)&amp;TRIM(C433)&amp;TRIM(D433)&amp;TRIM(E433)&amp;TRIM(F433)&amp;TRIM(G433)&amp;TRIM(H433)&amp;TRIM(I433)&amp;TRIM(J433)</f>
        <v>GBUB2B_Overhead_Rate전년</v>
      </c>
      <c r="B433" s="13"/>
      <c r="C433" s="13"/>
      <c r="D433" s="13"/>
      <c r="E433" s="13"/>
      <c r="F433" s="13"/>
      <c r="G433" s="13" t="s">
        <v>120</v>
      </c>
      <c r="H433" s="13" t="s">
        <v>151</v>
      </c>
      <c r="I433" s="13"/>
      <c r="J433" s="34" t="s">
        <v>57</v>
      </c>
      <c r="L433" s="61"/>
      <c r="M433" s="61"/>
      <c r="N433" s="61"/>
      <c r="O433" s="61"/>
      <c r="P433" s="61"/>
      <c r="Q433" s="61"/>
      <c r="R433" s="61"/>
      <c r="S433" s="61"/>
      <c r="T433" s="61"/>
      <c r="U433" s="61"/>
      <c r="V433" s="61"/>
      <c r="W433" s="61"/>
      <c r="X433" s="61"/>
      <c r="Y433" s="61"/>
      <c r="Z433" s="61"/>
      <c r="AA433" s="61"/>
      <c r="AB433" s="61"/>
      <c r="AC433" s="61"/>
      <c r="AD433" s="61"/>
      <c r="AE433" s="61"/>
      <c r="AF433" s="61"/>
      <c r="AG433" s="61"/>
      <c r="AH433" s="61"/>
      <c r="AI433" s="61"/>
      <c r="AJ433" s="61"/>
      <c r="AK433" s="61"/>
      <c r="AL433" s="61"/>
      <c r="AM433" s="61"/>
      <c r="AN433" s="61"/>
      <c r="AO433" s="61"/>
      <c r="AP433" s="61"/>
      <c r="AQ433" s="61"/>
      <c r="AR433" s="61"/>
      <c r="AS433" s="61"/>
      <c r="AT433" s="61"/>
      <c r="AU433" s="61"/>
      <c r="AV433" s="61"/>
      <c r="AW433" s="61"/>
      <c r="AX433" s="61"/>
      <c r="AY433" s="61"/>
      <c r="AZ433" s="61"/>
      <c r="BA433" s="61"/>
      <c r="BB433" s="61"/>
      <c r="BC433" s="61"/>
      <c r="BD433" s="61"/>
      <c r="BE433" s="61"/>
      <c r="BF433" s="61"/>
      <c r="BG433" s="61"/>
      <c r="BH433" s="61"/>
      <c r="BI433" s="61"/>
      <c r="BJ433" s="61"/>
      <c r="BK433" s="61"/>
      <c r="BL433" s="61"/>
    </row>
    <row r="434" spans="1:64">
      <c r="A434" s="21" t="str">
        <f>TRIM(B434)&amp;TRIM(C434)&amp;TRIM(D434)&amp;TRIM(E434)&amp;TRIM(F434)&amp;TRIM(G434)&amp;TRIM(H434)&amp;TRIM(I434)&amp;TRIM(J434)</f>
        <v>GBUB2B_Overhead_Rate전년대비</v>
      </c>
      <c r="B434" s="13"/>
      <c r="C434" s="13"/>
      <c r="D434" s="13"/>
      <c r="E434" s="13"/>
      <c r="F434" s="13"/>
      <c r="G434" s="13" t="s">
        <v>120</v>
      </c>
      <c r="H434" s="13" t="s">
        <v>151</v>
      </c>
      <c r="I434" s="13"/>
      <c r="J434" s="13" t="s">
        <v>75</v>
      </c>
      <c r="L434" s="61"/>
      <c r="M434" s="61"/>
      <c r="N434" s="61"/>
      <c r="O434" s="61"/>
      <c r="P434" s="61"/>
      <c r="Q434" s="61"/>
      <c r="R434" s="61"/>
      <c r="S434" s="61"/>
      <c r="T434" s="61"/>
      <c r="U434" s="61"/>
      <c r="V434" s="61"/>
      <c r="W434" s="61"/>
      <c r="X434" s="61"/>
      <c r="Y434" s="61"/>
      <c r="Z434" s="61"/>
      <c r="AA434" s="61"/>
      <c r="AB434" s="61"/>
      <c r="AC434" s="61"/>
      <c r="AD434" s="61"/>
      <c r="AE434" s="61"/>
      <c r="AF434" s="61"/>
      <c r="AG434" s="61"/>
      <c r="AH434" s="61"/>
      <c r="AI434" s="61"/>
      <c r="AJ434" s="61"/>
      <c r="AK434" s="61"/>
      <c r="AL434" s="61"/>
      <c r="AM434" s="61"/>
      <c r="AN434" s="61"/>
      <c r="AO434" s="61"/>
      <c r="AP434" s="61"/>
      <c r="AQ434" s="61"/>
      <c r="AR434" s="61"/>
      <c r="AS434" s="61"/>
      <c r="AT434" s="61"/>
      <c r="AU434" s="61"/>
      <c r="AV434" s="61"/>
      <c r="AW434" s="61"/>
      <c r="AX434" s="61"/>
      <c r="AY434" s="61"/>
      <c r="AZ434" s="61"/>
      <c r="BA434" s="61"/>
      <c r="BB434" s="61"/>
      <c r="BC434" s="61"/>
      <c r="BD434" s="61"/>
      <c r="BE434" s="61"/>
      <c r="BF434" s="61"/>
      <c r="BG434" s="61"/>
      <c r="BH434" s="61"/>
      <c r="BI434" s="61"/>
      <c r="BJ434" s="61"/>
      <c r="BK434" s="61"/>
      <c r="BL434" s="61"/>
    </row>
    <row r="436" spans="1:64">
      <c r="A436" s="21" t="str">
        <f>TRIM(B436)&amp;TRIM(C436)&amp;TRIM(D436)&amp;TRIM(E436)&amp;TRIM(F436)&amp;TRIM(G436)&amp;TRIM(H436)&amp;TRIM(I436)&amp;TRIM(J436)</f>
        <v>GBUB2B_변동비금년</v>
      </c>
      <c r="B436" s="13"/>
      <c r="C436" s="13"/>
      <c r="D436" s="13"/>
      <c r="E436" s="13"/>
      <c r="F436" s="13"/>
      <c r="G436" s="13" t="s">
        <v>120</v>
      </c>
      <c r="H436" s="13" t="s">
        <v>162</v>
      </c>
      <c r="I436" s="13"/>
      <c r="J436" s="21" t="s">
        <v>73</v>
      </c>
      <c r="L436" s="60"/>
      <c r="M436" s="60"/>
      <c r="N436" s="60"/>
      <c r="O436" s="60"/>
      <c r="P436" s="60"/>
      <c r="Q436" s="60"/>
      <c r="R436" s="60"/>
      <c r="S436" s="60"/>
      <c r="T436" s="60"/>
      <c r="U436" s="60"/>
      <c r="V436" s="60"/>
      <c r="W436" s="60"/>
      <c r="X436" s="60"/>
      <c r="Y436" s="60"/>
      <c r="Z436" s="60"/>
      <c r="AA436" s="60"/>
      <c r="AB436" s="60"/>
      <c r="AC436" s="60"/>
      <c r="AD436" s="60"/>
      <c r="AE436" s="60"/>
      <c r="AF436" s="60"/>
      <c r="AG436" s="60"/>
      <c r="AH436" s="60"/>
      <c r="AI436" s="60"/>
      <c r="AJ436" s="60"/>
      <c r="AK436" s="60"/>
      <c r="AL436" s="60"/>
      <c r="AM436" s="60"/>
      <c r="AN436" s="60"/>
      <c r="AO436" s="60"/>
      <c r="AP436" s="60"/>
      <c r="AQ436" s="60"/>
      <c r="AR436" s="60"/>
      <c r="AS436" s="60"/>
      <c r="AT436" s="60"/>
      <c r="AU436" s="60"/>
      <c r="AV436" s="60"/>
      <c r="AW436" s="60"/>
      <c r="AX436" s="60"/>
      <c r="AY436" s="60"/>
      <c r="AZ436" s="60"/>
      <c r="BA436" s="60"/>
      <c r="BB436" s="60"/>
      <c r="BC436" s="60"/>
      <c r="BD436" s="60"/>
      <c r="BE436" s="60"/>
      <c r="BF436" s="60"/>
      <c r="BG436" s="60"/>
      <c r="BH436" s="60"/>
      <c r="BI436" s="60"/>
      <c r="BJ436" s="60"/>
      <c r="BK436" s="60"/>
      <c r="BL436" s="60"/>
    </row>
    <row r="437" spans="1:64">
      <c r="A437" s="21" t="str">
        <f>TRIM(B437)&amp;TRIM(C437)&amp;TRIM(D437)&amp;TRIM(E437)&amp;TRIM(F437)&amp;TRIM(G437)&amp;TRIM(H437)&amp;TRIM(I437)&amp;TRIM(J437)</f>
        <v>GBUB2B_변동비전년</v>
      </c>
      <c r="B437" s="13"/>
      <c r="C437" s="13"/>
      <c r="D437" s="13"/>
      <c r="E437" s="13"/>
      <c r="F437" s="13"/>
      <c r="G437" s="13" t="s">
        <v>120</v>
      </c>
      <c r="H437" s="13" t="s">
        <v>162</v>
      </c>
      <c r="I437" s="13"/>
      <c r="J437" s="34" t="s">
        <v>57</v>
      </c>
      <c r="L437" s="60"/>
      <c r="M437" s="60"/>
      <c r="N437" s="60"/>
      <c r="O437" s="60"/>
      <c r="P437" s="60"/>
      <c r="Q437" s="60"/>
      <c r="R437" s="60"/>
      <c r="S437" s="60"/>
      <c r="T437" s="60"/>
      <c r="U437" s="60"/>
      <c r="V437" s="60"/>
      <c r="W437" s="60"/>
      <c r="X437" s="60"/>
      <c r="Y437" s="60"/>
      <c r="Z437" s="60"/>
      <c r="AA437" s="60"/>
      <c r="AB437" s="60"/>
      <c r="AC437" s="60"/>
      <c r="AD437" s="60"/>
      <c r="AE437" s="60"/>
      <c r="AF437" s="60"/>
      <c r="AG437" s="60"/>
      <c r="AH437" s="60"/>
      <c r="AI437" s="60"/>
      <c r="AJ437" s="60"/>
      <c r="AK437" s="60"/>
      <c r="AL437" s="60"/>
      <c r="AM437" s="60"/>
      <c r="AN437" s="60"/>
      <c r="AO437" s="60"/>
      <c r="AP437" s="60"/>
      <c r="AQ437" s="60"/>
      <c r="AR437" s="60"/>
      <c r="AS437" s="60"/>
      <c r="AT437" s="60"/>
      <c r="AU437" s="60"/>
      <c r="AV437" s="60"/>
      <c r="AW437" s="60"/>
      <c r="AX437" s="60"/>
      <c r="AY437" s="60"/>
      <c r="AZ437" s="60"/>
      <c r="BA437" s="60"/>
      <c r="BB437" s="60"/>
      <c r="BC437" s="60"/>
      <c r="BD437" s="60"/>
      <c r="BE437" s="60"/>
      <c r="BF437" s="60"/>
      <c r="BG437" s="60"/>
      <c r="BH437" s="60"/>
      <c r="BI437" s="60"/>
      <c r="BJ437" s="60"/>
      <c r="BK437" s="60"/>
      <c r="BL437" s="60"/>
    </row>
    <row r="439" spans="1:64">
      <c r="A439" s="21" t="str">
        <f>TRIM(B439)&amp;TRIM(C439)&amp;TRIM(D439)&amp;TRIM(E439)&amp;TRIM(F439)&amp;TRIM(G439)&amp;TRIM(H439)&amp;TRIM(I439)&amp;TRIM(J439)</f>
        <v>GBUB2B_변동비율금년</v>
      </c>
      <c r="B439" s="13"/>
      <c r="C439" s="13"/>
      <c r="D439" s="13"/>
      <c r="E439" s="13"/>
      <c r="F439" s="13"/>
      <c r="G439" s="13" t="s">
        <v>120</v>
      </c>
      <c r="H439" s="13" t="s">
        <v>152</v>
      </c>
      <c r="I439" s="13"/>
      <c r="J439" s="21" t="s">
        <v>73</v>
      </c>
      <c r="L439" s="62"/>
      <c r="M439" s="61"/>
      <c r="N439" s="61"/>
      <c r="O439" s="61"/>
      <c r="P439" s="61"/>
      <c r="Q439" s="61"/>
      <c r="R439" s="61"/>
      <c r="S439" s="61"/>
      <c r="T439" s="61"/>
      <c r="U439" s="61"/>
      <c r="V439" s="61"/>
      <c r="W439" s="61"/>
      <c r="X439" s="61"/>
      <c r="Y439" s="61"/>
      <c r="Z439" s="61"/>
      <c r="AA439" s="61"/>
      <c r="AB439" s="61"/>
      <c r="AC439" s="61"/>
      <c r="AD439" s="61"/>
      <c r="AE439" s="61"/>
      <c r="AF439" s="61"/>
      <c r="AG439" s="61"/>
      <c r="AH439" s="61"/>
      <c r="AI439" s="61"/>
      <c r="AJ439" s="61"/>
      <c r="AK439" s="61"/>
      <c r="AL439" s="61"/>
      <c r="AM439" s="61"/>
      <c r="AN439" s="61"/>
      <c r="AO439" s="61"/>
      <c r="AP439" s="61"/>
      <c r="AQ439" s="61"/>
      <c r="AR439" s="61"/>
      <c r="AS439" s="61"/>
      <c r="AT439" s="61"/>
      <c r="AU439" s="61"/>
      <c r="AV439" s="61"/>
      <c r="AW439" s="61"/>
      <c r="AX439" s="61"/>
      <c r="AY439" s="61"/>
      <c r="AZ439" s="61"/>
      <c r="BA439" s="61"/>
      <c r="BB439" s="61"/>
      <c r="BC439" s="61"/>
      <c r="BD439" s="61"/>
      <c r="BE439" s="61"/>
      <c r="BF439" s="61"/>
      <c r="BG439" s="61"/>
      <c r="BH439" s="61"/>
      <c r="BI439" s="61"/>
      <c r="BJ439" s="61"/>
      <c r="BK439" s="61"/>
      <c r="BL439" s="61"/>
    </row>
    <row r="440" spans="1:64">
      <c r="A440" s="21" t="str">
        <f>TRIM(B440)&amp;TRIM(C440)&amp;TRIM(D440)&amp;TRIM(E440)&amp;TRIM(F440)&amp;TRIM(G440)&amp;TRIM(H440)&amp;TRIM(I440)&amp;TRIM(J440)</f>
        <v>GBUB2B_변동비율전년</v>
      </c>
      <c r="B440" s="13"/>
      <c r="C440" s="13"/>
      <c r="D440" s="13"/>
      <c r="E440" s="13"/>
      <c r="F440" s="13"/>
      <c r="G440" s="13" t="s">
        <v>120</v>
      </c>
      <c r="H440" s="13" t="s">
        <v>152</v>
      </c>
      <c r="I440" s="13"/>
      <c r="J440" s="34" t="s">
        <v>57</v>
      </c>
      <c r="L440" s="61"/>
      <c r="M440" s="61"/>
      <c r="N440" s="61"/>
      <c r="O440" s="61"/>
      <c r="P440" s="61"/>
      <c r="Q440" s="61"/>
      <c r="R440" s="61"/>
      <c r="S440" s="61"/>
      <c r="T440" s="61"/>
      <c r="U440" s="61"/>
      <c r="V440" s="61"/>
      <c r="W440" s="61"/>
      <c r="X440" s="61"/>
      <c r="Y440" s="61"/>
      <c r="Z440" s="61"/>
      <c r="AA440" s="61"/>
      <c r="AB440" s="61"/>
      <c r="AC440" s="61"/>
      <c r="AD440" s="61"/>
      <c r="AE440" s="61"/>
      <c r="AF440" s="61"/>
      <c r="AG440" s="61"/>
      <c r="AH440" s="61"/>
      <c r="AI440" s="61"/>
      <c r="AJ440" s="61"/>
      <c r="AK440" s="61"/>
      <c r="AL440" s="61"/>
      <c r="AM440" s="61"/>
      <c r="AN440" s="61"/>
      <c r="AO440" s="61"/>
      <c r="AP440" s="61"/>
      <c r="AQ440" s="61"/>
      <c r="AR440" s="61"/>
      <c r="AS440" s="61"/>
      <c r="AT440" s="61"/>
      <c r="AU440" s="61"/>
      <c r="AV440" s="61"/>
      <c r="AW440" s="61"/>
      <c r="AX440" s="61"/>
      <c r="AY440" s="61"/>
      <c r="AZ440" s="61"/>
      <c r="BA440" s="61"/>
      <c r="BB440" s="61"/>
      <c r="BC440" s="61"/>
      <c r="BD440" s="61"/>
      <c r="BE440" s="61"/>
      <c r="BF440" s="61"/>
      <c r="BG440" s="61"/>
      <c r="BH440" s="61"/>
      <c r="BI440" s="61"/>
      <c r="BJ440" s="61"/>
      <c r="BK440" s="61"/>
      <c r="BL440" s="61"/>
    </row>
    <row r="441" spans="1:64">
      <c r="A441" s="21" t="str">
        <f>TRIM(B441)&amp;TRIM(C441)&amp;TRIM(D441)&amp;TRIM(E441)&amp;TRIM(F441)&amp;TRIM(G441)&amp;TRIM(H441)&amp;TRIM(I441)&amp;TRIM(J441)</f>
        <v>GBUB2B_변동비율전년대비</v>
      </c>
      <c r="B441" s="13"/>
      <c r="C441" s="13"/>
      <c r="D441" s="13"/>
      <c r="E441" s="13"/>
      <c r="F441" s="13"/>
      <c r="G441" s="13" t="s">
        <v>120</v>
      </c>
      <c r="H441" s="13" t="s">
        <v>152</v>
      </c>
      <c r="I441" s="13"/>
      <c r="J441" s="13" t="s">
        <v>75</v>
      </c>
      <c r="L441" s="61"/>
      <c r="M441" s="61"/>
      <c r="N441" s="61"/>
      <c r="O441" s="61"/>
      <c r="P441" s="61"/>
      <c r="Q441" s="61"/>
      <c r="R441" s="61"/>
      <c r="S441" s="61"/>
      <c r="T441" s="61"/>
      <c r="U441" s="61"/>
      <c r="V441" s="61"/>
      <c r="W441" s="61"/>
      <c r="X441" s="61"/>
      <c r="Y441" s="61"/>
      <c r="Z441" s="61"/>
      <c r="AA441" s="61"/>
      <c r="AB441" s="61"/>
      <c r="AC441" s="61"/>
      <c r="AD441" s="61"/>
      <c r="AE441" s="61"/>
      <c r="AF441" s="61"/>
      <c r="AG441" s="61"/>
      <c r="AH441" s="61"/>
      <c r="AI441" s="61"/>
      <c r="AJ441" s="61"/>
      <c r="AK441" s="61"/>
      <c r="AL441" s="61"/>
      <c r="AM441" s="61"/>
      <c r="AN441" s="61"/>
      <c r="AO441" s="61"/>
      <c r="AP441" s="61"/>
      <c r="AQ441" s="61"/>
      <c r="AR441" s="61"/>
      <c r="AS441" s="61"/>
      <c r="AT441" s="61"/>
      <c r="AU441" s="61"/>
      <c r="AV441" s="61"/>
      <c r="AW441" s="61"/>
      <c r="AX441" s="61"/>
      <c r="AY441" s="61"/>
      <c r="AZ441" s="61"/>
      <c r="BA441" s="61"/>
      <c r="BB441" s="61"/>
      <c r="BC441" s="61"/>
      <c r="BD441" s="61"/>
      <c r="BE441" s="61"/>
      <c r="BF441" s="61"/>
      <c r="BG441" s="61"/>
      <c r="BH441" s="61"/>
      <c r="BI441" s="61"/>
      <c r="BJ441" s="61"/>
      <c r="BK441" s="61"/>
      <c r="BL441" s="61"/>
    </row>
    <row r="443" spans="1:64">
      <c r="A443" s="21" t="str">
        <f>TRIM(B443)&amp;TRIM(C443)&amp;TRIM(D443)&amp;TRIM(E443)&amp;TRIM(F443)&amp;TRIM(G443)&amp;TRIM(H443)&amp;TRIM(I443)&amp;TRIM(J443)</f>
        <v>GBUB2B_판매촉진비금년</v>
      </c>
      <c r="B443" s="13"/>
      <c r="C443" s="13"/>
      <c r="D443" s="13"/>
      <c r="E443" s="13"/>
      <c r="F443" s="13"/>
      <c r="G443" s="13" t="s">
        <v>120</v>
      </c>
      <c r="H443" s="13" t="s">
        <v>163</v>
      </c>
      <c r="I443" s="13"/>
      <c r="J443" s="21" t="s">
        <v>73</v>
      </c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  <c r="AG443" s="36"/>
      <c r="AH443" s="36"/>
      <c r="AI443" s="36"/>
      <c r="AJ443" s="36"/>
      <c r="AK443" s="36"/>
      <c r="AL443" s="36"/>
      <c r="AM443" s="36"/>
      <c r="AN443" s="36"/>
      <c r="AO443" s="36"/>
      <c r="AP443" s="36"/>
      <c r="AQ443" s="36"/>
      <c r="AR443" s="36"/>
      <c r="AS443" s="36"/>
      <c r="AT443" s="36"/>
      <c r="AU443" s="36"/>
      <c r="AV443" s="36"/>
      <c r="AW443" s="36"/>
      <c r="AX443" s="36"/>
      <c r="AY443" s="36"/>
      <c r="AZ443" s="36"/>
      <c r="BA443" s="36"/>
      <c r="BB443" s="36"/>
      <c r="BC443" s="36"/>
      <c r="BD443" s="36"/>
      <c r="BE443" s="36"/>
      <c r="BF443" s="36"/>
      <c r="BG443" s="36"/>
      <c r="BH443" s="36"/>
      <c r="BI443" s="36"/>
      <c r="BJ443" s="36"/>
      <c r="BK443" s="36"/>
      <c r="BL443" s="36"/>
    </row>
    <row r="444" spans="1:64">
      <c r="A444" s="21" t="str">
        <f>TRIM(B444)&amp;TRIM(C444)&amp;TRIM(D444)&amp;TRIM(E444)&amp;TRIM(F444)&amp;TRIM(G444)&amp;TRIM(H444)&amp;TRIM(I444)&amp;TRIM(J444)</f>
        <v>GBUB2B_판매촉진비전년</v>
      </c>
      <c r="B444" s="13"/>
      <c r="C444" s="13"/>
      <c r="D444" s="13"/>
      <c r="E444" s="13"/>
      <c r="F444" s="13"/>
      <c r="G444" s="13" t="s">
        <v>120</v>
      </c>
      <c r="H444" s="13" t="s">
        <v>163</v>
      </c>
      <c r="I444" s="13"/>
      <c r="J444" s="34" t="s">
        <v>57</v>
      </c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  <c r="AG444" s="36"/>
      <c r="AH444" s="36"/>
      <c r="AI444" s="36"/>
      <c r="AJ444" s="36"/>
      <c r="AK444" s="36"/>
      <c r="AL444" s="36"/>
      <c r="AM444" s="36"/>
      <c r="AN444" s="36"/>
      <c r="AO444" s="36"/>
      <c r="AP444" s="36"/>
      <c r="AQ444" s="36"/>
      <c r="AR444" s="36"/>
      <c r="AS444" s="36"/>
      <c r="AT444" s="36"/>
      <c r="AU444" s="36"/>
      <c r="AV444" s="36"/>
      <c r="AW444" s="36"/>
      <c r="AX444" s="36"/>
      <c r="AY444" s="36"/>
      <c r="AZ444" s="36"/>
      <c r="BA444" s="36"/>
      <c r="BB444" s="36"/>
      <c r="BC444" s="36"/>
      <c r="BD444" s="36"/>
      <c r="BE444" s="36"/>
      <c r="BF444" s="36"/>
      <c r="BG444" s="36"/>
      <c r="BH444" s="36"/>
      <c r="BI444" s="36"/>
      <c r="BJ444" s="36"/>
      <c r="BK444" s="36"/>
      <c r="BL444" s="36"/>
    </row>
    <row r="445" spans="1:64">
      <c r="A445" s="21" t="str">
        <f>TRIM(B445)&amp;TRIM(C445)&amp;TRIM(D445)&amp;TRIM(E445)&amp;TRIM(F445)&amp;TRIM(G445)&amp;TRIM(H445)&amp;TRIM(I445)&amp;TRIM(J445)</f>
        <v>GBUB2B_판매촉진비율금년</v>
      </c>
      <c r="B445" s="13"/>
      <c r="C445" s="13"/>
      <c r="D445" s="13"/>
      <c r="E445" s="13"/>
      <c r="F445" s="13"/>
      <c r="G445" s="13" t="s">
        <v>120</v>
      </c>
      <c r="H445" s="13" t="s">
        <v>153</v>
      </c>
      <c r="I445" s="13"/>
      <c r="J445" s="21" t="s">
        <v>73</v>
      </c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  <c r="AK445" s="61"/>
      <c r="AL445" s="61"/>
      <c r="AM445" s="61"/>
      <c r="AN445" s="61"/>
      <c r="AO445" s="61"/>
      <c r="AP445" s="61"/>
      <c r="AQ445" s="61"/>
      <c r="AR445" s="61"/>
      <c r="AS445" s="61"/>
      <c r="AT445" s="61"/>
      <c r="AU445" s="61"/>
      <c r="AV445" s="61"/>
      <c r="AW445" s="61"/>
      <c r="AX445" s="61"/>
      <c r="AY445" s="61"/>
      <c r="AZ445" s="61"/>
      <c r="BA445" s="61"/>
      <c r="BB445" s="61"/>
      <c r="BC445" s="61"/>
      <c r="BD445" s="61"/>
      <c r="BE445" s="61"/>
      <c r="BF445" s="61"/>
      <c r="BG445" s="61"/>
      <c r="BH445" s="61"/>
      <c r="BI445" s="61"/>
      <c r="BJ445" s="61"/>
      <c r="BK445" s="61"/>
      <c r="BL445" s="61"/>
    </row>
    <row r="446" spans="1:64">
      <c r="A446" s="21" t="str">
        <f>TRIM(B446)&amp;TRIM(C446)&amp;TRIM(D446)&amp;TRIM(E446)&amp;TRIM(F446)&amp;TRIM(G446)&amp;TRIM(H446)&amp;TRIM(I446)&amp;TRIM(J446)</f>
        <v>GBUB2B_판매촉진비율전년</v>
      </c>
      <c r="B446" s="13"/>
      <c r="C446" s="13"/>
      <c r="D446" s="13"/>
      <c r="E446" s="13"/>
      <c r="F446" s="13"/>
      <c r="G446" s="13" t="s">
        <v>120</v>
      </c>
      <c r="H446" s="13" t="s">
        <v>153</v>
      </c>
      <c r="I446" s="13"/>
      <c r="J446" s="34" t="s">
        <v>57</v>
      </c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  <c r="AK446" s="61"/>
      <c r="AL446" s="61"/>
      <c r="AM446" s="61"/>
      <c r="AN446" s="61"/>
      <c r="AO446" s="61"/>
      <c r="AP446" s="61"/>
      <c r="AQ446" s="61"/>
      <c r="AR446" s="61"/>
      <c r="AS446" s="61"/>
      <c r="AT446" s="61"/>
      <c r="AU446" s="61"/>
      <c r="AV446" s="61"/>
      <c r="AW446" s="61"/>
      <c r="AX446" s="61"/>
      <c r="AY446" s="61"/>
      <c r="AZ446" s="61"/>
      <c r="BA446" s="61"/>
      <c r="BB446" s="61"/>
      <c r="BC446" s="61"/>
      <c r="BD446" s="61"/>
      <c r="BE446" s="61"/>
      <c r="BF446" s="61"/>
      <c r="BG446" s="61"/>
      <c r="BH446" s="61"/>
      <c r="BI446" s="61"/>
      <c r="BJ446" s="61"/>
      <c r="BK446" s="61"/>
      <c r="BL446" s="61"/>
    </row>
    <row r="448" spans="1:64">
      <c r="A448" s="21" t="str">
        <f>TRIM(B448)&amp;TRIM(C448)&amp;TRIM(D448)&amp;TRIM(E448)&amp;TRIM(F448)&amp;TRIM(G448)&amp;TRIM(H448)&amp;TRIM(I448)&amp;TRIM(J448)</f>
        <v>GBUB2B_운반비금년</v>
      </c>
      <c r="B448" s="13"/>
      <c r="C448" s="13"/>
      <c r="D448" s="13"/>
      <c r="E448" s="13"/>
      <c r="F448" s="13"/>
      <c r="G448" s="13" t="s">
        <v>120</v>
      </c>
      <c r="H448" s="13" t="s">
        <v>164</v>
      </c>
      <c r="I448" s="13"/>
      <c r="J448" s="21" t="s">
        <v>73</v>
      </c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36"/>
      <c r="AI448" s="36"/>
      <c r="AJ448" s="36"/>
      <c r="AK448" s="36"/>
      <c r="AL448" s="36"/>
      <c r="AM448" s="36"/>
      <c r="AN448" s="36"/>
      <c r="AO448" s="36"/>
      <c r="AP448" s="36"/>
      <c r="AQ448" s="36"/>
      <c r="AR448" s="36"/>
      <c r="AS448" s="36"/>
      <c r="AT448" s="36"/>
      <c r="AU448" s="36"/>
      <c r="AV448" s="36"/>
      <c r="AW448" s="36"/>
      <c r="AX448" s="36"/>
      <c r="AY448" s="36"/>
      <c r="AZ448" s="36"/>
      <c r="BA448" s="36"/>
      <c r="BB448" s="36"/>
      <c r="BC448" s="36"/>
      <c r="BD448" s="36"/>
      <c r="BE448" s="36"/>
      <c r="BF448" s="36"/>
      <c r="BG448" s="36"/>
      <c r="BH448" s="36"/>
      <c r="BI448" s="36"/>
      <c r="BJ448" s="36"/>
      <c r="BK448" s="36"/>
      <c r="BL448" s="36"/>
    </row>
    <row r="449" spans="1:64">
      <c r="A449" s="21" t="str">
        <f>TRIM(B449)&amp;TRIM(C449)&amp;TRIM(D449)&amp;TRIM(E449)&amp;TRIM(F449)&amp;TRIM(G449)&amp;TRIM(H449)&amp;TRIM(I449)&amp;TRIM(J449)</f>
        <v>GBUB2B_운반비전년</v>
      </c>
      <c r="B449" s="13"/>
      <c r="C449" s="13"/>
      <c r="D449" s="13"/>
      <c r="E449" s="13"/>
      <c r="F449" s="13"/>
      <c r="G449" s="13" t="s">
        <v>120</v>
      </c>
      <c r="H449" s="13" t="s">
        <v>164</v>
      </c>
      <c r="I449" s="13"/>
      <c r="J449" s="34" t="s">
        <v>57</v>
      </c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36"/>
      <c r="AE449" s="36"/>
      <c r="AF449" s="36"/>
      <c r="AG449" s="36"/>
      <c r="AH449" s="36"/>
      <c r="AI449" s="36"/>
      <c r="AJ449" s="36"/>
      <c r="AK449" s="36"/>
      <c r="AL449" s="36"/>
      <c r="AM449" s="36"/>
      <c r="AN449" s="36"/>
      <c r="AO449" s="36"/>
      <c r="AP449" s="36"/>
      <c r="AQ449" s="36"/>
      <c r="AR449" s="36"/>
      <c r="AS449" s="36"/>
      <c r="AT449" s="36"/>
      <c r="AU449" s="36"/>
      <c r="AV449" s="36"/>
      <c r="AW449" s="36"/>
      <c r="AX449" s="36"/>
      <c r="AY449" s="36"/>
      <c r="AZ449" s="36"/>
      <c r="BA449" s="36"/>
      <c r="BB449" s="36"/>
      <c r="BC449" s="36"/>
      <c r="BD449" s="36"/>
      <c r="BE449" s="36"/>
      <c r="BF449" s="36"/>
      <c r="BG449" s="36"/>
      <c r="BH449" s="36"/>
      <c r="BI449" s="36"/>
      <c r="BJ449" s="36"/>
      <c r="BK449" s="36"/>
      <c r="BL449" s="36"/>
    </row>
    <row r="450" spans="1:64">
      <c r="A450" s="21" t="str">
        <f>TRIM(B450)&amp;TRIM(C450)&amp;TRIM(D450)&amp;TRIM(E450)&amp;TRIM(F450)&amp;TRIM(G450)&amp;TRIM(H450)&amp;TRIM(I450)&amp;TRIM(J450)</f>
        <v>GBUB2B_운반비율금년</v>
      </c>
      <c r="B450" s="13"/>
      <c r="C450" s="13"/>
      <c r="D450" s="13"/>
      <c r="E450" s="13"/>
      <c r="F450" s="13"/>
      <c r="G450" s="13" t="s">
        <v>120</v>
      </c>
      <c r="H450" s="13" t="s">
        <v>154</v>
      </c>
      <c r="I450" s="13"/>
      <c r="J450" s="21" t="s">
        <v>73</v>
      </c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1"/>
      <c r="AS450" s="61"/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</row>
    <row r="451" spans="1:64">
      <c r="A451" s="21" t="str">
        <f>TRIM(B451)&amp;TRIM(C451)&amp;TRIM(D451)&amp;TRIM(E451)&amp;TRIM(F451)&amp;TRIM(G451)&amp;TRIM(H451)&amp;TRIM(I451)&amp;TRIM(J451)</f>
        <v>GBUB2B_운반비율전년</v>
      </c>
      <c r="B451" s="13"/>
      <c r="C451" s="13"/>
      <c r="D451" s="13"/>
      <c r="E451" s="13"/>
      <c r="F451" s="13"/>
      <c r="G451" s="13" t="s">
        <v>120</v>
      </c>
      <c r="H451" s="13" t="s">
        <v>154</v>
      </c>
      <c r="I451" s="13"/>
      <c r="J451" s="34" t="s">
        <v>57</v>
      </c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1"/>
      <c r="AS451" s="61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</row>
    <row r="453" spans="1:64">
      <c r="A453" s="21" t="str">
        <f>TRIM(B453)&amp;TRIM(C453)&amp;TRIM(D453)&amp;TRIM(E453)&amp;TRIM(F453)&amp;TRIM(G453)&amp;TRIM(H453)&amp;TRIM(I453)&amp;TRIM(J453)</f>
        <v>GBUB2B_SVC비금년</v>
      </c>
      <c r="B453" s="13"/>
      <c r="C453" s="13"/>
      <c r="D453" s="13"/>
      <c r="E453" s="13"/>
      <c r="F453" s="13"/>
      <c r="G453" s="13" t="s">
        <v>120</v>
      </c>
      <c r="H453" s="13" t="s">
        <v>165</v>
      </c>
      <c r="I453" s="13"/>
      <c r="J453" s="21" t="s">
        <v>73</v>
      </c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36"/>
      <c r="AI453" s="36"/>
      <c r="AJ453" s="36"/>
      <c r="AK453" s="36"/>
      <c r="AL453" s="36"/>
      <c r="AM453" s="36"/>
      <c r="AN453" s="36"/>
      <c r="AO453" s="36"/>
      <c r="AP453" s="36"/>
      <c r="AQ453" s="36"/>
      <c r="AR453" s="36"/>
      <c r="AS453" s="36"/>
      <c r="AT453" s="36"/>
      <c r="AU453" s="36"/>
      <c r="AV453" s="36"/>
      <c r="AW453" s="36"/>
      <c r="AX453" s="36"/>
      <c r="AY453" s="36"/>
      <c r="AZ453" s="36"/>
      <c r="BA453" s="36"/>
      <c r="BB453" s="36"/>
      <c r="BC453" s="36"/>
      <c r="BD453" s="36"/>
      <c r="BE453" s="36"/>
      <c r="BF453" s="36"/>
      <c r="BG453" s="36"/>
      <c r="BH453" s="36"/>
      <c r="BI453" s="36"/>
      <c r="BJ453" s="36"/>
      <c r="BK453" s="36"/>
      <c r="BL453" s="36"/>
    </row>
    <row r="454" spans="1:64">
      <c r="A454" s="21" t="str">
        <f>TRIM(B454)&amp;TRIM(C454)&amp;TRIM(D454)&amp;TRIM(E454)&amp;TRIM(F454)&amp;TRIM(G454)&amp;TRIM(H454)&amp;TRIM(I454)&amp;TRIM(J454)</f>
        <v>GBUB2B_SVC비전년</v>
      </c>
      <c r="B454" s="13"/>
      <c r="C454" s="13"/>
      <c r="D454" s="13"/>
      <c r="E454" s="13"/>
      <c r="F454" s="13"/>
      <c r="G454" s="13" t="s">
        <v>120</v>
      </c>
      <c r="H454" s="13" t="s">
        <v>165</v>
      </c>
      <c r="I454" s="13"/>
      <c r="J454" s="34" t="s">
        <v>57</v>
      </c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36"/>
      <c r="AE454" s="36"/>
      <c r="AF454" s="36"/>
      <c r="AG454" s="36"/>
      <c r="AH454" s="36"/>
      <c r="AI454" s="36"/>
      <c r="AJ454" s="36"/>
      <c r="AK454" s="36"/>
      <c r="AL454" s="36"/>
      <c r="AM454" s="36"/>
      <c r="AN454" s="36"/>
      <c r="AO454" s="36"/>
      <c r="AP454" s="36"/>
      <c r="AQ454" s="36"/>
      <c r="AR454" s="36"/>
      <c r="AS454" s="36"/>
      <c r="AT454" s="36"/>
      <c r="AU454" s="36"/>
      <c r="AV454" s="36"/>
      <c r="AW454" s="36"/>
      <c r="AX454" s="36"/>
      <c r="AY454" s="36"/>
      <c r="AZ454" s="36"/>
      <c r="BA454" s="36"/>
      <c r="BB454" s="36"/>
      <c r="BC454" s="36"/>
      <c r="BD454" s="36"/>
      <c r="BE454" s="36"/>
      <c r="BF454" s="36"/>
      <c r="BG454" s="36"/>
      <c r="BH454" s="36"/>
      <c r="BI454" s="36"/>
      <c r="BJ454" s="36"/>
      <c r="BK454" s="36"/>
      <c r="BL454" s="36"/>
    </row>
    <row r="455" spans="1:64">
      <c r="A455" s="21" t="str">
        <f>TRIM(B455)&amp;TRIM(C455)&amp;TRIM(D455)&amp;TRIM(E455)&amp;TRIM(F455)&amp;TRIM(G455)&amp;TRIM(H455)&amp;TRIM(I455)&amp;TRIM(J455)</f>
        <v>GBUB2B_SVC비율금년</v>
      </c>
      <c r="B455" s="13"/>
      <c r="C455" s="13"/>
      <c r="D455" s="13"/>
      <c r="E455" s="13"/>
      <c r="F455" s="13"/>
      <c r="G455" s="13" t="s">
        <v>120</v>
      </c>
      <c r="H455" s="13" t="s">
        <v>155</v>
      </c>
      <c r="I455" s="13"/>
      <c r="J455" s="21" t="s">
        <v>73</v>
      </c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  <c r="AK455" s="61"/>
      <c r="AL455" s="61"/>
      <c r="AM455" s="61"/>
      <c r="AN455" s="61"/>
      <c r="AO455" s="61"/>
      <c r="AP455" s="61"/>
      <c r="AQ455" s="61"/>
      <c r="AR455" s="61"/>
      <c r="AS455" s="61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</row>
    <row r="456" spans="1:64">
      <c r="A456" s="21" t="str">
        <f>TRIM(B456)&amp;TRIM(C456)&amp;TRIM(D456)&amp;TRIM(E456)&amp;TRIM(F456)&amp;TRIM(G456)&amp;TRIM(H456)&amp;TRIM(I456)&amp;TRIM(J456)</f>
        <v>GBUB2B_SVC비율전년</v>
      </c>
      <c r="B456" s="13"/>
      <c r="C456" s="13"/>
      <c r="D456" s="13"/>
      <c r="E456" s="13"/>
      <c r="F456" s="13"/>
      <c r="G456" s="13" t="s">
        <v>120</v>
      </c>
      <c r="H456" s="13" t="s">
        <v>155</v>
      </c>
      <c r="I456" s="13"/>
      <c r="J456" s="34" t="s">
        <v>57</v>
      </c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1"/>
      <c r="AS456" s="61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</row>
    <row r="458" spans="1:64">
      <c r="A458" s="21" t="str">
        <f>TRIM(B458)&amp;TRIM(C458)&amp;TRIM(D458)&amp;TRIM(E458)&amp;TRIM(F458)&amp;TRIM(G458)&amp;TRIM(H458)&amp;TRIM(I458)&amp;TRIM(J458)</f>
        <v>GBUB2B_고정비금년</v>
      </c>
      <c r="B458" s="13"/>
      <c r="C458" s="13"/>
      <c r="D458" s="13"/>
      <c r="E458" s="13"/>
      <c r="F458" s="13"/>
      <c r="G458" s="13" t="s">
        <v>120</v>
      </c>
      <c r="H458" s="13" t="s">
        <v>156</v>
      </c>
      <c r="I458" s="13"/>
      <c r="J458" s="21" t="s">
        <v>73</v>
      </c>
      <c r="L458" s="60"/>
      <c r="M458" s="60"/>
      <c r="N458" s="60"/>
      <c r="O458" s="60"/>
      <c r="P458" s="60"/>
      <c r="Q458" s="60"/>
      <c r="R458" s="60"/>
      <c r="S458" s="60"/>
      <c r="T458" s="60"/>
      <c r="U458" s="60"/>
      <c r="V458" s="60"/>
      <c r="W458" s="60"/>
      <c r="X458" s="60"/>
      <c r="Y458" s="60"/>
      <c r="Z458" s="60"/>
      <c r="AA458" s="60"/>
      <c r="AB458" s="60"/>
      <c r="AC458" s="60"/>
      <c r="AD458" s="60"/>
      <c r="AE458" s="60"/>
      <c r="AF458" s="60"/>
      <c r="AG458" s="60"/>
      <c r="AH458" s="60"/>
      <c r="AI458" s="60"/>
      <c r="AJ458" s="60"/>
      <c r="AK458" s="60"/>
      <c r="AL458" s="60"/>
      <c r="AM458" s="60"/>
      <c r="AN458" s="60"/>
      <c r="AO458" s="60"/>
      <c r="AP458" s="60"/>
      <c r="AQ458" s="60"/>
      <c r="AR458" s="60"/>
      <c r="AS458" s="60"/>
      <c r="AT458" s="60"/>
      <c r="AU458" s="60"/>
      <c r="AV458" s="60"/>
      <c r="AW458" s="60"/>
      <c r="AX458" s="60"/>
      <c r="AY458" s="60"/>
      <c r="AZ458" s="60"/>
      <c r="BA458" s="60"/>
      <c r="BB458" s="60"/>
      <c r="BC458" s="60"/>
      <c r="BD458" s="60"/>
      <c r="BE458" s="60"/>
      <c r="BF458" s="60"/>
      <c r="BG458" s="60"/>
      <c r="BH458" s="60"/>
      <c r="BI458" s="60"/>
      <c r="BJ458" s="60"/>
      <c r="BK458" s="60"/>
      <c r="BL458" s="60"/>
    </row>
    <row r="459" spans="1:64">
      <c r="A459" s="21" t="str">
        <f>TRIM(B459)&amp;TRIM(C459)&amp;TRIM(D459)&amp;TRIM(E459)&amp;TRIM(F459)&amp;TRIM(G459)&amp;TRIM(H459)&amp;TRIM(I459)&amp;TRIM(J459)</f>
        <v>GBUB2B_고정비전년</v>
      </c>
      <c r="B459" s="13"/>
      <c r="C459" s="13"/>
      <c r="D459" s="13"/>
      <c r="E459" s="13"/>
      <c r="F459" s="13"/>
      <c r="G459" s="13" t="s">
        <v>120</v>
      </c>
      <c r="H459" s="13" t="s">
        <v>156</v>
      </c>
      <c r="I459" s="13"/>
      <c r="J459" s="34" t="s">
        <v>57</v>
      </c>
      <c r="L459" s="60"/>
      <c r="M459" s="60"/>
      <c r="N459" s="60"/>
      <c r="O459" s="60"/>
      <c r="P459" s="60"/>
      <c r="Q459" s="60"/>
      <c r="R459" s="60"/>
      <c r="S459" s="60"/>
      <c r="T459" s="60"/>
      <c r="U459" s="60"/>
      <c r="V459" s="60"/>
      <c r="W459" s="60"/>
      <c r="X459" s="60"/>
      <c r="Y459" s="60"/>
      <c r="Z459" s="60"/>
      <c r="AA459" s="60"/>
      <c r="AB459" s="60"/>
      <c r="AC459" s="60"/>
      <c r="AD459" s="60"/>
      <c r="AE459" s="60"/>
      <c r="AF459" s="60"/>
      <c r="AG459" s="60"/>
      <c r="AH459" s="60"/>
      <c r="AI459" s="60"/>
      <c r="AJ459" s="60"/>
      <c r="AK459" s="60"/>
      <c r="AL459" s="60"/>
      <c r="AM459" s="60"/>
      <c r="AN459" s="60"/>
      <c r="AO459" s="60"/>
      <c r="AP459" s="60"/>
      <c r="AQ459" s="60"/>
      <c r="AR459" s="60"/>
      <c r="AS459" s="60"/>
      <c r="AT459" s="60"/>
      <c r="AU459" s="60"/>
      <c r="AV459" s="60"/>
      <c r="AW459" s="60"/>
      <c r="AX459" s="60"/>
      <c r="AY459" s="60"/>
      <c r="AZ459" s="60"/>
      <c r="BA459" s="60"/>
      <c r="BB459" s="60"/>
      <c r="BC459" s="60"/>
      <c r="BD459" s="60"/>
      <c r="BE459" s="60"/>
      <c r="BF459" s="60"/>
      <c r="BG459" s="60"/>
      <c r="BH459" s="60"/>
      <c r="BI459" s="60"/>
      <c r="BJ459" s="60"/>
      <c r="BK459" s="60"/>
      <c r="BL459" s="60"/>
    </row>
    <row r="460" spans="1:64">
      <c r="A460" s="21" t="str">
        <f>TRIM(B460)&amp;TRIM(C460)&amp;TRIM(D460)&amp;TRIM(E460)&amp;TRIM(F460)&amp;TRIM(G460)&amp;TRIM(H460)&amp;TRIM(I460)&amp;TRIM(J460)</f>
        <v>GBUB2B_고정비전년대비</v>
      </c>
      <c r="B460" s="13"/>
      <c r="C460" s="13"/>
      <c r="D460" s="13"/>
      <c r="E460" s="13"/>
      <c r="F460" s="13"/>
      <c r="G460" s="13" t="s">
        <v>120</v>
      </c>
      <c r="H460" s="13" t="s">
        <v>156</v>
      </c>
      <c r="I460" s="13"/>
      <c r="J460" s="13" t="s">
        <v>75</v>
      </c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1"/>
      <c r="AS460" s="61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</row>
    <row r="462" spans="1:64">
      <c r="A462" s="21" t="str">
        <f>TRIM(B462)&amp;TRIM(C462)&amp;TRIM(D462)&amp;TRIM(E462)&amp;TRIM(F462)&amp;TRIM(G462)&amp;TRIM(H462)&amp;TRIM(I462)&amp;TRIM(J462)</f>
        <v>GBUB2B_고정비율금년</v>
      </c>
      <c r="B462" s="13"/>
      <c r="C462" s="13"/>
      <c r="D462" s="13"/>
      <c r="E462" s="13"/>
      <c r="F462" s="13"/>
      <c r="G462" s="13" t="s">
        <v>120</v>
      </c>
      <c r="H462" s="13" t="s">
        <v>157</v>
      </c>
      <c r="I462" s="13"/>
      <c r="J462" s="21" t="s">
        <v>73</v>
      </c>
      <c r="L462" s="62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1"/>
      <c r="AS462" s="61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</row>
    <row r="463" spans="1:64">
      <c r="A463" s="21" t="str">
        <f>TRIM(B463)&amp;TRIM(C463)&amp;TRIM(D463)&amp;TRIM(E463)&amp;TRIM(F463)&amp;TRIM(G463)&amp;TRIM(H463)&amp;TRIM(I463)&amp;TRIM(J463)</f>
        <v>GBUB2B_고정비율전년</v>
      </c>
      <c r="B463" s="13"/>
      <c r="C463" s="13"/>
      <c r="D463" s="13"/>
      <c r="E463" s="13"/>
      <c r="F463" s="13"/>
      <c r="G463" s="13" t="s">
        <v>120</v>
      </c>
      <c r="H463" s="13" t="s">
        <v>157</v>
      </c>
      <c r="I463" s="13"/>
      <c r="J463" s="34" t="s">
        <v>57</v>
      </c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61"/>
      <c r="AL463" s="61"/>
      <c r="AM463" s="61"/>
      <c r="AN463" s="61"/>
      <c r="AO463" s="61"/>
      <c r="AP463" s="61"/>
      <c r="AQ463" s="61"/>
      <c r="AR463" s="61"/>
      <c r="AS463" s="61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</row>
    <row r="465" spans="1:64">
      <c r="A465" s="21" t="str">
        <f>TRIM(B465)&amp;TRIM(C465)&amp;TRIM(D465)&amp;TRIM(E465)&amp;TRIM(F465)&amp;TRIM(G465)&amp;TRIM(H465)&amp;TRIM(I465)&amp;TRIM(J465)</f>
        <v>GBUB2B_인건비금년</v>
      </c>
      <c r="B465" s="13"/>
      <c r="C465" s="13"/>
      <c r="D465" s="13"/>
      <c r="E465" s="13"/>
      <c r="F465" s="13"/>
      <c r="G465" s="13" t="s">
        <v>120</v>
      </c>
      <c r="H465" s="13" t="s">
        <v>158</v>
      </c>
      <c r="I465" s="13"/>
      <c r="J465" s="21" t="s">
        <v>73</v>
      </c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36"/>
      <c r="AI465" s="36"/>
      <c r="AJ465" s="36"/>
      <c r="AK465" s="36"/>
      <c r="AL465" s="36"/>
      <c r="AM465" s="36"/>
      <c r="AN465" s="36"/>
      <c r="AO465" s="36"/>
      <c r="AP465" s="36"/>
      <c r="AQ465" s="36"/>
      <c r="AR465" s="36"/>
      <c r="AS465" s="36"/>
      <c r="AT465" s="36"/>
      <c r="AU465" s="36"/>
      <c r="AV465" s="36"/>
      <c r="AW465" s="36"/>
      <c r="AX465" s="36"/>
      <c r="AY465" s="36"/>
      <c r="AZ465" s="36"/>
      <c r="BA465" s="36"/>
      <c r="BB465" s="36"/>
      <c r="BC465" s="36"/>
      <c r="BD465" s="36"/>
      <c r="BE465" s="36"/>
      <c r="BF465" s="36"/>
      <c r="BG465" s="36"/>
      <c r="BH465" s="36"/>
      <c r="BI465" s="36"/>
      <c r="BJ465" s="36"/>
      <c r="BK465" s="36"/>
      <c r="BL465" s="36"/>
    </row>
    <row r="466" spans="1:64">
      <c r="A466" s="21" t="str">
        <f>TRIM(B466)&amp;TRIM(C466)&amp;TRIM(D466)&amp;TRIM(E466)&amp;TRIM(F466)&amp;TRIM(G466)&amp;TRIM(H466)&amp;TRIM(I466)&amp;TRIM(J466)</f>
        <v>GBUB2B_인건비전년</v>
      </c>
      <c r="B466" s="13"/>
      <c r="C466" s="13"/>
      <c r="D466" s="13"/>
      <c r="E466" s="13"/>
      <c r="F466" s="13"/>
      <c r="G466" s="13" t="s">
        <v>120</v>
      </c>
      <c r="H466" s="13" t="s">
        <v>158</v>
      </c>
      <c r="I466" s="13"/>
      <c r="J466" s="34" t="s">
        <v>57</v>
      </c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36"/>
      <c r="AI466" s="36"/>
      <c r="AJ466" s="36"/>
      <c r="AK466" s="36"/>
      <c r="AL466" s="36"/>
      <c r="AM466" s="36"/>
      <c r="AN466" s="36"/>
      <c r="AO466" s="36"/>
      <c r="AP466" s="36"/>
      <c r="AQ466" s="36"/>
      <c r="AR466" s="36"/>
      <c r="AS466" s="36"/>
      <c r="AT466" s="36"/>
      <c r="AU466" s="36"/>
      <c r="AV466" s="36"/>
      <c r="AW466" s="36"/>
      <c r="AX466" s="36"/>
      <c r="AY466" s="36"/>
      <c r="AZ466" s="36"/>
      <c r="BA466" s="36"/>
      <c r="BB466" s="36"/>
      <c r="BC466" s="36"/>
      <c r="BD466" s="36"/>
      <c r="BE466" s="36"/>
      <c r="BF466" s="36"/>
      <c r="BG466" s="36"/>
      <c r="BH466" s="36"/>
      <c r="BI466" s="36"/>
      <c r="BJ466" s="36"/>
      <c r="BK466" s="36"/>
      <c r="BL466" s="36"/>
    </row>
    <row r="468" spans="1:64">
      <c r="A468" s="21" t="str">
        <f>TRIM(B468)&amp;TRIM(C468)&amp;TRIM(D468)&amp;TRIM(E468)&amp;TRIM(F468)&amp;TRIM(G468)&amp;TRIM(H468)&amp;TRIM(I468)&amp;TRIM(J468)</f>
        <v>GBUB2B_광고선전비금년</v>
      </c>
      <c r="B468" s="13"/>
      <c r="C468" s="13"/>
      <c r="D468" s="13"/>
      <c r="E468" s="13"/>
      <c r="F468" s="13"/>
      <c r="G468" s="13" t="s">
        <v>120</v>
      </c>
      <c r="H468" s="13" t="s">
        <v>159</v>
      </c>
      <c r="I468" s="13"/>
      <c r="J468" s="21" t="s">
        <v>73</v>
      </c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D468" s="36"/>
      <c r="AE468" s="36"/>
      <c r="AF468" s="36"/>
      <c r="AG468" s="36"/>
      <c r="AH468" s="36"/>
      <c r="AI468" s="36"/>
      <c r="AJ468" s="36"/>
      <c r="AK468" s="36"/>
      <c r="AL468" s="36"/>
      <c r="AM468" s="36"/>
      <c r="AN468" s="36"/>
      <c r="AO468" s="36"/>
      <c r="AP468" s="36"/>
      <c r="AQ468" s="36"/>
      <c r="AR468" s="36"/>
      <c r="AS468" s="36"/>
      <c r="AT468" s="36"/>
      <c r="AU468" s="36"/>
      <c r="AV468" s="36"/>
      <c r="AW468" s="36"/>
      <c r="AX468" s="36"/>
      <c r="AY468" s="36"/>
      <c r="AZ468" s="36"/>
      <c r="BA468" s="36"/>
      <c r="BB468" s="36"/>
      <c r="BC468" s="36"/>
      <c r="BD468" s="36"/>
      <c r="BE468" s="36"/>
      <c r="BF468" s="36"/>
      <c r="BG468" s="36"/>
      <c r="BH468" s="36"/>
      <c r="BI468" s="36"/>
      <c r="BJ468" s="36"/>
      <c r="BK468" s="36"/>
      <c r="BL468" s="36"/>
    </row>
    <row r="469" spans="1:64">
      <c r="A469" s="21" t="str">
        <f>TRIM(B469)&amp;TRIM(C469)&amp;TRIM(D469)&amp;TRIM(E469)&amp;TRIM(F469)&amp;TRIM(G469)&amp;TRIM(H469)&amp;TRIM(I469)&amp;TRIM(J469)</f>
        <v>GBUB2B_광고선전비전년</v>
      </c>
      <c r="B469" s="13"/>
      <c r="C469" s="13"/>
      <c r="D469" s="13"/>
      <c r="E469" s="13"/>
      <c r="F469" s="13"/>
      <c r="G469" s="13" t="s">
        <v>120</v>
      </c>
      <c r="H469" s="13" t="s">
        <v>159</v>
      </c>
      <c r="I469" s="13"/>
      <c r="J469" s="34" t="s">
        <v>57</v>
      </c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D469" s="36"/>
      <c r="AE469" s="36"/>
      <c r="AF469" s="36"/>
      <c r="AG469" s="36"/>
      <c r="AH469" s="36"/>
      <c r="AI469" s="36"/>
      <c r="AJ469" s="36"/>
      <c r="AK469" s="36"/>
      <c r="AL469" s="36"/>
      <c r="AM469" s="36"/>
      <c r="AN469" s="36"/>
      <c r="AO469" s="36"/>
      <c r="AP469" s="36"/>
      <c r="AQ469" s="36"/>
      <c r="AR469" s="36"/>
      <c r="AS469" s="36"/>
      <c r="AT469" s="36"/>
      <c r="AU469" s="36"/>
      <c r="AV469" s="36"/>
      <c r="AW469" s="36"/>
      <c r="AX469" s="36"/>
      <c r="AY469" s="36"/>
      <c r="AZ469" s="36"/>
      <c r="BA469" s="36"/>
      <c r="BB469" s="36"/>
      <c r="BC469" s="36"/>
      <c r="BD469" s="36"/>
      <c r="BE469" s="36"/>
      <c r="BF469" s="36"/>
      <c r="BG469" s="36"/>
      <c r="BH469" s="36"/>
      <c r="BI469" s="36"/>
      <c r="BJ469" s="36"/>
      <c r="BK469" s="36"/>
      <c r="BL469" s="36"/>
    </row>
    <row r="471" spans="1:64">
      <c r="A471" s="21" t="str">
        <f>TRIM(B471)&amp;TRIM(C471)&amp;TRIM(D471)&amp;TRIM(E471)&amp;TRIM(F471)&amp;TRIM(G471)&amp;TRIM(H471)&amp;TRIM(I471)&amp;TRIM(J471)</f>
        <v>GBUB2B_지급수수료금년</v>
      </c>
      <c r="B471" s="13"/>
      <c r="C471" s="13"/>
      <c r="D471" s="13"/>
      <c r="E471" s="13"/>
      <c r="F471" s="13"/>
      <c r="G471" s="13" t="s">
        <v>120</v>
      </c>
      <c r="H471" s="13" t="s">
        <v>160</v>
      </c>
      <c r="I471" s="13"/>
      <c r="J471" s="21" t="s">
        <v>73</v>
      </c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  <c r="AG471" s="36"/>
      <c r="AH471" s="36"/>
      <c r="AI471" s="36"/>
      <c r="AJ471" s="36"/>
      <c r="AK471" s="36"/>
      <c r="AL471" s="36"/>
      <c r="AM471" s="36"/>
      <c r="AN471" s="36"/>
      <c r="AO471" s="36"/>
      <c r="AP471" s="36"/>
      <c r="AQ471" s="36"/>
      <c r="AR471" s="36"/>
      <c r="AS471" s="36"/>
      <c r="AT471" s="36"/>
      <c r="AU471" s="36"/>
      <c r="AV471" s="36"/>
      <c r="AW471" s="36"/>
      <c r="AX471" s="36"/>
      <c r="AY471" s="36"/>
      <c r="AZ471" s="36"/>
      <c r="BA471" s="36"/>
      <c r="BB471" s="36"/>
      <c r="BC471" s="36"/>
      <c r="BD471" s="36"/>
      <c r="BE471" s="36"/>
      <c r="BF471" s="36"/>
      <c r="BG471" s="36"/>
      <c r="BH471" s="36"/>
      <c r="BI471" s="36"/>
      <c r="BJ471" s="36"/>
      <c r="BK471" s="36"/>
      <c r="BL471" s="36"/>
    </row>
    <row r="472" spans="1:64">
      <c r="A472" s="21" t="str">
        <f>TRIM(B472)&amp;TRIM(C472)&amp;TRIM(D472)&amp;TRIM(E472)&amp;TRIM(F472)&amp;TRIM(G472)&amp;TRIM(H472)&amp;TRIM(I472)&amp;TRIM(J472)</f>
        <v>GBUB2B_지급수수료전년</v>
      </c>
      <c r="B472" s="13"/>
      <c r="C472" s="13"/>
      <c r="D472" s="13"/>
      <c r="E472" s="13"/>
      <c r="F472" s="13"/>
      <c r="G472" s="13" t="s">
        <v>120</v>
      </c>
      <c r="H472" s="13" t="s">
        <v>160</v>
      </c>
      <c r="I472" s="13"/>
      <c r="J472" s="34" t="s">
        <v>57</v>
      </c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  <c r="AG472" s="36"/>
      <c r="AH472" s="36"/>
      <c r="AI472" s="36"/>
      <c r="AJ472" s="36"/>
      <c r="AK472" s="36"/>
      <c r="AL472" s="36"/>
      <c r="AM472" s="36"/>
      <c r="AN472" s="36"/>
      <c r="AO472" s="36"/>
      <c r="AP472" s="36"/>
      <c r="AQ472" s="36"/>
      <c r="AR472" s="36"/>
      <c r="AS472" s="36"/>
      <c r="AT472" s="36"/>
      <c r="AU472" s="36"/>
      <c r="AV472" s="36"/>
      <c r="AW472" s="36"/>
      <c r="AX472" s="36"/>
      <c r="AY472" s="36"/>
      <c r="AZ472" s="36"/>
      <c r="BA472" s="36"/>
      <c r="BB472" s="36"/>
      <c r="BC472" s="36"/>
      <c r="BD472" s="36"/>
      <c r="BE472" s="36"/>
      <c r="BF472" s="36"/>
      <c r="BG472" s="36"/>
      <c r="BH472" s="36"/>
      <c r="BI472" s="36"/>
      <c r="BJ472" s="36"/>
      <c r="BK472" s="36"/>
      <c r="BL472" s="36"/>
    </row>
  </sheetData>
  <phoneticPr fontId="2" type="noConversion"/>
  <pageMargins left="0.7" right="0.7" top="0.75" bottom="0.75" header="0.3" footer="0.3"/>
  <pageSetup paperSize="9" orientation="portrait" r:id="rId1"/>
  <customProperties>
    <customPr name="Key" r:id="rId2"/>
  </customProperties>
  <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/>
  <dimension ref="A6:K444"/>
  <sheetViews>
    <sheetView workbookViewId="0">
      <pane xSplit="5" ySplit="6" topLeftCell="F7" activePane="bottomRight" state="frozen"/>
      <selection pane="topRight" activeCell="C1" sqref="C1"/>
      <selection pane="bottomLeft" activeCell="A3" sqref="A3"/>
      <selection pane="bottomRight" activeCell="F7" sqref="F7"/>
    </sheetView>
  </sheetViews>
  <sheetFormatPr defaultRowHeight="16.5"/>
  <cols>
    <col min="6" max="6" width="20.125" bestFit="1" customWidth="1"/>
    <col min="7" max="7" width="6" bestFit="1" customWidth="1"/>
    <col min="8" max="8" width="7.5" bestFit="1" customWidth="1"/>
    <col min="9" max="9" width="19" bestFit="1" customWidth="1"/>
    <col min="10" max="10" width="13.625" bestFit="1" customWidth="1"/>
    <col min="11" max="11" width="2.5" bestFit="1" customWidth="1"/>
  </cols>
  <sheetData>
    <row r="6" spans="1:11">
      <c r="A6" s="230" t="str">
        <f>F6&amp;H6</f>
        <v>COL_INDEXBASE_YYYYMM</v>
      </c>
      <c r="F6" s="94" t="s">
        <v>6</v>
      </c>
      <c r="G6" s="94" t="s">
        <v>693</v>
      </c>
      <c r="H6" s="94" t="s">
        <v>694</v>
      </c>
      <c r="I6" s="94" t="s">
        <v>5</v>
      </c>
      <c r="J6" s="94" t="s">
        <v>176</v>
      </c>
      <c r="K6" s="94" t="s">
        <v>695</v>
      </c>
    </row>
    <row r="7" spans="1:11">
      <c r="A7" t="str">
        <f t="shared" ref="A7:A70" si="0">F7&amp;H7</f>
        <v>가격성판촉비2013</v>
      </c>
      <c r="F7" t="s">
        <v>696</v>
      </c>
      <c r="G7" t="s">
        <v>697</v>
      </c>
      <c r="H7" t="s">
        <v>240</v>
      </c>
      <c r="I7" t="s">
        <v>76</v>
      </c>
      <c r="J7">
        <v>-66038357.566911116</v>
      </c>
      <c r="K7" t="s">
        <v>224</v>
      </c>
    </row>
    <row r="8" spans="1:11">
      <c r="A8" t="str">
        <f t="shared" si="0"/>
        <v>매출2013</v>
      </c>
      <c r="F8" t="s">
        <v>698</v>
      </c>
      <c r="G8" t="s">
        <v>697</v>
      </c>
      <c r="H8" t="s">
        <v>240</v>
      </c>
      <c r="I8" t="s">
        <v>21</v>
      </c>
      <c r="J8">
        <v>349784974.30209816</v>
      </c>
      <c r="K8" t="s">
        <v>224</v>
      </c>
    </row>
    <row r="9" spans="1:11">
      <c r="A9" t="str">
        <f t="shared" si="0"/>
        <v>영업이익2013</v>
      </c>
      <c r="F9" t="s">
        <v>699</v>
      </c>
      <c r="G9" t="s">
        <v>697</v>
      </c>
      <c r="H9" t="s">
        <v>240</v>
      </c>
      <c r="I9" t="s">
        <v>700</v>
      </c>
      <c r="J9">
        <v>17792973.547571588</v>
      </c>
      <c r="K9" t="s">
        <v>224</v>
      </c>
    </row>
    <row r="10" spans="1:11">
      <c r="A10" t="str">
        <f t="shared" si="0"/>
        <v>가격성판촉비201301</v>
      </c>
      <c r="F10" t="s">
        <v>696</v>
      </c>
      <c r="G10" t="s">
        <v>697</v>
      </c>
      <c r="H10" t="s">
        <v>242</v>
      </c>
      <c r="I10" t="s">
        <v>76</v>
      </c>
      <c r="J10">
        <v>-3348603.813887761</v>
      </c>
      <c r="K10" t="s">
        <v>224</v>
      </c>
    </row>
    <row r="11" spans="1:11">
      <c r="A11" t="str">
        <f t="shared" si="0"/>
        <v>매출201301</v>
      </c>
      <c r="F11" t="s">
        <v>698</v>
      </c>
      <c r="G11" t="s">
        <v>697</v>
      </c>
      <c r="H11" t="s">
        <v>242</v>
      </c>
      <c r="I11" t="s">
        <v>21</v>
      </c>
      <c r="J11">
        <v>24850525.739112359</v>
      </c>
      <c r="K11" t="s">
        <v>224</v>
      </c>
    </row>
    <row r="12" spans="1:11">
      <c r="A12" t="str">
        <f t="shared" si="0"/>
        <v>영업이익201301</v>
      </c>
      <c r="F12" t="s">
        <v>699</v>
      </c>
      <c r="G12" t="s">
        <v>697</v>
      </c>
      <c r="H12" t="s">
        <v>242</v>
      </c>
      <c r="I12" t="s">
        <v>700</v>
      </c>
      <c r="J12">
        <v>2595357.5413411609</v>
      </c>
      <c r="K12" t="s">
        <v>224</v>
      </c>
    </row>
    <row r="13" spans="1:11">
      <c r="A13" t="str">
        <f t="shared" si="0"/>
        <v>가격성판촉비201302</v>
      </c>
      <c r="F13" t="s">
        <v>696</v>
      </c>
      <c r="G13" t="s">
        <v>697</v>
      </c>
      <c r="H13" t="s">
        <v>243</v>
      </c>
      <c r="I13" t="s">
        <v>76</v>
      </c>
      <c r="J13">
        <v>-1263187.7639418577</v>
      </c>
      <c r="K13" t="s">
        <v>224</v>
      </c>
    </row>
    <row r="14" spans="1:11">
      <c r="A14" t="str">
        <f t="shared" si="0"/>
        <v>매출201302</v>
      </c>
      <c r="F14" t="s">
        <v>698</v>
      </c>
      <c r="G14" t="s">
        <v>697</v>
      </c>
      <c r="H14" t="s">
        <v>243</v>
      </c>
      <c r="I14" t="s">
        <v>21</v>
      </c>
      <c r="J14">
        <v>18796831.268084355</v>
      </c>
      <c r="K14" t="s">
        <v>224</v>
      </c>
    </row>
    <row r="15" spans="1:11">
      <c r="A15" t="str">
        <f t="shared" si="0"/>
        <v>영업이익201302</v>
      </c>
      <c r="F15" t="s">
        <v>699</v>
      </c>
      <c r="G15" t="s">
        <v>697</v>
      </c>
      <c r="H15" t="s">
        <v>243</v>
      </c>
      <c r="I15" t="s">
        <v>700</v>
      </c>
      <c r="J15">
        <v>619734.58400428458</v>
      </c>
      <c r="K15" t="s">
        <v>224</v>
      </c>
    </row>
    <row r="16" spans="1:11">
      <c r="A16" t="str">
        <f t="shared" si="0"/>
        <v>가격성판촉비201303</v>
      </c>
      <c r="F16" t="s">
        <v>696</v>
      </c>
      <c r="G16" t="s">
        <v>697</v>
      </c>
      <c r="H16" t="s">
        <v>244</v>
      </c>
      <c r="I16" t="s">
        <v>76</v>
      </c>
      <c r="J16">
        <v>-2708215.8039694019</v>
      </c>
      <c r="K16" t="s">
        <v>224</v>
      </c>
    </row>
    <row r="17" spans="1:11">
      <c r="A17" t="str">
        <f t="shared" si="0"/>
        <v>매출201303</v>
      </c>
      <c r="F17" t="s">
        <v>698</v>
      </c>
      <c r="G17" t="s">
        <v>697</v>
      </c>
      <c r="H17" t="s">
        <v>244</v>
      </c>
      <c r="I17" t="s">
        <v>21</v>
      </c>
      <c r="J17">
        <v>28262765.36197548</v>
      </c>
      <c r="K17" t="s">
        <v>224</v>
      </c>
    </row>
    <row r="18" spans="1:11">
      <c r="A18" t="str">
        <f t="shared" si="0"/>
        <v>영업이익201303</v>
      </c>
      <c r="F18" t="s">
        <v>699</v>
      </c>
      <c r="G18" t="s">
        <v>697</v>
      </c>
      <c r="H18" t="s">
        <v>244</v>
      </c>
      <c r="I18" t="s">
        <v>700</v>
      </c>
      <c r="J18">
        <v>86380.439827804075</v>
      </c>
      <c r="K18" t="s">
        <v>224</v>
      </c>
    </row>
    <row r="19" spans="1:11">
      <c r="A19" t="str">
        <f t="shared" si="0"/>
        <v>가격성판촉비201304</v>
      </c>
      <c r="F19" t="s">
        <v>696</v>
      </c>
      <c r="G19" t="s">
        <v>697</v>
      </c>
      <c r="H19" t="s">
        <v>245</v>
      </c>
      <c r="I19" t="s">
        <v>76</v>
      </c>
      <c r="J19">
        <v>-3380260.4917828166</v>
      </c>
      <c r="K19" t="s">
        <v>224</v>
      </c>
    </row>
    <row r="20" spans="1:11">
      <c r="A20" t="str">
        <f t="shared" si="0"/>
        <v>매출201304</v>
      </c>
      <c r="F20" t="s">
        <v>698</v>
      </c>
      <c r="G20" t="s">
        <v>697</v>
      </c>
      <c r="H20" t="s">
        <v>245</v>
      </c>
      <c r="I20" t="s">
        <v>21</v>
      </c>
      <c r="J20">
        <v>25640363.993052635</v>
      </c>
      <c r="K20" t="s">
        <v>224</v>
      </c>
    </row>
    <row r="21" spans="1:11">
      <c r="A21" t="str">
        <f t="shared" si="0"/>
        <v>영업이익201304</v>
      </c>
      <c r="F21" t="s">
        <v>699</v>
      </c>
      <c r="G21" t="s">
        <v>697</v>
      </c>
      <c r="H21" t="s">
        <v>245</v>
      </c>
      <c r="I21" t="s">
        <v>700</v>
      </c>
      <c r="J21">
        <v>2183267.2820937666</v>
      </c>
      <c r="K21" t="s">
        <v>224</v>
      </c>
    </row>
    <row r="22" spans="1:11">
      <c r="A22" t="str">
        <f t="shared" si="0"/>
        <v>가격성판촉비201305</v>
      </c>
      <c r="F22" t="s">
        <v>696</v>
      </c>
      <c r="G22" t="s">
        <v>697</v>
      </c>
      <c r="H22" t="s">
        <v>246</v>
      </c>
      <c r="I22" t="s">
        <v>76</v>
      </c>
      <c r="J22">
        <v>-3433252.4661268322</v>
      </c>
      <c r="K22" t="s">
        <v>224</v>
      </c>
    </row>
    <row r="23" spans="1:11">
      <c r="A23" t="str">
        <f t="shared" si="0"/>
        <v>매출201305</v>
      </c>
      <c r="F23" t="s">
        <v>698</v>
      </c>
      <c r="G23" t="s">
        <v>697</v>
      </c>
      <c r="H23" t="s">
        <v>246</v>
      </c>
      <c r="I23" t="s">
        <v>21</v>
      </c>
      <c r="J23">
        <v>28222009.554615557</v>
      </c>
      <c r="K23" t="s">
        <v>224</v>
      </c>
    </row>
    <row r="24" spans="1:11">
      <c r="A24" t="str">
        <f t="shared" si="0"/>
        <v>영업이익201305</v>
      </c>
      <c r="F24" t="s">
        <v>699</v>
      </c>
      <c r="G24" t="s">
        <v>697</v>
      </c>
      <c r="H24" t="s">
        <v>246</v>
      </c>
      <c r="I24" t="s">
        <v>700</v>
      </c>
      <c r="J24">
        <v>5440738.2439203812</v>
      </c>
      <c r="K24" t="s">
        <v>224</v>
      </c>
    </row>
    <row r="25" spans="1:11">
      <c r="A25" t="str">
        <f t="shared" si="0"/>
        <v>가격성판촉비201306</v>
      </c>
      <c r="F25" t="s">
        <v>696</v>
      </c>
      <c r="G25" t="s">
        <v>697</v>
      </c>
      <c r="H25" t="s">
        <v>247</v>
      </c>
      <c r="I25" t="s">
        <v>76</v>
      </c>
      <c r="J25">
        <v>-2146390.699767333</v>
      </c>
      <c r="K25" t="s">
        <v>224</v>
      </c>
    </row>
    <row r="26" spans="1:11">
      <c r="A26" t="str">
        <f t="shared" si="0"/>
        <v>매출201306</v>
      </c>
      <c r="F26" t="s">
        <v>698</v>
      </c>
      <c r="G26" t="s">
        <v>697</v>
      </c>
      <c r="H26" t="s">
        <v>247</v>
      </c>
      <c r="I26" t="s">
        <v>21</v>
      </c>
      <c r="J26">
        <v>19788719.735290587</v>
      </c>
      <c r="K26" t="s">
        <v>224</v>
      </c>
    </row>
    <row r="27" spans="1:11">
      <c r="A27" t="str">
        <f t="shared" si="0"/>
        <v>영업이익201306</v>
      </c>
      <c r="F27" t="s">
        <v>699</v>
      </c>
      <c r="G27" t="s">
        <v>697</v>
      </c>
      <c r="H27" t="s">
        <v>247</v>
      </c>
      <c r="I27" t="s">
        <v>700</v>
      </c>
      <c r="J27">
        <v>1612716.8594534702</v>
      </c>
      <c r="K27" t="s">
        <v>224</v>
      </c>
    </row>
    <row r="28" spans="1:11">
      <c r="A28" t="str">
        <f t="shared" si="0"/>
        <v>가격성판촉비201307</v>
      </c>
      <c r="F28" t="s">
        <v>696</v>
      </c>
      <c r="G28" t="s">
        <v>697</v>
      </c>
      <c r="H28" t="s">
        <v>248</v>
      </c>
      <c r="I28" t="s">
        <v>76</v>
      </c>
      <c r="J28">
        <v>-3565962.3134166626</v>
      </c>
      <c r="K28" t="s">
        <v>224</v>
      </c>
    </row>
    <row r="29" spans="1:11">
      <c r="A29" t="str">
        <f t="shared" si="0"/>
        <v>매출201307</v>
      </c>
      <c r="F29" t="s">
        <v>698</v>
      </c>
      <c r="G29" t="s">
        <v>697</v>
      </c>
      <c r="H29" t="s">
        <v>248</v>
      </c>
      <c r="I29" t="s">
        <v>21</v>
      </c>
      <c r="J29">
        <v>21857197.69467511</v>
      </c>
      <c r="K29" t="s">
        <v>224</v>
      </c>
    </row>
    <row r="30" spans="1:11">
      <c r="A30" t="str">
        <f t="shared" si="0"/>
        <v>영업이익201307</v>
      </c>
      <c r="F30" t="s">
        <v>699</v>
      </c>
      <c r="G30" t="s">
        <v>697</v>
      </c>
      <c r="H30" t="s">
        <v>248</v>
      </c>
      <c r="I30" t="s">
        <v>700</v>
      </c>
      <c r="J30">
        <v>884842.41083201161</v>
      </c>
      <c r="K30" t="s">
        <v>224</v>
      </c>
    </row>
    <row r="31" spans="1:11">
      <c r="A31" t="str">
        <f t="shared" si="0"/>
        <v>가격성판촉비201308</v>
      </c>
      <c r="F31" t="s">
        <v>696</v>
      </c>
      <c r="G31" t="s">
        <v>697</v>
      </c>
      <c r="H31" t="s">
        <v>249</v>
      </c>
      <c r="I31" t="s">
        <v>76</v>
      </c>
      <c r="J31">
        <v>-4266659.8689609468</v>
      </c>
      <c r="K31" t="s">
        <v>224</v>
      </c>
    </row>
    <row r="32" spans="1:11">
      <c r="A32" t="str">
        <f t="shared" si="0"/>
        <v>매출201308</v>
      </c>
      <c r="F32" t="s">
        <v>698</v>
      </c>
      <c r="G32" t="s">
        <v>697</v>
      </c>
      <c r="H32" t="s">
        <v>249</v>
      </c>
      <c r="I32" t="s">
        <v>21</v>
      </c>
      <c r="J32">
        <v>25938754.121188525</v>
      </c>
      <c r="K32" t="s">
        <v>224</v>
      </c>
    </row>
    <row r="33" spans="1:11">
      <c r="A33" t="str">
        <f t="shared" si="0"/>
        <v>영업이익201308</v>
      </c>
      <c r="F33" t="s">
        <v>699</v>
      </c>
      <c r="G33" t="s">
        <v>697</v>
      </c>
      <c r="H33" t="s">
        <v>249</v>
      </c>
      <c r="I33" t="s">
        <v>700</v>
      </c>
      <c r="J33">
        <v>2887373.6367227309</v>
      </c>
      <c r="K33" t="s">
        <v>224</v>
      </c>
    </row>
    <row r="34" spans="1:11">
      <c r="A34" t="str">
        <f t="shared" si="0"/>
        <v>가격성판촉비201309</v>
      </c>
      <c r="F34" t="s">
        <v>696</v>
      </c>
      <c r="G34" t="s">
        <v>697</v>
      </c>
      <c r="H34" t="s">
        <v>250</v>
      </c>
      <c r="I34" t="s">
        <v>76</v>
      </c>
      <c r="J34">
        <v>-5494600.0173651595</v>
      </c>
      <c r="K34" t="s">
        <v>224</v>
      </c>
    </row>
    <row r="35" spans="1:11">
      <c r="A35" t="str">
        <f t="shared" si="0"/>
        <v>매출201309</v>
      </c>
      <c r="F35" t="s">
        <v>698</v>
      </c>
      <c r="G35" t="s">
        <v>697</v>
      </c>
      <c r="H35" t="s">
        <v>250</v>
      </c>
      <c r="I35" t="s">
        <v>21</v>
      </c>
      <c r="J35">
        <v>21072350.43239966</v>
      </c>
      <c r="K35" t="s">
        <v>224</v>
      </c>
    </row>
    <row r="36" spans="1:11">
      <c r="A36" t="str">
        <f t="shared" si="0"/>
        <v>영업이익201309</v>
      </c>
      <c r="F36" t="s">
        <v>699</v>
      </c>
      <c r="G36" t="s">
        <v>697</v>
      </c>
      <c r="H36" t="s">
        <v>250</v>
      </c>
      <c r="I36" t="s">
        <v>700</v>
      </c>
      <c r="J36">
        <v>129507.38558647269</v>
      </c>
      <c r="K36" t="s">
        <v>224</v>
      </c>
    </row>
    <row r="37" spans="1:11">
      <c r="A37" t="str">
        <f t="shared" si="0"/>
        <v>가격성판촉비201310</v>
      </c>
      <c r="F37" t="s">
        <v>696</v>
      </c>
      <c r="G37" t="s">
        <v>697</v>
      </c>
      <c r="H37" t="s">
        <v>251</v>
      </c>
      <c r="I37" t="s">
        <v>76</v>
      </c>
      <c r="J37">
        <v>-8328404.6742051486</v>
      </c>
      <c r="K37" t="s">
        <v>224</v>
      </c>
    </row>
    <row r="38" spans="1:11">
      <c r="A38" t="str">
        <f t="shared" si="0"/>
        <v>매출201310</v>
      </c>
      <c r="F38" t="s">
        <v>698</v>
      </c>
      <c r="G38" t="s">
        <v>697</v>
      </c>
      <c r="H38" t="s">
        <v>251</v>
      </c>
      <c r="I38" t="s">
        <v>21</v>
      </c>
      <c r="J38">
        <v>35153783.600134306</v>
      </c>
      <c r="K38" t="s">
        <v>224</v>
      </c>
    </row>
    <row r="39" spans="1:11">
      <c r="A39" t="str">
        <f t="shared" si="0"/>
        <v>영업이익201310</v>
      </c>
      <c r="F39" t="s">
        <v>699</v>
      </c>
      <c r="G39" t="s">
        <v>697</v>
      </c>
      <c r="H39" t="s">
        <v>251</v>
      </c>
      <c r="I39" t="s">
        <v>700</v>
      </c>
      <c r="J39">
        <v>1499587.9865880471</v>
      </c>
      <c r="K39" t="s">
        <v>224</v>
      </c>
    </row>
    <row r="40" spans="1:11">
      <c r="A40" t="str">
        <f t="shared" si="0"/>
        <v>가격성판촉비201311</v>
      </c>
      <c r="F40" t="s">
        <v>696</v>
      </c>
      <c r="G40" t="s">
        <v>697</v>
      </c>
      <c r="H40" t="s">
        <v>252</v>
      </c>
      <c r="I40" t="s">
        <v>76</v>
      </c>
      <c r="J40">
        <v>-13478981.700015381</v>
      </c>
      <c r="K40" t="s">
        <v>224</v>
      </c>
    </row>
    <row r="41" spans="1:11">
      <c r="A41" t="str">
        <f t="shared" si="0"/>
        <v>매출201311</v>
      </c>
      <c r="F41" t="s">
        <v>698</v>
      </c>
      <c r="G41" t="s">
        <v>697</v>
      </c>
      <c r="H41" t="s">
        <v>252</v>
      </c>
      <c r="I41" t="s">
        <v>21</v>
      </c>
      <c r="J41">
        <v>59646906.442351982</v>
      </c>
      <c r="K41" t="s">
        <v>224</v>
      </c>
    </row>
    <row r="42" spans="1:11">
      <c r="A42" t="str">
        <f t="shared" si="0"/>
        <v>영업이익201311</v>
      </c>
      <c r="F42" t="s">
        <v>699</v>
      </c>
      <c r="G42" t="s">
        <v>697</v>
      </c>
      <c r="H42" t="s">
        <v>252</v>
      </c>
      <c r="I42" t="s">
        <v>700</v>
      </c>
      <c r="J42">
        <v>6311370.8310412075</v>
      </c>
      <c r="K42" t="s">
        <v>224</v>
      </c>
    </row>
    <row r="43" spans="1:11">
      <c r="A43" t="str">
        <f t="shared" si="0"/>
        <v>가격성판촉비201312</v>
      </c>
      <c r="F43" t="s">
        <v>696</v>
      </c>
      <c r="G43" t="s">
        <v>697</v>
      </c>
      <c r="H43" t="s">
        <v>253</v>
      </c>
      <c r="I43" t="s">
        <v>76</v>
      </c>
      <c r="J43">
        <v>-14623837.953471802</v>
      </c>
      <c r="K43" t="s">
        <v>224</v>
      </c>
    </row>
    <row r="44" spans="1:11">
      <c r="A44" t="str">
        <f t="shared" si="0"/>
        <v>매출201312</v>
      </c>
      <c r="F44" t="s">
        <v>698</v>
      </c>
      <c r="G44" t="s">
        <v>697</v>
      </c>
      <c r="H44" t="s">
        <v>253</v>
      </c>
      <c r="I44" t="s">
        <v>21</v>
      </c>
      <c r="J44">
        <v>40554766.35921751</v>
      </c>
      <c r="K44" t="s">
        <v>224</v>
      </c>
    </row>
    <row r="45" spans="1:11">
      <c r="A45" t="str">
        <f t="shared" si="0"/>
        <v>영업이익201312</v>
      </c>
      <c r="F45" t="s">
        <v>699</v>
      </c>
      <c r="G45" t="s">
        <v>697</v>
      </c>
      <c r="H45" t="s">
        <v>253</v>
      </c>
      <c r="I45" t="s">
        <v>700</v>
      </c>
      <c r="J45">
        <v>-6457903.6538397465</v>
      </c>
      <c r="K45" t="s">
        <v>224</v>
      </c>
    </row>
    <row r="46" spans="1:11">
      <c r="A46" t="str">
        <f t="shared" si="0"/>
        <v>가격성판촉비2014</v>
      </c>
      <c r="F46" t="s">
        <v>696</v>
      </c>
      <c r="G46" t="s">
        <v>697</v>
      </c>
      <c r="H46" t="s">
        <v>254</v>
      </c>
      <c r="I46" t="s">
        <v>76</v>
      </c>
      <c r="J46">
        <v>-107079596.36963244</v>
      </c>
      <c r="K46" t="s">
        <v>224</v>
      </c>
    </row>
    <row r="47" spans="1:11">
      <c r="A47" t="str">
        <f t="shared" si="0"/>
        <v>매출2014</v>
      </c>
      <c r="F47" t="s">
        <v>698</v>
      </c>
      <c r="G47" t="s">
        <v>697</v>
      </c>
      <c r="H47" t="s">
        <v>254</v>
      </c>
      <c r="I47" t="s">
        <v>21</v>
      </c>
      <c r="J47">
        <v>391123220.33560818</v>
      </c>
      <c r="K47" t="s">
        <v>224</v>
      </c>
    </row>
    <row r="48" spans="1:11">
      <c r="A48" t="str">
        <f t="shared" si="0"/>
        <v>영업이익2014</v>
      </c>
      <c r="F48" t="s">
        <v>699</v>
      </c>
      <c r="G48" t="s">
        <v>697</v>
      </c>
      <c r="H48" t="s">
        <v>254</v>
      </c>
      <c r="I48" t="s">
        <v>700</v>
      </c>
      <c r="J48">
        <v>30850539.095737945</v>
      </c>
      <c r="K48" t="s">
        <v>224</v>
      </c>
    </row>
    <row r="49" spans="1:11">
      <c r="A49" t="str">
        <f t="shared" si="0"/>
        <v>가격성판촉비201401</v>
      </c>
      <c r="F49" t="s">
        <v>696</v>
      </c>
      <c r="G49" t="s">
        <v>697</v>
      </c>
      <c r="H49" t="s">
        <v>22</v>
      </c>
      <c r="I49" t="s">
        <v>76</v>
      </c>
      <c r="J49">
        <v>-5905377.5339841535</v>
      </c>
      <c r="K49" t="s">
        <v>224</v>
      </c>
    </row>
    <row r="50" spans="1:11">
      <c r="A50" t="str">
        <f t="shared" si="0"/>
        <v>매출201401</v>
      </c>
      <c r="F50" t="s">
        <v>698</v>
      </c>
      <c r="G50" t="s">
        <v>697</v>
      </c>
      <c r="H50" t="s">
        <v>22</v>
      </c>
      <c r="I50" t="s">
        <v>21</v>
      </c>
      <c r="J50">
        <v>26479585.886140075</v>
      </c>
      <c r="K50" t="s">
        <v>224</v>
      </c>
    </row>
    <row r="51" spans="1:11">
      <c r="A51" t="str">
        <f t="shared" si="0"/>
        <v>영업이익201401</v>
      </c>
      <c r="F51" t="s">
        <v>699</v>
      </c>
      <c r="G51" t="s">
        <v>697</v>
      </c>
      <c r="H51" t="s">
        <v>22</v>
      </c>
      <c r="I51" t="s">
        <v>700</v>
      </c>
      <c r="J51">
        <v>2383064.0088834465</v>
      </c>
      <c r="K51" t="s">
        <v>224</v>
      </c>
    </row>
    <row r="52" spans="1:11">
      <c r="A52" t="str">
        <f t="shared" si="0"/>
        <v>가격성판촉비201402</v>
      </c>
      <c r="F52" t="s">
        <v>696</v>
      </c>
      <c r="G52" t="s">
        <v>697</v>
      </c>
      <c r="H52" t="s">
        <v>23</v>
      </c>
      <c r="I52" t="s">
        <v>76</v>
      </c>
      <c r="J52">
        <v>-3859240.8982000179</v>
      </c>
      <c r="K52" t="s">
        <v>224</v>
      </c>
    </row>
    <row r="53" spans="1:11">
      <c r="A53" t="str">
        <f t="shared" si="0"/>
        <v>매출201402</v>
      </c>
      <c r="F53" t="s">
        <v>698</v>
      </c>
      <c r="G53" t="s">
        <v>697</v>
      </c>
      <c r="H53" t="s">
        <v>23</v>
      </c>
      <c r="I53" t="s">
        <v>21</v>
      </c>
      <c r="J53">
        <v>23548523.645442091</v>
      </c>
      <c r="K53" t="s">
        <v>224</v>
      </c>
    </row>
    <row r="54" spans="1:11">
      <c r="A54" t="str">
        <f t="shared" si="0"/>
        <v>영업이익201402</v>
      </c>
      <c r="F54" t="s">
        <v>699</v>
      </c>
      <c r="G54" t="s">
        <v>697</v>
      </c>
      <c r="H54" t="s">
        <v>23</v>
      </c>
      <c r="I54" t="s">
        <v>700</v>
      </c>
      <c r="J54">
        <v>1178557.8953002065</v>
      </c>
      <c r="K54" t="s">
        <v>224</v>
      </c>
    </row>
    <row r="55" spans="1:11">
      <c r="A55" t="str">
        <f t="shared" si="0"/>
        <v>가격성판촉비201403</v>
      </c>
      <c r="F55" t="s">
        <v>696</v>
      </c>
      <c r="G55" t="s">
        <v>697</v>
      </c>
      <c r="H55" t="s">
        <v>24</v>
      </c>
      <c r="I55" t="s">
        <v>76</v>
      </c>
      <c r="J55">
        <v>-4864428.8637888758</v>
      </c>
      <c r="K55" t="s">
        <v>224</v>
      </c>
    </row>
    <row r="56" spans="1:11">
      <c r="A56" t="str">
        <f t="shared" si="0"/>
        <v>매출201403</v>
      </c>
      <c r="F56" t="s">
        <v>698</v>
      </c>
      <c r="G56" t="s">
        <v>697</v>
      </c>
      <c r="H56" t="s">
        <v>24</v>
      </c>
      <c r="I56" t="s">
        <v>21</v>
      </c>
      <c r="J56">
        <v>29798738.375804707</v>
      </c>
      <c r="K56" t="s">
        <v>224</v>
      </c>
    </row>
    <row r="57" spans="1:11">
      <c r="A57" t="str">
        <f t="shared" si="0"/>
        <v>영업이익201403</v>
      </c>
      <c r="F57" t="s">
        <v>699</v>
      </c>
      <c r="G57" t="s">
        <v>697</v>
      </c>
      <c r="H57" t="s">
        <v>24</v>
      </c>
      <c r="I57" t="s">
        <v>700</v>
      </c>
      <c r="J57">
        <v>2660770.0764165502</v>
      </c>
      <c r="K57" t="s">
        <v>224</v>
      </c>
    </row>
    <row r="58" spans="1:11">
      <c r="A58" t="str">
        <f t="shared" si="0"/>
        <v>가격성판촉비201404</v>
      </c>
      <c r="F58" t="s">
        <v>696</v>
      </c>
      <c r="G58" t="s">
        <v>697</v>
      </c>
      <c r="H58" t="s">
        <v>25</v>
      </c>
      <c r="I58" t="s">
        <v>76</v>
      </c>
      <c r="J58">
        <v>-3941262.7957836352</v>
      </c>
      <c r="K58" t="s">
        <v>224</v>
      </c>
    </row>
    <row r="59" spans="1:11">
      <c r="A59" t="str">
        <f t="shared" si="0"/>
        <v>매출201404</v>
      </c>
      <c r="F59" t="s">
        <v>698</v>
      </c>
      <c r="G59" t="s">
        <v>697</v>
      </c>
      <c r="H59" t="s">
        <v>25</v>
      </c>
      <c r="I59" t="s">
        <v>21</v>
      </c>
      <c r="J59">
        <v>27353835.746048339</v>
      </c>
      <c r="K59" t="s">
        <v>224</v>
      </c>
    </row>
    <row r="60" spans="1:11">
      <c r="A60" t="str">
        <f t="shared" si="0"/>
        <v>영업이익201404</v>
      </c>
      <c r="F60" t="s">
        <v>699</v>
      </c>
      <c r="G60" t="s">
        <v>697</v>
      </c>
      <c r="H60" t="s">
        <v>25</v>
      </c>
      <c r="I60" t="s">
        <v>700</v>
      </c>
      <c r="J60">
        <v>2876348.8002930721</v>
      </c>
      <c r="K60" t="s">
        <v>224</v>
      </c>
    </row>
    <row r="61" spans="1:11">
      <c r="A61" t="str">
        <f t="shared" si="0"/>
        <v>가격성판촉비201405</v>
      </c>
      <c r="F61" t="s">
        <v>696</v>
      </c>
      <c r="G61" t="s">
        <v>697</v>
      </c>
      <c r="H61" t="s">
        <v>26</v>
      </c>
      <c r="I61" t="s">
        <v>76</v>
      </c>
      <c r="J61">
        <v>-8060530.5112344809</v>
      </c>
      <c r="K61" t="s">
        <v>224</v>
      </c>
    </row>
    <row r="62" spans="1:11">
      <c r="A62" t="str">
        <f t="shared" si="0"/>
        <v>매출201405</v>
      </c>
      <c r="F62" t="s">
        <v>698</v>
      </c>
      <c r="G62" t="s">
        <v>697</v>
      </c>
      <c r="H62" t="s">
        <v>26</v>
      </c>
      <c r="I62" t="s">
        <v>21</v>
      </c>
      <c r="J62">
        <v>35187746.257892631</v>
      </c>
      <c r="K62" t="s">
        <v>224</v>
      </c>
    </row>
    <row r="63" spans="1:11">
      <c r="A63" t="str">
        <f t="shared" si="0"/>
        <v>영업이익201405</v>
      </c>
      <c r="F63" t="s">
        <v>699</v>
      </c>
      <c r="G63" t="s">
        <v>697</v>
      </c>
      <c r="H63" t="s">
        <v>26</v>
      </c>
      <c r="I63" t="s">
        <v>700</v>
      </c>
      <c r="J63">
        <v>4500024.607305279</v>
      </c>
      <c r="K63" t="s">
        <v>224</v>
      </c>
    </row>
    <row r="64" spans="1:11">
      <c r="A64" t="str">
        <f t="shared" si="0"/>
        <v>가격성판촉비201406</v>
      </c>
      <c r="F64" t="s">
        <v>696</v>
      </c>
      <c r="G64" t="s">
        <v>697</v>
      </c>
      <c r="H64" t="s">
        <v>27</v>
      </c>
      <c r="I64" t="s">
        <v>76</v>
      </c>
      <c r="J64">
        <v>-5519836.5226614848</v>
      </c>
      <c r="K64" t="s">
        <v>224</v>
      </c>
    </row>
    <row r="65" spans="1:11">
      <c r="A65" t="str">
        <f t="shared" si="0"/>
        <v>매출201406</v>
      </c>
      <c r="F65" t="s">
        <v>698</v>
      </c>
      <c r="G65" t="s">
        <v>697</v>
      </c>
      <c r="H65" t="s">
        <v>27</v>
      </c>
      <c r="I65" t="s">
        <v>21</v>
      </c>
      <c r="J65">
        <v>20018399.082538612</v>
      </c>
      <c r="K65" t="s">
        <v>224</v>
      </c>
    </row>
    <row r="66" spans="1:11">
      <c r="A66" t="str">
        <f t="shared" si="0"/>
        <v>영업이익201406</v>
      </c>
      <c r="F66" t="s">
        <v>699</v>
      </c>
      <c r="G66" t="s">
        <v>697</v>
      </c>
      <c r="H66" t="s">
        <v>27</v>
      </c>
      <c r="I66" t="s">
        <v>700</v>
      </c>
      <c r="J66">
        <v>3151253.8121461608</v>
      </c>
      <c r="K66" t="s">
        <v>224</v>
      </c>
    </row>
    <row r="67" spans="1:11">
      <c r="A67" t="str">
        <f t="shared" si="0"/>
        <v>가격성판촉비201407</v>
      </c>
      <c r="F67" t="s">
        <v>696</v>
      </c>
      <c r="G67" t="s">
        <v>697</v>
      </c>
      <c r="H67" t="s">
        <v>28</v>
      </c>
      <c r="I67" t="s">
        <v>76</v>
      </c>
      <c r="J67">
        <v>-6789839.6800750755</v>
      </c>
      <c r="K67" t="s">
        <v>224</v>
      </c>
    </row>
    <row r="68" spans="1:11">
      <c r="A68" t="str">
        <f t="shared" si="0"/>
        <v>매출201407</v>
      </c>
      <c r="F68" t="s">
        <v>698</v>
      </c>
      <c r="G68" t="s">
        <v>697</v>
      </c>
      <c r="H68" t="s">
        <v>28</v>
      </c>
      <c r="I68" t="s">
        <v>21</v>
      </c>
      <c r="J68">
        <v>23782293.600752208</v>
      </c>
      <c r="K68" t="s">
        <v>224</v>
      </c>
    </row>
    <row r="69" spans="1:11">
      <c r="A69" t="str">
        <f t="shared" si="0"/>
        <v>영업이익201407</v>
      </c>
      <c r="F69" t="s">
        <v>699</v>
      </c>
      <c r="G69" t="s">
        <v>697</v>
      </c>
      <c r="H69" t="s">
        <v>28</v>
      </c>
      <c r="I69" t="s">
        <v>700</v>
      </c>
      <c r="J69">
        <v>2342891.8888876829</v>
      </c>
      <c r="K69" t="s">
        <v>224</v>
      </c>
    </row>
    <row r="70" spans="1:11">
      <c r="A70" t="str">
        <f t="shared" si="0"/>
        <v>가격성판촉비201408</v>
      </c>
      <c r="F70" t="s">
        <v>696</v>
      </c>
      <c r="G70" t="s">
        <v>697</v>
      </c>
      <c r="H70" t="s">
        <v>29</v>
      </c>
      <c r="I70" t="s">
        <v>76</v>
      </c>
      <c r="J70">
        <v>-7487619.2772757243</v>
      </c>
      <c r="K70" t="s">
        <v>224</v>
      </c>
    </row>
    <row r="71" spans="1:11">
      <c r="A71" t="str">
        <f t="shared" ref="A71:A134" si="1">F71&amp;H71</f>
        <v>매출201408</v>
      </c>
      <c r="F71" t="s">
        <v>698</v>
      </c>
      <c r="G71" t="s">
        <v>697</v>
      </c>
      <c r="H71" t="s">
        <v>29</v>
      </c>
      <c r="I71" t="s">
        <v>21</v>
      </c>
      <c r="J71">
        <v>29050286.183689564</v>
      </c>
      <c r="K71" t="s">
        <v>224</v>
      </c>
    </row>
    <row r="72" spans="1:11">
      <c r="A72" t="str">
        <f t="shared" si="1"/>
        <v>영업이익201408</v>
      </c>
      <c r="F72" t="s">
        <v>699</v>
      </c>
      <c r="G72" t="s">
        <v>697</v>
      </c>
      <c r="H72" t="s">
        <v>29</v>
      </c>
      <c r="I72" t="s">
        <v>700</v>
      </c>
      <c r="J72">
        <v>2696293.1521414639</v>
      </c>
      <c r="K72" t="s">
        <v>224</v>
      </c>
    </row>
    <row r="73" spans="1:11">
      <c r="A73" t="str">
        <f t="shared" si="1"/>
        <v>가격성판촉비201409</v>
      </c>
      <c r="F73" t="s">
        <v>696</v>
      </c>
      <c r="G73" t="s">
        <v>697</v>
      </c>
      <c r="H73" t="s">
        <v>30</v>
      </c>
      <c r="I73" t="s">
        <v>76</v>
      </c>
      <c r="J73">
        <v>-10577087.016310321</v>
      </c>
      <c r="K73" t="s">
        <v>224</v>
      </c>
    </row>
    <row r="74" spans="1:11">
      <c r="A74" t="str">
        <f t="shared" si="1"/>
        <v>매출201409</v>
      </c>
      <c r="F74" t="s">
        <v>698</v>
      </c>
      <c r="G74" t="s">
        <v>697</v>
      </c>
      <c r="H74" t="s">
        <v>30</v>
      </c>
      <c r="I74" t="s">
        <v>21</v>
      </c>
      <c r="J74">
        <v>25648139.053289913</v>
      </c>
      <c r="K74" t="s">
        <v>224</v>
      </c>
    </row>
    <row r="75" spans="1:11">
      <c r="A75" t="str">
        <f t="shared" si="1"/>
        <v>영업이익201409</v>
      </c>
      <c r="F75" t="s">
        <v>699</v>
      </c>
      <c r="G75" t="s">
        <v>697</v>
      </c>
      <c r="H75" t="s">
        <v>30</v>
      </c>
      <c r="I75" t="s">
        <v>700</v>
      </c>
      <c r="J75">
        <v>1654597.2671049382</v>
      </c>
      <c r="K75" t="s">
        <v>224</v>
      </c>
    </row>
    <row r="76" spans="1:11">
      <c r="A76" t="str">
        <f t="shared" si="1"/>
        <v>가격성판촉비201410</v>
      </c>
      <c r="F76" t="s">
        <v>696</v>
      </c>
      <c r="G76" t="s">
        <v>697</v>
      </c>
      <c r="H76" t="s">
        <v>31</v>
      </c>
      <c r="I76" t="s">
        <v>76</v>
      </c>
      <c r="J76">
        <v>-11730723.566776285</v>
      </c>
      <c r="K76" t="s">
        <v>224</v>
      </c>
    </row>
    <row r="77" spans="1:11">
      <c r="A77" t="str">
        <f t="shared" si="1"/>
        <v>매출201410</v>
      </c>
      <c r="F77" t="s">
        <v>698</v>
      </c>
      <c r="G77" t="s">
        <v>697</v>
      </c>
      <c r="H77" t="s">
        <v>31</v>
      </c>
      <c r="I77" t="s">
        <v>21</v>
      </c>
      <c r="J77">
        <v>36534000.844200976</v>
      </c>
      <c r="K77" t="s">
        <v>224</v>
      </c>
    </row>
    <row r="78" spans="1:11">
      <c r="A78" t="str">
        <f t="shared" si="1"/>
        <v>영업이익201410</v>
      </c>
      <c r="F78" t="s">
        <v>699</v>
      </c>
      <c r="G78" t="s">
        <v>697</v>
      </c>
      <c r="H78" t="s">
        <v>31</v>
      </c>
      <c r="I78" t="s">
        <v>700</v>
      </c>
      <c r="J78">
        <v>2562974.7379129129</v>
      </c>
      <c r="K78" t="s">
        <v>224</v>
      </c>
    </row>
    <row r="79" spans="1:11">
      <c r="A79" t="str">
        <f t="shared" si="1"/>
        <v>가격성판촉비201411</v>
      </c>
      <c r="F79" t="s">
        <v>696</v>
      </c>
      <c r="G79" t="s">
        <v>697</v>
      </c>
      <c r="H79" t="s">
        <v>32</v>
      </c>
      <c r="I79" t="s">
        <v>76</v>
      </c>
      <c r="J79">
        <v>-20338422.617184311</v>
      </c>
      <c r="K79" t="s">
        <v>224</v>
      </c>
    </row>
    <row r="80" spans="1:11">
      <c r="A80" t="str">
        <f t="shared" si="1"/>
        <v>매출201411</v>
      </c>
      <c r="F80" t="s">
        <v>698</v>
      </c>
      <c r="G80" t="s">
        <v>697</v>
      </c>
      <c r="H80" t="s">
        <v>32</v>
      </c>
      <c r="I80" t="s">
        <v>21</v>
      </c>
      <c r="J80">
        <v>64073034.968426764</v>
      </c>
      <c r="K80" t="s">
        <v>224</v>
      </c>
    </row>
    <row r="81" spans="1:11">
      <c r="A81" t="str">
        <f t="shared" si="1"/>
        <v>영업이익201411</v>
      </c>
      <c r="F81" t="s">
        <v>699</v>
      </c>
      <c r="G81" t="s">
        <v>697</v>
      </c>
      <c r="H81" t="s">
        <v>32</v>
      </c>
      <c r="I81" t="s">
        <v>700</v>
      </c>
      <c r="J81">
        <v>1805921.7636208606</v>
      </c>
      <c r="K81" t="s">
        <v>224</v>
      </c>
    </row>
    <row r="82" spans="1:11">
      <c r="A82" t="str">
        <f t="shared" si="1"/>
        <v>가격성판촉비201412</v>
      </c>
      <c r="F82" t="s">
        <v>696</v>
      </c>
      <c r="G82" t="s">
        <v>697</v>
      </c>
      <c r="H82" t="s">
        <v>33</v>
      </c>
      <c r="I82" t="s">
        <v>76</v>
      </c>
      <c r="J82">
        <v>-18005227.086358093</v>
      </c>
      <c r="K82" t="s">
        <v>224</v>
      </c>
    </row>
    <row r="83" spans="1:11">
      <c r="A83" t="str">
        <f t="shared" si="1"/>
        <v>매출201412</v>
      </c>
      <c r="F83" t="s">
        <v>698</v>
      </c>
      <c r="G83" t="s">
        <v>697</v>
      </c>
      <c r="H83" t="s">
        <v>33</v>
      </c>
      <c r="I83" t="s">
        <v>21</v>
      </c>
      <c r="J83">
        <v>49648636.691382371</v>
      </c>
      <c r="K83" t="s">
        <v>224</v>
      </c>
    </row>
    <row r="84" spans="1:11">
      <c r="A84" t="str">
        <f t="shared" si="1"/>
        <v>영업이익201412</v>
      </c>
      <c r="F84" t="s">
        <v>699</v>
      </c>
      <c r="G84" t="s">
        <v>697</v>
      </c>
      <c r="H84" t="s">
        <v>33</v>
      </c>
      <c r="I84" t="s">
        <v>700</v>
      </c>
      <c r="J84">
        <v>3037841.0857253713</v>
      </c>
      <c r="K84" t="s">
        <v>224</v>
      </c>
    </row>
    <row r="85" spans="1:11">
      <c r="A85" t="str">
        <f t="shared" si="1"/>
        <v>가격성판촉비2015</v>
      </c>
      <c r="F85" t="s">
        <v>696</v>
      </c>
      <c r="G85" t="s">
        <v>697</v>
      </c>
      <c r="H85" t="s">
        <v>260</v>
      </c>
      <c r="I85" t="s">
        <v>76</v>
      </c>
      <c r="J85">
        <v>-74926187.926120788</v>
      </c>
      <c r="K85" t="s">
        <v>224</v>
      </c>
    </row>
    <row r="86" spans="1:11">
      <c r="A86" t="str">
        <f t="shared" si="1"/>
        <v>매출2015</v>
      </c>
      <c r="F86" t="s">
        <v>698</v>
      </c>
      <c r="G86" t="s">
        <v>697</v>
      </c>
      <c r="H86" t="s">
        <v>260</v>
      </c>
      <c r="I86" t="s">
        <v>21</v>
      </c>
      <c r="J86">
        <v>290382475.51535475</v>
      </c>
      <c r="K86" t="s">
        <v>224</v>
      </c>
    </row>
    <row r="87" spans="1:11">
      <c r="A87" t="str">
        <f t="shared" si="1"/>
        <v>영업이익2015</v>
      </c>
      <c r="F87" t="s">
        <v>699</v>
      </c>
      <c r="G87" t="s">
        <v>697</v>
      </c>
      <c r="H87" t="s">
        <v>260</v>
      </c>
      <c r="I87" t="s">
        <v>700</v>
      </c>
      <c r="J87">
        <v>24950662.739644937</v>
      </c>
      <c r="K87" t="s">
        <v>224</v>
      </c>
    </row>
    <row r="88" spans="1:11">
      <c r="A88" t="str">
        <f t="shared" si="1"/>
        <v>가격성판촉비201501</v>
      </c>
      <c r="F88" t="s">
        <v>696</v>
      </c>
      <c r="G88" t="s">
        <v>697</v>
      </c>
      <c r="H88" t="s">
        <v>34</v>
      </c>
      <c r="I88" t="s">
        <v>76</v>
      </c>
      <c r="J88">
        <v>-9046353.9938720018</v>
      </c>
      <c r="K88" t="s">
        <v>224</v>
      </c>
    </row>
    <row r="89" spans="1:11">
      <c r="A89" t="str">
        <f t="shared" si="1"/>
        <v>매출201501</v>
      </c>
      <c r="F89" t="s">
        <v>698</v>
      </c>
      <c r="G89" t="s">
        <v>697</v>
      </c>
      <c r="H89" t="s">
        <v>34</v>
      </c>
      <c r="I89" t="s">
        <v>21</v>
      </c>
      <c r="J89">
        <v>34214686.81979432</v>
      </c>
      <c r="K89" t="s">
        <v>224</v>
      </c>
    </row>
    <row r="90" spans="1:11">
      <c r="A90" t="str">
        <f t="shared" si="1"/>
        <v>영업이익201501</v>
      </c>
      <c r="F90" t="s">
        <v>699</v>
      </c>
      <c r="G90" t="s">
        <v>697</v>
      </c>
      <c r="H90" t="s">
        <v>34</v>
      </c>
      <c r="I90" t="s">
        <v>700</v>
      </c>
      <c r="J90">
        <v>3446834.8101365846</v>
      </c>
      <c r="K90" t="s">
        <v>224</v>
      </c>
    </row>
    <row r="91" spans="1:11">
      <c r="A91" t="str">
        <f t="shared" si="1"/>
        <v>가격성판촉비201502</v>
      </c>
      <c r="F91" t="s">
        <v>696</v>
      </c>
      <c r="G91" t="s">
        <v>697</v>
      </c>
      <c r="H91" t="s">
        <v>35</v>
      </c>
      <c r="I91" t="s">
        <v>76</v>
      </c>
      <c r="J91">
        <v>-5983678.7617784692</v>
      </c>
      <c r="K91" t="s">
        <v>224</v>
      </c>
    </row>
    <row r="92" spans="1:11">
      <c r="A92" t="str">
        <f t="shared" si="1"/>
        <v>매출201502</v>
      </c>
      <c r="F92" t="s">
        <v>698</v>
      </c>
      <c r="G92" t="s">
        <v>697</v>
      </c>
      <c r="H92" t="s">
        <v>35</v>
      </c>
      <c r="I92" t="s">
        <v>21</v>
      </c>
      <c r="J92">
        <v>29419477.894608334</v>
      </c>
      <c r="K92" t="s">
        <v>224</v>
      </c>
    </row>
    <row r="93" spans="1:11">
      <c r="A93" t="str">
        <f t="shared" si="1"/>
        <v>영업이익201502</v>
      </c>
      <c r="F93" t="s">
        <v>699</v>
      </c>
      <c r="G93" t="s">
        <v>697</v>
      </c>
      <c r="H93" t="s">
        <v>35</v>
      </c>
      <c r="I93" t="s">
        <v>700</v>
      </c>
      <c r="J93">
        <v>1010898.5302216058</v>
      </c>
      <c r="K93" t="s">
        <v>224</v>
      </c>
    </row>
    <row r="94" spans="1:11">
      <c r="A94" t="str">
        <f t="shared" si="1"/>
        <v>가격성판촉비201503</v>
      </c>
      <c r="F94" t="s">
        <v>696</v>
      </c>
      <c r="G94" t="s">
        <v>697</v>
      </c>
      <c r="H94" t="s">
        <v>36</v>
      </c>
      <c r="I94" t="s">
        <v>76</v>
      </c>
      <c r="J94">
        <v>-5555150.9946634453</v>
      </c>
      <c r="K94" t="s">
        <v>224</v>
      </c>
    </row>
    <row r="95" spans="1:11">
      <c r="A95" t="str">
        <f t="shared" si="1"/>
        <v>매출201503</v>
      </c>
      <c r="F95" t="s">
        <v>698</v>
      </c>
      <c r="G95" t="s">
        <v>697</v>
      </c>
      <c r="H95" t="s">
        <v>36</v>
      </c>
      <c r="I95" t="s">
        <v>21</v>
      </c>
      <c r="J95">
        <v>32702433.665542513</v>
      </c>
      <c r="K95" t="s">
        <v>224</v>
      </c>
    </row>
    <row r="96" spans="1:11">
      <c r="A96" t="str">
        <f t="shared" si="1"/>
        <v>영업이익201503</v>
      </c>
      <c r="F96" t="s">
        <v>699</v>
      </c>
      <c r="G96" t="s">
        <v>697</v>
      </c>
      <c r="H96" t="s">
        <v>36</v>
      </c>
      <c r="I96" t="s">
        <v>700</v>
      </c>
      <c r="J96">
        <v>1592426.3789830608</v>
      </c>
      <c r="K96" t="s">
        <v>224</v>
      </c>
    </row>
    <row r="97" spans="1:11">
      <c r="A97" t="str">
        <f t="shared" si="1"/>
        <v>가격성판촉비201504</v>
      </c>
      <c r="F97" t="s">
        <v>696</v>
      </c>
      <c r="G97" t="s">
        <v>697</v>
      </c>
      <c r="H97" t="s">
        <v>37</v>
      </c>
      <c r="I97" t="s">
        <v>76</v>
      </c>
      <c r="J97">
        <v>-5705420.2371392502</v>
      </c>
      <c r="K97" t="s">
        <v>224</v>
      </c>
    </row>
    <row r="98" spans="1:11">
      <c r="A98" t="str">
        <f t="shared" si="1"/>
        <v>매출201504</v>
      </c>
      <c r="F98" t="s">
        <v>698</v>
      </c>
      <c r="G98" t="s">
        <v>697</v>
      </c>
      <c r="H98" t="s">
        <v>37</v>
      </c>
      <c r="I98" t="s">
        <v>21</v>
      </c>
      <c r="J98">
        <v>27446553.077058334</v>
      </c>
      <c r="K98" t="s">
        <v>224</v>
      </c>
    </row>
    <row r="99" spans="1:11">
      <c r="A99" t="str">
        <f t="shared" si="1"/>
        <v>영업이익201504</v>
      </c>
      <c r="F99" t="s">
        <v>699</v>
      </c>
      <c r="G99" t="s">
        <v>697</v>
      </c>
      <c r="H99" t="s">
        <v>37</v>
      </c>
      <c r="I99" t="s">
        <v>700</v>
      </c>
      <c r="J99">
        <v>1733902.8498944053</v>
      </c>
      <c r="K99" t="s">
        <v>224</v>
      </c>
    </row>
    <row r="100" spans="1:11">
      <c r="A100" t="str">
        <f t="shared" si="1"/>
        <v>가격성판촉비201505</v>
      </c>
      <c r="F100" t="s">
        <v>696</v>
      </c>
      <c r="G100" t="s">
        <v>697</v>
      </c>
      <c r="H100" t="s">
        <v>38</v>
      </c>
      <c r="I100" t="s">
        <v>76</v>
      </c>
      <c r="J100">
        <v>-5728181.381179492</v>
      </c>
      <c r="K100" t="s">
        <v>224</v>
      </c>
    </row>
    <row r="101" spans="1:11">
      <c r="A101" t="str">
        <f t="shared" si="1"/>
        <v>매출201505</v>
      </c>
      <c r="F101" t="s">
        <v>698</v>
      </c>
      <c r="G101" t="s">
        <v>697</v>
      </c>
      <c r="H101" t="s">
        <v>38</v>
      </c>
      <c r="I101" t="s">
        <v>21</v>
      </c>
      <c r="J101">
        <v>24291201.410060816</v>
      </c>
      <c r="K101" t="s">
        <v>224</v>
      </c>
    </row>
    <row r="102" spans="1:11">
      <c r="A102" t="str">
        <f t="shared" si="1"/>
        <v>영업이익201505</v>
      </c>
      <c r="F102" t="s">
        <v>699</v>
      </c>
      <c r="G102" t="s">
        <v>697</v>
      </c>
      <c r="H102" t="s">
        <v>38</v>
      </c>
      <c r="I102" t="s">
        <v>700</v>
      </c>
      <c r="J102">
        <v>645043.95692723861</v>
      </c>
      <c r="K102" t="s">
        <v>224</v>
      </c>
    </row>
    <row r="103" spans="1:11">
      <c r="A103" t="str">
        <f t="shared" si="1"/>
        <v>가격성판촉비201506</v>
      </c>
      <c r="F103" t="s">
        <v>696</v>
      </c>
      <c r="G103" t="s">
        <v>697</v>
      </c>
      <c r="H103" t="s">
        <v>39</v>
      </c>
      <c r="I103" t="s">
        <v>76</v>
      </c>
      <c r="J103">
        <v>-5442052.770955788</v>
      </c>
      <c r="K103" t="s">
        <v>224</v>
      </c>
    </row>
    <row r="104" spans="1:11">
      <c r="A104" t="str">
        <f t="shared" si="1"/>
        <v>매출201506</v>
      </c>
      <c r="F104" t="s">
        <v>698</v>
      </c>
      <c r="G104" t="s">
        <v>697</v>
      </c>
      <c r="H104" t="s">
        <v>39</v>
      </c>
      <c r="I104" t="s">
        <v>21</v>
      </c>
      <c r="J104">
        <v>23745429.040499285</v>
      </c>
      <c r="K104" t="s">
        <v>224</v>
      </c>
    </row>
    <row r="105" spans="1:11">
      <c r="A105" t="str">
        <f t="shared" si="1"/>
        <v>영업이익201506</v>
      </c>
      <c r="F105" t="s">
        <v>699</v>
      </c>
      <c r="G105" t="s">
        <v>697</v>
      </c>
      <c r="H105" t="s">
        <v>39</v>
      </c>
      <c r="I105" t="s">
        <v>700</v>
      </c>
      <c r="J105">
        <v>2566242.3587092333</v>
      </c>
      <c r="K105" t="s">
        <v>224</v>
      </c>
    </row>
    <row r="106" spans="1:11">
      <c r="A106" t="str">
        <f t="shared" si="1"/>
        <v>가격성판촉비201507</v>
      </c>
      <c r="F106" t="s">
        <v>696</v>
      </c>
      <c r="G106" t="s">
        <v>697</v>
      </c>
      <c r="H106" t="s">
        <v>40</v>
      </c>
      <c r="I106" t="s">
        <v>76</v>
      </c>
      <c r="J106">
        <v>-5684268.850316545</v>
      </c>
      <c r="K106" t="s">
        <v>224</v>
      </c>
    </row>
    <row r="107" spans="1:11">
      <c r="A107" t="str">
        <f t="shared" si="1"/>
        <v>매출201507</v>
      </c>
      <c r="F107" t="s">
        <v>698</v>
      </c>
      <c r="G107" t="s">
        <v>697</v>
      </c>
      <c r="H107" t="s">
        <v>40</v>
      </c>
      <c r="I107" t="s">
        <v>21</v>
      </c>
      <c r="J107">
        <v>26292420.248768345</v>
      </c>
      <c r="K107" t="s">
        <v>224</v>
      </c>
    </row>
    <row r="108" spans="1:11">
      <c r="A108" t="str">
        <f t="shared" si="1"/>
        <v>영업이익201507</v>
      </c>
      <c r="F108" t="s">
        <v>699</v>
      </c>
      <c r="G108" t="s">
        <v>697</v>
      </c>
      <c r="H108" t="s">
        <v>40</v>
      </c>
      <c r="I108" t="s">
        <v>700</v>
      </c>
      <c r="J108">
        <v>5446689.8803577153</v>
      </c>
      <c r="K108" t="s">
        <v>224</v>
      </c>
    </row>
    <row r="109" spans="1:11">
      <c r="A109" t="str">
        <f t="shared" si="1"/>
        <v>가격성판촉비201508</v>
      </c>
      <c r="F109" t="s">
        <v>696</v>
      </c>
      <c r="G109" t="s">
        <v>697</v>
      </c>
      <c r="H109" t="s">
        <v>41</v>
      </c>
      <c r="I109" t="s">
        <v>76</v>
      </c>
      <c r="J109">
        <v>-8252810.4699939191</v>
      </c>
      <c r="K109" t="s">
        <v>224</v>
      </c>
    </row>
    <row r="110" spans="1:11">
      <c r="A110" t="str">
        <f t="shared" si="1"/>
        <v>매출201508</v>
      </c>
      <c r="F110" t="s">
        <v>698</v>
      </c>
      <c r="G110" t="s">
        <v>697</v>
      </c>
      <c r="H110" t="s">
        <v>41</v>
      </c>
      <c r="I110" t="s">
        <v>21</v>
      </c>
      <c r="J110">
        <v>24895893.570422355</v>
      </c>
      <c r="K110" t="s">
        <v>224</v>
      </c>
    </row>
    <row r="111" spans="1:11">
      <c r="A111" t="str">
        <f t="shared" si="1"/>
        <v>영업이익201508</v>
      </c>
      <c r="F111" t="s">
        <v>699</v>
      </c>
      <c r="G111" t="s">
        <v>697</v>
      </c>
      <c r="H111" t="s">
        <v>41</v>
      </c>
      <c r="I111" t="s">
        <v>700</v>
      </c>
      <c r="J111">
        <v>3452553.1365450476</v>
      </c>
      <c r="K111" t="s">
        <v>224</v>
      </c>
    </row>
    <row r="112" spans="1:11">
      <c r="A112" t="str">
        <f t="shared" si="1"/>
        <v>가격성판촉비201509</v>
      </c>
      <c r="F112" t="s">
        <v>696</v>
      </c>
      <c r="G112" t="s">
        <v>697</v>
      </c>
      <c r="H112" t="s">
        <v>42</v>
      </c>
      <c r="I112" t="s">
        <v>76</v>
      </c>
      <c r="J112">
        <v>-10982676.606234655</v>
      </c>
      <c r="K112" t="s">
        <v>224</v>
      </c>
    </row>
    <row r="113" spans="1:11">
      <c r="A113" t="str">
        <f t="shared" si="1"/>
        <v>매출201509</v>
      </c>
      <c r="F113" t="s">
        <v>698</v>
      </c>
      <c r="G113" t="s">
        <v>697</v>
      </c>
      <c r="H113" t="s">
        <v>42</v>
      </c>
      <c r="I113" t="s">
        <v>21</v>
      </c>
      <c r="J113">
        <v>30273555.376606397</v>
      </c>
      <c r="K113" t="s">
        <v>224</v>
      </c>
    </row>
    <row r="114" spans="1:11">
      <c r="A114" t="str">
        <f t="shared" si="1"/>
        <v>영업이익201509</v>
      </c>
      <c r="F114" t="s">
        <v>699</v>
      </c>
      <c r="G114" t="s">
        <v>697</v>
      </c>
      <c r="H114" t="s">
        <v>42</v>
      </c>
      <c r="I114" t="s">
        <v>700</v>
      </c>
      <c r="J114">
        <v>3153905.536744399</v>
      </c>
      <c r="K114" t="s">
        <v>224</v>
      </c>
    </row>
    <row r="115" spans="1:11">
      <c r="A115" t="str">
        <f t="shared" si="1"/>
        <v>가격성판촉비201510</v>
      </c>
      <c r="F115" t="s">
        <v>696</v>
      </c>
      <c r="G115" t="s">
        <v>697</v>
      </c>
      <c r="H115" t="s">
        <v>1</v>
      </c>
      <c r="I115" t="s">
        <v>76</v>
      </c>
      <c r="J115">
        <v>-12545593.85998721</v>
      </c>
      <c r="K115" t="s">
        <v>224</v>
      </c>
    </row>
    <row r="116" spans="1:11">
      <c r="A116" t="str">
        <f t="shared" si="1"/>
        <v>매출201510</v>
      </c>
      <c r="F116" t="s">
        <v>698</v>
      </c>
      <c r="G116" t="s">
        <v>697</v>
      </c>
      <c r="H116" t="s">
        <v>1</v>
      </c>
      <c r="I116" t="s">
        <v>21</v>
      </c>
      <c r="J116">
        <v>37100824.411994025</v>
      </c>
      <c r="K116" t="s">
        <v>224</v>
      </c>
    </row>
    <row r="117" spans="1:11">
      <c r="A117" t="str">
        <f t="shared" si="1"/>
        <v>영업이익201510</v>
      </c>
      <c r="F117" t="s">
        <v>699</v>
      </c>
      <c r="G117" t="s">
        <v>697</v>
      </c>
      <c r="H117" t="s">
        <v>1</v>
      </c>
      <c r="I117" t="s">
        <v>700</v>
      </c>
      <c r="J117">
        <v>1902165.3011256426</v>
      </c>
      <c r="K117" t="s">
        <v>224</v>
      </c>
    </row>
    <row r="118" spans="1:11">
      <c r="A118" t="str">
        <f t="shared" si="1"/>
        <v>저수익매출2013</v>
      </c>
      <c r="F118" t="s">
        <v>701</v>
      </c>
      <c r="G118" t="s">
        <v>697</v>
      </c>
      <c r="H118" t="s">
        <v>240</v>
      </c>
      <c r="I118" t="s">
        <v>21</v>
      </c>
      <c r="J118">
        <v>55973708.576771751</v>
      </c>
      <c r="K118" t="s">
        <v>224</v>
      </c>
    </row>
    <row r="119" spans="1:11">
      <c r="A119" t="str">
        <f t="shared" si="1"/>
        <v>저수익매출201301</v>
      </c>
      <c r="F119" t="s">
        <v>701</v>
      </c>
      <c r="G119" t="s">
        <v>697</v>
      </c>
      <c r="H119" t="s">
        <v>242</v>
      </c>
      <c r="I119" t="s">
        <v>21</v>
      </c>
      <c r="J119">
        <v>4954542.4935227577</v>
      </c>
      <c r="K119" t="s">
        <v>224</v>
      </c>
    </row>
    <row r="120" spans="1:11">
      <c r="A120" t="str">
        <f t="shared" si="1"/>
        <v>저수익매출201302</v>
      </c>
      <c r="F120" t="s">
        <v>701</v>
      </c>
      <c r="G120" t="s">
        <v>697</v>
      </c>
      <c r="H120" t="s">
        <v>243</v>
      </c>
      <c r="I120" t="s">
        <v>21</v>
      </c>
      <c r="J120">
        <v>7042169.4337165803</v>
      </c>
      <c r="K120" t="s">
        <v>224</v>
      </c>
    </row>
    <row r="121" spans="1:11">
      <c r="A121" t="str">
        <f t="shared" si="1"/>
        <v>저수익매출201303</v>
      </c>
      <c r="F121" t="s">
        <v>701</v>
      </c>
      <c r="G121" t="s">
        <v>697</v>
      </c>
      <c r="H121" t="s">
        <v>244</v>
      </c>
      <c r="I121" t="s">
        <v>21</v>
      </c>
      <c r="J121">
        <v>7467106.6334422221</v>
      </c>
      <c r="K121" t="s">
        <v>224</v>
      </c>
    </row>
    <row r="122" spans="1:11">
      <c r="A122" t="str">
        <f t="shared" si="1"/>
        <v>저수익매출201304</v>
      </c>
      <c r="F122" t="s">
        <v>701</v>
      </c>
      <c r="G122" t="s">
        <v>697</v>
      </c>
      <c r="H122" t="s">
        <v>245</v>
      </c>
      <c r="I122" t="s">
        <v>21</v>
      </c>
      <c r="J122">
        <v>1040458.9287160989</v>
      </c>
      <c r="K122" t="s">
        <v>224</v>
      </c>
    </row>
    <row r="123" spans="1:11">
      <c r="A123" t="str">
        <f t="shared" si="1"/>
        <v>저수익매출201305</v>
      </c>
      <c r="F123" t="s">
        <v>701</v>
      </c>
      <c r="G123" t="s">
        <v>697</v>
      </c>
      <c r="H123" t="s">
        <v>246</v>
      </c>
      <c r="I123" t="s">
        <v>21</v>
      </c>
      <c r="J123">
        <v>226085.16924235001</v>
      </c>
      <c r="K123" t="s">
        <v>224</v>
      </c>
    </row>
    <row r="124" spans="1:11">
      <c r="A124" t="str">
        <f t="shared" si="1"/>
        <v>저수익매출201306</v>
      </c>
      <c r="F124" t="s">
        <v>701</v>
      </c>
      <c r="G124" t="s">
        <v>697</v>
      </c>
      <c r="H124" t="s">
        <v>247</v>
      </c>
      <c r="I124" t="s">
        <v>21</v>
      </c>
      <c r="J124">
        <v>394617.58650821191</v>
      </c>
      <c r="K124" t="s">
        <v>224</v>
      </c>
    </row>
    <row r="125" spans="1:11">
      <c r="A125" t="str">
        <f t="shared" si="1"/>
        <v>저수익매출201307</v>
      </c>
      <c r="F125" t="s">
        <v>701</v>
      </c>
      <c r="G125" t="s">
        <v>697</v>
      </c>
      <c r="H125" t="s">
        <v>248</v>
      </c>
      <c r="I125" t="s">
        <v>21</v>
      </c>
      <c r="J125">
        <v>1233297.285180802</v>
      </c>
      <c r="K125" t="s">
        <v>224</v>
      </c>
    </row>
    <row r="126" spans="1:11">
      <c r="A126" t="str">
        <f t="shared" si="1"/>
        <v>저수익매출201308</v>
      </c>
      <c r="F126" t="s">
        <v>701</v>
      </c>
      <c r="G126" t="s">
        <v>697</v>
      </c>
      <c r="H126" t="s">
        <v>249</v>
      </c>
      <c r="I126" t="s">
        <v>21</v>
      </c>
      <c r="J126">
        <v>677852.11686103791</v>
      </c>
      <c r="K126" t="s">
        <v>224</v>
      </c>
    </row>
    <row r="127" spans="1:11">
      <c r="A127" t="str">
        <f t="shared" si="1"/>
        <v>저수익매출201309</v>
      </c>
      <c r="F127" t="s">
        <v>701</v>
      </c>
      <c r="G127" t="s">
        <v>697</v>
      </c>
      <c r="H127" t="s">
        <v>250</v>
      </c>
      <c r="I127" t="s">
        <v>21</v>
      </c>
      <c r="J127">
        <v>966280.89124930208</v>
      </c>
      <c r="K127" t="s">
        <v>224</v>
      </c>
    </row>
    <row r="128" spans="1:11">
      <c r="A128" t="str">
        <f t="shared" si="1"/>
        <v>저수익매출201310</v>
      </c>
      <c r="F128" t="s">
        <v>701</v>
      </c>
      <c r="G128" t="s">
        <v>697</v>
      </c>
      <c r="H128" t="s">
        <v>251</v>
      </c>
      <c r="I128" t="s">
        <v>21</v>
      </c>
      <c r="J128">
        <v>5668618.7954643825</v>
      </c>
      <c r="K128" t="s">
        <v>224</v>
      </c>
    </row>
    <row r="129" spans="1:11">
      <c r="A129" t="str">
        <f t="shared" si="1"/>
        <v>저수익매출201311</v>
      </c>
      <c r="F129" t="s">
        <v>701</v>
      </c>
      <c r="G129" t="s">
        <v>697</v>
      </c>
      <c r="H129" t="s">
        <v>252</v>
      </c>
      <c r="I129" t="s">
        <v>21</v>
      </c>
      <c r="J129">
        <v>6185316.8140048943</v>
      </c>
      <c r="K129" t="s">
        <v>224</v>
      </c>
    </row>
    <row r="130" spans="1:11">
      <c r="A130" t="str">
        <f t="shared" si="1"/>
        <v>저수익매출201312</v>
      </c>
      <c r="F130" t="s">
        <v>701</v>
      </c>
      <c r="G130" t="s">
        <v>697</v>
      </c>
      <c r="H130" t="s">
        <v>253</v>
      </c>
      <c r="I130" t="s">
        <v>21</v>
      </c>
      <c r="J130">
        <v>20117362.428863108</v>
      </c>
      <c r="K130" t="s">
        <v>224</v>
      </c>
    </row>
    <row r="131" spans="1:11">
      <c r="A131" t="str">
        <f t="shared" si="1"/>
        <v>저수익매출2014</v>
      </c>
      <c r="F131" t="s">
        <v>701</v>
      </c>
      <c r="G131" t="s">
        <v>697</v>
      </c>
      <c r="H131" t="s">
        <v>254</v>
      </c>
      <c r="I131" t="s">
        <v>21</v>
      </c>
      <c r="J131">
        <v>45962237.047818348</v>
      </c>
      <c r="K131" t="s">
        <v>224</v>
      </c>
    </row>
    <row r="132" spans="1:11">
      <c r="A132" t="str">
        <f t="shared" si="1"/>
        <v>저수익매출201401</v>
      </c>
      <c r="F132" t="s">
        <v>701</v>
      </c>
      <c r="G132" t="s">
        <v>697</v>
      </c>
      <c r="H132" t="s">
        <v>22</v>
      </c>
      <c r="I132" t="s">
        <v>21</v>
      </c>
      <c r="J132">
        <v>668839.18880065857</v>
      </c>
      <c r="K132" t="s">
        <v>224</v>
      </c>
    </row>
    <row r="133" spans="1:11">
      <c r="A133" t="str">
        <f t="shared" si="1"/>
        <v>저수익매출201402</v>
      </c>
      <c r="F133" t="s">
        <v>701</v>
      </c>
      <c r="G133" t="s">
        <v>697</v>
      </c>
      <c r="H133" t="s">
        <v>23</v>
      </c>
      <c r="I133" t="s">
        <v>21</v>
      </c>
      <c r="J133">
        <v>116261.2619275708</v>
      </c>
      <c r="K133" t="s">
        <v>224</v>
      </c>
    </row>
    <row r="134" spans="1:11">
      <c r="A134" t="str">
        <f t="shared" si="1"/>
        <v>저수익매출201403</v>
      </c>
      <c r="F134" t="s">
        <v>701</v>
      </c>
      <c r="G134" t="s">
        <v>697</v>
      </c>
      <c r="H134" t="s">
        <v>24</v>
      </c>
      <c r="I134" t="s">
        <v>21</v>
      </c>
      <c r="J134">
        <v>3229797.465221134</v>
      </c>
      <c r="K134" t="s">
        <v>224</v>
      </c>
    </row>
    <row r="135" spans="1:11">
      <c r="A135" t="str">
        <f t="shared" ref="A135:A198" si="2">F135&amp;H135</f>
        <v>저수익매출201404</v>
      </c>
      <c r="F135" t="s">
        <v>701</v>
      </c>
      <c r="G135" t="s">
        <v>697</v>
      </c>
      <c r="H135" t="s">
        <v>25</v>
      </c>
      <c r="I135" t="s">
        <v>21</v>
      </c>
      <c r="J135">
        <v>1060458.090769154</v>
      </c>
      <c r="K135" t="s">
        <v>224</v>
      </c>
    </row>
    <row r="136" spans="1:11">
      <c r="A136" t="str">
        <f t="shared" si="2"/>
        <v>저수익매출201405</v>
      </c>
      <c r="F136" t="s">
        <v>701</v>
      </c>
      <c r="G136" t="s">
        <v>697</v>
      </c>
      <c r="H136" t="s">
        <v>26</v>
      </c>
      <c r="I136" t="s">
        <v>21</v>
      </c>
      <c r="J136">
        <v>2513304.1360379155</v>
      </c>
      <c r="K136" t="s">
        <v>224</v>
      </c>
    </row>
    <row r="137" spans="1:11">
      <c r="A137" t="str">
        <f t="shared" si="2"/>
        <v>저수익매출201406</v>
      </c>
      <c r="F137" t="s">
        <v>701</v>
      </c>
      <c r="G137" t="s">
        <v>697</v>
      </c>
      <c r="H137" t="s">
        <v>27</v>
      </c>
      <c r="I137" t="s">
        <v>21</v>
      </c>
      <c r="J137">
        <v>1287705.059728456</v>
      </c>
      <c r="K137" t="s">
        <v>224</v>
      </c>
    </row>
    <row r="138" spans="1:11">
      <c r="A138" t="str">
        <f t="shared" si="2"/>
        <v>저수익매출201407</v>
      </c>
      <c r="F138" t="s">
        <v>701</v>
      </c>
      <c r="G138" t="s">
        <v>697</v>
      </c>
      <c r="H138" t="s">
        <v>28</v>
      </c>
      <c r="I138" t="s">
        <v>21</v>
      </c>
      <c r="J138">
        <v>2257863.8360253461</v>
      </c>
      <c r="K138" t="s">
        <v>224</v>
      </c>
    </row>
    <row r="139" spans="1:11">
      <c r="A139" t="str">
        <f t="shared" si="2"/>
        <v>저수익매출201408</v>
      </c>
      <c r="F139" t="s">
        <v>701</v>
      </c>
      <c r="G139" t="s">
        <v>697</v>
      </c>
      <c r="H139" t="s">
        <v>29</v>
      </c>
      <c r="I139" t="s">
        <v>21</v>
      </c>
      <c r="J139">
        <v>1453433.5672415923</v>
      </c>
      <c r="K139" t="s">
        <v>224</v>
      </c>
    </row>
    <row r="140" spans="1:11">
      <c r="A140" t="str">
        <f t="shared" si="2"/>
        <v>저수익매출201409</v>
      </c>
      <c r="F140" t="s">
        <v>701</v>
      </c>
      <c r="G140" t="s">
        <v>697</v>
      </c>
      <c r="H140" t="s">
        <v>30</v>
      </c>
      <c r="I140" t="s">
        <v>21</v>
      </c>
      <c r="J140">
        <v>1869847.4277024604</v>
      </c>
      <c r="K140" t="s">
        <v>224</v>
      </c>
    </row>
    <row r="141" spans="1:11">
      <c r="A141" t="str">
        <f t="shared" si="2"/>
        <v>저수익매출201410</v>
      </c>
      <c r="F141" t="s">
        <v>701</v>
      </c>
      <c r="G141" t="s">
        <v>697</v>
      </c>
      <c r="H141" t="s">
        <v>31</v>
      </c>
      <c r="I141" t="s">
        <v>21</v>
      </c>
      <c r="J141">
        <v>8836282.5124035496</v>
      </c>
      <c r="K141" t="s">
        <v>224</v>
      </c>
    </row>
    <row r="142" spans="1:11">
      <c r="A142" t="str">
        <f t="shared" si="2"/>
        <v>저수익매출201411</v>
      </c>
      <c r="F142" t="s">
        <v>701</v>
      </c>
      <c r="G142" t="s">
        <v>697</v>
      </c>
      <c r="H142" t="s">
        <v>32</v>
      </c>
      <c r="I142" t="s">
        <v>21</v>
      </c>
      <c r="J142">
        <v>15304572.455448318</v>
      </c>
      <c r="K142" t="s">
        <v>224</v>
      </c>
    </row>
    <row r="143" spans="1:11">
      <c r="A143" t="str">
        <f t="shared" si="2"/>
        <v>저수익매출201412</v>
      </c>
      <c r="F143" t="s">
        <v>701</v>
      </c>
      <c r="G143" t="s">
        <v>697</v>
      </c>
      <c r="H143" t="s">
        <v>33</v>
      </c>
      <c r="I143" t="s">
        <v>21</v>
      </c>
      <c r="J143">
        <v>7363872.0465122052</v>
      </c>
      <c r="K143" t="s">
        <v>224</v>
      </c>
    </row>
    <row r="144" spans="1:11">
      <c r="A144" t="str">
        <f t="shared" si="2"/>
        <v>저수익매출2015</v>
      </c>
      <c r="F144" t="s">
        <v>701</v>
      </c>
      <c r="G144" t="s">
        <v>697</v>
      </c>
      <c r="H144" t="s">
        <v>260</v>
      </c>
      <c r="I144" t="s">
        <v>21</v>
      </c>
      <c r="J144">
        <v>38315128.612634927</v>
      </c>
      <c r="K144" t="s">
        <v>224</v>
      </c>
    </row>
    <row r="145" spans="1:11">
      <c r="A145" t="str">
        <f t="shared" si="2"/>
        <v>저수익매출201501</v>
      </c>
      <c r="F145" t="s">
        <v>701</v>
      </c>
      <c r="G145" t="s">
        <v>697</v>
      </c>
      <c r="H145" t="s">
        <v>34</v>
      </c>
      <c r="I145" t="s">
        <v>21</v>
      </c>
      <c r="J145">
        <v>2859622.8677799972</v>
      </c>
      <c r="K145" t="s">
        <v>224</v>
      </c>
    </row>
    <row r="146" spans="1:11">
      <c r="A146" t="str">
        <f t="shared" si="2"/>
        <v>저수익매출201502</v>
      </c>
      <c r="F146" t="s">
        <v>701</v>
      </c>
      <c r="G146" t="s">
        <v>697</v>
      </c>
      <c r="H146" t="s">
        <v>35</v>
      </c>
      <c r="I146" t="s">
        <v>21</v>
      </c>
      <c r="J146">
        <v>8326241.4276963398</v>
      </c>
      <c r="K146" t="s">
        <v>224</v>
      </c>
    </row>
    <row r="147" spans="1:11">
      <c r="A147" t="str">
        <f t="shared" si="2"/>
        <v>저수익매출201503</v>
      </c>
      <c r="F147" t="s">
        <v>701</v>
      </c>
      <c r="G147" t="s">
        <v>697</v>
      </c>
      <c r="H147" t="s">
        <v>36</v>
      </c>
      <c r="I147" t="s">
        <v>21</v>
      </c>
      <c r="J147">
        <v>9519630.3859227467</v>
      </c>
      <c r="K147" t="s">
        <v>224</v>
      </c>
    </row>
    <row r="148" spans="1:11">
      <c r="A148" t="str">
        <f t="shared" si="2"/>
        <v>저수익매출201504</v>
      </c>
      <c r="F148" t="s">
        <v>701</v>
      </c>
      <c r="G148" t="s">
        <v>697</v>
      </c>
      <c r="H148" t="s">
        <v>37</v>
      </c>
      <c r="I148" t="s">
        <v>21</v>
      </c>
      <c r="J148">
        <v>5685036.0846626712</v>
      </c>
      <c r="K148" t="s">
        <v>224</v>
      </c>
    </row>
    <row r="149" spans="1:11">
      <c r="A149" t="str">
        <f t="shared" si="2"/>
        <v>저수익매출201505</v>
      </c>
      <c r="F149" t="s">
        <v>701</v>
      </c>
      <c r="G149" t="s">
        <v>697</v>
      </c>
      <c r="H149" t="s">
        <v>38</v>
      </c>
      <c r="I149" t="s">
        <v>21</v>
      </c>
      <c r="J149">
        <v>1009977.8504740992</v>
      </c>
      <c r="K149" t="s">
        <v>224</v>
      </c>
    </row>
    <row r="150" spans="1:11">
      <c r="A150" t="str">
        <f t="shared" si="2"/>
        <v>저수익매출201506</v>
      </c>
      <c r="F150" t="s">
        <v>701</v>
      </c>
      <c r="G150" t="s">
        <v>697</v>
      </c>
      <c r="H150" t="s">
        <v>39</v>
      </c>
      <c r="I150" t="s">
        <v>21</v>
      </c>
      <c r="J150">
        <v>337746.86988871015</v>
      </c>
      <c r="K150" t="s">
        <v>224</v>
      </c>
    </row>
    <row r="151" spans="1:11">
      <c r="A151" t="str">
        <f t="shared" si="2"/>
        <v>저수익매출201507</v>
      </c>
      <c r="F151" t="s">
        <v>701</v>
      </c>
      <c r="G151" t="s">
        <v>697</v>
      </c>
      <c r="H151" t="s">
        <v>40</v>
      </c>
      <c r="I151" t="s">
        <v>21</v>
      </c>
      <c r="J151">
        <v>254933.02968800499</v>
      </c>
      <c r="K151" t="s">
        <v>224</v>
      </c>
    </row>
    <row r="152" spans="1:11">
      <c r="A152" t="str">
        <f t="shared" si="2"/>
        <v>저수익매출201508</v>
      </c>
      <c r="F152" t="s">
        <v>701</v>
      </c>
      <c r="G152" t="s">
        <v>697</v>
      </c>
      <c r="H152" t="s">
        <v>41</v>
      </c>
      <c r="I152" t="s">
        <v>21</v>
      </c>
      <c r="J152">
        <v>3999991.3121013297</v>
      </c>
      <c r="K152" t="s">
        <v>224</v>
      </c>
    </row>
    <row r="153" spans="1:11">
      <c r="A153" t="str">
        <f t="shared" si="2"/>
        <v>저수익매출201509</v>
      </c>
      <c r="F153" t="s">
        <v>701</v>
      </c>
      <c r="G153" t="s">
        <v>697</v>
      </c>
      <c r="H153" t="s">
        <v>42</v>
      </c>
      <c r="I153" t="s">
        <v>21</v>
      </c>
      <c r="J153">
        <v>2189572.0119536752</v>
      </c>
      <c r="K153" t="s">
        <v>224</v>
      </c>
    </row>
    <row r="154" spans="1:11">
      <c r="A154" t="str">
        <f t="shared" si="2"/>
        <v>저수익매출201510</v>
      </c>
      <c r="F154" t="s">
        <v>701</v>
      </c>
      <c r="G154" t="s">
        <v>697</v>
      </c>
      <c r="H154" t="s">
        <v>1</v>
      </c>
      <c r="I154" t="s">
        <v>21</v>
      </c>
      <c r="J154">
        <v>4132376.7724673497</v>
      </c>
      <c r="K154" t="s">
        <v>224</v>
      </c>
    </row>
    <row r="155" spans="1:11">
      <c r="A155" t="str">
        <f t="shared" si="2"/>
        <v>광고선전비2013</v>
      </c>
      <c r="F155" t="s">
        <v>702</v>
      </c>
      <c r="G155" t="s">
        <v>697</v>
      </c>
      <c r="H155" t="s">
        <v>240</v>
      </c>
      <c r="I155" t="s">
        <v>703</v>
      </c>
      <c r="J155">
        <v>7142248.5863485476</v>
      </c>
      <c r="K155" t="s">
        <v>224</v>
      </c>
    </row>
    <row r="156" spans="1:11">
      <c r="A156" t="str">
        <f t="shared" si="2"/>
        <v>광고선전비201301</v>
      </c>
      <c r="F156" t="s">
        <v>702</v>
      </c>
      <c r="G156" t="s">
        <v>697</v>
      </c>
      <c r="H156" t="s">
        <v>242</v>
      </c>
      <c r="I156" t="s">
        <v>703</v>
      </c>
      <c r="J156">
        <v>277539.23619999998</v>
      </c>
      <c r="K156" t="s">
        <v>224</v>
      </c>
    </row>
    <row r="157" spans="1:11">
      <c r="A157" t="str">
        <f t="shared" si="2"/>
        <v>광고선전비201302</v>
      </c>
      <c r="F157" t="s">
        <v>702</v>
      </c>
      <c r="G157" t="s">
        <v>697</v>
      </c>
      <c r="H157" t="s">
        <v>243</v>
      </c>
      <c r="I157" t="s">
        <v>703</v>
      </c>
      <c r="J157">
        <v>387075.25726899522</v>
      </c>
      <c r="K157" t="s">
        <v>224</v>
      </c>
    </row>
    <row r="158" spans="1:11">
      <c r="A158" t="str">
        <f t="shared" si="2"/>
        <v>광고선전비201303</v>
      </c>
      <c r="F158" t="s">
        <v>702</v>
      </c>
      <c r="G158" t="s">
        <v>697</v>
      </c>
      <c r="H158" t="s">
        <v>244</v>
      </c>
      <c r="I158" t="s">
        <v>703</v>
      </c>
      <c r="J158">
        <v>862769.55550364475</v>
      </c>
      <c r="K158" t="s">
        <v>224</v>
      </c>
    </row>
    <row r="159" spans="1:11">
      <c r="A159" t="str">
        <f t="shared" si="2"/>
        <v>광고선전비201304</v>
      </c>
      <c r="F159" t="s">
        <v>702</v>
      </c>
      <c r="G159" t="s">
        <v>697</v>
      </c>
      <c r="H159" t="s">
        <v>245</v>
      </c>
      <c r="I159" t="s">
        <v>703</v>
      </c>
      <c r="J159">
        <v>484264.60889961029</v>
      </c>
      <c r="K159" t="s">
        <v>224</v>
      </c>
    </row>
    <row r="160" spans="1:11">
      <c r="A160" t="str">
        <f t="shared" si="2"/>
        <v>광고선전비201305</v>
      </c>
      <c r="F160" t="s">
        <v>702</v>
      </c>
      <c r="G160" t="s">
        <v>697</v>
      </c>
      <c r="H160" t="s">
        <v>246</v>
      </c>
      <c r="I160" t="s">
        <v>703</v>
      </c>
      <c r="J160">
        <v>391014.49889424449</v>
      </c>
      <c r="K160" t="s">
        <v>224</v>
      </c>
    </row>
    <row r="161" spans="1:11">
      <c r="A161" t="str">
        <f t="shared" si="2"/>
        <v>광고선전비201306</v>
      </c>
      <c r="F161" t="s">
        <v>702</v>
      </c>
      <c r="G161" t="s">
        <v>697</v>
      </c>
      <c r="H161" t="s">
        <v>247</v>
      </c>
      <c r="I161" t="s">
        <v>703</v>
      </c>
      <c r="J161">
        <v>356958.14576770866</v>
      </c>
      <c r="K161" t="s">
        <v>224</v>
      </c>
    </row>
    <row r="162" spans="1:11">
      <c r="A162" t="str">
        <f t="shared" si="2"/>
        <v>광고선전비201307</v>
      </c>
      <c r="F162" t="s">
        <v>702</v>
      </c>
      <c r="G162" t="s">
        <v>697</v>
      </c>
      <c r="H162" t="s">
        <v>248</v>
      </c>
      <c r="I162" t="s">
        <v>703</v>
      </c>
      <c r="J162">
        <v>328407.16238893312</v>
      </c>
      <c r="K162" t="s">
        <v>224</v>
      </c>
    </row>
    <row r="163" spans="1:11">
      <c r="A163" t="str">
        <f t="shared" si="2"/>
        <v>광고선전비201308</v>
      </c>
      <c r="F163" t="s">
        <v>702</v>
      </c>
      <c r="G163" t="s">
        <v>697</v>
      </c>
      <c r="H163" t="s">
        <v>249</v>
      </c>
      <c r="I163" t="s">
        <v>703</v>
      </c>
      <c r="J163">
        <v>323896.45461622276</v>
      </c>
      <c r="K163" t="s">
        <v>224</v>
      </c>
    </row>
    <row r="164" spans="1:11">
      <c r="A164" t="str">
        <f t="shared" si="2"/>
        <v>광고선전비201309</v>
      </c>
      <c r="F164" t="s">
        <v>702</v>
      </c>
      <c r="G164" t="s">
        <v>697</v>
      </c>
      <c r="H164" t="s">
        <v>250</v>
      </c>
      <c r="I164" t="s">
        <v>703</v>
      </c>
      <c r="J164">
        <v>189993.81983222542</v>
      </c>
      <c r="K164" t="s">
        <v>224</v>
      </c>
    </row>
    <row r="165" spans="1:11">
      <c r="A165" t="str">
        <f t="shared" si="2"/>
        <v>광고선전비201310</v>
      </c>
      <c r="F165" t="s">
        <v>702</v>
      </c>
      <c r="G165" t="s">
        <v>697</v>
      </c>
      <c r="H165" t="s">
        <v>251</v>
      </c>
      <c r="I165" t="s">
        <v>703</v>
      </c>
      <c r="J165">
        <v>428640.47509102838</v>
      </c>
      <c r="K165" t="s">
        <v>224</v>
      </c>
    </row>
    <row r="166" spans="1:11">
      <c r="A166" t="str">
        <f t="shared" si="2"/>
        <v>광고선전비201311</v>
      </c>
      <c r="F166" t="s">
        <v>702</v>
      </c>
      <c r="G166" t="s">
        <v>697</v>
      </c>
      <c r="H166" t="s">
        <v>252</v>
      </c>
      <c r="I166" t="s">
        <v>703</v>
      </c>
      <c r="J166">
        <v>665272.67098584922</v>
      </c>
      <c r="K166" t="s">
        <v>224</v>
      </c>
    </row>
    <row r="167" spans="1:11">
      <c r="A167" t="str">
        <f t="shared" si="2"/>
        <v>광고선전비201312</v>
      </c>
      <c r="F167" t="s">
        <v>702</v>
      </c>
      <c r="G167" t="s">
        <v>697</v>
      </c>
      <c r="H167" t="s">
        <v>253</v>
      </c>
      <c r="I167" t="s">
        <v>703</v>
      </c>
      <c r="J167">
        <v>2446416.7009000862</v>
      </c>
      <c r="K167" t="s">
        <v>224</v>
      </c>
    </row>
    <row r="168" spans="1:11">
      <c r="A168" t="str">
        <f t="shared" si="2"/>
        <v>광고선전비2014</v>
      </c>
      <c r="F168" t="s">
        <v>702</v>
      </c>
      <c r="G168" t="s">
        <v>697</v>
      </c>
      <c r="H168" t="s">
        <v>254</v>
      </c>
      <c r="I168" t="s">
        <v>703</v>
      </c>
      <c r="J168">
        <v>6788113.704694517</v>
      </c>
      <c r="K168" t="s">
        <v>224</v>
      </c>
    </row>
    <row r="169" spans="1:11">
      <c r="A169" t="str">
        <f t="shared" si="2"/>
        <v>광고선전비201401</v>
      </c>
      <c r="F169" t="s">
        <v>702</v>
      </c>
      <c r="G169" t="s">
        <v>697</v>
      </c>
      <c r="H169" t="s">
        <v>22</v>
      </c>
      <c r="I169" t="s">
        <v>703</v>
      </c>
      <c r="J169">
        <v>190386.77331724641</v>
      </c>
      <c r="K169" t="s">
        <v>224</v>
      </c>
    </row>
    <row r="170" spans="1:11">
      <c r="A170" t="str">
        <f t="shared" si="2"/>
        <v>광고선전비201402</v>
      </c>
      <c r="F170" t="s">
        <v>702</v>
      </c>
      <c r="G170" t="s">
        <v>697</v>
      </c>
      <c r="H170" t="s">
        <v>23</v>
      </c>
      <c r="I170" t="s">
        <v>703</v>
      </c>
      <c r="J170">
        <v>224016.17925468259</v>
      </c>
      <c r="K170" t="s">
        <v>224</v>
      </c>
    </row>
    <row r="171" spans="1:11">
      <c r="A171" t="str">
        <f t="shared" si="2"/>
        <v>광고선전비201403</v>
      </c>
      <c r="F171" t="s">
        <v>702</v>
      </c>
      <c r="G171" t="s">
        <v>697</v>
      </c>
      <c r="H171" t="s">
        <v>24</v>
      </c>
      <c r="I171" t="s">
        <v>703</v>
      </c>
      <c r="J171">
        <v>435017.79992543452</v>
      </c>
      <c r="K171" t="s">
        <v>224</v>
      </c>
    </row>
    <row r="172" spans="1:11">
      <c r="A172" t="str">
        <f t="shared" si="2"/>
        <v>광고선전비201404</v>
      </c>
      <c r="F172" t="s">
        <v>702</v>
      </c>
      <c r="G172" t="s">
        <v>697</v>
      </c>
      <c r="H172" t="s">
        <v>25</v>
      </c>
      <c r="I172" t="s">
        <v>703</v>
      </c>
      <c r="J172">
        <v>572878.4470885999</v>
      </c>
      <c r="K172" t="s">
        <v>224</v>
      </c>
    </row>
    <row r="173" spans="1:11">
      <c r="A173" t="str">
        <f t="shared" si="2"/>
        <v>광고선전비201405</v>
      </c>
      <c r="F173" t="s">
        <v>702</v>
      </c>
      <c r="G173" t="s">
        <v>697</v>
      </c>
      <c r="H173" t="s">
        <v>26</v>
      </c>
      <c r="I173" t="s">
        <v>703</v>
      </c>
      <c r="J173">
        <v>570425.89075679076</v>
      </c>
      <c r="K173" t="s">
        <v>224</v>
      </c>
    </row>
    <row r="174" spans="1:11">
      <c r="A174" t="str">
        <f t="shared" si="2"/>
        <v>광고선전비201406</v>
      </c>
      <c r="F174" t="s">
        <v>702</v>
      </c>
      <c r="G174" t="s">
        <v>697</v>
      </c>
      <c r="H174" t="s">
        <v>27</v>
      </c>
      <c r="I174" t="s">
        <v>703</v>
      </c>
      <c r="J174">
        <v>490241.59488586622</v>
      </c>
      <c r="K174" t="s">
        <v>224</v>
      </c>
    </row>
    <row r="175" spans="1:11">
      <c r="A175" t="str">
        <f t="shared" si="2"/>
        <v>광고선전비201407</v>
      </c>
      <c r="F175" t="s">
        <v>702</v>
      </c>
      <c r="G175" t="s">
        <v>697</v>
      </c>
      <c r="H175" t="s">
        <v>28</v>
      </c>
      <c r="I175" t="s">
        <v>703</v>
      </c>
      <c r="J175">
        <v>422647.6561622874</v>
      </c>
      <c r="K175" t="s">
        <v>224</v>
      </c>
    </row>
    <row r="176" spans="1:11">
      <c r="A176" t="str">
        <f t="shared" si="2"/>
        <v>광고선전비201408</v>
      </c>
      <c r="F176" t="s">
        <v>702</v>
      </c>
      <c r="G176" t="s">
        <v>697</v>
      </c>
      <c r="H176" t="s">
        <v>29</v>
      </c>
      <c r="I176" t="s">
        <v>703</v>
      </c>
      <c r="J176">
        <v>347355.94645076751</v>
      </c>
      <c r="K176" t="s">
        <v>224</v>
      </c>
    </row>
    <row r="177" spans="1:11">
      <c r="A177" t="str">
        <f t="shared" si="2"/>
        <v>광고선전비201409</v>
      </c>
      <c r="F177" t="s">
        <v>702</v>
      </c>
      <c r="G177" t="s">
        <v>697</v>
      </c>
      <c r="H177" t="s">
        <v>30</v>
      </c>
      <c r="I177" t="s">
        <v>703</v>
      </c>
      <c r="J177">
        <v>624573.33019136696</v>
      </c>
      <c r="K177" t="s">
        <v>224</v>
      </c>
    </row>
    <row r="178" spans="1:11">
      <c r="A178" t="str">
        <f t="shared" si="2"/>
        <v>광고선전비201410</v>
      </c>
      <c r="F178" t="s">
        <v>702</v>
      </c>
      <c r="G178" t="s">
        <v>697</v>
      </c>
      <c r="H178" t="s">
        <v>31</v>
      </c>
      <c r="I178" t="s">
        <v>703</v>
      </c>
      <c r="J178">
        <v>677149.38526410866</v>
      </c>
      <c r="K178" t="s">
        <v>224</v>
      </c>
    </row>
    <row r="179" spans="1:11">
      <c r="A179" t="str">
        <f t="shared" si="2"/>
        <v>광고선전비201411</v>
      </c>
      <c r="F179" t="s">
        <v>702</v>
      </c>
      <c r="G179" t="s">
        <v>697</v>
      </c>
      <c r="H179" t="s">
        <v>32</v>
      </c>
      <c r="I179" t="s">
        <v>703</v>
      </c>
      <c r="J179">
        <v>955816.10832754325</v>
      </c>
      <c r="K179" t="s">
        <v>224</v>
      </c>
    </row>
    <row r="180" spans="1:11">
      <c r="A180" t="str">
        <f t="shared" si="2"/>
        <v>광고선전비201412</v>
      </c>
      <c r="F180" t="s">
        <v>702</v>
      </c>
      <c r="G180" t="s">
        <v>697</v>
      </c>
      <c r="H180" t="s">
        <v>33</v>
      </c>
      <c r="I180" t="s">
        <v>703</v>
      </c>
      <c r="J180">
        <v>1277604.5930698232</v>
      </c>
      <c r="K180" t="s">
        <v>224</v>
      </c>
    </row>
    <row r="181" spans="1:11">
      <c r="A181" t="str">
        <f t="shared" si="2"/>
        <v>광고선전비2015</v>
      </c>
      <c r="F181" t="s">
        <v>702</v>
      </c>
      <c r="G181" t="s">
        <v>697</v>
      </c>
      <c r="H181" t="s">
        <v>260</v>
      </c>
      <c r="I181" t="s">
        <v>703</v>
      </c>
      <c r="J181">
        <v>5098757.939079484</v>
      </c>
      <c r="K181" t="s">
        <v>224</v>
      </c>
    </row>
    <row r="182" spans="1:11">
      <c r="A182" t="str">
        <f t="shared" si="2"/>
        <v>광고선전비201501</v>
      </c>
      <c r="F182" t="s">
        <v>702</v>
      </c>
      <c r="G182" t="s">
        <v>697</v>
      </c>
      <c r="H182" t="s">
        <v>34</v>
      </c>
      <c r="I182" t="s">
        <v>703</v>
      </c>
      <c r="J182">
        <v>142084.40732983011</v>
      </c>
      <c r="K182" t="s">
        <v>224</v>
      </c>
    </row>
    <row r="183" spans="1:11">
      <c r="A183" t="str">
        <f t="shared" si="2"/>
        <v>광고선전비201502</v>
      </c>
      <c r="F183" t="s">
        <v>702</v>
      </c>
      <c r="G183" t="s">
        <v>697</v>
      </c>
      <c r="H183" t="s">
        <v>35</v>
      </c>
      <c r="I183" t="s">
        <v>703</v>
      </c>
      <c r="J183">
        <v>192525.13422870132</v>
      </c>
      <c r="K183" t="s">
        <v>224</v>
      </c>
    </row>
    <row r="184" spans="1:11">
      <c r="A184" t="str">
        <f t="shared" si="2"/>
        <v>광고선전비201503</v>
      </c>
      <c r="F184" t="s">
        <v>702</v>
      </c>
      <c r="G184" t="s">
        <v>697</v>
      </c>
      <c r="H184" t="s">
        <v>36</v>
      </c>
      <c r="I184" t="s">
        <v>703</v>
      </c>
      <c r="J184">
        <v>344767.70752395905</v>
      </c>
      <c r="K184" t="s">
        <v>224</v>
      </c>
    </row>
    <row r="185" spans="1:11">
      <c r="A185" t="str">
        <f t="shared" si="2"/>
        <v>광고선전비201504</v>
      </c>
      <c r="F185" t="s">
        <v>702</v>
      </c>
      <c r="G185" t="s">
        <v>697</v>
      </c>
      <c r="H185" t="s">
        <v>37</v>
      </c>
      <c r="I185" t="s">
        <v>703</v>
      </c>
      <c r="J185">
        <v>413758.10372600547</v>
      </c>
      <c r="K185" t="s">
        <v>224</v>
      </c>
    </row>
    <row r="186" spans="1:11">
      <c r="A186" t="str">
        <f t="shared" si="2"/>
        <v>광고선전비201505</v>
      </c>
      <c r="F186" t="s">
        <v>702</v>
      </c>
      <c r="G186" t="s">
        <v>697</v>
      </c>
      <c r="H186" t="s">
        <v>38</v>
      </c>
      <c r="I186" t="s">
        <v>703</v>
      </c>
      <c r="J186">
        <v>2035011.9632924837</v>
      </c>
      <c r="K186" t="s">
        <v>224</v>
      </c>
    </row>
    <row r="187" spans="1:11">
      <c r="A187" t="str">
        <f t="shared" si="2"/>
        <v>광고선전비201506</v>
      </c>
      <c r="F187" t="s">
        <v>702</v>
      </c>
      <c r="G187" t="s">
        <v>697</v>
      </c>
      <c r="H187" t="s">
        <v>39</v>
      </c>
      <c r="I187" t="s">
        <v>703</v>
      </c>
      <c r="J187">
        <v>79578.382746500487</v>
      </c>
      <c r="K187" t="s">
        <v>224</v>
      </c>
    </row>
    <row r="188" spans="1:11">
      <c r="A188" t="str">
        <f t="shared" si="2"/>
        <v>광고선전비201507</v>
      </c>
      <c r="F188" t="s">
        <v>702</v>
      </c>
      <c r="G188" t="s">
        <v>697</v>
      </c>
      <c r="H188" t="s">
        <v>40</v>
      </c>
      <c r="I188" t="s">
        <v>703</v>
      </c>
      <c r="J188">
        <v>329712.0108211413</v>
      </c>
      <c r="K188" t="s">
        <v>224</v>
      </c>
    </row>
    <row r="189" spans="1:11">
      <c r="A189" t="str">
        <f t="shared" si="2"/>
        <v>광고선전비201508</v>
      </c>
      <c r="F189" t="s">
        <v>702</v>
      </c>
      <c r="G189" t="s">
        <v>697</v>
      </c>
      <c r="H189" t="s">
        <v>41</v>
      </c>
      <c r="I189" t="s">
        <v>703</v>
      </c>
      <c r="J189">
        <v>316127.74520311813</v>
      </c>
      <c r="K189" t="s">
        <v>224</v>
      </c>
    </row>
    <row r="190" spans="1:11">
      <c r="A190" t="str">
        <f t="shared" si="2"/>
        <v>광고선전비201509</v>
      </c>
      <c r="F190" t="s">
        <v>702</v>
      </c>
      <c r="G190" t="s">
        <v>697</v>
      </c>
      <c r="H190" t="s">
        <v>42</v>
      </c>
      <c r="I190" t="s">
        <v>703</v>
      </c>
      <c r="J190">
        <v>315211.75731246686</v>
      </c>
      <c r="K190" t="s">
        <v>224</v>
      </c>
    </row>
    <row r="191" spans="1:11">
      <c r="A191" t="str">
        <f t="shared" si="2"/>
        <v>광고선전비201510</v>
      </c>
      <c r="F191" t="s">
        <v>702</v>
      </c>
      <c r="G191" t="s">
        <v>697</v>
      </c>
      <c r="H191" t="s">
        <v>1</v>
      </c>
      <c r="I191" t="s">
        <v>703</v>
      </c>
      <c r="J191">
        <v>929980.72689527797</v>
      </c>
      <c r="K191" t="s">
        <v>224</v>
      </c>
    </row>
    <row r="192" spans="1:11">
      <c r="A192" t="str">
        <f t="shared" si="2"/>
        <v>판매촉진비2013</v>
      </c>
      <c r="F192" t="s">
        <v>704</v>
      </c>
      <c r="G192" t="s">
        <v>697</v>
      </c>
      <c r="H192" t="s">
        <v>240</v>
      </c>
      <c r="I192" t="s">
        <v>703</v>
      </c>
      <c r="J192">
        <v>3020607.2566492176</v>
      </c>
      <c r="K192" t="s">
        <v>224</v>
      </c>
    </row>
    <row r="193" spans="1:11">
      <c r="A193" t="str">
        <f t="shared" si="2"/>
        <v>판매촉진비201301</v>
      </c>
      <c r="F193" t="s">
        <v>704</v>
      </c>
      <c r="G193" t="s">
        <v>697</v>
      </c>
      <c r="H193" t="s">
        <v>242</v>
      </c>
      <c r="I193" t="s">
        <v>703</v>
      </c>
      <c r="J193">
        <v>188437.38560000001</v>
      </c>
      <c r="K193" t="s">
        <v>224</v>
      </c>
    </row>
    <row r="194" spans="1:11">
      <c r="A194" t="str">
        <f t="shared" si="2"/>
        <v>판매촉진비201302</v>
      </c>
      <c r="F194" t="s">
        <v>704</v>
      </c>
      <c r="G194" t="s">
        <v>697</v>
      </c>
      <c r="H194" t="s">
        <v>243</v>
      </c>
      <c r="I194" t="s">
        <v>703</v>
      </c>
      <c r="J194">
        <v>883346.19240340265</v>
      </c>
      <c r="K194" t="s">
        <v>224</v>
      </c>
    </row>
    <row r="195" spans="1:11">
      <c r="A195" t="str">
        <f t="shared" si="2"/>
        <v>판매촉진비201303</v>
      </c>
      <c r="F195" t="s">
        <v>704</v>
      </c>
      <c r="G195" t="s">
        <v>697</v>
      </c>
      <c r="H195" t="s">
        <v>244</v>
      </c>
      <c r="I195" t="s">
        <v>703</v>
      </c>
      <c r="J195">
        <v>1369085.1356577284</v>
      </c>
      <c r="K195" t="s">
        <v>224</v>
      </c>
    </row>
    <row r="196" spans="1:11">
      <c r="A196" t="str">
        <f t="shared" si="2"/>
        <v>판매촉진비201304</v>
      </c>
      <c r="F196" t="s">
        <v>704</v>
      </c>
      <c r="G196" t="s">
        <v>697</v>
      </c>
      <c r="H196" t="s">
        <v>245</v>
      </c>
      <c r="I196" t="s">
        <v>703</v>
      </c>
      <c r="J196">
        <v>766666.05110015639</v>
      </c>
      <c r="K196" t="s">
        <v>224</v>
      </c>
    </row>
    <row r="197" spans="1:11">
      <c r="A197" t="str">
        <f t="shared" si="2"/>
        <v>판매촉진비201305</v>
      </c>
      <c r="F197" t="s">
        <v>704</v>
      </c>
      <c r="G197" t="s">
        <v>697</v>
      </c>
      <c r="H197" t="s">
        <v>246</v>
      </c>
      <c r="I197" t="s">
        <v>703</v>
      </c>
      <c r="J197">
        <v>165625.30302113327</v>
      </c>
      <c r="K197" t="s">
        <v>224</v>
      </c>
    </row>
    <row r="198" spans="1:11">
      <c r="A198" t="str">
        <f t="shared" si="2"/>
        <v>판매촉진비201306</v>
      </c>
      <c r="F198" t="s">
        <v>704</v>
      </c>
      <c r="G198" t="s">
        <v>697</v>
      </c>
      <c r="H198" t="s">
        <v>247</v>
      </c>
      <c r="I198" t="s">
        <v>703</v>
      </c>
      <c r="J198">
        <v>-1994201.5703249678</v>
      </c>
      <c r="K198" t="s">
        <v>224</v>
      </c>
    </row>
    <row r="199" spans="1:11">
      <c r="A199" t="str">
        <f t="shared" ref="A199:A262" si="3">F199&amp;H199</f>
        <v>판매촉진비201307</v>
      </c>
      <c r="F199" t="s">
        <v>704</v>
      </c>
      <c r="G199" t="s">
        <v>697</v>
      </c>
      <c r="H199" t="s">
        <v>248</v>
      </c>
      <c r="I199" t="s">
        <v>703</v>
      </c>
      <c r="J199">
        <v>52231.284324222288</v>
      </c>
      <c r="K199" t="s">
        <v>224</v>
      </c>
    </row>
    <row r="200" spans="1:11">
      <c r="A200" t="str">
        <f t="shared" si="3"/>
        <v>판매촉진비201308</v>
      </c>
      <c r="F200" t="s">
        <v>704</v>
      </c>
      <c r="G200" t="s">
        <v>697</v>
      </c>
      <c r="H200" t="s">
        <v>249</v>
      </c>
      <c r="I200" t="s">
        <v>703</v>
      </c>
      <c r="J200">
        <v>303981.10746093217</v>
      </c>
      <c r="K200" t="s">
        <v>224</v>
      </c>
    </row>
    <row r="201" spans="1:11">
      <c r="A201" t="str">
        <f t="shared" si="3"/>
        <v>판매촉진비201309</v>
      </c>
      <c r="F201" t="s">
        <v>704</v>
      </c>
      <c r="G201" t="s">
        <v>697</v>
      </c>
      <c r="H201" t="s">
        <v>250</v>
      </c>
      <c r="I201" t="s">
        <v>703</v>
      </c>
      <c r="J201">
        <v>341322.36994785344</v>
      </c>
      <c r="K201" t="s">
        <v>224</v>
      </c>
    </row>
    <row r="202" spans="1:11">
      <c r="A202" t="str">
        <f t="shared" si="3"/>
        <v>판매촉진비201310</v>
      </c>
      <c r="F202" t="s">
        <v>704</v>
      </c>
      <c r="G202" t="s">
        <v>697</v>
      </c>
      <c r="H202" t="s">
        <v>251</v>
      </c>
      <c r="I202" t="s">
        <v>703</v>
      </c>
      <c r="J202">
        <v>315104.37281434599</v>
      </c>
      <c r="K202" t="s">
        <v>224</v>
      </c>
    </row>
    <row r="203" spans="1:11">
      <c r="A203" t="str">
        <f t="shared" si="3"/>
        <v>판매촉진비201311</v>
      </c>
      <c r="F203" t="s">
        <v>704</v>
      </c>
      <c r="G203" t="s">
        <v>697</v>
      </c>
      <c r="H203" t="s">
        <v>252</v>
      </c>
      <c r="I203" t="s">
        <v>703</v>
      </c>
      <c r="J203">
        <v>163430.05509099032</v>
      </c>
      <c r="K203" t="s">
        <v>224</v>
      </c>
    </row>
    <row r="204" spans="1:11">
      <c r="A204" t="str">
        <f t="shared" si="3"/>
        <v>판매촉진비201312</v>
      </c>
      <c r="F204" t="s">
        <v>704</v>
      </c>
      <c r="G204" t="s">
        <v>697</v>
      </c>
      <c r="H204" t="s">
        <v>253</v>
      </c>
      <c r="I204" t="s">
        <v>703</v>
      </c>
      <c r="J204">
        <v>465579.56955342065</v>
      </c>
      <c r="K204" t="s">
        <v>224</v>
      </c>
    </row>
    <row r="205" spans="1:11">
      <c r="A205" t="str">
        <f t="shared" si="3"/>
        <v>판매촉진비2014</v>
      </c>
      <c r="F205" t="s">
        <v>704</v>
      </c>
      <c r="G205" t="s">
        <v>697</v>
      </c>
      <c r="H205" t="s">
        <v>254</v>
      </c>
      <c r="I205" t="s">
        <v>703</v>
      </c>
      <c r="J205">
        <v>6789838.9918583743</v>
      </c>
      <c r="K205" t="s">
        <v>224</v>
      </c>
    </row>
    <row r="206" spans="1:11">
      <c r="A206" t="str">
        <f t="shared" si="3"/>
        <v>판매촉진비201401</v>
      </c>
      <c r="F206" t="s">
        <v>704</v>
      </c>
      <c r="G206" t="s">
        <v>697</v>
      </c>
      <c r="H206" t="s">
        <v>22</v>
      </c>
      <c r="I206" t="s">
        <v>703</v>
      </c>
      <c r="J206">
        <v>-71450.788730006301</v>
      </c>
      <c r="K206" t="s">
        <v>224</v>
      </c>
    </row>
    <row r="207" spans="1:11">
      <c r="A207" t="str">
        <f t="shared" si="3"/>
        <v>판매촉진비201402</v>
      </c>
      <c r="F207" t="s">
        <v>704</v>
      </c>
      <c r="G207" t="s">
        <v>697</v>
      </c>
      <c r="H207" t="s">
        <v>23</v>
      </c>
      <c r="I207" t="s">
        <v>703</v>
      </c>
      <c r="J207">
        <v>89855.308443096306</v>
      </c>
      <c r="K207" t="s">
        <v>224</v>
      </c>
    </row>
    <row r="208" spans="1:11">
      <c r="A208" t="str">
        <f t="shared" si="3"/>
        <v>판매촉진비201403</v>
      </c>
      <c r="F208" t="s">
        <v>704</v>
      </c>
      <c r="G208" t="s">
        <v>697</v>
      </c>
      <c r="H208" t="s">
        <v>24</v>
      </c>
      <c r="I208" t="s">
        <v>703</v>
      </c>
      <c r="J208">
        <v>78086.810465677903</v>
      </c>
      <c r="K208" t="s">
        <v>224</v>
      </c>
    </row>
    <row r="209" spans="1:11">
      <c r="A209" t="str">
        <f t="shared" si="3"/>
        <v>판매촉진비201404</v>
      </c>
      <c r="F209" t="s">
        <v>704</v>
      </c>
      <c r="G209" t="s">
        <v>697</v>
      </c>
      <c r="H209" t="s">
        <v>25</v>
      </c>
      <c r="I209" t="s">
        <v>703</v>
      </c>
      <c r="J209">
        <v>973360.14777188853</v>
      </c>
      <c r="K209" t="s">
        <v>224</v>
      </c>
    </row>
    <row r="210" spans="1:11">
      <c r="A210" t="str">
        <f t="shared" si="3"/>
        <v>판매촉진비201405</v>
      </c>
      <c r="F210" t="s">
        <v>704</v>
      </c>
      <c r="G210" t="s">
        <v>697</v>
      </c>
      <c r="H210" t="s">
        <v>26</v>
      </c>
      <c r="I210" t="s">
        <v>703</v>
      </c>
      <c r="J210">
        <v>2440592.9547397299</v>
      </c>
      <c r="K210" t="s">
        <v>224</v>
      </c>
    </row>
    <row r="211" spans="1:11">
      <c r="A211" t="str">
        <f t="shared" si="3"/>
        <v>판매촉진비201406</v>
      </c>
      <c r="F211" t="s">
        <v>704</v>
      </c>
      <c r="G211" t="s">
        <v>697</v>
      </c>
      <c r="H211" t="s">
        <v>27</v>
      </c>
      <c r="I211" t="s">
        <v>703</v>
      </c>
      <c r="J211">
        <v>144342.00872744271</v>
      </c>
      <c r="K211" t="s">
        <v>224</v>
      </c>
    </row>
    <row r="212" spans="1:11">
      <c r="A212" t="str">
        <f t="shared" si="3"/>
        <v>판매촉진비201407</v>
      </c>
      <c r="F212" t="s">
        <v>704</v>
      </c>
      <c r="G212" t="s">
        <v>697</v>
      </c>
      <c r="H212" t="s">
        <v>28</v>
      </c>
      <c r="I212" t="s">
        <v>703</v>
      </c>
      <c r="J212">
        <v>442912.64340004692</v>
      </c>
      <c r="K212" t="s">
        <v>224</v>
      </c>
    </row>
    <row r="213" spans="1:11">
      <c r="A213" t="str">
        <f t="shared" si="3"/>
        <v>판매촉진비201408</v>
      </c>
      <c r="F213" t="s">
        <v>704</v>
      </c>
      <c r="G213" t="s">
        <v>697</v>
      </c>
      <c r="H213" t="s">
        <v>29</v>
      </c>
      <c r="I213" t="s">
        <v>703</v>
      </c>
      <c r="J213">
        <v>1808913.1084338876</v>
      </c>
      <c r="K213" t="s">
        <v>224</v>
      </c>
    </row>
    <row r="214" spans="1:11">
      <c r="A214" t="str">
        <f t="shared" si="3"/>
        <v>판매촉진비201409</v>
      </c>
      <c r="F214" t="s">
        <v>704</v>
      </c>
      <c r="G214" t="s">
        <v>697</v>
      </c>
      <c r="H214" t="s">
        <v>30</v>
      </c>
      <c r="I214" t="s">
        <v>703</v>
      </c>
      <c r="J214">
        <v>80368.516987461306</v>
      </c>
      <c r="K214" t="s">
        <v>224</v>
      </c>
    </row>
    <row r="215" spans="1:11">
      <c r="A215" t="str">
        <f t="shared" si="3"/>
        <v>판매촉진비201410</v>
      </c>
      <c r="F215" t="s">
        <v>704</v>
      </c>
      <c r="G215" t="s">
        <v>697</v>
      </c>
      <c r="H215" t="s">
        <v>31</v>
      </c>
      <c r="I215" t="s">
        <v>703</v>
      </c>
      <c r="J215">
        <v>201585.91702357749</v>
      </c>
      <c r="K215" t="s">
        <v>224</v>
      </c>
    </row>
    <row r="216" spans="1:11">
      <c r="A216" t="str">
        <f t="shared" si="3"/>
        <v>판매촉진비201411</v>
      </c>
      <c r="F216" t="s">
        <v>704</v>
      </c>
      <c r="G216" t="s">
        <v>697</v>
      </c>
      <c r="H216" t="s">
        <v>32</v>
      </c>
      <c r="I216" t="s">
        <v>703</v>
      </c>
      <c r="J216">
        <v>192391.83703324449</v>
      </c>
      <c r="K216" t="s">
        <v>224</v>
      </c>
    </row>
    <row r="217" spans="1:11">
      <c r="A217" t="str">
        <f t="shared" si="3"/>
        <v>판매촉진비201412</v>
      </c>
      <c r="F217" t="s">
        <v>704</v>
      </c>
      <c r="G217" t="s">
        <v>697</v>
      </c>
      <c r="H217" t="s">
        <v>33</v>
      </c>
      <c r="I217" t="s">
        <v>703</v>
      </c>
      <c r="J217">
        <v>408880.52756232768</v>
      </c>
      <c r="K217" t="s">
        <v>224</v>
      </c>
    </row>
    <row r="218" spans="1:11">
      <c r="A218" t="str">
        <f t="shared" si="3"/>
        <v>판매촉진비2015</v>
      </c>
      <c r="F218" t="s">
        <v>704</v>
      </c>
      <c r="G218" t="s">
        <v>697</v>
      </c>
      <c r="H218" t="s">
        <v>260</v>
      </c>
      <c r="I218" t="s">
        <v>703</v>
      </c>
      <c r="J218">
        <v>2221484.4519185983</v>
      </c>
      <c r="K218" t="s">
        <v>224</v>
      </c>
    </row>
    <row r="219" spans="1:11">
      <c r="A219" t="str">
        <f t="shared" si="3"/>
        <v>판매촉진비201501</v>
      </c>
      <c r="F219" t="s">
        <v>704</v>
      </c>
      <c r="G219" t="s">
        <v>697</v>
      </c>
      <c r="H219" t="s">
        <v>34</v>
      </c>
      <c r="I219" t="s">
        <v>703</v>
      </c>
      <c r="J219">
        <v>20167.282415355781</v>
      </c>
      <c r="K219" t="s">
        <v>224</v>
      </c>
    </row>
    <row r="220" spans="1:11">
      <c r="A220" t="str">
        <f t="shared" si="3"/>
        <v>판매촉진비201502</v>
      </c>
      <c r="F220" t="s">
        <v>704</v>
      </c>
      <c r="G220" t="s">
        <v>697</v>
      </c>
      <c r="H220" t="s">
        <v>35</v>
      </c>
      <c r="I220" t="s">
        <v>703</v>
      </c>
      <c r="J220">
        <v>42067.50114629796</v>
      </c>
      <c r="K220" t="s">
        <v>224</v>
      </c>
    </row>
    <row r="221" spans="1:11">
      <c r="A221" t="str">
        <f t="shared" si="3"/>
        <v>판매촉진비201503</v>
      </c>
      <c r="F221" t="s">
        <v>704</v>
      </c>
      <c r="G221" t="s">
        <v>697</v>
      </c>
      <c r="H221" t="s">
        <v>36</v>
      </c>
      <c r="I221" t="s">
        <v>703</v>
      </c>
      <c r="J221">
        <v>103950.13508649825</v>
      </c>
      <c r="K221" t="s">
        <v>224</v>
      </c>
    </row>
    <row r="222" spans="1:11">
      <c r="A222" t="str">
        <f t="shared" si="3"/>
        <v>판매촉진비201504</v>
      </c>
      <c r="F222" t="s">
        <v>704</v>
      </c>
      <c r="G222" t="s">
        <v>697</v>
      </c>
      <c r="H222" t="s">
        <v>37</v>
      </c>
      <c r="I222" t="s">
        <v>703</v>
      </c>
      <c r="J222">
        <v>670218.47895476676</v>
      </c>
      <c r="K222" t="s">
        <v>224</v>
      </c>
    </row>
    <row r="223" spans="1:11">
      <c r="A223" t="str">
        <f t="shared" si="3"/>
        <v>판매촉진비201505</v>
      </c>
      <c r="F223" t="s">
        <v>704</v>
      </c>
      <c r="G223" t="s">
        <v>697</v>
      </c>
      <c r="H223" t="s">
        <v>38</v>
      </c>
      <c r="I223" t="s">
        <v>703</v>
      </c>
      <c r="J223">
        <v>69635.72522720485</v>
      </c>
      <c r="K223" t="s">
        <v>224</v>
      </c>
    </row>
    <row r="224" spans="1:11">
      <c r="A224" t="str">
        <f t="shared" si="3"/>
        <v>판매촉진비201506</v>
      </c>
      <c r="F224" t="s">
        <v>704</v>
      </c>
      <c r="G224" t="s">
        <v>697</v>
      </c>
      <c r="H224" t="s">
        <v>39</v>
      </c>
      <c r="I224" t="s">
        <v>703</v>
      </c>
      <c r="J224">
        <v>69042.561300504662</v>
      </c>
      <c r="K224" t="s">
        <v>224</v>
      </c>
    </row>
    <row r="225" spans="1:11">
      <c r="A225" t="str">
        <f t="shared" si="3"/>
        <v>판매촉진비201507</v>
      </c>
      <c r="F225" t="s">
        <v>704</v>
      </c>
      <c r="G225" t="s">
        <v>697</v>
      </c>
      <c r="H225" t="s">
        <v>40</v>
      </c>
      <c r="I225" t="s">
        <v>703</v>
      </c>
      <c r="J225">
        <v>374207.75889589748</v>
      </c>
      <c r="K225" t="s">
        <v>224</v>
      </c>
    </row>
    <row r="226" spans="1:11">
      <c r="A226" t="str">
        <f t="shared" si="3"/>
        <v>판매촉진비201508</v>
      </c>
      <c r="F226" t="s">
        <v>704</v>
      </c>
      <c r="G226" t="s">
        <v>697</v>
      </c>
      <c r="H226" t="s">
        <v>41</v>
      </c>
      <c r="I226" t="s">
        <v>703</v>
      </c>
      <c r="J226">
        <v>390982.50151198287</v>
      </c>
      <c r="K226" t="s">
        <v>224</v>
      </c>
    </row>
    <row r="227" spans="1:11">
      <c r="A227" t="str">
        <f t="shared" si="3"/>
        <v>판매촉진비201509</v>
      </c>
      <c r="F227" t="s">
        <v>704</v>
      </c>
      <c r="G227" t="s">
        <v>697</v>
      </c>
      <c r="H227" t="s">
        <v>42</v>
      </c>
      <c r="I227" t="s">
        <v>703</v>
      </c>
      <c r="J227">
        <v>90798.938667385955</v>
      </c>
      <c r="K227" t="s">
        <v>224</v>
      </c>
    </row>
    <row r="228" spans="1:11">
      <c r="A228" t="str">
        <f t="shared" si="3"/>
        <v>판매촉진비201510</v>
      </c>
      <c r="F228" t="s">
        <v>704</v>
      </c>
      <c r="G228" t="s">
        <v>697</v>
      </c>
      <c r="H228" t="s">
        <v>1</v>
      </c>
      <c r="I228" t="s">
        <v>703</v>
      </c>
      <c r="J228">
        <v>390413.56871270383</v>
      </c>
      <c r="K228" t="s">
        <v>224</v>
      </c>
    </row>
    <row r="229" spans="1:11">
      <c r="A229" t="str">
        <f t="shared" si="3"/>
        <v xml:space="preserve">전년대비2015  </v>
      </c>
      <c r="F229" t="s">
        <v>705</v>
      </c>
      <c r="G229" t="s">
        <v>697</v>
      </c>
      <c r="H229" t="s">
        <v>706</v>
      </c>
      <c r="I229" t="s">
        <v>21</v>
      </c>
      <c r="J229">
        <v>385956804.2068398</v>
      </c>
      <c r="K229" t="s">
        <v>224</v>
      </c>
    </row>
    <row r="230" spans="1:11">
      <c r="A230" t="str">
        <f t="shared" si="3"/>
        <v>전년대비201501</v>
      </c>
      <c r="F230" t="s">
        <v>705</v>
      </c>
      <c r="G230" t="s">
        <v>697</v>
      </c>
      <c r="H230" t="s">
        <v>34</v>
      </c>
      <c r="I230" t="s">
        <v>21</v>
      </c>
      <c r="J230">
        <v>21767478.471088976</v>
      </c>
      <c r="K230" t="s">
        <v>224</v>
      </c>
    </row>
    <row r="231" spans="1:11">
      <c r="A231" t="str">
        <f t="shared" si="3"/>
        <v>전년대비201502</v>
      </c>
      <c r="F231" t="s">
        <v>705</v>
      </c>
      <c r="G231" t="s">
        <v>697</v>
      </c>
      <c r="H231" t="s">
        <v>35</v>
      </c>
      <c r="I231" t="s">
        <v>21</v>
      </c>
      <c r="J231">
        <v>23519360.468885101</v>
      </c>
      <c r="K231" t="s">
        <v>224</v>
      </c>
    </row>
    <row r="232" spans="1:11">
      <c r="A232" t="str">
        <f t="shared" si="3"/>
        <v>전년대비201503</v>
      </c>
      <c r="F232" t="s">
        <v>705</v>
      </c>
      <c r="G232" t="s">
        <v>697</v>
      </c>
      <c r="H232" t="s">
        <v>36</v>
      </c>
      <c r="I232" t="s">
        <v>21</v>
      </c>
      <c r="J232">
        <v>28400622.585701201</v>
      </c>
      <c r="K232" t="s">
        <v>224</v>
      </c>
    </row>
    <row r="233" spans="1:11">
      <c r="A233" t="str">
        <f t="shared" si="3"/>
        <v>전년대비201504</v>
      </c>
      <c r="F233" t="s">
        <v>705</v>
      </c>
      <c r="G233" t="s">
        <v>697</v>
      </c>
      <c r="H233" t="s">
        <v>37</v>
      </c>
      <c r="I233" t="s">
        <v>21</v>
      </c>
      <c r="J233">
        <v>29411465.54363434</v>
      </c>
      <c r="K233" t="s">
        <v>224</v>
      </c>
    </row>
    <row r="234" spans="1:11">
      <c r="A234" t="str">
        <f t="shared" si="3"/>
        <v>전년대비201505</v>
      </c>
      <c r="F234" t="s">
        <v>705</v>
      </c>
      <c r="G234" t="s">
        <v>697</v>
      </c>
      <c r="H234" t="s">
        <v>38</v>
      </c>
      <c r="I234" t="s">
        <v>21</v>
      </c>
      <c r="J234">
        <v>37977180.4835563</v>
      </c>
      <c r="K234" t="s">
        <v>224</v>
      </c>
    </row>
    <row r="235" spans="1:11">
      <c r="A235" t="str">
        <f t="shared" si="3"/>
        <v>전년대비201506</v>
      </c>
      <c r="F235" t="s">
        <v>705</v>
      </c>
      <c r="G235" t="s">
        <v>697</v>
      </c>
      <c r="H235" t="s">
        <v>39</v>
      </c>
      <c r="I235" t="s">
        <v>21</v>
      </c>
      <c r="J235">
        <v>18082622.135986999</v>
      </c>
      <c r="K235" t="s">
        <v>224</v>
      </c>
    </row>
    <row r="236" spans="1:11">
      <c r="A236" t="str">
        <f t="shared" si="3"/>
        <v>전년대비201507</v>
      </c>
      <c r="F236" t="s">
        <v>705</v>
      </c>
      <c r="G236" t="s">
        <v>697</v>
      </c>
      <c r="H236" t="s">
        <v>40</v>
      </c>
      <c r="I236" t="s">
        <v>21</v>
      </c>
      <c r="J236">
        <v>21420114.715453841</v>
      </c>
      <c r="K236" t="s">
        <v>224</v>
      </c>
    </row>
    <row r="237" spans="1:11">
      <c r="A237" t="str">
        <f t="shared" si="3"/>
        <v>전년대비201508</v>
      </c>
      <c r="F237" t="s">
        <v>705</v>
      </c>
      <c r="G237" t="s">
        <v>697</v>
      </c>
      <c r="H237" t="s">
        <v>41</v>
      </c>
      <c r="I237" t="s">
        <v>21</v>
      </c>
      <c r="J237">
        <v>25520996.461300001</v>
      </c>
      <c r="K237" t="s">
        <v>224</v>
      </c>
    </row>
    <row r="238" spans="1:11">
      <c r="A238" t="str">
        <f t="shared" si="3"/>
        <v>전년대비201509</v>
      </c>
      <c r="F238" t="s">
        <v>705</v>
      </c>
      <c r="G238" t="s">
        <v>697</v>
      </c>
      <c r="H238" t="s">
        <v>42</v>
      </c>
      <c r="I238" t="s">
        <v>21</v>
      </c>
      <c r="J238">
        <v>26229212.798145398</v>
      </c>
      <c r="K238" t="s">
        <v>224</v>
      </c>
    </row>
    <row r="239" spans="1:11">
      <c r="A239" t="str">
        <f t="shared" si="3"/>
        <v>전년대비201510</v>
      </c>
      <c r="F239" t="s">
        <v>705</v>
      </c>
      <c r="G239" t="s">
        <v>697</v>
      </c>
      <c r="H239" t="s">
        <v>1</v>
      </c>
      <c r="I239" t="s">
        <v>21</v>
      </c>
      <c r="J239">
        <v>35606255.092559598</v>
      </c>
      <c r="K239" t="s">
        <v>224</v>
      </c>
    </row>
    <row r="240" spans="1:11">
      <c r="A240" t="str">
        <f t="shared" si="3"/>
        <v>전년대비201511</v>
      </c>
      <c r="F240" t="s">
        <v>705</v>
      </c>
      <c r="G240" t="s">
        <v>697</v>
      </c>
      <c r="H240" t="s">
        <v>707</v>
      </c>
      <c r="I240" t="s">
        <v>21</v>
      </c>
      <c r="J240">
        <v>65452793.448495999</v>
      </c>
      <c r="K240" t="s">
        <v>224</v>
      </c>
    </row>
    <row r="241" spans="1:11">
      <c r="A241" t="str">
        <f t="shared" si="3"/>
        <v>전년대비201512</v>
      </c>
      <c r="F241" t="s">
        <v>705</v>
      </c>
      <c r="G241" t="s">
        <v>697</v>
      </c>
      <c r="H241" t="s">
        <v>708</v>
      </c>
      <c r="I241" t="s">
        <v>21</v>
      </c>
      <c r="J241">
        <v>52568702.002031997</v>
      </c>
      <c r="K241" t="s">
        <v>224</v>
      </c>
    </row>
    <row r="242" spans="1:11">
      <c r="A242" t="str">
        <f t="shared" si="3"/>
        <v>전월이동2014</v>
      </c>
      <c r="F242" t="s">
        <v>709</v>
      </c>
      <c r="G242" t="s">
        <v>697</v>
      </c>
      <c r="H242" t="s">
        <v>254</v>
      </c>
      <c r="I242" t="s">
        <v>21</v>
      </c>
      <c r="J242">
        <v>385956804.2068398</v>
      </c>
      <c r="K242" t="s">
        <v>224</v>
      </c>
    </row>
    <row r="243" spans="1:11">
      <c r="A243" t="str">
        <f t="shared" si="3"/>
        <v>전월이동201401</v>
      </c>
      <c r="F243" t="s">
        <v>709</v>
      </c>
      <c r="G243" t="s">
        <v>697</v>
      </c>
      <c r="H243" t="s">
        <v>22</v>
      </c>
      <c r="I243" t="s">
        <v>21</v>
      </c>
      <c r="J243">
        <v>21767478.471088976</v>
      </c>
      <c r="K243" t="s">
        <v>224</v>
      </c>
    </row>
    <row r="244" spans="1:11">
      <c r="A244" t="str">
        <f t="shared" si="3"/>
        <v>전월이동201402</v>
      </c>
      <c r="F244" t="s">
        <v>709</v>
      </c>
      <c r="G244" t="s">
        <v>697</v>
      </c>
      <c r="H244" t="s">
        <v>23</v>
      </c>
      <c r="I244" t="s">
        <v>21</v>
      </c>
      <c r="J244">
        <v>23519360.468885101</v>
      </c>
      <c r="K244" t="s">
        <v>224</v>
      </c>
    </row>
    <row r="245" spans="1:11">
      <c r="A245" t="str">
        <f t="shared" si="3"/>
        <v>전월이동201403</v>
      </c>
      <c r="F245" t="s">
        <v>709</v>
      </c>
      <c r="G245" t="s">
        <v>697</v>
      </c>
      <c r="H245" t="s">
        <v>24</v>
      </c>
      <c r="I245" t="s">
        <v>21</v>
      </c>
      <c r="J245">
        <v>28400622.585701201</v>
      </c>
      <c r="K245" t="s">
        <v>224</v>
      </c>
    </row>
    <row r="246" spans="1:11">
      <c r="A246" t="str">
        <f t="shared" si="3"/>
        <v>전월이동201404</v>
      </c>
      <c r="F246" t="s">
        <v>709</v>
      </c>
      <c r="G246" t="s">
        <v>697</v>
      </c>
      <c r="H246" t="s">
        <v>25</v>
      </c>
      <c r="I246" t="s">
        <v>21</v>
      </c>
      <c r="J246">
        <v>29411465.54363434</v>
      </c>
      <c r="K246" t="s">
        <v>224</v>
      </c>
    </row>
    <row r="247" spans="1:11">
      <c r="A247" t="str">
        <f t="shared" si="3"/>
        <v>전월이동201405</v>
      </c>
      <c r="F247" t="s">
        <v>709</v>
      </c>
      <c r="G247" t="s">
        <v>697</v>
      </c>
      <c r="H247" t="s">
        <v>26</v>
      </c>
      <c r="I247" t="s">
        <v>21</v>
      </c>
      <c r="J247">
        <v>37977180.4835563</v>
      </c>
      <c r="K247" t="s">
        <v>224</v>
      </c>
    </row>
    <row r="248" spans="1:11">
      <c r="A248" t="str">
        <f t="shared" si="3"/>
        <v>전월이동201406</v>
      </c>
      <c r="F248" t="s">
        <v>709</v>
      </c>
      <c r="G248" t="s">
        <v>697</v>
      </c>
      <c r="H248" t="s">
        <v>27</v>
      </c>
      <c r="I248" t="s">
        <v>21</v>
      </c>
      <c r="J248">
        <v>18082622.135986999</v>
      </c>
      <c r="K248" t="s">
        <v>224</v>
      </c>
    </row>
    <row r="249" spans="1:11">
      <c r="A249" t="str">
        <f t="shared" si="3"/>
        <v>전월이동201407</v>
      </c>
      <c r="F249" t="s">
        <v>709</v>
      </c>
      <c r="G249" t="s">
        <v>697</v>
      </c>
      <c r="H249" t="s">
        <v>28</v>
      </c>
      <c r="I249" t="s">
        <v>21</v>
      </c>
      <c r="J249">
        <v>21420114.715453841</v>
      </c>
      <c r="K249" t="s">
        <v>224</v>
      </c>
    </row>
    <row r="250" spans="1:11">
      <c r="A250" t="str">
        <f t="shared" si="3"/>
        <v>전월이동201408</v>
      </c>
      <c r="F250" t="s">
        <v>709</v>
      </c>
      <c r="G250" t="s">
        <v>697</v>
      </c>
      <c r="H250" t="s">
        <v>29</v>
      </c>
      <c r="I250" t="s">
        <v>21</v>
      </c>
      <c r="J250">
        <v>25520996.461300001</v>
      </c>
      <c r="K250" t="s">
        <v>224</v>
      </c>
    </row>
    <row r="251" spans="1:11">
      <c r="A251" t="str">
        <f t="shared" si="3"/>
        <v>전월이동201409</v>
      </c>
      <c r="F251" t="s">
        <v>709</v>
      </c>
      <c r="G251" t="s">
        <v>697</v>
      </c>
      <c r="H251" t="s">
        <v>30</v>
      </c>
      <c r="I251" t="s">
        <v>21</v>
      </c>
      <c r="J251">
        <v>26229212.798145398</v>
      </c>
      <c r="K251" t="s">
        <v>224</v>
      </c>
    </row>
    <row r="252" spans="1:11">
      <c r="A252" t="str">
        <f t="shared" si="3"/>
        <v>전월이동201410</v>
      </c>
      <c r="F252" t="s">
        <v>709</v>
      </c>
      <c r="G252" t="s">
        <v>697</v>
      </c>
      <c r="H252" t="s">
        <v>31</v>
      </c>
      <c r="I252" t="s">
        <v>21</v>
      </c>
      <c r="J252">
        <v>35606255.092559598</v>
      </c>
      <c r="K252" t="s">
        <v>224</v>
      </c>
    </row>
    <row r="253" spans="1:11">
      <c r="A253" t="str">
        <f t="shared" si="3"/>
        <v>전월이동201411</v>
      </c>
      <c r="F253" t="s">
        <v>709</v>
      </c>
      <c r="G253" t="s">
        <v>697</v>
      </c>
      <c r="H253" t="s">
        <v>32</v>
      </c>
      <c r="I253" t="s">
        <v>21</v>
      </c>
      <c r="J253">
        <v>65452793.448495999</v>
      </c>
      <c r="K253" t="s">
        <v>224</v>
      </c>
    </row>
    <row r="254" spans="1:11">
      <c r="A254" t="str">
        <f t="shared" si="3"/>
        <v>전월이동201412</v>
      </c>
      <c r="F254" t="s">
        <v>709</v>
      </c>
      <c r="G254" t="s">
        <v>697</v>
      </c>
      <c r="H254" t="s">
        <v>33</v>
      </c>
      <c r="I254" t="s">
        <v>21</v>
      </c>
      <c r="J254">
        <v>52568702.002031997</v>
      </c>
      <c r="K254" t="s">
        <v>224</v>
      </c>
    </row>
    <row r="255" spans="1:11">
      <c r="A255" t="str">
        <f t="shared" si="3"/>
        <v>전월이동2015</v>
      </c>
      <c r="F255" t="s">
        <v>709</v>
      </c>
      <c r="G255" t="s">
        <v>697</v>
      </c>
      <c r="H255" t="s">
        <v>260</v>
      </c>
      <c r="I255" t="s">
        <v>21</v>
      </c>
      <c r="J255">
        <v>281780102.03643775</v>
      </c>
      <c r="K255" t="s">
        <v>224</v>
      </c>
    </row>
    <row r="256" spans="1:11">
      <c r="A256" t="str">
        <f t="shared" si="3"/>
        <v>전월이동201501</v>
      </c>
      <c r="F256" t="s">
        <v>709</v>
      </c>
      <c r="G256" t="s">
        <v>697</v>
      </c>
      <c r="H256" t="s">
        <v>34</v>
      </c>
      <c r="I256" t="s">
        <v>21</v>
      </c>
      <c r="J256">
        <v>34415762.897494718</v>
      </c>
      <c r="K256" t="s">
        <v>224</v>
      </c>
    </row>
    <row r="257" spans="1:11">
      <c r="A257" t="str">
        <f t="shared" si="3"/>
        <v>전월이동201502</v>
      </c>
      <c r="F257" t="s">
        <v>709</v>
      </c>
      <c r="G257" t="s">
        <v>697</v>
      </c>
      <c r="H257" t="s">
        <v>35</v>
      </c>
      <c r="I257" t="s">
        <v>21</v>
      </c>
      <c r="J257">
        <v>28144687.2938</v>
      </c>
      <c r="K257" t="s">
        <v>224</v>
      </c>
    </row>
    <row r="258" spans="1:11">
      <c r="A258" t="str">
        <f t="shared" si="3"/>
        <v>전월이동201503</v>
      </c>
      <c r="F258" t="s">
        <v>709</v>
      </c>
      <c r="G258" t="s">
        <v>697</v>
      </c>
      <c r="H258" t="s">
        <v>36</v>
      </c>
      <c r="I258" t="s">
        <v>21</v>
      </c>
      <c r="J258">
        <v>31120231.9826</v>
      </c>
      <c r="K258" t="s">
        <v>224</v>
      </c>
    </row>
    <row r="259" spans="1:11">
      <c r="A259" t="str">
        <f t="shared" si="3"/>
        <v>전월이동201504</v>
      </c>
      <c r="F259" t="s">
        <v>709</v>
      </c>
      <c r="G259" t="s">
        <v>697</v>
      </c>
      <c r="H259" t="s">
        <v>37</v>
      </c>
      <c r="I259" t="s">
        <v>21</v>
      </c>
      <c r="J259">
        <v>28498080.909423999</v>
      </c>
      <c r="K259" t="s">
        <v>224</v>
      </c>
    </row>
    <row r="260" spans="1:11">
      <c r="A260" t="str">
        <f t="shared" si="3"/>
        <v>전월이동201505</v>
      </c>
      <c r="F260" t="s">
        <v>709</v>
      </c>
      <c r="G260" t="s">
        <v>697</v>
      </c>
      <c r="H260" t="s">
        <v>38</v>
      </c>
      <c r="I260" t="s">
        <v>21</v>
      </c>
      <c r="J260">
        <v>21039538.571199998</v>
      </c>
      <c r="K260" t="s">
        <v>224</v>
      </c>
    </row>
    <row r="261" spans="1:11">
      <c r="A261" t="str">
        <f t="shared" si="3"/>
        <v>전월이동201506</v>
      </c>
      <c r="F261" t="s">
        <v>709</v>
      </c>
      <c r="G261" t="s">
        <v>697</v>
      </c>
      <c r="H261" t="s">
        <v>39</v>
      </c>
      <c r="I261" t="s">
        <v>21</v>
      </c>
      <c r="J261">
        <v>25258557.344999999</v>
      </c>
      <c r="K261" t="s">
        <v>224</v>
      </c>
    </row>
    <row r="262" spans="1:11">
      <c r="A262" t="str">
        <f t="shared" si="3"/>
        <v>전월이동201507</v>
      </c>
      <c r="F262" t="s">
        <v>709</v>
      </c>
      <c r="G262" t="s">
        <v>697</v>
      </c>
      <c r="H262" t="s">
        <v>40</v>
      </c>
      <c r="I262" t="s">
        <v>21</v>
      </c>
      <c r="J262">
        <v>24986485.956149999</v>
      </c>
      <c r="K262" t="s">
        <v>224</v>
      </c>
    </row>
    <row r="263" spans="1:11">
      <c r="A263" t="str">
        <f t="shared" ref="A263:A326" si="4">F263&amp;H263</f>
        <v>전월이동201508</v>
      </c>
      <c r="F263" t="s">
        <v>709</v>
      </c>
      <c r="G263" t="s">
        <v>697</v>
      </c>
      <c r="H263" t="s">
        <v>41</v>
      </c>
      <c r="I263" t="s">
        <v>21</v>
      </c>
      <c r="J263">
        <v>22002554.732999999</v>
      </c>
      <c r="K263" t="s">
        <v>224</v>
      </c>
    </row>
    <row r="264" spans="1:11">
      <c r="A264" t="str">
        <f t="shared" si="4"/>
        <v>전월이동201509</v>
      </c>
      <c r="F264" t="s">
        <v>709</v>
      </c>
      <c r="G264" t="s">
        <v>697</v>
      </c>
      <c r="H264" t="s">
        <v>42</v>
      </c>
      <c r="I264" t="s">
        <v>21</v>
      </c>
      <c r="J264">
        <v>28353706.763999999</v>
      </c>
      <c r="K264" t="s">
        <v>224</v>
      </c>
    </row>
    <row r="265" spans="1:11">
      <c r="A265" t="str">
        <f t="shared" si="4"/>
        <v>전월이동201510</v>
      </c>
      <c r="F265" t="s">
        <v>709</v>
      </c>
      <c r="G265" t="s">
        <v>697</v>
      </c>
      <c r="H265" t="s">
        <v>1</v>
      </c>
      <c r="I265" t="s">
        <v>21</v>
      </c>
      <c r="J265">
        <v>37960495.583769001</v>
      </c>
      <c r="K265" t="s">
        <v>224</v>
      </c>
    </row>
    <row r="266" spans="1:11">
      <c r="A266" t="str">
        <f t="shared" si="4"/>
        <v>MostLikely대비(W-1)201510</v>
      </c>
      <c r="F266" t="s">
        <v>710</v>
      </c>
      <c r="G266" t="s">
        <v>697</v>
      </c>
      <c r="H266" t="s">
        <v>1</v>
      </c>
      <c r="I266" t="s">
        <v>21</v>
      </c>
      <c r="J266">
        <v>39525706.075364999</v>
      </c>
      <c r="K266" t="s">
        <v>224</v>
      </c>
    </row>
    <row r="267" spans="1:11">
      <c r="A267" t="str">
        <f t="shared" si="4"/>
        <v>MostLikely대비(W-1)201508</v>
      </c>
      <c r="F267" t="s">
        <v>710</v>
      </c>
      <c r="G267" t="s">
        <v>697</v>
      </c>
      <c r="H267" t="s">
        <v>41</v>
      </c>
      <c r="I267" t="s">
        <v>21</v>
      </c>
      <c r="J267">
        <v>23322708.1257888</v>
      </c>
      <c r="K267" t="s">
        <v>224</v>
      </c>
    </row>
    <row r="268" spans="1:11">
      <c r="A268" t="str">
        <f t="shared" si="4"/>
        <v>MostLikely대비(W-1)201509</v>
      </c>
      <c r="F268" t="s">
        <v>710</v>
      </c>
      <c r="G268" t="s">
        <v>697</v>
      </c>
      <c r="H268" t="s">
        <v>42</v>
      </c>
      <c r="I268" t="s">
        <v>21</v>
      </c>
      <c r="J268">
        <v>28928518.679992002</v>
      </c>
      <c r="K268" t="s">
        <v>224</v>
      </c>
    </row>
    <row r="269" spans="1:11">
      <c r="A269" t="str">
        <f t="shared" si="4"/>
        <v>한계이익2013</v>
      </c>
      <c r="F269" t="s">
        <v>711</v>
      </c>
      <c r="G269" t="s">
        <v>697</v>
      </c>
      <c r="H269" t="s">
        <v>240</v>
      </c>
      <c r="I269" t="s">
        <v>712</v>
      </c>
      <c r="J269">
        <v>81533270.172401756</v>
      </c>
      <c r="K269" t="s">
        <v>224</v>
      </c>
    </row>
    <row r="270" spans="1:11">
      <c r="A270" t="str">
        <f t="shared" si="4"/>
        <v>한계이익201301</v>
      </c>
      <c r="F270" t="s">
        <v>711</v>
      </c>
      <c r="G270" t="s">
        <v>697</v>
      </c>
      <c r="H270" t="s">
        <v>242</v>
      </c>
      <c r="I270" t="s">
        <v>712</v>
      </c>
      <c r="J270">
        <v>5518191.4266222613</v>
      </c>
      <c r="K270" t="s">
        <v>224</v>
      </c>
    </row>
    <row r="271" spans="1:11">
      <c r="A271" t="str">
        <f t="shared" si="4"/>
        <v>한계이익201302</v>
      </c>
      <c r="F271" t="s">
        <v>711</v>
      </c>
      <c r="G271" t="s">
        <v>697</v>
      </c>
      <c r="H271" t="s">
        <v>243</v>
      </c>
      <c r="I271" t="s">
        <v>712</v>
      </c>
      <c r="J271">
        <v>4152623.7969230441</v>
      </c>
      <c r="K271" t="s">
        <v>224</v>
      </c>
    </row>
    <row r="272" spans="1:11">
      <c r="A272" t="str">
        <f t="shared" si="4"/>
        <v>한계이익201303</v>
      </c>
      <c r="F272" t="s">
        <v>711</v>
      </c>
      <c r="G272" t="s">
        <v>697</v>
      </c>
      <c r="H272" t="s">
        <v>244</v>
      </c>
      <c r="I272" t="s">
        <v>712</v>
      </c>
      <c r="J272">
        <v>5082810.5425370764</v>
      </c>
      <c r="K272" t="s">
        <v>224</v>
      </c>
    </row>
    <row r="273" spans="1:11">
      <c r="A273" t="str">
        <f t="shared" si="4"/>
        <v>한계이익201304</v>
      </c>
      <c r="F273" t="s">
        <v>711</v>
      </c>
      <c r="G273" t="s">
        <v>697</v>
      </c>
      <c r="H273" t="s">
        <v>245</v>
      </c>
      <c r="I273" t="s">
        <v>712</v>
      </c>
      <c r="J273">
        <v>6660105.0197752491</v>
      </c>
      <c r="K273" t="s">
        <v>224</v>
      </c>
    </row>
    <row r="274" spans="1:11">
      <c r="A274" t="str">
        <f t="shared" si="4"/>
        <v>한계이익201305</v>
      </c>
      <c r="F274" t="s">
        <v>711</v>
      </c>
      <c r="G274" t="s">
        <v>697</v>
      </c>
      <c r="H274" t="s">
        <v>246</v>
      </c>
      <c r="I274" t="s">
        <v>712</v>
      </c>
      <c r="J274">
        <v>9767670.6627964713</v>
      </c>
      <c r="K274" t="s">
        <v>224</v>
      </c>
    </row>
    <row r="275" spans="1:11">
      <c r="A275" t="str">
        <f t="shared" si="4"/>
        <v>한계이익201306</v>
      </c>
      <c r="F275" t="s">
        <v>711</v>
      </c>
      <c r="G275" t="s">
        <v>697</v>
      </c>
      <c r="H275" t="s">
        <v>247</v>
      </c>
      <c r="I275" t="s">
        <v>712</v>
      </c>
      <c r="J275">
        <v>8470386.0080122966</v>
      </c>
      <c r="K275" t="s">
        <v>224</v>
      </c>
    </row>
    <row r="276" spans="1:11">
      <c r="A276" t="str">
        <f t="shared" si="4"/>
        <v>한계이익201307</v>
      </c>
      <c r="F276" t="s">
        <v>711</v>
      </c>
      <c r="G276" t="s">
        <v>697</v>
      </c>
      <c r="H276" t="s">
        <v>248</v>
      </c>
      <c r="I276" t="s">
        <v>712</v>
      </c>
      <c r="J276">
        <v>6133559.3956841808</v>
      </c>
      <c r="K276" t="s">
        <v>224</v>
      </c>
    </row>
    <row r="277" spans="1:11">
      <c r="A277" t="str">
        <f t="shared" si="4"/>
        <v>한계이익201308</v>
      </c>
      <c r="F277" t="s">
        <v>711</v>
      </c>
      <c r="G277" t="s">
        <v>697</v>
      </c>
      <c r="H277" t="s">
        <v>249</v>
      </c>
      <c r="I277" t="s">
        <v>712</v>
      </c>
      <c r="J277">
        <v>8464765.8344022296</v>
      </c>
      <c r="K277" t="s">
        <v>224</v>
      </c>
    </row>
    <row r="278" spans="1:11">
      <c r="A278" t="str">
        <f t="shared" si="4"/>
        <v>한계이익201309</v>
      </c>
      <c r="F278" t="s">
        <v>711</v>
      </c>
      <c r="G278" t="s">
        <v>697</v>
      </c>
      <c r="H278" t="s">
        <v>250</v>
      </c>
      <c r="I278" t="s">
        <v>712</v>
      </c>
      <c r="J278">
        <v>4063702.5607868321</v>
      </c>
      <c r="K278" t="s">
        <v>224</v>
      </c>
    </row>
    <row r="279" spans="1:11">
      <c r="A279" t="str">
        <f t="shared" si="4"/>
        <v>한계이익201310</v>
      </c>
      <c r="F279" t="s">
        <v>711</v>
      </c>
      <c r="G279" t="s">
        <v>697</v>
      </c>
      <c r="H279" t="s">
        <v>251</v>
      </c>
      <c r="I279" t="s">
        <v>712</v>
      </c>
      <c r="J279">
        <v>6862298.0472120177</v>
      </c>
      <c r="K279" t="s">
        <v>224</v>
      </c>
    </row>
    <row r="280" spans="1:11">
      <c r="A280" t="str">
        <f t="shared" si="4"/>
        <v>한계이익201311</v>
      </c>
      <c r="F280" t="s">
        <v>711</v>
      </c>
      <c r="G280" t="s">
        <v>697</v>
      </c>
      <c r="H280" t="s">
        <v>252</v>
      </c>
      <c r="I280" t="s">
        <v>712</v>
      </c>
      <c r="J280">
        <v>14085611.019157503</v>
      </c>
      <c r="K280" t="s">
        <v>224</v>
      </c>
    </row>
    <row r="281" spans="1:11">
      <c r="A281" t="str">
        <f t="shared" si="4"/>
        <v>한계이익201312</v>
      </c>
      <c r="F281" t="s">
        <v>711</v>
      </c>
      <c r="G281" t="s">
        <v>697</v>
      </c>
      <c r="H281" t="s">
        <v>253</v>
      </c>
      <c r="I281" t="s">
        <v>712</v>
      </c>
      <c r="J281">
        <v>2271545.8584925793</v>
      </c>
      <c r="K281" t="s">
        <v>224</v>
      </c>
    </row>
    <row r="282" spans="1:11">
      <c r="A282" t="str">
        <f t="shared" si="4"/>
        <v>한계이익2014</v>
      </c>
      <c r="F282" t="s">
        <v>711</v>
      </c>
      <c r="G282" t="s">
        <v>697</v>
      </c>
      <c r="H282" t="s">
        <v>254</v>
      </c>
      <c r="I282" t="s">
        <v>712</v>
      </c>
      <c r="J282">
        <v>99070252.829811737</v>
      </c>
      <c r="K282" t="s">
        <v>224</v>
      </c>
    </row>
    <row r="283" spans="1:11">
      <c r="A283" t="str">
        <f t="shared" si="4"/>
        <v>한계이익201401</v>
      </c>
      <c r="F283" t="s">
        <v>711</v>
      </c>
      <c r="G283" t="s">
        <v>697</v>
      </c>
      <c r="H283" t="s">
        <v>22</v>
      </c>
      <c r="I283" t="s">
        <v>712</v>
      </c>
      <c r="J283">
        <v>7173448.7543809786</v>
      </c>
      <c r="K283" t="s">
        <v>224</v>
      </c>
    </row>
    <row r="284" spans="1:11">
      <c r="A284" t="str">
        <f t="shared" si="4"/>
        <v>한계이익201402</v>
      </c>
      <c r="F284" t="s">
        <v>711</v>
      </c>
      <c r="G284" t="s">
        <v>697</v>
      </c>
      <c r="H284" t="s">
        <v>23</v>
      </c>
      <c r="I284" t="s">
        <v>712</v>
      </c>
      <c r="J284">
        <v>6937102.2728543971</v>
      </c>
      <c r="K284" t="s">
        <v>224</v>
      </c>
    </row>
    <row r="285" spans="1:11">
      <c r="A285" t="str">
        <f t="shared" si="4"/>
        <v>한계이익201403</v>
      </c>
      <c r="F285" t="s">
        <v>711</v>
      </c>
      <c r="G285" t="s">
        <v>697</v>
      </c>
      <c r="H285" t="s">
        <v>24</v>
      </c>
      <c r="I285" t="s">
        <v>712</v>
      </c>
      <c r="J285">
        <v>8453469.1450264528</v>
      </c>
      <c r="K285" t="s">
        <v>224</v>
      </c>
    </row>
    <row r="286" spans="1:11">
      <c r="A286" t="str">
        <f t="shared" si="4"/>
        <v>한계이익201404</v>
      </c>
      <c r="F286" t="s">
        <v>711</v>
      </c>
      <c r="G286" t="s">
        <v>697</v>
      </c>
      <c r="H286" t="s">
        <v>25</v>
      </c>
      <c r="I286" t="s">
        <v>712</v>
      </c>
      <c r="J286">
        <v>8031958.7793870987</v>
      </c>
      <c r="K286" t="s">
        <v>224</v>
      </c>
    </row>
    <row r="287" spans="1:11">
      <c r="A287" t="str">
        <f t="shared" si="4"/>
        <v>한계이익201405</v>
      </c>
      <c r="F287" t="s">
        <v>711</v>
      </c>
      <c r="G287" t="s">
        <v>697</v>
      </c>
      <c r="H287" t="s">
        <v>26</v>
      </c>
      <c r="I287" t="s">
        <v>712</v>
      </c>
      <c r="J287">
        <v>10794415.890693989</v>
      </c>
      <c r="K287" t="s">
        <v>224</v>
      </c>
    </row>
    <row r="288" spans="1:11">
      <c r="A288" t="str">
        <f t="shared" si="4"/>
        <v>한계이익201406</v>
      </c>
      <c r="F288" t="s">
        <v>711</v>
      </c>
      <c r="G288" t="s">
        <v>697</v>
      </c>
      <c r="H288" t="s">
        <v>27</v>
      </c>
      <c r="I288" t="s">
        <v>712</v>
      </c>
      <c r="J288">
        <v>8237532.0007093456</v>
      </c>
      <c r="K288" t="s">
        <v>224</v>
      </c>
    </row>
    <row r="289" spans="1:11">
      <c r="A289" t="str">
        <f t="shared" si="4"/>
        <v>한계이익201407</v>
      </c>
      <c r="F289" t="s">
        <v>711</v>
      </c>
      <c r="G289" t="s">
        <v>697</v>
      </c>
      <c r="H289" t="s">
        <v>28</v>
      </c>
      <c r="I289" t="s">
        <v>712</v>
      </c>
      <c r="J289">
        <v>7828556.4553635316</v>
      </c>
      <c r="K289" t="s">
        <v>224</v>
      </c>
    </row>
    <row r="290" spans="1:11">
      <c r="A290" t="str">
        <f t="shared" si="4"/>
        <v>한계이익201408</v>
      </c>
      <c r="F290" t="s">
        <v>711</v>
      </c>
      <c r="G290" t="s">
        <v>697</v>
      </c>
      <c r="H290" t="s">
        <v>29</v>
      </c>
      <c r="I290" t="s">
        <v>712</v>
      </c>
      <c r="J290">
        <v>8521151.3627043441</v>
      </c>
      <c r="K290" t="s">
        <v>224</v>
      </c>
    </row>
    <row r="291" spans="1:11">
      <c r="A291" t="str">
        <f t="shared" si="4"/>
        <v>한계이익201409</v>
      </c>
      <c r="F291" t="s">
        <v>711</v>
      </c>
      <c r="G291" t="s">
        <v>697</v>
      </c>
      <c r="H291" t="s">
        <v>30</v>
      </c>
      <c r="I291" t="s">
        <v>712</v>
      </c>
      <c r="J291">
        <v>6498230.1198374201</v>
      </c>
      <c r="K291" t="s">
        <v>224</v>
      </c>
    </row>
    <row r="292" spans="1:11">
      <c r="A292" t="str">
        <f t="shared" si="4"/>
        <v>한계이익201410</v>
      </c>
      <c r="F292" t="s">
        <v>711</v>
      </c>
      <c r="G292" t="s">
        <v>697</v>
      </c>
      <c r="H292" t="s">
        <v>31</v>
      </c>
      <c r="I292" t="s">
        <v>712</v>
      </c>
      <c r="J292">
        <v>7305132.2193411011</v>
      </c>
      <c r="K292" t="s">
        <v>224</v>
      </c>
    </row>
    <row r="293" spans="1:11">
      <c r="A293" t="str">
        <f t="shared" si="4"/>
        <v>한계이익201411</v>
      </c>
      <c r="F293" t="s">
        <v>711</v>
      </c>
      <c r="G293" t="s">
        <v>697</v>
      </c>
      <c r="H293" t="s">
        <v>32</v>
      </c>
      <c r="I293" t="s">
        <v>712</v>
      </c>
      <c r="J293">
        <v>11022020.967390656</v>
      </c>
      <c r="K293" t="s">
        <v>224</v>
      </c>
    </row>
    <row r="294" spans="1:11">
      <c r="A294" t="str">
        <f t="shared" si="4"/>
        <v>한계이익201412</v>
      </c>
      <c r="F294" t="s">
        <v>711</v>
      </c>
      <c r="G294" t="s">
        <v>697</v>
      </c>
      <c r="H294" t="s">
        <v>33</v>
      </c>
      <c r="I294" t="s">
        <v>712</v>
      </c>
      <c r="J294">
        <v>8267234.8621224388</v>
      </c>
      <c r="K294" t="s">
        <v>224</v>
      </c>
    </row>
    <row r="295" spans="1:11">
      <c r="A295" t="str">
        <f t="shared" si="4"/>
        <v>한계이익2015</v>
      </c>
      <c r="F295" t="s">
        <v>711</v>
      </c>
      <c r="G295" t="s">
        <v>697</v>
      </c>
      <c r="H295" t="s">
        <v>260</v>
      </c>
      <c r="I295" t="s">
        <v>712</v>
      </c>
      <c r="J295">
        <v>82144364.585068762</v>
      </c>
      <c r="K295" t="s">
        <v>224</v>
      </c>
    </row>
    <row r="296" spans="1:11">
      <c r="A296" t="str">
        <f t="shared" si="4"/>
        <v>한계이익201501</v>
      </c>
      <c r="F296" t="s">
        <v>711</v>
      </c>
      <c r="G296" t="s">
        <v>697</v>
      </c>
      <c r="H296" t="s">
        <v>34</v>
      </c>
      <c r="I296" t="s">
        <v>712</v>
      </c>
      <c r="J296">
        <v>8721050.3740865923</v>
      </c>
      <c r="K296" t="s">
        <v>224</v>
      </c>
    </row>
    <row r="297" spans="1:11">
      <c r="A297" t="str">
        <f t="shared" si="4"/>
        <v>한계이익201502</v>
      </c>
      <c r="F297" t="s">
        <v>711</v>
      </c>
      <c r="G297" t="s">
        <v>697</v>
      </c>
      <c r="H297" t="s">
        <v>35</v>
      </c>
      <c r="I297" t="s">
        <v>712</v>
      </c>
      <c r="J297">
        <v>6064333.818904615</v>
      </c>
      <c r="K297" t="s">
        <v>224</v>
      </c>
    </row>
    <row r="298" spans="1:11">
      <c r="A298" t="str">
        <f t="shared" si="4"/>
        <v>한계이익201503</v>
      </c>
      <c r="F298" t="s">
        <v>711</v>
      </c>
      <c r="G298" t="s">
        <v>697</v>
      </c>
      <c r="H298" t="s">
        <v>36</v>
      </c>
      <c r="I298" t="s">
        <v>712</v>
      </c>
      <c r="J298">
        <v>7455435.0210125875</v>
      </c>
      <c r="K298" t="s">
        <v>224</v>
      </c>
    </row>
    <row r="299" spans="1:11">
      <c r="A299" t="str">
        <f t="shared" si="4"/>
        <v>한계이익201504</v>
      </c>
      <c r="F299" t="s">
        <v>711</v>
      </c>
      <c r="G299" t="s">
        <v>697</v>
      </c>
      <c r="H299" t="s">
        <v>37</v>
      </c>
      <c r="I299" t="s">
        <v>712</v>
      </c>
      <c r="J299">
        <v>7288442.5311684553</v>
      </c>
      <c r="K299" t="s">
        <v>224</v>
      </c>
    </row>
    <row r="300" spans="1:11">
      <c r="A300" t="str">
        <f t="shared" si="4"/>
        <v>한계이익201505</v>
      </c>
      <c r="F300" t="s">
        <v>711</v>
      </c>
      <c r="G300" t="s">
        <v>697</v>
      </c>
      <c r="H300" t="s">
        <v>38</v>
      </c>
      <c r="I300" t="s">
        <v>712</v>
      </c>
      <c r="J300">
        <v>7717157.0616820427</v>
      </c>
      <c r="K300" t="s">
        <v>224</v>
      </c>
    </row>
    <row r="301" spans="1:11">
      <c r="A301" t="str">
        <f t="shared" si="4"/>
        <v>한계이익201506</v>
      </c>
      <c r="F301" t="s">
        <v>711</v>
      </c>
      <c r="G301" t="s">
        <v>697</v>
      </c>
      <c r="H301" t="s">
        <v>39</v>
      </c>
      <c r="I301" t="s">
        <v>712</v>
      </c>
      <c r="J301">
        <v>8430162.8278715145</v>
      </c>
      <c r="K301" t="s">
        <v>224</v>
      </c>
    </row>
    <row r="302" spans="1:11">
      <c r="A302" t="str">
        <f t="shared" si="4"/>
        <v>한계이익201507</v>
      </c>
      <c r="F302" t="s">
        <v>711</v>
      </c>
      <c r="G302" t="s">
        <v>697</v>
      </c>
      <c r="H302" t="s">
        <v>40</v>
      </c>
      <c r="I302" t="s">
        <v>712</v>
      </c>
      <c r="J302">
        <v>10331451.804558566</v>
      </c>
      <c r="K302" t="s">
        <v>224</v>
      </c>
    </row>
    <row r="303" spans="1:11">
      <c r="A303" t="str">
        <f t="shared" si="4"/>
        <v>한계이익201508</v>
      </c>
      <c r="F303" t="s">
        <v>711</v>
      </c>
      <c r="G303" t="s">
        <v>697</v>
      </c>
      <c r="H303" t="s">
        <v>41</v>
      </c>
      <c r="I303" t="s">
        <v>712</v>
      </c>
      <c r="J303">
        <v>8860503.8727244791</v>
      </c>
      <c r="K303" t="s">
        <v>224</v>
      </c>
    </row>
    <row r="304" spans="1:11">
      <c r="A304" t="str">
        <f t="shared" si="4"/>
        <v>한계이익201509</v>
      </c>
      <c r="F304" t="s">
        <v>711</v>
      </c>
      <c r="G304" t="s">
        <v>697</v>
      </c>
      <c r="H304" t="s">
        <v>42</v>
      </c>
      <c r="I304" t="s">
        <v>712</v>
      </c>
      <c r="J304">
        <v>8592554.0973907877</v>
      </c>
      <c r="K304" t="s">
        <v>224</v>
      </c>
    </row>
    <row r="305" spans="1:11">
      <c r="A305" t="str">
        <f t="shared" si="4"/>
        <v>한계이익201510</v>
      </c>
      <c r="F305" t="s">
        <v>711</v>
      </c>
      <c r="G305" t="s">
        <v>697</v>
      </c>
      <c r="H305" t="s">
        <v>1</v>
      </c>
      <c r="I305" t="s">
        <v>712</v>
      </c>
      <c r="J305">
        <v>8683273.1756691094</v>
      </c>
      <c r="K305" t="s">
        <v>224</v>
      </c>
    </row>
    <row r="306" spans="1:11">
      <c r="A306" t="str">
        <f t="shared" si="4"/>
        <v>한계적자매출2013</v>
      </c>
      <c r="F306" t="s">
        <v>713</v>
      </c>
      <c r="G306" t="s">
        <v>697</v>
      </c>
      <c r="H306" t="s">
        <v>240</v>
      </c>
      <c r="I306" t="s">
        <v>712</v>
      </c>
      <c r="J306">
        <v>-10194778.476788681</v>
      </c>
      <c r="K306" t="s">
        <v>224</v>
      </c>
    </row>
    <row r="307" spans="1:11">
      <c r="A307" t="str">
        <f t="shared" si="4"/>
        <v>한계적자매출201301</v>
      </c>
      <c r="F307" t="s">
        <v>713</v>
      </c>
      <c r="G307" t="s">
        <v>697</v>
      </c>
      <c r="H307" t="s">
        <v>242</v>
      </c>
      <c r="I307" t="s">
        <v>712</v>
      </c>
      <c r="J307">
        <v>-824388.38366583094</v>
      </c>
      <c r="K307" t="s">
        <v>224</v>
      </c>
    </row>
    <row r="308" spans="1:11">
      <c r="A308" t="str">
        <f t="shared" si="4"/>
        <v>한계적자매출201302</v>
      </c>
      <c r="F308" t="s">
        <v>713</v>
      </c>
      <c r="G308" t="s">
        <v>697</v>
      </c>
      <c r="H308" t="s">
        <v>243</v>
      </c>
      <c r="I308" t="s">
        <v>712</v>
      </c>
      <c r="J308">
        <v>-291185.65162241098</v>
      </c>
      <c r="K308" t="s">
        <v>224</v>
      </c>
    </row>
    <row r="309" spans="1:11">
      <c r="A309" t="str">
        <f t="shared" si="4"/>
        <v>한계적자매출201303</v>
      </c>
      <c r="F309" t="s">
        <v>713</v>
      </c>
      <c r="G309" t="s">
        <v>697</v>
      </c>
      <c r="H309" t="s">
        <v>244</v>
      </c>
      <c r="I309" t="s">
        <v>712</v>
      </c>
      <c r="J309">
        <v>-172202.682933926</v>
      </c>
      <c r="K309" t="s">
        <v>224</v>
      </c>
    </row>
    <row r="310" spans="1:11">
      <c r="A310" t="str">
        <f t="shared" si="4"/>
        <v>한계적자매출201304</v>
      </c>
      <c r="F310" t="s">
        <v>713</v>
      </c>
      <c r="G310" t="s">
        <v>697</v>
      </c>
      <c r="H310" t="s">
        <v>245</v>
      </c>
      <c r="I310" t="s">
        <v>712</v>
      </c>
      <c r="J310">
        <v>-642510.65633093799</v>
      </c>
      <c r="K310" t="s">
        <v>224</v>
      </c>
    </row>
    <row r="311" spans="1:11">
      <c r="A311" t="str">
        <f t="shared" si="4"/>
        <v>한계적자매출201305</v>
      </c>
      <c r="F311" t="s">
        <v>713</v>
      </c>
      <c r="G311" t="s">
        <v>697</v>
      </c>
      <c r="H311" t="s">
        <v>246</v>
      </c>
      <c r="I311" t="s">
        <v>712</v>
      </c>
      <c r="J311">
        <v>77253.626700140405</v>
      </c>
      <c r="K311" t="s">
        <v>224</v>
      </c>
    </row>
    <row r="312" spans="1:11">
      <c r="A312" t="str">
        <f t="shared" si="4"/>
        <v>한계적자매출201306</v>
      </c>
      <c r="F312" t="s">
        <v>713</v>
      </c>
      <c r="G312" t="s">
        <v>697</v>
      </c>
      <c r="H312" t="s">
        <v>247</v>
      </c>
      <c r="I312" t="s">
        <v>712</v>
      </c>
      <c r="J312">
        <v>-427338.24025334098</v>
      </c>
      <c r="K312" t="s">
        <v>224</v>
      </c>
    </row>
    <row r="313" spans="1:11">
      <c r="A313" t="str">
        <f t="shared" si="4"/>
        <v>한계적자매출201307</v>
      </c>
      <c r="F313" t="s">
        <v>713</v>
      </c>
      <c r="G313" t="s">
        <v>697</v>
      </c>
      <c r="H313" t="s">
        <v>248</v>
      </c>
      <c r="I313" t="s">
        <v>712</v>
      </c>
      <c r="J313">
        <v>-395579.84966201702</v>
      </c>
      <c r="K313" t="s">
        <v>224</v>
      </c>
    </row>
    <row r="314" spans="1:11">
      <c r="A314" t="str">
        <f t="shared" si="4"/>
        <v>한계적자매출201308</v>
      </c>
      <c r="F314" t="s">
        <v>713</v>
      </c>
      <c r="G314" t="s">
        <v>697</v>
      </c>
      <c r="H314" t="s">
        <v>249</v>
      </c>
      <c r="I314" t="s">
        <v>712</v>
      </c>
      <c r="J314">
        <v>-459437.33539424703</v>
      </c>
      <c r="K314" t="s">
        <v>224</v>
      </c>
    </row>
    <row r="315" spans="1:11">
      <c r="A315" t="str">
        <f t="shared" si="4"/>
        <v>한계적자매출201309</v>
      </c>
      <c r="F315" t="s">
        <v>713</v>
      </c>
      <c r="G315" t="s">
        <v>697</v>
      </c>
      <c r="H315" t="s">
        <v>250</v>
      </c>
      <c r="I315" t="s">
        <v>712</v>
      </c>
      <c r="J315">
        <v>-2584799.6579861999</v>
      </c>
      <c r="K315" t="s">
        <v>224</v>
      </c>
    </row>
    <row r="316" spans="1:11">
      <c r="A316" t="str">
        <f t="shared" si="4"/>
        <v>한계적자매출201310</v>
      </c>
      <c r="F316" t="s">
        <v>713</v>
      </c>
      <c r="G316" t="s">
        <v>697</v>
      </c>
      <c r="H316" t="s">
        <v>251</v>
      </c>
      <c r="I316" t="s">
        <v>712</v>
      </c>
      <c r="J316">
        <v>-1360046.1082172201</v>
      </c>
      <c r="K316" t="s">
        <v>224</v>
      </c>
    </row>
    <row r="317" spans="1:11">
      <c r="A317" t="str">
        <f t="shared" si="4"/>
        <v>한계적자매출201311</v>
      </c>
      <c r="F317" t="s">
        <v>713</v>
      </c>
      <c r="G317" t="s">
        <v>697</v>
      </c>
      <c r="H317" t="s">
        <v>252</v>
      </c>
      <c r="I317" t="s">
        <v>712</v>
      </c>
      <c r="J317">
        <v>-406908.12027247198</v>
      </c>
      <c r="K317" t="s">
        <v>224</v>
      </c>
    </row>
    <row r="318" spans="1:11">
      <c r="A318" t="str">
        <f t="shared" si="4"/>
        <v>한계적자매출201312</v>
      </c>
      <c r="F318" t="s">
        <v>713</v>
      </c>
      <c r="G318" t="s">
        <v>697</v>
      </c>
      <c r="H318" t="s">
        <v>253</v>
      </c>
      <c r="I318" t="s">
        <v>712</v>
      </c>
      <c r="J318">
        <v>-2707635.4171502199</v>
      </c>
      <c r="K318" t="s">
        <v>224</v>
      </c>
    </row>
    <row r="319" spans="1:11">
      <c r="A319" t="str">
        <f t="shared" si="4"/>
        <v>한계적자매출2014</v>
      </c>
      <c r="F319" t="s">
        <v>713</v>
      </c>
      <c r="G319" t="s">
        <v>697</v>
      </c>
      <c r="H319" t="s">
        <v>254</v>
      </c>
      <c r="I319" t="s">
        <v>712</v>
      </c>
      <c r="J319">
        <v>-9148527.0426305607</v>
      </c>
      <c r="K319" t="s">
        <v>224</v>
      </c>
    </row>
    <row r="320" spans="1:11">
      <c r="A320" t="str">
        <f t="shared" si="4"/>
        <v>한계적자매출201401</v>
      </c>
      <c r="F320" t="s">
        <v>713</v>
      </c>
      <c r="G320" t="s">
        <v>697</v>
      </c>
      <c r="H320" t="s">
        <v>22</v>
      </c>
      <c r="I320" t="s">
        <v>712</v>
      </c>
      <c r="J320">
        <v>-1791365.43915122</v>
      </c>
      <c r="K320" t="s">
        <v>224</v>
      </c>
    </row>
    <row r="321" spans="1:11">
      <c r="A321" t="str">
        <f t="shared" si="4"/>
        <v>한계적자매출201402</v>
      </c>
      <c r="F321" t="s">
        <v>713</v>
      </c>
      <c r="G321" t="s">
        <v>697</v>
      </c>
      <c r="H321" t="s">
        <v>23</v>
      </c>
      <c r="I321" t="s">
        <v>712</v>
      </c>
      <c r="J321">
        <v>-1591311.80212502</v>
      </c>
      <c r="K321" t="s">
        <v>224</v>
      </c>
    </row>
    <row r="322" spans="1:11">
      <c r="A322" t="str">
        <f t="shared" si="4"/>
        <v>한계적자매출201403</v>
      </c>
      <c r="F322" t="s">
        <v>713</v>
      </c>
      <c r="G322" t="s">
        <v>697</v>
      </c>
      <c r="H322" t="s">
        <v>24</v>
      </c>
      <c r="I322" t="s">
        <v>712</v>
      </c>
      <c r="J322">
        <v>-247618.03613202</v>
      </c>
      <c r="K322" t="s">
        <v>224</v>
      </c>
    </row>
    <row r="323" spans="1:11">
      <c r="A323" t="str">
        <f t="shared" si="4"/>
        <v>한계적자매출201404</v>
      </c>
      <c r="F323" t="s">
        <v>713</v>
      </c>
      <c r="G323" t="s">
        <v>697</v>
      </c>
      <c r="H323" t="s">
        <v>25</v>
      </c>
      <c r="I323" t="s">
        <v>712</v>
      </c>
      <c r="J323">
        <v>-670926.38270973205</v>
      </c>
      <c r="K323" t="s">
        <v>224</v>
      </c>
    </row>
    <row r="324" spans="1:11">
      <c r="A324" t="str">
        <f t="shared" si="4"/>
        <v>한계적자매출201405</v>
      </c>
      <c r="F324" t="s">
        <v>713</v>
      </c>
      <c r="G324" t="s">
        <v>697</v>
      </c>
      <c r="H324" t="s">
        <v>26</v>
      </c>
      <c r="I324" t="s">
        <v>712</v>
      </c>
      <c r="J324">
        <v>-346426.24075789098</v>
      </c>
      <c r="K324" t="s">
        <v>224</v>
      </c>
    </row>
    <row r="325" spans="1:11">
      <c r="A325" t="str">
        <f t="shared" si="4"/>
        <v>한계적자매출201406</v>
      </c>
      <c r="F325" t="s">
        <v>713</v>
      </c>
      <c r="G325" t="s">
        <v>697</v>
      </c>
      <c r="H325" t="s">
        <v>27</v>
      </c>
      <c r="I325" t="s">
        <v>712</v>
      </c>
      <c r="J325">
        <v>-229750.19847172601</v>
      </c>
      <c r="K325" t="s">
        <v>224</v>
      </c>
    </row>
    <row r="326" spans="1:11">
      <c r="A326" t="str">
        <f t="shared" si="4"/>
        <v>한계적자매출201407</v>
      </c>
      <c r="F326" t="s">
        <v>713</v>
      </c>
      <c r="G326" t="s">
        <v>697</v>
      </c>
      <c r="H326" t="s">
        <v>28</v>
      </c>
      <c r="I326" t="s">
        <v>712</v>
      </c>
      <c r="J326">
        <v>-57796.796638642998</v>
      </c>
      <c r="K326" t="s">
        <v>224</v>
      </c>
    </row>
    <row r="327" spans="1:11">
      <c r="A327" t="str">
        <f t="shared" ref="A327:A390" si="5">F327&amp;H327</f>
        <v>한계적자매출201408</v>
      </c>
      <c r="F327" t="s">
        <v>713</v>
      </c>
      <c r="G327" t="s">
        <v>697</v>
      </c>
      <c r="H327" t="s">
        <v>29</v>
      </c>
      <c r="I327" t="s">
        <v>712</v>
      </c>
      <c r="J327">
        <v>-621543.62212734495</v>
      </c>
      <c r="K327" t="s">
        <v>224</v>
      </c>
    </row>
    <row r="328" spans="1:11">
      <c r="A328" t="str">
        <f t="shared" si="5"/>
        <v>한계적자매출201409</v>
      </c>
      <c r="F328" t="s">
        <v>713</v>
      </c>
      <c r="G328" t="s">
        <v>697</v>
      </c>
      <c r="H328" t="s">
        <v>30</v>
      </c>
      <c r="I328" t="s">
        <v>712</v>
      </c>
      <c r="J328">
        <v>-643415.96315244294</v>
      </c>
      <c r="K328" t="s">
        <v>224</v>
      </c>
    </row>
    <row r="329" spans="1:11">
      <c r="A329" t="str">
        <f t="shared" si="5"/>
        <v>한계적자매출201410</v>
      </c>
      <c r="F329" t="s">
        <v>713</v>
      </c>
      <c r="G329" t="s">
        <v>697</v>
      </c>
      <c r="H329" t="s">
        <v>31</v>
      </c>
      <c r="I329" t="s">
        <v>712</v>
      </c>
      <c r="J329">
        <v>-546240.23386315198</v>
      </c>
      <c r="K329" t="s">
        <v>224</v>
      </c>
    </row>
    <row r="330" spans="1:11">
      <c r="A330" t="str">
        <f t="shared" si="5"/>
        <v>한계적자매출201411</v>
      </c>
      <c r="F330" t="s">
        <v>713</v>
      </c>
      <c r="G330" t="s">
        <v>697</v>
      </c>
      <c r="H330" t="s">
        <v>32</v>
      </c>
      <c r="I330" t="s">
        <v>712</v>
      </c>
      <c r="J330">
        <v>-796439.48046686896</v>
      </c>
      <c r="K330" t="s">
        <v>224</v>
      </c>
    </row>
    <row r="331" spans="1:11">
      <c r="A331" t="str">
        <f t="shared" si="5"/>
        <v>한계적자매출201412</v>
      </c>
      <c r="F331" t="s">
        <v>713</v>
      </c>
      <c r="G331" t="s">
        <v>697</v>
      </c>
      <c r="H331" t="s">
        <v>33</v>
      </c>
      <c r="I331" t="s">
        <v>712</v>
      </c>
      <c r="J331">
        <v>-1605692.8470345</v>
      </c>
      <c r="K331" t="s">
        <v>224</v>
      </c>
    </row>
    <row r="332" spans="1:11">
      <c r="A332" t="str">
        <f t="shared" si="5"/>
        <v>한계적자매출2015</v>
      </c>
      <c r="F332" t="s">
        <v>713</v>
      </c>
      <c r="G332" t="s">
        <v>697</v>
      </c>
      <c r="H332" t="s">
        <v>260</v>
      </c>
      <c r="I332" t="s">
        <v>712</v>
      </c>
      <c r="J332">
        <v>-6187542.1615152424</v>
      </c>
      <c r="K332" t="s">
        <v>224</v>
      </c>
    </row>
    <row r="333" spans="1:11">
      <c r="A333" t="str">
        <f t="shared" si="5"/>
        <v>한계적자매출201501</v>
      </c>
      <c r="F333" t="s">
        <v>713</v>
      </c>
      <c r="G333" t="s">
        <v>697</v>
      </c>
      <c r="H333" t="s">
        <v>34</v>
      </c>
      <c r="I333" t="s">
        <v>712</v>
      </c>
      <c r="J333">
        <v>-821342.92033642298</v>
      </c>
      <c r="K333" t="s">
        <v>224</v>
      </c>
    </row>
    <row r="334" spans="1:11">
      <c r="A334" t="str">
        <f t="shared" si="5"/>
        <v>한계적자매출201502</v>
      </c>
      <c r="F334" t="s">
        <v>713</v>
      </c>
      <c r="G334" t="s">
        <v>697</v>
      </c>
      <c r="H334" t="s">
        <v>35</v>
      </c>
      <c r="I334" t="s">
        <v>712</v>
      </c>
      <c r="J334">
        <v>-648845.92359693395</v>
      </c>
      <c r="K334" t="s">
        <v>224</v>
      </c>
    </row>
    <row r="335" spans="1:11">
      <c r="A335" t="str">
        <f t="shared" si="5"/>
        <v>한계적자매출201503</v>
      </c>
      <c r="F335" t="s">
        <v>713</v>
      </c>
      <c r="G335" t="s">
        <v>697</v>
      </c>
      <c r="H335" t="s">
        <v>36</v>
      </c>
      <c r="I335" t="s">
        <v>712</v>
      </c>
      <c r="J335">
        <v>-281625.49047825101</v>
      </c>
      <c r="K335" t="s">
        <v>224</v>
      </c>
    </row>
    <row r="336" spans="1:11">
      <c r="A336" t="str">
        <f t="shared" si="5"/>
        <v>한계적자매출201504</v>
      </c>
      <c r="F336" t="s">
        <v>713</v>
      </c>
      <c r="G336" t="s">
        <v>697</v>
      </c>
      <c r="H336" t="s">
        <v>37</v>
      </c>
      <c r="I336" t="s">
        <v>712</v>
      </c>
      <c r="J336">
        <v>-292728.74615707097</v>
      </c>
      <c r="K336" t="s">
        <v>224</v>
      </c>
    </row>
    <row r="337" spans="1:11">
      <c r="A337" t="str">
        <f t="shared" si="5"/>
        <v>한계적자매출201505</v>
      </c>
      <c r="F337" t="s">
        <v>713</v>
      </c>
      <c r="G337" t="s">
        <v>697</v>
      </c>
      <c r="H337" t="s">
        <v>38</v>
      </c>
      <c r="I337" t="s">
        <v>712</v>
      </c>
      <c r="J337">
        <v>-956193.23066031002</v>
      </c>
      <c r="K337" t="s">
        <v>224</v>
      </c>
    </row>
    <row r="338" spans="1:11">
      <c r="A338" t="str">
        <f t="shared" si="5"/>
        <v>한계적자매출201506</v>
      </c>
      <c r="F338" t="s">
        <v>713</v>
      </c>
      <c r="G338" t="s">
        <v>697</v>
      </c>
      <c r="H338" t="s">
        <v>39</v>
      </c>
      <c r="I338" t="s">
        <v>712</v>
      </c>
      <c r="J338">
        <v>-345194.35514097399</v>
      </c>
      <c r="K338" t="s">
        <v>224</v>
      </c>
    </row>
    <row r="339" spans="1:11">
      <c r="A339" t="str">
        <f t="shared" si="5"/>
        <v>한계적자매출201507</v>
      </c>
      <c r="F339" t="s">
        <v>713</v>
      </c>
      <c r="G339" t="s">
        <v>697</v>
      </c>
      <c r="H339" t="s">
        <v>40</v>
      </c>
      <c r="I339" t="s">
        <v>712</v>
      </c>
      <c r="J339">
        <v>-124500.712838922</v>
      </c>
      <c r="K339" t="s">
        <v>224</v>
      </c>
    </row>
    <row r="340" spans="1:11">
      <c r="A340" t="str">
        <f t="shared" si="5"/>
        <v>한계적자매출201508</v>
      </c>
      <c r="F340" t="s">
        <v>713</v>
      </c>
      <c r="G340" t="s">
        <v>697</v>
      </c>
      <c r="H340" t="s">
        <v>41</v>
      </c>
      <c r="I340" t="s">
        <v>712</v>
      </c>
      <c r="J340">
        <v>-296956.35780901799</v>
      </c>
      <c r="K340" t="s">
        <v>224</v>
      </c>
    </row>
    <row r="341" spans="1:11">
      <c r="A341" t="str">
        <f t="shared" si="5"/>
        <v>한계적자매출201509</v>
      </c>
      <c r="F341" t="s">
        <v>713</v>
      </c>
      <c r="G341" t="s">
        <v>697</v>
      </c>
      <c r="H341" t="s">
        <v>42</v>
      </c>
      <c r="I341" t="s">
        <v>712</v>
      </c>
      <c r="J341">
        <v>-599207.08442393003</v>
      </c>
      <c r="K341" t="s">
        <v>224</v>
      </c>
    </row>
    <row r="342" spans="1:11">
      <c r="A342" t="str">
        <f t="shared" si="5"/>
        <v>한계적자매출201510</v>
      </c>
      <c r="F342" t="s">
        <v>713</v>
      </c>
      <c r="G342" t="s">
        <v>697</v>
      </c>
      <c r="H342" t="s">
        <v>1</v>
      </c>
      <c r="I342" t="s">
        <v>712</v>
      </c>
      <c r="J342">
        <v>-1820947.34007341</v>
      </c>
      <c r="K342" t="s">
        <v>224</v>
      </c>
    </row>
    <row r="343" spans="1:11">
      <c r="A343" t="str">
        <f t="shared" si="5"/>
        <v>역산법2013</v>
      </c>
      <c r="F343" t="s">
        <v>714</v>
      </c>
      <c r="G343" t="s">
        <v>697</v>
      </c>
      <c r="H343" t="s">
        <v>240</v>
      </c>
      <c r="I343" t="s">
        <v>181</v>
      </c>
      <c r="J343">
        <v>217.61517224013821</v>
      </c>
      <c r="K343" t="s">
        <v>224</v>
      </c>
    </row>
    <row r="344" spans="1:11">
      <c r="A344" t="str">
        <f t="shared" si="5"/>
        <v>재고일수2013</v>
      </c>
      <c r="F344" t="s">
        <v>285</v>
      </c>
      <c r="G344" t="s">
        <v>697</v>
      </c>
      <c r="H344" t="s">
        <v>240</v>
      </c>
      <c r="I344" t="s">
        <v>180</v>
      </c>
      <c r="J344">
        <v>246.59079027221171</v>
      </c>
      <c r="K344" t="s">
        <v>224</v>
      </c>
    </row>
    <row r="345" spans="1:11">
      <c r="A345" t="str">
        <f t="shared" si="5"/>
        <v>역산법201301</v>
      </c>
      <c r="F345" t="s">
        <v>714</v>
      </c>
      <c r="G345" t="s">
        <v>697</v>
      </c>
      <c r="H345" t="s">
        <v>242</v>
      </c>
      <c r="I345" t="s">
        <v>181</v>
      </c>
      <c r="J345">
        <v>13.4680257071842</v>
      </c>
      <c r="K345" t="s">
        <v>224</v>
      </c>
    </row>
    <row r="346" spans="1:11">
      <c r="A346" t="str">
        <f t="shared" si="5"/>
        <v>재고일수201301</v>
      </c>
      <c r="F346" t="s">
        <v>285</v>
      </c>
      <c r="G346" t="s">
        <v>697</v>
      </c>
      <c r="H346" t="s">
        <v>242</v>
      </c>
      <c r="I346" t="s">
        <v>180</v>
      </c>
      <c r="J346">
        <v>19.259695535185301</v>
      </c>
      <c r="K346" t="s">
        <v>224</v>
      </c>
    </row>
    <row r="347" spans="1:11">
      <c r="A347" t="str">
        <f t="shared" si="5"/>
        <v>역산법201302</v>
      </c>
      <c r="F347" t="s">
        <v>714</v>
      </c>
      <c r="G347" t="s">
        <v>697</v>
      </c>
      <c r="H347" t="s">
        <v>243</v>
      </c>
      <c r="I347" t="s">
        <v>181</v>
      </c>
      <c r="J347">
        <v>13.77899584767</v>
      </c>
      <c r="K347" t="s">
        <v>224</v>
      </c>
    </row>
    <row r="348" spans="1:11">
      <c r="A348" t="str">
        <f t="shared" si="5"/>
        <v>재고일수201302</v>
      </c>
      <c r="F348" t="s">
        <v>285</v>
      </c>
      <c r="G348" t="s">
        <v>697</v>
      </c>
      <c r="H348" t="s">
        <v>243</v>
      </c>
      <c r="I348" t="s">
        <v>180</v>
      </c>
      <c r="J348">
        <v>7.6344259247776902</v>
      </c>
      <c r="K348" t="s">
        <v>224</v>
      </c>
    </row>
    <row r="349" spans="1:11">
      <c r="A349" t="str">
        <f t="shared" si="5"/>
        <v>역산법201303</v>
      </c>
      <c r="F349" t="s">
        <v>714</v>
      </c>
      <c r="G349" t="s">
        <v>697</v>
      </c>
      <c r="H349" t="s">
        <v>244</v>
      </c>
      <c r="I349" t="s">
        <v>181</v>
      </c>
      <c r="J349">
        <v>13.396634245085201</v>
      </c>
      <c r="K349" t="s">
        <v>224</v>
      </c>
    </row>
    <row r="350" spans="1:11">
      <c r="A350" t="str">
        <f t="shared" si="5"/>
        <v>재고일수201303</v>
      </c>
      <c r="F350" t="s">
        <v>285</v>
      </c>
      <c r="G350" t="s">
        <v>697</v>
      </c>
      <c r="H350" t="s">
        <v>244</v>
      </c>
      <c r="I350" t="s">
        <v>180</v>
      </c>
      <c r="J350">
        <v>14.124979403294001</v>
      </c>
      <c r="K350" t="s">
        <v>224</v>
      </c>
    </row>
    <row r="351" spans="1:11">
      <c r="A351" t="str">
        <f t="shared" si="5"/>
        <v>역산법201304</v>
      </c>
      <c r="F351" t="s">
        <v>714</v>
      </c>
      <c r="G351" t="s">
        <v>697</v>
      </c>
      <c r="H351" t="s">
        <v>245</v>
      </c>
      <c r="I351" t="s">
        <v>181</v>
      </c>
      <c r="J351">
        <v>14.9777183854687</v>
      </c>
      <c r="K351" t="s">
        <v>224</v>
      </c>
    </row>
    <row r="352" spans="1:11">
      <c r="A352" t="str">
        <f t="shared" si="5"/>
        <v>재고일수201304</v>
      </c>
      <c r="F352" t="s">
        <v>285</v>
      </c>
      <c r="G352" t="s">
        <v>697</v>
      </c>
      <c r="H352" t="s">
        <v>245</v>
      </c>
      <c r="I352" t="s">
        <v>180</v>
      </c>
      <c r="J352">
        <v>19.4407412203104</v>
      </c>
      <c r="K352" t="s">
        <v>224</v>
      </c>
    </row>
    <row r="353" spans="1:11">
      <c r="A353" t="str">
        <f t="shared" si="5"/>
        <v>역산법201305</v>
      </c>
      <c r="F353" t="s">
        <v>714</v>
      </c>
      <c r="G353" t="s">
        <v>697</v>
      </c>
      <c r="H353" t="s">
        <v>246</v>
      </c>
      <c r="I353" t="s">
        <v>181</v>
      </c>
      <c r="J353">
        <v>16.754537669717202</v>
      </c>
      <c r="K353" t="s">
        <v>224</v>
      </c>
    </row>
    <row r="354" spans="1:11">
      <c r="A354" t="str">
        <f t="shared" si="5"/>
        <v>재고일수201305</v>
      </c>
      <c r="F354" t="s">
        <v>285</v>
      </c>
      <c r="G354" t="s">
        <v>697</v>
      </c>
      <c r="H354" t="s">
        <v>246</v>
      </c>
      <c r="I354" t="s">
        <v>180</v>
      </c>
      <c r="J354">
        <v>33.8854082776814</v>
      </c>
      <c r="K354" t="s">
        <v>224</v>
      </c>
    </row>
    <row r="355" spans="1:11">
      <c r="A355" t="str">
        <f t="shared" si="5"/>
        <v>역산법201306</v>
      </c>
      <c r="F355" t="s">
        <v>714</v>
      </c>
      <c r="G355" t="s">
        <v>697</v>
      </c>
      <c r="H355" t="s">
        <v>247</v>
      </c>
      <c r="I355" t="s">
        <v>181</v>
      </c>
      <c r="J355">
        <v>18.7860016235032</v>
      </c>
      <c r="K355" t="s">
        <v>224</v>
      </c>
    </row>
    <row r="356" spans="1:11">
      <c r="A356" t="str">
        <f t="shared" si="5"/>
        <v>재고일수201306</v>
      </c>
      <c r="F356" t="s">
        <v>285</v>
      </c>
      <c r="G356" t="s">
        <v>697</v>
      </c>
      <c r="H356" t="s">
        <v>247</v>
      </c>
      <c r="I356" t="s">
        <v>180</v>
      </c>
      <c r="J356">
        <v>28.637899452684898</v>
      </c>
      <c r="K356" t="s">
        <v>224</v>
      </c>
    </row>
    <row r="357" spans="1:11">
      <c r="A357" t="str">
        <f t="shared" si="5"/>
        <v>역산법201307</v>
      </c>
      <c r="F357" t="s">
        <v>714</v>
      </c>
      <c r="G357" t="s">
        <v>697</v>
      </c>
      <c r="H357" t="s">
        <v>248</v>
      </c>
      <c r="I357" t="s">
        <v>181</v>
      </c>
      <c r="J357">
        <v>20.652198348847801</v>
      </c>
      <c r="K357" t="s">
        <v>224</v>
      </c>
    </row>
    <row r="358" spans="1:11">
      <c r="A358" t="str">
        <f t="shared" si="5"/>
        <v>재고일수201307</v>
      </c>
      <c r="F358" t="s">
        <v>285</v>
      </c>
      <c r="G358" t="s">
        <v>697</v>
      </c>
      <c r="H358" t="s">
        <v>248</v>
      </c>
      <c r="I358" t="s">
        <v>180</v>
      </c>
      <c r="J358">
        <v>28.054599998225601</v>
      </c>
      <c r="K358" t="s">
        <v>224</v>
      </c>
    </row>
    <row r="359" spans="1:11">
      <c r="A359" t="str">
        <f t="shared" si="5"/>
        <v>역산법201308</v>
      </c>
      <c r="F359" t="s">
        <v>714</v>
      </c>
      <c r="G359" t="s">
        <v>697</v>
      </c>
      <c r="H359" t="s">
        <v>249</v>
      </c>
      <c r="I359" t="s">
        <v>181</v>
      </c>
      <c r="J359">
        <v>20.4132967427159</v>
      </c>
      <c r="K359" t="s">
        <v>224</v>
      </c>
    </row>
    <row r="360" spans="1:11">
      <c r="A360" t="str">
        <f t="shared" si="5"/>
        <v>재고일수201308</v>
      </c>
      <c r="F360" t="s">
        <v>285</v>
      </c>
      <c r="G360" t="s">
        <v>697</v>
      </c>
      <c r="H360" t="s">
        <v>249</v>
      </c>
      <c r="I360" t="s">
        <v>180</v>
      </c>
      <c r="J360">
        <v>21.48345119251</v>
      </c>
      <c r="K360" t="s">
        <v>224</v>
      </c>
    </row>
    <row r="361" spans="1:11">
      <c r="A361" t="str">
        <f t="shared" si="5"/>
        <v>역산법201309</v>
      </c>
      <c r="F361" t="s">
        <v>714</v>
      </c>
      <c r="G361" t="s">
        <v>697</v>
      </c>
      <c r="H361" t="s">
        <v>250</v>
      </c>
      <c r="I361" t="s">
        <v>181</v>
      </c>
      <c r="J361">
        <v>21.687548457527001</v>
      </c>
      <c r="K361" t="s">
        <v>224</v>
      </c>
    </row>
    <row r="362" spans="1:11">
      <c r="A362" t="str">
        <f t="shared" si="5"/>
        <v>재고일수201309</v>
      </c>
      <c r="F362" t="s">
        <v>285</v>
      </c>
      <c r="G362" t="s">
        <v>697</v>
      </c>
      <c r="H362" t="s">
        <v>250</v>
      </c>
      <c r="I362" t="s">
        <v>180</v>
      </c>
      <c r="J362">
        <v>19.2023546751814</v>
      </c>
      <c r="K362" t="s">
        <v>224</v>
      </c>
    </row>
    <row r="363" spans="1:11">
      <c r="A363" t="str">
        <f t="shared" si="5"/>
        <v>역산법201310</v>
      </c>
      <c r="F363" t="s">
        <v>714</v>
      </c>
      <c r="G363" t="s">
        <v>697</v>
      </c>
      <c r="H363" t="s">
        <v>251</v>
      </c>
      <c r="I363" t="s">
        <v>181</v>
      </c>
      <c r="J363">
        <v>22.806128525237501</v>
      </c>
      <c r="K363" t="s">
        <v>224</v>
      </c>
    </row>
    <row r="364" spans="1:11">
      <c r="A364" t="str">
        <f t="shared" si="5"/>
        <v>재고일수201310</v>
      </c>
      <c r="F364" t="s">
        <v>285</v>
      </c>
      <c r="G364" t="s">
        <v>697</v>
      </c>
      <c r="H364" t="s">
        <v>251</v>
      </c>
      <c r="I364" t="s">
        <v>180</v>
      </c>
      <c r="J364">
        <v>19.867603016128701</v>
      </c>
      <c r="K364" t="s">
        <v>224</v>
      </c>
    </row>
    <row r="365" spans="1:11">
      <c r="A365" t="str">
        <f t="shared" si="5"/>
        <v>역산법201311</v>
      </c>
      <c r="F365" t="s">
        <v>714</v>
      </c>
      <c r="G365" t="s">
        <v>697</v>
      </c>
      <c r="H365" t="s">
        <v>252</v>
      </c>
      <c r="I365" t="s">
        <v>181</v>
      </c>
      <c r="J365">
        <v>21.281961331382199</v>
      </c>
      <c r="K365" t="s">
        <v>224</v>
      </c>
    </row>
    <row r="366" spans="1:11">
      <c r="A366" t="str">
        <f t="shared" si="5"/>
        <v>재고일수201311</v>
      </c>
      <c r="F366" t="s">
        <v>285</v>
      </c>
      <c r="G366" t="s">
        <v>697</v>
      </c>
      <c r="H366" t="s">
        <v>252</v>
      </c>
      <c r="I366" t="s">
        <v>180</v>
      </c>
      <c r="J366">
        <v>22.023336042213401</v>
      </c>
      <c r="K366" t="s">
        <v>224</v>
      </c>
    </row>
    <row r="367" spans="1:11">
      <c r="A367" t="str">
        <f t="shared" si="5"/>
        <v>역산법201312</v>
      </c>
      <c r="F367" t="s">
        <v>714</v>
      </c>
      <c r="G367" t="s">
        <v>697</v>
      </c>
      <c r="H367" t="s">
        <v>253</v>
      </c>
      <c r="I367" t="s">
        <v>181</v>
      </c>
      <c r="J367">
        <v>19.6121253557993</v>
      </c>
      <c r="K367" t="s">
        <v>224</v>
      </c>
    </row>
    <row r="368" spans="1:11">
      <c r="A368" t="str">
        <f t="shared" si="5"/>
        <v>재고일수201312</v>
      </c>
      <c r="F368" t="s">
        <v>285</v>
      </c>
      <c r="G368" t="s">
        <v>697</v>
      </c>
      <c r="H368" t="s">
        <v>253</v>
      </c>
      <c r="I368" t="s">
        <v>180</v>
      </c>
      <c r="J368">
        <v>12.976295534018901</v>
      </c>
      <c r="K368" t="s">
        <v>224</v>
      </c>
    </row>
    <row r="369" spans="1:11">
      <c r="A369" t="str">
        <f t="shared" si="5"/>
        <v>역산법2014</v>
      </c>
      <c r="F369" t="s">
        <v>714</v>
      </c>
      <c r="G369" t="s">
        <v>697</v>
      </c>
      <c r="H369" t="s">
        <v>254</v>
      </c>
      <c r="I369" t="s">
        <v>181</v>
      </c>
      <c r="J369">
        <v>190.58571715371309</v>
      </c>
      <c r="K369" t="s">
        <v>224</v>
      </c>
    </row>
    <row r="370" spans="1:11">
      <c r="A370" t="str">
        <f t="shared" si="5"/>
        <v>장기재고2014</v>
      </c>
      <c r="F370" t="s">
        <v>715</v>
      </c>
      <c r="G370" t="s">
        <v>697</v>
      </c>
      <c r="H370" t="s">
        <v>254</v>
      </c>
      <c r="I370" t="s">
        <v>183</v>
      </c>
      <c r="J370">
        <v>4613677.74567651</v>
      </c>
      <c r="K370" t="s">
        <v>224</v>
      </c>
    </row>
    <row r="371" spans="1:11">
      <c r="A371" t="str">
        <f t="shared" si="5"/>
        <v>재고일수2014</v>
      </c>
      <c r="F371" t="s">
        <v>285</v>
      </c>
      <c r="G371" t="s">
        <v>697</v>
      </c>
      <c r="H371" t="s">
        <v>254</v>
      </c>
      <c r="I371" t="s">
        <v>180</v>
      </c>
      <c r="J371">
        <v>218.45001360950579</v>
      </c>
      <c r="K371" t="s">
        <v>224</v>
      </c>
    </row>
    <row r="372" spans="1:11">
      <c r="A372" t="str">
        <f t="shared" si="5"/>
        <v>역산법201400</v>
      </c>
      <c r="F372" t="s">
        <v>714</v>
      </c>
      <c r="G372" t="s">
        <v>697</v>
      </c>
      <c r="H372" t="s">
        <v>255</v>
      </c>
      <c r="I372" t="s">
        <v>181</v>
      </c>
      <c r="J372">
        <v>0</v>
      </c>
      <c r="K372" t="s">
        <v>224</v>
      </c>
    </row>
    <row r="373" spans="1:11">
      <c r="A373" t="str">
        <f t="shared" si="5"/>
        <v>재고일수201400</v>
      </c>
      <c r="F373" t="s">
        <v>285</v>
      </c>
      <c r="G373" t="s">
        <v>697</v>
      </c>
      <c r="H373" t="s">
        <v>255</v>
      </c>
      <c r="I373" t="s">
        <v>180</v>
      </c>
      <c r="K373" t="s">
        <v>224</v>
      </c>
    </row>
    <row r="374" spans="1:11">
      <c r="A374" t="str">
        <f t="shared" si="5"/>
        <v>역산법201401</v>
      </c>
      <c r="F374" t="s">
        <v>714</v>
      </c>
      <c r="G374" t="s">
        <v>697</v>
      </c>
      <c r="H374" t="s">
        <v>22</v>
      </c>
      <c r="I374" t="s">
        <v>181</v>
      </c>
      <c r="J374">
        <v>12.2164005213714</v>
      </c>
      <c r="K374" t="s">
        <v>224</v>
      </c>
    </row>
    <row r="375" spans="1:11">
      <c r="A375" t="str">
        <f t="shared" si="5"/>
        <v>장기재고201401</v>
      </c>
      <c r="F375" t="s">
        <v>715</v>
      </c>
      <c r="G375" t="s">
        <v>697</v>
      </c>
      <c r="H375" t="s">
        <v>22</v>
      </c>
      <c r="I375" t="s">
        <v>183</v>
      </c>
      <c r="J375">
        <v>227905.54474193801</v>
      </c>
      <c r="K375" t="s">
        <v>224</v>
      </c>
    </row>
    <row r="376" spans="1:11">
      <c r="A376" t="str">
        <f t="shared" si="5"/>
        <v>재고일수201401</v>
      </c>
      <c r="F376" t="s">
        <v>285</v>
      </c>
      <c r="G376" t="s">
        <v>697</v>
      </c>
      <c r="H376" t="s">
        <v>22</v>
      </c>
      <c r="I376" t="s">
        <v>180</v>
      </c>
      <c r="J376">
        <v>13.6059074429938</v>
      </c>
      <c r="K376" t="s">
        <v>224</v>
      </c>
    </row>
    <row r="377" spans="1:11">
      <c r="A377" t="str">
        <f t="shared" si="5"/>
        <v>역산법201402</v>
      </c>
      <c r="F377" t="s">
        <v>714</v>
      </c>
      <c r="G377" t="s">
        <v>697</v>
      </c>
      <c r="H377" t="s">
        <v>23</v>
      </c>
      <c r="I377" t="s">
        <v>181</v>
      </c>
      <c r="J377">
        <v>13.3315972907114</v>
      </c>
      <c r="K377" t="s">
        <v>224</v>
      </c>
    </row>
    <row r="378" spans="1:11">
      <c r="A378" t="str">
        <f t="shared" si="5"/>
        <v>장기재고201402</v>
      </c>
      <c r="F378" t="s">
        <v>715</v>
      </c>
      <c r="G378" t="s">
        <v>697</v>
      </c>
      <c r="H378" t="s">
        <v>23</v>
      </c>
      <c r="I378" t="s">
        <v>183</v>
      </c>
      <c r="J378">
        <v>275812.22968905099</v>
      </c>
      <c r="K378" t="s">
        <v>224</v>
      </c>
    </row>
    <row r="379" spans="1:11">
      <c r="A379" t="str">
        <f t="shared" si="5"/>
        <v>재고일수201402</v>
      </c>
      <c r="F379" t="s">
        <v>285</v>
      </c>
      <c r="G379" t="s">
        <v>697</v>
      </c>
      <c r="H379" t="s">
        <v>23</v>
      </c>
      <c r="I379" t="s">
        <v>180</v>
      </c>
      <c r="J379">
        <v>12.4534585906238</v>
      </c>
      <c r="K379" t="s">
        <v>224</v>
      </c>
    </row>
    <row r="380" spans="1:11">
      <c r="A380" t="str">
        <f t="shared" si="5"/>
        <v>역산법201403</v>
      </c>
      <c r="F380" t="s">
        <v>714</v>
      </c>
      <c r="G380" t="s">
        <v>697</v>
      </c>
      <c r="H380" t="s">
        <v>24</v>
      </c>
      <c r="I380" t="s">
        <v>181</v>
      </c>
      <c r="J380">
        <v>12.5882397198686</v>
      </c>
      <c r="K380" t="s">
        <v>224</v>
      </c>
    </row>
    <row r="381" spans="1:11">
      <c r="A381" t="str">
        <f t="shared" si="5"/>
        <v>장기재고201403</v>
      </c>
      <c r="F381" t="s">
        <v>715</v>
      </c>
      <c r="G381" t="s">
        <v>697</v>
      </c>
      <c r="H381" t="s">
        <v>24</v>
      </c>
      <c r="I381" t="s">
        <v>183</v>
      </c>
      <c r="J381">
        <v>671746.34762649704</v>
      </c>
      <c r="K381" t="s">
        <v>224</v>
      </c>
    </row>
    <row r="382" spans="1:11">
      <c r="A382" t="str">
        <f t="shared" si="5"/>
        <v>재고일수201403</v>
      </c>
      <c r="F382" t="s">
        <v>285</v>
      </c>
      <c r="G382" t="s">
        <v>697</v>
      </c>
      <c r="H382" t="s">
        <v>24</v>
      </c>
      <c r="I382" t="s">
        <v>180</v>
      </c>
      <c r="J382">
        <v>10.4888837089098</v>
      </c>
      <c r="K382" t="s">
        <v>224</v>
      </c>
    </row>
    <row r="383" spans="1:11">
      <c r="A383" t="str">
        <f t="shared" si="5"/>
        <v>역산법201404</v>
      </c>
      <c r="F383" t="s">
        <v>714</v>
      </c>
      <c r="G383" t="s">
        <v>697</v>
      </c>
      <c r="H383" t="s">
        <v>25</v>
      </c>
      <c r="I383" t="s">
        <v>181</v>
      </c>
      <c r="J383">
        <v>13.6943155436299</v>
      </c>
      <c r="K383" t="s">
        <v>224</v>
      </c>
    </row>
    <row r="384" spans="1:11">
      <c r="A384" t="str">
        <f t="shared" si="5"/>
        <v>장기재고201404</v>
      </c>
      <c r="F384" t="s">
        <v>715</v>
      </c>
      <c r="G384" t="s">
        <v>697</v>
      </c>
      <c r="H384" t="s">
        <v>25</v>
      </c>
      <c r="I384" t="s">
        <v>183</v>
      </c>
      <c r="J384">
        <v>299550.62756634702</v>
      </c>
      <c r="K384" t="s">
        <v>224</v>
      </c>
    </row>
    <row r="385" spans="1:11">
      <c r="A385" t="str">
        <f t="shared" si="5"/>
        <v>재고일수201404</v>
      </c>
      <c r="F385" t="s">
        <v>285</v>
      </c>
      <c r="G385" t="s">
        <v>697</v>
      </c>
      <c r="H385" t="s">
        <v>25</v>
      </c>
      <c r="I385" t="s">
        <v>180</v>
      </c>
      <c r="J385">
        <v>13.3262277393394</v>
      </c>
      <c r="K385" t="s">
        <v>224</v>
      </c>
    </row>
    <row r="386" spans="1:11">
      <c r="A386" t="str">
        <f t="shared" si="5"/>
        <v>역산법201405</v>
      </c>
      <c r="F386" t="s">
        <v>714</v>
      </c>
      <c r="G386" t="s">
        <v>697</v>
      </c>
      <c r="H386" t="s">
        <v>26</v>
      </c>
      <c r="I386" t="s">
        <v>181</v>
      </c>
      <c r="J386">
        <v>14.646418119097699</v>
      </c>
      <c r="K386" t="s">
        <v>224</v>
      </c>
    </row>
    <row r="387" spans="1:11">
      <c r="A387" t="str">
        <f t="shared" si="5"/>
        <v>장기재고201405</v>
      </c>
      <c r="F387" t="s">
        <v>715</v>
      </c>
      <c r="G387" t="s">
        <v>697</v>
      </c>
      <c r="H387" t="s">
        <v>26</v>
      </c>
      <c r="I387" t="s">
        <v>183</v>
      </c>
      <c r="J387">
        <v>168022.82026468299</v>
      </c>
      <c r="K387" t="s">
        <v>224</v>
      </c>
    </row>
    <row r="388" spans="1:11">
      <c r="A388" t="str">
        <f t="shared" si="5"/>
        <v>재고일수201405</v>
      </c>
      <c r="F388" t="s">
        <v>285</v>
      </c>
      <c r="G388" t="s">
        <v>697</v>
      </c>
      <c r="H388" t="s">
        <v>26</v>
      </c>
      <c r="I388" t="s">
        <v>180</v>
      </c>
      <c r="J388">
        <v>32.088655416330802</v>
      </c>
      <c r="K388" t="s">
        <v>224</v>
      </c>
    </row>
    <row r="389" spans="1:11">
      <c r="A389" t="str">
        <f t="shared" si="5"/>
        <v>역산법201406</v>
      </c>
      <c r="F389" t="s">
        <v>714</v>
      </c>
      <c r="G389" t="s">
        <v>697</v>
      </c>
      <c r="H389" t="s">
        <v>27</v>
      </c>
      <c r="I389" t="s">
        <v>181</v>
      </c>
      <c r="J389">
        <v>16.722572544126901</v>
      </c>
      <c r="K389" t="s">
        <v>224</v>
      </c>
    </row>
    <row r="390" spans="1:11">
      <c r="A390" t="str">
        <f t="shared" si="5"/>
        <v>장기재고201406</v>
      </c>
      <c r="F390" t="s">
        <v>715</v>
      </c>
      <c r="G390" t="s">
        <v>697</v>
      </c>
      <c r="H390" t="s">
        <v>27</v>
      </c>
      <c r="I390" t="s">
        <v>183</v>
      </c>
      <c r="J390">
        <v>537425.78297180601</v>
      </c>
      <c r="K390" t="s">
        <v>224</v>
      </c>
    </row>
    <row r="391" spans="1:11">
      <c r="A391" t="str">
        <f t="shared" ref="A391:A444" si="6">F391&amp;H391</f>
        <v>재고일수201406</v>
      </c>
      <c r="F391" t="s">
        <v>285</v>
      </c>
      <c r="G391" t="s">
        <v>697</v>
      </c>
      <c r="H391" t="s">
        <v>27</v>
      </c>
      <c r="I391" t="s">
        <v>180</v>
      </c>
      <c r="J391">
        <v>27.898659132724401</v>
      </c>
      <c r="K391" t="s">
        <v>224</v>
      </c>
    </row>
    <row r="392" spans="1:11">
      <c r="A392" t="str">
        <f t="shared" si="6"/>
        <v>역산법201407</v>
      </c>
      <c r="F392" t="s">
        <v>714</v>
      </c>
      <c r="G392" t="s">
        <v>697</v>
      </c>
      <c r="H392" t="s">
        <v>28</v>
      </c>
      <c r="I392" t="s">
        <v>181</v>
      </c>
      <c r="J392">
        <v>17.446632937437801</v>
      </c>
      <c r="K392" t="s">
        <v>224</v>
      </c>
    </row>
    <row r="393" spans="1:11">
      <c r="A393" t="str">
        <f t="shared" si="6"/>
        <v>장기재고201407</v>
      </c>
      <c r="F393" t="s">
        <v>715</v>
      </c>
      <c r="G393" t="s">
        <v>697</v>
      </c>
      <c r="H393" t="s">
        <v>28</v>
      </c>
      <c r="I393" t="s">
        <v>183</v>
      </c>
      <c r="J393">
        <v>297464.83947027201</v>
      </c>
      <c r="K393" t="s">
        <v>224</v>
      </c>
    </row>
    <row r="394" spans="1:11">
      <c r="A394" t="str">
        <f t="shared" si="6"/>
        <v>재고일수201407</v>
      </c>
      <c r="F394" t="s">
        <v>285</v>
      </c>
      <c r="G394" t="s">
        <v>697</v>
      </c>
      <c r="H394" t="s">
        <v>28</v>
      </c>
      <c r="I394" t="s">
        <v>180</v>
      </c>
      <c r="J394">
        <v>21.814666082489001</v>
      </c>
      <c r="K394" t="s">
        <v>224</v>
      </c>
    </row>
    <row r="395" spans="1:11">
      <c r="A395" t="str">
        <f t="shared" si="6"/>
        <v>역산법201408</v>
      </c>
      <c r="F395" t="s">
        <v>714</v>
      </c>
      <c r="G395" t="s">
        <v>697</v>
      </c>
      <c r="H395" t="s">
        <v>29</v>
      </c>
      <c r="I395" t="s">
        <v>181</v>
      </c>
      <c r="J395">
        <v>17.764235620504301</v>
      </c>
      <c r="K395" t="s">
        <v>224</v>
      </c>
    </row>
    <row r="396" spans="1:11">
      <c r="A396" t="str">
        <f t="shared" si="6"/>
        <v>장기재고201408</v>
      </c>
      <c r="F396" t="s">
        <v>715</v>
      </c>
      <c r="G396" t="s">
        <v>697</v>
      </c>
      <c r="H396" t="s">
        <v>29</v>
      </c>
      <c r="I396" t="s">
        <v>183</v>
      </c>
      <c r="J396">
        <v>729154.56079261994</v>
      </c>
      <c r="K396" t="s">
        <v>224</v>
      </c>
    </row>
    <row r="397" spans="1:11">
      <c r="A397" t="str">
        <f t="shared" si="6"/>
        <v>재고일수201408</v>
      </c>
      <c r="F397" t="s">
        <v>285</v>
      </c>
      <c r="G397" t="s">
        <v>697</v>
      </c>
      <c r="H397" t="s">
        <v>29</v>
      </c>
      <c r="I397" t="s">
        <v>180</v>
      </c>
      <c r="J397">
        <v>20.016122810323999</v>
      </c>
      <c r="K397" t="s">
        <v>224</v>
      </c>
    </row>
    <row r="398" spans="1:11">
      <c r="A398" t="str">
        <f t="shared" si="6"/>
        <v>역산법201409</v>
      </c>
      <c r="F398" t="s">
        <v>714</v>
      </c>
      <c r="G398" t="s">
        <v>697</v>
      </c>
      <c r="H398" t="s">
        <v>30</v>
      </c>
      <c r="I398" t="s">
        <v>181</v>
      </c>
      <c r="J398">
        <v>17.985727453857201</v>
      </c>
      <c r="K398" t="s">
        <v>224</v>
      </c>
    </row>
    <row r="399" spans="1:11">
      <c r="A399" t="str">
        <f t="shared" si="6"/>
        <v>장기재고201409</v>
      </c>
      <c r="F399" t="s">
        <v>715</v>
      </c>
      <c r="G399" t="s">
        <v>697</v>
      </c>
      <c r="H399" t="s">
        <v>30</v>
      </c>
      <c r="I399" t="s">
        <v>183</v>
      </c>
      <c r="J399">
        <v>609143.22695745295</v>
      </c>
      <c r="K399" t="s">
        <v>224</v>
      </c>
    </row>
    <row r="400" spans="1:11">
      <c r="A400" t="str">
        <f t="shared" si="6"/>
        <v>재고일수201409</v>
      </c>
      <c r="F400" t="s">
        <v>285</v>
      </c>
      <c r="G400" t="s">
        <v>697</v>
      </c>
      <c r="H400" t="s">
        <v>30</v>
      </c>
      <c r="I400" t="s">
        <v>180</v>
      </c>
      <c r="J400">
        <v>14.200166953115801</v>
      </c>
      <c r="K400" t="s">
        <v>224</v>
      </c>
    </row>
    <row r="401" spans="1:11">
      <c r="A401" t="str">
        <f t="shared" si="6"/>
        <v>역산법201410</v>
      </c>
      <c r="F401" t="s">
        <v>714</v>
      </c>
      <c r="G401" t="s">
        <v>697</v>
      </c>
      <c r="H401" t="s">
        <v>31</v>
      </c>
      <c r="I401" t="s">
        <v>181</v>
      </c>
      <c r="J401">
        <v>18.591136468726699</v>
      </c>
      <c r="K401" t="s">
        <v>224</v>
      </c>
    </row>
    <row r="402" spans="1:11">
      <c r="A402" t="str">
        <f t="shared" si="6"/>
        <v>장기재고201410</v>
      </c>
      <c r="F402" t="s">
        <v>715</v>
      </c>
      <c r="G402" t="s">
        <v>697</v>
      </c>
      <c r="H402" t="s">
        <v>31</v>
      </c>
      <c r="I402" t="s">
        <v>183</v>
      </c>
      <c r="J402">
        <v>392153.54176584398</v>
      </c>
      <c r="K402" t="s">
        <v>224</v>
      </c>
    </row>
    <row r="403" spans="1:11">
      <c r="A403" t="str">
        <f t="shared" si="6"/>
        <v>재고일수201410</v>
      </c>
      <c r="F403" t="s">
        <v>285</v>
      </c>
      <c r="G403" t="s">
        <v>697</v>
      </c>
      <c r="H403" t="s">
        <v>31</v>
      </c>
      <c r="I403" t="s">
        <v>180</v>
      </c>
      <c r="J403">
        <v>13.7919098457287</v>
      </c>
      <c r="K403" t="s">
        <v>224</v>
      </c>
    </row>
    <row r="404" spans="1:11">
      <c r="A404" t="str">
        <f t="shared" si="6"/>
        <v>역산법201411</v>
      </c>
      <c r="F404" t="s">
        <v>714</v>
      </c>
      <c r="G404" t="s">
        <v>697</v>
      </c>
      <c r="H404" t="s">
        <v>32</v>
      </c>
      <c r="I404" t="s">
        <v>181</v>
      </c>
      <c r="J404">
        <v>18.249782789714001</v>
      </c>
      <c r="K404" t="s">
        <v>224</v>
      </c>
    </row>
    <row r="405" spans="1:11">
      <c r="A405" t="str">
        <f t="shared" si="6"/>
        <v>장기재고201411</v>
      </c>
      <c r="F405" t="s">
        <v>715</v>
      </c>
      <c r="G405" t="s">
        <v>697</v>
      </c>
      <c r="H405" t="s">
        <v>32</v>
      </c>
      <c r="I405" t="s">
        <v>183</v>
      </c>
      <c r="J405">
        <v>314962.85987666901</v>
      </c>
      <c r="K405" t="s">
        <v>224</v>
      </c>
    </row>
    <row r="406" spans="1:11">
      <c r="A406" t="str">
        <f t="shared" si="6"/>
        <v>재고일수201411</v>
      </c>
      <c r="F406" t="s">
        <v>285</v>
      </c>
      <c r="G406" t="s">
        <v>697</v>
      </c>
      <c r="H406" t="s">
        <v>32</v>
      </c>
      <c r="I406" t="s">
        <v>180</v>
      </c>
      <c r="J406">
        <v>20.817236363343302</v>
      </c>
      <c r="K406" t="s">
        <v>224</v>
      </c>
    </row>
    <row r="407" spans="1:11">
      <c r="A407" t="str">
        <f t="shared" si="6"/>
        <v>역산법201412</v>
      </c>
      <c r="F407" t="s">
        <v>714</v>
      </c>
      <c r="G407" t="s">
        <v>697</v>
      </c>
      <c r="H407" t="s">
        <v>33</v>
      </c>
      <c r="I407" t="s">
        <v>181</v>
      </c>
      <c r="J407">
        <v>17.348658144667201</v>
      </c>
      <c r="K407" t="s">
        <v>224</v>
      </c>
    </row>
    <row r="408" spans="1:11">
      <c r="A408" t="str">
        <f t="shared" si="6"/>
        <v>장기재고201412</v>
      </c>
      <c r="F408" t="s">
        <v>715</v>
      </c>
      <c r="G408" t="s">
        <v>697</v>
      </c>
      <c r="H408" t="s">
        <v>33</v>
      </c>
      <c r="I408" t="s">
        <v>183</v>
      </c>
      <c r="J408">
        <v>90335.363953329696</v>
      </c>
      <c r="K408" t="s">
        <v>224</v>
      </c>
    </row>
    <row r="409" spans="1:11">
      <c r="A409" t="str">
        <f t="shared" si="6"/>
        <v>재고일수201412</v>
      </c>
      <c r="F409" t="s">
        <v>285</v>
      </c>
      <c r="G409" t="s">
        <v>697</v>
      </c>
      <c r="H409" t="s">
        <v>33</v>
      </c>
      <c r="I409" t="s">
        <v>180</v>
      </c>
      <c r="J409">
        <v>17.948119523582999</v>
      </c>
      <c r="K409" t="s">
        <v>224</v>
      </c>
    </row>
    <row r="410" spans="1:11">
      <c r="A410" t="str">
        <f t="shared" si="6"/>
        <v>역산법2015</v>
      </c>
      <c r="F410" t="s">
        <v>714</v>
      </c>
      <c r="G410" t="s">
        <v>697</v>
      </c>
      <c r="H410" t="s">
        <v>260</v>
      </c>
      <c r="I410" t="s">
        <v>181</v>
      </c>
      <c r="J410">
        <v>197.73695929437881</v>
      </c>
      <c r="K410" t="s">
        <v>224</v>
      </c>
    </row>
    <row r="411" spans="1:11">
      <c r="A411" t="str">
        <f t="shared" si="6"/>
        <v>장기재고2015</v>
      </c>
      <c r="F411" t="s">
        <v>715</v>
      </c>
      <c r="G411" t="s">
        <v>697</v>
      </c>
      <c r="H411" t="s">
        <v>260</v>
      </c>
      <c r="I411" t="s">
        <v>183</v>
      </c>
      <c r="J411">
        <v>3868646.5320626698</v>
      </c>
      <c r="K411" t="s">
        <v>224</v>
      </c>
    </row>
    <row r="412" spans="1:11">
      <c r="A412" t="str">
        <f t="shared" si="6"/>
        <v>재고일수2015</v>
      </c>
      <c r="F412" t="s">
        <v>285</v>
      </c>
      <c r="G412" t="s">
        <v>697</v>
      </c>
      <c r="H412" t="s">
        <v>260</v>
      </c>
      <c r="I412" t="s">
        <v>180</v>
      </c>
      <c r="J412">
        <v>201.44771186701888</v>
      </c>
      <c r="K412" t="s">
        <v>224</v>
      </c>
    </row>
    <row r="413" spans="1:11">
      <c r="A413" t="str">
        <f t="shared" si="6"/>
        <v>역산법201500</v>
      </c>
      <c r="F413" t="s">
        <v>714</v>
      </c>
      <c r="G413" t="s">
        <v>697</v>
      </c>
      <c r="H413" t="s">
        <v>261</v>
      </c>
      <c r="I413" t="s">
        <v>181</v>
      </c>
      <c r="J413">
        <v>0</v>
      </c>
      <c r="K413" t="s">
        <v>224</v>
      </c>
    </row>
    <row r="414" spans="1:11">
      <c r="A414" t="str">
        <f t="shared" si="6"/>
        <v>재고일수201500</v>
      </c>
      <c r="F414" t="s">
        <v>285</v>
      </c>
      <c r="G414" t="s">
        <v>697</v>
      </c>
      <c r="H414" t="s">
        <v>261</v>
      </c>
      <c r="I414" t="s">
        <v>180</v>
      </c>
      <c r="K414" t="s">
        <v>224</v>
      </c>
    </row>
    <row r="415" spans="1:11">
      <c r="A415" t="str">
        <f t="shared" si="6"/>
        <v>역산법201501</v>
      </c>
      <c r="F415" t="s">
        <v>714</v>
      </c>
      <c r="G415" t="s">
        <v>697</v>
      </c>
      <c r="H415" t="s">
        <v>34</v>
      </c>
      <c r="I415" t="s">
        <v>181</v>
      </c>
      <c r="J415">
        <v>17.556894101717699</v>
      </c>
      <c r="K415" t="s">
        <v>224</v>
      </c>
    </row>
    <row r="416" spans="1:11">
      <c r="A416" t="str">
        <f t="shared" si="6"/>
        <v>장기재고201501</v>
      </c>
      <c r="F416" t="s">
        <v>715</v>
      </c>
      <c r="G416" t="s">
        <v>697</v>
      </c>
      <c r="H416" t="s">
        <v>34</v>
      </c>
      <c r="I416" t="s">
        <v>183</v>
      </c>
      <c r="J416">
        <v>238251.06686972899</v>
      </c>
      <c r="K416" t="s">
        <v>224</v>
      </c>
    </row>
    <row r="417" spans="1:11">
      <c r="A417" t="str">
        <f t="shared" si="6"/>
        <v>재고일수201501</v>
      </c>
      <c r="F417" t="s">
        <v>285</v>
      </c>
      <c r="G417" t="s">
        <v>697</v>
      </c>
      <c r="H417" t="s">
        <v>34</v>
      </c>
      <c r="I417" t="s">
        <v>180</v>
      </c>
      <c r="J417">
        <v>19.364283171574002</v>
      </c>
      <c r="K417" t="s">
        <v>224</v>
      </c>
    </row>
    <row r="418" spans="1:11">
      <c r="A418" t="str">
        <f t="shared" si="6"/>
        <v>역산법201502</v>
      </c>
      <c r="F418" t="s">
        <v>714</v>
      </c>
      <c r="G418" t="s">
        <v>697</v>
      </c>
      <c r="H418" t="s">
        <v>35</v>
      </c>
      <c r="I418" t="s">
        <v>181</v>
      </c>
      <c r="J418">
        <v>17.865964046404901</v>
      </c>
      <c r="K418" t="s">
        <v>224</v>
      </c>
    </row>
    <row r="419" spans="1:11">
      <c r="A419" t="str">
        <f t="shared" si="6"/>
        <v>장기재고201502</v>
      </c>
      <c r="F419" t="s">
        <v>715</v>
      </c>
      <c r="G419" t="s">
        <v>697</v>
      </c>
      <c r="H419" t="s">
        <v>35</v>
      </c>
      <c r="I419" t="s">
        <v>183</v>
      </c>
      <c r="J419">
        <v>413384.067973617</v>
      </c>
      <c r="K419" t="s">
        <v>224</v>
      </c>
    </row>
    <row r="420" spans="1:11">
      <c r="A420" t="str">
        <f t="shared" si="6"/>
        <v>재고일수201502</v>
      </c>
      <c r="F420" t="s">
        <v>285</v>
      </c>
      <c r="G420" t="s">
        <v>697</v>
      </c>
      <c r="H420" t="s">
        <v>35</v>
      </c>
      <c r="I420" t="s">
        <v>180</v>
      </c>
      <c r="J420">
        <v>16.872486376106799</v>
      </c>
      <c r="K420" t="s">
        <v>224</v>
      </c>
    </row>
    <row r="421" spans="1:11">
      <c r="A421" t="str">
        <f t="shared" si="6"/>
        <v>역산법201503</v>
      </c>
      <c r="F421" t="s">
        <v>714</v>
      </c>
      <c r="G421" t="s">
        <v>697</v>
      </c>
      <c r="H421" t="s">
        <v>36</v>
      </c>
      <c r="I421" t="s">
        <v>181</v>
      </c>
      <c r="J421">
        <v>17.847405420507599</v>
      </c>
      <c r="K421" t="s">
        <v>224</v>
      </c>
    </row>
    <row r="422" spans="1:11">
      <c r="A422" t="str">
        <f t="shared" si="6"/>
        <v>장기재고201503</v>
      </c>
      <c r="F422" t="s">
        <v>715</v>
      </c>
      <c r="G422" t="s">
        <v>697</v>
      </c>
      <c r="H422" t="s">
        <v>36</v>
      </c>
      <c r="I422" t="s">
        <v>183</v>
      </c>
      <c r="J422">
        <v>116612.640892308</v>
      </c>
      <c r="K422" t="s">
        <v>224</v>
      </c>
    </row>
    <row r="423" spans="1:11">
      <c r="A423" t="str">
        <f t="shared" si="6"/>
        <v>재고일수201503</v>
      </c>
      <c r="F423" t="s">
        <v>285</v>
      </c>
      <c r="G423" t="s">
        <v>697</v>
      </c>
      <c r="H423" t="s">
        <v>36</v>
      </c>
      <c r="I423" t="s">
        <v>180</v>
      </c>
      <c r="J423">
        <v>22.095909386353199</v>
      </c>
      <c r="K423" t="s">
        <v>224</v>
      </c>
    </row>
    <row r="424" spans="1:11">
      <c r="A424" t="str">
        <f t="shared" si="6"/>
        <v>역산법201504</v>
      </c>
      <c r="F424" t="s">
        <v>714</v>
      </c>
      <c r="G424" t="s">
        <v>697</v>
      </c>
      <c r="H424" t="s">
        <v>37</v>
      </c>
      <c r="I424" t="s">
        <v>181</v>
      </c>
      <c r="J424">
        <v>18.8921525542365</v>
      </c>
      <c r="K424" t="s">
        <v>224</v>
      </c>
    </row>
    <row r="425" spans="1:11">
      <c r="A425" t="str">
        <f t="shared" si="6"/>
        <v>장기재고201504</v>
      </c>
      <c r="F425" t="s">
        <v>715</v>
      </c>
      <c r="G425" t="s">
        <v>697</v>
      </c>
      <c r="H425" t="s">
        <v>37</v>
      </c>
      <c r="I425" t="s">
        <v>183</v>
      </c>
      <c r="J425">
        <v>245492.306690853</v>
      </c>
      <c r="K425" t="s">
        <v>224</v>
      </c>
    </row>
    <row r="426" spans="1:11">
      <c r="A426" t="str">
        <f t="shared" si="6"/>
        <v>재고일수201504</v>
      </c>
      <c r="F426" t="s">
        <v>285</v>
      </c>
      <c r="G426" t="s">
        <v>697</v>
      </c>
      <c r="H426" t="s">
        <v>37</v>
      </c>
      <c r="I426" t="s">
        <v>180</v>
      </c>
      <c r="J426">
        <v>24.3587965663387</v>
      </c>
      <c r="K426" t="s">
        <v>224</v>
      </c>
    </row>
    <row r="427" spans="1:11">
      <c r="A427" t="str">
        <f t="shared" si="6"/>
        <v>역산법201505</v>
      </c>
      <c r="F427" t="s">
        <v>714</v>
      </c>
      <c r="G427" t="s">
        <v>697</v>
      </c>
      <c r="H427" t="s">
        <v>38</v>
      </c>
      <c r="I427" t="s">
        <v>181</v>
      </c>
      <c r="J427">
        <v>20.196558676115</v>
      </c>
      <c r="K427" t="s">
        <v>224</v>
      </c>
    </row>
    <row r="428" spans="1:11">
      <c r="A428" t="str">
        <f t="shared" si="6"/>
        <v>장기재고201505</v>
      </c>
      <c r="F428" t="s">
        <v>715</v>
      </c>
      <c r="G428" t="s">
        <v>697</v>
      </c>
      <c r="H428" t="s">
        <v>38</v>
      </c>
      <c r="I428" t="s">
        <v>183</v>
      </c>
      <c r="J428">
        <v>675942.39976651606</v>
      </c>
      <c r="K428" t="s">
        <v>224</v>
      </c>
    </row>
    <row r="429" spans="1:11">
      <c r="A429" t="str">
        <f t="shared" si="6"/>
        <v>재고일수201505</v>
      </c>
      <c r="F429" t="s">
        <v>285</v>
      </c>
      <c r="G429" t="s">
        <v>697</v>
      </c>
      <c r="H429" t="s">
        <v>38</v>
      </c>
      <c r="I429" t="s">
        <v>180</v>
      </c>
      <c r="J429">
        <v>26.9856559710006</v>
      </c>
      <c r="K429" t="s">
        <v>224</v>
      </c>
    </row>
    <row r="430" spans="1:11">
      <c r="A430" t="str">
        <f t="shared" si="6"/>
        <v>역산법201506</v>
      </c>
      <c r="F430" t="s">
        <v>714</v>
      </c>
      <c r="G430" t="s">
        <v>697</v>
      </c>
      <c r="H430" t="s">
        <v>39</v>
      </c>
      <c r="I430" t="s">
        <v>181</v>
      </c>
      <c r="J430">
        <v>20.689800843972801</v>
      </c>
      <c r="K430" t="s">
        <v>224</v>
      </c>
    </row>
    <row r="431" spans="1:11">
      <c r="A431" t="str">
        <f t="shared" si="6"/>
        <v>장기재고201506</v>
      </c>
      <c r="F431" t="s">
        <v>715</v>
      </c>
      <c r="G431" t="s">
        <v>697</v>
      </c>
      <c r="H431" t="s">
        <v>39</v>
      </c>
      <c r="I431" t="s">
        <v>183</v>
      </c>
      <c r="J431">
        <v>487013.03229605901</v>
      </c>
      <c r="K431" t="s">
        <v>224</v>
      </c>
    </row>
    <row r="432" spans="1:11">
      <c r="A432" t="str">
        <f t="shared" si="6"/>
        <v>재고일수201506</v>
      </c>
      <c r="F432" t="s">
        <v>285</v>
      </c>
      <c r="G432" t="s">
        <v>697</v>
      </c>
      <c r="H432" t="s">
        <v>39</v>
      </c>
      <c r="I432" t="s">
        <v>180</v>
      </c>
      <c r="J432">
        <v>22.789719493513601</v>
      </c>
      <c r="K432" t="s">
        <v>224</v>
      </c>
    </row>
    <row r="433" spans="1:11">
      <c r="A433" t="str">
        <f t="shared" si="6"/>
        <v>역산법201507</v>
      </c>
      <c r="F433" t="s">
        <v>714</v>
      </c>
      <c r="G433" t="s">
        <v>697</v>
      </c>
      <c r="H433" t="s">
        <v>40</v>
      </c>
      <c r="I433" t="s">
        <v>181</v>
      </c>
      <c r="J433">
        <v>21.452992318311999</v>
      </c>
      <c r="K433" t="s">
        <v>224</v>
      </c>
    </row>
    <row r="434" spans="1:11">
      <c r="A434" t="str">
        <f t="shared" si="6"/>
        <v>장기재고201507</v>
      </c>
      <c r="F434" t="s">
        <v>715</v>
      </c>
      <c r="G434" t="s">
        <v>697</v>
      </c>
      <c r="H434" t="s">
        <v>40</v>
      </c>
      <c r="I434" t="s">
        <v>183</v>
      </c>
      <c r="J434">
        <v>607221.17618357204</v>
      </c>
      <c r="K434" t="s">
        <v>224</v>
      </c>
    </row>
    <row r="435" spans="1:11">
      <c r="A435" t="str">
        <f t="shared" si="6"/>
        <v>재고일수201507</v>
      </c>
      <c r="F435" t="s">
        <v>285</v>
      </c>
      <c r="G435" t="s">
        <v>697</v>
      </c>
      <c r="H435" t="s">
        <v>40</v>
      </c>
      <c r="I435" t="s">
        <v>180</v>
      </c>
      <c r="J435">
        <v>24.956870066841802</v>
      </c>
      <c r="K435" t="s">
        <v>224</v>
      </c>
    </row>
    <row r="436" spans="1:11">
      <c r="A436" t="str">
        <f t="shared" si="6"/>
        <v>역산법201508</v>
      </c>
      <c r="F436" t="s">
        <v>714</v>
      </c>
      <c r="G436" t="s">
        <v>697</v>
      </c>
      <c r="H436" t="s">
        <v>41</v>
      </c>
      <c r="I436" t="s">
        <v>181</v>
      </c>
      <c r="J436">
        <v>20.994245738941899</v>
      </c>
      <c r="K436" t="s">
        <v>224</v>
      </c>
    </row>
    <row r="437" spans="1:11">
      <c r="A437" t="str">
        <f t="shared" si="6"/>
        <v>장기재고201508</v>
      </c>
      <c r="F437" t="s">
        <v>715</v>
      </c>
      <c r="G437" t="s">
        <v>697</v>
      </c>
      <c r="H437" t="s">
        <v>41</v>
      </c>
      <c r="I437" t="s">
        <v>183</v>
      </c>
      <c r="J437">
        <v>204613.54850165799</v>
      </c>
      <c r="K437" t="s">
        <v>224</v>
      </c>
    </row>
    <row r="438" spans="1:11">
      <c r="A438" t="str">
        <f t="shared" si="6"/>
        <v>재고일수201508</v>
      </c>
      <c r="F438" t="s">
        <v>285</v>
      </c>
      <c r="G438" t="s">
        <v>697</v>
      </c>
      <c r="H438" t="s">
        <v>41</v>
      </c>
      <c r="I438" t="s">
        <v>180</v>
      </c>
      <c r="J438">
        <v>15.1192472155179</v>
      </c>
      <c r="K438" t="s">
        <v>224</v>
      </c>
    </row>
    <row r="439" spans="1:11">
      <c r="A439" t="str">
        <f t="shared" si="6"/>
        <v>역산법201509</v>
      </c>
      <c r="F439" t="s">
        <v>714</v>
      </c>
      <c r="G439" t="s">
        <v>697</v>
      </c>
      <c r="H439" t="s">
        <v>42</v>
      </c>
      <c r="I439" t="s">
        <v>181</v>
      </c>
      <c r="J439">
        <v>20.761946716078</v>
      </c>
      <c r="K439" t="s">
        <v>224</v>
      </c>
    </row>
    <row r="440" spans="1:11">
      <c r="A440" t="str">
        <f t="shared" si="6"/>
        <v>장기재고201509</v>
      </c>
      <c r="F440" t="s">
        <v>715</v>
      </c>
      <c r="G440" t="s">
        <v>697</v>
      </c>
      <c r="H440" t="s">
        <v>42</v>
      </c>
      <c r="I440" t="s">
        <v>183</v>
      </c>
      <c r="J440">
        <v>569298.64217680995</v>
      </c>
      <c r="K440" t="s">
        <v>224</v>
      </c>
    </row>
    <row r="441" spans="1:11">
      <c r="A441" t="str">
        <f t="shared" si="6"/>
        <v>재고일수201509</v>
      </c>
      <c r="F441" t="s">
        <v>285</v>
      </c>
      <c r="G441" t="s">
        <v>697</v>
      </c>
      <c r="H441" t="s">
        <v>42</v>
      </c>
      <c r="I441" t="s">
        <v>180</v>
      </c>
      <c r="J441">
        <v>14.904272919192801</v>
      </c>
      <c r="K441" t="s">
        <v>224</v>
      </c>
    </row>
    <row r="442" spans="1:11">
      <c r="A442" t="str">
        <f t="shared" si="6"/>
        <v>역산법201510</v>
      </c>
      <c r="F442" t="s">
        <v>714</v>
      </c>
      <c r="G442" t="s">
        <v>697</v>
      </c>
      <c r="H442" t="s">
        <v>1</v>
      </c>
      <c r="I442" t="s">
        <v>181</v>
      </c>
      <c r="J442">
        <v>21.478998878092401</v>
      </c>
      <c r="K442" t="s">
        <v>224</v>
      </c>
    </row>
    <row r="443" spans="1:11">
      <c r="A443" t="str">
        <f t="shared" si="6"/>
        <v>장기재고201510</v>
      </c>
      <c r="F443" t="s">
        <v>715</v>
      </c>
      <c r="G443" t="s">
        <v>697</v>
      </c>
      <c r="H443" t="s">
        <v>1</v>
      </c>
      <c r="I443" t="s">
        <v>183</v>
      </c>
      <c r="J443">
        <v>310817.650711547</v>
      </c>
      <c r="K443" t="s">
        <v>224</v>
      </c>
    </row>
    <row r="444" spans="1:11">
      <c r="A444" t="str">
        <f t="shared" si="6"/>
        <v>재고일수201510</v>
      </c>
      <c r="F444" t="s">
        <v>285</v>
      </c>
      <c r="G444" t="s">
        <v>697</v>
      </c>
      <c r="H444" t="s">
        <v>1</v>
      </c>
      <c r="I444" t="s">
        <v>180</v>
      </c>
      <c r="J444">
        <v>14.0004707005795</v>
      </c>
      <c r="K444" t="s">
        <v>224</v>
      </c>
    </row>
  </sheetData>
  <autoFilter ref="F6:K6"/>
  <phoneticPr fontId="2" type="noConversion"/>
  <pageMargins left="0.7" right="0.7" top="0.75" bottom="0.75" header="0.3" footer="0.3"/>
  <customProperties>
    <customPr name="MatrixProperty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3"/>
  <dimension ref="C4:AV20"/>
  <sheetViews>
    <sheetView workbookViewId="0">
      <selection activeCell="E9" sqref="E9"/>
    </sheetView>
  </sheetViews>
  <sheetFormatPr defaultRowHeight="16.5"/>
  <cols>
    <col min="3" max="3" width="15.625" bestFit="1" customWidth="1"/>
    <col min="4" max="4" width="20.125" customWidth="1"/>
    <col min="5" max="5" width="20.125" bestFit="1" customWidth="1"/>
    <col min="6" max="45" width="16.625" bestFit="1" customWidth="1"/>
    <col min="46" max="47" width="16.625" customWidth="1"/>
    <col min="48" max="48" width="13.625" bestFit="1" customWidth="1"/>
  </cols>
  <sheetData>
    <row r="4" spans="3:48">
      <c r="C4" s="5" t="s">
        <v>0</v>
      </c>
      <c r="D4" s="2"/>
      <c r="E4" s="2"/>
      <c r="F4" s="5" t="s">
        <v>694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3"/>
    </row>
    <row r="5" spans="3:48">
      <c r="C5" s="5" t="s">
        <v>693</v>
      </c>
      <c r="D5" s="5" t="s">
        <v>5</v>
      </c>
      <c r="E5" s="5" t="s">
        <v>6</v>
      </c>
      <c r="F5" s="1" t="s">
        <v>240</v>
      </c>
      <c r="G5" s="6" t="s">
        <v>242</v>
      </c>
      <c r="H5" s="6" t="s">
        <v>243</v>
      </c>
      <c r="I5" s="6" t="s">
        <v>244</v>
      </c>
      <c r="J5" s="6" t="s">
        <v>245</v>
      </c>
      <c r="K5" s="6" t="s">
        <v>246</v>
      </c>
      <c r="L5" s="6" t="s">
        <v>247</v>
      </c>
      <c r="M5" s="6" t="s">
        <v>248</v>
      </c>
      <c r="N5" s="6" t="s">
        <v>249</v>
      </c>
      <c r="O5" s="6" t="s">
        <v>250</v>
      </c>
      <c r="P5" s="6" t="s">
        <v>251</v>
      </c>
      <c r="Q5" s="6" t="s">
        <v>252</v>
      </c>
      <c r="R5" s="6" t="s">
        <v>253</v>
      </c>
      <c r="S5" s="6" t="s">
        <v>254</v>
      </c>
      <c r="T5" s="6" t="s">
        <v>255</v>
      </c>
      <c r="U5" s="6" t="s">
        <v>22</v>
      </c>
      <c r="V5" s="6" t="s">
        <v>23</v>
      </c>
      <c r="W5" s="6" t="s">
        <v>24</v>
      </c>
      <c r="X5" s="6" t="s">
        <v>25</v>
      </c>
      <c r="Y5" s="6" t="s">
        <v>26</v>
      </c>
      <c r="Z5" s="6" t="s">
        <v>27</v>
      </c>
      <c r="AA5" s="6" t="s">
        <v>28</v>
      </c>
      <c r="AB5" s="6" t="s">
        <v>29</v>
      </c>
      <c r="AC5" s="6" t="s">
        <v>30</v>
      </c>
      <c r="AD5" s="6" t="s">
        <v>31</v>
      </c>
      <c r="AE5" s="6" t="s">
        <v>32</v>
      </c>
      <c r="AF5" s="6" t="s">
        <v>33</v>
      </c>
      <c r="AG5" s="6" t="s">
        <v>260</v>
      </c>
      <c r="AH5" s="6" t="s">
        <v>706</v>
      </c>
      <c r="AI5" s="6" t="s">
        <v>261</v>
      </c>
      <c r="AJ5" s="6" t="s">
        <v>34</v>
      </c>
      <c r="AK5" s="6" t="s">
        <v>35</v>
      </c>
      <c r="AL5" s="6" t="s">
        <v>36</v>
      </c>
      <c r="AM5" s="6" t="s">
        <v>37</v>
      </c>
      <c r="AN5" s="6" t="s">
        <v>38</v>
      </c>
      <c r="AO5" s="6" t="s">
        <v>39</v>
      </c>
      <c r="AP5" s="6" t="s">
        <v>40</v>
      </c>
      <c r="AQ5" s="6" t="s">
        <v>41</v>
      </c>
      <c r="AR5" s="6" t="s">
        <v>42</v>
      </c>
      <c r="AS5" s="6" t="s">
        <v>1</v>
      </c>
      <c r="AT5" s="6" t="s">
        <v>707</v>
      </c>
      <c r="AU5" s="6" t="s">
        <v>708</v>
      </c>
      <c r="AV5" s="79" t="s">
        <v>166</v>
      </c>
    </row>
    <row r="6" spans="3:48">
      <c r="C6" s="1" t="s">
        <v>697</v>
      </c>
      <c r="D6" s="1" t="s">
        <v>700</v>
      </c>
      <c r="E6" s="1" t="s">
        <v>699</v>
      </c>
      <c r="F6" s="7">
        <v>17792973.547571592</v>
      </c>
      <c r="G6" s="8">
        <v>2595357.5413411609</v>
      </c>
      <c r="H6" s="8">
        <v>619734.58400428458</v>
      </c>
      <c r="I6" s="8">
        <v>86380.439827804075</v>
      </c>
      <c r="J6" s="8">
        <v>2183267.2820937666</v>
      </c>
      <c r="K6" s="8">
        <v>5440738.2439203812</v>
      </c>
      <c r="L6" s="8">
        <v>1612716.8594534702</v>
      </c>
      <c r="M6" s="8">
        <v>884842.41083201161</v>
      </c>
      <c r="N6" s="8">
        <v>2887373.6367227309</v>
      </c>
      <c r="O6" s="8">
        <v>129507.38558647269</v>
      </c>
      <c r="P6" s="8">
        <v>1499587.9865880471</v>
      </c>
      <c r="Q6" s="8">
        <v>6311370.8310412075</v>
      </c>
      <c r="R6" s="8">
        <v>-6457903.6538397465</v>
      </c>
      <c r="S6" s="8">
        <v>30850539.095737953</v>
      </c>
      <c r="T6" s="8"/>
      <c r="U6" s="8">
        <v>2383064.0088834465</v>
      </c>
      <c r="V6" s="8">
        <v>1178557.8953002065</v>
      </c>
      <c r="W6" s="8">
        <v>2660770.0764165502</v>
      </c>
      <c r="X6" s="8">
        <v>2876348.8002930721</v>
      </c>
      <c r="Y6" s="8">
        <v>4500024.607305279</v>
      </c>
      <c r="Z6" s="8">
        <v>3151253.8121461608</v>
      </c>
      <c r="AA6" s="8">
        <v>2342891.8888876829</v>
      </c>
      <c r="AB6" s="8">
        <v>2696293.1521414639</v>
      </c>
      <c r="AC6" s="8">
        <v>1654597.2671049382</v>
      </c>
      <c r="AD6" s="8">
        <v>2562974.7379129129</v>
      </c>
      <c r="AE6" s="8">
        <v>1805921.7636208606</v>
      </c>
      <c r="AF6" s="8">
        <v>3037841.0857253713</v>
      </c>
      <c r="AG6" s="8">
        <v>24950662.739644933</v>
      </c>
      <c r="AH6" s="8"/>
      <c r="AI6" s="8"/>
      <c r="AJ6" s="8">
        <v>3446834.8101365846</v>
      </c>
      <c r="AK6" s="8">
        <v>1010898.5302216058</v>
      </c>
      <c r="AL6" s="8">
        <v>1592426.3789830608</v>
      </c>
      <c r="AM6" s="8">
        <v>1733902.8498944053</v>
      </c>
      <c r="AN6" s="8">
        <v>645043.95692723861</v>
      </c>
      <c r="AO6" s="8">
        <v>2566242.3587092333</v>
      </c>
      <c r="AP6" s="8">
        <v>5446689.8803577153</v>
      </c>
      <c r="AQ6" s="8">
        <v>3452553.1365450476</v>
      </c>
      <c r="AR6" s="8">
        <v>3153905.536744399</v>
      </c>
      <c r="AS6" s="8">
        <v>1902165.3011256426</v>
      </c>
      <c r="AT6" s="8"/>
      <c r="AU6" s="8"/>
      <c r="AV6" s="83">
        <v>147188350.76590896</v>
      </c>
    </row>
    <row r="7" spans="3:48">
      <c r="C7" s="4"/>
      <c r="D7" s="1" t="s">
        <v>180</v>
      </c>
      <c r="E7" s="1" t="s">
        <v>285</v>
      </c>
      <c r="F7" s="7">
        <v>246.59079027221168</v>
      </c>
      <c r="G7" s="8">
        <v>19.259695535185301</v>
      </c>
      <c r="H7" s="8">
        <v>7.6344259247776902</v>
      </c>
      <c r="I7" s="8">
        <v>14.124979403294001</v>
      </c>
      <c r="J7" s="8">
        <v>19.4407412203104</v>
      </c>
      <c r="K7" s="8">
        <v>33.8854082776814</v>
      </c>
      <c r="L7" s="8">
        <v>28.637899452684898</v>
      </c>
      <c r="M7" s="8">
        <v>28.054599998225601</v>
      </c>
      <c r="N7" s="8">
        <v>21.48345119251</v>
      </c>
      <c r="O7" s="8">
        <v>19.2023546751814</v>
      </c>
      <c r="P7" s="8">
        <v>19.867603016128701</v>
      </c>
      <c r="Q7" s="8">
        <v>22.023336042213401</v>
      </c>
      <c r="R7" s="8">
        <v>12.976295534018901</v>
      </c>
      <c r="S7" s="8">
        <v>218.45001360950579</v>
      </c>
      <c r="T7" s="8"/>
      <c r="U7" s="8">
        <v>13.6059074429938</v>
      </c>
      <c r="V7" s="8">
        <v>12.4534585906238</v>
      </c>
      <c r="W7" s="8">
        <v>10.4888837089098</v>
      </c>
      <c r="X7" s="8">
        <v>13.3262277393394</v>
      </c>
      <c r="Y7" s="8">
        <v>32.088655416330802</v>
      </c>
      <c r="Z7" s="8">
        <v>27.898659132724401</v>
      </c>
      <c r="AA7" s="8">
        <v>21.814666082489001</v>
      </c>
      <c r="AB7" s="8">
        <v>20.016122810323999</v>
      </c>
      <c r="AC7" s="8">
        <v>14.200166953115801</v>
      </c>
      <c r="AD7" s="8">
        <v>13.7919098457287</v>
      </c>
      <c r="AE7" s="8">
        <v>20.817236363343302</v>
      </c>
      <c r="AF7" s="8">
        <v>17.948119523582999</v>
      </c>
      <c r="AG7" s="8">
        <v>201.44771186701888</v>
      </c>
      <c r="AH7" s="8"/>
      <c r="AI7" s="8"/>
      <c r="AJ7" s="8">
        <v>19.364283171574002</v>
      </c>
      <c r="AK7" s="8">
        <v>16.872486376106799</v>
      </c>
      <c r="AL7" s="8">
        <v>22.095909386353199</v>
      </c>
      <c r="AM7" s="8">
        <v>24.3587965663387</v>
      </c>
      <c r="AN7" s="8">
        <v>26.9856559710006</v>
      </c>
      <c r="AO7" s="8">
        <v>22.789719493513601</v>
      </c>
      <c r="AP7" s="8">
        <v>24.956870066841802</v>
      </c>
      <c r="AQ7" s="8">
        <v>15.1192472155179</v>
      </c>
      <c r="AR7" s="8">
        <v>14.904272919192801</v>
      </c>
      <c r="AS7" s="8">
        <v>14.0004707005795</v>
      </c>
      <c r="AT7" s="8"/>
      <c r="AU7" s="8"/>
      <c r="AV7" s="83">
        <v>1332.9770314974726</v>
      </c>
    </row>
    <row r="8" spans="3:48">
      <c r="C8" s="4"/>
      <c r="D8" s="1" t="s">
        <v>181</v>
      </c>
      <c r="E8" s="1" t="s">
        <v>714</v>
      </c>
      <c r="F8" s="7">
        <v>217.61517224013821</v>
      </c>
      <c r="G8" s="8">
        <v>13.4680257071842</v>
      </c>
      <c r="H8" s="8">
        <v>13.77899584767</v>
      </c>
      <c r="I8" s="8">
        <v>13.396634245085201</v>
      </c>
      <c r="J8" s="8">
        <v>14.9777183854687</v>
      </c>
      <c r="K8" s="8">
        <v>16.754537669717202</v>
      </c>
      <c r="L8" s="8">
        <v>18.7860016235032</v>
      </c>
      <c r="M8" s="8">
        <v>20.652198348847801</v>
      </c>
      <c r="N8" s="8">
        <v>20.4132967427159</v>
      </c>
      <c r="O8" s="8">
        <v>21.687548457527001</v>
      </c>
      <c r="P8" s="8">
        <v>22.806128525237501</v>
      </c>
      <c r="Q8" s="8">
        <v>21.281961331382199</v>
      </c>
      <c r="R8" s="8">
        <v>19.6121253557993</v>
      </c>
      <c r="S8" s="8">
        <v>190.58571715371312</v>
      </c>
      <c r="T8" s="8">
        <v>0</v>
      </c>
      <c r="U8" s="8">
        <v>12.2164005213714</v>
      </c>
      <c r="V8" s="8">
        <v>13.3315972907114</v>
      </c>
      <c r="W8" s="8">
        <v>12.5882397198686</v>
      </c>
      <c r="X8" s="8">
        <v>13.6943155436299</v>
      </c>
      <c r="Y8" s="8">
        <v>14.646418119097699</v>
      </c>
      <c r="Z8" s="8">
        <v>16.722572544126901</v>
      </c>
      <c r="AA8" s="8">
        <v>17.446632937437801</v>
      </c>
      <c r="AB8" s="8">
        <v>17.764235620504301</v>
      </c>
      <c r="AC8" s="8">
        <v>17.985727453857201</v>
      </c>
      <c r="AD8" s="8">
        <v>18.591136468726699</v>
      </c>
      <c r="AE8" s="8">
        <v>18.249782789714001</v>
      </c>
      <c r="AF8" s="8">
        <v>17.348658144667201</v>
      </c>
      <c r="AG8" s="8">
        <v>197.73695929437881</v>
      </c>
      <c r="AH8" s="8"/>
      <c r="AI8" s="8">
        <v>0</v>
      </c>
      <c r="AJ8" s="8">
        <v>17.556894101717699</v>
      </c>
      <c r="AK8" s="8">
        <v>17.865964046404901</v>
      </c>
      <c r="AL8" s="8">
        <v>17.847405420507599</v>
      </c>
      <c r="AM8" s="8">
        <v>18.8921525542365</v>
      </c>
      <c r="AN8" s="8">
        <v>20.196558676115</v>
      </c>
      <c r="AO8" s="8">
        <v>20.689800843972801</v>
      </c>
      <c r="AP8" s="8">
        <v>21.452992318311999</v>
      </c>
      <c r="AQ8" s="8">
        <v>20.994245738941899</v>
      </c>
      <c r="AR8" s="8">
        <v>20.761946716078</v>
      </c>
      <c r="AS8" s="8">
        <v>21.478998878092401</v>
      </c>
      <c r="AT8" s="8"/>
      <c r="AU8" s="8"/>
      <c r="AV8" s="83">
        <v>1211.8756973764603</v>
      </c>
    </row>
    <row r="9" spans="3:48">
      <c r="C9" s="4"/>
      <c r="D9" s="1" t="s">
        <v>183</v>
      </c>
      <c r="E9" s="1" t="s">
        <v>715</v>
      </c>
      <c r="F9" s="7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>
        <v>4613677.7456765091</v>
      </c>
      <c r="T9" s="8"/>
      <c r="U9" s="8">
        <v>227905.54474193801</v>
      </c>
      <c r="V9" s="8">
        <v>275812.22968905099</v>
      </c>
      <c r="W9" s="8">
        <v>671746.34762649704</v>
      </c>
      <c r="X9" s="8">
        <v>299550.62756634702</v>
      </c>
      <c r="Y9" s="8">
        <v>168022.82026468299</v>
      </c>
      <c r="Z9" s="8">
        <v>537425.78297180601</v>
      </c>
      <c r="AA9" s="8">
        <v>297464.83947027201</v>
      </c>
      <c r="AB9" s="8">
        <v>729154.56079261994</v>
      </c>
      <c r="AC9" s="8">
        <v>609143.22695745295</v>
      </c>
      <c r="AD9" s="8">
        <v>392153.54176584398</v>
      </c>
      <c r="AE9" s="8">
        <v>314962.85987666901</v>
      </c>
      <c r="AF9" s="8">
        <v>90335.363953329696</v>
      </c>
      <c r="AG9" s="8">
        <v>3868646.5320626698</v>
      </c>
      <c r="AH9" s="8"/>
      <c r="AI9" s="8"/>
      <c r="AJ9" s="8">
        <v>238251.06686972899</v>
      </c>
      <c r="AK9" s="8">
        <v>413384.067973617</v>
      </c>
      <c r="AL9" s="8">
        <v>116612.640892308</v>
      </c>
      <c r="AM9" s="8">
        <v>245492.306690853</v>
      </c>
      <c r="AN9" s="8">
        <v>675942.39976651606</v>
      </c>
      <c r="AO9" s="8">
        <v>487013.03229605901</v>
      </c>
      <c r="AP9" s="8">
        <v>607221.17618357204</v>
      </c>
      <c r="AQ9" s="8">
        <v>204613.54850165799</v>
      </c>
      <c r="AR9" s="8">
        <v>569298.64217680995</v>
      </c>
      <c r="AS9" s="8">
        <v>310817.650711547</v>
      </c>
      <c r="AT9" s="8"/>
      <c r="AU9" s="8"/>
      <c r="AV9" s="83">
        <v>16964648.555478361</v>
      </c>
    </row>
    <row r="10" spans="3:48">
      <c r="C10" s="4"/>
      <c r="D10" s="1" t="s">
        <v>712</v>
      </c>
      <c r="E10" s="1" t="s">
        <v>711</v>
      </c>
      <c r="F10" s="7">
        <v>81533270.172401756</v>
      </c>
      <c r="G10" s="8">
        <v>5518191.4266222613</v>
      </c>
      <c r="H10" s="8">
        <v>4152623.7969230441</v>
      </c>
      <c r="I10" s="8">
        <v>5082810.5425370764</v>
      </c>
      <c r="J10" s="8">
        <v>6660105.0197752491</v>
      </c>
      <c r="K10" s="8">
        <v>9767670.6627964713</v>
      </c>
      <c r="L10" s="8">
        <v>8470386.0080122966</v>
      </c>
      <c r="M10" s="8">
        <v>6133559.3956841808</v>
      </c>
      <c r="N10" s="8">
        <v>8464765.8344022296</v>
      </c>
      <c r="O10" s="8">
        <v>4063702.5607868321</v>
      </c>
      <c r="P10" s="8">
        <v>6862298.0472120177</v>
      </c>
      <c r="Q10" s="8">
        <v>14085611.019157503</v>
      </c>
      <c r="R10" s="8">
        <v>2271545.8584925793</v>
      </c>
      <c r="S10" s="8">
        <v>99070252.829811737</v>
      </c>
      <c r="T10" s="8"/>
      <c r="U10" s="8">
        <v>7173448.7543809786</v>
      </c>
      <c r="V10" s="8">
        <v>6937102.2728543971</v>
      </c>
      <c r="W10" s="8">
        <v>8453469.1450264528</v>
      </c>
      <c r="X10" s="8">
        <v>8031958.7793870987</v>
      </c>
      <c r="Y10" s="8">
        <v>10794415.890693989</v>
      </c>
      <c r="Z10" s="8">
        <v>8237532.0007093456</v>
      </c>
      <c r="AA10" s="8">
        <v>7828556.4553635316</v>
      </c>
      <c r="AB10" s="8">
        <v>8521151.3627043441</v>
      </c>
      <c r="AC10" s="8">
        <v>6498230.1198374201</v>
      </c>
      <c r="AD10" s="8">
        <v>7305132.2193411011</v>
      </c>
      <c r="AE10" s="8">
        <v>11022020.967390656</v>
      </c>
      <c r="AF10" s="8">
        <v>8267234.8621224388</v>
      </c>
      <c r="AG10" s="8">
        <v>82144364.585068762</v>
      </c>
      <c r="AH10" s="8"/>
      <c r="AI10" s="8"/>
      <c r="AJ10" s="8">
        <v>8721050.3740865923</v>
      </c>
      <c r="AK10" s="8">
        <v>6064333.818904615</v>
      </c>
      <c r="AL10" s="8">
        <v>7455435.0210125875</v>
      </c>
      <c r="AM10" s="8">
        <v>7288442.5311684553</v>
      </c>
      <c r="AN10" s="8">
        <v>7717157.0616820427</v>
      </c>
      <c r="AO10" s="8">
        <v>8430162.8278715145</v>
      </c>
      <c r="AP10" s="8">
        <v>10331451.804558566</v>
      </c>
      <c r="AQ10" s="8">
        <v>8860503.8727244791</v>
      </c>
      <c r="AR10" s="8">
        <v>8592554.0973907877</v>
      </c>
      <c r="AS10" s="8">
        <v>8683273.1756691094</v>
      </c>
      <c r="AT10" s="8"/>
      <c r="AU10" s="8"/>
      <c r="AV10" s="83">
        <v>525495775.17456448</v>
      </c>
    </row>
    <row r="11" spans="3:48">
      <c r="C11" s="4"/>
      <c r="D11" s="4"/>
      <c r="E11" s="10" t="s">
        <v>713</v>
      </c>
      <c r="F11" s="11">
        <v>-10194778.476788681</v>
      </c>
      <c r="G11" s="12">
        <v>-824388.38366583094</v>
      </c>
      <c r="H11" s="12">
        <v>-291185.65162241098</v>
      </c>
      <c r="I11" s="12">
        <v>-172202.682933926</v>
      </c>
      <c r="J11" s="12">
        <v>-642510.65633093799</v>
      </c>
      <c r="K11" s="12">
        <v>77253.626700140405</v>
      </c>
      <c r="L11" s="12">
        <v>-427338.24025334098</v>
      </c>
      <c r="M11" s="12">
        <v>-395579.84966201702</v>
      </c>
      <c r="N11" s="12">
        <v>-459437.33539424703</v>
      </c>
      <c r="O11" s="12">
        <v>-2584799.6579861999</v>
      </c>
      <c r="P11" s="12">
        <v>-1360046.1082172201</v>
      </c>
      <c r="Q11" s="12">
        <v>-406908.12027247198</v>
      </c>
      <c r="R11" s="12">
        <v>-2707635.4171502199</v>
      </c>
      <c r="S11" s="12">
        <v>-9148527.0426305607</v>
      </c>
      <c r="T11" s="12"/>
      <c r="U11" s="12">
        <v>-1791365.43915122</v>
      </c>
      <c r="V11" s="12">
        <v>-1591311.80212502</v>
      </c>
      <c r="W11" s="12">
        <v>-247618.03613202</v>
      </c>
      <c r="X11" s="12">
        <v>-670926.38270973205</v>
      </c>
      <c r="Y11" s="12">
        <v>-346426.24075789098</v>
      </c>
      <c r="Z11" s="12">
        <v>-229750.19847172601</v>
      </c>
      <c r="AA11" s="12">
        <v>-57796.796638642998</v>
      </c>
      <c r="AB11" s="12">
        <v>-621543.62212734495</v>
      </c>
      <c r="AC11" s="12">
        <v>-643415.96315244294</v>
      </c>
      <c r="AD11" s="12">
        <v>-546240.23386315198</v>
      </c>
      <c r="AE11" s="12">
        <v>-796439.48046686896</v>
      </c>
      <c r="AF11" s="12">
        <v>-1605692.8470345</v>
      </c>
      <c r="AG11" s="12">
        <v>-6187542.1615152424</v>
      </c>
      <c r="AH11" s="12"/>
      <c r="AI11" s="12"/>
      <c r="AJ11" s="12">
        <v>-821342.92033642298</v>
      </c>
      <c r="AK11" s="12">
        <v>-648845.92359693395</v>
      </c>
      <c r="AL11" s="12">
        <v>-281625.49047825101</v>
      </c>
      <c r="AM11" s="12">
        <v>-292728.74615707097</v>
      </c>
      <c r="AN11" s="12">
        <v>-956193.23066031002</v>
      </c>
      <c r="AO11" s="12">
        <v>-345194.35514097399</v>
      </c>
      <c r="AP11" s="12">
        <v>-124500.712838922</v>
      </c>
      <c r="AQ11" s="12">
        <v>-296956.35780901799</v>
      </c>
      <c r="AR11" s="12">
        <v>-599207.08442393003</v>
      </c>
      <c r="AS11" s="12">
        <v>-1820947.34007341</v>
      </c>
      <c r="AT11" s="12"/>
      <c r="AU11" s="12"/>
      <c r="AV11" s="84">
        <v>-51061695.361868978</v>
      </c>
    </row>
    <row r="12" spans="3:48">
      <c r="C12" s="4"/>
      <c r="D12" s="1" t="s">
        <v>703</v>
      </c>
      <c r="E12" s="1" t="s">
        <v>702</v>
      </c>
      <c r="F12" s="7">
        <v>7142248.5863485476</v>
      </c>
      <c r="G12" s="8">
        <v>277539.23619999998</v>
      </c>
      <c r="H12" s="8">
        <v>387075.25726899522</v>
      </c>
      <c r="I12" s="8">
        <v>862769.55550364475</v>
      </c>
      <c r="J12" s="8">
        <v>484264.60889961029</v>
      </c>
      <c r="K12" s="8">
        <v>391014.49889424449</v>
      </c>
      <c r="L12" s="8">
        <v>356958.14576770866</v>
      </c>
      <c r="M12" s="8">
        <v>328407.16238893312</v>
      </c>
      <c r="N12" s="8">
        <v>323896.45461622276</v>
      </c>
      <c r="O12" s="8">
        <v>189993.81983222542</v>
      </c>
      <c r="P12" s="8">
        <v>428640.47509102838</v>
      </c>
      <c r="Q12" s="8">
        <v>665272.67098584922</v>
      </c>
      <c r="R12" s="8">
        <v>2446416.7009000862</v>
      </c>
      <c r="S12" s="8">
        <v>6788113.704694517</v>
      </c>
      <c r="T12" s="8"/>
      <c r="U12" s="8">
        <v>190386.77331724641</v>
      </c>
      <c r="V12" s="8">
        <v>224016.17925468259</v>
      </c>
      <c r="W12" s="8">
        <v>435017.79992543452</v>
      </c>
      <c r="X12" s="8">
        <v>572878.4470885999</v>
      </c>
      <c r="Y12" s="8">
        <v>570425.89075679076</v>
      </c>
      <c r="Z12" s="8">
        <v>490241.59488586622</v>
      </c>
      <c r="AA12" s="8">
        <v>422647.6561622874</v>
      </c>
      <c r="AB12" s="8">
        <v>347355.94645076751</v>
      </c>
      <c r="AC12" s="8">
        <v>624573.33019136696</v>
      </c>
      <c r="AD12" s="8">
        <v>677149.38526410866</v>
      </c>
      <c r="AE12" s="8">
        <v>955816.10832754325</v>
      </c>
      <c r="AF12" s="8">
        <v>1277604.5930698232</v>
      </c>
      <c r="AG12" s="8">
        <v>5098757.9390794849</v>
      </c>
      <c r="AH12" s="8"/>
      <c r="AI12" s="8"/>
      <c r="AJ12" s="8">
        <v>142084.40732983011</v>
      </c>
      <c r="AK12" s="8">
        <v>192525.13422870132</v>
      </c>
      <c r="AL12" s="8">
        <v>344767.70752395905</v>
      </c>
      <c r="AM12" s="8">
        <v>413758.10372600547</v>
      </c>
      <c r="AN12" s="8">
        <v>2035011.9632924837</v>
      </c>
      <c r="AO12" s="8">
        <v>79578.382746500487</v>
      </c>
      <c r="AP12" s="8">
        <v>329712.0108211413</v>
      </c>
      <c r="AQ12" s="8">
        <v>316127.74520311813</v>
      </c>
      <c r="AR12" s="8">
        <v>315211.75731246686</v>
      </c>
      <c r="AS12" s="8">
        <v>929980.72689527797</v>
      </c>
      <c r="AT12" s="8"/>
      <c r="AU12" s="8"/>
      <c r="AV12" s="83">
        <v>38058240.46024511</v>
      </c>
    </row>
    <row r="13" spans="3:48">
      <c r="C13" s="4"/>
      <c r="D13" s="4"/>
      <c r="E13" s="10" t="s">
        <v>704</v>
      </c>
      <c r="F13" s="11">
        <v>3020607.2566492176</v>
      </c>
      <c r="G13" s="12">
        <v>188437.38560000001</v>
      </c>
      <c r="H13" s="12">
        <v>883346.19240340265</v>
      </c>
      <c r="I13" s="12">
        <v>1369085.1356577284</v>
      </c>
      <c r="J13" s="12">
        <v>766666.05110015639</v>
      </c>
      <c r="K13" s="12">
        <v>165625.30302113327</v>
      </c>
      <c r="L13" s="12">
        <v>-1994201.5703249678</v>
      </c>
      <c r="M13" s="12">
        <v>52231.284324222288</v>
      </c>
      <c r="N13" s="12">
        <v>303981.10746093217</v>
      </c>
      <c r="O13" s="12">
        <v>341322.36994785344</v>
      </c>
      <c r="P13" s="12">
        <v>315104.37281434599</v>
      </c>
      <c r="Q13" s="12">
        <v>163430.05509099032</v>
      </c>
      <c r="R13" s="12">
        <v>465579.56955342065</v>
      </c>
      <c r="S13" s="12">
        <v>6789838.9918583743</v>
      </c>
      <c r="T13" s="12"/>
      <c r="U13" s="12">
        <v>-71450.788730006301</v>
      </c>
      <c r="V13" s="12">
        <v>89855.308443096306</v>
      </c>
      <c r="W13" s="12">
        <v>78086.810465677903</v>
      </c>
      <c r="X13" s="12">
        <v>973360.14777188853</v>
      </c>
      <c r="Y13" s="12">
        <v>2440592.9547397299</v>
      </c>
      <c r="Z13" s="12">
        <v>144342.00872744271</v>
      </c>
      <c r="AA13" s="12">
        <v>442912.64340004692</v>
      </c>
      <c r="AB13" s="12">
        <v>1808913.1084338876</v>
      </c>
      <c r="AC13" s="12">
        <v>80368.516987461306</v>
      </c>
      <c r="AD13" s="12">
        <v>201585.91702357749</v>
      </c>
      <c r="AE13" s="12">
        <v>192391.83703324449</v>
      </c>
      <c r="AF13" s="12">
        <v>408880.52756232768</v>
      </c>
      <c r="AG13" s="12">
        <v>2221484.4519185987</v>
      </c>
      <c r="AH13" s="12"/>
      <c r="AI13" s="12"/>
      <c r="AJ13" s="12">
        <v>20167.282415355781</v>
      </c>
      <c r="AK13" s="12">
        <v>42067.50114629796</v>
      </c>
      <c r="AL13" s="12">
        <v>103950.13508649825</v>
      </c>
      <c r="AM13" s="12">
        <v>670218.47895476676</v>
      </c>
      <c r="AN13" s="12">
        <v>69635.72522720485</v>
      </c>
      <c r="AO13" s="12">
        <v>69042.561300504662</v>
      </c>
      <c r="AP13" s="12">
        <v>374207.75889589748</v>
      </c>
      <c r="AQ13" s="12">
        <v>390982.50151198287</v>
      </c>
      <c r="AR13" s="12">
        <v>90798.938667385955</v>
      </c>
      <c r="AS13" s="12">
        <v>390413.56871270383</v>
      </c>
      <c r="AT13" s="12"/>
      <c r="AU13" s="12"/>
      <c r="AV13" s="84">
        <v>24063861.400852382</v>
      </c>
    </row>
    <row r="14" spans="3:48">
      <c r="C14" s="4"/>
      <c r="D14" s="1" t="s">
        <v>21</v>
      </c>
      <c r="E14" s="1" t="s">
        <v>710</v>
      </c>
      <c r="F14" s="7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>
        <v>23322708.1257888</v>
      </c>
      <c r="AR14" s="8">
        <v>28928518.679992002</v>
      </c>
      <c r="AS14" s="8">
        <v>39525706.075364999</v>
      </c>
      <c r="AT14" s="8"/>
      <c r="AU14" s="8"/>
      <c r="AV14" s="83">
        <v>91776932.881145805</v>
      </c>
    </row>
    <row r="15" spans="3:48">
      <c r="C15" s="4"/>
      <c r="D15" s="4"/>
      <c r="E15" s="10" t="s">
        <v>698</v>
      </c>
      <c r="F15" s="11">
        <v>349784974.30209798</v>
      </c>
      <c r="G15" s="12">
        <v>24850525.739112359</v>
      </c>
      <c r="H15" s="12">
        <v>18796831.268084355</v>
      </c>
      <c r="I15" s="12">
        <v>28262765.36197548</v>
      </c>
      <c r="J15" s="12">
        <v>25640363.993052635</v>
      </c>
      <c r="K15" s="12">
        <v>28222009.554615557</v>
      </c>
      <c r="L15" s="12">
        <v>19788719.735290587</v>
      </c>
      <c r="M15" s="12">
        <v>21857197.69467511</v>
      </c>
      <c r="N15" s="12">
        <v>25938754.121188525</v>
      </c>
      <c r="O15" s="12">
        <v>21072350.43239966</v>
      </c>
      <c r="P15" s="12">
        <v>35153783.600134306</v>
      </c>
      <c r="Q15" s="12">
        <v>59646906.442351982</v>
      </c>
      <c r="R15" s="12">
        <v>40554766.35921751</v>
      </c>
      <c r="S15" s="12">
        <v>391123220.3356083</v>
      </c>
      <c r="T15" s="12"/>
      <c r="U15" s="12">
        <v>26479585.886140075</v>
      </c>
      <c r="V15" s="12">
        <v>23548523.645442091</v>
      </c>
      <c r="W15" s="12">
        <v>29798738.375804707</v>
      </c>
      <c r="X15" s="12">
        <v>27353835.746048339</v>
      </c>
      <c r="Y15" s="12">
        <v>35187746.257892631</v>
      </c>
      <c r="Z15" s="12">
        <v>20018399.082538612</v>
      </c>
      <c r="AA15" s="12">
        <v>23782293.600752208</v>
      </c>
      <c r="AB15" s="12">
        <v>29050286.183689564</v>
      </c>
      <c r="AC15" s="12">
        <v>25648139.053289913</v>
      </c>
      <c r="AD15" s="12">
        <v>36534000.844200976</v>
      </c>
      <c r="AE15" s="12">
        <v>64073034.968426764</v>
      </c>
      <c r="AF15" s="12">
        <v>49648636.691382371</v>
      </c>
      <c r="AG15" s="12">
        <v>290382475.51535475</v>
      </c>
      <c r="AH15" s="12"/>
      <c r="AI15" s="12"/>
      <c r="AJ15" s="12">
        <v>34214686.81979432</v>
      </c>
      <c r="AK15" s="12">
        <v>29419477.894608334</v>
      </c>
      <c r="AL15" s="12">
        <v>32702433.665542513</v>
      </c>
      <c r="AM15" s="12">
        <v>27446553.077058334</v>
      </c>
      <c r="AN15" s="12">
        <v>24291201.410060816</v>
      </c>
      <c r="AO15" s="12">
        <v>23745429.040499285</v>
      </c>
      <c r="AP15" s="12">
        <v>26292420.248768345</v>
      </c>
      <c r="AQ15" s="12">
        <v>24895893.570422355</v>
      </c>
      <c r="AR15" s="12">
        <v>30273555.376606397</v>
      </c>
      <c r="AS15" s="12">
        <v>37100824.411994025</v>
      </c>
      <c r="AT15" s="12"/>
      <c r="AU15" s="12"/>
      <c r="AV15" s="84">
        <v>2062581340.3061221</v>
      </c>
    </row>
    <row r="16" spans="3:48">
      <c r="C16" s="4"/>
      <c r="D16" s="4"/>
      <c r="E16" s="10" t="s">
        <v>701</v>
      </c>
      <c r="F16" s="11">
        <v>55973708.576771744</v>
      </c>
      <c r="G16" s="12">
        <v>4954542.4935227577</v>
      </c>
      <c r="H16" s="12">
        <v>7042169.4337165803</v>
      </c>
      <c r="I16" s="12">
        <v>7467106.6334422221</v>
      </c>
      <c r="J16" s="12">
        <v>1040458.9287160989</v>
      </c>
      <c r="K16" s="12">
        <v>226085.16924235001</v>
      </c>
      <c r="L16" s="12">
        <v>394617.58650821191</v>
      </c>
      <c r="M16" s="12">
        <v>1233297.285180802</v>
      </c>
      <c r="N16" s="12">
        <v>677852.11686103791</v>
      </c>
      <c r="O16" s="12">
        <v>966280.89124930208</v>
      </c>
      <c r="P16" s="12">
        <v>5668618.7954643825</v>
      </c>
      <c r="Q16" s="12">
        <v>6185316.8140048943</v>
      </c>
      <c r="R16" s="12">
        <v>20117362.428863108</v>
      </c>
      <c r="S16" s="12">
        <v>45962237.047818363</v>
      </c>
      <c r="T16" s="12"/>
      <c r="U16" s="12">
        <v>668839.18880065857</v>
      </c>
      <c r="V16" s="12">
        <v>116261.2619275708</v>
      </c>
      <c r="W16" s="12">
        <v>3229797.465221134</v>
      </c>
      <c r="X16" s="12">
        <v>1060458.090769154</v>
      </c>
      <c r="Y16" s="12">
        <v>2513304.1360379155</v>
      </c>
      <c r="Z16" s="12">
        <v>1287705.059728456</v>
      </c>
      <c r="AA16" s="12">
        <v>2257863.8360253461</v>
      </c>
      <c r="AB16" s="12">
        <v>1453433.5672415923</v>
      </c>
      <c r="AC16" s="12">
        <v>1869847.4277024604</v>
      </c>
      <c r="AD16" s="12">
        <v>8836282.5124035496</v>
      </c>
      <c r="AE16" s="12">
        <v>15304572.455448318</v>
      </c>
      <c r="AF16" s="12">
        <v>7363872.0465122052</v>
      </c>
      <c r="AG16" s="12">
        <v>38315128.612634927</v>
      </c>
      <c r="AH16" s="12"/>
      <c r="AI16" s="12"/>
      <c r="AJ16" s="12">
        <v>2859622.8677799972</v>
      </c>
      <c r="AK16" s="12">
        <v>8326241.4276963398</v>
      </c>
      <c r="AL16" s="12">
        <v>9519630.3859227467</v>
      </c>
      <c r="AM16" s="12">
        <v>5685036.0846626712</v>
      </c>
      <c r="AN16" s="12">
        <v>1009977.8504740992</v>
      </c>
      <c r="AO16" s="12">
        <v>337746.86988871015</v>
      </c>
      <c r="AP16" s="12">
        <v>254933.02968800499</v>
      </c>
      <c r="AQ16" s="12">
        <v>3999991.3121013297</v>
      </c>
      <c r="AR16" s="12">
        <v>2189572.0119536752</v>
      </c>
      <c r="AS16" s="12">
        <v>4132376.7724673497</v>
      </c>
      <c r="AT16" s="12"/>
      <c r="AU16" s="12"/>
      <c r="AV16" s="84">
        <v>280502148.47445005</v>
      </c>
    </row>
    <row r="17" spans="3:48">
      <c r="C17" s="4"/>
      <c r="D17" s="4"/>
      <c r="E17" s="10" t="s">
        <v>705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>
        <v>385956804.2068398</v>
      </c>
      <c r="AI17" s="12"/>
      <c r="AJ17" s="12">
        <v>21767478.471088976</v>
      </c>
      <c r="AK17" s="12">
        <v>23519360.468885101</v>
      </c>
      <c r="AL17" s="12">
        <v>28400622.585701201</v>
      </c>
      <c r="AM17" s="12">
        <v>29411465.54363434</v>
      </c>
      <c r="AN17" s="12">
        <v>37977180.4835563</v>
      </c>
      <c r="AO17" s="12">
        <v>18082622.135986999</v>
      </c>
      <c r="AP17" s="12">
        <v>21420114.715453841</v>
      </c>
      <c r="AQ17" s="12">
        <v>25520996.461300001</v>
      </c>
      <c r="AR17" s="12">
        <v>26229212.798145398</v>
      </c>
      <c r="AS17" s="12">
        <v>35606255.092559598</v>
      </c>
      <c r="AT17" s="12">
        <v>65452793.448495999</v>
      </c>
      <c r="AU17" s="12">
        <v>52568702.002031997</v>
      </c>
      <c r="AV17" s="84">
        <v>771913608.41367972</v>
      </c>
    </row>
    <row r="18" spans="3:48">
      <c r="C18" s="4"/>
      <c r="D18" s="4"/>
      <c r="E18" s="10" t="s">
        <v>709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>
        <v>385956804.2068398</v>
      </c>
      <c r="T18" s="12"/>
      <c r="U18" s="12">
        <v>21767478.471088976</v>
      </c>
      <c r="V18" s="12">
        <v>23519360.468885101</v>
      </c>
      <c r="W18" s="12">
        <v>28400622.585701201</v>
      </c>
      <c r="X18" s="12">
        <v>29411465.54363434</v>
      </c>
      <c r="Y18" s="12">
        <v>37977180.4835563</v>
      </c>
      <c r="Z18" s="12">
        <v>18082622.135986999</v>
      </c>
      <c r="AA18" s="12">
        <v>21420114.715453841</v>
      </c>
      <c r="AB18" s="12">
        <v>25520996.461300001</v>
      </c>
      <c r="AC18" s="12">
        <v>26229212.798145398</v>
      </c>
      <c r="AD18" s="12">
        <v>35606255.092559598</v>
      </c>
      <c r="AE18" s="12">
        <v>65452793.448495999</v>
      </c>
      <c r="AF18" s="12">
        <v>52568702.002031997</v>
      </c>
      <c r="AG18" s="12">
        <v>281780102.03643769</v>
      </c>
      <c r="AH18" s="12"/>
      <c r="AI18" s="12"/>
      <c r="AJ18" s="12">
        <v>34415762.897494718</v>
      </c>
      <c r="AK18" s="12">
        <v>28144687.2938</v>
      </c>
      <c r="AL18" s="12">
        <v>31120231.9826</v>
      </c>
      <c r="AM18" s="12">
        <v>28498080.909423999</v>
      </c>
      <c r="AN18" s="12">
        <v>21039538.571199998</v>
      </c>
      <c r="AO18" s="12">
        <v>25258557.344999999</v>
      </c>
      <c r="AP18" s="12">
        <v>24986485.956149999</v>
      </c>
      <c r="AQ18" s="12">
        <v>22002554.732999999</v>
      </c>
      <c r="AR18" s="12">
        <v>28353706.763999999</v>
      </c>
      <c r="AS18" s="12">
        <v>37960495.583769001</v>
      </c>
      <c r="AT18" s="12"/>
      <c r="AU18" s="12"/>
      <c r="AV18" s="84">
        <v>1335473812.4865553</v>
      </c>
    </row>
    <row r="19" spans="3:48">
      <c r="C19" s="4"/>
      <c r="D19" s="1" t="s">
        <v>76</v>
      </c>
      <c r="E19" s="1" t="s">
        <v>696</v>
      </c>
      <c r="F19" s="7">
        <v>-66038357.566911116</v>
      </c>
      <c r="G19" s="8">
        <v>-3348603.813887761</v>
      </c>
      <c r="H19" s="8">
        <v>-1263187.7639418577</v>
      </c>
      <c r="I19" s="8">
        <v>-2708215.8039694019</v>
      </c>
      <c r="J19" s="8">
        <v>-3380260.4917828166</v>
      </c>
      <c r="K19" s="8">
        <v>-3433252.4661268322</v>
      </c>
      <c r="L19" s="8">
        <v>-2146390.699767333</v>
      </c>
      <c r="M19" s="8">
        <v>-3565962.3134166626</v>
      </c>
      <c r="N19" s="8">
        <v>-4266659.8689609468</v>
      </c>
      <c r="O19" s="8">
        <v>-5494600.0173651595</v>
      </c>
      <c r="P19" s="8">
        <v>-8328404.6742051486</v>
      </c>
      <c r="Q19" s="8">
        <v>-13478981.700015381</v>
      </c>
      <c r="R19" s="8">
        <v>-14623837.953471802</v>
      </c>
      <c r="S19" s="8">
        <v>-107079596.36963245</v>
      </c>
      <c r="T19" s="8"/>
      <c r="U19" s="8">
        <v>-5905377.5339841535</v>
      </c>
      <c r="V19" s="8">
        <v>-3859240.8982000179</v>
      </c>
      <c r="W19" s="8">
        <v>-4864428.8637888758</v>
      </c>
      <c r="X19" s="8">
        <v>-3941262.7957836352</v>
      </c>
      <c r="Y19" s="8">
        <v>-8060530.5112344809</v>
      </c>
      <c r="Z19" s="8">
        <v>-5519836.5226614848</v>
      </c>
      <c r="AA19" s="8">
        <v>-6789839.6800750755</v>
      </c>
      <c r="AB19" s="8">
        <v>-7487619.2772757243</v>
      </c>
      <c r="AC19" s="8">
        <v>-10577087.016310321</v>
      </c>
      <c r="AD19" s="8">
        <v>-11730723.566776285</v>
      </c>
      <c r="AE19" s="8">
        <v>-20338422.617184311</v>
      </c>
      <c r="AF19" s="8">
        <v>-18005227.086358093</v>
      </c>
      <c r="AG19" s="8">
        <v>-74926187.926120788</v>
      </c>
      <c r="AH19" s="8"/>
      <c r="AI19" s="8"/>
      <c r="AJ19" s="8">
        <v>-9046353.9938720018</v>
      </c>
      <c r="AK19" s="8">
        <v>-5983678.7617784692</v>
      </c>
      <c r="AL19" s="8">
        <v>-5555150.9946634453</v>
      </c>
      <c r="AM19" s="8">
        <v>-5705420.2371392502</v>
      </c>
      <c r="AN19" s="8">
        <v>-5728181.381179492</v>
      </c>
      <c r="AO19" s="8">
        <v>-5442052.770955788</v>
      </c>
      <c r="AP19" s="8">
        <v>-5684268.850316545</v>
      </c>
      <c r="AQ19" s="8">
        <v>-8252810.4699939191</v>
      </c>
      <c r="AR19" s="8">
        <v>-10982676.606234655</v>
      </c>
      <c r="AS19" s="8">
        <v>-12545593.85998721</v>
      </c>
      <c r="AT19" s="8"/>
      <c r="AU19" s="8"/>
      <c r="AV19" s="83">
        <v>-496088283.72532851</v>
      </c>
    </row>
    <row r="20" spans="3:48">
      <c r="C20" s="77" t="s">
        <v>166</v>
      </c>
      <c r="D20" s="78"/>
      <c r="E20" s="78"/>
      <c r="F20" s="80">
        <v>439015110.60410357</v>
      </c>
      <c r="G20" s="81">
        <v>34211634.35256619</v>
      </c>
      <c r="H20" s="81">
        <v>30327428.530258168</v>
      </c>
      <c r="I20" s="81">
        <v>40250526.703654274</v>
      </c>
      <c r="J20" s="81">
        <v>32752389.153983373</v>
      </c>
      <c r="K20" s="81">
        <v>40857195.233009398</v>
      </c>
      <c r="L20" s="81">
        <v>26055515.248587709</v>
      </c>
      <c r="M20" s="81">
        <v>26528041.776804928</v>
      </c>
      <c r="N20" s="81">
        <v>33870567.963644423</v>
      </c>
      <c r="O20" s="81">
        <v>18683798.674354121</v>
      </c>
      <c r="P20" s="81">
        <v>40239625.1686133</v>
      </c>
      <c r="Q20" s="81">
        <v>73172061.317641944</v>
      </c>
      <c r="R20" s="81">
        <v>42066326.480985828</v>
      </c>
      <c r="S20" s="81">
        <v>854926969.58151317</v>
      </c>
      <c r="T20" s="81">
        <v>0</v>
      </c>
      <c r="U20" s="81">
        <v>51122540.6877959</v>
      </c>
      <c r="V20" s="81">
        <v>50438962.34652704</v>
      </c>
      <c r="W20" s="81">
        <v>68616224.783390194</v>
      </c>
      <c r="X20" s="81">
        <v>65967694.024608761</v>
      </c>
      <c r="Y20" s="81">
        <v>85744803.024328485</v>
      </c>
      <c r="Z20" s="81">
        <v>46199979.377793156</v>
      </c>
      <c r="AA20" s="81">
        <v>51947148.420100525</v>
      </c>
      <c r="AB20" s="81">
        <v>62018459.223709598</v>
      </c>
      <c r="AC20" s="81">
        <v>51993640.946648061</v>
      </c>
      <c r="AD20" s="81">
        <v>79838602.832878545</v>
      </c>
      <c r="AE20" s="81">
        <v>137986691.37798801</v>
      </c>
      <c r="AF20" s="81">
        <v>103052222.53574494</v>
      </c>
      <c r="AG20" s="81">
        <v>647648291.50923705</v>
      </c>
      <c r="AH20" s="81">
        <v>385956804.2068398</v>
      </c>
      <c r="AI20" s="81">
        <v>0</v>
      </c>
      <c r="AJ20" s="81">
        <v>95958279.003964961</v>
      </c>
      <c r="AK20" s="81">
        <v>90500486.190539628</v>
      </c>
      <c r="AL20" s="81">
        <v>105519373.96143799</v>
      </c>
      <c r="AM20" s="81">
        <v>95394844.152866632</v>
      </c>
      <c r="AN20" s="81">
        <v>88776361.992561549</v>
      </c>
      <c r="AO20" s="81">
        <v>73269190.907722384</v>
      </c>
      <c r="AP20" s="81">
        <v>84234513.427584007</v>
      </c>
      <c r="AQ20" s="81">
        <v>104417194.29278879</v>
      </c>
      <c r="AR20" s="81">
        <v>117114486.57855037</v>
      </c>
      <c r="AS20" s="81">
        <v>152175802.63867822</v>
      </c>
      <c r="AT20" s="81">
        <v>65452793.448495999</v>
      </c>
      <c r="AU20" s="81">
        <v>52568702.002031997</v>
      </c>
      <c r="AV20" s="82">
        <v>4746871284.6845341</v>
      </c>
    </row>
  </sheetData>
  <phoneticPr fontId="2" type="noConversion"/>
  <pageMargins left="0.7" right="0.7" top="0.75" bottom="0.75" header="0.3" footer="0.3"/>
  <customProperties>
    <customPr name="MatrixProperty" r:id="rId2"/>
  </customPropertie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R159"/>
  <sheetViews>
    <sheetView showGridLines="0" zoomScale="70" zoomScaleNormal="70" workbookViewId="0">
      <selection activeCell="A6" sqref="A6"/>
    </sheetView>
  </sheetViews>
  <sheetFormatPr defaultRowHeight="16.5"/>
  <cols>
    <col min="1" max="1" width="13.75" customWidth="1"/>
    <col min="4" max="4" width="21.625" customWidth="1"/>
    <col min="5" max="5" width="17.5" customWidth="1"/>
    <col min="6" max="6" width="15.5" customWidth="1"/>
  </cols>
  <sheetData>
    <row r="1" spans="1:18">
      <c r="G1" s="97" t="str">
        <f>G4&amp;G5</f>
        <v>Y2015JAN</v>
      </c>
      <c r="H1" s="97" t="str">
        <f t="shared" ref="H1:R1" si="0">H4&amp;H5</f>
        <v>Y2015FEB</v>
      </c>
      <c r="I1" s="97" t="str">
        <f t="shared" si="0"/>
        <v>Y2015MAR</v>
      </c>
      <c r="J1" s="97" t="str">
        <f t="shared" si="0"/>
        <v>Y2015APR</v>
      </c>
      <c r="K1" s="97" t="str">
        <f t="shared" si="0"/>
        <v>Y2015MAY</v>
      </c>
      <c r="L1" s="97" t="str">
        <f t="shared" si="0"/>
        <v>Y2015JUN</v>
      </c>
      <c r="M1" s="97" t="str">
        <f t="shared" si="0"/>
        <v>Y2015JUL</v>
      </c>
      <c r="N1" s="97" t="str">
        <f t="shared" si="0"/>
        <v>Y2015AUG</v>
      </c>
      <c r="O1" s="97" t="str">
        <f t="shared" si="0"/>
        <v>Y2015SEP</v>
      </c>
      <c r="P1" s="97" t="str">
        <f t="shared" si="0"/>
        <v>Y2015OCT</v>
      </c>
      <c r="Q1" s="97" t="str">
        <f t="shared" si="0"/>
        <v>Y2015NOV</v>
      </c>
      <c r="R1" s="97" t="str">
        <f t="shared" si="0"/>
        <v>Y2015DEC</v>
      </c>
    </row>
    <row r="3" spans="1:18">
      <c r="C3" s="13"/>
      <c r="D3" s="13"/>
      <c r="E3" s="13"/>
      <c r="F3" s="13"/>
      <c r="G3" s="98" t="s">
        <v>204</v>
      </c>
      <c r="H3" s="98" t="s">
        <v>205</v>
      </c>
      <c r="I3" s="98" t="s">
        <v>206</v>
      </c>
      <c r="J3" s="98" t="s">
        <v>207</v>
      </c>
      <c r="K3" s="98" t="s">
        <v>208</v>
      </c>
      <c r="L3" s="98" t="s">
        <v>209</v>
      </c>
      <c r="M3" s="99" t="str">
        <f>N_SUBSIDIARY</f>
        <v>EEUK</v>
      </c>
      <c r="N3" s="100"/>
      <c r="O3" s="100"/>
      <c r="P3" s="13"/>
      <c r="Q3" s="13"/>
      <c r="R3" s="13"/>
    </row>
    <row r="4" spans="1:18">
      <c r="C4" s="13"/>
      <c r="D4" s="13"/>
      <c r="E4" s="13"/>
      <c r="F4" s="13"/>
      <c r="G4" s="100" t="str">
        <f t="shared" ref="G4:R4" si="1">"Y" &amp; LEFT(N_YYYYMM,4)</f>
        <v>Y2015</v>
      </c>
      <c r="H4" s="100" t="str">
        <f t="shared" si="1"/>
        <v>Y2015</v>
      </c>
      <c r="I4" s="100" t="str">
        <f t="shared" si="1"/>
        <v>Y2015</v>
      </c>
      <c r="J4" s="100" t="str">
        <f t="shared" si="1"/>
        <v>Y2015</v>
      </c>
      <c r="K4" s="100" t="str">
        <f t="shared" si="1"/>
        <v>Y2015</v>
      </c>
      <c r="L4" s="100" t="str">
        <f t="shared" si="1"/>
        <v>Y2015</v>
      </c>
      <c r="M4" s="100" t="str">
        <f t="shared" si="1"/>
        <v>Y2015</v>
      </c>
      <c r="N4" s="100" t="str">
        <f t="shared" si="1"/>
        <v>Y2015</v>
      </c>
      <c r="O4" s="100" t="str">
        <f t="shared" si="1"/>
        <v>Y2015</v>
      </c>
      <c r="P4" s="100" t="str">
        <f t="shared" si="1"/>
        <v>Y2015</v>
      </c>
      <c r="Q4" s="100" t="str">
        <f t="shared" si="1"/>
        <v>Y2015</v>
      </c>
      <c r="R4" s="100" t="str">
        <f t="shared" si="1"/>
        <v>Y2015</v>
      </c>
    </row>
    <row r="5" spans="1:18">
      <c r="C5" s="13"/>
      <c r="D5" s="13"/>
      <c r="E5" s="13"/>
      <c r="F5" s="13"/>
      <c r="G5" s="100" t="s">
        <v>210</v>
      </c>
      <c r="H5" s="100" t="s">
        <v>211</v>
      </c>
      <c r="I5" s="100" t="s">
        <v>212</v>
      </c>
      <c r="J5" s="100" t="s">
        <v>213</v>
      </c>
      <c r="K5" s="100" t="s">
        <v>214</v>
      </c>
      <c r="L5" s="100" t="s">
        <v>215</v>
      </c>
      <c r="M5" s="100" t="s">
        <v>216</v>
      </c>
      <c r="N5" s="100" t="s">
        <v>217</v>
      </c>
      <c r="O5" s="100" t="s">
        <v>218</v>
      </c>
      <c r="P5" s="100" t="s">
        <v>219</v>
      </c>
      <c r="Q5" s="100" t="s">
        <v>220</v>
      </c>
      <c r="R5" s="100" t="s">
        <v>221</v>
      </c>
    </row>
    <row r="6" spans="1:18">
      <c r="A6" s="97" t="str">
        <f t="shared" ref="A6:A37" si="2">N_SUBSIDIARY&amp;C6</f>
        <v>EEUKGLT</v>
      </c>
      <c r="C6" s="100" t="s">
        <v>332</v>
      </c>
      <c r="D6" s="100" t="s">
        <v>333</v>
      </c>
      <c r="E6" s="100" t="s">
        <v>334</v>
      </c>
      <c r="F6" s="100" t="s">
        <v>335</v>
      </c>
      <c r="G6" s="101">
        <v>20.314371255265563</v>
      </c>
      <c r="H6" s="101">
        <v>20.614456195311185</v>
      </c>
      <c r="I6" s="101">
        <v>20.653675707152139</v>
      </c>
      <c r="J6" s="101">
        <v>20.822195304689995</v>
      </c>
      <c r="K6" s="101">
        <v>20.522017214543098</v>
      </c>
      <c r="L6" s="101">
        <v>20.731406128485006</v>
      </c>
      <c r="M6" s="101">
        <v>20.68054872768468</v>
      </c>
      <c r="N6" s="101">
        <v>20.695629105590861</v>
      </c>
      <c r="O6" s="101">
        <v>20.732960125071632</v>
      </c>
      <c r="P6" s="101">
        <v>20.909336755560169</v>
      </c>
      <c r="Q6" s="101">
        <v>20.796679742881349</v>
      </c>
      <c r="R6" s="101">
        <v>20.385213918549805</v>
      </c>
    </row>
    <row r="7" spans="1:18">
      <c r="A7" s="97" t="str">
        <f t="shared" si="2"/>
        <v>EEUKLMT</v>
      </c>
      <c r="C7" s="100" t="s">
        <v>336</v>
      </c>
      <c r="D7" s="100" t="s">
        <v>337</v>
      </c>
      <c r="E7" s="100" t="s">
        <v>334</v>
      </c>
      <c r="F7" s="100" t="s">
        <v>335</v>
      </c>
      <c r="G7" s="101" t="s">
        <v>338</v>
      </c>
      <c r="H7" s="101" t="s">
        <v>338</v>
      </c>
      <c r="I7" s="101" t="s">
        <v>338</v>
      </c>
      <c r="J7" s="101" t="s">
        <v>338</v>
      </c>
      <c r="K7" s="101" t="s">
        <v>338</v>
      </c>
      <c r="L7" s="101" t="s">
        <v>338</v>
      </c>
      <c r="M7" s="101" t="s">
        <v>338</v>
      </c>
      <c r="N7" s="101" t="s">
        <v>338</v>
      </c>
      <c r="O7" s="101" t="s">
        <v>338</v>
      </c>
      <c r="P7" s="101" t="s">
        <v>338</v>
      </c>
      <c r="Q7" s="101" t="s">
        <v>338</v>
      </c>
      <c r="R7" s="101" t="s">
        <v>338</v>
      </c>
    </row>
    <row r="8" spans="1:18">
      <c r="A8" s="97" t="str">
        <f t="shared" si="2"/>
        <v>EEUKGLA</v>
      </c>
      <c r="C8" s="100" t="s">
        <v>339</v>
      </c>
      <c r="D8" s="100" t="s">
        <v>340</v>
      </c>
      <c r="E8" s="100" t="s">
        <v>334</v>
      </c>
      <c r="F8" s="100" t="s">
        <v>335</v>
      </c>
      <c r="G8" s="101" t="s">
        <v>338</v>
      </c>
      <c r="H8" s="101" t="s">
        <v>338</v>
      </c>
      <c r="I8" s="101" t="s">
        <v>338</v>
      </c>
      <c r="J8" s="101" t="s">
        <v>338</v>
      </c>
      <c r="K8" s="101" t="s">
        <v>338</v>
      </c>
      <c r="L8" s="101" t="s">
        <v>338</v>
      </c>
      <c r="M8" s="101" t="s">
        <v>338</v>
      </c>
      <c r="N8" s="101" t="s">
        <v>338</v>
      </c>
      <c r="O8" s="101" t="s">
        <v>338</v>
      </c>
      <c r="P8" s="101" t="s">
        <v>338</v>
      </c>
      <c r="Q8" s="101" t="s">
        <v>338</v>
      </c>
      <c r="R8" s="101" t="s">
        <v>338</v>
      </c>
    </row>
    <row r="9" spans="1:18">
      <c r="A9" s="97" t="str">
        <f t="shared" si="2"/>
        <v>EEUKGLM</v>
      </c>
      <c r="C9" s="100" t="s">
        <v>341</v>
      </c>
      <c r="D9" s="100" t="s">
        <v>342</v>
      </c>
      <c r="E9" s="100" t="s">
        <v>334</v>
      </c>
      <c r="F9" s="100" t="s">
        <v>335</v>
      </c>
      <c r="G9" s="101">
        <v>20.314371255265563</v>
      </c>
      <c r="H9" s="101">
        <v>20.614456195311185</v>
      </c>
      <c r="I9" s="101">
        <v>20.653675707152139</v>
      </c>
      <c r="J9" s="101">
        <v>20.822195304689995</v>
      </c>
      <c r="K9" s="101">
        <v>20.522017214543098</v>
      </c>
      <c r="L9" s="101">
        <v>20.731406128485006</v>
      </c>
      <c r="M9" s="101">
        <v>20.68054872768468</v>
      </c>
      <c r="N9" s="101">
        <v>20.695629105590861</v>
      </c>
      <c r="O9" s="101">
        <v>20.732960125071632</v>
      </c>
      <c r="P9" s="101">
        <v>20.909336755560169</v>
      </c>
      <c r="Q9" s="101">
        <v>20.796679742881349</v>
      </c>
      <c r="R9" s="101">
        <v>20.385213918549805</v>
      </c>
    </row>
    <row r="10" spans="1:18">
      <c r="A10" s="97" t="str">
        <f t="shared" si="2"/>
        <v>EEUKGPT</v>
      </c>
      <c r="C10" s="100" t="s">
        <v>343</v>
      </c>
      <c r="D10" s="100" t="s">
        <v>344</v>
      </c>
      <c r="E10" s="100" t="s">
        <v>334</v>
      </c>
      <c r="F10" s="100" t="s">
        <v>335</v>
      </c>
      <c r="G10" s="101" t="s">
        <v>338</v>
      </c>
      <c r="H10" s="101" t="s">
        <v>338</v>
      </c>
      <c r="I10" s="101" t="s">
        <v>338</v>
      </c>
      <c r="J10" s="101" t="s">
        <v>338</v>
      </c>
      <c r="K10" s="101" t="s">
        <v>338</v>
      </c>
      <c r="L10" s="101" t="s">
        <v>338</v>
      </c>
      <c r="M10" s="101" t="s">
        <v>338</v>
      </c>
      <c r="N10" s="101" t="s">
        <v>338</v>
      </c>
      <c r="O10" s="101" t="s">
        <v>338</v>
      </c>
      <c r="P10" s="101" t="s">
        <v>338</v>
      </c>
      <c r="Q10" s="101" t="s">
        <v>338</v>
      </c>
      <c r="R10" s="101" t="s">
        <v>338</v>
      </c>
    </row>
    <row r="11" spans="1:18">
      <c r="A11" s="97" t="str">
        <f t="shared" si="2"/>
        <v>EEUKGQT</v>
      </c>
      <c r="C11" s="100" t="s">
        <v>345</v>
      </c>
      <c r="D11" s="100" t="s">
        <v>346</v>
      </c>
      <c r="E11" s="100" t="s">
        <v>334</v>
      </c>
      <c r="F11" s="100" t="s">
        <v>335</v>
      </c>
      <c r="G11" s="101" t="s">
        <v>338</v>
      </c>
      <c r="H11" s="101" t="s">
        <v>338</v>
      </c>
      <c r="I11" s="101" t="s">
        <v>338</v>
      </c>
      <c r="J11" s="101" t="s">
        <v>338</v>
      </c>
      <c r="K11" s="101" t="s">
        <v>338</v>
      </c>
      <c r="L11" s="101" t="s">
        <v>338</v>
      </c>
      <c r="M11" s="101" t="s">
        <v>338</v>
      </c>
      <c r="N11" s="101" t="s">
        <v>338</v>
      </c>
      <c r="O11" s="101" t="s">
        <v>338</v>
      </c>
      <c r="P11" s="101" t="s">
        <v>338</v>
      </c>
      <c r="Q11" s="101" t="s">
        <v>338</v>
      </c>
      <c r="R11" s="101" t="s">
        <v>338</v>
      </c>
    </row>
    <row r="12" spans="1:18">
      <c r="A12" s="97" t="str">
        <f t="shared" si="2"/>
        <v>EEUKPIT</v>
      </c>
      <c r="C12" s="100" t="s">
        <v>347</v>
      </c>
      <c r="D12" s="100" t="s">
        <v>348</v>
      </c>
      <c r="E12" s="100" t="s">
        <v>334</v>
      </c>
      <c r="F12" s="100" t="s">
        <v>335</v>
      </c>
      <c r="G12" s="101" t="s">
        <v>338</v>
      </c>
      <c r="H12" s="101" t="s">
        <v>338</v>
      </c>
      <c r="I12" s="101" t="s">
        <v>338</v>
      </c>
      <c r="J12" s="101" t="s">
        <v>338</v>
      </c>
      <c r="K12" s="101" t="s">
        <v>338</v>
      </c>
      <c r="L12" s="101" t="s">
        <v>338</v>
      </c>
      <c r="M12" s="101" t="s">
        <v>338</v>
      </c>
      <c r="N12" s="101" t="s">
        <v>338</v>
      </c>
      <c r="O12" s="101" t="s">
        <v>338</v>
      </c>
      <c r="P12" s="101" t="s">
        <v>338</v>
      </c>
      <c r="Q12" s="101" t="s">
        <v>338</v>
      </c>
      <c r="R12" s="101" t="s">
        <v>338</v>
      </c>
    </row>
    <row r="13" spans="1:18">
      <c r="A13" s="97" t="str">
        <f t="shared" si="2"/>
        <v>EEUKGDT</v>
      </c>
      <c r="C13" s="100" t="s">
        <v>349</v>
      </c>
      <c r="D13" s="100" t="s">
        <v>350</v>
      </c>
      <c r="E13" s="100" t="s">
        <v>351</v>
      </c>
      <c r="F13" s="100" t="s">
        <v>352</v>
      </c>
      <c r="G13" s="101" t="s">
        <v>353</v>
      </c>
      <c r="H13" s="101" t="s">
        <v>353</v>
      </c>
      <c r="I13" s="101" t="s">
        <v>353</v>
      </c>
      <c r="J13" s="101" t="s">
        <v>353</v>
      </c>
      <c r="K13" s="101" t="s">
        <v>353</v>
      </c>
      <c r="L13" s="101" t="s">
        <v>353</v>
      </c>
      <c r="M13" s="101" t="s">
        <v>353</v>
      </c>
      <c r="N13" s="101" t="s">
        <v>353</v>
      </c>
      <c r="O13" s="101" t="s">
        <v>353</v>
      </c>
      <c r="P13" s="101" t="s">
        <v>353</v>
      </c>
      <c r="Q13" s="101" t="s">
        <v>353</v>
      </c>
      <c r="R13" s="101" t="s">
        <v>353</v>
      </c>
    </row>
    <row r="14" spans="1:18">
      <c r="A14" s="97" t="str">
        <f t="shared" si="2"/>
        <v>EEUKGRT</v>
      </c>
      <c r="C14" s="100" t="s">
        <v>354</v>
      </c>
      <c r="D14" s="100" t="s">
        <v>355</v>
      </c>
      <c r="E14" s="100" t="s">
        <v>334</v>
      </c>
      <c r="F14" s="100" t="s">
        <v>335</v>
      </c>
      <c r="G14" s="101" t="s">
        <v>338</v>
      </c>
      <c r="H14" s="101" t="s">
        <v>338</v>
      </c>
      <c r="I14" s="101" t="s">
        <v>338</v>
      </c>
      <c r="J14" s="101" t="s">
        <v>338</v>
      </c>
      <c r="K14" s="101" t="s">
        <v>338</v>
      </c>
      <c r="L14" s="101" t="s">
        <v>338</v>
      </c>
      <c r="M14" s="101" t="s">
        <v>338</v>
      </c>
      <c r="N14" s="101" t="s">
        <v>338</v>
      </c>
      <c r="O14" s="101" t="s">
        <v>338</v>
      </c>
      <c r="P14" s="101" t="s">
        <v>338</v>
      </c>
      <c r="Q14" s="101" t="s">
        <v>338</v>
      </c>
      <c r="R14" s="101" t="s">
        <v>338</v>
      </c>
    </row>
    <row r="15" spans="1:18">
      <c r="A15" s="97" t="str">
        <f t="shared" si="2"/>
        <v>EEUKGTV</v>
      </c>
      <c r="C15" s="100" t="s">
        <v>356</v>
      </c>
      <c r="D15" s="100" t="s">
        <v>357</v>
      </c>
      <c r="E15" s="100" t="s">
        <v>351</v>
      </c>
      <c r="F15" s="100" t="s">
        <v>352</v>
      </c>
      <c r="G15" s="101">
        <v>20.314371255265563</v>
      </c>
      <c r="H15" s="101">
        <v>20.614456195311185</v>
      </c>
      <c r="I15" s="101">
        <v>20.653675707152139</v>
      </c>
      <c r="J15" s="101">
        <v>20.822195304689995</v>
      </c>
      <c r="K15" s="101">
        <v>20.522017214543098</v>
      </c>
      <c r="L15" s="101">
        <v>20.731406128485006</v>
      </c>
      <c r="M15" s="101">
        <v>20.68054872768468</v>
      </c>
      <c r="N15" s="101">
        <v>20.695629105590861</v>
      </c>
      <c r="O15" s="101">
        <v>20.732960125071632</v>
      </c>
      <c r="P15" s="101">
        <v>20.909336755560169</v>
      </c>
      <c r="Q15" s="101">
        <v>20.796679742881349</v>
      </c>
      <c r="R15" s="101">
        <v>20.385213918549805</v>
      </c>
    </row>
    <row r="16" spans="1:18">
      <c r="A16" s="97" t="str">
        <f t="shared" si="2"/>
        <v>EEUKGTT</v>
      </c>
      <c r="C16" s="100" t="s">
        <v>358</v>
      </c>
      <c r="D16" s="100" t="s">
        <v>359</v>
      </c>
      <c r="E16" s="100" t="s">
        <v>351</v>
      </c>
      <c r="F16" s="100" t="s">
        <v>352</v>
      </c>
      <c r="G16" s="101">
        <v>33.990725982906554</v>
      </c>
      <c r="H16" s="101">
        <v>34.200126072739465</v>
      </c>
      <c r="I16" s="101">
        <v>34.471574968502054</v>
      </c>
      <c r="J16" s="101">
        <v>34.624102756938456</v>
      </c>
      <c r="K16" s="101">
        <v>34.458087190489231</v>
      </c>
      <c r="L16" s="101">
        <v>34.59217903589461</v>
      </c>
      <c r="M16" s="101">
        <v>34.600435521274079</v>
      </c>
      <c r="N16" s="101">
        <v>34.745581879293681</v>
      </c>
      <c r="O16" s="101">
        <v>34.808676001271422</v>
      </c>
      <c r="P16" s="101">
        <v>34.786500431057618</v>
      </c>
      <c r="Q16" s="101">
        <v>34.591772634782075</v>
      </c>
      <c r="R16" s="101">
        <v>34.167057855227881</v>
      </c>
    </row>
    <row r="17" spans="1:18">
      <c r="A17" s="97" t="str">
        <f t="shared" si="2"/>
        <v>EEUKPCT</v>
      </c>
      <c r="C17" s="100" t="s">
        <v>360</v>
      </c>
      <c r="D17" s="100" t="s">
        <v>361</v>
      </c>
      <c r="E17" s="100" t="s">
        <v>334</v>
      </c>
      <c r="F17" s="100" t="s">
        <v>335</v>
      </c>
      <c r="G17" s="101" t="s">
        <v>338</v>
      </c>
      <c r="H17" s="101" t="s">
        <v>338</v>
      </c>
      <c r="I17" s="101" t="s">
        <v>338</v>
      </c>
      <c r="J17" s="101" t="s">
        <v>338</v>
      </c>
      <c r="K17" s="101" t="s">
        <v>338</v>
      </c>
      <c r="L17" s="101" t="s">
        <v>338</v>
      </c>
      <c r="M17" s="101" t="s">
        <v>338</v>
      </c>
      <c r="N17" s="101" t="s">
        <v>338</v>
      </c>
      <c r="O17" s="101" t="s">
        <v>338</v>
      </c>
      <c r="P17" s="101" t="s">
        <v>338</v>
      </c>
      <c r="Q17" s="101" t="s">
        <v>338</v>
      </c>
      <c r="R17" s="101" t="s">
        <v>338</v>
      </c>
    </row>
    <row r="18" spans="1:18">
      <c r="A18" s="97" t="str">
        <f t="shared" si="2"/>
        <v>EEUKPST</v>
      </c>
      <c r="C18" s="100" t="s">
        <v>362</v>
      </c>
      <c r="D18" s="100" t="s">
        <v>363</v>
      </c>
      <c r="E18" s="100" t="s">
        <v>334</v>
      </c>
      <c r="F18" s="100" t="s">
        <v>335</v>
      </c>
      <c r="G18" s="101" t="s">
        <v>338</v>
      </c>
      <c r="H18" s="101" t="s">
        <v>338</v>
      </c>
      <c r="I18" s="101" t="s">
        <v>338</v>
      </c>
      <c r="J18" s="101" t="s">
        <v>338</v>
      </c>
      <c r="K18" s="101" t="s">
        <v>338</v>
      </c>
      <c r="L18" s="101" t="s">
        <v>338</v>
      </c>
      <c r="M18" s="101" t="s">
        <v>338</v>
      </c>
      <c r="N18" s="101" t="s">
        <v>338</v>
      </c>
      <c r="O18" s="101" t="s">
        <v>338</v>
      </c>
      <c r="P18" s="101" t="s">
        <v>338</v>
      </c>
      <c r="Q18" s="101" t="s">
        <v>338</v>
      </c>
      <c r="R18" s="101" t="s">
        <v>338</v>
      </c>
    </row>
    <row r="19" spans="1:18">
      <c r="A19" s="97" t="str">
        <f t="shared" si="2"/>
        <v>EEUKMPA</v>
      </c>
      <c r="C19" s="100" t="s">
        <v>364</v>
      </c>
      <c r="D19" s="100" t="s">
        <v>365</v>
      </c>
      <c r="E19" s="100" t="s">
        <v>334</v>
      </c>
      <c r="F19" s="100" t="s">
        <v>335</v>
      </c>
      <c r="G19" s="101" t="s">
        <v>338</v>
      </c>
      <c r="H19" s="101" t="s">
        <v>338</v>
      </c>
      <c r="I19" s="101" t="s">
        <v>338</v>
      </c>
      <c r="J19" s="101" t="s">
        <v>338</v>
      </c>
      <c r="K19" s="101" t="s">
        <v>338</v>
      </c>
      <c r="L19" s="101" t="s">
        <v>338</v>
      </c>
      <c r="M19" s="101" t="s">
        <v>338</v>
      </c>
      <c r="N19" s="101" t="s">
        <v>338</v>
      </c>
      <c r="O19" s="101" t="s">
        <v>338</v>
      </c>
      <c r="P19" s="101" t="s">
        <v>338</v>
      </c>
      <c r="Q19" s="101" t="s">
        <v>338</v>
      </c>
      <c r="R19" s="101" t="s">
        <v>338</v>
      </c>
    </row>
    <row r="20" spans="1:18">
      <c r="A20" s="97" t="str">
        <f t="shared" si="2"/>
        <v>EEUKGMP</v>
      </c>
      <c r="C20" s="100" t="s">
        <v>366</v>
      </c>
      <c r="D20" s="100" t="s">
        <v>367</v>
      </c>
      <c r="E20" s="100" t="s">
        <v>334</v>
      </c>
      <c r="F20" s="100" t="s">
        <v>335</v>
      </c>
      <c r="G20" s="101">
        <v>33.990725982906554</v>
      </c>
      <c r="H20" s="101">
        <v>34.200126072739465</v>
      </c>
      <c r="I20" s="101">
        <v>34.471574968502054</v>
      </c>
      <c r="J20" s="101">
        <v>34.624102756938456</v>
      </c>
      <c r="K20" s="101">
        <v>34.458087190489231</v>
      </c>
      <c r="L20" s="101">
        <v>34.59217903589461</v>
      </c>
      <c r="M20" s="101">
        <v>34.600435521274079</v>
      </c>
      <c r="N20" s="101">
        <v>34.745581879293681</v>
      </c>
      <c r="O20" s="101">
        <v>34.808676001271422</v>
      </c>
      <c r="P20" s="101">
        <v>34.786500431057618</v>
      </c>
      <c r="Q20" s="101">
        <v>34.591772634782075</v>
      </c>
      <c r="R20" s="101">
        <v>34.167057855227881</v>
      </c>
    </row>
    <row r="21" spans="1:18">
      <c r="A21" s="97" t="str">
        <f t="shared" si="2"/>
        <v>EEUKPJT</v>
      </c>
      <c r="C21" s="100" t="s">
        <v>368</v>
      </c>
      <c r="D21" s="100" t="s">
        <v>369</v>
      </c>
      <c r="E21" s="100" t="s">
        <v>334</v>
      </c>
      <c r="F21" s="100" t="s">
        <v>335</v>
      </c>
      <c r="G21" s="101" t="s">
        <v>338</v>
      </c>
      <c r="H21" s="101" t="s">
        <v>338</v>
      </c>
      <c r="I21" s="101" t="s">
        <v>338</v>
      </c>
      <c r="J21" s="101" t="s">
        <v>338</v>
      </c>
      <c r="K21" s="101" t="s">
        <v>338</v>
      </c>
      <c r="L21" s="101" t="s">
        <v>338</v>
      </c>
      <c r="M21" s="101" t="s">
        <v>338</v>
      </c>
      <c r="N21" s="101" t="s">
        <v>338</v>
      </c>
      <c r="O21" s="101" t="s">
        <v>338</v>
      </c>
      <c r="P21" s="101" t="s">
        <v>338</v>
      </c>
      <c r="Q21" s="101" t="s">
        <v>338</v>
      </c>
      <c r="R21" s="101" t="s">
        <v>338</v>
      </c>
    </row>
    <row r="22" spans="1:18">
      <c r="A22" s="97" t="str">
        <f t="shared" si="2"/>
        <v>EEUKTMA</v>
      </c>
      <c r="C22" s="100" t="s">
        <v>370</v>
      </c>
      <c r="D22" s="100" t="s">
        <v>371</v>
      </c>
      <c r="E22" s="100" t="s">
        <v>334</v>
      </c>
      <c r="F22" s="100" t="s">
        <v>335</v>
      </c>
      <c r="G22" s="101" t="s">
        <v>338</v>
      </c>
      <c r="H22" s="101" t="s">
        <v>338</v>
      </c>
      <c r="I22" s="101" t="s">
        <v>338</v>
      </c>
      <c r="J22" s="101" t="s">
        <v>338</v>
      </c>
      <c r="K22" s="101" t="s">
        <v>338</v>
      </c>
      <c r="L22" s="101" t="s">
        <v>338</v>
      </c>
      <c r="M22" s="101" t="s">
        <v>338</v>
      </c>
      <c r="N22" s="101" t="s">
        <v>338</v>
      </c>
      <c r="O22" s="101" t="s">
        <v>338</v>
      </c>
      <c r="P22" s="101" t="s">
        <v>338</v>
      </c>
      <c r="Q22" s="101" t="s">
        <v>338</v>
      </c>
      <c r="R22" s="101" t="s">
        <v>338</v>
      </c>
    </row>
    <row r="23" spans="1:18">
      <c r="A23" s="97" t="str">
        <f t="shared" si="2"/>
        <v>EEUKGTM</v>
      </c>
      <c r="C23" s="100" t="s">
        <v>372</v>
      </c>
      <c r="D23" s="100" t="s">
        <v>373</v>
      </c>
      <c r="E23" s="100" t="s">
        <v>351</v>
      </c>
      <c r="F23" s="100" t="s">
        <v>352</v>
      </c>
      <c r="G23" s="101">
        <v>22.109379262088346</v>
      </c>
      <c r="H23" s="101">
        <v>22.05136160635471</v>
      </c>
      <c r="I23" s="101">
        <v>22.272367126364326</v>
      </c>
      <c r="J23" s="101">
        <v>22.110256736245287</v>
      </c>
      <c r="K23" s="101">
        <v>22.557998875106556</v>
      </c>
      <c r="L23" s="101">
        <v>22.404276058800296</v>
      </c>
      <c r="M23" s="101">
        <v>22.244637210596011</v>
      </c>
      <c r="N23" s="101">
        <v>23.056685901701293</v>
      </c>
      <c r="O23" s="101">
        <v>23.020084507124679</v>
      </c>
      <c r="P23" s="101">
        <v>22.291352596618932</v>
      </c>
      <c r="Q23" s="101">
        <v>22.143172228655267</v>
      </c>
      <c r="R23" s="101">
        <v>22.044278826161353</v>
      </c>
    </row>
    <row r="24" spans="1:18">
      <c r="A24" s="97" t="str">
        <f t="shared" si="2"/>
        <v>EEUKPNT</v>
      </c>
      <c r="C24" s="100" t="s">
        <v>374</v>
      </c>
      <c r="D24" s="100" t="s">
        <v>375</v>
      </c>
      <c r="E24" s="100" t="s">
        <v>334</v>
      </c>
      <c r="F24" s="100" t="s">
        <v>335</v>
      </c>
      <c r="G24" s="101">
        <v>52.959457234937929</v>
      </c>
      <c r="H24" s="101">
        <v>54.922628160870964</v>
      </c>
      <c r="I24" s="101">
        <v>55.426172779625333</v>
      </c>
      <c r="J24" s="101">
        <v>55.068414368417109</v>
      </c>
      <c r="K24" s="101">
        <v>55.015110562217259</v>
      </c>
      <c r="L24" s="101">
        <v>55.174112881961562</v>
      </c>
      <c r="M24" s="101">
        <v>55.345272658823859</v>
      </c>
      <c r="N24" s="101">
        <v>55.856618314476592</v>
      </c>
      <c r="O24" s="101">
        <v>56.153190525321548</v>
      </c>
      <c r="P24" s="101">
        <v>56.123500819521645</v>
      </c>
      <c r="Q24" s="101">
        <v>55.170552917502704</v>
      </c>
      <c r="R24" s="101">
        <v>52.072687111336386</v>
      </c>
    </row>
    <row r="25" spans="1:18">
      <c r="A25" s="97" t="str">
        <f t="shared" si="2"/>
        <v>EEUKPKT</v>
      </c>
      <c r="C25" s="100" t="s">
        <v>376</v>
      </c>
      <c r="D25" s="100" t="s">
        <v>377</v>
      </c>
      <c r="E25" s="100" t="s">
        <v>351</v>
      </c>
      <c r="F25" s="100" t="s">
        <v>352</v>
      </c>
      <c r="G25" s="101" t="s">
        <v>353</v>
      </c>
      <c r="H25" s="101" t="s">
        <v>353</v>
      </c>
      <c r="I25" s="101" t="s">
        <v>353</v>
      </c>
      <c r="J25" s="101" t="s">
        <v>353</v>
      </c>
      <c r="K25" s="101" t="s">
        <v>353</v>
      </c>
      <c r="L25" s="101" t="s">
        <v>353</v>
      </c>
      <c r="M25" s="101" t="s">
        <v>353</v>
      </c>
      <c r="N25" s="101" t="s">
        <v>353</v>
      </c>
      <c r="O25" s="101" t="s">
        <v>353</v>
      </c>
      <c r="P25" s="101" t="s">
        <v>353</v>
      </c>
      <c r="Q25" s="101" t="s">
        <v>353</v>
      </c>
      <c r="R25" s="101" t="s">
        <v>353</v>
      </c>
    </row>
    <row r="26" spans="1:18">
      <c r="A26" s="97" t="str">
        <f t="shared" si="2"/>
        <v>EEUKPHT</v>
      </c>
      <c r="C26" s="100" t="s">
        <v>378</v>
      </c>
      <c r="D26" s="100" t="s">
        <v>379</v>
      </c>
      <c r="E26" s="100" t="s">
        <v>334</v>
      </c>
      <c r="F26" s="100" t="s">
        <v>335</v>
      </c>
      <c r="G26" s="101" t="s">
        <v>338</v>
      </c>
      <c r="H26" s="101" t="s">
        <v>338</v>
      </c>
      <c r="I26" s="101" t="s">
        <v>338</v>
      </c>
      <c r="J26" s="101" t="s">
        <v>338</v>
      </c>
      <c r="K26" s="101" t="s">
        <v>338</v>
      </c>
      <c r="L26" s="101" t="s">
        <v>338</v>
      </c>
      <c r="M26" s="101" t="s">
        <v>338</v>
      </c>
      <c r="N26" s="101" t="s">
        <v>338</v>
      </c>
      <c r="O26" s="101" t="s">
        <v>338</v>
      </c>
      <c r="P26" s="101" t="s">
        <v>338</v>
      </c>
      <c r="Q26" s="101" t="s">
        <v>338</v>
      </c>
      <c r="R26" s="101" t="s">
        <v>338</v>
      </c>
    </row>
    <row r="27" spans="1:18">
      <c r="A27" s="97" t="str">
        <f t="shared" si="2"/>
        <v>EEUKCMA</v>
      </c>
      <c r="C27" s="100" t="s">
        <v>380</v>
      </c>
      <c r="D27" s="100" t="s">
        <v>381</v>
      </c>
      <c r="E27" s="100" t="s">
        <v>334</v>
      </c>
      <c r="F27" s="100" t="s">
        <v>335</v>
      </c>
      <c r="G27" s="101" t="s">
        <v>338</v>
      </c>
      <c r="H27" s="101" t="s">
        <v>338</v>
      </c>
      <c r="I27" s="101" t="s">
        <v>338</v>
      </c>
      <c r="J27" s="101" t="s">
        <v>338</v>
      </c>
      <c r="K27" s="101" t="s">
        <v>338</v>
      </c>
      <c r="L27" s="101" t="s">
        <v>338</v>
      </c>
      <c r="M27" s="101" t="s">
        <v>338</v>
      </c>
      <c r="N27" s="101" t="s">
        <v>338</v>
      </c>
      <c r="O27" s="101" t="s">
        <v>338</v>
      </c>
      <c r="P27" s="101" t="s">
        <v>338</v>
      </c>
      <c r="Q27" s="101" t="s">
        <v>338</v>
      </c>
      <c r="R27" s="101" t="s">
        <v>338</v>
      </c>
    </row>
    <row r="28" spans="1:18">
      <c r="A28" s="97" t="str">
        <f t="shared" si="2"/>
        <v>EEUKCMS</v>
      </c>
      <c r="C28" s="100" t="s">
        <v>382</v>
      </c>
      <c r="D28" s="100" t="s">
        <v>383</v>
      </c>
      <c r="E28" s="100" t="s">
        <v>334</v>
      </c>
      <c r="F28" s="100" t="s">
        <v>335</v>
      </c>
      <c r="G28" s="101">
        <v>52.959457234937929</v>
      </c>
      <c r="H28" s="101">
        <v>54.922628160870964</v>
      </c>
      <c r="I28" s="101">
        <v>55.426172779625333</v>
      </c>
      <c r="J28" s="101">
        <v>55.068414368417109</v>
      </c>
      <c r="K28" s="101">
        <v>55.015110562217259</v>
      </c>
      <c r="L28" s="101">
        <v>55.174112881961562</v>
      </c>
      <c r="M28" s="101">
        <v>55.345272658823859</v>
      </c>
      <c r="N28" s="101">
        <v>55.856618314476592</v>
      </c>
      <c r="O28" s="101">
        <v>56.153190525321548</v>
      </c>
      <c r="P28" s="101">
        <v>56.123500819521645</v>
      </c>
      <c r="Q28" s="101">
        <v>55.170552917502704</v>
      </c>
      <c r="R28" s="101">
        <v>52.072687111336386</v>
      </c>
    </row>
    <row r="29" spans="1:18">
      <c r="A29" s="97" t="str">
        <f t="shared" si="2"/>
        <v>EEUKGJT</v>
      </c>
      <c r="C29" s="100" t="s">
        <v>384</v>
      </c>
      <c r="D29" s="100" t="s">
        <v>385</v>
      </c>
      <c r="E29" s="100" t="s">
        <v>334</v>
      </c>
      <c r="F29" s="100" t="s">
        <v>335</v>
      </c>
      <c r="G29" s="101">
        <v>34.788936774196763</v>
      </c>
      <c r="H29" s="101">
        <v>34.885484562415364</v>
      </c>
      <c r="I29" s="101">
        <v>34.864400106068715</v>
      </c>
      <c r="J29" s="101">
        <v>34.918509246145817</v>
      </c>
      <c r="K29" s="101">
        <v>34.870791870763497</v>
      </c>
      <c r="L29" s="101">
        <v>34.936292342626288</v>
      </c>
      <c r="M29" s="101">
        <v>35.011315516606814</v>
      </c>
      <c r="N29" s="101">
        <v>34.970686947480971</v>
      </c>
      <c r="O29" s="101">
        <v>34.931833743687157</v>
      </c>
      <c r="P29" s="101">
        <v>34.959034068100465</v>
      </c>
      <c r="Q29" s="101">
        <v>34.701035585912948</v>
      </c>
      <c r="R29" s="101">
        <v>34.626587362018029</v>
      </c>
    </row>
    <row r="30" spans="1:18">
      <c r="A30" s="97" t="str">
        <f t="shared" si="2"/>
        <v>EEUKGNT</v>
      </c>
      <c r="C30" s="100" t="s">
        <v>386</v>
      </c>
      <c r="D30" s="100" t="s">
        <v>387</v>
      </c>
      <c r="E30" s="100" t="s">
        <v>334</v>
      </c>
      <c r="F30" s="100" t="s">
        <v>335</v>
      </c>
      <c r="G30" s="101">
        <v>24.882905796774175</v>
      </c>
      <c r="H30" s="101">
        <v>24.910032934122416</v>
      </c>
      <c r="I30" s="101">
        <v>24.919181240539519</v>
      </c>
      <c r="J30" s="101">
        <v>24.902264361450161</v>
      </c>
      <c r="K30" s="101">
        <v>24.903579867442719</v>
      </c>
      <c r="L30" s="101">
        <v>24.93818712563364</v>
      </c>
      <c r="M30" s="101">
        <v>24.935235403413746</v>
      </c>
      <c r="N30" s="101">
        <v>24.952927152421452</v>
      </c>
      <c r="O30" s="101">
        <v>24.948613822818348</v>
      </c>
      <c r="P30" s="101">
        <v>24.949217972192468</v>
      </c>
      <c r="Q30" s="101">
        <v>24.95824571824409</v>
      </c>
      <c r="R30" s="101">
        <v>24.887573626937517</v>
      </c>
    </row>
    <row r="31" spans="1:18">
      <c r="A31" s="97" t="str">
        <f t="shared" si="2"/>
        <v>EEUKGOT</v>
      </c>
      <c r="C31" s="100" t="s">
        <v>388</v>
      </c>
      <c r="D31" s="100" t="s">
        <v>389</v>
      </c>
      <c r="E31" s="100" t="s">
        <v>334</v>
      </c>
      <c r="F31" s="100" t="s">
        <v>335</v>
      </c>
      <c r="G31" s="101" t="s">
        <v>338</v>
      </c>
      <c r="H31" s="101" t="s">
        <v>338</v>
      </c>
      <c r="I31" s="101" t="s">
        <v>338</v>
      </c>
      <c r="J31" s="101" t="s">
        <v>338</v>
      </c>
      <c r="K31" s="101" t="s">
        <v>338</v>
      </c>
      <c r="L31" s="101" t="s">
        <v>338</v>
      </c>
      <c r="M31" s="101" t="s">
        <v>338</v>
      </c>
      <c r="N31" s="101" t="s">
        <v>338</v>
      </c>
      <c r="O31" s="101" t="s">
        <v>338</v>
      </c>
      <c r="P31" s="101" t="s">
        <v>338</v>
      </c>
      <c r="Q31" s="101" t="s">
        <v>338</v>
      </c>
      <c r="R31" s="101" t="s">
        <v>338</v>
      </c>
    </row>
    <row r="32" spans="1:18">
      <c r="A32" s="97" t="str">
        <f t="shared" si="2"/>
        <v>EEUKGHT</v>
      </c>
      <c r="C32" s="100" t="s">
        <v>390</v>
      </c>
      <c r="D32" s="100" t="s">
        <v>391</v>
      </c>
      <c r="E32" s="100" t="s">
        <v>334</v>
      </c>
      <c r="F32" s="100" t="s">
        <v>335</v>
      </c>
      <c r="G32" s="101" t="s">
        <v>338</v>
      </c>
      <c r="H32" s="101" t="s">
        <v>338</v>
      </c>
      <c r="I32" s="101" t="s">
        <v>338</v>
      </c>
      <c r="J32" s="101" t="s">
        <v>338</v>
      </c>
      <c r="K32" s="101" t="s">
        <v>338</v>
      </c>
      <c r="L32" s="101" t="s">
        <v>338</v>
      </c>
      <c r="M32" s="101" t="s">
        <v>338</v>
      </c>
      <c r="N32" s="101" t="s">
        <v>338</v>
      </c>
      <c r="O32" s="101" t="s">
        <v>338</v>
      </c>
      <c r="P32" s="101" t="s">
        <v>338</v>
      </c>
      <c r="Q32" s="101" t="s">
        <v>338</v>
      </c>
      <c r="R32" s="101" t="s">
        <v>338</v>
      </c>
    </row>
    <row r="33" spans="1:18">
      <c r="A33" s="97" t="str">
        <f t="shared" si="2"/>
        <v>EEUKIMP</v>
      </c>
      <c r="C33" s="100" t="s">
        <v>392</v>
      </c>
      <c r="D33" s="100" t="s">
        <v>393</v>
      </c>
      <c r="E33" s="100" t="s">
        <v>334</v>
      </c>
      <c r="F33" s="100" t="s">
        <v>335</v>
      </c>
      <c r="G33" s="101" t="s">
        <v>338</v>
      </c>
      <c r="H33" s="101" t="s">
        <v>338</v>
      </c>
      <c r="I33" s="101" t="s">
        <v>338</v>
      </c>
      <c r="J33" s="101" t="s">
        <v>338</v>
      </c>
      <c r="K33" s="101" t="s">
        <v>338</v>
      </c>
      <c r="L33" s="101" t="s">
        <v>338</v>
      </c>
      <c r="M33" s="101" t="s">
        <v>338</v>
      </c>
      <c r="N33" s="101" t="s">
        <v>338</v>
      </c>
      <c r="O33" s="101" t="s">
        <v>338</v>
      </c>
      <c r="P33" s="101" t="s">
        <v>338</v>
      </c>
      <c r="Q33" s="101" t="s">
        <v>338</v>
      </c>
      <c r="R33" s="101" t="s">
        <v>338</v>
      </c>
    </row>
    <row r="34" spans="1:18">
      <c r="A34" s="97" t="str">
        <f t="shared" si="2"/>
        <v>EEUKMPT</v>
      </c>
      <c r="C34" s="100" t="s">
        <v>394</v>
      </c>
      <c r="D34" s="100" t="s">
        <v>395</v>
      </c>
      <c r="E34" s="100" t="s">
        <v>334</v>
      </c>
      <c r="F34" s="100" t="s">
        <v>335</v>
      </c>
      <c r="G34" s="101">
        <v>30.098514855624547</v>
      </c>
      <c r="H34" s="101">
        <v>30.110839433035668</v>
      </c>
      <c r="I34" s="101">
        <v>30.398242823817498</v>
      </c>
      <c r="J34" s="101">
        <v>30.459116451964331</v>
      </c>
      <c r="K34" s="101">
        <v>30.409802861776605</v>
      </c>
      <c r="L34" s="101">
        <v>31.980612695485245</v>
      </c>
      <c r="M34" s="101">
        <v>32.29271057337229</v>
      </c>
      <c r="N34" s="101">
        <v>30.692673777765933</v>
      </c>
      <c r="O34" s="101">
        <v>30.874008078828808</v>
      </c>
      <c r="P34" s="101">
        <v>30.835343027135931</v>
      </c>
      <c r="Q34" s="101">
        <v>29.00492879823782</v>
      </c>
      <c r="R34" s="101">
        <v>28.793247903188302</v>
      </c>
    </row>
    <row r="35" spans="1:18">
      <c r="A35" s="97" t="str">
        <f t="shared" si="2"/>
        <v>EEUKGAT</v>
      </c>
      <c r="C35" s="100" t="s">
        <v>396</v>
      </c>
      <c r="D35" s="100" t="s">
        <v>397</v>
      </c>
      <c r="E35" s="100" t="s">
        <v>334</v>
      </c>
      <c r="F35" s="100" t="s">
        <v>335</v>
      </c>
      <c r="G35" s="101" t="s">
        <v>338</v>
      </c>
      <c r="H35" s="101" t="s">
        <v>338</v>
      </c>
      <c r="I35" s="101" t="s">
        <v>338</v>
      </c>
      <c r="J35" s="101" t="s">
        <v>338</v>
      </c>
      <c r="K35" s="101" t="s">
        <v>338</v>
      </c>
      <c r="L35" s="101" t="s">
        <v>338</v>
      </c>
      <c r="M35" s="101" t="s">
        <v>338</v>
      </c>
      <c r="N35" s="101" t="s">
        <v>338</v>
      </c>
      <c r="O35" s="101" t="s">
        <v>338</v>
      </c>
      <c r="P35" s="101" t="s">
        <v>338</v>
      </c>
      <c r="Q35" s="101" t="s">
        <v>338</v>
      </c>
      <c r="R35" s="101" t="s">
        <v>338</v>
      </c>
    </row>
    <row r="36" spans="1:18">
      <c r="A36" s="97" t="str">
        <f t="shared" si="2"/>
        <v>EEUKDPT</v>
      </c>
      <c r="C36" s="100" t="s">
        <v>398</v>
      </c>
      <c r="D36" s="100" t="s">
        <v>399</v>
      </c>
      <c r="E36" s="100" t="s">
        <v>334</v>
      </c>
      <c r="F36" s="100" t="s">
        <v>335</v>
      </c>
      <c r="G36" s="101" t="s">
        <v>338</v>
      </c>
      <c r="H36" s="101" t="s">
        <v>338</v>
      </c>
      <c r="I36" s="101" t="s">
        <v>338</v>
      </c>
      <c r="J36" s="101" t="s">
        <v>338</v>
      </c>
      <c r="K36" s="101" t="s">
        <v>338</v>
      </c>
      <c r="L36" s="101" t="s">
        <v>338</v>
      </c>
      <c r="M36" s="101" t="s">
        <v>338</v>
      </c>
      <c r="N36" s="101" t="s">
        <v>338</v>
      </c>
      <c r="O36" s="101" t="s">
        <v>338</v>
      </c>
      <c r="P36" s="101" t="s">
        <v>338</v>
      </c>
      <c r="Q36" s="101" t="s">
        <v>338</v>
      </c>
      <c r="R36" s="101" t="s">
        <v>338</v>
      </c>
    </row>
    <row r="37" spans="1:18">
      <c r="A37" s="97" t="str">
        <f t="shared" si="2"/>
        <v>EEUKGHE</v>
      </c>
      <c r="C37" s="100" t="s">
        <v>400</v>
      </c>
      <c r="D37" s="100" t="s">
        <v>401</v>
      </c>
      <c r="E37" s="100" t="s">
        <v>334</v>
      </c>
      <c r="F37" s="100" t="s">
        <v>335</v>
      </c>
      <c r="G37" s="101" t="s">
        <v>338</v>
      </c>
      <c r="H37" s="101" t="s">
        <v>338</v>
      </c>
      <c r="I37" s="101" t="s">
        <v>338</v>
      </c>
      <c r="J37" s="101" t="s">
        <v>338</v>
      </c>
      <c r="K37" s="101" t="s">
        <v>338</v>
      </c>
      <c r="L37" s="101" t="s">
        <v>338</v>
      </c>
      <c r="M37" s="101" t="s">
        <v>338</v>
      </c>
      <c r="N37" s="101" t="s">
        <v>338</v>
      </c>
      <c r="O37" s="101" t="s">
        <v>338</v>
      </c>
      <c r="P37" s="101" t="s">
        <v>338</v>
      </c>
      <c r="Q37" s="101" t="s">
        <v>338</v>
      </c>
      <c r="R37" s="101" t="s">
        <v>338</v>
      </c>
    </row>
    <row r="38" spans="1:18">
      <c r="A38" s="97" t="str">
        <f t="shared" ref="A38:A69" si="3">N_SUBSIDIARY&amp;C38</f>
        <v>EEUKZHE</v>
      </c>
      <c r="C38" s="100" t="s">
        <v>402</v>
      </c>
      <c r="D38" s="100" t="s">
        <v>403</v>
      </c>
      <c r="E38" s="100" t="s">
        <v>334</v>
      </c>
      <c r="F38" s="100" t="s">
        <v>335</v>
      </c>
      <c r="G38" s="101" t="s">
        <v>338</v>
      </c>
      <c r="H38" s="101" t="s">
        <v>338</v>
      </c>
      <c r="I38" s="101" t="s">
        <v>338</v>
      </c>
      <c r="J38" s="101" t="s">
        <v>338</v>
      </c>
      <c r="K38" s="101" t="s">
        <v>338</v>
      </c>
      <c r="L38" s="101" t="s">
        <v>338</v>
      </c>
      <c r="M38" s="101" t="s">
        <v>338</v>
      </c>
      <c r="N38" s="101" t="s">
        <v>338</v>
      </c>
      <c r="O38" s="101" t="s">
        <v>338</v>
      </c>
      <c r="P38" s="101" t="s">
        <v>338</v>
      </c>
      <c r="Q38" s="101" t="s">
        <v>338</v>
      </c>
      <c r="R38" s="101" t="s">
        <v>338</v>
      </c>
    </row>
    <row r="39" spans="1:18">
      <c r="A39" s="97" t="str">
        <f t="shared" si="3"/>
        <v>EEUKHE</v>
      </c>
      <c r="C39" s="100" t="s">
        <v>404</v>
      </c>
      <c r="D39" s="100" t="s">
        <v>404</v>
      </c>
      <c r="E39" s="100" t="s">
        <v>334</v>
      </c>
      <c r="F39" s="100" t="s">
        <v>335</v>
      </c>
      <c r="G39" s="101">
        <v>25.262401015320084</v>
      </c>
      <c r="H39" s="101">
        <v>25.856921807619781</v>
      </c>
      <c r="I39" s="101">
        <v>26.844612054523328</v>
      </c>
      <c r="J39" s="101">
        <v>25.437278892977485</v>
      </c>
      <c r="K39" s="101">
        <v>26.943942262244555</v>
      </c>
      <c r="L39" s="101">
        <v>26.329569415192825</v>
      </c>
      <c r="M39" s="101">
        <v>26.202493766817128</v>
      </c>
      <c r="N39" s="101">
        <v>28.063117499403795</v>
      </c>
      <c r="O39" s="101">
        <v>28.019783617519028</v>
      </c>
      <c r="P39" s="101">
        <v>24.903784261752545</v>
      </c>
      <c r="Q39" s="101">
        <v>24.810785337274833</v>
      </c>
      <c r="R39" s="101">
        <v>24.860047043205601</v>
      </c>
    </row>
    <row r="40" spans="1:18">
      <c r="A40" s="97" t="str">
        <f t="shared" si="3"/>
        <v>EEUKMST</v>
      </c>
      <c r="C40" s="100" t="s">
        <v>405</v>
      </c>
      <c r="D40" s="100" t="s">
        <v>406</v>
      </c>
      <c r="E40" s="100" t="s">
        <v>334</v>
      </c>
      <c r="F40" s="100" t="s">
        <v>335</v>
      </c>
      <c r="G40" s="101">
        <v>9.8978519270358252</v>
      </c>
      <c r="H40" s="101">
        <v>9.944910283749623</v>
      </c>
      <c r="I40" s="101">
        <v>9.9462992044231147</v>
      </c>
      <c r="J40" s="101">
        <v>9.9559610541837671</v>
      </c>
      <c r="K40" s="101">
        <v>9.9605937428415032</v>
      </c>
      <c r="L40" s="101">
        <v>9.9522146336752968</v>
      </c>
      <c r="M40" s="101">
        <v>9.9692879660538232</v>
      </c>
      <c r="N40" s="101">
        <v>9.961918147235691</v>
      </c>
      <c r="O40" s="101">
        <v>9.9764967640689548</v>
      </c>
      <c r="P40" s="101">
        <v>9.9607546131059994</v>
      </c>
      <c r="Q40" s="101">
        <v>9.9570090959317152</v>
      </c>
      <c r="R40" s="101">
        <v>9.8798390721384166</v>
      </c>
    </row>
    <row r="41" spans="1:18">
      <c r="A41" s="97" t="str">
        <f t="shared" si="3"/>
        <v>EEUKNWT</v>
      </c>
      <c r="C41" s="100" t="s">
        <v>407</v>
      </c>
      <c r="D41" s="100" t="s">
        <v>408</v>
      </c>
      <c r="E41" s="100" t="s">
        <v>334</v>
      </c>
      <c r="F41" s="100" t="s">
        <v>335</v>
      </c>
      <c r="G41" s="101" t="s">
        <v>338</v>
      </c>
      <c r="H41" s="101" t="s">
        <v>338</v>
      </c>
      <c r="I41" s="101" t="s">
        <v>338</v>
      </c>
      <c r="J41" s="101" t="s">
        <v>338</v>
      </c>
      <c r="K41" s="101" t="s">
        <v>338</v>
      </c>
      <c r="L41" s="101" t="s">
        <v>338</v>
      </c>
      <c r="M41" s="101" t="s">
        <v>338</v>
      </c>
      <c r="N41" s="101" t="s">
        <v>338</v>
      </c>
      <c r="O41" s="101" t="s">
        <v>338</v>
      </c>
      <c r="P41" s="101" t="s">
        <v>338</v>
      </c>
      <c r="Q41" s="101" t="s">
        <v>338</v>
      </c>
      <c r="R41" s="101" t="s">
        <v>338</v>
      </c>
    </row>
    <row r="42" spans="1:18">
      <c r="A42" s="97" t="str">
        <f t="shared" si="3"/>
        <v>EEUKGMC</v>
      </c>
      <c r="C42" s="100" t="s">
        <v>409</v>
      </c>
      <c r="D42" s="100" t="s">
        <v>410</v>
      </c>
      <c r="E42" s="100" t="s">
        <v>334</v>
      </c>
      <c r="F42" s="100" t="s">
        <v>335</v>
      </c>
      <c r="G42" s="101" t="s">
        <v>338</v>
      </c>
      <c r="H42" s="101" t="s">
        <v>338</v>
      </c>
      <c r="I42" s="101" t="s">
        <v>338</v>
      </c>
      <c r="J42" s="101" t="s">
        <v>338</v>
      </c>
      <c r="K42" s="101" t="s">
        <v>338</v>
      </c>
      <c r="L42" s="101" t="s">
        <v>338</v>
      </c>
      <c r="M42" s="101" t="s">
        <v>338</v>
      </c>
      <c r="N42" s="101" t="s">
        <v>338</v>
      </c>
      <c r="O42" s="101" t="s">
        <v>338</v>
      </c>
      <c r="P42" s="101" t="s">
        <v>338</v>
      </c>
      <c r="Q42" s="101" t="s">
        <v>338</v>
      </c>
      <c r="R42" s="101" t="s">
        <v>338</v>
      </c>
    </row>
    <row r="43" spans="1:18">
      <c r="A43" s="97" t="str">
        <f t="shared" si="3"/>
        <v>EEUKZMC</v>
      </c>
      <c r="C43" s="100" t="s">
        <v>411</v>
      </c>
      <c r="D43" s="100" t="s">
        <v>412</v>
      </c>
      <c r="E43" s="100" t="s">
        <v>334</v>
      </c>
      <c r="F43" s="100" t="s">
        <v>335</v>
      </c>
      <c r="G43" s="101" t="s">
        <v>338</v>
      </c>
      <c r="H43" s="101" t="s">
        <v>338</v>
      </c>
      <c r="I43" s="101" t="s">
        <v>338</v>
      </c>
      <c r="J43" s="101" t="s">
        <v>338</v>
      </c>
      <c r="K43" s="101" t="s">
        <v>338</v>
      </c>
      <c r="L43" s="101" t="s">
        <v>338</v>
      </c>
      <c r="M43" s="101" t="s">
        <v>338</v>
      </c>
      <c r="N43" s="101" t="s">
        <v>338</v>
      </c>
      <c r="O43" s="101" t="s">
        <v>338</v>
      </c>
      <c r="P43" s="101" t="s">
        <v>338</v>
      </c>
      <c r="Q43" s="101" t="s">
        <v>338</v>
      </c>
      <c r="R43" s="101" t="s">
        <v>338</v>
      </c>
    </row>
    <row r="44" spans="1:18">
      <c r="A44" s="97" t="str">
        <f t="shared" si="3"/>
        <v>EEUKMC</v>
      </c>
      <c r="C44" s="100" t="s">
        <v>413</v>
      </c>
      <c r="D44" s="100" t="s">
        <v>413</v>
      </c>
      <c r="E44" s="100" t="s">
        <v>334</v>
      </c>
      <c r="F44" s="100" t="s">
        <v>335</v>
      </c>
      <c r="G44" s="101">
        <v>9.8978519270358252</v>
      </c>
      <c r="H44" s="101">
        <v>9.944910283749623</v>
      </c>
      <c r="I44" s="101">
        <v>9.9462992044231147</v>
      </c>
      <c r="J44" s="101">
        <v>9.9559610541837671</v>
      </c>
      <c r="K44" s="101">
        <v>9.9605937428415032</v>
      </c>
      <c r="L44" s="101">
        <v>9.9522146336752968</v>
      </c>
      <c r="M44" s="101">
        <v>9.9692879660538232</v>
      </c>
      <c r="N44" s="101">
        <v>9.961918147235691</v>
      </c>
      <c r="O44" s="101">
        <v>9.9764967640689548</v>
      </c>
      <c r="P44" s="101">
        <v>9.9607546131059994</v>
      </c>
      <c r="Q44" s="101">
        <v>9.9570090959317152</v>
      </c>
      <c r="R44" s="101">
        <v>9.8798390721384166</v>
      </c>
    </row>
    <row r="45" spans="1:18">
      <c r="A45" s="97" t="str">
        <f t="shared" si="3"/>
        <v>EEUKCNT</v>
      </c>
      <c r="C45" s="100" t="s">
        <v>414</v>
      </c>
      <c r="D45" s="100" t="s">
        <v>415</v>
      </c>
      <c r="E45" s="100" t="s">
        <v>334</v>
      </c>
      <c r="F45" s="100" t="s">
        <v>335</v>
      </c>
      <c r="G45" s="101">
        <v>44.251104499642366</v>
      </c>
      <c r="H45" s="101">
        <v>46.911428094872562</v>
      </c>
      <c r="I45" s="101">
        <v>46.946745429661938</v>
      </c>
      <c r="J45" s="101">
        <v>47.075901218230001</v>
      </c>
      <c r="K45" s="101">
        <v>48.05377025512314</v>
      </c>
      <c r="L45" s="101">
        <v>47.887077220261546</v>
      </c>
      <c r="M45" s="101">
        <v>47.863304272343498</v>
      </c>
      <c r="N45" s="101">
        <v>47.707511198392908</v>
      </c>
      <c r="O45" s="101">
        <v>47.36405459383883</v>
      </c>
      <c r="P45" s="101">
        <v>48.157348999522505</v>
      </c>
      <c r="Q45" s="101">
        <v>45.075677011866532</v>
      </c>
      <c r="R45" s="101">
        <v>39.554382560141569</v>
      </c>
    </row>
    <row r="46" spans="1:18">
      <c r="A46" s="97" t="str">
        <f t="shared" si="3"/>
        <v>EEUKCWT</v>
      </c>
      <c r="C46" s="100" t="s">
        <v>416</v>
      </c>
      <c r="D46" s="100" t="s">
        <v>417</v>
      </c>
      <c r="E46" s="100" t="s">
        <v>351</v>
      </c>
      <c r="F46" s="100" t="s">
        <v>352</v>
      </c>
      <c r="G46" s="101" t="s">
        <v>353</v>
      </c>
      <c r="H46" s="101" t="s">
        <v>353</v>
      </c>
      <c r="I46" s="101" t="s">
        <v>353</v>
      </c>
      <c r="J46" s="101" t="s">
        <v>353</v>
      </c>
      <c r="K46" s="101" t="s">
        <v>353</v>
      </c>
      <c r="L46" s="101" t="s">
        <v>353</v>
      </c>
      <c r="M46" s="101" t="s">
        <v>353</v>
      </c>
      <c r="N46" s="101" t="s">
        <v>353</v>
      </c>
      <c r="O46" s="101" t="s">
        <v>353</v>
      </c>
      <c r="P46" s="101" t="s">
        <v>353</v>
      </c>
      <c r="Q46" s="101" t="s">
        <v>353</v>
      </c>
      <c r="R46" s="101" t="s">
        <v>353</v>
      </c>
    </row>
    <row r="47" spans="1:18">
      <c r="A47" s="97" t="str">
        <f t="shared" si="3"/>
        <v>EEUKWW4</v>
      </c>
      <c r="C47" s="100" t="s">
        <v>418</v>
      </c>
      <c r="D47" s="100" t="s">
        <v>419</v>
      </c>
      <c r="E47" s="100" t="s">
        <v>334</v>
      </c>
      <c r="F47" s="100" t="s">
        <v>335</v>
      </c>
      <c r="G47" s="101" t="s">
        <v>338</v>
      </c>
      <c r="H47" s="101" t="s">
        <v>338</v>
      </c>
      <c r="I47" s="101" t="s">
        <v>338</v>
      </c>
      <c r="J47" s="101" t="s">
        <v>338</v>
      </c>
      <c r="K47" s="101" t="s">
        <v>338</v>
      </c>
      <c r="L47" s="101" t="s">
        <v>338</v>
      </c>
      <c r="M47" s="101" t="s">
        <v>338</v>
      </c>
      <c r="N47" s="101" t="s">
        <v>338</v>
      </c>
      <c r="O47" s="101" t="s">
        <v>338</v>
      </c>
      <c r="P47" s="101" t="s">
        <v>338</v>
      </c>
      <c r="Q47" s="101" t="s">
        <v>338</v>
      </c>
      <c r="R47" s="101" t="s">
        <v>338</v>
      </c>
    </row>
    <row r="48" spans="1:18">
      <c r="A48" s="97" t="str">
        <f t="shared" si="3"/>
        <v>EEUKCBT</v>
      </c>
      <c r="C48" s="100" t="s">
        <v>420</v>
      </c>
      <c r="D48" s="100" t="s">
        <v>421</v>
      </c>
      <c r="E48" s="100" t="s">
        <v>334</v>
      </c>
      <c r="F48" s="100" t="s">
        <v>335</v>
      </c>
      <c r="G48" s="101" t="s">
        <v>338</v>
      </c>
      <c r="H48" s="101" t="s">
        <v>338</v>
      </c>
      <c r="I48" s="101" t="s">
        <v>338</v>
      </c>
      <c r="J48" s="101" t="s">
        <v>338</v>
      </c>
      <c r="K48" s="101" t="s">
        <v>338</v>
      </c>
      <c r="L48" s="101" t="s">
        <v>338</v>
      </c>
      <c r="M48" s="101" t="s">
        <v>338</v>
      </c>
      <c r="N48" s="101" t="s">
        <v>338</v>
      </c>
      <c r="O48" s="101" t="s">
        <v>338</v>
      </c>
      <c r="P48" s="101" t="s">
        <v>338</v>
      </c>
      <c r="Q48" s="101" t="s">
        <v>338</v>
      </c>
      <c r="R48" s="101" t="s">
        <v>338</v>
      </c>
    </row>
    <row r="49" spans="1:18">
      <c r="A49" s="97" t="str">
        <f t="shared" si="3"/>
        <v>EEUKCFA</v>
      </c>
      <c r="C49" s="100" t="s">
        <v>422</v>
      </c>
      <c r="D49" s="100" t="s">
        <v>423</v>
      </c>
      <c r="E49" s="100" t="s">
        <v>334</v>
      </c>
      <c r="F49" s="100" t="s">
        <v>335</v>
      </c>
      <c r="G49" s="101" t="s">
        <v>338</v>
      </c>
      <c r="H49" s="101" t="s">
        <v>338</v>
      </c>
      <c r="I49" s="101" t="s">
        <v>338</v>
      </c>
      <c r="J49" s="101" t="s">
        <v>338</v>
      </c>
      <c r="K49" s="101" t="s">
        <v>338</v>
      </c>
      <c r="L49" s="101" t="s">
        <v>338</v>
      </c>
      <c r="M49" s="101" t="s">
        <v>338</v>
      </c>
      <c r="N49" s="101" t="s">
        <v>338</v>
      </c>
      <c r="O49" s="101" t="s">
        <v>338</v>
      </c>
      <c r="P49" s="101" t="s">
        <v>338</v>
      </c>
      <c r="Q49" s="101" t="s">
        <v>338</v>
      </c>
      <c r="R49" s="101" t="s">
        <v>338</v>
      </c>
    </row>
    <row r="50" spans="1:18">
      <c r="A50" s="97" t="str">
        <f t="shared" si="3"/>
        <v>EEUKCFT</v>
      </c>
      <c r="C50" s="100" t="s">
        <v>424</v>
      </c>
      <c r="D50" s="100" t="s">
        <v>425</v>
      </c>
      <c r="E50" s="100" t="s">
        <v>334</v>
      </c>
      <c r="F50" s="100" t="s">
        <v>335</v>
      </c>
      <c r="G50" s="101">
        <v>44.251104499642366</v>
      </c>
      <c r="H50" s="101">
        <v>46.911428094872562</v>
      </c>
      <c r="I50" s="101">
        <v>46.946745429661938</v>
      </c>
      <c r="J50" s="101">
        <v>47.075901218230001</v>
      </c>
      <c r="K50" s="101">
        <v>48.05377025512314</v>
      </c>
      <c r="L50" s="101">
        <v>47.887077220261546</v>
      </c>
      <c r="M50" s="101">
        <v>47.863304272343498</v>
      </c>
      <c r="N50" s="101">
        <v>47.707511198392908</v>
      </c>
      <c r="O50" s="101">
        <v>47.36405459383883</v>
      </c>
      <c r="P50" s="101">
        <v>48.157348999522505</v>
      </c>
      <c r="Q50" s="101">
        <v>45.075677011866532</v>
      </c>
      <c r="R50" s="101">
        <v>39.554382560141569</v>
      </c>
    </row>
    <row r="51" spans="1:18">
      <c r="A51" s="97" t="str">
        <f t="shared" si="3"/>
        <v>EEUKDFT</v>
      </c>
      <c r="C51" s="100" t="s">
        <v>426</v>
      </c>
      <c r="D51" s="100" t="s">
        <v>427</v>
      </c>
      <c r="E51" s="100" t="s">
        <v>334</v>
      </c>
      <c r="F51" s="100" t="s">
        <v>335</v>
      </c>
      <c r="G51" s="101">
        <v>40.576920949276257</v>
      </c>
      <c r="H51" s="101">
        <v>41.18265327131197</v>
      </c>
      <c r="I51" s="101">
        <v>41.95088310712832</v>
      </c>
      <c r="J51" s="101">
        <v>42.025279054740295</v>
      </c>
      <c r="K51" s="101">
        <v>41.895190445771455</v>
      </c>
      <c r="L51" s="101">
        <v>41.854645773875895</v>
      </c>
      <c r="M51" s="101">
        <v>42.208321616146229</v>
      </c>
      <c r="N51" s="101">
        <v>42.0440697354652</v>
      </c>
      <c r="O51" s="101">
        <v>41.801791090265581</v>
      </c>
      <c r="P51" s="101">
        <v>41.792841810179965</v>
      </c>
      <c r="Q51" s="101">
        <v>41.91473011871394</v>
      </c>
      <c r="R51" s="101">
        <v>39.441065391631682</v>
      </c>
    </row>
    <row r="52" spans="1:18">
      <c r="A52" s="97" t="str">
        <f t="shared" si="3"/>
        <v>EEUKDVT</v>
      </c>
      <c r="C52" s="100" t="s">
        <v>428</v>
      </c>
      <c r="D52" s="100" t="s">
        <v>429</v>
      </c>
      <c r="E52" s="100" t="s">
        <v>334</v>
      </c>
      <c r="F52" s="100" t="s">
        <v>335</v>
      </c>
      <c r="G52" s="101" t="s">
        <v>338</v>
      </c>
      <c r="H52" s="101" t="s">
        <v>338</v>
      </c>
      <c r="I52" s="101" t="s">
        <v>338</v>
      </c>
      <c r="J52" s="101" t="s">
        <v>338</v>
      </c>
      <c r="K52" s="101" t="s">
        <v>338</v>
      </c>
      <c r="L52" s="101" t="s">
        <v>338</v>
      </c>
      <c r="M52" s="101" t="s">
        <v>338</v>
      </c>
      <c r="N52" s="101" t="s">
        <v>338</v>
      </c>
      <c r="O52" s="101" t="s">
        <v>338</v>
      </c>
      <c r="P52" s="101" t="s">
        <v>338</v>
      </c>
      <c r="Q52" s="101" t="s">
        <v>338</v>
      </c>
      <c r="R52" s="101" t="s">
        <v>338</v>
      </c>
    </row>
    <row r="53" spans="1:18">
      <c r="A53" s="97" t="str">
        <f t="shared" si="3"/>
        <v>EEUKDIA</v>
      </c>
      <c r="C53" s="100" t="s">
        <v>430</v>
      </c>
      <c r="D53" s="100" t="s">
        <v>431</v>
      </c>
      <c r="E53" s="100" t="s">
        <v>334</v>
      </c>
      <c r="F53" s="100" t="s">
        <v>335</v>
      </c>
      <c r="G53" s="101" t="s">
        <v>338</v>
      </c>
      <c r="H53" s="101" t="s">
        <v>338</v>
      </c>
      <c r="I53" s="101" t="s">
        <v>338</v>
      </c>
      <c r="J53" s="101" t="s">
        <v>338</v>
      </c>
      <c r="K53" s="101" t="s">
        <v>338</v>
      </c>
      <c r="L53" s="101" t="s">
        <v>338</v>
      </c>
      <c r="M53" s="101" t="s">
        <v>338</v>
      </c>
      <c r="N53" s="101" t="s">
        <v>338</v>
      </c>
      <c r="O53" s="101" t="s">
        <v>338</v>
      </c>
      <c r="P53" s="101" t="s">
        <v>338</v>
      </c>
      <c r="Q53" s="101" t="s">
        <v>338</v>
      </c>
      <c r="R53" s="101" t="s">
        <v>338</v>
      </c>
    </row>
    <row r="54" spans="1:18">
      <c r="A54" s="97" t="str">
        <f t="shared" si="3"/>
        <v>EEUKDIT</v>
      </c>
      <c r="C54" s="100" t="s">
        <v>432</v>
      </c>
      <c r="D54" s="100" t="s">
        <v>433</v>
      </c>
      <c r="E54" s="100" t="s">
        <v>351</v>
      </c>
      <c r="F54" s="100" t="s">
        <v>352</v>
      </c>
      <c r="G54" s="101">
        <v>40.576920949276257</v>
      </c>
      <c r="H54" s="101">
        <v>41.18265327131197</v>
      </c>
      <c r="I54" s="101">
        <v>41.95088310712832</v>
      </c>
      <c r="J54" s="101">
        <v>42.025279054740295</v>
      </c>
      <c r="K54" s="101">
        <v>41.895190445771455</v>
      </c>
      <c r="L54" s="101">
        <v>41.854645773875895</v>
      </c>
      <c r="M54" s="101">
        <v>42.208321616146229</v>
      </c>
      <c r="N54" s="101">
        <v>42.0440697354652</v>
      </c>
      <c r="O54" s="101">
        <v>41.801791090265581</v>
      </c>
      <c r="P54" s="101">
        <v>41.792841810179965</v>
      </c>
      <c r="Q54" s="101">
        <v>41.91473011871394</v>
      </c>
      <c r="R54" s="101">
        <v>39.441065391631682</v>
      </c>
    </row>
    <row r="55" spans="1:18">
      <c r="A55" s="97" t="str">
        <f t="shared" si="3"/>
        <v>EEUKCVT</v>
      </c>
      <c r="C55" s="100" t="s">
        <v>434</v>
      </c>
      <c r="D55" s="100" t="s">
        <v>435</v>
      </c>
      <c r="E55" s="100" t="s">
        <v>334</v>
      </c>
      <c r="F55" s="100" t="s">
        <v>335</v>
      </c>
      <c r="G55" s="101">
        <v>65.563985931665954</v>
      </c>
      <c r="H55" s="101">
        <v>65.78759612885591</v>
      </c>
      <c r="I55" s="101">
        <v>67.630648958206649</v>
      </c>
      <c r="J55" s="101">
        <v>66.598840179584784</v>
      </c>
      <c r="K55" s="101">
        <v>63.141737770081022</v>
      </c>
      <c r="L55" s="101">
        <v>64.736452168364153</v>
      </c>
      <c r="M55" s="101">
        <v>66.203086314024347</v>
      </c>
      <c r="N55" s="101">
        <v>65.724354582512262</v>
      </c>
      <c r="O55" s="101">
        <v>68.135357832196689</v>
      </c>
      <c r="P55" s="101">
        <v>64.269272123087106</v>
      </c>
      <c r="Q55" s="101">
        <v>58.992138116644767</v>
      </c>
      <c r="R55" s="101">
        <v>53.73446374295083</v>
      </c>
    </row>
    <row r="56" spans="1:18">
      <c r="A56" s="97" t="str">
        <f t="shared" si="3"/>
        <v>EEUKGET</v>
      </c>
      <c r="C56" s="100" t="s">
        <v>436</v>
      </c>
      <c r="D56" s="100" t="s">
        <v>437</v>
      </c>
      <c r="E56" s="100" t="s">
        <v>334</v>
      </c>
      <c r="F56" s="100" t="s">
        <v>335</v>
      </c>
      <c r="G56" s="101" t="s">
        <v>338</v>
      </c>
      <c r="H56" s="101" t="s">
        <v>338</v>
      </c>
      <c r="I56" s="101" t="s">
        <v>338</v>
      </c>
      <c r="J56" s="101" t="s">
        <v>338</v>
      </c>
      <c r="K56" s="101" t="s">
        <v>338</v>
      </c>
      <c r="L56" s="101" t="s">
        <v>338</v>
      </c>
      <c r="M56" s="101" t="s">
        <v>338</v>
      </c>
      <c r="N56" s="101" t="s">
        <v>338</v>
      </c>
      <c r="O56" s="101" t="s">
        <v>338</v>
      </c>
      <c r="P56" s="101" t="s">
        <v>338</v>
      </c>
      <c r="Q56" s="101" t="s">
        <v>338</v>
      </c>
      <c r="R56" s="101" t="s">
        <v>338</v>
      </c>
    </row>
    <row r="57" spans="1:18">
      <c r="A57" s="97" t="str">
        <f t="shared" si="3"/>
        <v>EEUKCIT</v>
      </c>
      <c r="C57" s="100" t="s">
        <v>438</v>
      </c>
      <c r="D57" s="100" t="s">
        <v>439</v>
      </c>
      <c r="E57" s="100" t="s">
        <v>334</v>
      </c>
      <c r="F57" s="100" t="s">
        <v>335</v>
      </c>
      <c r="G57" s="101" t="s">
        <v>338</v>
      </c>
      <c r="H57" s="101" t="s">
        <v>338</v>
      </c>
      <c r="I57" s="101" t="s">
        <v>338</v>
      </c>
      <c r="J57" s="101" t="s">
        <v>338</v>
      </c>
      <c r="K57" s="101" t="s">
        <v>338</v>
      </c>
      <c r="L57" s="101" t="s">
        <v>338</v>
      </c>
      <c r="M57" s="101" t="s">
        <v>338</v>
      </c>
      <c r="N57" s="101" t="s">
        <v>338</v>
      </c>
      <c r="O57" s="101" t="s">
        <v>338</v>
      </c>
      <c r="P57" s="101" t="s">
        <v>338</v>
      </c>
      <c r="Q57" s="101" t="s">
        <v>338</v>
      </c>
      <c r="R57" s="101" t="s">
        <v>338</v>
      </c>
    </row>
    <row r="58" spans="1:18">
      <c r="A58" s="97" t="str">
        <f t="shared" si="3"/>
        <v>EEUKCMT</v>
      </c>
      <c r="C58" s="100" t="s">
        <v>440</v>
      </c>
      <c r="D58" s="100" t="s">
        <v>441</v>
      </c>
      <c r="E58" s="100" t="s">
        <v>334</v>
      </c>
      <c r="F58" s="100" t="s">
        <v>335</v>
      </c>
      <c r="G58" s="101">
        <v>65.563985931665954</v>
      </c>
      <c r="H58" s="101">
        <v>65.78759612885591</v>
      </c>
      <c r="I58" s="101">
        <v>67.630648958206649</v>
      </c>
      <c r="J58" s="101">
        <v>66.598840179584784</v>
      </c>
      <c r="K58" s="101">
        <v>63.141737770081022</v>
      </c>
      <c r="L58" s="101">
        <v>64.736452168364153</v>
      </c>
      <c r="M58" s="101">
        <v>66.203086314024347</v>
      </c>
      <c r="N58" s="101">
        <v>65.724354582512262</v>
      </c>
      <c r="O58" s="101">
        <v>68.135357832196689</v>
      </c>
      <c r="P58" s="101">
        <v>64.269272123087106</v>
      </c>
      <c r="Q58" s="101">
        <v>58.992138116644767</v>
      </c>
      <c r="R58" s="101">
        <v>53.73446374295083</v>
      </c>
    </row>
    <row r="59" spans="1:18">
      <c r="A59" s="97" t="str">
        <f t="shared" si="3"/>
        <v>EEUKDGT</v>
      </c>
      <c r="C59" s="100" t="s">
        <v>442</v>
      </c>
      <c r="D59" s="100" t="s">
        <v>443</v>
      </c>
      <c r="E59" s="100" t="s">
        <v>334</v>
      </c>
      <c r="F59" s="100" t="s">
        <v>335</v>
      </c>
      <c r="G59" s="101">
        <v>7.0000029295573789</v>
      </c>
      <c r="H59" s="101">
        <v>7.0000030426857496</v>
      </c>
      <c r="I59" s="101">
        <v>7.0000030767145258</v>
      </c>
      <c r="J59" s="101">
        <v>7.0000030515986928</v>
      </c>
      <c r="K59" s="101">
        <v>7.0000028984039133</v>
      </c>
      <c r="L59" s="101">
        <v>7.0000029565656829</v>
      </c>
      <c r="M59" s="101">
        <v>7.0000013384808799</v>
      </c>
      <c r="N59" s="101">
        <v>7.0000014801364037</v>
      </c>
      <c r="O59" s="101">
        <v>7.0000010781301176</v>
      </c>
      <c r="P59" s="101">
        <v>6.9999988749558186</v>
      </c>
      <c r="Q59" s="101">
        <v>6.9999985955128539</v>
      </c>
      <c r="R59" s="101">
        <v>6.9999987897646303</v>
      </c>
    </row>
    <row r="60" spans="1:18">
      <c r="A60" s="97" t="str">
        <f t="shared" si="3"/>
        <v>EEUKDHT</v>
      </c>
      <c r="C60" s="100" t="s">
        <v>444</v>
      </c>
      <c r="D60" s="100" t="s">
        <v>445</v>
      </c>
      <c r="E60" s="100" t="s">
        <v>334</v>
      </c>
      <c r="F60" s="100" t="s">
        <v>335</v>
      </c>
      <c r="G60" s="101" t="s">
        <v>338</v>
      </c>
      <c r="H60" s="101" t="s">
        <v>338</v>
      </c>
      <c r="I60" s="101" t="s">
        <v>338</v>
      </c>
      <c r="J60" s="101" t="s">
        <v>338</v>
      </c>
      <c r="K60" s="101" t="s">
        <v>338</v>
      </c>
      <c r="L60" s="101" t="s">
        <v>338</v>
      </c>
      <c r="M60" s="101" t="s">
        <v>338</v>
      </c>
      <c r="N60" s="101" t="s">
        <v>338</v>
      </c>
      <c r="O60" s="101" t="s">
        <v>338</v>
      </c>
      <c r="P60" s="101" t="s">
        <v>338</v>
      </c>
      <c r="Q60" s="101" t="s">
        <v>338</v>
      </c>
      <c r="R60" s="101" t="s">
        <v>338</v>
      </c>
    </row>
    <row r="61" spans="1:18">
      <c r="A61" s="97" t="str">
        <f t="shared" si="3"/>
        <v>EEUKCCT</v>
      </c>
      <c r="C61" s="100" t="s">
        <v>446</v>
      </c>
      <c r="D61" s="100" t="s">
        <v>447</v>
      </c>
      <c r="E61" s="100" t="s">
        <v>334</v>
      </c>
      <c r="F61" s="100" t="s">
        <v>335</v>
      </c>
      <c r="G61" s="101" t="s">
        <v>338</v>
      </c>
      <c r="H61" s="101" t="s">
        <v>338</v>
      </c>
      <c r="I61" s="101" t="s">
        <v>338</v>
      </c>
      <c r="J61" s="101" t="s">
        <v>338</v>
      </c>
      <c r="K61" s="101" t="s">
        <v>338</v>
      </c>
      <c r="L61" s="101" t="s">
        <v>338</v>
      </c>
      <c r="M61" s="101" t="s">
        <v>338</v>
      </c>
      <c r="N61" s="101" t="s">
        <v>338</v>
      </c>
      <c r="O61" s="101" t="s">
        <v>338</v>
      </c>
      <c r="P61" s="101" t="s">
        <v>338</v>
      </c>
      <c r="Q61" s="101" t="s">
        <v>338</v>
      </c>
      <c r="R61" s="101" t="s">
        <v>338</v>
      </c>
    </row>
    <row r="62" spans="1:18">
      <c r="A62" s="97" t="str">
        <f t="shared" si="3"/>
        <v>EEUKCPA</v>
      </c>
      <c r="C62" s="100" t="s">
        <v>448</v>
      </c>
      <c r="D62" s="100" t="s">
        <v>449</v>
      </c>
      <c r="E62" s="100" t="s">
        <v>334</v>
      </c>
      <c r="F62" s="100" t="s">
        <v>335</v>
      </c>
      <c r="G62" s="101" t="s">
        <v>338</v>
      </c>
      <c r="H62" s="101" t="s">
        <v>338</v>
      </c>
      <c r="I62" s="101" t="s">
        <v>338</v>
      </c>
      <c r="J62" s="101" t="s">
        <v>338</v>
      </c>
      <c r="K62" s="101" t="s">
        <v>338</v>
      </c>
      <c r="L62" s="101" t="s">
        <v>338</v>
      </c>
      <c r="M62" s="101" t="s">
        <v>338</v>
      </c>
      <c r="N62" s="101" t="s">
        <v>338</v>
      </c>
      <c r="O62" s="101" t="s">
        <v>338</v>
      </c>
      <c r="P62" s="101" t="s">
        <v>338</v>
      </c>
      <c r="Q62" s="101" t="s">
        <v>338</v>
      </c>
      <c r="R62" s="101" t="s">
        <v>338</v>
      </c>
    </row>
    <row r="63" spans="1:18">
      <c r="A63" s="97" t="str">
        <f t="shared" si="3"/>
        <v>EEUKCPT</v>
      </c>
      <c r="C63" s="100" t="s">
        <v>450</v>
      </c>
      <c r="D63" s="100" t="s">
        <v>451</v>
      </c>
      <c r="E63" s="100" t="s">
        <v>334</v>
      </c>
      <c r="F63" s="100" t="s">
        <v>335</v>
      </c>
      <c r="G63" s="101" t="s">
        <v>338</v>
      </c>
      <c r="H63" s="101" t="s">
        <v>338</v>
      </c>
      <c r="I63" s="101" t="s">
        <v>338</v>
      </c>
      <c r="J63" s="101" t="s">
        <v>338</v>
      </c>
      <c r="K63" s="101" t="s">
        <v>338</v>
      </c>
      <c r="L63" s="101" t="s">
        <v>338</v>
      </c>
      <c r="M63" s="101" t="s">
        <v>338</v>
      </c>
      <c r="N63" s="101" t="s">
        <v>338</v>
      </c>
      <c r="O63" s="101" t="s">
        <v>338</v>
      </c>
      <c r="P63" s="101" t="s">
        <v>338</v>
      </c>
      <c r="Q63" s="101" t="s">
        <v>338</v>
      </c>
      <c r="R63" s="101" t="s">
        <v>338</v>
      </c>
    </row>
    <row r="64" spans="1:18">
      <c r="A64" s="97" t="str">
        <f t="shared" si="3"/>
        <v>EEUKKMT</v>
      </c>
      <c r="C64" s="100" t="s">
        <v>452</v>
      </c>
      <c r="D64" s="100" t="s">
        <v>453</v>
      </c>
      <c r="E64" s="100" t="s">
        <v>334</v>
      </c>
      <c r="F64" s="100" t="s">
        <v>335</v>
      </c>
      <c r="G64" s="101" t="s">
        <v>338</v>
      </c>
      <c r="H64" s="101" t="s">
        <v>338</v>
      </c>
      <c r="I64" s="101" t="s">
        <v>338</v>
      </c>
      <c r="J64" s="101" t="s">
        <v>338</v>
      </c>
      <c r="K64" s="101" t="s">
        <v>338</v>
      </c>
      <c r="L64" s="101" t="s">
        <v>338</v>
      </c>
      <c r="M64" s="101" t="s">
        <v>338</v>
      </c>
      <c r="N64" s="101" t="s">
        <v>338</v>
      </c>
      <c r="O64" s="101" t="s">
        <v>338</v>
      </c>
      <c r="P64" s="101" t="s">
        <v>338</v>
      </c>
      <c r="Q64" s="101" t="s">
        <v>338</v>
      </c>
      <c r="R64" s="101" t="s">
        <v>338</v>
      </c>
    </row>
    <row r="65" spans="1:18">
      <c r="A65" s="97" t="str">
        <f t="shared" si="3"/>
        <v>EEUKDQT</v>
      </c>
      <c r="C65" s="100" t="s">
        <v>454</v>
      </c>
      <c r="D65" s="100" t="s">
        <v>455</v>
      </c>
      <c r="E65" s="100" t="s">
        <v>334</v>
      </c>
      <c r="F65" s="100" t="s">
        <v>335</v>
      </c>
      <c r="G65" s="101" t="s">
        <v>338</v>
      </c>
      <c r="H65" s="101" t="s">
        <v>338</v>
      </c>
      <c r="I65" s="101" t="s">
        <v>338</v>
      </c>
      <c r="J65" s="101" t="s">
        <v>338</v>
      </c>
      <c r="K65" s="101" t="s">
        <v>338</v>
      </c>
      <c r="L65" s="101" t="s">
        <v>338</v>
      </c>
      <c r="M65" s="101" t="s">
        <v>338</v>
      </c>
      <c r="N65" s="101" t="s">
        <v>338</v>
      </c>
      <c r="O65" s="101" t="s">
        <v>338</v>
      </c>
      <c r="P65" s="101" t="s">
        <v>338</v>
      </c>
      <c r="Q65" s="101" t="s">
        <v>338</v>
      </c>
      <c r="R65" s="101" t="s">
        <v>338</v>
      </c>
    </row>
    <row r="66" spans="1:18">
      <c r="A66" s="97" t="str">
        <f t="shared" si="3"/>
        <v>EEUKGEV</v>
      </c>
      <c r="C66" s="100" t="s">
        <v>456</v>
      </c>
      <c r="D66" s="100" t="s">
        <v>457</v>
      </c>
      <c r="E66" s="100" t="s">
        <v>334</v>
      </c>
      <c r="F66" s="100" t="s">
        <v>335</v>
      </c>
      <c r="G66" s="101" t="s">
        <v>338</v>
      </c>
      <c r="H66" s="101" t="s">
        <v>338</v>
      </c>
      <c r="I66" s="101" t="s">
        <v>338</v>
      </c>
      <c r="J66" s="101" t="s">
        <v>338</v>
      </c>
      <c r="K66" s="101" t="s">
        <v>338</v>
      </c>
      <c r="L66" s="101" t="s">
        <v>338</v>
      </c>
      <c r="M66" s="101" t="s">
        <v>338</v>
      </c>
      <c r="N66" s="101" t="s">
        <v>338</v>
      </c>
      <c r="O66" s="101" t="s">
        <v>338</v>
      </c>
      <c r="P66" s="101" t="s">
        <v>338</v>
      </c>
      <c r="Q66" s="101" t="s">
        <v>338</v>
      </c>
      <c r="R66" s="101" t="s">
        <v>338</v>
      </c>
    </row>
    <row r="67" spans="1:18">
      <c r="A67" s="97" t="str">
        <f t="shared" si="3"/>
        <v>EEUKZEV</v>
      </c>
      <c r="C67" s="100" t="s">
        <v>458</v>
      </c>
      <c r="D67" s="100" t="s">
        <v>459</v>
      </c>
      <c r="E67" s="100" t="s">
        <v>334</v>
      </c>
      <c r="F67" s="100" t="s">
        <v>335</v>
      </c>
      <c r="G67" s="101" t="s">
        <v>338</v>
      </c>
      <c r="H67" s="101" t="s">
        <v>338</v>
      </c>
      <c r="I67" s="101" t="s">
        <v>338</v>
      </c>
      <c r="J67" s="101" t="s">
        <v>338</v>
      </c>
      <c r="K67" s="101" t="s">
        <v>338</v>
      </c>
      <c r="L67" s="101" t="s">
        <v>338</v>
      </c>
      <c r="M67" s="101" t="s">
        <v>338</v>
      </c>
      <c r="N67" s="101" t="s">
        <v>338</v>
      </c>
      <c r="O67" s="101" t="s">
        <v>338</v>
      </c>
      <c r="P67" s="101" t="s">
        <v>338</v>
      </c>
      <c r="Q67" s="101" t="s">
        <v>338</v>
      </c>
      <c r="R67" s="101" t="s">
        <v>338</v>
      </c>
    </row>
    <row r="68" spans="1:18">
      <c r="A68" s="97" t="str">
        <f t="shared" si="3"/>
        <v>EEUKGCM</v>
      </c>
      <c r="C68" s="100" t="s">
        <v>460</v>
      </c>
      <c r="D68" s="100" t="s">
        <v>461</v>
      </c>
      <c r="E68" s="100" t="s">
        <v>334</v>
      </c>
      <c r="F68" s="100" t="s">
        <v>335</v>
      </c>
      <c r="G68" s="101" t="s">
        <v>338</v>
      </c>
      <c r="H68" s="101" t="s">
        <v>338</v>
      </c>
      <c r="I68" s="101" t="s">
        <v>338</v>
      </c>
      <c r="J68" s="101" t="s">
        <v>338</v>
      </c>
      <c r="K68" s="101" t="s">
        <v>338</v>
      </c>
      <c r="L68" s="101" t="s">
        <v>338</v>
      </c>
      <c r="M68" s="101" t="s">
        <v>338</v>
      </c>
      <c r="N68" s="101" t="s">
        <v>338</v>
      </c>
      <c r="O68" s="101" t="s">
        <v>338</v>
      </c>
      <c r="P68" s="101" t="s">
        <v>338</v>
      </c>
      <c r="Q68" s="101" t="s">
        <v>338</v>
      </c>
      <c r="R68" s="101" t="s">
        <v>338</v>
      </c>
    </row>
    <row r="69" spans="1:18">
      <c r="A69" s="97" t="str">
        <f t="shared" si="3"/>
        <v>EEUKDMT</v>
      </c>
      <c r="C69" s="100" t="s">
        <v>462</v>
      </c>
      <c r="D69" s="100" t="s">
        <v>463</v>
      </c>
      <c r="E69" s="100" t="s">
        <v>334</v>
      </c>
      <c r="F69" s="100" t="s">
        <v>335</v>
      </c>
      <c r="G69" s="101">
        <v>7.0000028989449889</v>
      </c>
      <c r="H69" s="101">
        <v>7.0000029206571099</v>
      </c>
      <c r="I69" s="101">
        <v>7.000003037112152</v>
      </c>
      <c r="J69" s="101">
        <v>7.0000030139166549</v>
      </c>
      <c r="K69" s="101">
        <v>7.0000029744088943</v>
      </c>
      <c r="L69" s="101">
        <v>7.0000030269573292</v>
      </c>
      <c r="M69" s="101">
        <v>7.0000015394640265</v>
      </c>
      <c r="N69" s="101">
        <v>7.0000014131661281</v>
      </c>
      <c r="O69" s="101">
        <v>7.0000014315372718</v>
      </c>
      <c r="P69" s="101">
        <v>6.9999988751675533</v>
      </c>
      <c r="Q69" s="101">
        <v>6.999998862971772</v>
      </c>
      <c r="R69" s="101">
        <v>6.9999988114226088</v>
      </c>
    </row>
    <row r="70" spans="1:18">
      <c r="A70" s="97" t="str">
        <f t="shared" ref="A70:A101" si="4">N_SUBSIDIARY&amp;C70</f>
        <v>EEUKWW2</v>
      </c>
      <c r="C70" s="100" t="s">
        <v>464</v>
      </c>
      <c r="D70" s="100" t="s">
        <v>465</v>
      </c>
      <c r="E70" s="100" t="s">
        <v>334</v>
      </c>
      <c r="F70" s="100" t="s">
        <v>335</v>
      </c>
      <c r="G70" s="101" t="s">
        <v>338</v>
      </c>
      <c r="H70" s="101" t="s">
        <v>338</v>
      </c>
      <c r="I70" s="101" t="s">
        <v>338</v>
      </c>
      <c r="J70" s="101" t="s">
        <v>338</v>
      </c>
      <c r="K70" s="101" t="s">
        <v>338</v>
      </c>
      <c r="L70" s="101" t="s">
        <v>338</v>
      </c>
      <c r="M70" s="101" t="s">
        <v>338</v>
      </c>
      <c r="N70" s="101" t="s">
        <v>338</v>
      </c>
      <c r="O70" s="101" t="s">
        <v>338</v>
      </c>
      <c r="P70" s="101" t="s">
        <v>338</v>
      </c>
      <c r="Q70" s="101" t="s">
        <v>338</v>
      </c>
      <c r="R70" s="101" t="s">
        <v>338</v>
      </c>
    </row>
    <row r="71" spans="1:18">
      <c r="A71" s="97" t="str">
        <f t="shared" si="4"/>
        <v>EEUKDWT</v>
      </c>
      <c r="C71" s="100" t="s">
        <v>466</v>
      </c>
      <c r="D71" s="100" t="s">
        <v>467</v>
      </c>
      <c r="E71" s="100" t="s">
        <v>334</v>
      </c>
      <c r="F71" s="100" t="s">
        <v>335</v>
      </c>
      <c r="G71" s="101">
        <v>7.0000028989449889</v>
      </c>
      <c r="H71" s="101">
        <v>7.0000029206571099</v>
      </c>
      <c r="I71" s="101">
        <v>7.000003037112152</v>
      </c>
      <c r="J71" s="101">
        <v>7.0000030139166549</v>
      </c>
      <c r="K71" s="101">
        <v>7.0000029744088943</v>
      </c>
      <c r="L71" s="101">
        <v>7.0000030269573292</v>
      </c>
      <c r="M71" s="101">
        <v>7.0000015394640265</v>
      </c>
      <c r="N71" s="101">
        <v>7.0000014131661281</v>
      </c>
      <c r="O71" s="101">
        <v>7.0000014315372718</v>
      </c>
      <c r="P71" s="101">
        <v>6.9999988751675533</v>
      </c>
      <c r="Q71" s="101">
        <v>6.999998862971772</v>
      </c>
      <c r="R71" s="101">
        <v>6.9999988114226088</v>
      </c>
    </row>
    <row r="72" spans="1:18">
      <c r="A72" s="97" t="str">
        <f t="shared" si="4"/>
        <v>EEUKDTT</v>
      </c>
      <c r="C72" s="100" t="s">
        <v>468</v>
      </c>
      <c r="D72" s="100" t="s">
        <v>469</v>
      </c>
      <c r="E72" s="100" t="s">
        <v>334</v>
      </c>
      <c r="F72" s="100" t="s">
        <v>335</v>
      </c>
      <c r="G72" s="101" t="s">
        <v>338</v>
      </c>
      <c r="H72" s="101" t="s">
        <v>338</v>
      </c>
      <c r="I72" s="101" t="s">
        <v>338</v>
      </c>
      <c r="J72" s="101" t="s">
        <v>338</v>
      </c>
      <c r="K72" s="101" t="s">
        <v>338</v>
      </c>
      <c r="L72" s="101" t="s">
        <v>338</v>
      </c>
      <c r="M72" s="101" t="s">
        <v>338</v>
      </c>
      <c r="N72" s="101" t="s">
        <v>338</v>
      </c>
      <c r="O72" s="101" t="s">
        <v>338</v>
      </c>
      <c r="P72" s="101" t="s">
        <v>338</v>
      </c>
      <c r="Q72" s="101" t="s">
        <v>338</v>
      </c>
      <c r="R72" s="101" t="s">
        <v>338</v>
      </c>
    </row>
    <row r="73" spans="1:18">
      <c r="A73" s="97" t="str">
        <f t="shared" si="4"/>
        <v>EEUKWW6</v>
      </c>
      <c r="C73" s="100" t="s">
        <v>470</v>
      </c>
      <c r="D73" s="100" t="s">
        <v>471</v>
      </c>
      <c r="E73" s="100" t="s">
        <v>334</v>
      </c>
      <c r="F73" s="100" t="s">
        <v>335</v>
      </c>
      <c r="G73" s="101" t="s">
        <v>338</v>
      </c>
      <c r="H73" s="101" t="s">
        <v>338</v>
      </c>
      <c r="I73" s="101" t="s">
        <v>338</v>
      </c>
      <c r="J73" s="101" t="s">
        <v>338</v>
      </c>
      <c r="K73" s="101" t="s">
        <v>338</v>
      </c>
      <c r="L73" s="101" t="s">
        <v>338</v>
      </c>
      <c r="M73" s="101" t="s">
        <v>338</v>
      </c>
      <c r="N73" s="101" t="s">
        <v>338</v>
      </c>
      <c r="O73" s="101" t="s">
        <v>338</v>
      </c>
      <c r="P73" s="101" t="s">
        <v>338</v>
      </c>
      <c r="Q73" s="101" t="s">
        <v>338</v>
      </c>
      <c r="R73" s="101" t="s">
        <v>338</v>
      </c>
    </row>
    <row r="74" spans="1:18">
      <c r="A74" s="97" t="str">
        <f t="shared" si="4"/>
        <v>EEUKW10</v>
      </c>
      <c r="C74" s="100" t="s">
        <v>472</v>
      </c>
      <c r="D74" s="100" t="s">
        <v>473</v>
      </c>
      <c r="E74" s="100" t="s">
        <v>334</v>
      </c>
      <c r="F74" s="100" t="s">
        <v>335</v>
      </c>
      <c r="G74" s="101" t="s">
        <v>338</v>
      </c>
      <c r="H74" s="101" t="s">
        <v>338</v>
      </c>
      <c r="I74" s="101" t="s">
        <v>338</v>
      </c>
      <c r="J74" s="101" t="s">
        <v>338</v>
      </c>
      <c r="K74" s="101" t="s">
        <v>338</v>
      </c>
      <c r="L74" s="101" t="s">
        <v>338</v>
      </c>
      <c r="M74" s="101" t="s">
        <v>338</v>
      </c>
      <c r="N74" s="101" t="s">
        <v>338</v>
      </c>
      <c r="O74" s="101" t="s">
        <v>338</v>
      </c>
      <c r="P74" s="101" t="s">
        <v>338</v>
      </c>
      <c r="Q74" s="101" t="s">
        <v>338</v>
      </c>
      <c r="R74" s="101" t="s">
        <v>338</v>
      </c>
    </row>
    <row r="75" spans="1:18">
      <c r="A75" s="97" t="str">
        <f t="shared" si="4"/>
        <v>EEUKDBT</v>
      </c>
      <c r="C75" s="100" t="s">
        <v>474</v>
      </c>
      <c r="D75" s="100" t="s">
        <v>475</v>
      </c>
      <c r="E75" s="100" t="s">
        <v>334</v>
      </c>
      <c r="F75" s="100" t="s">
        <v>335</v>
      </c>
      <c r="G75" s="101" t="s">
        <v>338</v>
      </c>
      <c r="H75" s="101" t="s">
        <v>338</v>
      </c>
      <c r="I75" s="101" t="s">
        <v>338</v>
      </c>
      <c r="J75" s="101" t="s">
        <v>338</v>
      </c>
      <c r="K75" s="101" t="s">
        <v>338</v>
      </c>
      <c r="L75" s="101" t="s">
        <v>338</v>
      </c>
      <c r="M75" s="101" t="s">
        <v>338</v>
      </c>
      <c r="N75" s="101" t="s">
        <v>338</v>
      </c>
      <c r="O75" s="101" t="s">
        <v>338</v>
      </c>
      <c r="P75" s="101" t="s">
        <v>338</v>
      </c>
      <c r="Q75" s="101" t="s">
        <v>338</v>
      </c>
      <c r="R75" s="101" t="s">
        <v>338</v>
      </c>
    </row>
    <row r="76" spans="1:18">
      <c r="A76" s="97" t="str">
        <f t="shared" si="4"/>
        <v>EEUKDCA</v>
      </c>
      <c r="C76" s="100" t="s">
        <v>476</v>
      </c>
      <c r="D76" s="100" t="s">
        <v>477</v>
      </c>
      <c r="E76" s="100" t="s">
        <v>334</v>
      </c>
      <c r="F76" s="100" t="s">
        <v>335</v>
      </c>
      <c r="G76" s="101" t="s">
        <v>338</v>
      </c>
      <c r="H76" s="101" t="s">
        <v>338</v>
      </c>
      <c r="I76" s="101" t="s">
        <v>338</v>
      </c>
      <c r="J76" s="101" t="s">
        <v>338</v>
      </c>
      <c r="K76" s="101" t="s">
        <v>338</v>
      </c>
      <c r="L76" s="101" t="s">
        <v>338</v>
      </c>
      <c r="M76" s="101" t="s">
        <v>338</v>
      </c>
      <c r="N76" s="101" t="s">
        <v>338</v>
      </c>
      <c r="O76" s="101" t="s">
        <v>338</v>
      </c>
      <c r="P76" s="101" t="s">
        <v>338</v>
      </c>
      <c r="Q76" s="101" t="s">
        <v>338</v>
      </c>
      <c r="R76" s="101" t="s">
        <v>338</v>
      </c>
    </row>
    <row r="77" spans="1:18">
      <c r="A77" s="97" t="str">
        <f t="shared" si="4"/>
        <v>EEUKDCT</v>
      </c>
      <c r="C77" s="100" t="s">
        <v>478</v>
      </c>
      <c r="D77" s="100" t="s">
        <v>479</v>
      </c>
      <c r="E77" s="100" t="s">
        <v>351</v>
      </c>
      <c r="F77" s="100" t="s">
        <v>352</v>
      </c>
      <c r="G77" s="101">
        <v>7.0000028989449889</v>
      </c>
      <c r="H77" s="101">
        <v>7.0000029206571099</v>
      </c>
      <c r="I77" s="101">
        <v>7.000003037112152</v>
      </c>
      <c r="J77" s="101">
        <v>7.0000030139166549</v>
      </c>
      <c r="K77" s="101">
        <v>7.0000029744088943</v>
      </c>
      <c r="L77" s="101">
        <v>7.0000030269573292</v>
      </c>
      <c r="M77" s="101">
        <v>7.0000015394640265</v>
      </c>
      <c r="N77" s="101">
        <v>7.0000014131661281</v>
      </c>
      <c r="O77" s="101">
        <v>7.0000014315372718</v>
      </c>
      <c r="P77" s="101">
        <v>6.9999988751675533</v>
      </c>
      <c r="Q77" s="101">
        <v>6.999998862971772</v>
      </c>
      <c r="R77" s="101">
        <v>6.9999988114226088</v>
      </c>
    </row>
    <row r="78" spans="1:18">
      <c r="A78" s="97" t="str">
        <f t="shared" si="4"/>
        <v>EEUKANT</v>
      </c>
      <c r="C78" s="100" t="s">
        <v>480</v>
      </c>
      <c r="D78" s="100" t="s">
        <v>481</v>
      </c>
      <c r="E78" s="100" t="s">
        <v>334</v>
      </c>
      <c r="F78" s="100" t="s">
        <v>335</v>
      </c>
      <c r="G78" s="101" t="s">
        <v>338</v>
      </c>
      <c r="H78" s="101" t="s">
        <v>338</v>
      </c>
      <c r="I78" s="101" t="s">
        <v>338</v>
      </c>
      <c r="J78" s="101" t="s">
        <v>338</v>
      </c>
      <c r="K78" s="101" t="s">
        <v>338</v>
      </c>
      <c r="L78" s="101" t="s">
        <v>338</v>
      </c>
      <c r="M78" s="101" t="s">
        <v>338</v>
      </c>
      <c r="N78" s="101" t="s">
        <v>338</v>
      </c>
      <c r="O78" s="101" t="s">
        <v>338</v>
      </c>
      <c r="P78" s="101" t="s">
        <v>338</v>
      </c>
      <c r="Q78" s="101" t="s">
        <v>338</v>
      </c>
      <c r="R78" s="101" t="s">
        <v>338</v>
      </c>
    </row>
    <row r="79" spans="1:18">
      <c r="A79" s="97" t="str">
        <f t="shared" si="4"/>
        <v>EEUKDAT</v>
      </c>
      <c r="C79" s="100" t="s">
        <v>482</v>
      </c>
      <c r="D79" s="100" t="s">
        <v>483</v>
      </c>
      <c r="E79" s="100" t="s">
        <v>334</v>
      </c>
      <c r="F79" s="100" t="s">
        <v>335</v>
      </c>
      <c r="G79" s="101" t="s">
        <v>338</v>
      </c>
      <c r="H79" s="101" t="s">
        <v>338</v>
      </c>
      <c r="I79" s="101" t="s">
        <v>338</v>
      </c>
      <c r="J79" s="101" t="s">
        <v>338</v>
      </c>
      <c r="K79" s="101" t="s">
        <v>338</v>
      </c>
      <c r="L79" s="101" t="s">
        <v>338</v>
      </c>
      <c r="M79" s="101" t="s">
        <v>338</v>
      </c>
      <c r="N79" s="101" t="s">
        <v>338</v>
      </c>
      <c r="O79" s="101" t="s">
        <v>338</v>
      </c>
      <c r="P79" s="101" t="s">
        <v>338</v>
      </c>
      <c r="Q79" s="101" t="s">
        <v>338</v>
      </c>
      <c r="R79" s="101" t="s">
        <v>338</v>
      </c>
    </row>
    <row r="80" spans="1:18">
      <c r="A80" s="97" t="str">
        <f t="shared" si="4"/>
        <v>EEUKGNA</v>
      </c>
      <c r="C80" s="100" t="s">
        <v>484</v>
      </c>
      <c r="D80" s="100" t="s">
        <v>485</v>
      </c>
      <c r="E80" s="100" t="s">
        <v>334</v>
      </c>
      <c r="F80" s="100" t="s">
        <v>335</v>
      </c>
      <c r="G80" s="101" t="s">
        <v>338</v>
      </c>
      <c r="H80" s="101" t="s">
        <v>338</v>
      </c>
      <c r="I80" s="101" t="s">
        <v>338</v>
      </c>
      <c r="J80" s="101" t="s">
        <v>338</v>
      </c>
      <c r="K80" s="101" t="s">
        <v>338</v>
      </c>
      <c r="L80" s="101" t="s">
        <v>338</v>
      </c>
      <c r="M80" s="101" t="s">
        <v>338</v>
      </c>
      <c r="N80" s="101" t="s">
        <v>338</v>
      </c>
      <c r="O80" s="101" t="s">
        <v>338</v>
      </c>
      <c r="P80" s="101" t="s">
        <v>338</v>
      </c>
      <c r="Q80" s="101" t="s">
        <v>338</v>
      </c>
      <c r="R80" s="101" t="s">
        <v>338</v>
      </c>
    </row>
    <row r="81" spans="1:18">
      <c r="A81" s="97" t="str">
        <f t="shared" si="4"/>
        <v>EEUKZNA</v>
      </c>
      <c r="C81" s="100" t="s">
        <v>486</v>
      </c>
      <c r="D81" s="100" t="s">
        <v>487</v>
      </c>
      <c r="E81" s="100" t="s">
        <v>334</v>
      </c>
      <c r="F81" s="100" t="s">
        <v>335</v>
      </c>
      <c r="G81" s="101" t="s">
        <v>338</v>
      </c>
      <c r="H81" s="101" t="s">
        <v>338</v>
      </c>
      <c r="I81" s="101" t="s">
        <v>338</v>
      </c>
      <c r="J81" s="101" t="s">
        <v>338</v>
      </c>
      <c r="K81" s="101" t="s">
        <v>338</v>
      </c>
      <c r="L81" s="101" t="s">
        <v>338</v>
      </c>
      <c r="M81" s="101" t="s">
        <v>338</v>
      </c>
      <c r="N81" s="101" t="s">
        <v>338</v>
      </c>
      <c r="O81" s="101" t="s">
        <v>338</v>
      </c>
      <c r="P81" s="101" t="s">
        <v>338</v>
      </c>
      <c r="Q81" s="101" t="s">
        <v>338</v>
      </c>
      <c r="R81" s="101" t="s">
        <v>338</v>
      </c>
    </row>
    <row r="82" spans="1:18">
      <c r="A82" s="97" t="str">
        <f t="shared" si="4"/>
        <v>EEUKHNA</v>
      </c>
      <c r="C82" s="100" t="s">
        <v>488</v>
      </c>
      <c r="D82" s="100" t="s">
        <v>489</v>
      </c>
      <c r="E82" s="100" t="s">
        <v>334</v>
      </c>
      <c r="F82" s="100" t="s">
        <v>335</v>
      </c>
      <c r="G82" s="101">
        <v>39.618393763787054</v>
      </c>
      <c r="H82" s="101">
        <v>41.198617239233975</v>
      </c>
      <c r="I82" s="101">
        <v>40.842434691137626</v>
      </c>
      <c r="J82" s="101">
        <v>40.632194244464074</v>
      </c>
      <c r="K82" s="101">
        <v>41.311971536742149</v>
      </c>
      <c r="L82" s="101">
        <v>41.230702638969852</v>
      </c>
      <c r="M82" s="101">
        <v>41.776771627065315</v>
      </c>
      <c r="N82" s="101">
        <v>41.500127786355769</v>
      </c>
      <c r="O82" s="101">
        <v>41.533780027308325</v>
      </c>
      <c r="P82" s="101">
        <v>42.473490150527809</v>
      </c>
      <c r="Q82" s="101">
        <v>40.298894361955533</v>
      </c>
      <c r="R82" s="101">
        <v>36.144875302861493</v>
      </c>
    </row>
    <row r="83" spans="1:18">
      <c r="A83" s="97" t="str">
        <f t="shared" si="4"/>
        <v>EEUKPVT</v>
      </c>
      <c r="C83" s="100" t="s">
        <v>490</v>
      </c>
      <c r="D83" s="100" t="s">
        <v>491</v>
      </c>
      <c r="E83" s="100" t="s">
        <v>334</v>
      </c>
      <c r="F83" s="100" t="s">
        <v>335</v>
      </c>
      <c r="G83" s="101" t="s">
        <v>338</v>
      </c>
      <c r="H83" s="101" t="s">
        <v>338</v>
      </c>
      <c r="I83" s="101" t="s">
        <v>338</v>
      </c>
      <c r="J83" s="101" t="s">
        <v>338</v>
      </c>
      <c r="K83" s="101" t="s">
        <v>338</v>
      </c>
      <c r="L83" s="101" t="s">
        <v>338</v>
      </c>
      <c r="M83" s="101" t="s">
        <v>338</v>
      </c>
      <c r="N83" s="101" t="s">
        <v>338</v>
      </c>
      <c r="O83" s="101" t="s">
        <v>338</v>
      </c>
      <c r="P83" s="101" t="s">
        <v>338</v>
      </c>
      <c r="Q83" s="101" t="s">
        <v>338</v>
      </c>
      <c r="R83" s="101" t="s">
        <v>338</v>
      </c>
    </row>
    <row r="84" spans="1:18">
      <c r="A84" s="97" t="str">
        <f t="shared" si="4"/>
        <v>EEUKVDT</v>
      </c>
      <c r="C84" s="100" t="s">
        <v>492</v>
      </c>
      <c r="D84" s="100" t="s">
        <v>493</v>
      </c>
      <c r="E84" s="100" t="s">
        <v>334</v>
      </c>
      <c r="F84" s="100" t="s">
        <v>335</v>
      </c>
      <c r="G84" s="101" t="s">
        <v>338</v>
      </c>
      <c r="H84" s="101" t="s">
        <v>338</v>
      </c>
      <c r="I84" s="101" t="s">
        <v>338</v>
      </c>
      <c r="J84" s="101" t="s">
        <v>338</v>
      </c>
      <c r="K84" s="101" t="s">
        <v>338</v>
      </c>
      <c r="L84" s="101" t="s">
        <v>338</v>
      </c>
      <c r="M84" s="101" t="s">
        <v>338</v>
      </c>
      <c r="N84" s="101" t="s">
        <v>338</v>
      </c>
      <c r="O84" s="101" t="s">
        <v>338</v>
      </c>
      <c r="P84" s="101" t="s">
        <v>338</v>
      </c>
      <c r="Q84" s="101" t="s">
        <v>338</v>
      </c>
      <c r="R84" s="101" t="s">
        <v>338</v>
      </c>
    </row>
    <row r="85" spans="1:18">
      <c r="A85" s="97" t="str">
        <f t="shared" si="4"/>
        <v>EEUKVMT</v>
      </c>
      <c r="C85" s="100" t="s">
        <v>494</v>
      </c>
      <c r="D85" s="100" t="s">
        <v>495</v>
      </c>
      <c r="E85" s="100" t="s">
        <v>334</v>
      </c>
      <c r="F85" s="100" t="s">
        <v>335</v>
      </c>
      <c r="G85" s="101" t="s">
        <v>338</v>
      </c>
      <c r="H85" s="101" t="s">
        <v>338</v>
      </c>
      <c r="I85" s="101" t="s">
        <v>338</v>
      </c>
      <c r="J85" s="101" t="s">
        <v>338</v>
      </c>
      <c r="K85" s="101" t="s">
        <v>338</v>
      </c>
      <c r="L85" s="101" t="s">
        <v>338</v>
      </c>
      <c r="M85" s="101" t="s">
        <v>338</v>
      </c>
      <c r="N85" s="101" t="s">
        <v>338</v>
      </c>
      <c r="O85" s="101" t="s">
        <v>338</v>
      </c>
      <c r="P85" s="101" t="s">
        <v>338</v>
      </c>
      <c r="Q85" s="101" t="s">
        <v>338</v>
      </c>
      <c r="R85" s="101" t="s">
        <v>338</v>
      </c>
    </row>
    <row r="86" spans="1:18">
      <c r="A86" s="97" t="str">
        <f t="shared" si="4"/>
        <v>EEUKVLT</v>
      </c>
      <c r="C86" s="100" t="s">
        <v>496</v>
      </c>
      <c r="D86" s="100" t="s">
        <v>497</v>
      </c>
      <c r="E86" s="100" t="s">
        <v>334</v>
      </c>
      <c r="F86" s="100" t="s">
        <v>335</v>
      </c>
      <c r="G86" s="101" t="s">
        <v>338</v>
      </c>
      <c r="H86" s="101" t="s">
        <v>338</v>
      </c>
      <c r="I86" s="101" t="s">
        <v>338</v>
      </c>
      <c r="J86" s="101" t="s">
        <v>338</v>
      </c>
      <c r="K86" s="101" t="s">
        <v>338</v>
      </c>
      <c r="L86" s="101" t="s">
        <v>338</v>
      </c>
      <c r="M86" s="101" t="s">
        <v>338</v>
      </c>
      <c r="N86" s="101" t="s">
        <v>338</v>
      </c>
      <c r="O86" s="101" t="s">
        <v>338</v>
      </c>
      <c r="P86" s="101" t="s">
        <v>338</v>
      </c>
      <c r="Q86" s="101" t="s">
        <v>338</v>
      </c>
      <c r="R86" s="101" t="s">
        <v>338</v>
      </c>
    </row>
    <row r="87" spans="1:18">
      <c r="A87" s="97" t="str">
        <f t="shared" si="4"/>
        <v>EEUKVIT</v>
      </c>
      <c r="C87" s="100" t="s">
        <v>498</v>
      </c>
      <c r="D87" s="100" t="s">
        <v>499</v>
      </c>
      <c r="E87" s="100" t="s">
        <v>334</v>
      </c>
      <c r="F87" s="100" t="s">
        <v>335</v>
      </c>
      <c r="G87" s="101" t="s">
        <v>338</v>
      </c>
      <c r="H87" s="101" t="s">
        <v>338</v>
      </c>
      <c r="I87" s="101" t="s">
        <v>338</v>
      </c>
      <c r="J87" s="101" t="s">
        <v>338</v>
      </c>
      <c r="K87" s="101" t="s">
        <v>338</v>
      </c>
      <c r="L87" s="101" t="s">
        <v>338</v>
      </c>
      <c r="M87" s="101" t="s">
        <v>338</v>
      </c>
      <c r="N87" s="101" t="s">
        <v>338</v>
      </c>
      <c r="O87" s="101" t="s">
        <v>338</v>
      </c>
      <c r="P87" s="101" t="s">
        <v>338</v>
      </c>
      <c r="Q87" s="101" t="s">
        <v>338</v>
      </c>
      <c r="R87" s="101" t="s">
        <v>338</v>
      </c>
    </row>
    <row r="88" spans="1:18">
      <c r="A88" s="97" t="str">
        <f t="shared" si="4"/>
        <v>EEUKVHT</v>
      </c>
      <c r="C88" s="100" t="s">
        <v>500</v>
      </c>
      <c r="D88" s="100" t="s">
        <v>501</v>
      </c>
      <c r="E88" s="100" t="s">
        <v>334</v>
      </c>
      <c r="F88" s="100" t="s">
        <v>335</v>
      </c>
      <c r="G88" s="101" t="s">
        <v>338</v>
      </c>
      <c r="H88" s="101" t="s">
        <v>338</v>
      </c>
      <c r="I88" s="101" t="s">
        <v>338</v>
      </c>
      <c r="J88" s="101" t="s">
        <v>338</v>
      </c>
      <c r="K88" s="101" t="s">
        <v>338</v>
      </c>
      <c r="L88" s="101" t="s">
        <v>338</v>
      </c>
      <c r="M88" s="101" t="s">
        <v>338</v>
      </c>
      <c r="N88" s="101" t="s">
        <v>338</v>
      </c>
      <c r="O88" s="101" t="s">
        <v>338</v>
      </c>
      <c r="P88" s="101" t="s">
        <v>338</v>
      </c>
      <c r="Q88" s="101" t="s">
        <v>338</v>
      </c>
      <c r="R88" s="101" t="s">
        <v>338</v>
      </c>
    </row>
    <row r="89" spans="1:18">
      <c r="A89" s="97" t="str">
        <f t="shared" si="4"/>
        <v>EEUKEVT</v>
      </c>
      <c r="C89" s="100" t="s">
        <v>502</v>
      </c>
      <c r="D89" s="100" t="s">
        <v>503</v>
      </c>
      <c r="E89" s="100" t="s">
        <v>334</v>
      </c>
      <c r="F89" s="100" t="s">
        <v>335</v>
      </c>
      <c r="G89" s="101" t="s">
        <v>338</v>
      </c>
      <c r="H89" s="101" t="s">
        <v>338</v>
      </c>
      <c r="I89" s="101" t="s">
        <v>338</v>
      </c>
      <c r="J89" s="101" t="s">
        <v>338</v>
      </c>
      <c r="K89" s="101" t="s">
        <v>338</v>
      </c>
      <c r="L89" s="101" t="s">
        <v>338</v>
      </c>
      <c r="M89" s="101" t="s">
        <v>338</v>
      </c>
      <c r="N89" s="101" t="s">
        <v>338</v>
      </c>
      <c r="O89" s="101" t="s">
        <v>338</v>
      </c>
      <c r="P89" s="101" t="s">
        <v>338</v>
      </c>
      <c r="Q89" s="101" t="s">
        <v>338</v>
      </c>
      <c r="R89" s="101" t="s">
        <v>338</v>
      </c>
    </row>
    <row r="90" spans="1:18">
      <c r="A90" s="97" t="str">
        <f t="shared" si="4"/>
        <v>EEUKVBT</v>
      </c>
      <c r="C90" s="100" t="s">
        <v>504</v>
      </c>
      <c r="D90" s="100" t="s">
        <v>505</v>
      </c>
      <c r="E90" s="100" t="s">
        <v>334</v>
      </c>
      <c r="F90" s="100" t="s">
        <v>335</v>
      </c>
      <c r="G90" s="101" t="s">
        <v>338</v>
      </c>
      <c r="H90" s="101" t="s">
        <v>338</v>
      </c>
      <c r="I90" s="101" t="s">
        <v>338</v>
      </c>
      <c r="J90" s="101" t="s">
        <v>338</v>
      </c>
      <c r="K90" s="101" t="s">
        <v>338</v>
      </c>
      <c r="L90" s="101" t="s">
        <v>338</v>
      </c>
      <c r="M90" s="101" t="s">
        <v>338</v>
      </c>
      <c r="N90" s="101" t="s">
        <v>338</v>
      </c>
      <c r="O90" s="101" t="s">
        <v>338</v>
      </c>
      <c r="P90" s="101" t="s">
        <v>338</v>
      </c>
      <c r="Q90" s="101" t="s">
        <v>338</v>
      </c>
      <c r="R90" s="101" t="s">
        <v>338</v>
      </c>
    </row>
    <row r="91" spans="1:18">
      <c r="A91" s="97" t="str">
        <f t="shared" si="4"/>
        <v>EEUKVNT</v>
      </c>
      <c r="C91" s="100" t="s">
        <v>506</v>
      </c>
      <c r="D91" s="100" t="s">
        <v>507</v>
      </c>
      <c r="E91" s="100" t="s">
        <v>334</v>
      </c>
      <c r="F91" s="100" t="s">
        <v>335</v>
      </c>
      <c r="G91" s="101" t="s">
        <v>338</v>
      </c>
      <c r="H91" s="101" t="s">
        <v>338</v>
      </c>
      <c r="I91" s="101" t="s">
        <v>338</v>
      </c>
      <c r="J91" s="101" t="s">
        <v>338</v>
      </c>
      <c r="K91" s="101" t="s">
        <v>338</v>
      </c>
      <c r="L91" s="101" t="s">
        <v>338</v>
      </c>
      <c r="M91" s="101" t="s">
        <v>338</v>
      </c>
      <c r="N91" s="101" t="s">
        <v>338</v>
      </c>
      <c r="O91" s="101" t="s">
        <v>338</v>
      </c>
      <c r="P91" s="101" t="s">
        <v>338</v>
      </c>
      <c r="Q91" s="101" t="s">
        <v>338</v>
      </c>
      <c r="R91" s="101" t="s">
        <v>338</v>
      </c>
    </row>
    <row r="92" spans="1:18">
      <c r="A92" s="97" t="str">
        <f t="shared" si="4"/>
        <v>EEUKVQT</v>
      </c>
      <c r="C92" s="100" t="s">
        <v>508</v>
      </c>
      <c r="D92" s="100" t="s">
        <v>509</v>
      </c>
      <c r="E92" s="100" t="s">
        <v>334</v>
      </c>
      <c r="F92" s="100" t="s">
        <v>335</v>
      </c>
      <c r="G92" s="101" t="s">
        <v>338</v>
      </c>
      <c r="H92" s="101" t="s">
        <v>338</v>
      </c>
      <c r="I92" s="101" t="s">
        <v>338</v>
      </c>
      <c r="J92" s="101" t="s">
        <v>338</v>
      </c>
      <c r="K92" s="101" t="s">
        <v>338</v>
      </c>
      <c r="L92" s="101" t="s">
        <v>338</v>
      </c>
      <c r="M92" s="101" t="s">
        <v>338</v>
      </c>
      <c r="N92" s="101" t="s">
        <v>338</v>
      </c>
      <c r="O92" s="101" t="s">
        <v>338</v>
      </c>
      <c r="P92" s="101" t="s">
        <v>338</v>
      </c>
      <c r="Q92" s="101" t="s">
        <v>338</v>
      </c>
      <c r="R92" s="101" t="s">
        <v>338</v>
      </c>
    </row>
    <row r="93" spans="1:18">
      <c r="A93" s="97" t="str">
        <f t="shared" si="4"/>
        <v>EEUKVST</v>
      </c>
      <c r="C93" s="100" t="s">
        <v>510</v>
      </c>
      <c r="D93" s="100" t="s">
        <v>511</v>
      </c>
      <c r="E93" s="100" t="s">
        <v>334</v>
      </c>
      <c r="F93" s="100" t="s">
        <v>335</v>
      </c>
      <c r="G93" s="101" t="s">
        <v>338</v>
      </c>
      <c r="H93" s="101" t="s">
        <v>338</v>
      </c>
      <c r="I93" s="101" t="s">
        <v>338</v>
      </c>
      <c r="J93" s="101" t="s">
        <v>338</v>
      </c>
      <c r="K93" s="101" t="s">
        <v>338</v>
      </c>
      <c r="L93" s="101" t="s">
        <v>338</v>
      </c>
      <c r="M93" s="101" t="s">
        <v>338</v>
      </c>
      <c r="N93" s="101" t="s">
        <v>338</v>
      </c>
      <c r="O93" s="101" t="s">
        <v>338</v>
      </c>
      <c r="P93" s="101" t="s">
        <v>338</v>
      </c>
      <c r="Q93" s="101" t="s">
        <v>338</v>
      </c>
      <c r="R93" s="101" t="s">
        <v>338</v>
      </c>
    </row>
    <row r="94" spans="1:18">
      <c r="A94" s="97" t="str">
        <f t="shared" si="4"/>
        <v>EEUKGVC</v>
      </c>
      <c r="C94" s="100" t="s">
        <v>512</v>
      </c>
      <c r="D94" s="100" t="s">
        <v>513</v>
      </c>
      <c r="E94" s="100" t="s">
        <v>334</v>
      </c>
      <c r="F94" s="100" t="s">
        <v>335</v>
      </c>
      <c r="G94" s="101" t="s">
        <v>338</v>
      </c>
      <c r="H94" s="101" t="s">
        <v>338</v>
      </c>
      <c r="I94" s="101" t="s">
        <v>338</v>
      </c>
      <c r="J94" s="101" t="s">
        <v>338</v>
      </c>
      <c r="K94" s="101" t="s">
        <v>338</v>
      </c>
      <c r="L94" s="101" t="s">
        <v>338</v>
      </c>
      <c r="M94" s="101" t="s">
        <v>338</v>
      </c>
      <c r="N94" s="101" t="s">
        <v>338</v>
      </c>
      <c r="O94" s="101" t="s">
        <v>338</v>
      </c>
      <c r="P94" s="101" t="s">
        <v>338</v>
      </c>
      <c r="Q94" s="101" t="s">
        <v>338</v>
      </c>
      <c r="R94" s="101" t="s">
        <v>338</v>
      </c>
    </row>
    <row r="95" spans="1:18">
      <c r="A95" s="97" t="str">
        <f t="shared" si="4"/>
        <v>EEUKZVC</v>
      </c>
      <c r="C95" s="100" t="s">
        <v>514</v>
      </c>
      <c r="D95" s="100" t="s">
        <v>515</v>
      </c>
      <c r="E95" s="100" t="s">
        <v>334</v>
      </c>
      <c r="F95" s="100" t="s">
        <v>335</v>
      </c>
      <c r="G95" s="101" t="s">
        <v>338</v>
      </c>
      <c r="H95" s="101" t="s">
        <v>338</v>
      </c>
      <c r="I95" s="101" t="s">
        <v>338</v>
      </c>
      <c r="J95" s="101" t="s">
        <v>338</v>
      </c>
      <c r="K95" s="101" t="s">
        <v>338</v>
      </c>
      <c r="L95" s="101" t="s">
        <v>338</v>
      </c>
      <c r="M95" s="101" t="s">
        <v>338</v>
      </c>
      <c r="N95" s="101" t="s">
        <v>338</v>
      </c>
      <c r="O95" s="101" t="s">
        <v>338</v>
      </c>
      <c r="P95" s="101" t="s">
        <v>338</v>
      </c>
      <c r="Q95" s="101" t="s">
        <v>338</v>
      </c>
      <c r="R95" s="101" t="s">
        <v>338</v>
      </c>
    </row>
    <row r="96" spans="1:18">
      <c r="A96" s="97" t="str">
        <f t="shared" si="4"/>
        <v>EEUKVC</v>
      </c>
      <c r="C96" s="100" t="s">
        <v>516</v>
      </c>
      <c r="D96" s="100" t="s">
        <v>516</v>
      </c>
      <c r="E96" s="100" t="s">
        <v>334</v>
      </c>
      <c r="F96" s="100" t="s">
        <v>335</v>
      </c>
      <c r="G96" s="101" t="s">
        <v>338</v>
      </c>
      <c r="H96" s="101" t="s">
        <v>338</v>
      </c>
      <c r="I96" s="101" t="s">
        <v>338</v>
      </c>
      <c r="J96" s="101" t="s">
        <v>338</v>
      </c>
      <c r="K96" s="101" t="s">
        <v>338</v>
      </c>
      <c r="L96" s="101" t="s">
        <v>338</v>
      </c>
      <c r="M96" s="101" t="s">
        <v>338</v>
      </c>
      <c r="N96" s="101" t="s">
        <v>338</v>
      </c>
      <c r="O96" s="101" t="s">
        <v>338</v>
      </c>
      <c r="P96" s="101" t="s">
        <v>338</v>
      </c>
      <c r="Q96" s="101" t="s">
        <v>338</v>
      </c>
      <c r="R96" s="101" t="s">
        <v>338</v>
      </c>
    </row>
    <row r="97" spans="1:18">
      <c r="A97" s="97" t="str">
        <f t="shared" si="4"/>
        <v>EEUKSDT</v>
      </c>
      <c r="C97" s="100" t="s">
        <v>517</v>
      </c>
      <c r="D97" s="100" t="s">
        <v>518</v>
      </c>
      <c r="E97" s="100" t="s">
        <v>334</v>
      </c>
      <c r="F97" s="100" t="s">
        <v>335</v>
      </c>
      <c r="G97" s="101" t="s">
        <v>338</v>
      </c>
      <c r="H97" s="101" t="s">
        <v>338</v>
      </c>
      <c r="I97" s="101" t="s">
        <v>338</v>
      </c>
      <c r="J97" s="101" t="s">
        <v>338</v>
      </c>
      <c r="K97" s="101" t="s">
        <v>338</v>
      </c>
      <c r="L97" s="101" t="s">
        <v>338</v>
      </c>
      <c r="M97" s="101" t="s">
        <v>338</v>
      </c>
      <c r="N97" s="101" t="s">
        <v>338</v>
      </c>
      <c r="O97" s="101" t="s">
        <v>338</v>
      </c>
      <c r="P97" s="101" t="s">
        <v>338</v>
      </c>
      <c r="Q97" s="101" t="s">
        <v>338</v>
      </c>
      <c r="R97" s="101" t="s">
        <v>338</v>
      </c>
    </row>
    <row r="98" spans="1:18">
      <c r="A98" s="97" t="str">
        <f t="shared" si="4"/>
        <v>EEUKWW5</v>
      </c>
      <c r="C98" s="100" t="s">
        <v>519</v>
      </c>
      <c r="D98" s="100" t="s">
        <v>520</v>
      </c>
      <c r="E98" s="100" t="s">
        <v>334</v>
      </c>
      <c r="F98" s="100" t="s">
        <v>335</v>
      </c>
      <c r="G98" s="101" t="s">
        <v>338</v>
      </c>
      <c r="H98" s="101" t="s">
        <v>338</v>
      </c>
      <c r="I98" s="101" t="s">
        <v>338</v>
      </c>
      <c r="J98" s="101" t="s">
        <v>338</v>
      </c>
      <c r="K98" s="101" t="s">
        <v>338</v>
      </c>
      <c r="L98" s="101" t="s">
        <v>338</v>
      </c>
      <c r="M98" s="101" t="s">
        <v>338</v>
      </c>
      <c r="N98" s="101" t="s">
        <v>338</v>
      </c>
      <c r="O98" s="101" t="s">
        <v>338</v>
      </c>
      <c r="P98" s="101" t="s">
        <v>338</v>
      </c>
      <c r="Q98" s="101" t="s">
        <v>338</v>
      </c>
      <c r="R98" s="101" t="s">
        <v>338</v>
      </c>
    </row>
    <row r="99" spans="1:18">
      <c r="A99" s="97" t="str">
        <f t="shared" si="4"/>
        <v>EEUKSBT</v>
      </c>
      <c r="C99" s="100" t="s">
        <v>521</v>
      </c>
      <c r="D99" s="100" t="s">
        <v>522</v>
      </c>
      <c r="E99" s="100" t="s">
        <v>334</v>
      </c>
      <c r="F99" s="100" t="s">
        <v>335</v>
      </c>
      <c r="G99" s="101" t="s">
        <v>338</v>
      </c>
      <c r="H99" s="101" t="s">
        <v>338</v>
      </c>
      <c r="I99" s="101" t="s">
        <v>338</v>
      </c>
      <c r="J99" s="101" t="s">
        <v>338</v>
      </c>
      <c r="K99" s="101" t="s">
        <v>338</v>
      </c>
      <c r="L99" s="101" t="s">
        <v>338</v>
      </c>
      <c r="M99" s="101" t="s">
        <v>338</v>
      </c>
      <c r="N99" s="101" t="s">
        <v>338</v>
      </c>
      <c r="O99" s="101" t="s">
        <v>338</v>
      </c>
      <c r="P99" s="101" t="s">
        <v>338</v>
      </c>
      <c r="Q99" s="101" t="s">
        <v>338</v>
      </c>
      <c r="R99" s="101" t="s">
        <v>338</v>
      </c>
    </row>
    <row r="100" spans="1:18">
      <c r="A100" s="97" t="str">
        <f t="shared" si="4"/>
        <v>EEUKCLT</v>
      </c>
      <c r="C100" s="100" t="s">
        <v>523</v>
      </c>
      <c r="D100" s="100" t="s">
        <v>524</v>
      </c>
      <c r="E100" s="100" t="s">
        <v>334</v>
      </c>
      <c r="F100" s="100" t="s">
        <v>335</v>
      </c>
      <c r="G100" s="101" t="s">
        <v>338</v>
      </c>
      <c r="H100" s="101" t="s">
        <v>338</v>
      </c>
      <c r="I100" s="101" t="s">
        <v>338</v>
      </c>
      <c r="J100" s="101" t="s">
        <v>338</v>
      </c>
      <c r="K100" s="101" t="s">
        <v>338</v>
      </c>
      <c r="L100" s="101" t="s">
        <v>338</v>
      </c>
      <c r="M100" s="101" t="s">
        <v>338</v>
      </c>
      <c r="N100" s="101" t="s">
        <v>338</v>
      </c>
      <c r="O100" s="101" t="s">
        <v>338</v>
      </c>
      <c r="P100" s="101" t="s">
        <v>338</v>
      </c>
      <c r="Q100" s="101" t="s">
        <v>338</v>
      </c>
      <c r="R100" s="101" t="s">
        <v>338</v>
      </c>
    </row>
    <row r="101" spans="1:18">
      <c r="A101" s="97" t="str">
        <f t="shared" si="4"/>
        <v>EEUKESA</v>
      </c>
      <c r="C101" s="100" t="s">
        <v>525</v>
      </c>
      <c r="D101" s="100" t="s">
        <v>526</v>
      </c>
      <c r="E101" s="100" t="s">
        <v>334</v>
      </c>
      <c r="F101" s="100" t="s">
        <v>335</v>
      </c>
      <c r="G101" s="101" t="s">
        <v>338</v>
      </c>
      <c r="H101" s="101" t="s">
        <v>338</v>
      </c>
      <c r="I101" s="101" t="s">
        <v>338</v>
      </c>
      <c r="J101" s="101" t="s">
        <v>338</v>
      </c>
      <c r="K101" s="101" t="s">
        <v>338</v>
      </c>
      <c r="L101" s="101" t="s">
        <v>338</v>
      </c>
      <c r="M101" s="101" t="s">
        <v>338</v>
      </c>
      <c r="N101" s="101" t="s">
        <v>338</v>
      </c>
      <c r="O101" s="101" t="s">
        <v>338</v>
      </c>
      <c r="P101" s="101" t="s">
        <v>338</v>
      </c>
      <c r="Q101" s="101" t="s">
        <v>338</v>
      </c>
      <c r="R101" s="101" t="s">
        <v>338</v>
      </c>
    </row>
    <row r="102" spans="1:18">
      <c r="A102" s="97" t="str">
        <f t="shared" ref="A102:A133" si="5">N_SUBSIDIARY&amp;C102</f>
        <v>EEUKSRT</v>
      </c>
      <c r="C102" s="100" t="s">
        <v>527</v>
      </c>
      <c r="D102" s="100" t="s">
        <v>528</v>
      </c>
      <c r="E102" s="100" t="s">
        <v>334</v>
      </c>
      <c r="F102" s="100" t="s">
        <v>335</v>
      </c>
      <c r="G102" s="101" t="s">
        <v>338</v>
      </c>
      <c r="H102" s="101" t="s">
        <v>338</v>
      </c>
      <c r="I102" s="101" t="s">
        <v>338</v>
      </c>
      <c r="J102" s="101" t="s">
        <v>338</v>
      </c>
      <c r="K102" s="101" t="s">
        <v>338</v>
      </c>
      <c r="L102" s="101" t="s">
        <v>338</v>
      </c>
      <c r="M102" s="101" t="s">
        <v>338</v>
      </c>
      <c r="N102" s="101" t="s">
        <v>338</v>
      </c>
      <c r="O102" s="101" t="s">
        <v>338</v>
      </c>
      <c r="P102" s="101" t="s">
        <v>338</v>
      </c>
      <c r="Q102" s="101" t="s">
        <v>338</v>
      </c>
      <c r="R102" s="101" t="s">
        <v>338</v>
      </c>
    </row>
    <row r="103" spans="1:18">
      <c r="A103" s="97" t="str">
        <f t="shared" si="5"/>
        <v>EEUKWW3</v>
      </c>
      <c r="C103" s="100" t="s">
        <v>529</v>
      </c>
      <c r="D103" s="100" t="s">
        <v>530</v>
      </c>
      <c r="E103" s="100" t="s">
        <v>334</v>
      </c>
      <c r="F103" s="100" t="s">
        <v>335</v>
      </c>
      <c r="G103" s="101" t="s">
        <v>338</v>
      </c>
      <c r="H103" s="101" t="s">
        <v>338</v>
      </c>
      <c r="I103" s="101" t="s">
        <v>338</v>
      </c>
      <c r="J103" s="101" t="s">
        <v>338</v>
      </c>
      <c r="K103" s="101" t="s">
        <v>338</v>
      </c>
      <c r="L103" s="101" t="s">
        <v>338</v>
      </c>
      <c r="M103" s="101" t="s">
        <v>338</v>
      </c>
      <c r="N103" s="101" t="s">
        <v>338</v>
      </c>
      <c r="O103" s="101" t="s">
        <v>338</v>
      </c>
      <c r="P103" s="101" t="s">
        <v>338</v>
      </c>
      <c r="Q103" s="101" t="s">
        <v>338</v>
      </c>
      <c r="R103" s="101" t="s">
        <v>338</v>
      </c>
    </row>
    <row r="104" spans="1:18">
      <c r="A104" s="97" t="str">
        <f t="shared" si="5"/>
        <v>EEUKSWT</v>
      </c>
      <c r="C104" s="100" t="s">
        <v>531</v>
      </c>
      <c r="D104" s="100" t="s">
        <v>532</v>
      </c>
      <c r="E104" s="100" t="s">
        <v>334</v>
      </c>
      <c r="F104" s="100" t="s">
        <v>335</v>
      </c>
      <c r="G104" s="101" t="s">
        <v>338</v>
      </c>
      <c r="H104" s="101" t="s">
        <v>338</v>
      </c>
      <c r="I104" s="101" t="s">
        <v>338</v>
      </c>
      <c r="J104" s="101" t="s">
        <v>338</v>
      </c>
      <c r="K104" s="101" t="s">
        <v>338</v>
      </c>
      <c r="L104" s="101" t="s">
        <v>338</v>
      </c>
      <c r="M104" s="101" t="s">
        <v>338</v>
      </c>
      <c r="N104" s="101" t="s">
        <v>338</v>
      </c>
      <c r="O104" s="101" t="s">
        <v>338</v>
      </c>
      <c r="P104" s="101" t="s">
        <v>338</v>
      </c>
      <c r="Q104" s="101" t="s">
        <v>338</v>
      </c>
      <c r="R104" s="101" t="s">
        <v>338</v>
      </c>
    </row>
    <row r="105" spans="1:18">
      <c r="A105" s="97" t="str">
        <f t="shared" si="5"/>
        <v>EEUKGEB</v>
      </c>
      <c r="C105" s="100" t="s">
        <v>533</v>
      </c>
      <c r="D105" s="100" t="s">
        <v>534</v>
      </c>
      <c r="E105" s="100" t="s">
        <v>334</v>
      </c>
      <c r="F105" s="100" t="s">
        <v>335</v>
      </c>
      <c r="G105" s="101" t="s">
        <v>338</v>
      </c>
      <c r="H105" s="101" t="s">
        <v>338</v>
      </c>
      <c r="I105" s="101" t="s">
        <v>338</v>
      </c>
      <c r="J105" s="101" t="s">
        <v>338</v>
      </c>
      <c r="K105" s="101" t="s">
        <v>338</v>
      </c>
      <c r="L105" s="101" t="s">
        <v>338</v>
      </c>
      <c r="M105" s="101" t="s">
        <v>338</v>
      </c>
      <c r="N105" s="101" t="s">
        <v>338</v>
      </c>
      <c r="O105" s="101" t="s">
        <v>338</v>
      </c>
      <c r="P105" s="101" t="s">
        <v>338</v>
      </c>
      <c r="Q105" s="101" t="s">
        <v>338</v>
      </c>
      <c r="R105" s="101" t="s">
        <v>338</v>
      </c>
    </row>
    <row r="106" spans="1:18">
      <c r="A106" s="97" t="str">
        <f t="shared" si="5"/>
        <v>EEUKZEB</v>
      </c>
      <c r="C106" s="100" t="s">
        <v>535</v>
      </c>
      <c r="D106" s="100" t="s">
        <v>536</v>
      </c>
      <c r="E106" s="100" t="s">
        <v>334</v>
      </c>
      <c r="F106" s="100" t="s">
        <v>335</v>
      </c>
      <c r="G106" s="101" t="s">
        <v>338</v>
      </c>
      <c r="H106" s="101" t="s">
        <v>338</v>
      </c>
      <c r="I106" s="101" t="s">
        <v>338</v>
      </c>
      <c r="J106" s="101" t="s">
        <v>338</v>
      </c>
      <c r="K106" s="101" t="s">
        <v>338</v>
      </c>
      <c r="L106" s="101" t="s">
        <v>338</v>
      </c>
      <c r="M106" s="101" t="s">
        <v>338</v>
      </c>
      <c r="N106" s="101" t="s">
        <v>338</v>
      </c>
      <c r="O106" s="101" t="s">
        <v>338</v>
      </c>
      <c r="P106" s="101" t="s">
        <v>338</v>
      </c>
      <c r="Q106" s="101" t="s">
        <v>338</v>
      </c>
      <c r="R106" s="101" t="s">
        <v>338</v>
      </c>
    </row>
    <row r="107" spans="1:18">
      <c r="A107" s="97" t="str">
        <f t="shared" si="5"/>
        <v>EEUKEBC</v>
      </c>
      <c r="C107" s="100" t="s">
        <v>537</v>
      </c>
      <c r="D107" s="100" t="s">
        <v>537</v>
      </c>
      <c r="E107" s="100" t="s">
        <v>334</v>
      </c>
      <c r="F107" s="100" t="s">
        <v>335</v>
      </c>
      <c r="G107" s="101" t="s">
        <v>338</v>
      </c>
      <c r="H107" s="101" t="s">
        <v>338</v>
      </c>
      <c r="I107" s="101" t="s">
        <v>338</v>
      </c>
      <c r="J107" s="101" t="s">
        <v>338</v>
      </c>
      <c r="K107" s="101" t="s">
        <v>338</v>
      </c>
      <c r="L107" s="101" t="s">
        <v>338</v>
      </c>
      <c r="M107" s="101" t="s">
        <v>338</v>
      </c>
      <c r="N107" s="101" t="s">
        <v>338</v>
      </c>
      <c r="O107" s="101" t="s">
        <v>338</v>
      </c>
      <c r="P107" s="101" t="s">
        <v>338</v>
      </c>
      <c r="Q107" s="101" t="s">
        <v>338</v>
      </c>
      <c r="R107" s="101" t="s">
        <v>338</v>
      </c>
    </row>
    <row r="108" spans="1:18">
      <c r="A108" s="97" t="str">
        <f t="shared" si="5"/>
        <v>EEUKMTT</v>
      </c>
      <c r="C108" s="100" t="s">
        <v>538</v>
      </c>
      <c r="D108" s="100" t="s">
        <v>539</v>
      </c>
      <c r="E108" s="100" t="s">
        <v>334</v>
      </c>
      <c r="F108" s="100" t="s">
        <v>335</v>
      </c>
      <c r="G108" s="101" t="s">
        <v>338</v>
      </c>
      <c r="H108" s="101" t="s">
        <v>338</v>
      </c>
      <c r="I108" s="101" t="s">
        <v>338</v>
      </c>
      <c r="J108" s="101" t="s">
        <v>338</v>
      </c>
      <c r="K108" s="101" t="s">
        <v>338</v>
      </c>
      <c r="L108" s="101" t="s">
        <v>338</v>
      </c>
      <c r="M108" s="101" t="s">
        <v>338</v>
      </c>
      <c r="N108" s="101" t="s">
        <v>338</v>
      </c>
      <c r="O108" s="101" t="s">
        <v>338</v>
      </c>
      <c r="P108" s="101" t="s">
        <v>338</v>
      </c>
      <c r="Q108" s="101" t="s">
        <v>338</v>
      </c>
      <c r="R108" s="101" t="s">
        <v>338</v>
      </c>
    </row>
    <row r="109" spans="1:18">
      <c r="A109" s="97" t="str">
        <f t="shared" si="5"/>
        <v>EEUKMMT</v>
      </c>
      <c r="C109" s="100" t="s">
        <v>540</v>
      </c>
      <c r="D109" s="100" t="s">
        <v>541</v>
      </c>
      <c r="E109" s="100" t="s">
        <v>334</v>
      </c>
      <c r="F109" s="100" t="s">
        <v>335</v>
      </c>
      <c r="G109" s="101" t="s">
        <v>338</v>
      </c>
      <c r="H109" s="101" t="s">
        <v>338</v>
      </c>
      <c r="I109" s="101" t="s">
        <v>338</v>
      </c>
      <c r="J109" s="101" t="s">
        <v>338</v>
      </c>
      <c r="K109" s="101" t="s">
        <v>338</v>
      </c>
      <c r="L109" s="101" t="s">
        <v>338</v>
      </c>
      <c r="M109" s="101" t="s">
        <v>338</v>
      </c>
      <c r="N109" s="101" t="s">
        <v>338</v>
      </c>
      <c r="O109" s="101" t="s">
        <v>338</v>
      </c>
      <c r="P109" s="101" t="s">
        <v>338</v>
      </c>
      <c r="Q109" s="101" t="s">
        <v>338</v>
      </c>
      <c r="R109" s="101" t="s">
        <v>338</v>
      </c>
    </row>
    <row r="110" spans="1:18">
      <c r="A110" s="97" t="str">
        <f t="shared" si="5"/>
        <v>EEUKGMM</v>
      </c>
      <c r="C110" s="100" t="s">
        <v>542</v>
      </c>
      <c r="D110" s="100" t="s">
        <v>543</v>
      </c>
      <c r="E110" s="100" t="s">
        <v>334</v>
      </c>
      <c r="F110" s="100" t="s">
        <v>335</v>
      </c>
      <c r="G110" s="101" t="s">
        <v>338</v>
      </c>
      <c r="H110" s="101" t="s">
        <v>338</v>
      </c>
      <c r="I110" s="101" t="s">
        <v>338</v>
      </c>
      <c r="J110" s="101" t="s">
        <v>338</v>
      </c>
      <c r="K110" s="101" t="s">
        <v>338</v>
      </c>
      <c r="L110" s="101" t="s">
        <v>338</v>
      </c>
      <c r="M110" s="101" t="s">
        <v>338</v>
      </c>
      <c r="N110" s="101" t="s">
        <v>338</v>
      </c>
      <c r="O110" s="101" t="s">
        <v>338</v>
      </c>
      <c r="P110" s="101" t="s">
        <v>338</v>
      </c>
      <c r="Q110" s="101" t="s">
        <v>338</v>
      </c>
      <c r="R110" s="101" t="s">
        <v>338</v>
      </c>
    </row>
    <row r="111" spans="1:18">
      <c r="A111" s="97" t="str">
        <f t="shared" si="5"/>
        <v>EEUKCMM</v>
      </c>
      <c r="C111" s="100" t="s">
        <v>544</v>
      </c>
      <c r="D111" s="100" t="s">
        <v>545</v>
      </c>
      <c r="E111" s="100" t="s">
        <v>334</v>
      </c>
      <c r="F111" s="100" t="s">
        <v>335</v>
      </c>
      <c r="G111" s="101" t="s">
        <v>338</v>
      </c>
      <c r="H111" s="101" t="s">
        <v>338</v>
      </c>
      <c r="I111" s="101" t="s">
        <v>338</v>
      </c>
      <c r="J111" s="101" t="s">
        <v>338</v>
      </c>
      <c r="K111" s="101" t="s">
        <v>338</v>
      </c>
      <c r="L111" s="101" t="s">
        <v>338</v>
      </c>
      <c r="M111" s="101" t="s">
        <v>338</v>
      </c>
      <c r="N111" s="101" t="s">
        <v>338</v>
      </c>
      <c r="O111" s="101" t="s">
        <v>338</v>
      </c>
      <c r="P111" s="101" t="s">
        <v>338</v>
      </c>
      <c r="Q111" s="101" t="s">
        <v>338</v>
      </c>
      <c r="R111" s="101" t="s">
        <v>338</v>
      </c>
    </row>
    <row r="112" spans="1:18">
      <c r="A112" s="97" t="str">
        <f t="shared" si="5"/>
        <v>EEUKGGT</v>
      </c>
      <c r="C112" s="100" t="s">
        <v>546</v>
      </c>
      <c r="D112" s="100" t="s">
        <v>547</v>
      </c>
      <c r="E112" s="100" t="s">
        <v>334</v>
      </c>
      <c r="F112" s="100" t="s">
        <v>335</v>
      </c>
      <c r="G112" s="101" t="s">
        <v>338</v>
      </c>
      <c r="H112" s="101" t="s">
        <v>338</v>
      </c>
      <c r="I112" s="101" t="s">
        <v>338</v>
      </c>
      <c r="J112" s="101" t="s">
        <v>338</v>
      </c>
      <c r="K112" s="101" t="s">
        <v>338</v>
      </c>
      <c r="L112" s="101" t="s">
        <v>338</v>
      </c>
      <c r="M112" s="101" t="s">
        <v>338</v>
      </c>
      <c r="N112" s="101" t="s">
        <v>338</v>
      </c>
      <c r="O112" s="101" t="s">
        <v>338</v>
      </c>
      <c r="P112" s="101" t="s">
        <v>338</v>
      </c>
      <c r="Q112" s="101" t="s">
        <v>338</v>
      </c>
      <c r="R112" s="101" t="s">
        <v>338</v>
      </c>
    </row>
    <row r="113" spans="1:18">
      <c r="A113" s="97" t="str">
        <f t="shared" si="5"/>
        <v>EEUKPTG</v>
      </c>
      <c r="C113" s="100" t="s">
        <v>548</v>
      </c>
      <c r="D113" s="100" t="s">
        <v>549</v>
      </c>
      <c r="E113" s="100" t="s">
        <v>334</v>
      </c>
      <c r="F113" s="100" t="s">
        <v>335</v>
      </c>
      <c r="G113" s="101" t="s">
        <v>338</v>
      </c>
      <c r="H113" s="101" t="s">
        <v>338</v>
      </c>
      <c r="I113" s="101" t="s">
        <v>338</v>
      </c>
      <c r="J113" s="101" t="s">
        <v>338</v>
      </c>
      <c r="K113" s="101" t="s">
        <v>338</v>
      </c>
      <c r="L113" s="101" t="s">
        <v>338</v>
      </c>
      <c r="M113" s="101" t="s">
        <v>338</v>
      </c>
      <c r="N113" s="101" t="s">
        <v>338</v>
      </c>
      <c r="O113" s="101" t="s">
        <v>338</v>
      </c>
      <c r="P113" s="101" t="s">
        <v>338</v>
      </c>
      <c r="Q113" s="101" t="s">
        <v>338</v>
      </c>
      <c r="R113" s="101" t="s">
        <v>338</v>
      </c>
    </row>
    <row r="114" spans="1:18">
      <c r="A114" s="97" t="str">
        <f t="shared" si="5"/>
        <v>EEUKIC</v>
      </c>
      <c r="C114" s="100" t="s">
        <v>550</v>
      </c>
      <c r="D114" s="100" t="s">
        <v>551</v>
      </c>
      <c r="E114" s="100" t="s">
        <v>334</v>
      </c>
      <c r="F114" s="100" t="s">
        <v>335</v>
      </c>
      <c r="G114" s="101" t="s">
        <v>338</v>
      </c>
      <c r="H114" s="101" t="s">
        <v>338</v>
      </c>
      <c r="I114" s="101" t="s">
        <v>338</v>
      </c>
      <c r="J114" s="101" t="s">
        <v>338</v>
      </c>
      <c r="K114" s="101" t="s">
        <v>338</v>
      </c>
      <c r="L114" s="101" t="s">
        <v>338</v>
      </c>
      <c r="M114" s="101" t="s">
        <v>338</v>
      </c>
      <c r="N114" s="101" t="s">
        <v>338</v>
      </c>
      <c r="O114" s="101" t="s">
        <v>338</v>
      </c>
      <c r="P114" s="101" t="s">
        <v>338</v>
      </c>
      <c r="Q114" s="101" t="s">
        <v>338</v>
      </c>
      <c r="R114" s="101" t="s">
        <v>338</v>
      </c>
    </row>
    <row r="115" spans="1:18">
      <c r="A115" s="97" t="str">
        <f t="shared" si="5"/>
        <v>EEUKCST</v>
      </c>
      <c r="C115" s="100" t="s">
        <v>552</v>
      </c>
      <c r="D115" s="100" t="s">
        <v>553</v>
      </c>
      <c r="E115" s="100" t="s">
        <v>351</v>
      </c>
      <c r="F115" s="100" t="s">
        <v>352</v>
      </c>
      <c r="G115" s="101" t="s">
        <v>353</v>
      </c>
      <c r="H115" s="101" t="s">
        <v>353</v>
      </c>
      <c r="I115" s="101" t="s">
        <v>353</v>
      </c>
      <c r="J115" s="101" t="s">
        <v>353</v>
      </c>
      <c r="K115" s="101" t="s">
        <v>353</v>
      </c>
      <c r="L115" s="101" t="s">
        <v>353</v>
      </c>
      <c r="M115" s="101" t="s">
        <v>353</v>
      </c>
      <c r="N115" s="101" t="s">
        <v>353</v>
      </c>
      <c r="O115" s="101" t="s">
        <v>353</v>
      </c>
      <c r="P115" s="101" t="s">
        <v>353</v>
      </c>
      <c r="Q115" s="101" t="s">
        <v>353</v>
      </c>
      <c r="R115" s="101" t="s">
        <v>353</v>
      </c>
    </row>
    <row r="116" spans="1:18">
      <c r="A116" s="97" t="str">
        <f t="shared" si="5"/>
        <v>EEUKPWV</v>
      </c>
      <c r="C116" s="100" t="s">
        <v>554</v>
      </c>
      <c r="D116" s="100" t="s">
        <v>555</v>
      </c>
      <c r="E116" s="100" t="s">
        <v>334</v>
      </c>
      <c r="F116" s="100" t="s">
        <v>335</v>
      </c>
      <c r="G116" s="101" t="s">
        <v>338</v>
      </c>
      <c r="H116" s="101" t="s">
        <v>338</v>
      </c>
      <c r="I116" s="101" t="s">
        <v>338</v>
      </c>
      <c r="J116" s="101" t="s">
        <v>338</v>
      </c>
      <c r="K116" s="101" t="s">
        <v>338</v>
      </c>
      <c r="L116" s="101" t="s">
        <v>338</v>
      </c>
      <c r="M116" s="101" t="s">
        <v>338</v>
      </c>
      <c r="N116" s="101" t="s">
        <v>338</v>
      </c>
      <c r="O116" s="101" t="s">
        <v>338</v>
      </c>
      <c r="P116" s="101" t="s">
        <v>338</v>
      </c>
      <c r="Q116" s="101" t="s">
        <v>338</v>
      </c>
      <c r="R116" s="101" t="s">
        <v>338</v>
      </c>
    </row>
    <row r="117" spans="1:18">
      <c r="A117" s="97" t="str">
        <f t="shared" si="5"/>
        <v>EEUKCOM</v>
      </c>
      <c r="C117" s="100" t="s">
        <v>556</v>
      </c>
      <c r="D117" s="100" t="s">
        <v>557</v>
      </c>
      <c r="E117" s="100" t="s">
        <v>334</v>
      </c>
      <c r="F117" s="100" t="s">
        <v>335</v>
      </c>
      <c r="G117" s="101" t="s">
        <v>338</v>
      </c>
      <c r="H117" s="101" t="s">
        <v>338</v>
      </c>
      <c r="I117" s="101" t="s">
        <v>338</v>
      </c>
      <c r="J117" s="101" t="s">
        <v>338</v>
      </c>
      <c r="K117" s="101" t="s">
        <v>338</v>
      </c>
      <c r="L117" s="101" t="s">
        <v>338</v>
      </c>
      <c r="M117" s="101" t="s">
        <v>338</v>
      </c>
      <c r="N117" s="101" t="s">
        <v>338</v>
      </c>
      <c r="O117" s="101" t="s">
        <v>338</v>
      </c>
      <c r="P117" s="101" t="s">
        <v>338</v>
      </c>
      <c r="Q117" s="101" t="s">
        <v>338</v>
      </c>
      <c r="R117" s="101" t="s">
        <v>338</v>
      </c>
    </row>
    <row r="118" spans="1:18">
      <c r="A118" s="97" t="str">
        <f t="shared" si="5"/>
        <v>EEUKXX1</v>
      </c>
      <c r="C118" s="100" t="s">
        <v>558</v>
      </c>
      <c r="D118" s="100" t="s">
        <v>559</v>
      </c>
      <c r="E118" s="100" t="s">
        <v>334</v>
      </c>
      <c r="F118" s="100" t="s">
        <v>335</v>
      </c>
      <c r="G118" s="101" t="s">
        <v>338</v>
      </c>
      <c r="H118" s="101" t="s">
        <v>338</v>
      </c>
      <c r="I118" s="101" t="s">
        <v>338</v>
      </c>
      <c r="J118" s="101" t="s">
        <v>338</v>
      </c>
      <c r="K118" s="101" t="s">
        <v>338</v>
      </c>
      <c r="L118" s="101" t="s">
        <v>338</v>
      </c>
      <c r="M118" s="101" t="s">
        <v>338</v>
      </c>
      <c r="N118" s="101" t="s">
        <v>338</v>
      </c>
      <c r="O118" s="101" t="s">
        <v>338</v>
      </c>
      <c r="P118" s="101" t="s">
        <v>338</v>
      </c>
      <c r="Q118" s="101" t="s">
        <v>338</v>
      </c>
      <c r="R118" s="101" t="s">
        <v>338</v>
      </c>
    </row>
    <row r="119" spans="1:18">
      <c r="A119" s="97" t="str">
        <f t="shared" si="5"/>
        <v>EEUKXX2</v>
      </c>
      <c r="C119" s="100" t="s">
        <v>560</v>
      </c>
      <c r="D119" s="100" t="s">
        <v>561</v>
      </c>
      <c r="E119" s="100" t="s">
        <v>334</v>
      </c>
      <c r="F119" s="100" t="s">
        <v>335</v>
      </c>
      <c r="G119" s="101" t="s">
        <v>338</v>
      </c>
      <c r="H119" s="101" t="s">
        <v>338</v>
      </c>
      <c r="I119" s="101" t="s">
        <v>338</v>
      </c>
      <c r="J119" s="101" t="s">
        <v>338</v>
      </c>
      <c r="K119" s="101" t="s">
        <v>338</v>
      </c>
      <c r="L119" s="101" t="s">
        <v>338</v>
      </c>
      <c r="M119" s="101" t="s">
        <v>338</v>
      </c>
      <c r="N119" s="101" t="s">
        <v>338</v>
      </c>
      <c r="O119" s="101" t="s">
        <v>338</v>
      </c>
      <c r="P119" s="101" t="s">
        <v>338</v>
      </c>
      <c r="Q119" s="101" t="s">
        <v>338</v>
      </c>
      <c r="R119" s="101" t="s">
        <v>338</v>
      </c>
    </row>
    <row r="120" spans="1:18">
      <c r="A120" s="97" t="str">
        <f t="shared" si="5"/>
        <v>EEUKXX3</v>
      </c>
      <c r="C120" s="100" t="s">
        <v>562</v>
      </c>
      <c r="D120" s="100" t="s">
        <v>563</v>
      </c>
      <c r="E120" s="100" t="s">
        <v>334</v>
      </c>
      <c r="F120" s="100" t="s">
        <v>335</v>
      </c>
      <c r="G120" s="101" t="s">
        <v>338</v>
      </c>
      <c r="H120" s="101" t="s">
        <v>338</v>
      </c>
      <c r="I120" s="101" t="s">
        <v>338</v>
      </c>
      <c r="J120" s="101" t="s">
        <v>338</v>
      </c>
      <c r="K120" s="101" t="s">
        <v>338</v>
      </c>
      <c r="L120" s="101" t="s">
        <v>338</v>
      </c>
      <c r="M120" s="101" t="s">
        <v>338</v>
      </c>
      <c r="N120" s="101" t="s">
        <v>338</v>
      </c>
      <c r="O120" s="101" t="s">
        <v>338</v>
      </c>
      <c r="P120" s="101" t="s">
        <v>338</v>
      </c>
      <c r="Q120" s="101" t="s">
        <v>338</v>
      </c>
      <c r="R120" s="101" t="s">
        <v>338</v>
      </c>
    </row>
    <row r="121" spans="1:18">
      <c r="A121" s="97" t="str">
        <f t="shared" si="5"/>
        <v>EEUKXX4</v>
      </c>
      <c r="C121" s="100" t="s">
        <v>564</v>
      </c>
      <c r="D121" s="100" t="s">
        <v>565</v>
      </c>
      <c r="E121" s="100" t="s">
        <v>334</v>
      </c>
      <c r="F121" s="100" t="s">
        <v>335</v>
      </c>
      <c r="G121" s="101" t="s">
        <v>338</v>
      </c>
      <c r="H121" s="101" t="s">
        <v>338</v>
      </c>
      <c r="I121" s="101" t="s">
        <v>338</v>
      </c>
      <c r="J121" s="101" t="s">
        <v>338</v>
      </c>
      <c r="K121" s="101" t="s">
        <v>338</v>
      </c>
      <c r="L121" s="101" t="s">
        <v>338</v>
      </c>
      <c r="M121" s="101" t="s">
        <v>338</v>
      </c>
      <c r="N121" s="101" t="s">
        <v>338</v>
      </c>
      <c r="O121" s="101" t="s">
        <v>338</v>
      </c>
      <c r="P121" s="101" t="s">
        <v>338</v>
      </c>
      <c r="Q121" s="101" t="s">
        <v>338</v>
      </c>
      <c r="R121" s="101" t="s">
        <v>338</v>
      </c>
    </row>
    <row r="122" spans="1:18">
      <c r="A122" s="97" t="str">
        <f t="shared" si="5"/>
        <v>EEUKXX5</v>
      </c>
      <c r="C122" s="100" t="s">
        <v>566</v>
      </c>
      <c r="D122" s="100" t="s">
        <v>567</v>
      </c>
      <c r="E122" s="100" t="s">
        <v>334</v>
      </c>
      <c r="F122" s="100" t="s">
        <v>335</v>
      </c>
      <c r="G122" s="101" t="s">
        <v>338</v>
      </c>
      <c r="H122" s="101" t="s">
        <v>338</v>
      </c>
      <c r="I122" s="101" t="s">
        <v>338</v>
      </c>
      <c r="J122" s="101" t="s">
        <v>338</v>
      </c>
      <c r="K122" s="101" t="s">
        <v>338</v>
      </c>
      <c r="L122" s="101" t="s">
        <v>338</v>
      </c>
      <c r="M122" s="101" t="s">
        <v>338</v>
      </c>
      <c r="N122" s="101" t="s">
        <v>338</v>
      </c>
      <c r="O122" s="101" t="s">
        <v>338</v>
      </c>
      <c r="P122" s="101" t="s">
        <v>338</v>
      </c>
      <c r="Q122" s="101" t="s">
        <v>338</v>
      </c>
      <c r="R122" s="101" t="s">
        <v>338</v>
      </c>
    </row>
    <row r="123" spans="1:18">
      <c r="A123" s="97" t="str">
        <f t="shared" si="5"/>
        <v>EEUKXX6</v>
      </c>
      <c r="C123" s="100" t="s">
        <v>568</v>
      </c>
      <c r="D123" s="100" t="s">
        <v>569</v>
      </c>
      <c r="E123" s="100" t="s">
        <v>334</v>
      </c>
      <c r="F123" s="100" t="s">
        <v>335</v>
      </c>
      <c r="G123" s="101" t="s">
        <v>338</v>
      </c>
      <c r="H123" s="101" t="s">
        <v>338</v>
      </c>
      <c r="I123" s="101" t="s">
        <v>338</v>
      </c>
      <c r="J123" s="101" t="s">
        <v>338</v>
      </c>
      <c r="K123" s="101" t="s">
        <v>338</v>
      </c>
      <c r="L123" s="101" t="s">
        <v>338</v>
      </c>
      <c r="M123" s="101" t="s">
        <v>338</v>
      </c>
      <c r="N123" s="101" t="s">
        <v>338</v>
      </c>
      <c r="O123" s="101" t="s">
        <v>338</v>
      </c>
      <c r="P123" s="101" t="s">
        <v>338</v>
      </c>
      <c r="Q123" s="101" t="s">
        <v>338</v>
      </c>
      <c r="R123" s="101" t="s">
        <v>338</v>
      </c>
    </row>
    <row r="124" spans="1:18">
      <c r="A124" s="97" t="str">
        <f t="shared" si="5"/>
        <v>EEUKXX7</v>
      </c>
      <c r="C124" s="100" t="s">
        <v>570</v>
      </c>
      <c r="D124" s="100" t="s">
        <v>571</v>
      </c>
      <c r="E124" s="100" t="s">
        <v>334</v>
      </c>
      <c r="F124" s="100" t="s">
        <v>335</v>
      </c>
      <c r="G124" s="101" t="s">
        <v>338</v>
      </c>
      <c r="H124" s="101" t="s">
        <v>338</v>
      </c>
      <c r="I124" s="101" t="s">
        <v>338</v>
      </c>
      <c r="J124" s="101" t="s">
        <v>338</v>
      </c>
      <c r="K124" s="101" t="s">
        <v>338</v>
      </c>
      <c r="L124" s="101" t="s">
        <v>338</v>
      </c>
      <c r="M124" s="101" t="s">
        <v>338</v>
      </c>
      <c r="N124" s="101" t="s">
        <v>338</v>
      </c>
      <c r="O124" s="101" t="s">
        <v>338</v>
      </c>
      <c r="P124" s="101" t="s">
        <v>338</v>
      </c>
      <c r="Q124" s="101" t="s">
        <v>338</v>
      </c>
      <c r="R124" s="101" t="s">
        <v>338</v>
      </c>
    </row>
    <row r="125" spans="1:18">
      <c r="A125" s="97" t="str">
        <f t="shared" si="5"/>
        <v>EEUKEPT</v>
      </c>
      <c r="C125" s="100" t="s">
        <v>572</v>
      </c>
      <c r="D125" s="100" t="s">
        <v>573</v>
      </c>
      <c r="E125" s="100" t="s">
        <v>334</v>
      </c>
      <c r="F125" s="100" t="s">
        <v>335</v>
      </c>
      <c r="G125" s="101" t="s">
        <v>338</v>
      </c>
      <c r="H125" s="101" t="s">
        <v>338</v>
      </c>
      <c r="I125" s="101" t="s">
        <v>338</v>
      </c>
      <c r="J125" s="101" t="s">
        <v>338</v>
      </c>
      <c r="K125" s="101" t="s">
        <v>338</v>
      </c>
      <c r="L125" s="101" t="s">
        <v>338</v>
      </c>
      <c r="M125" s="101" t="s">
        <v>338</v>
      </c>
      <c r="N125" s="101" t="s">
        <v>338</v>
      </c>
      <c r="O125" s="101" t="s">
        <v>338</v>
      </c>
      <c r="P125" s="101" t="s">
        <v>338</v>
      </c>
      <c r="Q125" s="101" t="s">
        <v>338</v>
      </c>
      <c r="R125" s="101" t="s">
        <v>338</v>
      </c>
    </row>
    <row r="126" spans="1:18">
      <c r="A126" s="97" t="str">
        <f t="shared" si="5"/>
        <v>EEUKXX8</v>
      </c>
      <c r="C126" s="100" t="s">
        <v>574</v>
      </c>
      <c r="D126" s="100" t="s">
        <v>575</v>
      </c>
      <c r="E126" s="100" t="s">
        <v>334</v>
      </c>
      <c r="F126" s="100" t="s">
        <v>335</v>
      </c>
      <c r="G126" s="101" t="s">
        <v>338</v>
      </c>
      <c r="H126" s="101" t="s">
        <v>338</v>
      </c>
      <c r="I126" s="101" t="s">
        <v>338</v>
      </c>
      <c r="J126" s="101" t="s">
        <v>338</v>
      </c>
      <c r="K126" s="101" t="s">
        <v>338</v>
      </c>
      <c r="L126" s="101" t="s">
        <v>338</v>
      </c>
      <c r="M126" s="101" t="s">
        <v>338</v>
      </c>
      <c r="N126" s="101" t="s">
        <v>338</v>
      </c>
      <c r="O126" s="101" t="s">
        <v>338</v>
      </c>
      <c r="P126" s="101" t="s">
        <v>338</v>
      </c>
      <c r="Q126" s="101" t="s">
        <v>338</v>
      </c>
      <c r="R126" s="101" t="s">
        <v>338</v>
      </c>
    </row>
    <row r="127" spans="1:18">
      <c r="A127" s="97" t="str">
        <f t="shared" si="5"/>
        <v>EEUKXX9</v>
      </c>
      <c r="C127" s="100" t="s">
        <v>576</v>
      </c>
      <c r="D127" s="100" t="s">
        <v>577</v>
      </c>
      <c r="E127" s="100" t="s">
        <v>334</v>
      </c>
      <c r="F127" s="100" t="s">
        <v>335</v>
      </c>
      <c r="G127" s="101" t="s">
        <v>338</v>
      </c>
      <c r="H127" s="101" t="s">
        <v>338</v>
      </c>
      <c r="I127" s="101" t="s">
        <v>338</v>
      </c>
      <c r="J127" s="101" t="s">
        <v>338</v>
      </c>
      <c r="K127" s="101" t="s">
        <v>338</v>
      </c>
      <c r="L127" s="101" t="s">
        <v>338</v>
      </c>
      <c r="M127" s="101" t="s">
        <v>338</v>
      </c>
      <c r="N127" s="101" t="s">
        <v>338</v>
      </c>
      <c r="O127" s="101" t="s">
        <v>338</v>
      </c>
      <c r="P127" s="101" t="s">
        <v>338</v>
      </c>
      <c r="Q127" s="101" t="s">
        <v>338</v>
      </c>
      <c r="R127" s="101" t="s">
        <v>338</v>
      </c>
    </row>
    <row r="128" spans="1:18">
      <c r="A128" s="97" t="str">
        <f t="shared" si="5"/>
        <v>EEUKSIT</v>
      </c>
      <c r="C128" s="100" t="s">
        <v>578</v>
      </c>
      <c r="D128" s="100" t="s">
        <v>579</v>
      </c>
      <c r="E128" s="100" t="s">
        <v>334</v>
      </c>
      <c r="F128" s="100" t="s">
        <v>335</v>
      </c>
      <c r="G128" s="101" t="s">
        <v>338</v>
      </c>
      <c r="H128" s="101" t="s">
        <v>338</v>
      </c>
      <c r="I128" s="101" t="s">
        <v>338</v>
      </c>
      <c r="J128" s="101" t="s">
        <v>338</v>
      </c>
      <c r="K128" s="101" t="s">
        <v>338</v>
      </c>
      <c r="L128" s="101" t="s">
        <v>338</v>
      </c>
      <c r="M128" s="101" t="s">
        <v>338</v>
      </c>
      <c r="N128" s="101" t="s">
        <v>338</v>
      </c>
      <c r="O128" s="101" t="s">
        <v>338</v>
      </c>
      <c r="P128" s="101" t="s">
        <v>338</v>
      </c>
      <c r="Q128" s="101" t="s">
        <v>338</v>
      </c>
      <c r="R128" s="101" t="s">
        <v>338</v>
      </c>
    </row>
    <row r="129" spans="1:18">
      <c r="A129" s="97" t="str">
        <f t="shared" si="5"/>
        <v>EEUKSD9</v>
      </c>
      <c r="C129" s="100" t="s">
        <v>580</v>
      </c>
      <c r="D129" s="100" t="s">
        <v>581</v>
      </c>
      <c r="E129" s="100" t="s">
        <v>334</v>
      </c>
      <c r="F129" s="100" t="s">
        <v>335</v>
      </c>
      <c r="G129" s="101" t="s">
        <v>338</v>
      </c>
      <c r="H129" s="101" t="s">
        <v>338</v>
      </c>
      <c r="I129" s="101" t="s">
        <v>338</v>
      </c>
      <c r="J129" s="101" t="s">
        <v>338</v>
      </c>
      <c r="K129" s="101" t="s">
        <v>338</v>
      </c>
      <c r="L129" s="101" t="s">
        <v>338</v>
      </c>
      <c r="M129" s="101" t="s">
        <v>338</v>
      </c>
      <c r="N129" s="101" t="s">
        <v>338</v>
      </c>
      <c r="O129" s="101" t="s">
        <v>338</v>
      </c>
      <c r="P129" s="101" t="s">
        <v>338</v>
      </c>
      <c r="Q129" s="101" t="s">
        <v>338</v>
      </c>
      <c r="R129" s="101" t="s">
        <v>338</v>
      </c>
    </row>
    <row r="130" spans="1:18">
      <c r="A130" s="97" t="str">
        <f t="shared" si="5"/>
        <v>EEUKEVA</v>
      </c>
      <c r="C130" s="100" t="s">
        <v>582</v>
      </c>
      <c r="D130" s="100" t="s">
        <v>583</v>
      </c>
      <c r="E130" s="100" t="s">
        <v>334</v>
      </c>
      <c r="F130" s="100" t="s">
        <v>335</v>
      </c>
      <c r="G130" s="101" t="s">
        <v>338</v>
      </c>
      <c r="H130" s="101" t="s">
        <v>338</v>
      </c>
      <c r="I130" s="101" t="s">
        <v>338</v>
      </c>
      <c r="J130" s="101" t="s">
        <v>338</v>
      </c>
      <c r="K130" s="101" t="s">
        <v>338</v>
      </c>
      <c r="L130" s="101" t="s">
        <v>338</v>
      </c>
      <c r="M130" s="101" t="s">
        <v>338</v>
      </c>
      <c r="N130" s="101" t="s">
        <v>338</v>
      </c>
      <c r="O130" s="101" t="s">
        <v>338</v>
      </c>
      <c r="P130" s="101" t="s">
        <v>338</v>
      </c>
      <c r="Q130" s="101" t="s">
        <v>338</v>
      </c>
      <c r="R130" s="101" t="s">
        <v>338</v>
      </c>
    </row>
    <row r="131" spans="1:18">
      <c r="A131" s="97" t="str">
        <f t="shared" si="5"/>
        <v>EEUKGDI</v>
      </c>
      <c r="C131" s="100" t="s">
        <v>584</v>
      </c>
      <c r="D131" s="100" t="s">
        <v>585</v>
      </c>
      <c r="E131" s="100" t="s">
        <v>334</v>
      </c>
      <c r="F131" s="100" t="s">
        <v>335</v>
      </c>
      <c r="G131" s="101" t="s">
        <v>338</v>
      </c>
      <c r="H131" s="101" t="s">
        <v>338</v>
      </c>
      <c r="I131" s="101" t="s">
        <v>338</v>
      </c>
      <c r="J131" s="101" t="s">
        <v>338</v>
      </c>
      <c r="K131" s="101" t="s">
        <v>338</v>
      </c>
      <c r="L131" s="101" t="s">
        <v>338</v>
      </c>
      <c r="M131" s="101" t="s">
        <v>338</v>
      </c>
      <c r="N131" s="101" t="s">
        <v>338</v>
      </c>
      <c r="O131" s="101" t="s">
        <v>338</v>
      </c>
      <c r="P131" s="101" t="s">
        <v>338</v>
      </c>
      <c r="Q131" s="101" t="s">
        <v>338</v>
      </c>
      <c r="R131" s="101" t="s">
        <v>338</v>
      </c>
    </row>
    <row r="132" spans="1:18">
      <c r="A132" s="97" t="str">
        <f t="shared" si="5"/>
        <v>EEUKHNT</v>
      </c>
      <c r="C132" s="100" t="s">
        <v>586</v>
      </c>
      <c r="D132" s="100" t="s">
        <v>587</v>
      </c>
      <c r="E132" s="100" t="s">
        <v>334</v>
      </c>
      <c r="F132" s="100" t="s">
        <v>335</v>
      </c>
      <c r="G132" s="101" t="s">
        <v>338</v>
      </c>
      <c r="H132" s="101" t="s">
        <v>338</v>
      </c>
      <c r="I132" s="101" t="s">
        <v>338</v>
      </c>
      <c r="J132" s="101" t="s">
        <v>338</v>
      </c>
      <c r="K132" s="101" t="s">
        <v>338</v>
      </c>
      <c r="L132" s="101" t="s">
        <v>338</v>
      </c>
      <c r="M132" s="101" t="s">
        <v>338</v>
      </c>
      <c r="N132" s="101" t="s">
        <v>338</v>
      </c>
      <c r="O132" s="101" t="s">
        <v>338</v>
      </c>
      <c r="P132" s="101" t="s">
        <v>338</v>
      </c>
      <c r="Q132" s="101" t="s">
        <v>338</v>
      </c>
      <c r="R132" s="101" t="s">
        <v>338</v>
      </c>
    </row>
    <row r="133" spans="1:18">
      <c r="A133" s="97" t="str">
        <f t="shared" si="5"/>
        <v>EEUKPET</v>
      </c>
      <c r="C133" s="100" t="s">
        <v>588</v>
      </c>
      <c r="D133" s="100" t="s">
        <v>589</v>
      </c>
      <c r="E133" s="100" t="s">
        <v>334</v>
      </c>
      <c r="F133" s="100" t="s">
        <v>335</v>
      </c>
      <c r="G133" s="101" t="s">
        <v>338</v>
      </c>
      <c r="H133" s="101" t="s">
        <v>338</v>
      </c>
      <c r="I133" s="101" t="s">
        <v>338</v>
      </c>
      <c r="J133" s="101" t="s">
        <v>338</v>
      </c>
      <c r="K133" s="101" t="s">
        <v>338</v>
      </c>
      <c r="L133" s="101" t="s">
        <v>338</v>
      </c>
      <c r="M133" s="101" t="s">
        <v>338</v>
      </c>
      <c r="N133" s="101" t="s">
        <v>338</v>
      </c>
      <c r="O133" s="101" t="s">
        <v>338</v>
      </c>
      <c r="P133" s="101" t="s">
        <v>338</v>
      </c>
      <c r="Q133" s="101" t="s">
        <v>338</v>
      </c>
      <c r="R133" s="101" t="s">
        <v>338</v>
      </c>
    </row>
    <row r="134" spans="1:18">
      <c r="A134" s="97" t="str">
        <f t="shared" ref="A134:A159" si="6">N_SUBSIDIARY&amp;C134</f>
        <v>EEUKZDZ</v>
      </c>
      <c r="C134" s="100" t="s">
        <v>590</v>
      </c>
      <c r="D134" s="100" t="s">
        <v>591</v>
      </c>
      <c r="E134" s="100" t="s">
        <v>334</v>
      </c>
      <c r="F134" s="100" t="s">
        <v>335</v>
      </c>
      <c r="G134" s="101" t="s">
        <v>338</v>
      </c>
      <c r="H134" s="101" t="s">
        <v>338</v>
      </c>
      <c r="I134" s="101" t="s">
        <v>338</v>
      </c>
      <c r="J134" s="101" t="s">
        <v>338</v>
      </c>
      <c r="K134" s="101" t="s">
        <v>338</v>
      </c>
      <c r="L134" s="101" t="s">
        <v>338</v>
      </c>
      <c r="M134" s="101" t="s">
        <v>338</v>
      </c>
      <c r="N134" s="101" t="s">
        <v>338</v>
      </c>
      <c r="O134" s="101" t="s">
        <v>338</v>
      </c>
      <c r="P134" s="101" t="s">
        <v>338</v>
      </c>
      <c r="Q134" s="101" t="s">
        <v>338</v>
      </c>
      <c r="R134" s="101" t="s">
        <v>338</v>
      </c>
    </row>
    <row r="135" spans="1:18">
      <c r="A135" s="97" t="str">
        <f t="shared" si="6"/>
        <v>EEUKCTT</v>
      </c>
      <c r="C135" s="100" t="s">
        <v>592</v>
      </c>
      <c r="D135" s="100" t="s">
        <v>593</v>
      </c>
      <c r="E135" s="100" t="s">
        <v>334</v>
      </c>
      <c r="F135" s="100" t="s">
        <v>335</v>
      </c>
      <c r="G135" s="101" t="s">
        <v>338</v>
      </c>
      <c r="H135" s="101" t="s">
        <v>338</v>
      </c>
      <c r="I135" s="101" t="s">
        <v>338</v>
      </c>
      <c r="J135" s="101" t="s">
        <v>338</v>
      </c>
      <c r="K135" s="101" t="s">
        <v>338</v>
      </c>
      <c r="L135" s="101" t="s">
        <v>338</v>
      </c>
      <c r="M135" s="101" t="s">
        <v>338</v>
      </c>
      <c r="N135" s="101" t="s">
        <v>338</v>
      </c>
      <c r="O135" s="101" t="s">
        <v>338</v>
      </c>
      <c r="P135" s="101" t="s">
        <v>338</v>
      </c>
      <c r="Q135" s="101" t="s">
        <v>338</v>
      </c>
      <c r="R135" s="101" t="s">
        <v>338</v>
      </c>
    </row>
    <row r="136" spans="1:18">
      <c r="A136" s="97" t="str">
        <f t="shared" si="6"/>
        <v>EEUKPPT</v>
      </c>
      <c r="C136" s="100" t="s">
        <v>594</v>
      </c>
      <c r="D136" s="100" t="s">
        <v>595</v>
      </c>
      <c r="E136" s="100" t="s">
        <v>334</v>
      </c>
      <c r="F136" s="100" t="s">
        <v>335</v>
      </c>
      <c r="G136" s="101" t="s">
        <v>338</v>
      </c>
      <c r="H136" s="101" t="s">
        <v>338</v>
      </c>
      <c r="I136" s="101" t="s">
        <v>338</v>
      </c>
      <c r="J136" s="101" t="s">
        <v>338</v>
      </c>
      <c r="K136" s="101" t="s">
        <v>338</v>
      </c>
      <c r="L136" s="101" t="s">
        <v>338</v>
      </c>
      <c r="M136" s="101" t="s">
        <v>338</v>
      </c>
      <c r="N136" s="101" t="s">
        <v>338</v>
      </c>
      <c r="O136" s="101" t="s">
        <v>338</v>
      </c>
      <c r="P136" s="101" t="s">
        <v>338</v>
      </c>
      <c r="Q136" s="101" t="s">
        <v>338</v>
      </c>
      <c r="R136" s="101" t="s">
        <v>338</v>
      </c>
    </row>
    <row r="137" spans="1:18">
      <c r="A137" s="97" t="str">
        <f t="shared" si="6"/>
        <v>EEUKPDT</v>
      </c>
      <c r="C137" s="100" t="s">
        <v>596</v>
      </c>
      <c r="D137" s="100" t="s">
        <v>597</v>
      </c>
      <c r="E137" s="100" t="s">
        <v>334</v>
      </c>
      <c r="F137" s="100" t="s">
        <v>335</v>
      </c>
      <c r="G137" s="101" t="s">
        <v>338</v>
      </c>
      <c r="H137" s="101" t="s">
        <v>338</v>
      </c>
      <c r="I137" s="101" t="s">
        <v>338</v>
      </c>
      <c r="J137" s="101" t="s">
        <v>338</v>
      </c>
      <c r="K137" s="101" t="s">
        <v>338</v>
      </c>
      <c r="L137" s="101" t="s">
        <v>338</v>
      </c>
      <c r="M137" s="101" t="s">
        <v>338</v>
      </c>
      <c r="N137" s="101" t="s">
        <v>338</v>
      </c>
      <c r="O137" s="101" t="s">
        <v>338</v>
      </c>
      <c r="P137" s="101" t="s">
        <v>338</v>
      </c>
      <c r="Q137" s="101" t="s">
        <v>338</v>
      </c>
      <c r="R137" s="101" t="s">
        <v>338</v>
      </c>
    </row>
    <row r="138" spans="1:18">
      <c r="A138" s="97" t="str">
        <f t="shared" si="6"/>
        <v>EEUKPRT</v>
      </c>
      <c r="C138" s="100" t="s">
        <v>598</v>
      </c>
      <c r="D138" s="100" t="s">
        <v>599</v>
      </c>
      <c r="E138" s="100" t="s">
        <v>334</v>
      </c>
      <c r="F138" s="100" t="s">
        <v>335</v>
      </c>
      <c r="G138" s="101" t="s">
        <v>338</v>
      </c>
      <c r="H138" s="101" t="s">
        <v>338</v>
      </c>
      <c r="I138" s="101" t="s">
        <v>338</v>
      </c>
      <c r="J138" s="101" t="s">
        <v>338</v>
      </c>
      <c r="K138" s="101" t="s">
        <v>338</v>
      </c>
      <c r="L138" s="101" t="s">
        <v>338</v>
      </c>
      <c r="M138" s="101" t="s">
        <v>338</v>
      </c>
      <c r="N138" s="101" t="s">
        <v>338</v>
      </c>
      <c r="O138" s="101" t="s">
        <v>338</v>
      </c>
      <c r="P138" s="101" t="s">
        <v>338</v>
      </c>
      <c r="Q138" s="101" t="s">
        <v>338</v>
      </c>
      <c r="R138" s="101" t="s">
        <v>338</v>
      </c>
    </row>
    <row r="139" spans="1:18">
      <c r="A139" s="97" t="str">
        <f t="shared" si="6"/>
        <v>EEUKXXA</v>
      </c>
      <c r="C139" s="100" t="s">
        <v>600</v>
      </c>
      <c r="D139" s="100" t="s">
        <v>601</v>
      </c>
      <c r="E139" s="100" t="s">
        <v>334</v>
      </c>
      <c r="F139" s="100" t="s">
        <v>335</v>
      </c>
      <c r="G139" s="101" t="s">
        <v>338</v>
      </c>
      <c r="H139" s="101" t="s">
        <v>338</v>
      </c>
      <c r="I139" s="101" t="s">
        <v>338</v>
      </c>
      <c r="J139" s="101" t="s">
        <v>338</v>
      </c>
      <c r="K139" s="101" t="s">
        <v>338</v>
      </c>
      <c r="L139" s="101" t="s">
        <v>338</v>
      </c>
      <c r="M139" s="101" t="s">
        <v>338</v>
      </c>
      <c r="N139" s="101" t="s">
        <v>338</v>
      </c>
      <c r="O139" s="101" t="s">
        <v>338</v>
      </c>
      <c r="P139" s="101" t="s">
        <v>338</v>
      </c>
      <c r="Q139" s="101" t="s">
        <v>338</v>
      </c>
      <c r="R139" s="101" t="s">
        <v>338</v>
      </c>
    </row>
    <row r="140" spans="1:18">
      <c r="A140" s="97" t="str">
        <f t="shared" si="6"/>
        <v>EEUKXXB</v>
      </c>
      <c r="C140" s="100" t="s">
        <v>602</v>
      </c>
      <c r="D140" s="100" t="s">
        <v>603</v>
      </c>
      <c r="E140" s="100" t="s">
        <v>334</v>
      </c>
      <c r="F140" s="100" t="s">
        <v>335</v>
      </c>
      <c r="G140" s="101" t="s">
        <v>338</v>
      </c>
      <c r="H140" s="101" t="s">
        <v>338</v>
      </c>
      <c r="I140" s="101" t="s">
        <v>338</v>
      </c>
      <c r="J140" s="101" t="s">
        <v>338</v>
      </c>
      <c r="K140" s="101" t="s">
        <v>338</v>
      </c>
      <c r="L140" s="101" t="s">
        <v>338</v>
      </c>
      <c r="M140" s="101" t="s">
        <v>338</v>
      </c>
      <c r="N140" s="101" t="s">
        <v>338</v>
      </c>
      <c r="O140" s="101" t="s">
        <v>338</v>
      </c>
      <c r="P140" s="101" t="s">
        <v>338</v>
      </c>
      <c r="Q140" s="101" t="s">
        <v>338</v>
      </c>
      <c r="R140" s="101" t="s">
        <v>338</v>
      </c>
    </row>
    <row r="141" spans="1:18">
      <c r="A141" s="97" t="str">
        <f t="shared" si="6"/>
        <v>EEUKWW1</v>
      </c>
      <c r="C141" s="100" t="s">
        <v>604</v>
      </c>
      <c r="D141" s="100" t="s">
        <v>605</v>
      </c>
      <c r="E141" s="100" t="s">
        <v>334</v>
      </c>
      <c r="F141" s="100" t="s">
        <v>335</v>
      </c>
      <c r="G141" s="101" t="s">
        <v>338</v>
      </c>
      <c r="H141" s="101" t="s">
        <v>338</v>
      </c>
      <c r="I141" s="101" t="s">
        <v>338</v>
      </c>
      <c r="J141" s="101" t="s">
        <v>338</v>
      </c>
      <c r="K141" s="101" t="s">
        <v>338</v>
      </c>
      <c r="L141" s="101" t="s">
        <v>338</v>
      </c>
      <c r="M141" s="101" t="s">
        <v>338</v>
      </c>
      <c r="N141" s="101" t="s">
        <v>338</v>
      </c>
      <c r="O141" s="101" t="s">
        <v>338</v>
      </c>
      <c r="P141" s="101" t="s">
        <v>338</v>
      </c>
      <c r="Q141" s="101" t="s">
        <v>338</v>
      </c>
      <c r="R141" s="101" t="s">
        <v>338</v>
      </c>
    </row>
    <row r="142" spans="1:18">
      <c r="A142" s="97" t="str">
        <f t="shared" si="6"/>
        <v>EEUKWW7</v>
      </c>
      <c r="C142" s="100" t="s">
        <v>606</v>
      </c>
      <c r="D142" s="100" t="s">
        <v>607</v>
      </c>
      <c r="E142" s="100" t="s">
        <v>334</v>
      </c>
      <c r="F142" s="100" t="s">
        <v>335</v>
      </c>
      <c r="G142" s="101" t="s">
        <v>338</v>
      </c>
      <c r="H142" s="101" t="s">
        <v>338</v>
      </c>
      <c r="I142" s="101" t="s">
        <v>338</v>
      </c>
      <c r="J142" s="101" t="s">
        <v>338</v>
      </c>
      <c r="K142" s="101" t="s">
        <v>338</v>
      </c>
      <c r="L142" s="101" t="s">
        <v>338</v>
      </c>
      <c r="M142" s="101" t="s">
        <v>338</v>
      </c>
      <c r="N142" s="101" t="s">
        <v>338</v>
      </c>
      <c r="O142" s="101" t="s">
        <v>338</v>
      </c>
      <c r="P142" s="101" t="s">
        <v>338</v>
      </c>
      <c r="Q142" s="101" t="s">
        <v>338</v>
      </c>
      <c r="R142" s="101" t="s">
        <v>338</v>
      </c>
    </row>
    <row r="143" spans="1:18">
      <c r="A143" s="97" t="str">
        <f t="shared" si="6"/>
        <v>EEUKWW8</v>
      </c>
      <c r="C143" s="100" t="s">
        <v>608</v>
      </c>
      <c r="D143" s="100" t="s">
        <v>609</v>
      </c>
      <c r="E143" s="100" t="s">
        <v>334</v>
      </c>
      <c r="F143" s="100" t="s">
        <v>335</v>
      </c>
      <c r="G143" s="101" t="s">
        <v>338</v>
      </c>
      <c r="H143" s="101" t="s">
        <v>338</v>
      </c>
      <c r="I143" s="101" t="s">
        <v>338</v>
      </c>
      <c r="J143" s="101" t="s">
        <v>338</v>
      </c>
      <c r="K143" s="101" t="s">
        <v>338</v>
      </c>
      <c r="L143" s="101" t="s">
        <v>338</v>
      </c>
      <c r="M143" s="101" t="s">
        <v>338</v>
      </c>
      <c r="N143" s="101" t="s">
        <v>338</v>
      </c>
      <c r="O143" s="101" t="s">
        <v>338</v>
      </c>
      <c r="P143" s="101" t="s">
        <v>338</v>
      </c>
      <c r="Q143" s="101" t="s">
        <v>338</v>
      </c>
      <c r="R143" s="101" t="s">
        <v>338</v>
      </c>
    </row>
    <row r="144" spans="1:18">
      <c r="A144" s="97" t="str">
        <f t="shared" si="6"/>
        <v>EEUKWW9</v>
      </c>
      <c r="C144" s="100" t="s">
        <v>610</v>
      </c>
      <c r="D144" s="100" t="s">
        <v>611</v>
      </c>
      <c r="E144" s="100" t="s">
        <v>334</v>
      </c>
      <c r="F144" s="100" t="s">
        <v>335</v>
      </c>
      <c r="G144" s="101" t="s">
        <v>338</v>
      </c>
      <c r="H144" s="101" t="s">
        <v>338</v>
      </c>
      <c r="I144" s="101" t="s">
        <v>338</v>
      </c>
      <c r="J144" s="101" t="s">
        <v>338</v>
      </c>
      <c r="K144" s="101" t="s">
        <v>338</v>
      </c>
      <c r="L144" s="101" t="s">
        <v>338</v>
      </c>
      <c r="M144" s="101" t="s">
        <v>338</v>
      </c>
      <c r="N144" s="101" t="s">
        <v>338</v>
      </c>
      <c r="O144" s="101" t="s">
        <v>338</v>
      </c>
      <c r="P144" s="101" t="s">
        <v>338</v>
      </c>
      <c r="Q144" s="101" t="s">
        <v>338</v>
      </c>
      <c r="R144" s="101" t="s">
        <v>338</v>
      </c>
    </row>
    <row r="145" spans="1:18">
      <c r="A145" s="97" t="str">
        <f t="shared" si="6"/>
        <v>EEUK999</v>
      </c>
      <c r="C145" s="100" t="s">
        <v>612</v>
      </c>
      <c r="D145" s="100" t="s">
        <v>613</v>
      </c>
      <c r="E145" s="100" t="s">
        <v>334</v>
      </c>
      <c r="F145" s="100" t="s">
        <v>335</v>
      </c>
      <c r="G145" s="101" t="s">
        <v>338</v>
      </c>
      <c r="H145" s="101" t="s">
        <v>338</v>
      </c>
      <c r="I145" s="101" t="s">
        <v>338</v>
      </c>
      <c r="J145" s="101" t="s">
        <v>338</v>
      </c>
      <c r="K145" s="101" t="s">
        <v>338</v>
      </c>
      <c r="L145" s="101" t="s">
        <v>338</v>
      </c>
      <c r="M145" s="101" t="s">
        <v>338</v>
      </c>
      <c r="N145" s="101" t="s">
        <v>338</v>
      </c>
      <c r="O145" s="101" t="s">
        <v>338</v>
      </c>
      <c r="P145" s="101" t="s">
        <v>338</v>
      </c>
      <c r="Q145" s="101" t="s">
        <v>338</v>
      </c>
      <c r="R145" s="101" t="s">
        <v>338</v>
      </c>
    </row>
    <row r="146" spans="1:18">
      <c r="A146" s="97" t="str">
        <f t="shared" si="6"/>
        <v>EEUK</v>
      </c>
      <c r="C146" s="100"/>
      <c r="D146" s="100"/>
      <c r="E146" s="100" t="s">
        <v>222</v>
      </c>
      <c r="F146" s="100" t="s">
        <v>223</v>
      </c>
      <c r="G146" s="101" t="s">
        <v>224</v>
      </c>
      <c r="H146" s="101" t="s">
        <v>224</v>
      </c>
      <c r="I146" s="101" t="s">
        <v>224</v>
      </c>
      <c r="J146" s="101" t="s">
        <v>224</v>
      </c>
      <c r="K146" s="101" t="s">
        <v>224</v>
      </c>
      <c r="L146" s="101" t="s">
        <v>224</v>
      </c>
      <c r="M146" s="101" t="s">
        <v>224</v>
      </c>
      <c r="N146" s="101" t="s">
        <v>224</v>
      </c>
      <c r="O146" s="101" t="s">
        <v>224</v>
      </c>
      <c r="P146" s="101" t="s">
        <v>224</v>
      </c>
      <c r="Q146" s="101" t="s">
        <v>224</v>
      </c>
      <c r="R146" s="101" t="s">
        <v>224</v>
      </c>
    </row>
    <row r="147" spans="1:18">
      <c r="A147" s="97" t="str">
        <f t="shared" si="6"/>
        <v>EEUK*</v>
      </c>
      <c r="C147" s="100" t="s">
        <v>614</v>
      </c>
      <c r="D147" s="100" t="s">
        <v>614</v>
      </c>
      <c r="E147" s="100" t="s">
        <v>334</v>
      </c>
      <c r="F147" s="100" t="s">
        <v>335</v>
      </c>
      <c r="G147" s="101" t="s">
        <v>338</v>
      </c>
      <c r="H147" s="101" t="s">
        <v>338</v>
      </c>
      <c r="I147" s="101" t="s">
        <v>338</v>
      </c>
      <c r="J147" s="101" t="s">
        <v>338</v>
      </c>
      <c r="K147" s="101" t="s">
        <v>338</v>
      </c>
      <c r="L147" s="101" t="s">
        <v>338</v>
      </c>
      <c r="M147" s="101" t="s">
        <v>338</v>
      </c>
      <c r="N147" s="101" t="s">
        <v>338</v>
      </c>
      <c r="O147" s="101" t="s">
        <v>338</v>
      </c>
      <c r="P147" s="101" t="s">
        <v>338</v>
      </c>
      <c r="Q147" s="101" t="s">
        <v>338</v>
      </c>
      <c r="R147" s="101" t="s">
        <v>338</v>
      </c>
    </row>
    <row r="148" spans="1:18">
      <c r="A148" s="97" t="str">
        <f t="shared" si="6"/>
        <v>EEUKDZ</v>
      </c>
      <c r="C148" s="100" t="s">
        <v>615</v>
      </c>
      <c r="D148" s="100" t="s">
        <v>616</v>
      </c>
      <c r="E148" s="100" t="s">
        <v>334</v>
      </c>
      <c r="F148" s="100" t="s">
        <v>335</v>
      </c>
      <c r="G148" s="101" t="s">
        <v>338</v>
      </c>
      <c r="H148" s="101" t="s">
        <v>338</v>
      </c>
      <c r="I148" s="101" t="s">
        <v>338</v>
      </c>
      <c r="J148" s="101" t="s">
        <v>338</v>
      </c>
      <c r="K148" s="101" t="s">
        <v>338</v>
      </c>
      <c r="L148" s="101" t="s">
        <v>338</v>
      </c>
      <c r="M148" s="101" t="s">
        <v>338</v>
      </c>
      <c r="N148" s="101" t="s">
        <v>338</v>
      </c>
      <c r="O148" s="101" t="s">
        <v>338</v>
      </c>
      <c r="P148" s="101" t="s">
        <v>338</v>
      </c>
      <c r="Q148" s="101" t="s">
        <v>338</v>
      </c>
      <c r="R148" s="101" t="s">
        <v>338</v>
      </c>
    </row>
    <row r="149" spans="1:18">
      <c r="A149" s="97" t="str">
        <f t="shared" si="6"/>
        <v>EEUKZZ1</v>
      </c>
      <c r="C149" s="100" t="s">
        <v>617</v>
      </c>
      <c r="D149" s="100" t="s">
        <v>618</v>
      </c>
      <c r="E149" s="100" t="s">
        <v>334</v>
      </c>
      <c r="F149" s="100" t="s">
        <v>335</v>
      </c>
      <c r="G149" s="101" t="s">
        <v>338</v>
      </c>
      <c r="H149" s="101" t="s">
        <v>338</v>
      </c>
      <c r="I149" s="101" t="s">
        <v>338</v>
      </c>
      <c r="J149" s="101" t="s">
        <v>338</v>
      </c>
      <c r="K149" s="101" t="s">
        <v>338</v>
      </c>
      <c r="L149" s="101" t="s">
        <v>338</v>
      </c>
      <c r="M149" s="101" t="s">
        <v>338</v>
      </c>
      <c r="N149" s="101" t="s">
        <v>338</v>
      </c>
      <c r="O149" s="101" t="s">
        <v>338</v>
      </c>
      <c r="P149" s="101" t="s">
        <v>338</v>
      </c>
      <c r="Q149" s="101" t="s">
        <v>338</v>
      </c>
      <c r="R149" s="101" t="s">
        <v>338</v>
      </c>
    </row>
    <row r="150" spans="1:18">
      <c r="A150" s="97" t="str">
        <f t="shared" si="6"/>
        <v>EEUKZZ2</v>
      </c>
      <c r="C150" s="100" t="s">
        <v>619</v>
      </c>
      <c r="D150" s="100" t="s">
        <v>620</v>
      </c>
      <c r="E150" s="100" t="s">
        <v>334</v>
      </c>
      <c r="F150" s="100" t="s">
        <v>335</v>
      </c>
      <c r="G150" s="101" t="s">
        <v>338</v>
      </c>
      <c r="H150" s="101" t="s">
        <v>338</v>
      </c>
      <c r="I150" s="101" t="s">
        <v>338</v>
      </c>
      <c r="J150" s="101" t="s">
        <v>338</v>
      </c>
      <c r="K150" s="101" t="s">
        <v>338</v>
      </c>
      <c r="L150" s="101" t="s">
        <v>338</v>
      </c>
      <c r="M150" s="101" t="s">
        <v>338</v>
      </c>
      <c r="N150" s="101" t="s">
        <v>338</v>
      </c>
      <c r="O150" s="101" t="s">
        <v>338</v>
      </c>
      <c r="P150" s="101" t="s">
        <v>338</v>
      </c>
      <c r="Q150" s="101" t="s">
        <v>338</v>
      </c>
      <c r="R150" s="101" t="s">
        <v>338</v>
      </c>
    </row>
    <row r="151" spans="1:18">
      <c r="A151" s="97" t="str">
        <f t="shared" si="6"/>
        <v>EEUKZZ3</v>
      </c>
      <c r="C151" s="100" t="s">
        <v>621</v>
      </c>
      <c r="D151" s="100" t="s">
        <v>622</v>
      </c>
      <c r="E151" s="100" t="s">
        <v>334</v>
      </c>
      <c r="F151" s="100" t="s">
        <v>335</v>
      </c>
      <c r="G151" s="101" t="s">
        <v>338</v>
      </c>
      <c r="H151" s="101" t="s">
        <v>338</v>
      </c>
      <c r="I151" s="101" t="s">
        <v>338</v>
      </c>
      <c r="J151" s="101" t="s">
        <v>338</v>
      </c>
      <c r="K151" s="101" t="s">
        <v>338</v>
      </c>
      <c r="L151" s="101" t="s">
        <v>338</v>
      </c>
      <c r="M151" s="101" t="s">
        <v>338</v>
      </c>
      <c r="N151" s="101" t="s">
        <v>338</v>
      </c>
      <c r="O151" s="101" t="s">
        <v>338</v>
      </c>
      <c r="P151" s="101" t="s">
        <v>338</v>
      </c>
      <c r="Q151" s="101" t="s">
        <v>338</v>
      </c>
      <c r="R151" s="101" t="s">
        <v>338</v>
      </c>
    </row>
    <row r="152" spans="1:18">
      <c r="A152" s="97" t="str">
        <f t="shared" si="6"/>
        <v>EEUKZZ4</v>
      </c>
      <c r="C152" s="100" t="s">
        <v>623</v>
      </c>
      <c r="D152" s="100" t="s">
        <v>624</v>
      </c>
      <c r="E152" s="100" t="s">
        <v>334</v>
      </c>
      <c r="F152" s="100" t="s">
        <v>335</v>
      </c>
      <c r="G152" s="101" t="s">
        <v>338</v>
      </c>
      <c r="H152" s="101" t="s">
        <v>338</v>
      </c>
      <c r="I152" s="101" t="s">
        <v>338</v>
      </c>
      <c r="J152" s="101" t="s">
        <v>338</v>
      </c>
      <c r="K152" s="101" t="s">
        <v>338</v>
      </c>
      <c r="L152" s="101" t="s">
        <v>338</v>
      </c>
      <c r="M152" s="101" t="s">
        <v>338</v>
      </c>
      <c r="N152" s="101" t="s">
        <v>338</v>
      </c>
      <c r="O152" s="101" t="s">
        <v>338</v>
      </c>
      <c r="P152" s="101" t="s">
        <v>338</v>
      </c>
      <c r="Q152" s="101" t="s">
        <v>338</v>
      </c>
      <c r="R152" s="101" t="s">
        <v>338</v>
      </c>
    </row>
    <row r="153" spans="1:18">
      <c r="A153" s="97" t="str">
        <f t="shared" si="6"/>
        <v>EEUKZZ5</v>
      </c>
      <c r="C153" s="100" t="s">
        <v>625</v>
      </c>
      <c r="D153" s="100" t="s">
        <v>626</v>
      </c>
      <c r="E153" s="100" t="s">
        <v>334</v>
      </c>
      <c r="F153" s="100" t="s">
        <v>335</v>
      </c>
      <c r="G153" s="101" t="s">
        <v>338</v>
      </c>
      <c r="H153" s="101" t="s">
        <v>338</v>
      </c>
      <c r="I153" s="101" t="s">
        <v>338</v>
      </c>
      <c r="J153" s="101" t="s">
        <v>338</v>
      </c>
      <c r="K153" s="101" t="s">
        <v>338</v>
      </c>
      <c r="L153" s="101" t="s">
        <v>338</v>
      </c>
      <c r="M153" s="101" t="s">
        <v>338</v>
      </c>
      <c r="N153" s="101" t="s">
        <v>338</v>
      </c>
      <c r="O153" s="101" t="s">
        <v>338</v>
      </c>
      <c r="P153" s="101" t="s">
        <v>338</v>
      </c>
      <c r="Q153" s="101" t="s">
        <v>338</v>
      </c>
      <c r="R153" s="101" t="s">
        <v>338</v>
      </c>
    </row>
    <row r="154" spans="1:18">
      <c r="A154" s="97" t="str">
        <f t="shared" si="6"/>
        <v>EEUKZZ6</v>
      </c>
      <c r="C154" s="100" t="s">
        <v>627</v>
      </c>
      <c r="D154" s="100" t="s">
        <v>628</v>
      </c>
      <c r="E154" s="100" t="s">
        <v>334</v>
      </c>
      <c r="F154" s="100" t="s">
        <v>335</v>
      </c>
      <c r="G154" s="101" t="s">
        <v>338</v>
      </c>
      <c r="H154" s="101" t="s">
        <v>338</v>
      </c>
      <c r="I154" s="101" t="s">
        <v>338</v>
      </c>
      <c r="J154" s="101" t="s">
        <v>338</v>
      </c>
      <c r="K154" s="101" t="s">
        <v>338</v>
      </c>
      <c r="L154" s="101" t="s">
        <v>338</v>
      </c>
      <c r="M154" s="101" t="s">
        <v>338</v>
      </c>
      <c r="N154" s="101" t="s">
        <v>338</v>
      </c>
      <c r="O154" s="101" t="s">
        <v>338</v>
      </c>
      <c r="P154" s="101" t="s">
        <v>338</v>
      </c>
      <c r="Q154" s="101" t="s">
        <v>338</v>
      </c>
      <c r="R154" s="101" t="s">
        <v>338</v>
      </c>
    </row>
    <row r="155" spans="1:18">
      <c r="A155" s="97" t="str">
        <f t="shared" si="6"/>
        <v>EEUKDSZ</v>
      </c>
      <c r="C155" s="100" t="s">
        <v>629</v>
      </c>
      <c r="D155" s="100" t="s">
        <v>630</v>
      </c>
      <c r="E155" s="100" t="s">
        <v>334</v>
      </c>
      <c r="F155" s="100" t="s">
        <v>335</v>
      </c>
      <c r="G155" s="101" t="s">
        <v>338</v>
      </c>
      <c r="H155" s="101" t="s">
        <v>338</v>
      </c>
      <c r="I155" s="101" t="s">
        <v>338</v>
      </c>
      <c r="J155" s="101" t="s">
        <v>338</v>
      </c>
      <c r="K155" s="101" t="s">
        <v>338</v>
      </c>
      <c r="L155" s="101" t="s">
        <v>338</v>
      </c>
      <c r="M155" s="101" t="s">
        <v>338</v>
      </c>
      <c r="N155" s="101" t="s">
        <v>338</v>
      </c>
      <c r="O155" s="101" t="s">
        <v>338</v>
      </c>
      <c r="P155" s="101" t="s">
        <v>338</v>
      </c>
      <c r="Q155" s="101" t="s">
        <v>338</v>
      </c>
      <c r="R155" s="101" t="s">
        <v>338</v>
      </c>
    </row>
    <row r="156" spans="1:18">
      <c r="A156" s="97" t="str">
        <f t="shared" si="6"/>
        <v>EEUKGZZ</v>
      </c>
      <c r="C156" s="100" t="s">
        <v>631</v>
      </c>
      <c r="D156" s="100" t="s">
        <v>632</v>
      </c>
      <c r="E156" s="100" t="s">
        <v>334</v>
      </c>
      <c r="F156" s="100" t="s">
        <v>335</v>
      </c>
      <c r="G156" s="101" t="s">
        <v>338</v>
      </c>
      <c r="H156" s="101" t="s">
        <v>338</v>
      </c>
      <c r="I156" s="101" t="s">
        <v>338</v>
      </c>
      <c r="J156" s="101" t="s">
        <v>338</v>
      </c>
      <c r="K156" s="101" t="s">
        <v>338</v>
      </c>
      <c r="L156" s="101" t="s">
        <v>338</v>
      </c>
      <c r="M156" s="101" t="s">
        <v>338</v>
      </c>
      <c r="N156" s="101" t="s">
        <v>338</v>
      </c>
      <c r="O156" s="101" t="s">
        <v>338</v>
      </c>
      <c r="P156" s="101" t="s">
        <v>338</v>
      </c>
      <c r="Q156" s="101" t="s">
        <v>338</v>
      </c>
      <c r="R156" s="101" t="s">
        <v>338</v>
      </c>
    </row>
    <row r="157" spans="1:18">
      <c r="A157" s="97" t="str">
        <f t="shared" si="6"/>
        <v>EEUKZA</v>
      </c>
      <c r="C157" s="100" t="s">
        <v>633</v>
      </c>
      <c r="D157" s="100" t="s">
        <v>634</v>
      </c>
      <c r="E157" s="100" t="s">
        <v>334</v>
      </c>
      <c r="F157" s="100" t="s">
        <v>335</v>
      </c>
      <c r="G157" s="101" t="s">
        <v>338</v>
      </c>
      <c r="H157" s="101" t="s">
        <v>338</v>
      </c>
      <c r="I157" s="101" t="s">
        <v>338</v>
      </c>
      <c r="J157" s="101" t="s">
        <v>338</v>
      </c>
      <c r="K157" s="101" t="s">
        <v>338</v>
      </c>
      <c r="L157" s="101" t="s">
        <v>338</v>
      </c>
      <c r="M157" s="101" t="s">
        <v>338</v>
      </c>
      <c r="N157" s="101" t="s">
        <v>338</v>
      </c>
      <c r="O157" s="101" t="s">
        <v>338</v>
      </c>
      <c r="P157" s="101" t="s">
        <v>338</v>
      </c>
      <c r="Q157" s="101" t="s">
        <v>338</v>
      </c>
      <c r="R157" s="101" t="s">
        <v>338</v>
      </c>
    </row>
    <row r="158" spans="1:18">
      <c r="A158" s="97" t="str">
        <f t="shared" si="6"/>
        <v>EEUKZGBU</v>
      </c>
      <c r="C158" s="100" t="s">
        <v>635</v>
      </c>
      <c r="D158" s="100" t="s">
        <v>636</v>
      </c>
      <c r="E158" s="100" t="s">
        <v>334</v>
      </c>
      <c r="F158" s="100" t="s">
        <v>335</v>
      </c>
      <c r="G158" s="101" t="s">
        <v>338</v>
      </c>
      <c r="H158" s="101" t="s">
        <v>338</v>
      </c>
      <c r="I158" s="101" t="s">
        <v>338</v>
      </c>
      <c r="J158" s="101" t="s">
        <v>338</v>
      </c>
      <c r="K158" s="101" t="s">
        <v>338</v>
      </c>
      <c r="L158" s="101" t="s">
        <v>338</v>
      </c>
      <c r="M158" s="101" t="s">
        <v>338</v>
      </c>
      <c r="N158" s="101" t="s">
        <v>338</v>
      </c>
      <c r="O158" s="101" t="s">
        <v>338</v>
      </c>
      <c r="P158" s="101" t="s">
        <v>338</v>
      </c>
      <c r="Q158" s="101" t="s">
        <v>338</v>
      </c>
      <c r="R158" s="101" t="s">
        <v>338</v>
      </c>
    </row>
    <row r="159" spans="1:18">
      <c r="A159" s="97" t="str">
        <f t="shared" si="6"/>
        <v>EEUKDivision</v>
      </c>
      <c r="C159" s="100" t="s">
        <v>637</v>
      </c>
      <c r="D159" s="100" t="s">
        <v>637</v>
      </c>
      <c r="E159" s="100" t="s">
        <v>334</v>
      </c>
      <c r="F159" s="100" t="s">
        <v>335</v>
      </c>
      <c r="G159" s="101">
        <v>24.548724891667042</v>
      </c>
      <c r="H159" s="101">
        <v>24.646056571065866</v>
      </c>
      <c r="I159" s="101">
        <v>25.772439271987825</v>
      </c>
      <c r="J159" s="101">
        <v>24.163001493539351</v>
      </c>
      <c r="K159" s="101">
        <v>24.287773028338282</v>
      </c>
      <c r="L159" s="101">
        <v>24.135249077283937</v>
      </c>
      <c r="M159" s="101">
        <v>24.364907772869294</v>
      </c>
      <c r="N159" s="101">
        <v>24.85442642665166</v>
      </c>
      <c r="O159" s="101">
        <v>25.201592464470711</v>
      </c>
      <c r="P159" s="101">
        <v>23.721420433235757</v>
      </c>
      <c r="Q159" s="101">
        <v>23.721108233588012</v>
      </c>
      <c r="R159" s="101">
        <v>24.196962617979477</v>
      </c>
    </row>
  </sheetData>
  <phoneticPr fontId="2" type="noConversion"/>
  <dataValidations count="1">
    <dataValidation type="list" allowBlank="1" showInputMessage="1" sqref="G3:M3">
      <formula1>"..."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B2:M53"/>
  <sheetViews>
    <sheetView showGridLines="0" zoomScale="85" zoomScaleNormal="85" workbookViewId="0">
      <selection activeCell="M19" sqref="M19"/>
    </sheetView>
  </sheetViews>
  <sheetFormatPr defaultRowHeight="16.5"/>
  <cols>
    <col min="2" max="2" width="14.75" customWidth="1"/>
    <col min="3" max="3" width="41.25" customWidth="1"/>
    <col min="4" max="4" width="30.625" customWidth="1"/>
    <col min="5" max="5" width="12.375" customWidth="1"/>
    <col min="6" max="6" width="17.375" customWidth="1"/>
    <col min="13" max="13" width="18.625" customWidth="1"/>
  </cols>
  <sheetData>
    <row r="2" spans="2:13">
      <c r="B2" s="15" t="s">
        <v>3</v>
      </c>
      <c r="C2" s="15"/>
      <c r="D2" s="15"/>
    </row>
    <row r="3" spans="2:13">
      <c r="B3" s="13" t="s">
        <v>43</v>
      </c>
      <c r="C3" s="13" t="s">
        <v>716</v>
      </c>
      <c r="D3" s="13" t="s">
        <v>48</v>
      </c>
    </row>
    <row r="4" spans="2:13">
      <c r="B4" s="13" t="s">
        <v>2</v>
      </c>
      <c r="C4" s="14">
        <v>201510</v>
      </c>
      <c r="D4" s="13" t="s">
        <v>49</v>
      </c>
    </row>
    <row r="5" spans="2:13">
      <c r="B5" s="13" t="s">
        <v>170</v>
      </c>
      <c r="C5" s="14"/>
      <c r="D5" s="13" t="s">
        <v>50</v>
      </c>
    </row>
    <row r="6" spans="2:13">
      <c r="B6" s="13" t="s">
        <v>171</v>
      </c>
      <c r="C6" s="14">
        <f>10^6</f>
        <v>1000000</v>
      </c>
      <c r="D6" s="13" t="s">
        <v>51</v>
      </c>
    </row>
    <row r="7" spans="2:13">
      <c r="B7" s="13" t="s">
        <v>4</v>
      </c>
      <c r="C7" s="16" t="s">
        <v>55</v>
      </c>
      <c r="D7" s="13" t="s">
        <v>52</v>
      </c>
    </row>
    <row r="8" spans="2:13">
      <c r="B8" s="13" t="s">
        <v>172</v>
      </c>
      <c r="C8" s="14" t="s">
        <v>54</v>
      </c>
      <c r="D8" s="13" t="s">
        <v>53</v>
      </c>
      <c r="L8" t="s">
        <v>137</v>
      </c>
    </row>
    <row r="9" spans="2:13">
      <c r="B9" s="13" t="s">
        <v>173</v>
      </c>
      <c r="C9" s="233" t="s">
        <v>312</v>
      </c>
      <c r="D9" s="13" t="s">
        <v>47</v>
      </c>
      <c r="H9" s="345" t="s">
        <v>136</v>
      </c>
      <c r="I9" s="345"/>
      <c r="J9" s="345"/>
      <c r="K9" s="345"/>
      <c r="L9" s="343" t="s">
        <v>138</v>
      </c>
      <c r="M9" s="344"/>
    </row>
    <row r="10" spans="2:13">
      <c r="B10" s="18" t="s">
        <v>174</v>
      </c>
      <c r="C10" s="19" t="s">
        <v>81</v>
      </c>
      <c r="D10" s="18" t="s">
        <v>56</v>
      </c>
      <c r="H10" s="345" t="s">
        <v>139</v>
      </c>
      <c r="I10" s="345"/>
      <c r="J10" s="345"/>
      <c r="K10" s="345"/>
      <c r="L10" s="343" t="s">
        <v>140</v>
      </c>
      <c r="M10" s="344"/>
    </row>
    <row r="11" spans="2:13">
      <c r="B11" s="18" t="s">
        <v>263</v>
      </c>
      <c r="C11" s="19" t="s">
        <v>303</v>
      </c>
      <c r="D11" s="18"/>
      <c r="H11" s="345" t="s">
        <v>143</v>
      </c>
      <c r="I11" s="345"/>
      <c r="J11" s="345"/>
      <c r="K11" s="345"/>
      <c r="L11" s="343" t="s">
        <v>141</v>
      </c>
      <c r="M11" s="344"/>
    </row>
    <row r="12" spans="2:13">
      <c r="B12" s="13" t="s">
        <v>191</v>
      </c>
      <c r="C12" s="13" t="s">
        <v>192</v>
      </c>
      <c r="D12" s="13"/>
      <c r="H12" s="345" t="s">
        <v>142</v>
      </c>
      <c r="I12" s="345"/>
      <c r="J12" s="345"/>
      <c r="K12" s="345"/>
      <c r="L12" s="343"/>
      <c r="M12" s="344"/>
    </row>
    <row r="13" spans="2:13">
      <c r="B13" s="13" t="s">
        <v>193</v>
      </c>
      <c r="C13" s="13"/>
      <c r="D13" s="13"/>
      <c r="H13" s="345" t="s">
        <v>144</v>
      </c>
      <c r="I13" s="345"/>
      <c r="J13" s="345"/>
      <c r="K13" s="345"/>
      <c r="L13" s="343"/>
      <c r="M13" s="344"/>
    </row>
    <row r="14" spans="2:13">
      <c r="B14" s="13" t="s">
        <v>194</v>
      </c>
      <c r="C14" s="13"/>
      <c r="D14" s="13"/>
      <c r="H14" s="345" t="s">
        <v>145</v>
      </c>
      <c r="I14" s="345"/>
      <c r="J14" s="345"/>
      <c r="K14" s="345"/>
      <c r="L14" s="343" t="s">
        <v>146</v>
      </c>
      <c r="M14" s="344"/>
    </row>
    <row r="15" spans="2:13">
      <c r="B15" s="242" t="s">
        <v>328</v>
      </c>
      <c r="C15" s="242" t="s">
        <v>329</v>
      </c>
      <c r="D15" s="242"/>
    </row>
    <row r="16" spans="2:13">
      <c r="B16" s="242" t="s">
        <v>330</v>
      </c>
      <c r="C16" s="242" t="s">
        <v>331</v>
      </c>
      <c r="D16" s="242"/>
    </row>
    <row r="17" spans="2:5">
      <c r="B17" s="339" t="s">
        <v>690</v>
      </c>
      <c r="C17" s="339" t="s">
        <v>692</v>
      </c>
      <c r="D17" s="339" t="s">
        <v>691</v>
      </c>
    </row>
    <row r="18" spans="2:5">
      <c r="B18" s="338"/>
      <c r="C18" s="338"/>
      <c r="D18" s="338"/>
    </row>
    <row r="19" spans="2:5">
      <c r="B19" t="s">
        <v>74</v>
      </c>
    </row>
    <row r="20" spans="2:5">
      <c r="B20" s="21" t="s">
        <v>82</v>
      </c>
      <c r="C20" s="21" t="s">
        <v>83</v>
      </c>
      <c r="D20" s="21" t="s">
        <v>84</v>
      </c>
    </row>
    <row r="21" spans="2:5">
      <c r="B21" s="13" t="s">
        <v>13</v>
      </c>
      <c r="C21" s="13" t="s">
        <v>58</v>
      </c>
      <c r="D21" s="13" t="s">
        <v>58</v>
      </c>
      <c r="E21" s="44" t="s">
        <v>85</v>
      </c>
    </row>
    <row r="22" spans="2:5">
      <c r="B22" s="13" t="s">
        <v>46</v>
      </c>
      <c r="C22" s="13" t="s">
        <v>86</v>
      </c>
      <c r="D22" s="13" t="s">
        <v>106</v>
      </c>
      <c r="E22" s="44" t="s">
        <v>85</v>
      </c>
    </row>
    <row r="23" spans="2:5">
      <c r="B23" s="13" t="s">
        <v>15</v>
      </c>
      <c r="C23" s="13" t="s">
        <v>68</v>
      </c>
      <c r="D23" s="13" t="s">
        <v>59</v>
      </c>
      <c r="E23" s="44" t="s">
        <v>85</v>
      </c>
    </row>
    <row r="24" spans="2:5">
      <c r="B24" s="13" t="s">
        <v>17</v>
      </c>
      <c r="C24" s="13" t="s">
        <v>60</v>
      </c>
      <c r="D24" s="13" t="s">
        <v>60</v>
      </c>
      <c r="E24" s="44" t="s">
        <v>85</v>
      </c>
    </row>
    <row r="25" spans="2:5">
      <c r="B25" s="13" t="s">
        <v>16</v>
      </c>
      <c r="C25" s="13" t="s">
        <v>69</v>
      </c>
      <c r="D25" s="13" t="s">
        <v>61</v>
      </c>
      <c r="E25" s="44" t="s">
        <v>85</v>
      </c>
    </row>
    <row r="26" spans="2:5">
      <c r="B26" s="13" t="s">
        <v>7</v>
      </c>
      <c r="C26" s="13" t="s">
        <v>70</v>
      </c>
      <c r="D26" s="13" t="s">
        <v>62</v>
      </c>
      <c r="E26" s="44" t="s">
        <v>85</v>
      </c>
    </row>
    <row r="27" spans="2:5">
      <c r="B27" s="13" t="s">
        <v>8</v>
      </c>
      <c r="C27" s="13" t="s">
        <v>71</v>
      </c>
      <c r="D27" s="13" t="s">
        <v>63</v>
      </c>
      <c r="E27" s="44" t="s">
        <v>85</v>
      </c>
    </row>
    <row r="28" spans="2:5">
      <c r="B28" s="13" t="s">
        <v>9</v>
      </c>
      <c r="C28" s="13" t="s">
        <v>64</v>
      </c>
      <c r="D28" s="13" t="s">
        <v>64</v>
      </c>
      <c r="E28" s="44" t="s">
        <v>85</v>
      </c>
    </row>
    <row r="29" spans="2:5">
      <c r="B29" s="13" t="s">
        <v>20</v>
      </c>
      <c r="C29" s="13" t="s">
        <v>65</v>
      </c>
      <c r="D29" s="13" t="s">
        <v>65</v>
      </c>
      <c r="E29" s="44" t="s">
        <v>85</v>
      </c>
    </row>
    <row r="30" spans="2:5">
      <c r="B30" s="13" t="s">
        <v>18</v>
      </c>
      <c r="C30" s="13" t="s">
        <v>72</v>
      </c>
      <c r="D30" s="13" t="s">
        <v>66</v>
      </c>
      <c r="E30" s="44" t="s">
        <v>85</v>
      </c>
    </row>
    <row r="31" spans="2:5">
      <c r="B31" s="13" t="s">
        <v>11</v>
      </c>
      <c r="C31" s="13" t="s">
        <v>67</v>
      </c>
      <c r="D31" s="13" t="s">
        <v>67</v>
      </c>
      <c r="E31" s="44" t="s">
        <v>85</v>
      </c>
    </row>
    <row r="32" spans="2:5">
      <c r="B32" s="45" t="s">
        <v>87</v>
      </c>
      <c r="C32" s="45" t="s">
        <v>88</v>
      </c>
      <c r="D32" s="45" t="s">
        <v>89</v>
      </c>
      <c r="E32" s="44" t="s">
        <v>90</v>
      </c>
    </row>
    <row r="33" spans="2:5">
      <c r="B33" s="45" t="s">
        <v>91</v>
      </c>
      <c r="C33" s="45" t="s">
        <v>92</v>
      </c>
      <c r="D33" s="45" t="s">
        <v>93</v>
      </c>
      <c r="E33" s="44" t="s">
        <v>90</v>
      </c>
    </row>
    <row r="34" spans="2:5">
      <c r="B34" s="45" t="s">
        <v>94</v>
      </c>
      <c r="C34" s="45" t="s">
        <v>95</v>
      </c>
      <c r="D34" s="45" t="s">
        <v>96</v>
      </c>
      <c r="E34" s="44" t="s">
        <v>90</v>
      </c>
    </row>
    <row r="35" spans="2:5">
      <c r="B35" s="45" t="s">
        <v>97</v>
      </c>
      <c r="C35" s="45" t="s">
        <v>98</v>
      </c>
      <c r="D35" s="45" t="s">
        <v>98</v>
      </c>
      <c r="E35" s="44" t="s">
        <v>90</v>
      </c>
    </row>
    <row r="36" spans="2:5">
      <c r="B36" s="45" t="s">
        <v>99</v>
      </c>
      <c r="C36" s="45" t="s">
        <v>100</v>
      </c>
      <c r="D36" s="45" t="s">
        <v>100</v>
      </c>
      <c r="E36" s="44" t="s">
        <v>90</v>
      </c>
    </row>
    <row r="37" spans="2:5">
      <c r="B37" s="45" t="s">
        <v>101</v>
      </c>
      <c r="C37" s="45" t="s">
        <v>102</v>
      </c>
      <c r="D37" s="45" t="s">
        <v>102</v>
      </c>
      <c r="E37" s="44" t="s">
        <v>90</v>
      </c>
    </row>
    <row r="38" spans="2:5">
      <c r="B38" s="45" t="s">
        <v>103</v>
      </c>
      <c r="C38" s="45" t="s">
        <v>104</v>
      </c>
      <c r="D38" s="45" t="s">
        <v>104</v>
      </c>
      <c r="E38" s="44" t="s">
        <v>90</v>
      </c>
    </row>
    <row r="41" spans="2:5" hidden="1"/>
    <row r="42" spans="2:5" hidden="1"/>
    <row r="43" spans="2:5" hidden="1"/>
    <row r="44" spans="2:5" hidden="1"/>
    <row r="45" spans="2:5" hidden="1"/>
    <row r="46" spans="2:5" hidden="1"/>
    <row r="47" spans="2:5" hidden="1"/>
    <row r="48" spans="2:5" hidden="1"/>
    <row r="51" spans="2:6">
      <c r="B51" t="s">
        <v>266</v>
      </c>
    </row>
    <row r="52" spans="2:6">
      <c r="B52" s="95" t="s">
        <v>195</v>
      </c>
      <c r="C52" s="95" t="s">
        <v>196</v>
      </c>
      <c r="D52" s="95" t="s">
        <v>197</v>
      </c>
      <c r="E52" s="95" t="s">
        <v>198</v>
      </c>
      <c r="F52" s="95" t="s">
        <v>199</v>
      </c>
    </row>
    <row r="53" spans="2:6">
      <c r="B53" s="96" t="s">
        <v>200</v>
      </c>
      <c r="C53" s="96" t="s">
        <v>201</v>
      </c>
      <c r="D53" s="96" t="s">
        <v>202</v>
      </c>
      <c r="E53" s="96" t="s">
        <v>200</v>
      </c>
      <c r="F53" s="96" t="s">
        <v>203</v>
      </c>
    </row>
  </sheetData>
  <mergeCells count="12">
    <mergeCell ref="L14:M14"/>
    <mergeCell ref="H9:K9"/>
    <mergeCell ref="H10:K10"/>
    <mergeCell ref="H11:K11"/>
    <mergeCell ref="H12:K12"/>
    <mergeCell ref="H13:K13"/>
    <mergeCell ref="H14:K14"/>
    <mergeCell ref="L9:M9"/>
    <mergeCell ref="L10:M10"/>
    <mergeCell ref="L11:M11"/>
    <mergeCell ref="L12:M12"/>
    <mergeCell ref="L13:M13"/>
  </mergeCells>
  <phoneticPr fontId="2" type="noConversion"/>
  <pageMargins left="0.7" right="0.7" top="0.75" bottom="0.75" header="0.3" footer="0.3"/>
  <pageSetup paperSize="9" orientation="portrait" r:id="rId1"/>
  <customProperties>
    <customPr name="Key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"/>
  <dimension ref="A1:E36"/>
  <sheetViews>
    <sheetView showGridLines="0" workbookViewId="0">
      <selection activeCell="A5" sqref="A5"/>
    </sheetView>
  </sheetViews>
  <sheetFormatPr defaultRowHeight="16.5"/>
  <cols>
    <col min="1" max="1" width="9.875" customWidth="1"/>
    <col min="2" max="2" width="23.625" customWidth="1"/>
    <col min="3" max="3" width="11.25" customWidth="1"/>
    <col min="4" max="4" width="76.75" customWidth="1"/>
  </cols>
  <sheetData>
    <row r="1" spans="1:5">
      <c r="A1" s="55" t="s">
        <v>107</v>
      </c>
      <c r="B1" s="346" t="s">
        <v>147</v>
      </c>
      <c r="C1" s="347"/>
      <c r="D1" s="347"/>
      <c r="E1" s="348"/>
    </row>
    <row r="2" spans="1:5" ht="17.25" thickBot="1">
      <c r="A2" s="56" t="s">
        <v>108</v>
      </c>
      <c r="B2" s="349" t="s">
        <v>114</v>
      </c>
      <c r="C2" s="350"/>
      <c r="D2" s="350"/>
      <c r="E2" s="351"/>
    </row>
    <row r="3" spans="1:5">
      <c r="A3" s="52" t="s">
        <v>109</v>
      </c>
      <c r="B3" s="53" t="s">
        <v>113</v>
      </c>
      <c r="C3" s="53" t="s">
        <v>110</v>
      </c>
      <c r="D3" s="53" t="s">
        <v>111</v>
      </c>
      <c r="E3" s="54" t="s">
        <v>112</v>
      </c>
    </row>
    <row r="4" spans="1:5">
      <c r="A4" s="48">
        <v>1</v>
      </c>
      <c r="B4" s="46"/>
      <c r="C4" s="57"/>
      <c r="D4" s="46"/>
      <c r="E4" s="49"/>
    </row>
    <row r="5" spans="1:5">
      <c r="A5" s="48">
        <v>2</v>
      </c>
      <c r="B5" s="46"/>
      <c r="C5" s="58"/>
      <c r="D5" s="46"/>
      <c r="E5" s="49"/>
    </row>
    <row r="6" spans="1:5">
      <c r="A6" s="48">
        <v>3</v>
      </c>
      <c r="B6" s="46"/>
      <c r="C6" s="58"/>
      <c r="D6" s="46"/>
      <c r="E6" s="49"/>
    </row>
    <row r="7" spans="1:5">
      <c r="A7" s="48">
        <v>4</v>
      </c>
      <c r="B7" s="46"/>
      <c r="C7" s="58"/>
      <c r="D7" s="46"/>
      <c r="E7" s="49"/>
    </row>
    <row r="8" spans="1:5">
      <c r="A8" s="48">
        <v>5</v>
      </c>
      <c r="B8" s="46"/>
      <c r="C8" s="58"/>
      <c r="D8" s="46"/>
      <c r="E8" s="49"/>
    </row>
    <row r="9" spans="1:5">
      <c r="A9" s="48">
        <v>6</v>
      </c>
      <c r="B9" s="46"/>
      <c r="C9" s="58"/>
      <c r="D9" s="46"/>
      <c r="E9" s="49"/>
    </row>
    <row r="10" spans="1:5">
      <c r="A10" s="48">
        <v>7</v>
      </c>
      <c r="B10" s="46"/>
      <c r="C10" s="58"/>
      <c r="D10" s="46"/>
      <c r="E10" s="49"/>
    </row>
    <row r="11" spans="1:5">
      <c r="A11" s="48">
        <v>8</v>
      </c>
      <c r="B11" s="46"/>
      <c r="C11" s="58"/>
      <c r="D11" s="46"/>
      <c r="E11" s="49"/>
    </row>
    <row r="12" spans="1:5">
      <c r="A12" s="48">
        <v>9</v>
      </c>
      <c r="B12" s="46"/>
      <c r="C12" s="58"/>
      <c r="D12" s="46"/>
      <c r="E12" s="49"/>
    </row>
    <row r="13" spans="1:5">
      <c r="A13" s="48">
        <v>10</v>
      </c>
      <c r="B13" s="46"/>
      <c r="C13" s="58"/>
      <c r="D13" s="46"/>
      <c r="E13" s="49"/>
    </row>
    <row r="14" spans="1:5">
      <c r="A14" s="48">
        <v>11</v>
      </c>
      <c r="B14" s="46"/>
      <c r="C14" s="58"/>
      <c r="D14" s="46"/>
      <c r="E14" s="49"/>
    </row>
    <row r="15" spans="1:5">
      <c r="A15" s="48">
        <v>12</v>
      </c>
      <c r="B15" s="46"/>
      <c r="C15" s="58"/>
      <c r="D15" s="46"/>
      <c r="E15" s="49"/>
    </row>
    <row r="16" spans="1:5">
      <c r="A16" s="48">
        <v>13</v>
      </c>
      <c r="B16" s="46"/>
      <c r="C16" s="58"/>
      <c r="D16" s="46"/>
      <c r="E16" s="49"/>
    </row>
    <row r="17" spans="1:5">
      <c r="A17" s="48">
        <v>14</v>
      </c>
      <c r="B17" s="46"/>
      <c r="C17" s="58"/>
      <c r="D17" s="46"/>
      <c r="E17" s="49"/>
    </row>
    <row r="18" spans="1:5">
      <c r="A18" s="48">
        <v>15</v>
      </c>
      <c r="B18" s="46"/>
      <c r="C18" s="58"/>
      <c r="D18" s="46"/>
      <c r="E18" s="49"/>
    </row>
    <row r="19" spans="1:5">
      <c r="A19" s="48">
        <v>16</v>
      </c>
      <c r="B19" s="46"/>
      <c r="C19" s="58"/>
      <c r="D19" s="46"/>
      <c r="E19" s="49"/>
    </row>
    <row r="20" spans="1:5">
      <c r="A20" s="48">
        <v>17</v>
      </c>
      <c r="B20" s="46"/>
      <c r="C20" s="58"/>
      <c r="D20" s="46"/>
      <c r="E20" s="49"/>
    </row>
    <row r="21" spans="1:5">
      <c r="A21" s="48">
        <v>18</v>
      </c>
      <c r="B21" s="46"/>
      <c r="C21" s="58"/>
      <c r="D21" s="46"/>
      <c r="E21" s="49"/>
    </row>
    <row r="22" spans="1:5">
      <c r="A22" s="48">
        <v>19</v>
      </c>
      <c r="B22" s="46"/>
      <c r="C22" s="58"/>
      <c r="D22" s="46"/>
      <c r="E22" s="49"/>
    </row>
    <row r="23" spans="1:5">
      <c r="A23" s="48">
        <v>20</v>
      </c>
      <c r="B23" s="46"/>
      <c r="C23" s="58"/>
      <c r="D23" s="46"/>
      <c r="E23" s="49"/>
    </row>
    <row r="24" spans="1:5">
      <c r="A24" s="48">
        <v>21</v>
      </c>
      <c r="B24" s="46"/>
      <c r="C24" s="58"/>
      <c r="D24" s="46"/>
      <c r="E24" s="49"/>
    </row>
    <row r="25" spans="1:5">
      <c r="A25" s="48">
        <v>22</v>
      </c>
      <c r="B25" s="46"/>
      <c r="C25" s="58"/>
      <c r="D25" s="46"/>
      <c r="E25" s="49"/>
    </row>
    <row r="26" spans="1:5">
      <c r="A26" s="48">
        <v>23</v>
      </c>
      <c r="B26" s="46"/>
      <c r="C26" s="58"/>
      <c r="D26" s="46"/>
      <c r="E26" s="49"/>
    </row>
    <row r="27" spans="1:5">
      <c r="A27" s="48">
        <v>24</v>
      </c>
      <c r="B27" s="46"/>
      <c r="C27" s="58"/>
      <c r="D27" s="46"/>
      <c r="E27" s="49"/>
    </row>
    <row r="28" spans="1:5">
      <c r="A28" s="48">
        <v>25</v>
      </c>
      <c r="B28" s="46"/>
      <c r="C28" s="58"/>
      <c r="D28" s="46"/>
      <c r="E28" s="49"/>
    </row>
    <row r="29" spans="1:5">
      <c r="A29" s="48">
        <v>26</v>
      </c>
      <c r="B29" s="46"/>
      <c r="C29" s="58"/>
      <c r="D29" s="46"/>
      <c r="E29" s="49"/>
    </row>
    <row r="30" spans="1:5">
      <c r="A30" s="48">
        <v>27</v>
      </c>
      <c r="B30" s="46"/>
      <c r="C30" s="58"/>
      <c r="D30" s="46"/>
      <c r="E30" s="49"/>
    </row>
    <row r="31" spans="1:5">
      <c r="A31" s="48">
        <v>28</v>
      </c>
      <c r="B31" s="46"/>
      <c r="C31" s="58"/>
      <c r="D31" s="46"/>
      <c r="E31" s="49"/>
    </row>
    <row r="32" spans="1:5">
      <c r="A32" s="48">
        <v>29</v>
      </c>
      <c r="B32" s="46"/>
      <c r="C32" s="58"/>
      <c r="D32" s="46"/>
      <c r="E32" s="49"/>
    </row>
    <row r="33" spans="1:5">
      <c r="A33" s="48">
        <v>30</v>
      </c>
      <c r="B33" s="46"/>
      <c r="C33" s="58"/>
      <c r="D33" s="46"/>
      <c r="E33" s="49"/>
    </row>
    <row r="34" spans="1:5">
      <c r="A34" s="48">
        <v>31</v>
      </c>
      <c r="B34" s="46"/>
      <c r="C34" s="58"/>
      <c r="D34" s="46"/>
      <c r="E34" s="49"/>
    </row>
    <row r="35" spans="1:5">
      <c r="A35" s="48">
        <v>32</v>
      </c>
      <c r="B35" s="46"/>
      <c r="C35" s="58"/>
      <c r="D35" s="46"/>
      <c r="E35" s="49"/>
    </row>
    <row r="36" spans="1:5" ht="17.25" thickBot="1">
      <c r="A36" s="47">
        <v>33</v>
      </c>
      <c r="B36" s="50"/>
      <c r="C36" s="59"/>
      <c r="D36" s="50"/>
      <c r="E36" s="51"/>
    </row>
  </sheetData>
  <mergeCells count="2">
    <mergeCell ref="B1:E1"/>
    <mergeCell ref="B2:E2"/>
  </mergeCells>
  <phoneticPr fontId="2" type="noConversion"/>
  <pageMargins left="0.7" right="0.7" top="0.75" bottom="0.75" header="0.3" footer="0.3"/>
  <customProperties>
    <customPr name="Key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C1:AD52"/>
  <sheetViews>
    <sheetView showGridLines="0" zoomScale="85" zoomScaleNormal="85" workbookViewId="0">
      <selection activeCell="E55" sqref="E55"/>
    </sheetView>
  </sheetViews>
  <sheetFormatPr defaultColWidth="9" defaultRowHeight="16.5"/>
  <cols>
    <col min="1" max="2" width="0.75" style="107" customWidth="1"/>
    <col min="3" max="3" width="6.625" style="107" customWidth="1"/>
    <col min="4" max="4" width="15.125" style="110" customWidth="1"/>
    <col min="5" max="5" width="9.375" style="110" customWidth="1"/>
    <col min="6" max="6" width="8.25" style="107" customWidth="1"/>
    <col min="7" max="7" width="8.25" style="221" customWidth="1"/>
    <col min="8" max="8" width="8.25" style="107" customWidth="1"/>
    <col min="9" max="24" width="7.125" style="107" customWidth="1"/>
    <col min="25" max="25" width="4.875" style="107" customWidth="1"/>
    <col min="26" max="257" width="10" style="107" customWidth="1"/>
    <col min="258" max="259" width="0.75" style="107" customWidth="1"/>
    <col min="260" max="260" width="6.625" style="107" customWidth="1"/>
    <col min="261" max="261" width="15.875" style="107" customWidth="1"/>
    <col min="262" max="262" width="9" style="107" customWidth="1"/>
    <col min="263" max="280" width="6" style="107" customWidth="1"/>
    <col min="281" max="281" width="4.875" style="107" customWidth="1"/>
    <col min="282" max="513" width="10" style="107" customWidth="1"/>
    <col min="514" max="515" width="0.75" style="107" customWidth="1"/>
    <col min="516" max="516" width="6.625" style="107" customWidth="1"/>
    <col min="517" max="517" width="15.875" style="107" customWidth="1"/>
    <col min="518" max="518" width="9" style="107" customWidth="1"/>
    <col min="519" max="536" width="6" style="107" customWidth="1"/>
    <col min="537" max="537" width="4.875" style="107" customWidth="1"/>
    <col min="538" max="769" width="10" style="107" customWidth="1"/>
    <col min="770" max="771" width="0.75" style="107" customWidth="1"/>
    <col min="772" max="772" width="6.625" style="107" customWidth="1"/>
    <col min="773" max="773" width="15.875" style="107" customWidth="1"/>
    <col min="774" max="774" width="9" style="107" customWidth="1"/>
    <col min="775" max="792" width="6" style="107" customWidth="1"/>
    <col min="793" max="793" width="4.875" style="107" customWidth="1"/>
    <col min="794" max="1023" width="10" style="107" customWidth="1"/>
    <col min="1024" max="1025" width="9" style="107"/>
    <col min="1026" max="1027" width="0.75" style="107" customWidth="1"/>
    <col min="1028" max="1028" width="6.625" style="107" customWidth="1"/>
    <col min="1029" max="1029" width="15.875" style="107" customWidth="1"/>
    <col min="1030" max="1030" width="9" style="107" customWidth="1"/>
    <col min="1031" max="1048" width="6" style="107" customWidth="1"/>
    <col min="1049" max="1049" width="4.875" style="107" customWidth="1"/>
    <col min="1050" max="1281" width="10" style="107" customWidth="1"/>
    <col min="1282" max="1283" width="0.75" style="107" customWidth="1"/>
    <col min="1284" max="1284" width="6.625" style="107" customWidth="1"/>
    <col min="1285" max="1285" width="15.875" style="107" customWidth="1"/>
    <col min="1286" max="1286" width="9" style="107" customWidth="1"/>
    <col min="1287" max="1304" width="6" style="107" customWidth="1"/>
    <col min="1305" max="1305" width="4.875" style="107" customWidth="1"/>
    <col min="1306" max="1537" width="10" style="107" customWidth="1"/>
    <col min="1538" max="1539" width="0.75" style="107" customWidth="1"/>
    <col min="1540" max="1540" width="6.625" style="107" customWidth="1"/>
    <col min="1541" max="1541" width="15.875" style="107" customWidth="1"/>
    <col min="1542" max="1542" width="9" style="107" customWidth="1"/>
    <col min="1543" max="1560" width="6" style="107" customWidth="1"/>
    <col min="1561" max="1561" width="4.875" style="107" customWidth="1"/>
    <col min="1562" max="1793" width="10" style="107" customWidth="1"/>
    <col min="1794" max="1795" width="0.75" style="107" customWidth="1"/>
    <col min="1796" max="1796" width="6.625" style="107" customWidth="1"/>
    <col min="1797" max="1797" width="15.875" style="107" customWidth="1"/>
    <col min="1798" max="1798" width="9" style="107" customWidth="1"/>
    <col min="1799" max="1816" width="6" style="107" customWidth="1"/>
    <col min="1817" max="1817" width="4.875" style="107" customWidth="1"/>
    <col min="1818" max="2047" width="10" style="107" customWidth="1"/>
    <col min="2048" max="2049" width="9" style="107"/>
    <col min="2050" max="2051" width="0.75" style="107" customWidth="1"/>
    <col min="2052" max="2052" width="6.625" style="107" customWidth="1"/>
    <col min="2053" max="2053" width="15.875" style="107" customWidth="1"/>
    <col min="2054" max="2054" width="9" style="107" customWidth="1"/>
    <col min="2055" max="2072" width="6" style="107" customWidth="1"/>
    <col min="2073" max="2073" width="4.875" style="107" customWidth="1"/>
    <col min="2074" max="2305" width="10" style="107" customWidth="1"/>
    <col min="2306" max="2307" width="0.75" style="107" customWidth="1"/>
    <col min="2308" max="2308" width="6.625" style="107" customWidth="1"/>
    <col min="2309" max="2309" width="15.875" style="107" customWidth="1"/>
    <col min="2310" max="2310" width="9" style="107" customWidth="1"/>
    <col min="2311" max="2328" width="6" style="107" customWidth="1"/>
    <col min="2329" max="2329" width="4.875" style="107" customWidth="1"/>
    <col min="2330" max="2561" width="10" style="107" customWidth="1"/>
    <col min="2562" max="2563" width="0.75" style="107" customWidth="1"/>
    <col min="2564" max="2564" width="6.625" style="107" customWidth="1"/>
    <col min="2565" max="2565" width="15.875" style="107" customWidth="1"/>
    <col min="2566" max="2566" width="9" style="107" customWidth="1"/>
    <col min="2567" max="2584" width="6" style="107" customWidth="1"/>
    <col min="2585" max="2585" width="4.875" style="107" customWidth="1"/>
    <col min="2586" max="2817" width="10" style="107" customWidth="1"/>
    <col min="2818" max="2819" width="0.75" style="107" customWidth="1"/>
    <col min="2820" max="2820" width="6.625" style="107" customWidth="1"/>
    <col min="2821" max="2821" width="15.875" style="107" customWidth="1"/>
    <col min="2822" max="2822" width="9" style="107" customWidth="1"/>
    <col min="2823" max="2840" width="6" style="107" customWidth="1"/>
    <col min="2841" max="2841" width="4.875" style="107" customWidth="1"/>
    <col min="2842" max="3071" width="10" style="107" customWidth="1"/>
    <col min="3072" max="3073" width="9" style="107"/>
    <col min="3074" max="3075" width="0.75" style="107" customWidth="1"/>
    <col min="3076" max="3076" width="6.625" style="107" customWidth="1"/>
    <col min="3077" max="3077" width="15.875" style="107" customWidth="1"/>
    <col min="3078" max="3078" width="9" style="107" customWidth="1"/>
    <col min="3079" max="3096" width="6" style="107" customWidth="1"/>
    <col min="3097" max="3097" width="4.875" style="107" customWidth="1"/>
    <col min="3098" max="3329" width="10" style="107" customWidth="1"/>
    <col min="3330" max="3331" width="0.75" style="107" customWidth="1"/>
    <col min="3332" max="3332" width="6.625" style="107" customWidth="1"/>
    <col min="3333" max="3333" width="15.875" style="107" customWidth="1"/>
    <col min="3334" max="3334" width="9" style="107" customWidth="1"/>
    <col min="3335" max="3352" width="6" style="107" customWidth="1"/>
    <col min="3353" max="3353" width="4.875" style="107" customWidth="1"/>
    <col min="3354" max="3585" width="10" style="107" customWidth="1"/>
    <col min="3586" max="3587" width="0.75" style="107" customWidth="1"/>
    <col min="3588" max="3588" width="6.625" style="107" customWidth="1"/>
    <col min="3589" max="3589" width="15.875" style="107" customWidth="1"/>
    <col min="3590" max="3590" width="9" style="107" customWidth="1"/>
    <col min="3591" max="3608" width="6" style="107" customWidth="1"/>
    <col min="3609" max="3609" width="4.875" style="107" customWidth="1"/>
    <col min="3610" max="3841" width="10" style="107" customWidth="1"/>
    <col min="3842" max="3843" width="0.75" style="107" customWidth="1"/>
    <col min="3844" max="3844" width="6.625" style="107" customWidth="1"/>
    <col min="3845" max="3845" width="15.875" style="107" customWidth="1"/>
    <col min="3846" max="3846" width="9" style="107" customWidth="1"/>
    <col min="3847" max="3864" width="6" style="107" customWidth="1"/>
    <col min="3865" max="3865" width="4.875" style="107" customWidth="1"/>
    <col min="3866" max="4095" width="10" style="107" customWidth="1"/>
    <col min="4096" max="4097" width="9" style="107"/>
    <col min="4098" max="4099" width="0.75" style="107" customWidth="1"/>
    <col min="4100" max="4100" width="6.625" style="107" customWidth="1"/>
    <col min="4101" max="4101" width="15.875" style="107" customWidth="1"/>
    <col min="4102" max="4102" width="9" style="107" customWidth="1"/>
    <col min="4103" max="4120" width="6" style="107" customWidth="1"/>
    <col min="4121" max="4121" width="4.875" style="107" customWidth="1"/>
    <col min="4122" max="4353" width="10" style="107" customWidth="1"/>
    <col min="4354" max="4355" width="0.75" style="107" customWidth="1"/>
    <col min="4356" max="4356" width="6.625" style="107" customWidth="1"/>
    <col min="4357" max="4357" width="15.875" style="107" customWidth="1"/>
    <col min="4358" max="4358" width="9" style="107" customWidth="1"/>
    <col min="4359" max="4376" width="6" style="107" customWidth="1"/>
    <col min="4377" max="4377" width="4.875" style="107" customWidth="1"/>
    <col min="4378" max="4609" width="10" style="107" customWidth="1"/>
    <col min="4610" max="4611" width="0.75" style="107" customWidth="1"/>
    <col min="4612" max="4612" width="6.625" style="107" customWidth="1"/>
    <col min="4613" max="4613" width="15.875" style="107" customWidth="1"/>
    <col min="4614" max="4614" width="9" style="107" customWidth="1"/>
    <col min="4615" max="4632" width="6" style="107" customWidth="1"/>
    <col min="4633" max="4633" width="4.875" style="107" customWidth="1"/>
    <col min="4634" max="4865" width="10" style="107" customWidth="1"/>
    <col min="4866" max="4867" width="0.75" style="107" customWidth="1"/>
    <col min="4868" max="4868" width="6.625" style="107" customWidth="1"/>
    <col min="4869" max="4869" width="15.875" style="107" customWidth="1"/>
    <col min="4870" max="4870" width="9" style="107" customWidth="1"/>
    <col min="4871" max="4888" width="6" style="107" customWidth="1"/>
    <col min="4889" max="4889" width="4.875" style="107" customWidth="1"/>
    <col min="4890" max="5119" width="10" style="107" customWidth="1"/>
    <col min="5120" max="5121" width="9" style="107"/>
    <col min="5122" max="5123" width="0.75" style="107" customWidth="1"/>
    <col min="5124" max="5124" width="6.625" style="107" customWidth="1"/>
    <col min="5125" max="5125" width="15.875" style="107" customWidth="1"/>
    <col min="5126" max="5126" width="9" style="107" customWidth="1"/>
    <col min="5127" max="5144" width="6" style="107" customWidth="1"/>
    <col min="5145" max="5145" width="4.875" style="107" customWidth="1"/>
    <col min="5146" max="5377" width="10" style="107" customWidth="1"/>
    <col min="5378" max="5379" width="0.75" style="107" customWidth="1"/>
    <col min="5380" max="5380" width="6.625" style="107" customWidth="1"/>
    <col min="5381" max="5381" width="15.875" style="107" customWidth="1"/>
    <col min="5382" max="5382" width="9" style="107" customWidth="1"/>
    <col min="5383" max="5400" width="6" style="107" customWidth="1"/>
    <col min="5401" max="5401" width="4.875" style="107" customWidth="1"/>
    <col min="5402" max="5633" width="10" style="107" customWidth="1"/>
    <col min="5634" max="5635" width="0.75" style="107" customWidth="1"/>
    <col min="5636" max="5636" width="6.625" style="107" customWidth="1"/>
    <col min="5637" max="5637" width="15.875" style="107" customWidth="1"/>
    <col min="5638" max="5638" width="9" style="107" customWidth="1"/>
    <col min="5639" max="5656" width="6" style="107" customWidth="1"/>
    <col min="5657" max="5657" width="4.875" style="107" customWidth="1"/>
    <col min="5658" max="5889" width="10" style="107" customWidth="1"/>
    <col min="5890" max="5891" width="0.75" style="107" customWidth="1"/>
    <col min="5892" max="5892" width="6.625" style="107" customWidth="1"/>
    <col min="5893" max="5893" width="15.875" style="107" customWidth="1"/>
    <col min="5894" max="5894" width="9" style="107" customWidth="1"/>
    <col min="5895" max="5912" width="6" style="107" customWidth="1"/>
    <col min="5913" max="5913" width="4.875" style="107" customWidth="1"/>
    <col min="5914" max="6143" width="10" style="107" customWidth="1"/>
    <col min="6144" max="6145" width="9" style="107"/>
    <col min="6146" max="6147" width="0.75" style="107" customWidth="1"/>
    <col min="6148" max="6148" width="6.625" style="107" customWidth="1"/>
    <col min="6149" max="6149" width="15.875" style="107" customWidth="1"/>
    <col min="6150" max="6150" width="9" style="107" customWidth="1"/>
    <col min="6151" max="6168" width="6" style="107" customWidth="1"/>
    <col min="6169" max="6169" width="4.875" style="107" customWidth="1"/>
    <col min="6170" max="6401" width="10" style="107" customWidth="1"/>
    <col min="6402" max="6403" width="0.75" style="107" customWidth="1"/>
    <col min="6404" max="6404" width="6.625" style="107" customWidth="1"/>
    <col min="6405" max="6405" width="15.875" style="107" customWidth="1"/>
    <col min="6406" max="6406" width="9" style="107" customWidth="1"/>
    <col min="6407" max="6424" width="6" style="107" customWidth="1"/>
    <col min="6425" max="6425" width="4.875" style="107" customWidth="1"/>
    <col min="6426" max="6657" width="10" style="107" customWidth="1"/>
    <col min="6658" max="6659" width="0.75" style="107" customWidth="1"/>
    <col min="6660" max="6660" width="6.625" style="107" customWidth="1"/>
    <col min="6661" max="6661" width="15.875" style="107" customWidth="1"/>
    <col min="6662" max="6662" width="9" style="107" customWidth="1"/>
    <col min="6663" max="6680" width="6" style="107" customWidth="1"/>
    <col min="6681" max="6681" width="4.875" style="107" customWidth="1"/>
    <col min="6682" max="6913" width="10" style="107" customWidth="1"/>
    <col min="6914" max="6915" width="0.75" style="107" customWidth="1"/>
    <col min="6916" max="6916" width="6.625" style="107" customWidth="1"/>
    <col min="6917" max="6917" width="15.875" style="107" customWidth="1"/>
    <col min="6918" max="6918" width="9" style="107" customWidth="1"/>
    <col min="6919" max="6936" width="6" style="107" customWidth="1"/>
    <col min="6937" max="6937" width="4.875" style="107" customWidth="1"/>
    <col min="6938" max="7167" width="10" style="107" customWidth="1"/>
    <col min="7168" max="7169" width="9" style="107"/>
    <col min="7170" max="7171" width="0.75" style="107" customWidth="1"/>
    <col min="7172" max="7172" width="6.625" style="107" customWidth="1"/>
    <col min="7173" max="7173" width="15.875" style="107" customWidth="1"/>
    <col min="7174" max="7174" width="9" style="107" customWidth="1"/>
    <col min="7175" max="7192" width="6" style="107" customWidth="1"/>
    <col min="7193" max="7193" width="4.875" style="107" customWidth="1"/>
    <col min="7194" max="7425" width="10" style="107" customWidth="1"/>
    <col min="7426" max="7427" width="0.75" style="107" customWidth="1"/>
    <col min="7428" max="7428" width="6.625" style="107" customWidth="1"/>
    <col min="7429" max="7429" width="15.875" style="107" customWidth="1"/>
    <col min="7430" max="7430" width="9" style="107" customWidth="1"/>
    <col min="7431" max="7448" width="6" style="107" customWidth="1"/>
    <col min="7449" max="7449" width="4.875" style="107" customWidth="1"/>
    <col min="7450" max="7681" width="10" style="107" customWidth="1"/>
    <col min="7682" max="7683" width="0.75" style="107" customWidth="1"/>
    <col min="7684" max="7684" width="6.625" style="107" customWidth="1"/>
    <col min="7685" max="7685" width="15.875" style="107" customWidth="1"/>
    <col min="7686" max="7686" width="9" style="107" customWidth="1"/>
    <col min="7687" max="7704" width="6" style="107" customWidth="1"/>
    <col min="7705" max="7705" width="4.875" style="107" customWidth="1"/>
    <col min="7706" max="7937" width="10" style="107" customWidth="1"/>
    <col min="7938" max="7939" width="0.75" style="107" customWidth="1"/>
    <col min="7940" max="7940" width="6.625" style="107" customWidth="1"/>
    <col min="7941" max="7941" width="15.875" style="107" customWidth="1"/>
    <col min="7942" max="7942" width="9" style="107" customWidth="1"/>
    <col min="7943" max="7960" width="6" style="107" customWidth="1"/>
    <col min="7961" max="7961" width="4.875" style="107" customWidth="1"/>
    <col min="7962" max="8191" width="10" style="107" customWidth="1"/>
    <col min="8192" max="8193" width="9" style="107"/>
    <col min="8194" max="8195" width="0.75" style="107" customWidth="1"/>
    <col min="8196" max="8196" width="6.625" style="107" customWidth="1"/>
    <col min="8197" max="8197" width="15.875" style="107" customWidth="1"/>
    <col min="8198" max="8198" width="9" style="107" customWidth="1"/>
    <col min="8199" max="8216" width="6" style="107" customWidth="1"/>
    <col min="8217" max="8217" width="4.875" style="107" customWidth="1"/>
    <col min="8218" max="8449" width="10" style="107" customWidth="1"/>
    <col min="8450" max="8451" width="0.75" style="107" customWidth="1"/>
    <col min="8452" max="8452" width="6.625" style="107" customWidth="1"/>
    <col min="8453" max="8453" width="15.875" style="107" customWidth="1"/>
    <col min="8454" max="8454" width="9" style="107" customWidth="1"/>
    <col min="8455" max="8472" width="6" style="107" customWidth="1"/>
    <col min="8473" max="8473" width="4.875" style="107" customWidth="1"/>
    <col min="8474" max="8705" width="10" style="107" customWidth="1"/>
    <col min="8706" max="8707" width="0.75" style="107" customWidth="1"/>
    <col min="8708" max="8708" width="6.625" style="107" customWidth="1"/>
    <col min="8709" max="8709" width="15.875" style="107" customWidth="1"/>
    <col min="8710" max="8710" width="9" style="107" customWidth="1"/>
    <col min="8711" max="8728" width="6" style="107" customWidth="1"/>
    <col min="8729" max="8729" width="4.875" style="107" customWidth="1"/>
    <col min="8730" max="8961" width="10" style="107" customWidth="1"/>
    <col min="8962" max="8963" width="0.75" style="107" customWidth="1"/>
    <col min="8964" max="8964" width="6.625" style="107" customWidth="1"/>
    <col min="8965" max="8965" width="15.875" style="107" customWidth="1"/>
    <col min="8966" max="8966" width="9" style="107" customWidth="1"/>
    <col min="8967" max="8984" width="6" style="107" customWidth="1"/>
    <col min="8985" max="8985" width="4.875" style="107" customWidth="1"/>
    <col min="8986" max="9215" width="10" style="107" customWidth="1"/>
    <col min="9216" max="9217" width="9" style="107"/>
    <col min="9218" max="9219" width="0.75" style="107" customWidth="1"/>
    <col min="9220" max="9220" width="6.625" style="107" customWidth="1"/>
    <col min="9221" max="9221" width="15.875" style="107" customWidth="1"/>
    <col min="9222" max="9222" width="9" style="107" customWidth="1"/>
    <col min="9223" max="9240" width="6" style="107" customWidth="1"/>
    <col min="9241" max="9241" width="4.875" style="107" customWidth="1"/>
    <col min="9242" max="9473" width="10" style="107" customWidth="1"/>
    <col min="9474" max="9475" width="0.75" style="107" customWidth="1"/>
    <col min="9476" max="9476" width="6.625" style="107" customWidth="1"/>
    <col min="9477" max="9477" width="15.875" style="107" customWidth="1"/>
    <col min="9478" max="9478" width="9" style="107" customWidth="1"/>
    <col min="9479" max="9496" width="6" style="107" customWidth="1"/>
    <col min="9497" max="9497" width="4.875" style="107" customWidth="1"/>
    <col min="9498" max="9729" width="10" style="107" customWidth="1"/>
    <col min="9730" max="9731" width="0.75" style="107" customWidth="1"/>
    <col min="9732" max="9732" width="6.625" style="107" customWidth="1"/>
    <col min="9733" max="9733" width="15.875" style="107" customWidth="1"/>
    <col min="9734" max="9734" width="9" style="107" customWidth="1"/>
    <col min="9735" max="9752" width="6" style="107" customWidth="1"/>
    <col min="9753" max="9753" width="4.875" style="107" customWidth="1"/>
    <col min="9754" max="9985" width="10" style="107" customWidth="1"/>
    <col min="9986" max="9987" width="0.75" style="107" customWidth="1"/>
    <col min="9988" max="9988" width="6.625" style="107" customWidth="1"/>
    <col min="9989" max="9989" width="15.875" style="107" customWidth="1"/>
    <col min="9990" max="9990" width="9" style="107" customWidth="1"/>
    <col min="9991" max="10008" width="6" style="107" customWidth="1"/>
    <col min="10009" max="10009" width="4.875" style="107" customWidth="1"/>
    <col min="10010" max="10239" width="10" style="107" customWidth="1"/>
    <col min="10240" max="10241" width="9" style="107"/>
    <col min="10242" max="10243" width="0.75" style="107" customWidth="1"/>
    <col min="10244" max="10244" width="6.625" style="107" customWidth="1"/>
    <col min="10245" max="10245" width="15.875" style="107" customWidth="1"/>
    <col min="10246" max="10246" width="9" style="107" customWidth="1"/>
    <col min="10247" max="10264" width="6" style="107" customWidth="1"/>
    <col min="10265" max="10265" width="4.875" style="107" customWidth="1"/>
    <col min="10266" max="10497" width="10" style="107" customWidth="1"/>
    <col min="10498" max="10499" width="0.75" style="107" customWidth="1"/>
    <col min="10500" max="10500" width="6.625" style="107" customWidth="1"/>
    <col min="10501" max="10501" width="15.875" style="107" customWidth="1"/>
    <col min="10502" max="10502" width="9" style="107" customWidth="1"/>
    <col min="10503" max="10520" width="6" style="107" customWidth="1"/>
    <col min="10521" max="10521" width="4.875" style="107" customWidth="1"/>
    <col min="10522" max="10753" width="10" style="107" customWidth="1"/>
    <col min="10754" max="10755" width="0.75" style="107" customWidth="1"/>
    <col min="10756" max="10756" width="6.625" style="107" customWidth="1"/>
    <col min="10757" max="10757" width="15.875" style="107" customWidth="1"/>
    <col min="10758" max="10758" width="9" style="107" customWidth="1"/>
    <col min="10759" max="10776" width="6" style="107" customWidth="1"/>
    <col min="10777" max="10777" width="4.875" style="107" customWidth="1"/>
    <col min="10778" max="11009" width="10" style="107" customWidth="1"/>
    <col min="11010" max="11011" width="0.75" style="107" customWidth="1"/>
    <col min="11012" max="11012" width="6.625" style="107" customWidth="1"/>
    <col min="11013" max="11013" width="15.875" style="107" customWidth="1"/>
    <col min="11014" max="11014" width="9" style="107" customWidth="1"/>
    <col min="11015" max="11032" width="6" style="107" customWidth="1"/>
    <col min="11033" max="11033" width="4.875" style="107" customWidth="1"/>
    <col min="11034" max="11263" width="10" style="107" customWidth="1"/>
    <col min="11264" max="11265" width="9" style="107"/>
    <col min="11266" max="11267" width="0.75" style="107" customWidth="1"/>
    <col min="11268" max="11268" width="6.625" style="107" customWidth="1"/>
    <col min="11269" max="11269" width="15.875" style="107" customWidth="1"/>
    <col min="11270" max="11270" width="9" style="107" customWidth="1"/>
    <col min="11271" max="11288" width="6" style="107" customWidth="1"/>
    <col min="11289" max="11289" width="4.875" style="107" customWidth="1"/>
    <col min="11290" max="11521" width="10" style="107" customWidth="1"/>
    <col min="11522" max="11523" width="0.75" style="107" customWidth="1"/>
    <col min="11524" max="11524" width="6.625" style="107" customWidth="1"/>
    <col min="11525" max="11525" width="15.875" style="107" customWidth="1"/>
    <col min="11526" max="11526" width="9" style="107" customWidth="1"/>
    <col min="11527" max="11544" width="6" style="107" customWidth="1"/>
    <col min="11545" max="11545" width="4.875" style="107" customWidth="1"/>
    <col min="11546" max="11777" width="10" style="107" customWidth="1"/>
    <col min="11778" max="11779" width="0.75" style="107" customWidth="1"/>
    <col min="11780" max="11780" width="6.625" style="107" customWidth="1"/>
    <col min="11781" max="11781" width="15.875" style="107" customWidth="1"/>
    <col min="11782" max="11782" width="9" style="107" customWidth="1"/>
    <col min="11783" max="11800" width="6" style="107" customWidth="1"/>
    <col min="11801" max="11801" width="4.875" style="107" customWidth="1"/>
    <col min="11802" max="12033" width="10" style="107" customWidth="1"/>
    <col min="12034" max="12035" width="0.75" style="107" customWidth="1"/>
    <col min="12036" max="12036" width="6.625" style="107" customWidth="1"/>
    <col min="12037" max="12037" width="15.875" style="107" customWidth="1"/>
    <col min="12038" max="12038" width="9" style="107" customWidth="1"/>
    <col min="12039" max="12056" width="6" style="107" customWidth="1"/>
    <col min="12057" max="12057" width="4.875" style="107" customWidth="1"/>
    <col min="12058" max="12287" width="10" style="107" customWidth="1"/>
    <col min="12288" max="12289" width="9" style="107"/>
    <col min="12290" max="12291" width="0.75" style="107" customWidth="1"/>
    <col min="12292" max="12292" width="6.625" style="107" customWidth="1"/>
    <col min="12293" max="12293" width="15.875" style="107" customWidth="1"/>
    <col min="12294" max="12294" width="9" style="107" customWidth="1"/>
    <col min="12295" max="12312" width="6" style="107" customWidth="1"/>
    <col min="12313" max="12313" width="4.875" style="107" customWidth="1"/>
    <col min="12314" max="12545" width="10" style="107" customWidth="1"/>
    <col min="12546" max="12547" width="0.75" style="107" customWidth="1"/>
    <col min="12548" max="12548" width="6.625" style="107" customWidth="1"/>
    <col min="12549" max="12549" width="15.875" style="107" customWidth="1"/>
    <col min="12550" max="12550" width="9" style="107" customWidth="1"/>
    <col min="12551" max="12568" width="6" style="107" customWidth="1"/>
    <col min="12569" max="12569" width="4.875" style="107" customWidth="1"/>
    <col min="12570" max="12801" width="10" style="107" customWidth="1"/>
    <col min="12802" max="12803" width="0.75" style="107" customWidth="1"/>
    <col min="12804" max="12804" width="6.625" style="107" customWidth="1"/>
    <col min="12805" max="12805" width="15.875" style="107" customWidth="1"/>
    <col min="12806" max="12806" width="9" style="107" customWidth="1"/>
    <col min="12807" max="12824" width="6" style="107" customWidth="1"/>
    <col min="12825" max="12825" width="4.875" style="107" customWidth="1"/>
    <col min="12826" max="13057" width="10" style="107" customWidth="1"/>
    <col min="13058" max="13059" width="0.75" style="107" customWidth="1"/>
    <col min="13060" max="13060" width="6.625" style="107" customWidth="1"/>
    <col min="13061" max="13061" width="15.875" style="107" customWidth="1"/>
    <col min="13062" max="13062" width="9" style="107" customWidth="1"/>
    <col min="13063" max="13080" width="6" style="107" customWidth="1"/>
    <col min="13081" max="13081" width="4.875" style="107" customWidth="1"/>
    <col min="13082" max="13311" width="10" style="107" customWidth="1"/>
    <col min="13312" max="13313" width="9" style="107"/>
    <col min="13314" max="13315" width="0.75" style="107" customWidth="1"/>
    <col min="13316" max="13316" width="6.625" style="107" customWidth="1"/>
    <col min="13317" max="13317" width="15.875" style="107" customWidth="1"/>
    <col min="13318" max="13318" width="9" style="107" customWidth="1"/>
    <col min="13319" max="13336" width="6" style="107" customWidth="1"/>
    <col min="13337" max="13337" width="4.875" style="107" customWidth="1"/>
    <col min="13338" max="13569" width="10" style="107" customWidth="1"/>
    <col min="13570" max="13571" width="0.75" style="107" customWidth="1"/>
    <col min="13572" max="13572" width="6.625" style="107" customWidth="1"/>
    <col min="13573" max="13573" width="15.875" style="107" customWidth="1"/>
    <col min="13574" max="13574" width="9" style="107" customWidth="1"/>
    <col min="13575" max="13592" width="6" style="107" customWidth="1"/>
    <col min="13593" max="13593" width="4.875" style="107" customWidth="1"/>
    <col min="13594" max="13825" width="10" style="107" customWidth="1"/>
    <col min="13826" max="13827" width="0.75" style="107" customWidth="1"/>
    <col min="13828" max="13828" width="6.625" style="107" customWidth="1"/>
    <col min="13829" max="13829" width="15.875" style="107" customWidth="1"/>
    <col min="13830" max="13830" width="9" style="107" customWidth="1"/>
    <col min="13831" max="13848" width="6" style="107" customWidth="1"/>
    <col min="13849" max="13849" width="4.875" style="107" customWidth="1"/>
    <col min="13850" max="14081" width="10" style="107" customWidth="1"/>
    <col min="14082" max="14083" width="0.75" style="107" customWidth="1"/>
    <col min="14084" max="14084" width="6.625" style="107" customWidth="1"/>
    <col min="14085" max="14085" width="15.875" style="107" customWidth="1"/>
    <col min="14086" max="14086" width="9" style="107" customWidth="1"/>
    <col min="14087" max="14104" width="6" style="107" customWidth="1"/>
    <col min="14105" max="14105" width="4.875" style="107" customWidth="1"/>
    <col min="14106" max="14335" width="10" style="107" customWidth="1"/>
    <col min="14336" max="14337" width="9" style="107"/>
    <col min="14338" max="14339" width="0.75" style="107" customWidth="1"/>
    <col min="14340" max="14340" width="6.625" style="107" customWidth="1"/>
    <col min="14341" max="14341" width="15.875" style="107" customWidth="1"/>
    <col min="14342" max="14342" width="9" style="107" customWidth="1"/>
    <col min="14343" max="14360" width="6" style="107" customWidth="1"/>
    <col min="14361" max="14361" width="4.875" style="107" customWidth="1"/>
    <col min="14362" max="14593" width="10" style="107" customWidth="1"/>
    <col min="14594" max="14595" width="0.75" style="107" customWidth="1"/>
    <col min="14596" max="14596" width="6.625" style="107" customWidth="1"/>
    <col min="14597" max="14597" width="15.875" style="107" customWidth="1"/>
    <col min="14598" max="14598" width="9" style="107" customWidth="1"/>
    <col min="14599" max="14616" width="6" style="107" customWidth="1"/>
    <col min="14617" max="14617" width="4.875" style="107" customWidth="1"/>
    <col min="14618" max="14849" width="10" style="107" customWidth="1"/>
    <col min="14850" max="14851" width="0.75" style="107" customWidth="1"/>
    <col min="14852" max="14852" width="6.625" style="107" customWidth="1"/>
    <col min="14853" max="14853" width="15.875" style="107" customWidth="1"/>
    <col min="14854" max="14854" width="9" style="107" customWidth="1"/>
    <col min="14855" max="14872" width="6" style="107" customWidth="1"/>
    <col min="14873" max="14873" width="4.875" style="107" customWidth="1"/>
    <col min="14874" max="15105" width="10" style="107" customWidth="1"/>
    <col min="15106" max="15107" width="0.75" style="107" customWidth="1"/>
    <col min="15108" max="15108" width="6.625" style="107" customWidth="1"/>
    <col min="15109" max="15109" width="15.875" style="107" customWidth="1"/>
    <col min="15110" max="15110" width="9" style="107" customWidth="1"/>
    <col min="15111" max="15128" width="6" style="107" customWidth="1"/>
    <col min="15129" max="15129" width="4.875" style="107" customWidth="1"/>
    <col min="15130" max="15359" width="10" style="107" customWidth="1"/>
    <col min="15360" max="15361" width="9" style="107"/>
    <col min="15362" max="15363" width="0.75" style="107" customWidth="1"/>
    <col min="15364" max="15364" width="6.625" style="107" customWidth="1"/>
    <col min="15365" max="15365" width="15.875" style="107" customWidth="1"/>
    <col min="15366" max="15366" width="9" style="107" customWidth="1"/>
    <col min="15367" max="15384" width="6" style="107" customWidth="1"/>
    <col min="15385" max="15385" width="4.875" style="107" customWidth="1"/>
    <col min="15386" max="15617" width="10" style="107" customWidth="1"/>
    <col min="15618" max="15619" width="0.75" style="107" customWidth="1"/>
    <col min="15620" max="15620" width="6.625" style="107" customWidth="1"/>
    <col min="15621" max="15621" width="15.875" style="107" customWidth="1"/>
    <col min="15622" max="15622" width="9" style="107" customWidth="1"/>
    <col min="15623" max="15640" width="6" style="107" customWidth="1"/>
    <col min="15641" max="15641" width="4.875" style="107" customWidth="1"/>
    <col min="15642" max="15873" width="10" style="107" customWidth="1"/>
    <col min="15874" max="15875" width="0.75" style="107" customWidth="1"/>
    <col min="15876" max="15876" width="6.625" style="107" customWidth="1"/>
    <col min="15877" max="15877" width="15.875" style="107" customWidth="1"/>
    <col min="15878" max="15878" width="9" style="107" customWidth="1"/>
    <col min="15879" max="15896" width="6" style="107" customWidth="1"/>
    <col min="15897" max="15897" width="4.875" style="107" customWidth="1"/>
    <col min="15898" max="16129" width="10" style="107" customWidth="1"/>
    <col min="16130" max="16131" width="0.75" style="107" customWidth="1"/>
    <col min="16132" max="16132" width="6.625" style="107" customWidth="1"/>
    <col min="16133" max="16133" width="15.875" style="107" customWidth="1"/>
    <col min="16134" max="16134" width="9" style="107" customWidth="1"/>
    <col min="16135" max="16152" width="6" style="107" customWidth="1"/>
    <col min="16153" max="16153" width="4.875" style="107" customWidth="1"/>
    <col min="16154" max="16383" width="10" style="107" customWidth="1"/>
    <col min="16384" max="16384" width="9" style="107"/>
  </cols>
  <sheetData>
    <row r="1" spans="3:30">
      <c r="C1" s="104"/>
      <c r="D1" s="105"/>
      <c r="E1" s="105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5"/>
      <c r="U1" s="105"/>
      <c r="V1" s="105"/>
      <c r="W1" s="105"/>
      <c r="X1" s="106"/>
      <c r="AA1" s="108"/>
      <c r="AC1" s="109"/>
      <c r="AD1" s="110"/>
    </row>
    <row r="2" spans="3:30" ht="15.95" customHeight="1">
      <c r="C2" s="111"/>
      <c r="D2" s="340" t="s">
        <v>267</v>
      </c>
      <c r="E2" s="340"/>
      <c r="F2" s="112" t="str">
        <f>MAIN_DATA!K7</f>
        <v>'12년</v>
      </c>
      <c r="G2" s="112" t="str">
        <f>MAIN_DATA!L7</f>
        <v>'13년</v>
      </c>
      <c r="H2" s="112" t="str">
        <f>MAIN_DATA!M7</f>
        <v>'14년</v>
      </c>
      <c r="I2" s="113" t="str">
        <f>MAIN_DATA!N7</f>
        <v>'14년</v>
      </c>
      <c r="J2" s="113" t="str">
        <f>MAIN_DATA!O7</f>
        <v/>
      </c>
      <c r="K2" s="113" t="str">
        <f>MAIN_DATA!P7</f>
        <v/>
      </c>
      <c r="L2" s="113" t="str">
        <f>MAIN_DATA!Q7</f>
        <v/>
      </c>
      <c r="M2" s="113" t="str">
        <f>MAIN_DATA!R7</f>
        <v/>
      </c>
      <c r="N2" s="113" t="str">
        <f>MAIN_DATA!S7</f>
        <v/>
      </c>
      <c r="O2" s="113" t="str">
        <f>MAIN_DATA!T7</f>
        <v>'15년</v>
      </c>
      <c r="P2" s="113" t="str">
        <f>MAIN_DATA!U7</f>
        <v/>
      </c>
      <c r="Q2" s="113" t="str">
        <f>MAIN_DATA!V7</f>
        <v/>
      </c>
      <c r="R2" s="112" t="str">
        <f>MAIN_DATA!W7</f>
        <v/>
      </c>
      <c r="S2" s="113" t="str">
        <f>MAIN_DATA!X7</f>
        <v/>
      </c>
      <c r="T2" s="113" t="str">
        <f>MAIN_DATA!Y7</f>
        <v/>
      </c>
      <c r="U2" s="113" t="str">
        <f>MAIN_DATA!Z7</f>
        <v/>
      </c>
      <c r="V2" s="113" t="str">
        <f>MAIN_DATA!AA7</f>
        <v/>
      </c>
      <c r="W2" s="113" t="str">
        <f>MAIN_DATA!AB7</f>
        <v/>
      </c>
      <c r="X2" s="113" t="str">
        <f>MAIN_DATA!AC7</f>
        <v/>
      </c>
      <c r="AC2" s="109"/>
      <c r="AD2" s="110"/>
    </row>
    <row r="3" spans="3:30" ht="15.95" customHeight="1">
      <c r="C3" s="114"/>
      <c r="D3" s="341"/>
      <c r="E3" s="341"/>
      <c r="F3" s="115" t="str">
        <f>MAIN_DATA!K8</f>
        <v>년간</v>
      </c>
      <c r="G3" s="115" t="str">
        <f>MAIN_DATA!L8</f>
        <v>년간</v>
      </c>
      <c r="H3" s="115" t="str">
        <f>MAIN_DATA!M8</f>
        <v>년간</v>
      </c>
      <c r="I3" s="116" t="str">
        <f>MAIN_DATA!N8</f>
        <v>7월</v>
      </c>
      <c r="J3" s="116" t="str">
        <f>MAIN_DATA!O8</f>
        <v>8월</v>
      </c>
      <c r="K3" s="116" t="str">
        <f>MAIN_DATA!P8</f>
        <v>9월</v>
      </c>
      <c r="L3" s="116" t="str">
        <f>MAIN_DATA!Q8</f>
        <v>10월</v>
      </c>
      <c r="M3" s="116" t="str">
        <f>MAIN_DATA!R8</f>
        <v>11월</v>
      </c>
      <c r="N3" s="116" t="str">
        <f>MAIN_DATA!S8</f>
        <v>12월</v>
      </c>
      <c r="O3" s="116" t="str">
        <f>MAIN_DATA!T8</f>
        <v>1월</v>
      </c>
      <c r="P3" s="116" t="str">
        <f>MAIN_DATA!U8</f>
        <v>2월</v>
      </c>
      <c r="Q3" s="116" t="str">
        <f>MAIN_DATA!V8</f>
        <v>3월</v>
      </c>
      <c r="R3" s="116" t="str">
        <f>MAIN_DATA!W8</f>
        <v>4월</v>
      </c>
      <c r="S3" s="116" t="str">
        <f>MAIN_DATA!X8</f>
        <v>5월</v>
      </c>
      <c r="T3" s="116" t="str">
        <f>MAIN_DATA!Y8</f>
        <v>6월</v>
      </c>
      <c r="U3" s="116" t="str">
        <f>MAIN_DATA!Z8</f>
        <v>7월</v>
      </c>
      <c r="V3" s="116" t="str">
        <f>MAIN_DATA!AA8</f>
        <v>8월</v>
      </c>
      <c r="W3" s="116" t="str">
        <f>MAIN_DATA!AB8</f>
        <v>9월</v>
      </c>
      <c r="X3" s="116" t="str">
        <f>MAIN_DATA!AC8</f>
        <v>10월</v>
      </c>
      <c r="AC3" s="109"/>
      <c r="AD3" s="110"/>
    </row>
    <row r="4" spans="3:30" ht="10.5" customHeight="1">
      <c r="C4" s="117"/>
      <c r="D4" s="118"/>
      <c r="E4" s="118"/>
      <c r="F4" s="119" t="str">
        <f>IF(MAIN_DATA!K10=0,"",MAIN_DATA!K10)</f>
        <v/>
      </c>
      <c r="G4" s="119"/>
      <c r="H4" s="119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T4" s="121"/>
      <c r="U4" s="121"/>
      <c r="V4" s="121"/>
      <c r="W4" s="121" t="s">
        <v>268</v>
      </c>
      <c r="X4" s="231">
        <f>IF(MAIN_DATA!AC10=0,"",MAIN_DATA!AC10)</f>
        <v>37.100824411994026</v>
      </c>
      <c r="AC4" s="109"/>
      <c r="AD4" s="110"/>
    </row>
    <row r="5" spans="3:30" s="125" customFormat="1" ht="15" customHeight="1">
      <c r="C5" s="122"/>
      <c r="D5" s="122" t="s">
        <v>269</v>
      </c>
      <c r="E5" s="122"/>
      <c r="F5" s="123" t="str">
        <f>IF(MAIN_DATA!K11=0,"",MAIN_DATA!K11)</f>
        <v/>
      </c>
      <c r="G5" s="123" t="str">
        <f>IF(MAIN_DATA!L11=0,"",MAIN_DATA!L11)</f>
        <v/>
      </c>
      <c r="H5" s="123" t="str">
        <f>IF(MAIN_DATA!M11=0,"",MAIN_DATA!M11)</f>
        <v/>
      </c>
      <c r="I5" s="124" t="str">
        <f>IF(MAIN_DATA!N11=0,"",MAIN_DATA!N11)</f>
        <v/>
      </c>
      <c r="J5" s="124" t="str">
        <f>IF(MAIN_DATA!O11=0,"",MAIN_DATA!O11)</f>
        <v/>
      </c>
      <c r="K5" s="124" t="str">
        <f>IF(MAIN_DATA!P11=0,"",MAIN_DATA!P11)</f>
        <v/>
      </c>
      <c r="L5" s="124" t="str">
        <f>IF(MAIN_DATA!Q11=0,"",MAIN_DATA!Q11)</f>
        <v/>
      </c>
      <c r="M5" s="124" t="str">
        <f>IF(MAIN_DATA!R11=0,"",MAIN_DATA!R11)</f>
        <v/>
      </c>
      <c r="N5" s="124" t="str">
        <f>IF(MAIN_DATA!S11=0,"",MAIN_DATA!S11)</f>
        <v/>
      </c>
      <c r="O5" s="124" t="str">
        <f>IF(MAIN_DATA!T11=0,"",MAIN_DATA!T11)</f>
        <v/>
      </c>
      <c r="P5" s="124" t="str">
        <f>IF(MAIN_DATA!U11=0,"",MAIN_DATA!U11)</f>
        <v/>
      </c>
      <c r="Q5" s="124" t="str">
        <f>IF(MAIN_DATA!V11=0,"",MAIN_DATA!V11)</f>
        <v/>
      </c>
      <c r="R5" s="124" t="str">
        <f>IF(MAIN_DATA!W11=0,"",MAIN_DATA!W11)</f>
        <v/>
      </c>
      <c r="S5" s="124" t="str">
        <f>IF(MAIN_DATA!X11=0,"",MAIN_DATA!X11)</f>
        <v/>
      </c>
      <c r="T5" s="124" t="str">
        <f>IF(MAIN_DATA!Y11=0,"",MAIN_DATA!Y11)</f>
        <v/>
      </c>
      <c r="U5" s="124" t="str">
        <f>IF(MAIN_DATA!Z11=0,"",MAIN_DATA!Z11)</f>
        <v/>
      </c>
      <c r="V5" s="124">
        <f>IF(MAIN_DATA!AA11=0,"",MAIN_DATA!AA11)</f>
        <v>1.0674529491236064</v>
      </c>
      <c r="W5" s="124">
        <f>IF(MAIN_DATA!AB11=0,"",MAIN_DATA!AB11)</f>
        <v>1.046495180465105</v>
      </c>
      <c r="X5" s="124">
        <f>IF(MAIN_DATA!AC11=0,"",MAIN_DATA!AC11)</f>
        <v>0.93865051622993478</v>
      </c>
      <c r="AC5" s="126"/>
    </row>
    <row r="6" spans="3:30" s="129" customFormat="1" ht="17.25">
      <c r="C6" s="127"/>
      <c r="D6" s="127" t="s">
        <v>270</v>
      </c>
      <c r="E6" s="127"/>
      <c r="F6" s="128" t="str">
        <f>IF(MAIN_DATA!K12=0,"",MAIN_DATA!K12)</f>
        <v/>
      </c>
      <c r="G6" s="128" t="str">
        <f>IF(MAIN_DATA!L12=0,"",MAIN_DATA!L12)</f>
        <v/>
      </c>
      <c r="H6" s="128">
        <f>IF(MAIN_DATA!M12=0,"",MAIN_DATA!M12)</f>
        <v>1.013385995718836</v>
      </c>
      <c r="I6" s="128">
        <f>IF(MAIN_DATA!N12=0,"",MAIN_DATA!N12)</f>
        <v>1.1102785356977636</v>
      </c>
      <c r="J6" s="128">
        <f>IF(MAIN_DATA!O12=0,"",MAIN_DATA!O12)</f>
        <v>1.138289652120025</v>
      </c>
      <c r="K6" s="128">
        <f>IF(MAIN_DATA!P12=0,"",MAIN_DATA!P12)</f>
        <v>0.9778463139810063</v>
      </c>
      <c r="L6" s="128">
        <f>IF(MAIN_DATA!Q12=0,"",MAIN_DATA!Q12)</f>
        <v>1.0260556958104601</v>
      </c>
      <c r="M6" s="128">
        <f>IF(MAIN_DATA!R12=0,"",MAIN_DATA!R12)</f>
        <v>0.97891979230565696</v>
      </c>
      <c r="N6" s="128">
        <f>IF(MAIN_DATA!S12=0,"",MAIN_DATA!S12)</f>
        <v>0.94445239849108786</v>
      </c>
      <c r="O6" s="128">
        <f>IF(MAIN_DATA!T12=0,"",MAIN_DATA!T12)</f>
        <v>0.99415744238187331</v>
      </c>
      <c r="P6" s="128">
        <f>IF(MAIN_DATA!U12=0,"",MAIN_DATA!U12)</f>
        <v>1.0452941824331143</v>
      </c>
      <c r="Q6" s="128">
        <f>IF(MAIN_DATA!V12=0,"",MAIN_DATA!V12)</f>
        <v>1.0508415773965682</v>
      </c>
      <c r="R6" s="128">
        <f>IF(MAIN_DATA!W12=0,"",MAIN_DATA!W12)</f>
        <v>0.96310180198772821</v>
      </c>
      <c r="S6" s="128">
        <f>IF(MAIN_DATA!X12=0,"",MAIN_DATA!X12)</f>
        <v>1.1545501023160203</v>
      </c>
      <c r="T6" s="128">
        <f>IF(MAIN_DATA!Y12=0,"",MAIN_DATA!Y12)</f>
        <v>0.94009442883719396</v>
      </c>
      <c r="U6" s="128">
        <f>IF(MAIN_DATA!Z12=0,"",MAIN_DATA!Z12)</f>
        <v>1.0522656245023887</v>
      </c>
      <c r="V6" s="128">
        <f>IF(MAIN_DATA!AA12=0,"",MAIN_DATA!AA12)</f>
        <v>1.1315001313498769</v>
      </c>
      <c r="W6" s="128">
        <f>IF(MAIN_DATA!AB12=0,"",MAIN_DATA!AB12)</f>
        <v>1.0677106746072433</v>
      </c>
      <c r="X6" s="128">
        <f>IF(MAIN_DATA!AC12=0,"",MAIN_DATA!AC12)</f>
        <v>0.97735353138691494</v>
      </c>
      <c r="AC6" s="130"/>
    </row>
    <row r="7" spans="3:30" s="134" customFormat="1" ht="20.25">
      <c r="C7" s="131"/>
      <c r="D7" s="132" t="s">
        <v>271</v>
      </c>
      <c r="E7" s="132"/>
      <c r="F7" s="133" t="str">
        <f>IF(MAIN_DATA!K13=0,"",MAIN_DATA!K13)</f>
        <v/>
      </c>
      <c r="G7" s="133" t="str">
        <f>IF(MAIN_DATA!L13=0,"",MAIN_DATA!L13)</f>
        <v/>
      </c>
      <c r="H7" s="133" t="str">
        <f>IF(MAIN_DATA!M13=0,"",MAIN_DATA!M13)</f>
        <v/>
      </c>
      <c r="I7" s="133" t="str">
        <f>IF(MAIN_DATA!N13=0,"",MAIN_DATA!N13)</f>
        <v/>
      </c>
      <c r="J7" s="133" t="str">
        <f>IF(MAIN_DATA!O13=0,"",MAIN_DATA!O13)</f>
        <v/>
      </c>
      <c r="K7" s="133" t="str">
        <f>IF(MAIN_DATA!P13=0,"",MAIN_DATA!P13)</f>
        <v/>
      </c>
      <c r="L7" s="133" t="str">
        <f>IF(MAIN_DATA!Q13=0,"",MAIN_DATA!Q13)</f>
        <v/>
      </c>
      <c r="M7" s="133" t="str">
        <f>IF(MAIN_DATA!R13=0,"",MAIN_DATA!R13)</f>
        <v/>
      </c>
      <c r="N7" s="133" t="str">
        <f>IF(MAIN_DATA!S13=0,"",MAIN_DATA!S13)</f>
        <v/>
      </c>
      <c r="O7" s="133">
        <f>IF(MAIN_DATA!T13=0,"",MAIN_DATA!T13)</f>
        <v>1.5718259175143972</v>
      </c>
      <c r="P7" s="133">
        <f>IF(MAIN_DATA!U13=0,"",MAIN_DATA!U13)</f>
        <v>1.2508621539063014</v>
      </c>
      <c r="Q7" s="133">
        <f>IF(MAIN_DATA!V13=0,"",MAIN_DATA!V13)</f>
        <v>1.1514689006151273</v>
      </c>
      <c r="R7" s="133">
        <f>IF(MAIN_DATA!W13=0,"",MAIN_DATA!W13)</f>
        <v>0.93319229660076286</v>
      </c>
      <c r="S7" s="133">
        <f>IF(MAIN_DATA!X13=0,"",MAIN_DATA!X13)</f>
        <v>0.63962624662403877</v>
      </c>
      <c r="T7" s="133">
        <f>IF(MAIN_DATA!Y13=0,"",MAIN_DATA!Y13)</f>
        <v>1.3131629285800588</v>
      </c>
      <c r="U7" s="133">
        <f>IF(MAIN_DATA!Z13=0,"",MAIN_DATA!Z13)</f>
        <v>1.227464026128642</v>
      </c>
      <c r="V7" s="133">
        <f>IF(MAIN_DATA!AA13=0,"",MAIN_DATA!AA13)</f>
        <v>0.97550632900147338</v>
      </c>
      <c r="W7" s="133">
        <f>IF(MAIN_DATA!AB13=0,"",MAIN_DATA!AB13)</f>
        <v>1.1541922973283805</v>
      </c>
      <c r="X7" s="133">
        <f>IF(MAIN_DATA!AC13=0,"",MAIN_DATA!AC13)</f>
        <v>1.0419749090587944</v>
      </c>
      <c r="AC7" s="135"/>
    </row>
    <row r="8" spans="3:30" s="141" customFormat="1" ht="12.75" customHeight="1">
      <c r="C8" s="136"/>
      <c r="D8" s="137" t="s">
        <v>272</v>
      </c>
      <c r="E8" s="137"/>
      <c r="F8" s="138" t="str">
        <f>IF(MAIN_DATA!K14=0,"",MAIN_DATA!K14)</f>
        <v/>
      </c>
      <c r="G8" s="139">
        <f>IF(MAIN_DATA!L14=0,"",MAIN_DATA!L14)</f>
        <v>-0.18879701078833619</v>
      </c>
      <c r="H8" s="140">
        <f>IF(MAIN_DATA!M14=0,"",MAIN_DATA!M14)</f>
        <v>-0.27377458254140841</v>
      </c>
      <c r="I8" s="140">
        <f>IF(MAIN_DATA!N14=0,"",MAIN_DATA!N14)</f>
        <v>-0.28549978374921414</v>
      </c>
      <c r="J8" s="140">
        <f>IF(MAIN_DATA!O14=0,"",MAIN_DATA!O14)</f>
        <v>-0.25774683353996314</v>
      </c>
      <c r="K8" s="140">
        <f>IF(MAIN_DATA!P14=0,"",MAIN_DATA!P14)</f>
        <v>-0.41239198658171605</v>
      </c>
      <c r="L8" s="140">
        <f>IF(MAIN_DATA!Q14=0,"",MAIN_DATA!Q14)</f>
        <v>-0.32109058125886308</v>
      </c>
      <c r="M8" s="140">
        <f>IF(MAIN_DATA!R14=0,"",MAIN_DATA!R14)</f>
        <v>-0.3174256163643015</v>
      </c>
      <c r="N8" s="140">
        <f>IF(MAIN_DATA!S14=0,"",MAIN_DATA!S14)</f>
        <v>-0.36265300089263686</v>
      </c>
      <c r="O8" s="140">
        <f>IF(MAIN_DATA!T14=0,"",MAIN_DATA!T14)</f>
        <v>-0.26439973107216602</v>
      </c>
      <c r="P8" s="140">
        <f>IF(MAIN_DATA!U14=0,"",MAIN_DATA!U14)</f>
        <v>-0.20339173873901717</v>
      </c>
      <c r="Q8" s="140">
        <f>IF(MAIN_DATA!V14=0,"",MAIN_DATA!V14)</f>
        <v>-0.16986965103201865</v>
      </c>
      <c r="R8" s="140">
        <f>IF(MAIN_DATA!W14=0,"",MAIN_DATA!W14)</f>
        <v>-0.20787383468958154</v>
      </c>
      <c r="S8" s="140">
        <f>IF(MAIN_DATA!X14=0,"",MAIN_DATA!X14)</f>
        <v>-0.23581301247648545</v>
      </c>
      <c r="T8" s="140">
        <f>IF(MAIN_DATA!Y14=0,"",MAIN_DATA!Y14)</f>
        <v>-0.22918317296663845</v>
      </c>
      <c r="U8" s="140">
        <f>IF(MAIN_DATA!Z14=0,"",MAIN_DATA!Z14)</f>
        <v>-0.2161942033686618</v>
      </c>
      <c r="V8" s="140">
        <f>IF(MAIN_DATA!AA14=0,"",MAIN_DATA!AA14)</f>
        <v>-0.331492840240878</v>
      </c>
      <c r="W8" s="140">
        <f>IF(MAIN_DATA!AB14=0,"",MAIN_DATA!AB14)</f>
        <v>-0.36278119532406872</v>
      </c>
      <c r="X8" s="140">
        <f>IF(MAIN_DATA!AC14=0,"",MAIN_DATA!AC14)</f>
        <v>-0.33814865461403187</v>
      </c>
      <c r="AC8" s="130"/>
    </row>
    <row r="9" spans="3:30" s="141" customFormat="1" ht="12.75" customHeight="1">
      <c r="D9" s="137" t="s">
        <v>270</v>
      </c>
      <c r="E9" s="137"/>
      <c r="F9" s="142" t="str">
        <f>IF(MAIN_DATA!K15=0,"",MAIN_DATA!K15)</f>
        <v/>
      </c>
      <c r="G9" s="142">
        <f>IF(MAIN_DATA!L15=0,"",MAIN_DATA!L15)</f>
        <v>8.635611814589883E-3</v>
      </c>
      <c r="H9" s="142">
        <f>IF(MAIN_DATA!M15=0,"",MAIN_DATA!M15)</f>
        <v>1.7359846306318167E-2</v>
      </c>
      <c r="I9" s="142">
        <f>IF(MAIN_DATA!N15=0,"",MAIN_DATA!N15)</f>
        <v>1.8623630287115708E-2</v>
      </c>
      <c r="J9" s="142">
        <f>IF(MAIN_DATA!O15=0,"",MAIN_DATA!O15)</f>
        <v>6.2268340387280297E-2</v>
      </c>
      <c r="K9" s="142">
        <f>IF(MAIN_DATA!P15=0,"",MAIN_DATA!P15)</f>
        <v>3.1335028565026572E-3</v>
      </c>
      <c r="L9" s="142">
        <f>IF(MAIN_DATA!Q15=0,"",MAIN_DATA!Q15)</f>
        <v>5.5177618756631509E-3</v>
      </c>
      <c r="M9" s="142">
        <f>IF(MAIN_DATA!R15=0,"",MAIN_DATA!R15)</f>
        <v>3.0026958630576701E-3</v>
      </c>
      <c r="N9" s="142">
        <f>IF(MAIN_DATA!S15=0,"",MAIN_DATA!S15)</f>
        <v>8.2354834857589956E-3</v>
      </c>
      <c r="O9" s="142">
        <f>IF(MAIN_DATA!T15=0,"",MAIN_DATA!T15)</f>
        <v>5.8943349449828519E-4</v>
      </c>
      <c r="P9" s="142">
        <f>IF(MAIN_DATA!U15=0,"",MAIN_DATA!U15)</f>
        <v>1.4299200447064225E-3</v>
      </c>
      <c r="Q9" s="142">
        <f>IF(MAIN_DATA!V15=0,"",MAIN_DATA!V15)</f>
        <v>3.1786666444958531E-3</v>
      </c>
      <c r="R9" s="142">
        <f>IF(MAIN_DATA!W15=0,"",MAIN_DATA!W15)</f>
        <v>2.4419040054795813E-2</v>
      </c>
      <c r="S9" s="142">
        <f>IF(MAIN_DATA!X15=0,"",MAIN_DATA!X15)</f>
        <v>2.8667056870379185E-3</v>
      </c>
      <c r="T9" s="142">
        <f>IF(MAIN_DATA!Y15=0,"",MAIN_DATA!Y15)</f>
        <v>2.9076148164241776E-3</v>
      </c>
      <c r="U9" s="142">
        <f>IF(MAIN_DATA!Z15=0,"",MAIN_DATA!Z15)</f>
        <v>1.4232533762783859E-2</v>
      </c>
      <c r="V9" s="142">
        <f>IF(MAIN_DATA!AA15=0,"",MAIN_DATA!AA15)</f>
        <v>1.570469846386598E-2</v>
      </c>
      <c r="W9" s="142">
        <f>IF(MAIN_DATA!AB15=0,"",MAIN_DATA!AB15)</f>
        <v>2.9992822956483658E-3</v>
      </c>
      <c r="X9" s="142">
        <f>IF(MAIN_DATA!AC15=0,"",MAIN_DATA!AC15)</f>
        <v>1.0523042948514378E-2</v>
      </c>
      <c r="AC9" s="130"/>
    </row>
    <row r="10" spans="3:30" s="134" customFormat="1" ht="23.25" customHeight="1">
      <c r="D10" s="143" t="s">
        <v>273</v>
      </c>
      <c r="E10" s="143"/>
      <c r="F10" s="144" t="str">
        <f>IF(MAIN_DATA!K16=0,"",MAIN_DATA!K16)</f>
        <v/>
      </c>
      <c r="G10" s="144">
        <f>IF(MAIN_DATA!L16=0,"",MAIN_DATA!L16)</f>
        <v>81.533270172401757</v>
      </c>
      <c r="H10" s="144">
        <f>IF(MAIN_DATA!M16=0,"",MAIN_DATA!M16)</f>
        <v>99.070252829811736</v>
      </c>
      <c r="I10" s="144">
        <f>IF(MAIN_DATA!N16=0,"",MAIN_DATA!N16)</f>
        <v>7.8285564553635316</v>
      </c>
      <c r="J10" s="144">
        <f>IF(MAIN_DATA!O16=0,"",MAIN_DATA!O16)</f>
        <v>8.5211513627043445</v>
      </c>
      <c r="K10" s="144">
        <f>IF(MAIN_DATA!P16=0,"",MAIN_DATA!P16)</f>
        <v>6.4982301198374204</v>
      </c>
      <c r="L10" s="144">
        <f>IF(MAIN_DATA!Q16=0,"",MAIN_DATA!Q16)</f>
        <v>7.3051322193411012</v>
      </c>
      <c r="M10" s="144">
        <f>IF(MAIN_DATA!R16=0,"",MAIN_DATA!R16)</f>
        <v>11.022020967390656</v>
      </c>
      <c r="N10" s="144">
        <f>IF(MAIN_DATA!S16=0,"",MAIN_DATA!S16)</f>
        <v>8.2672348621224394</v>
      </c>
      <c r="O10" s="144">
        <f>IF(MAIN_DATA!T16=0,"",MAIN_DATA!T16)</f>
        <v>8.7210503740865928</v>
      </c>
      <c r="P10" s="144">
        <f>IF(MAIN_DATA!U16=0,"",MAIN_DATA!U16)</f>
        <v>6.0643338189046148</v>
      </c>
      <c r="Q10" s="144">
        <f>IF(MAIN_DATA!V16=0,"",MAIN_DATA!V16)</f>
        <v>7.4554350210125877</v>
      </c>
      <c r="R10" s="144">
        <f>IF(MAIN_DATA!W16=0,"",MAIN_DATA!W16)</f>
        <v>7.2884425311684549</v>
      </c>
      <c r="S10" s="144">
        <f>IF(MAIN_DATA!X16=0,"",MAIN_DATA!X16)</f>
        <v>7.7171570616820429</v>
      </c>
      <c r="T10" s="144">
        <f>IF(MAIN_DATA!Y16=0,"",MAIN_DATA!Y16)</f>
        <v>8.4301628278715146</v>
      </c>
      <c r="U10" s="144">
        <f>IF(MAIN_DATA!Z16=0,"",MAIN_DATA!Z16)</f>
        <v>10.331451804558565</v>
      </c>
      <c r="V10" s="144">
        <f>IF(MAIN_DATA!AA16=0,"",MAIN_DATA!AA16)</f>
        <v>8.8605038727244789</v>
      </c>
      <c r="W10" s="144">
        <f>IF(MAIN_DATA!AB16=0,"",MAIN_DATA!AB16)</f>
        <v>8.5925540973907868</v>
      </c>
      <c r="X10" s="144">
        <f>IF(MAIN_DATA!AC16=0,"",MAIN_DATA!AC16)</f>
        <v>8.6832731756691093</v>
      </c>
      <c r="AC10" s="135"/>
    </row>
    <row r="11" spans="3:30" s="141" customFormat="1" ht="13.5" customHeight="1">
      <c r="D11" s="137" t="s">
        <v>270</v>
      </c>
      <c r="E11" s="137"/>
      <c r="F11" s="142" t="str">
        <f>IF(MAIN_DATA!K17=0,"",MAIN_DATA!K17)</f>
        <v/>
      </c>
      <c r="G11" s="142">
        <f>IF(MAIN_DATA!L17=0,"",MAIN_DATA!L17)</f>
        <v>0.23309540478426632</v>
      </c>
      <c r="H11" s="142">
        <f>IF(MAIN_DATA!M17=0,"",MAIN_DATA!M17)</f>
        <v>0.25329678136931694</v>
      </c>
      <c r="I11" s="142">
        <f>IF(MAIN_DATA!N17=0,"",MAIN_DATA!N17)</f>
        <v>0.329175839251935</v>
      </c>
      <c r="J11" s="142">
        <f>IF(MAIN_DATA!O17=0,"",MAIN_DATA!O17)</f>
        <v>0.29332417962507334</v>
      </c>
      <c r="K11" s="142">
        <f>IF(MAIN_DATA!P17=0,"",MAIN_DATA!P17)</f>
        <v>0.25336068657206867</v>
      </c>
      <c r="L11" s="142">
        <f>IF(MAIN_DATA!Q17=0,"",MAIN_DATA!Q17)</f>
        <v>0.19995434528218778</v>
      </c>
      <c r="M11" s="142">
        <f>IF(MAIN_DATA!R17=0,"",MAIN_DATA!R17)</f>
        <v>0.1720227701531849</v>
      </c>
      <c r="N11" s="142">
        <f>IF(MAIN_DATA!S17=0,"",MAIN_DATA!S17)</f>
        <v>0.16651484135429245</v>
      </c>
      <c r="O11" s="142">
        <f>IF(MAIN_DATA!T17=0,"",MAIN_DATA!T17)</f>
        <v>0.2548920123109582</v>
      </c>
      <c r="P11" s="142">
        <f>IF(MAIN_DATA!U17=0,"",MAIN_DATA!U17)</f>
        <v>0.20613329171337932</v>
      </c>
      <c r="Q11" s="142">
        <f>IF(MAIN_DATA!V17=0,"",MAIN_DATA!V17)</f>
        <v>0.22797798773209152</v>
      </c>
      <c r="R11" s="142">
        <f>IF(MAIN_DATA!W17=0,"",MAIN_DATA!W17)</f>
        <v>0.26555037751755511</v>
      </c>
      <c r="S11" s="142">
        <f>IF(MAIN_DATA!X17=0,"",MAIN_DATA!X17)</f>
        <v>0.31769351097166348</v>
      </c>
      <c r="T11" s="142">
        <f>IF(MAIN_DATA!Y17=0,"",MAIN_DATA!Y17)</f>
        <v>0.35502255248761161</v>
      </c>
      <c r="U11" s="142">
        <f>IF(MAIN_DATA!Z17=0,"",MAIN_DATA!Z17)</f>
        <v>0.39294411495048792</v>
      </c>
      <c r="V11" s="142">
        <f>IF(MAIN_DATA!AA17=0,"",MAIN_DATA!AA17)</f>
        <v>0.35590222329883464</v>
      </c>
      <c r="W11" s="142">
        <f>IF(MAIN_DATA!AB17=0,"",MAIN_DATA!AB17)</f>
        <v>0.28383035921940647</v>
      </c>
      <c r="X11" s="142">
        <f>IF(MAIN_DATA!AC17=0,"",MAIN_DATA!AC17)</f>
        <v>0.23404528910850736</v>
      </c>
      <c r="AC11" s="130"/>
    </row>
    <row r="12" spans="3:30" s="141" customFormat="1" ht="13.5" customHeight="1">
      <c r="D12" s="137" t="s">
        <v>274</v>
      </c>
      <c r="E12" s="137"/>
      <c r="F12" s="145" t="str">
        <f>IF(MAIN_DATA!K18=0,"",MAIN_DATA!K18)</f>
        <v/>
      </c>
      <c r="G12" s="145">
        <f>IF(MAIN_DATA!L18=0,"",MAIN_DATA!L18)</f>
        <v>7.1422485863485479</v>
      </c>
      <c r="H12" s="145">
        <f>IF(MAIN_DATA!M18=0,"",MAIN_DATA!M18)</f>
        <v>6.788113704694517</v>
      </c>
      <c r="I12" s="145">
        <f>IF(MAIN_DATA!N18=0,"",MAIN_DATA!N18)</f>
        <v>0.42264765616228739</v>
      </c>
      <c r="J12" s="145">
        <f>IF(MAIN_DATA!O18=0,"",MAIN_DATA!O18)</f>
        <v>0.34735594645076751</v>
      </c>
      <c r="K12" s="145">
        <f>IF(MAIN_DATA!P18=0,"",MAIN_DATA!P18)</f>
        <v>0.62457333019136696</v>
      </c>
      <c r="L12" s="145">
        <f>IF(MAIN_DATA!Q18=0,"",MAIN_DATA!Q18)</f>
        <v>0.67714938526410862</v>
      </c>
      <c r="M12" s="145">
        <f>IF(MAIN_DATA!R18=0,"",MAIN_DATA!R18)</f>
        <v>0.95581610832754327</v>
      </c>
      <c r="N12" s="145">
        <f>IF(MAIN_DATA!S18=0,"",MAIN_DATA!S18)</f>
        <v>1.2776045930698232</v>
      </c>
      <c r="O12" s="145">
        <f>IF(MAIN_DATA!T18=0,"",MAIN_DATA!T18)</f>
        <v>0.1420844073298301</v>
      </c>
      <c r="P12" s="145">
        <f>IF(MAIN_DATA!U18=0,"",MAIN_DATA!U18)</f>
        <v>0.19252513422870132</v>
      </c>
      <c r="Q12" s="145">
        <f>IF(MAIN_DATA!V18=0,"",MAIN_DATA!V18)</f>
        <v>0.34476770752395902</v>
      </c>
      <c r="R12" s="145">
        <f>IF(MAIN_DATA!W18=0,"",MAIN_DATA!W18)</f>
        <v>0.41375810372600547</v>
      </c>
      <c r="S12" s="145">
        <f>IF(MAIN_DATA!X18=0,"",MAIN_DATA!X18)</f>
        <v>2.0350119632924839</v>
      </c>
      <c r="T12" s="145">
        <f>IF(MAIN_DATA!Y18=0,"",MAIN_DATA!Y18)</f>
        <v>7.9578382746500489E-2</v>
      </c>
      <c r="U12" s="145">
        <f>IF(MAIN_DATA!Z18=0,"",MAIN_DATA!Z18)</f>
        <v>0.32971201082114132</v>
      </c>
      <c r="V12" s="145">
        <f>IF(MAIN_DATA!AA18=0,"",MAIN_DATA!AA18)</f>
        <v>0.31612774520311815</v>
      </c>
      <c r="W12" s="145">
        <f>IF(MAIN_DATA!AB18=0,"",MAIN_DATA!AB18)</f>
        <v>0.31521175731246687</v>
      </c>
      <c r="X12" s="145">
        <f>IF(MAIN_DATA!AC18=0,"",MAIN_DATA!AC18)</f>
        <v>0.929980726895278</v>
      </c>
      <c r="AC12" s="130"/>
    </row>
    <row r="13" spans="3:30" s="141" customFormat="1" ht="13.5" customHeight="1">
      <c r="D13" s="137" t="s">
        <v>275</v>
      </c>
      <c r="E13" s="137"/>
      <c r="F13" s="145" t="str">
        <f>IF(MAIN_DATA!K19=0,"",MAIN_DATA!K19)</f>
        <v/>
      </c>
      <c r="G13" s="146">
        <f>IF(MAIN_DATA!L19=0,"",MAIN_DATA!L19)</f>
        <v>17.792973547571588</v>
      </c>
      <c r="H13" s="146">
        <f>IF(MAIN_DATA!M19=0,"",MAIN_DATA!M19)</f>
        <v>30.850539095737947</v>
      </c>
      <c r="I13" s="146">
        <f>IF(MAIN_DATA!N19=0,"",MAIN_DATA!N19)</f>
        <v>2.3428918888876828</v>
      </c>
      <c r="J13" s="146">
        <f>IF(MAIN_DATA!O19=0,"",MAIN_DATA!O19)</f>
        <v>2.6962931521414641</v>
      </c>
      <c r="K13" s="146">
        <f>IF(MAIN_DATA!P19=0,"",MAIN_DATA!P19)</f>
        <v>1.6545972671049383</v>
      </c>
      <c r="L13" s="146">
        <f>IF(MAIN_DATA!Q19=0,"",MAIN_DATA!Q19)</f>
        <v>2.5629747379129126</v>
      </c>
      <c r="M13" s="146">
        <f>IF(MAIN_DATA!R19=0,"",MAIN_DATA!R19)</f>
        <v>1.8059217636208607</v>
      </c>
      <c r="N13" s="146">
        <f>IF(MAIN_DATA!S19=0,"",MAIN_DATA!S19)</f>
        <v>3.0378410857253715</v>
      </c>
      <c r="O13" s="146">
        <f>IF(MAIN_DATA!T19=0,"",MAIN_DATA!T19)</f>
        <v>3.4468348101365844</v>
      </c>
      <c r="P13" s="146">
        <f>IF(MAIN_DATA!U19=0,"",MAIN_DATA!U19)</f>
        <v>1.0108985302216058</v>
      </c>
      <c r="Q13" s="146">
        <f>IF(MAIN_DATA!V19=0,"",MAIN_DATA!V19)</f>
        <v>1.5924263789830608</v>
      </c>
      <c r="R13" s="146">
        <f>IF(MAIN_DATA!W19=0,"",MAIN_DATA!W19)</f>
        <v>1.7339028498944054</v>
      </c>
      <c r="S13" s="146">
        <f>IF(MAIN_DATA!X19=0,"",MAIN_DATA!X19)</f>
        <v>0.64504395692723859</v>
      </c>
      <c r="T13" s="146">
        <f>IF(MAIN_DATA!Y19=0,"",MAIN_DATA!Y19)</f>
        <v>2.5662423587092333</v>
      </c>
      <c r="U13" s="146">
        <f>IF(MAIN_DATA!Z19=0,"",MAIN_DATA!Z19)</f>
        <v>5.4466898803577157</v>
      </c>
      <c r="V13" s="146">
        <f>IF(MAIN_DATA!AA19=0,"",MAIN_DATA!AA19)</f>
        <v>3.4525531365450477</v>
      </c>
      <c r="W13" s="146">
        <f>IF(MAIN_DATA!AB19=0,"",MAIN_DATA!AB19)</f>
        <v>3.1539055367443991</v>
      </c>
      <c r="X13" s="146">
        <f>IF(MAIN_DATA!AC19=0,"",MAIN_DATA!AC19)</f>
        <v>1.9021653011256425</v>
      </c>
      <c r="AC13" s="130"/>
    </row>
    <row r="14" spans="3:30" ht="3.95" customHeight="1">
      <c r="C14" s="117"/>
      <c r="D14" s="147"/>
      <c r="E14" s="147"/>
      <c r="F14" s="148" t="str">
        <f>IF(MAIN_DATA!K20=0,"",MAIN_DATA!K20)</f>
        <v/>
      </c>
      <c r="G14" s="149">
        <f>IF(MAIN_DATA!L20=0,"",MAIN_DATA!L20)</f>
        <v>5.0868318695143161E-2</v>
      </c>
      <c r="H14" s="149">
        <f>IF(MAIN_DATA!M20=0,"",MAIN_DATA!M20)</f>
        <v>7.8876777168244455E-2</v>
      </c>
      <c r="I14" s="149">
        <f>IF(MAIN_DATA!N20=0,"",MAIN_DATA!N20)</f>
        <v>9.8514126863423285E-2</v>
      </c>
      <c r="J14" s="149">
        <f>IF(MAIN_DATA!O20=0,"",MAIN_DATA!O20)</f>
        <v>9.2814684684769541E-2</v>
      </c>
      <c r="K14" s="149">
        <f>IF(MAIN_DATA!P20=0,"",MAIN_DATA!P20)</f>
        <v>6.4511396466898879E-2</v>
      </c>
      <c r="L14" s="149">
        <f>IF(MAIN_DATA!Q20=0,"",MAIN_DATA!Q20)</f>
        <v>7.0153136220768783E-2</v>
      </c>
      <c r="M14" s="149">
        <f>IF(MAIN_DATA!R20=0,"",MAIN_DATA!R20)</f>
        <v>2.8185363226679735E-2</v>
      </c>
      <c r="N14" s="149">
        <f>IF(MAIN_DATA!S20=0,"",MAIN_DATA!S20)</f>
        <v>6.1186797627670944E-2</v>
      </c>
      <c r="O14" s="149">
        <f>IF(MAIN_DATA!T20=0,"",MAIN_DATA!T20)</f>
        <v>0.10074138127555438</v>
      </c>
      <c r="P14" s="149">
        <f>IF(MAIN_DATA!U20=0,"",MAIN_DATA!U20)</f>
        <v>3.436153876839778E-2</v>
      </c>
      <c r="Q14" s="149">
        <f>IF(MAIN_DATA!V20=0,"",MAIN_DATA!V20)</f>
        <v>4.8694430367760319E-2</v>
      </c>
      <c r="R14" s="149">
        <f>IF(MAIN_DATA!W20=0,"",MAIN_DATA!W20)</f>
        <v>6.3173792535125936E-2</v>
      </c>
      <c r="S14" s="149">
        <f>IF(MAIN_DATA!X20=0,"",MAIN_DATA!X20)</f>
        <v>2.6554633755581862E-2</v>
      </c>
      <c r="T14" s="149">
        <f>IF(MAIN_DATA!Y20=0,"",MAIN_DATA!Y20)</f>
        <v>0.10807310974808455</v>
      </c>
      <c r="U14" s="149">
        <f>IF(MAIN_DATA!Z20=0,"",MAIN_DATA!Z20)</f>
        <v>0.20715817824389382</v>
      </c>
      <c r="V14" s="149">
        <f>IF(MAIN_DATA!AA20=0,"",MAIN_DATA!AA20)</f>
        <v>0.13867962307835635</v>
      </c>
      <c r="W14" s="149">
        <f>IF(MAIN_DATA!AB20=0,"",MAIN_DATA!AB20)</f>
        <v>0.10418021595116475</v>
      </c>
      <c r="X14" s="149">
        <f>IF(MAIN_DATA!AC20=0,"",MAIN_DATA!AC20)</f>
        <v>5.1270162625030695E-2</v>
      </c>
      <c r="AC14" s="109"/>
      <c r="AD14" s="110"/>
    </row>
    <row r="15" spans="3:30" s="125" customFormat="1" ht="20.25">
      <c r="C15" s="122"/>
      <c r="D15" s="150" t="s">
        <v>276</v>
      </c>
      <c r="E15" s="150"/>
      <c r="F15" s="151" t="str">
        <f>IF(MAIN_DATA!K21=0,"",MAIN_DATA!K21)</f>
        <v/>
      </c>
      <c r="G15" s="151">
        <f>IF(MAIN_DATA!L21=0,"",MAIN_DATA!L21)</f>
        <v>0.16002319335886922</v>
      </c>
      <c r="H15" s="151">
        <f>IF(MAIN_DATA!M21=0,"",MAIN_DATA!M21)</f>
        <v>0.11751344501709685</v>
      </c>
      <c r="I15" s="151">
        <f>IF(MAIN_DATA!N21=0,"",MAIN_DATA!N21)</f>
        <v>9.4938859721836605E-2</v>
      </c>
      <c r="J15" s="151">
        <f>IF(MAIN_DATA!O21=0,"",MAIN_DATA!O21)</f>
        <v>5.0031643683346234E-2</v>
      </c>
      <c r="K15" s="151">
        <f>IF(MAIN_DATA!P21=0,"",MAIN_DATA!P21)</f>
        <v>7.2903824476989218E-2</v>
      </c>
      <c r="L15" s="151">
        <f>IF(MAIN_DATA!Q21=0,"",MAIN_DATA!Q21)</f>
        <v>0.24186462769533024</v>
      </c>
      <c r="M15" s="151">
        <f>IF(MAIN_DATA!R21=0,"",MAIN_DATA!R21)</f>
        <v>0.23886136286489226</v>
      </c>
      <c r="N15" s="151">
        <f>IF(MAIN_DATA!S21=0,"",MAIN_DATA!S21)</f>
        <v>0.14831972310309921</v>
      </c>
      <c r="O15" s="151">
        <f>IF(MAIN_DATA!T21=0,"",MAIN_DATA!T21)</f>
        <v>8.3578811720281823E-2</v>
      </c>
      <c r="P15" s="151">
        <f>IF(MAIN_DATA!U21=0,"",MAIN_DATA!U21)</f>
        <v>0.28301798752255486</v>
      </c>
      <c r="Q15" s="151">
        <f>IF(MAIN_DATA!V21=0,"",MAIN_DATA!V21)</f>
        <v>0.29109853056450874</v>
      </c>
      <c r="R15" s="151">
        <f>IF(MAIN_DATA!W21=0,"",MAIN_DATA!W21)</f>
        <v>0.20713114935421909</v>
      </c>
      <c r="S15" s="151">
        <f>IF(MAIN_DATA!X21=0,"",MAIN_DATA!X21)</f>
        <v>4.1577929120285975E-2</v>
      </c>
      <c r="T15" s="151">
        <f>IF(MAIN_DATA!Y21=0,"",MAIN_DATA!Y21)</f>
        <v>1.4223658343366303E-2</v>
      </c>
      <c r="U15" s="151">
        <f>IF(MAIN_DATA!Z21=0,"",MAIN_DATA!Z21)</f>
        <v>9.6960655305190924E-3</v>
      </c>
      <c r="V15" s="151">
        <f>IF(MAIN_DATA!AA21=0,"",MAIN_DATA!AA21)</f>
        <v>0.16066871834853649</v>
      </c>
      <c r="W15" s="151">
        <f>IF(MAIN_DATA!AB21=0,"",MAIN_DATA!AB21)</f>
        <v>7.2326226130864243E-2</v>
      </c>
      <c r="X15" s="151">
        <f>IF(MAIN_DATA!AC21=0,"",MAIN_DATA!AC21)</f>
        <v>0.11138234359912032</v>
      </c>
      <c r="AC15" s="126"/>
    </row>
    <row r="16" spans="3:30" s="141" customFormat="1" ht="13.5" customHeight="1">
      <c r="C16" s="152"/>
      <c r="D16" s="153" t="s">
        <v>270</v>
      </c>
      <c r="E16" s="153"/>
      <c r="F16" s="142" t="str">
        <f>IF(MAIN_DATA!K22=0,"",MAIN_DATA!K22)</f>
        <v/>
      </c>
      <c r="G16" s="142">
        <f>IF(MAIN_DATA!L22=0,"",MAIN_DATA!L22)</f>
        <v>55.973708576771749</v>
      </c>
      <c r="H16" s="142">
        <f>IF(MAIN_DATA!M22=0,"",MAIN_DATA!M22)</f>
        <v>45.962237047818348</v>
      </c>
      <c r="I16" s="142">
        <f>IF(MAIN_DATA!N22=0,"",MAIN_DATA!N22)</f>
        <v>2.2578638360253462</v>
      </c>
      <c r="J16" s="142">
        <f>IF(MAIN_DATA!O22=0,"",MAIN_DATA!O22)</f>
        <v>1.4534335672415923</v>
      </c>
      <c r="K16" s="142">
        <f>IF(MAIN_DATA!P22=0,"",MAIN_DATA!P22)</f>
        <v>1.8698474277024604</v>
      </c>
      <c r="L16" s="142">
        <f>IF(MAIN_DATA!Q22=0,"",MAIN_DATA!Q22)</f>
        <v>8.8362825124035496</v>
      </c>
      <c r="M16" s="142">
        <f>IF(MAIN_DATA!R22=0,"",MAIN_DATA!R22)</f>
        <v>15.304572455448318</v>
      </c>
      <c r="N16" s="142">
        <f>IF(MAIN_DATA!S22=0,"",MAIN_DATA!S22)</f>
        <v>7.3638720465122054</v>
      </c>
      <c r="O16" s="142">
        <f>IF(MAIN_DATA!T22=0,"",MAIN_DATA!T22)</f>
        <v>2.8596228677799971</v>
      </c>
      <c r="P16" s="142">
        <f>IF(MAIN_DATA!U22=0,"",MAIN_DATA!U22)</f>
        <v>8.3262414276963401</v>
      </c>
      <c r="Q16" s="142">
        <f>IF(MAIN_DATA!V22=0,"",MAIN_DATA!V22)</f>
        <v>9.5196303859227474</v>
      </c>
      <c r="R16" s="142">
        <f>IF(MAIN_DATA!W22=0,"",MAIN_DATA!W22)</f>
        <v>5.6850360846626709</v>
      </c>
      <c r="S16" s="142">
        <f>IF(MAIN_DATA!X22=0,"",MAIN_DATA!X22)</f>
        <v>1.0099778504740993</v>
      </c>
      <c r="T16" s="142">
        <f>IF(MAIN_DATA!Y22=0,"",MAIN_DATA!Y22)</f>
        <v>0.33774686988871017</v>
      </c>
      <c r="U16" s="142">
        <f>IF(MAIN_DATA!Z22=0,"",MAIN_DATA!Z22)</f>
        <v>0.25493302968800496</v>
      </c>
      <c r="V16" s="142">
        <f>IF(MAIN_DATA!AA22=0,"",MAIN_DATA!AA22)</f>
        <v>3.9999913121013297</v>
      </c>
      <c r="W16" s="142">
        <f>IF(MAIN_DATA!AB22=0,"",MAIN_DATA!AB22)</f>
        <v>2.189572011953675</v>
      </c>
      <c r="X16" s="142">
        <f>IF(MAIN_DATA!AC22=0,"",MAIN_DATA!AC22)</f>
        <v>4.1323767724673495</v>
      </c>
      <c r="AC16" s="130"/>
    </row>
    <row r="17" spans="3:29" s="134" customFormat="1" ht="30" customHeight="1">
      <c r="C17" s="131"/>
      <c r="D17" s="154" t="s">
        <v>277</v>
      </c>
      <c r="E17" s="154"/>
      <c r="F17" s="155" t="str">
        <f>IF(MAIN_DATA!K23=0,"",MAIN_DATA!K23)</f>
        <v/>
      </c>
      <c r="G17" s="155">
        <f>IF(MAIN_DATA!L23=0,"",MAIN_DATA!L23)</f>
        <v>-2.9145844520993561E-2</v>
      </c>
      <c r="H17" s="155">
        <f>IF(MAIN_DATA!M23=0,"",MAIN_DATA!M23)</f>
        <v>-2.3390396087403224E-2</v>
      </c>
      <c r="I17" s="155">
        <f>IF(MAIN_DATA!N23=0,"",MAIN_DATA!N23)</f>
        <v>-2.4302448539620649E-3</v>
      </c>
      <c r="J17" s="155">
        <f>IF(MAIN_DATA!O23=0,"",MAIN_DATA!O23)</f>
        <v>-2.1395438867528743E-2</v>
      </c>
      <c r="K17" s="155">
        <f>IF(MAIN_DATA!P23=0,"",MAIN_DATA!P23)</f>
        <v>-2.5086263054625451E-2</v>
      </c>
      <c r="L17" s="155">
        <f>IF(MAIN_DATA!Q23=0,"",MAIN_DATA!Q23)</f>
        <v>-1.4951558034735647E-2</v>
      </c>
      <c r="M17" s="155">
        <f>IF(MAIN_DATA!R23=0,"",MAIN_DATA!R23)</f>
        <v>-1.2430181914425156E-2</v>
      </c>
      <c r="N17" s="155">
        <f>IF(MAIN_DATA!S23=0,"",MAIN_DATA!S23)</f>
        <v>-3.2341126645944816E-2</v>
      </c>
      <c r="O17" s="155">
        <f>IF(MAIN_DATA!T23=0,"",MAIN_DATA!T23)</f>
        <v>-2.4005565933201797E-2</v>
      </c>
      <c r="P17" s="155">
        <f>IF(MAIN_DATA!U23=0,"",MAIN_DATA!U23)</f>
        <v>-2.2054977519361314E-2</v>
      </c>
      <c r="Q17" s="155">
        <f>IF(MAIN_DATA!V23=0,"",MAIN_DATA!V23)</f>
        <v>-8.6117593986587797E-3</v>
      </c>
      <c r="R17" s="155">
        <f>IF(MAIN_DATA!W23=0,"",MAIN_DATA!W23)</f>
        <v>-1.0665410164081887E-2</v>
      </c>
      <c r="S17" s="155">
        <f>IF(MAIN_DATA!X23=0,"",MAIN_DATA!X23)</f>
        <v>-3.9363768572775425E-2</v>
      </c>
      <c r="T17" s="155">
        <f>IF(MAIN_DATA!Y23=0,"",MAIN_DATA!Y23)</f>
        <v>-1.4537297033135254E-2</v>
      </c>
      <c r="U17" s="155">
        <f>IF(MAIN_DATA!Z23=0,"",MAIN_DATA!Z23)</f>
        <v>-4.7352321186465967E-3</v>
      </c>
      <c r="V17" s="155">
        <f>IF(MAIN_DATA!AA23=0,"",MAIN_DATA!AA23)</f>
        <v>-1.1927925260807586E-2</v>
      </c>
      <c r="W17" s="155">
        <f>IF(MAIN_DATA!AB23=0,"",MAIN_DATA!AB23)</f>
        <v>-1.9793085977835349E-2</v>
      </c>
      <c r="X17" s="155">
        <f>IF(MAIN_DATA!AC23=0,"",MAIN_DATA!AC23)</f>
        <v>-4.9081047899429714E-2</v>
      </c>
      <c r="Y17" s="125"/>
      <c r="Z17" s="125"/>
      <c r="AC17" s="135"/>
    </row>
    <row r="18" spans="3:29" s="159" customFormat="1" ht="30" customHeight="1">
      <c r="C18" s="156"/>
      <c r="D18" s="157" t="s">
        <v>278</v>
      </c>
      <c r="E18" s="157"/>
      <c r="F18" s="158" t="str">
        <f>IF(MAIN_DATA!K24=0,"",MAIN_DATA!K24)</f>
        <v/>
      </c>
      <c r="G18" s="158">
        <f>IF(MAIN_DATA!L24=0,"",MAIN_DATA!L24)</f>
        <v>-10.194778476788681</v>
      </c>
      <c r="H18" s="158">
        <f>IF(MAIN_DATA!M24=0,"",MAIN_DATA!M24)</f>
        <v>-9.14852704263056</v>
      </c>
      <c r="I18" s="158">
        <f>IF(MAIN_DATA!N24=0,"",MAIN_DATA!N24)</f>
        <v>-5.7796796638642997E-2</v>
      </c>
      <c r="J18" s="158">
        <f>IF(MAIN_DATA!O24=0,"",MAIN_DATA!O24)</f>
        <v>-0.62154362212734493</v>
      </c>
      <c r="K18" s="158">
        <f>IF(MAIN_DATA!P24=0,"",MAIN_DATA!P24)</f>
        <v>-0.64341596315244298</v>
      </c>
      <c r="L18" s="158">
        <f>IF(MAIN_DATA!Q24=0,"",MAIN_DATA!Q24)</f>
        <v>-0.54624023386315201</v>
      </c>
      <c r="M18" s="158">
        <f>IF(MAIN_DATA!R24=0,"",MAIN_DATA!R24)</f>
        <v>-0.79643948046686897</v>
      </c>
      <c r="N18" s="158">
        <f>IF(MAIN_DATA!S24=0,"",MAIN_DATA!S24)</f>
        <v>-1.6056928470345</v>
      </c>
      <c r="O18" s="158">
        <f>IF(MAIN_DATA!T24=0,"",MAIN_DATA!T24)</f>
        <v>-0.82134292033642298</v>
      </c>
      <c r="P18" s="158">
        <f>IF(MAIN_DATA!U24=0,"",MAIN_DATA!U24)</f>
        <v>-0.64884592359693394</v>
      </c>
      <c r="Q18" s="158">
        <f>IF(MAIN_DATA!V24=0,"",MAIN_DATA!V24)</f>
        <v>-0.28162549047825103</v>
      </c>
      <c r="R18" s="158">
        <f>IF(MAIN_DATA!W24=0,"",MAIN_DATA!W24)</f>
        <v>-0.29272874615707095</v>
      </c>
      <c r="S18" s="158">
        <f>IF(MAIN_DATA!X24=0,"",MAIN_DATA!X24)</f>
        <v>-0.95619323066031003</v>
      </c>
      <c r="T18" s="158">
        <f>IF(MAIN_DATA!Y24=0,"",MAIN_DATA!Y24)</f>
        <v>-0.34519435514097396</v>
      </c>
      <c r="U18" s="158">
        <f>IF(MAIN_DATA!Z24=0,"",MAIN_DATA!Z24)</f>
        <v>-0.124500712838922</v>
      </c>
      <c r="V18" s="158">
        <f>IF(MAIN_DATA!AA24=0,"",MAIN_DATA!AA24)</f>
        <v>-0.29695635780901797</v>
      </c>
      <c r="W18" s="158">
        <f>IF(MAIN_DATA!AB24=0,"",MAIN_DATA!AB24)</f>
        <v>-0.59920708442393</v>
      </c>
      <c r="X18" s="158">
        <f>IF(MAIN_DATA!AC24=0,"",MAIN_DATA!AC24)</f>
        <v>-1.82094734007341</v>
      </c>
      <c r="Y18" s="129"/>
      <c r="Z18" s="129"/>
      <c r="AC18" s="160"/>
    </row>
    <row r="19" spans="3:29" s="163" customFormat="1" ht="13.5" customHeight="1">
      <c r="C19" s="111"/>
      <c r="D19" s="161" t="s">
        <v>279</v>
      </c>
      <c r="E19" s="161"/>
      <c r="F19" s="162" t="str">
        <f>IF(MAIN_DATA!K25=0,"",MAIN_DATA!K25)</f>
        <v/>
      </c>
      <c r="G19" s="162" t="str">
        <f>IF(MAIN_DATA!L25=0,"",MAIN_DATA!L25)</f>
        <v/>
      </c>
      <c r="H19" s="162" t="str">
        <f>IF(MAIN_DATA!M25=0,"",MAIN_DATA!M25)</f>
        <v/>
      </c>
      <c r="I19" s="162" t="str">
        <f>IF(MAIN_DATA!N25=0,"",MAIN_DATA!N25)</f>
        <v/>
      </c>
      <c r="J19" s="162" t="str">
        <f>IF(MAIN_DATA!O25=0,"",MAIN_DATA!O25)</f>
        <v/>
      </c>
      <c r="K19" s="162" t="str">
        <f>IF(MAIN_DATA!P25=0,"",MAIN_DATA!P25)</f>
        <v/>
      </c>
      <c r="L19" s="162" t="str">
        <f>IF(MAIN_DATA!Q25=0,"",MAIN_DATA!Q25)</f>
        <v/>
      </c>
      <c r="M19" s="162" t="str">
        <f>IF(MAIN_DATA!R25=0,"",MAIN_DATA!R25)</f>
        <v/>
      </c>
      <c r="N19" s="162" t="str">
        <f>IF(MAIN_DATA!S25=0,"",MAIN_DATA!S25)</f>
        <v/>
      </c>
      <c r="O19" s="162" t="str">
        <f>IF(MAIN_DATA!T25=0,"",MAIN_DATA!T25)</f>
        <v/>
      </c>
      <c r="P19" s="162" t="str">
        <f>IF(MAIN_DATA!U25=0,"",MAIN_DATA!U25)</f>
        <v/>
      </c>
      <c r="Q19" s="162" t="str">
        <f>IF(MAIN_DATA!V25=0,"",MAIN_DATA!V25)</f>
        <v/>
      </c>
      <c r="R19" s="162" t="str">
        <f>IF(MAIN_DATA!W25=0,"",MAIN_DATA!W25)</f>
        <v/>
      </c>
      <c r="S19" s="162" t="str">
        <f>IF(MAIN_DATA!X25=0,"",MAIN_DATA!X25)</f>
        <v/>
      </c>
      <c r="T19" s="162" t="str">
        <f>IF(MAIN_DATA!Y25=0,"",MAIN_DATA!Y25)</f>
        <v/>
      </c>
      <c r="U19" s="162" t="str">
        <f>IF(MAIN_DATA!Z25=0,"",MAIN_DATA!Z25)</f>
        <v/>
      </c>
      <c r="V19" s="162" t="str">
        <f>IF(MAIN_DATA!AA25=0,"",MAIN_DATA!AA25)</f>
        <v/>
      </c>
      <c r="W19" s="162" t="str">
        <f>IF(MAIN_DATA!AB25=0,"",MAIN_DATA!AB25)</f>
        <v/>
      </c>
      <c r="X19" s="162" t="str">
        <f>IF(MAIN_DATA!AC25=0,"",MAIN_DATA!AC25)</f>
        <v/>
      </c>
      <c r="AC19" s="164"/>
    </row>
    <row r="20" spans="3:29" s="163" customFormat="1" ht="13.5" customHeight="1">
      <c r="C20" s="111"/>
      <c r="D20" s="161" t="s">
        <v>280</v>
      </c>
      <c r="E20" s="161"/>
      <c r="F20" s="162" t="str">
        <f>IF(MAIN_DATA!K26=0,"",MAIN_DATA!K26)</f>
        <v/>
      </c>
      <c r="G20" s="162">
        <f>IF(MAIN_DATA!L26=0,"",MAIN_DATA!L26)</f>
        <v>246.59079027221171</v>
      </c>
      <c r="H20" s="165">
        <f>IF(MAIN_DATA!M26=0,"",MAIN_DATA!M26)</f>
        <v>218.45001360950579</v>
      </c>
      <c r="I20" s="165">
        <f>IF(MAIN_DATA!N26=0,"",MAIN_DATA!N26)</f>
        <v>21.814666082489001</v>
      </c>
      <c r="J20" s="165">
        <f>IF(MAIN_DATA!O26=0,"",MAIN_DATA!O26)</f>
        <v>20.016122810323999</v>
      </c>
      <c r="K20" s="165">
        <f>IF(MAIN_DATA!P26=0,"",MAIN_DATA!P26)</f>
        <v>14.200166953115801</v>
      </c>
      <c r="L20" s="165">
        <f>IF(MAIN_DATA!Q26=0,"",MAIN_DATA!Q26)</f>
        <v>13.7919098457287</v>
      </c>
      <c r="M20" s="165">
        <f>IF(MAIN_DATA!R26=0,"",MAIN_DATA!R26)</f>
        <v>20.817236363343302</v>
      </c>
      <c r="N20" s="165">
        <f>IF(MAIN_DATA!S26=0,"",MAIN_DATA!S26)</f>
        <v>17.948119523582999</v>
      </c>
      <c r="O20" s="165">
        <f>IF(MAIN_DATA!T26=0,"",MAIN_DATA!T26)</f>
        <v>19.364283171574002</v>
      </c>
      <c r="P20" s="165">
        <f>IF(MAIN_DATA!U26=0,"",MAIN_DATA!U26)</f>
        <v>16.872486376106799</v>
      </c>
      <c r="Q20" s="165">
        <f>IF(MAIN_DATA!V26=0,"",MAIN_DATA!V26)</f>
        <v>22.095909386353199</v>
      </c>
      <c r="R20" s="165">
        <f>IF(MAIN_DATA!W26=0,"",MAIN_DATA!W26)</f>
        <v>24.3587965663387</v>
      </c>
      <c r="S20" s="165">
        <f>IF(MAIN_DATA!X26=0,"",MAIN_DATA!X26)</f>
        <v>26.9856559710006</v>
      </c>
      <c r="T20" s="165">
        <f>IF(MAIN_DATA!Y26=0,"",MAIN_DATA!Y26)</f>
        <v>22.789719493513601</v>
      </c>
      <c r="U20" s="165">
        <f>IF(MAIN_DATA!Z26=0,"",MAIN_DATA!Z26)</f>
        <v>24.956870066841802</v>
      </c>
      <c r="V20" s="165">
        <f>IF(MAIN_DATA!AA26=0,"",MAIN_DATA!AA26)</f>
        <v>15.1192472155179</v>
      </c>
      <c r="W20" s="165">
        <f>IF(MAIN_DATA!AB26=0,"",MAIN_DATA!AB26)</f>
        <v>14.904272919192801</v>
      </c>
      <c r="X20" s="165">
        <f>IF(MAIN_DATA!AC26=0,"",MAIN_DATA!AC26)</f>
        <v>14.0004707005795</v>
      </c>
    </row>
    <row r="21" spans="3:29" s="163" customFormat="1" ht="13.5" customHeight="1">
      <c r="C21" s="111"/>
      <c r="D21" s="161" t="s">
        <v>281</v>
      </c>
      <c r="E21" s="161"/>
      <c r="F21" s="162" t="str">
        <f>IF(MAIN_DATA!K27=0,"",MAIN_DATA!K27)</f>
        <v/>
      </c>
      <c r="G21" s="162">
        <f>IF(MAIN_DATA!L27=0,"",MAIN_DATA!L27)</f>
        <v>217.61517224013821</v>
      </c>
      <c r="H21" s="165">
        <f>IF(MAIN_DATA!M27=0,"",MAIN_DATA!M27)</f>
        <v>190.58571715371309</v>
      </c>
      <c r="I21" s="165">
        <f>IF(MAIN_DATA!N27=0,"",MAIN_DATA!N27)</f>
        <v>17.446632937437801</v>
      </c>
      <c r="J21" s="165">
        <f>IF(MAIN_DATA!O27=0,"",MAIN_DATA!O27)</f>
        <v>17.764235620504301</v>
      </c>
      <c r="K21" s="165">
        <f>IF(MAIN_DATA!P27=0,"",MAIN_DATA!P27)</f>
        <v>17.985727453857201</v>
      </c>
      <c r="L21" s="165">
        <f>IF(MAIN_DATA!Q27=0,"",MAIN_DATA!Q27)</f>
        <v>18.591136468726699</v>
      </c>
      <c r="M21" s="165">
        <f>IF(MAIN_DATA!R27=0,"",MAIN_DATA!R27)</f>
        <v>18.249782789714001</v>
      </c>
      <c r="N21" s="165">
        <f>IF(MAIN_DATA!S27=0,"",MAIN_DATA!S27)</f>
        <v>17.348658144667201</v>
      </c>
      <c r="O21" s="165">
        <f>IF(MAIN_DATA!T27=0,"",MAIN_DATA!T27)</f>
        <v>17.556894101717699</v>
      </c>
      <c r="P21" s="165">
        <f>IF(MAIN_DATA!U27=0,"",MAIN_DATA!U27)</f>
        <v>17.865964046404901</v>
      </c>
      <c r="Q21" s="165">
        <f>IF(MAIN_DATA!V27=0,"",MAIN_DATA!V27)</f>
        <v>17.847405420507599</v>
      </c>
      <c r="R21" s="165">
        <f>IF(MAIN_DATA!W27=0,"",MAIN_DATA!W27)</f>
        <v>18.8921525542365</v>
      </c>
      <c r="S21" s="165">
        <f>IF(MAIN_DATA!X27=0,"",MAIN_DATA!X27)</f>
        <v>20.196558676115</v>
      </c>
      <c r="T21" s="165">
        <f>IF(MAIN_DATA!Y27=0,"",MAIN_DATA!Y27)</f>
        <v>20.689800843972801</v>
      </c>
      <c r="U21" s="165">
        <f>IF(MAIN_DATA!Z27=0,"",MAIN_DATA!Z27)</f>
        <v>21.452992318311999</v>
      </c>
      <c r="V21" s="165">
        <f>IF(MAIN_DATA!AA27=0,"",MAIN_DATA!AA27)</f>
        <v>20.994245738941899</v>
      </c>
      <c r="W21" s="165">
        <f>IF(MAIN_DATA!AB27=0,"",MAIN_DATA!AB27)</f>
        <v>20.761946716078</v>
      </c>
      <c r="X21" s="165">
        <f>IF(MAIN_DATA!AC27=0,"",MAIN_DATA!AC27)</f>
        <v>21.478998878092401</v>
      </c>
    </row>
    <row r="22" spans="3:29" s="163" customFormat="1" ht="13.5" customHeight="1">
      <c r="C22" s="111"/>
      <c r="D22" s="161" t="s">
        <v>282</v>
      </c>
      <c r="E22" s="161"/>
      <c r="F22" s="162" t="str">
        <f>IF(MAIN_DATA!K28=0,"",MAIN_DATA!K28)</f>
        <v/>
      </c>
      <c r="G22" s="162" t="str">
        <f>IF(MAIN_DATA!L28=0,"",MAIN_DATA!L28)</f>
        <v/>
      </c>
      <c r="H22" s="165">
        <f>IF(MAIN_DATA!M28=0,"",MAIN_DATA!M28)</f>
        <v>4.6136777456765099</v>
      </c>
      <c r="I22" s="165">
        <f>IF(MAIN_DATA!N28=0,"",MAIN_DATA!N28)</f>
        <v>0.29746483947027202</v>
      </c>
      <c r="J22" s="165">
        <f>IF(MAIN_DATA!O28=0,"",MAIN_DATA!O28)</f>
        <v>0.72915456079261998</v>
      </c>
      <c r="K22" s="165">
        <f>IF(MAIN_DATA!P28=0,"",MAIN_DATA!P28)</f>
        <v>0.60914322695745293</v>
      </c>
      <c r="L22" s="165">
        <f>IF(MAIN_DATA!Q28=0,"",MAIN_DATA!Q28)</f>
        <v>0.39215354176584399</v>
      </c>
      <c r="M22" s="165">
        <f>IF(MAIN_DATA!R28=0,"",MAIN_DATA!R28)</f>
        <v>0.314962859876669</v>
      </c>
      <c r="N22" s="165">
        <f>IF(MAIN_DATA!S28=0,"",MAIN_DATA!S28)</f>
        <v>9.0335363953329695E-2</v>
      </c>
      <c r="O22" s="165">
        <f>IF(MAIN_DATA!T28=0,"",MAIN_DATA!T28)</f>
        <v>0.23825106686972899</v>
      </c>
      <c r="P22" s="165">
        <f>IF(MAIN_DATA!U28=0,"",MAIN_DATA!U28)</f>
        <v>0.41338406797361699</v>
      </c>
      <c r="Q22" s="165">
        <f>IF(MAIN_DATA!V28=0,"",MAIN_DATA!V28)</f>
        <v>0.11661264089230799</v>
      </c>
      <c r="R22" s="165">
        <f>IF(MAIN_DATA!W28=0,"",MAIN_DATA!W28)</f>
        <v>0.24549230669085301</v>
      </c>
      <c r="S22" s="165">
        <f>IF(MAIN_DATA!X28=0,"",MAIN_DATA!X28)</f>
        <v>0.67594239976651604</v>
      </c>
      <c r="T22" s="165">
        <f>IF(MAIN_DATA!Y28=0,"",MAIN_DATA!Y28)</f>
        <v>0.48701303229605902</v>
      </c>
      <c r="U22" s="165">
        <f>IF(MAIN_DATA!Z28=0,"",MAIN_DATA!Z28)</f>
        <v>0.60722117618357208</v>
      </c>
      <c r="V22" s="165">
        <f>IF(MAIN_DATA!AA28=0,"",MAIN_DATA!AA28)</f>
        <v>0.204613548501658</v>
      </c>
      <c r="W22" s="165">
        <f>IF(MAIN_DATA!AB28=0,"",MAIN_DATA!AB28)</f>
        <v>0.56929864217680992</v>
      </c>
      <c r="X22" s="165">
        <f>IF(MAIN_DATA!AC28=0,"",MAIN_DATA!AC28)</f>
        <v>0.31081765071154699</v>
      </c>
    </row>
    <row r="23" spans="3:29" ht="7.5" customHeight="1">
      <c r="C23" s="166"/>
      <c r="D23" s="167"/>
      <c r="E23" s="167"/>
      <c r="F23" s="168" t="str">
        <f>IF(MAIN_DATA!K29=0,"",MAIN_DATA!K29)</f>
        <v/>
      </c>
      <c r="G23" s="169" t="str">
        <f>IF(MAIN_DATA!L29=0,"",MAIN_DATA!L29)</f>
        <v/>
      </c>
      <c r="H23" s="169">
        <f>IF(MAIN_DATA!M29=0,"",MAIN_DATA!M29)</f>
        <v>1.1795969929163718E-2</v>
      </c>
      <c r="I23" s="170">
        <f>IF(MAIN_DATA!N29=0,"",MAIN_DATA!N29)</f>
        <v>1.2507828070075779E-2</v>
      </c>
      <c r="J23" s="170">
        <f>IF(MAIN_DATA!O29=0,"",MAIN_DATA!O29)</f>
        <v>2.5099737612981163E-2</v>
      </c>
      <c r="K23" s="170">
        <f>IF(MAIN_DATA!P29=0,"",MAIN_DATA!P29)</f>
        <v>2.3749997054048157E-2</v>
      </c>
      <c r="L23" s="170">
        <f>IF(MAIN_DATA!Q29=0,"",MAIN_DATA!Q29)</f>
        <v>1.0733933670122263E-2</v>
      </c>
      <c r="M23" s="170">
        <f>IF(MAIN_DATA!R29=0,"",MAIN_DATA!R29)</f>
        <v>4.9156850464766198E-3</v>
      </c>
      <c r="N23" s="170">
        <f>IF(MAIN_DATA!S29=0,"",MAIN_DATA!S29)</f>
        <v>1.8194933430872918E-3</v>
      </c>
      <c r="O23" s="170">
        <f>IF(MAIN_DATA!T29=0,"",MAIN_DATA!T29)</f>
        <v>6.9634151007892013E-3</v>
      </c>
      <c r="P23" s="170">
        <f>IF(MAIN_DATA!U29=0,"",MAIN_DATA!U29)</f>
        <v>1.405137336068691E-2</v>
      </c>
      <c r="Q23" s="170">
        <f>IF(MAIN_DATA!V29=0,"",MAIN_DATA!V29)</f>
        <v>3.5658704206830614E-3</v>
      </c>
      <c r="R23" s="170">
        <f>IF(MAIN_DATA!W29=0,"",MAIN_DATA!W29)</f>
        <v>8.9443765853444053E-3</v>
      </c>
      <c r="S23" s="170">
        <f>IF(MAIN_DATA!X29=0,"",MAIN_DATA!X29)</f>
        <v>2.7826635181846436E-2</v>
      </c>
      <c r="T23" s="170">
        <f>IF(MAIN_DATA!Y29=0,"",MAIN_DATA!Y29)</f>
        <v>2.0509759224203884E-2</v>
      </c>
      <c r="U23" s="170">
        <f>IF(MAIN_DATA!Z29=0,"",MAIN_DATA!Z29)</f>
        <v>2.3094913683802731E-2</v>
      </c>
      <c r="V23" s="170">
        <f>IF(MAIN_DATA!AA29=0,"",MAIN_DATA!AA29)</f>
        <v>8.218766999580596E-3</v>
      </c>
      <c r="W23" s="170">
        <f>IF(MAIN_DATA!AB29=0,"",MAIN_DATA!AB29)</f>
        <v>1.8805146441991088E-2</v>
      </c>
      <c r="X23" s="170">
        <f>IF(MAIN_DATA!AC29=0,"",MAIN_DATA!AC29)</f>
        <v>8.3776480883552898E-3</v>
      </c>
    </row>
    <row r="24" spans="3:29" s="172" customFormat="1" ht="9" customHeight="1">
      <c r="C24" s="171"/>
      <c r="F24" s="173" t="str">
        <f>IF(MAIN_DATA!K30=0,"",MAIN_DATA!K30)</f>
        <v/>
      </c>
      <c r="G24" s="174" t="str">
        <f>IF(MAIN_DATA!L30=0,"",MAIN_DATA!L30)</f>
        <v/>
      </c>
      <c r="H24" s="174" t="str">
        <f>IF(MAIN_DATA!M30=0,"",MAIN_DATA!M30)</f>
        <v/>
      </c>
      <c r="I24" s="174" t="str">
        <f>IF(MAIN_DATA!N30=0,"",MAIN_DATA!N30)</f>
        <v/>
      </c>
      <c r="J24" s="174" t="str">
        <f>IF(MAIN_DATA!O30=0,"",MAIN_DATA!O30)</f>
        <v/>
      </c>
      <c r="K24" s="174" t="str">
        <f>IF(MAIN_DATA!P30=0,"",MAIN_DATA!P30)</f>
        <v/>
      </c>
      <c r="L24" s="174" t="str">
        <f>IF(MAIN_DATA!Q30=0,"",MAIN_DATA!Q30)</f>
        <v/>
      </c>
      <c r="M24" s="174" t="str">
        <f>IF(MAIN_DATA!R30=0,"",MAIN_DATA!R30)</f>
        <v/>
      </c>
      <c r="N24" s="174" t="str">
        <f>IF(MAIN_DATA!S30=0,"",MAIN_DATA!S30)</f>
        <v/>
      </c>
      <c r="O24" s="174" t="str">
        <f>IF(MAIN_DATA!T30=0,"",MAIN_DATA!T30)</f>
        <v/>
      </c>
      <c r="P24" s="174" t="str">
        <f>IF(MAIN_DATA!U30=0,"",MAIN_DATA!U30)</f>
        <v/>
      </c>
      <c r="Q24" s="174" t="str">
        <f>IF(MAIN_DATA!V30=0,"",MAIN_DATA!V30)</f>
        <v/>
      </c>
      <c r="R24" s="174" t="str">
        <f>IF(MAIN_DATA!W30=0,"",MAIN_DATA!W30)</f>
        <v/>
      </c>
      <c r="S24" s="175" t="str">
        <f>IF(MAIN_DATA!X30=0,"",MAIN_DATA!X30)</f>
        <v/>
      </c>
      <c r="T24" s="176" t="str">
        <f>IF(MAIN_DATA!Y30=0,"",MAIN_DATA!Y30)</f>
        <v/>
      </c>
      <c r="U24" s="176" t="str">
        <f>IF(MAIN_DATA!Z30=0,"",MAIN_DATA!Z30)</f>
        <v/>
      </c>
      <c r="V24" s="176"/>
      <c r="W24" s="176" t="str">
        <f>IF(MAIN_DATA!AB30=0,"",MAIN_DATA!AB30)</f>
        <v/>
      </c>
      <c r="X24" s="232" t="str">
        <f>IF(MAIN_DATA!AC30=0,"",MAIN_DATA!AC30)</f>
        <v/>
      </c>
    </row>
    <row r="25" spans="3:29" s="177" customFormat="1" ht="16.5" customHeight="1">
      <c r="D25" s="178">
        <f>MAIN_DATA!I31</f>
        <v>0</v>
      </c>
      <c r="E25" s="179" t="s">
        <v>283</v>
      </c>
      <c r="F25" s="180" t="str">
        <f>IF(MAIN_DATA!K31=0,"",MAIN_DATA!K31)</f>
        <v/>
      </c>
      <c r="G25" s="180" t="str">
        <f>IF(MAIN_DATA!L31=0,"",MAIN_DATA!L31)</f>
        <v/>
      </c>
      <c r="H25" s="180" t="str">
        <f>IF(MAIN_DATA!M31=0,"",MAIN_DATA!M31)</f>
        <v/>
      </c>
      <c r="I25" s="180" t="str">
        <f>IF(MAIN_DATA!N31=0,"",MAIN_DATA!N31)</f>
        <v/>
      </c>
      <c r="J25" s="180" t="str">
        <f>IF(MAIN_DATA!O31=0,"",MAIN_DATA!O31)</f>
        <v/>
      </c>
      <c r="K25" s="180" t="str">
        <f>IF(MAIN_DATA!P31=0,"",MAIN_DATA!P31)</f>
        <v/>
      </c>
      <c r="L25" s="180" t="str">
        <f>IF(MAIN_DATA!Q31=0,"",MAIN_DATA!Q31)</f>
        <v/>
      </c>
      <c r="M25" s="180" t="str">
        <f>IF(MAIN_DATA!R31=0,"",MAIN_DATA!R31)</f>
        <v/>
      </c>
      <c r="N25" s="180" t="str">
        <f>IF(MAIN_DATA!S31=0,"",MAIN_DATA!S31)</f>
        <v/>
      </c>
      <c r="O25" s="180" t="str">
        <f>IF(MAIN_DATA!T31=0,"",MAIN_DATA!T31)</f>
        <v/>
      </c>
      <c r="P25" s="180" t="str">
        <f>IF(MAIN_DATA!U31=0,"",MAIN_DATA!U31)</f>
        <v/>
      </c>
      <c r="Q25" s="180" t="str">
        <f>IF(MAIN_DATA!V31=0,"",MAIN_DATA!V31)</f>
        <v/>
      </c>
      <c r="R25" s="180" t="str">
        <f>IF(MAIN_DATA!W31=0,"",MAIN_DATA!W31)</f>
        <v/>
      </c>
      <c r="S25" s="180" t="str">
        <f>IF(MAIN_DATA!X31=0,"",MAIN_DATA!X31)</f>
        <v/>
      </c>
      <c r="T25" s="180" t="str">
        <f>IF(MAIN_DATA!Y31=0,"",MAIN_DATA!Y31)</f>
        <v/>
      </c>
      <c r="U25" s="180" t="str">
        <f>IF(MAIN_DATA!Z31=0,"",MAIN_DATA!Z31)</f>
        <v/>
      </c>
      <c r="V25" s="180" t="str">
        <f>IF(MAIN_DATA!AA31=0,"",MAIN_DATA!AA31)</f>
        <v/>
      </c>
      <c r="W25" s="180" t="str">
        <f>IF(MAIN_DATA!AB31=0,"",MAIN_DATA!AB31)</f>
        <v/>
      </c>
      <c r="X25" s="180" t="str">
        <f>IF(MAIN_DATA!AC31=0,"",MAIN_DATA!AC31)</f>
        <v/>
      </c>
    </row>
    <row r="26" spans="3:29" s="177" customFormat="1" ht="16.5" customHeight="1">
      <c r="D26" s="181"/>
      <c r="E26" s="182" t="s">
        <v>284</v>
      </c>
      <c r="F26" s="183" t="str">
        <f>IF(MAIN_DATA!K32=0,"",MAIN_DATA!K32)</f>
        <v/>
      </c>
      <c r="G26" s="183" t="str">
        <f>IF(MAIN_DATA!L32=0,"",MAIN_DATA!L32)</f>
        <v/>
      </c>
      <c r="H26" s="183" t="str">
        <f>IF(MAIN_DATA!M32=0,"",MAIN_DATA!M32)</f>
        <v/>
      </c>
      <c r="I26" s="183" t="str">
        <f>IF(MAIN_DATA!N32=0,"",MAIN_DATA!N32)</f>
        <v/>
      </c>
      <c r="J26" s="183" t="str">
        <f>IF(MAIN_DATA!O32=0,"",MAIN_DATA!O32)</f>
        <v/>
      </c>
      <c r="K26" s="183" t="str">
        <f>IF(MAIN_DATA!P32=0,"",MAIN_DATA!P32)</f>
        <v/>
      </c>
      <c r="L26" s="183" t="str">
        <f>IF(MAIN_DATA!Q32=0,"",MAIN_DATA!Q32)</f>
        <v/>
      </c>
      <c r="M26" s="183" t="str">
        <f>IF(MAIN_DATA!R32=0,"",MAIN_DATA!R32)</f>
        <v/>
      </c>
      <c r="N26" s="183" t="str">
        <f>IF(MAIN_DATA!S32=0,"",MAIN_DATA!S32)</f>
        <v/>
      </c>
      <c r="O26" s="183" t="str">
        <f>IF(MAIN_DATA!T32=0,"",MAIN_DATA!T32)</f>
        <v/>
      </c>
      <c r="P26" s="183" t="str">
        <f>IF(MAIN_DATA!U32=0,"",MAIN_DATA!U32)</f>
        <v/>
      </c>
      <c r="Q26" s="183" t="str">
        <f>IF(MAIN_DATA!V32=0,"",MAIN_DATA!V32)</f>
        <v/>
      </c>
      <c r="R26" s="183" t="str">
        <f>IF(MAIN_DATA!W32=0,"",MAIN_DATA!W32)</f>
        <v/>
      </c>
      <c r="S26" s="183" t="str">
        <f>IF(MAIN_DATA!X32=0,"",MAIN_DATA!X32)</f>
        <v/>
      </c>
      <c r="T26" s="183" t="str">
        <f>IF(MAIN_DATA!Y32=0,"",MAIN_DATA!Y32)</f>
        <v/>
      </c>
      <c r="U26" s="183" t="str">
        <f>IF(MAIN_DATA!Z32=0,"",MAIN_DATA!Z32)</f>
        <v/>
      </c>
      <c r="V26" s="183" t="str">
        <f>IF(MAIN_DATA!AA32=0,"",MAIN_DATA!AA32)</f>
        <v/>
      </c>
      <c r="W26" s="183" t="str">
        <f>IF(MAIN_DATA!AB32=0,"",MAIN_DATA!AB32)</f>
        <v/>
      </c>
      <c r="X26" s="183" t="str">
        <f>IF(MAIN_DATA!AC32=0,"",MAIN_DATA!AC32)</f>
        <v/>
      </c>
    </row>
    <row r="27" spans="3:29" s="172" customFormat="1" ht="9" customHeight="1">
      <c r="D27" s="171"/>
      <c r="E27" s="184"/>
      <c r="F27" s="185" t="str">
        <f>IF(MAIN_DATA!K33=0,"",MAIN_DATA!K33)</f>
        <v/>
      </c>
      <c r="G27" s="185" t="str">
        <f>IF(MAIN_DATA!L33=0,"",MAIN_DATA!L33)</f>
        <v/>
      </c>
      <c r="H27" s="185" t="str">
        <f>IF(MAIN_DATA!M33=0,"",MAIN_DATA!M33)</f>
        <v/>
      </c>
      <c r="I27" s="185" t="str">
        <f>IF(MAIN_DATA!N33=0,"",MAIN_DATA!N33)</f>
        <v/>
      </c>
      <c r="J27" s="185" t="str">
        <f>IF(MAIN_DATA!O33=0,"",MAIN_DATA!O33)</f>
        <v/>
      </c>
      <c r="K27" s="185" t="str">
        <f>IF(MAIN_DATA!P33=0,"",MAIN_DATA!P33)</f>
        <v/>
      </c>
      <c r="L27" s="185" t="str">
        <f>IF(MAIN_DATA!Q33=0,"",MAIN_DATA!Q33)</f>
        <v/>
      </c>
      <c r="M27" s="185" t="str">
        <f>IF(MAIN_DATA!R33=0,"",MAIN_DATA!R33)</f>
        <v/>
      </c>
      <c r="N27" s="185" t="str">
        <f>IF(MAIN_DATA!S33=0,"",MAIN_DATA!S33)</f>
        <v/>
      </c>
      <c r="O27" s="185" t="str">
        <f>IF(MAIN_DATA!T33=0,"",MAIN_DATA!T33)</f>
        <v/>
      </c>
      <c r="P27" s="185" t="str">
        <f>IF(MAIN_DATA!U33=0,"",MAIN_DATA!U33)</f>
        <v/>
      </c>
      <c r="Q27" s="185" t="str">
        <f>IF(MAIN_DATA!V33=0,"",MAIN_DATA!V33)</f>
        <v/>
      </c>
      <c r="R27" s="185" t="str">
        <f>IF(MAIN_DATA!W33=0,"",MAIN_DATA!W33)</f>
        <v/>
      </c>
      <c r="S27" s="186" t="str">
        <f>IF(MAIN_DATA!X33=0,"",MAIN_DATA!X33)</f>
        <v/>
      </c>
      <c r="T27" s="187" t="str">
        <f>IF(MAIN_DATA!Y33=0,"",MAIN_DATA!Y33)</f>
        <v/>
      </c>
      <c r="U27" s="187" t="str">
        <f>IF(MAIN_DATA!Z33=0,"",MAIN_DATA!Z33)</f>
        <v/>
      </c>
      <c r="V27" s="187"/>
      <c r="W27" s="176" t="str">
        <f>IF(MAIN_DATA!AB33=0,"",MAIN_DATA!AB33)</f>
        <v/>
      </c>
      <c r="X27" s="188" t="str">
        <f>IF(MAIN_DATA!AC33=0,"",MAIN_DATA!AC33)</f>
        <v/>
      </c>
    </row>
    <row r="28" spans="3:29" s="177" customFormat="1" ht="16.5" customHeight="1">
      <c r="D28" s="178">
        <f>MAIN_DATA!I34</f>
        <v>0</v>
      </c>
      <c r="E28" s="179" t="s">
        <v>285</v>
      </c>
      <c r="F28" s="180" t="str">
        <f>IF(MAIN_DATA!K34=0,"",MAIN_DATA!K34)</f>
        <v/>
      </c>
      <c r="G28" s="180" t="str">
        <f>IF(MAIN_DATA!L34=0,"",MAIN_DATA!L34)</f>
        <v/>
      </c>
      <c r="H28" s="180" t="str">
        <f>IF(MAIN_DATA!M34=0,"",MAIN_DATA!M34)</f>
        <v/>
      </c>
      <c r="I28" s="180" t="str">
        <f>IF(MAIN_DATA!N34=0,"",MAIN_DATA!N34)</f>
        <v/>
      </c>
      <c r="J28" s="180" t="str">
        <f>IF(MAIN_DATA!O34=0,"",MAIN_DATA!O34)</f>
        <v/>
      </c>
      <c r="K28" s="180" t="str">
        <f>IF(MAIN_DATA!P34=0,"",MAIN_DATA!P34)</f>
        <v/>
      </c>
      <c r="L28" s="180" t="str">
        <f>IF(MAIN_DATA!Q34=0,"",MAIN_DATA!Q34)</f>
        <v/>
      </c>
      <c r="M28" s="180" t="str">
        <f>IF(MAIN_DATA!R34=0,"",MAIN_DATA!R34)</f>
        <v/>
      </c>
      <c r="N28" s="180" t="str">
        <f>IF(MAIN_DATA!S34=0,"",MAIN_DATA!S34)</f>
        <v/>
      </c>
      <c r="O28" s="180" t="str">
        <f>IF(MAIN_DATA!T34=0,"",MAIN_DATA!T34)</f>
        <v/>
      </c>
      <c r="P28" s="180" t="str">
        <f>IF(MAIN_DATA!U34=0,"",MAIN_DATA!U34)</f>
        <v/>
      </c>
      <c r="Q28" s="180" t="str">
        <f>IF(MAIN_DATA!V34=0,"",MAIN_DATA!V34)</f>
        <v/>
      </c>
      <c r="R28" s="180" t="str">
        <f>IF(MAIN_DATA!W34=0,"",MAIN_DATA!W34)</f>
        <v/>
      </c>
      <c r="S28" s="180" t="str">
        <f>IF(MAIN_DATA!X34=0,"",MAIN_DATA!X34)</f>
        <v/>
      </c>
      <c r="T28" s="180" t="str">
        <f>IF(MAIN_DATA!Y34=0,"",MAIN_DATA!Y34)</f>
        <v/>
      </c>
      <c r="U28" s="180" t="str">
        <f>IF(MAIN_DATA!Z34=0,"",MAIN_DATA!Z34)</f>
        <v/>
      </c>
      <c r="V28" s="180" t="str">
        <f>IF(MAIN_DATA!AA34=0,"",MAIN_DATA!AA34)</f>
        <v/>
      </c>
      <c r="W28" s="180" t="str">
        <f>IF(MAIN_DATA!AB34=0,"",MAIN_DATA!AB34)</f>
        <v/>
      </c>
      <c r="X28" s="180" t="str">
        <f>IF(MAIN_DATA!AC34=0,"",MAIN_DATA!AC34)</f>
        <v/>
      </c>
    </row>
    <row r="29" spans="3:29" s="177" customFormat="1" ht="16.5" customHeight="1">
      <c r="D29" s="181"/>
      <c r="E29" s="182" t="s">
        <v>286</v>
      </c>
      <c r="F29" s="183" t="str">
        <f>IF(MAIN_DATA!K35=0,"",MAIN_DATA!K35)</f>
        <v/>
      </c>
      <c r="G29" s="183" t="str">
        <f>IF(MAIN_DATA!L35=0,"",MAIN_DATA!L35)</f>
        <v/>
      </c>
      <c r="H29" s="183" t="str">
        <f>IF(MAIN_DATA!M35=0,"",MAIN_DATA!M35)</f>
        <v/>
      </c>
      <c r="I29" s="183" t="str">
        <f>IF(MAIN_DATA!N35=0,"",MAIN_DATA!N35)</f>
        <v/>
      </c>
      <c r="J29" s="183" t="str">
        <f>IF(MAIN_DATA!O35=0,"",MAIN_DATA!O35)</f>
        <v/>
      </c>
      <c r="K29" s="183" t="str">
        <f>IF(MAIN_DATA!P35=0,"",MAIN_DATA!P35)</f>
        <v/>
      </c>
      <c r="L29" s="183" t="str">
        <f>IF(MAIN_DATA!Q35=0,"",MAIN_DATA!Q35)</f>
        <v/>
      </c>
      <c r="M29" s="183" t="str">
        <f>IF(MAIN_DATA!R35=0,"",MAIN_DATA!R35)</f>
        <v/>
      </c>
      <c r="N29" s="183" t="str">
        <f>IF(MAIN_DATA!S35=0,"",MAIN_DATA!S35)</f>
        <v/>
      </c>
      <c r="O29" s="183" t="str">
        <f>IF(MAIN_DATA!T35=0,"",MAIN_DATA!T35)</f>
        <v/>
      </c>
      <c r="P29" s="183" t="str">
        <f>IF(MAIN_DATA!U35=0,"",MAIN_DATA!U35)</f>
        <v/>
      </c>
      <c r="Q29" s="183" t="str">
        <f>IF(MAIN_DATA!V35=0,"",MAIN_DATA!V35)</f>
        <v/>
      </c>
      <c r="R29" s="183" t="str">
        <f>IF(MAIN_DATA!W35=0,"",MAIN_DATA!W35)</f>
        <v/>
      </c>
      <c r="S29" s="183" t="str">
        <f>IF(MAIN_DATA!X35=0,"",MAIN_DATA!X35)</f>
        <v/>
      </c>
      <c r="T29" s="183" t="str">
        <f>IF(MAIN_DATA!Y35=0,"",MAIN_DATA!Y35)</f>
        <v/>
      </c>
      <c r="U29" s="183" t="str">
        <f>IF(MAIN_DATA!Z35=0,"",MAIN_DATA!Z35)</f>
        <v/>
      </c>
      <c r="V29" s="183" t="str">
        <f>IF(MAIN_DATA!AA35=0,"",MAIN_DATA!AA35)</f>
        <v/>
      </c>
      <c r="W29" s="183" t="str">
        <f>IF(MAIN_DATA!AB35=0,"",MAIN_DATA!AB35)</f>
        <v/>
      </c>
      <c r="X29" s="183" t="str">
        <f>IF(MAIN_DATA!AC35=0,"",MAIN_DATA!AC35)</f>
        <v/>
      </c>
    </row>
    <row r="30" spans="3:29" s="172" customFormat="1" ht="9" customHeight="1">
      <c r="D30" s="171"/>
      <c r="E30" s="184"/>
      <c r="F30" s="185" t="str">
        <f>IF(MAIN_DATA!K36=0,"",MAIN_DATA!K36)</f>
        <v/>
      </c>
      <c r="G30" s="185" t="str">
        <f>IF(MAIN_DATA!L36=0,"",MAIN_DATA!L36)</f>
        <v/>
      </c>
      <c r="H30" s="185" t="str">
        <f>IF(MAIN_DATA!M36=0,"",MAIN_DATA!M36)</f>
        <v/>
      </c>
      <c r="I30" s="185" t="str">
        <f>IF(MAIN_DATA!N36=0,"",MAIN_DATA!N36)</f>
        <v/>
      </c>
      <c r="J30" s="185" t="str">
        <f>IF(MAIN_DATA!O36=0,"",MAIN_DATA!O36)</f>
        <v/>
      </c>
      <c r="K30" s="185" t="str">
        <f>IF(MAIN_DATA!P36=0,"",MAIN_DATA!P36)</f>
        <v/>
      </c>
      <c r="L30" s="185" t="str">
        <f>IF(MAIN_DATA!Q36=0,"",MAIN_DATA!Q36)</f>
        <v/>
      </c>
      <c r="M30" s="185" t="str">
        <f>IF(MAIN_DATA!R36=0,"",MAIN_DATA!R36)</f>
        <v/>
      </c>
      <c r="N30" s="185" t="str">
        <f>IF(MAIN_DATA!S36=0,"",MAIN_DATA!S36)</f>
        <v/>
      </c>
      <c r="O30" s="185" t="str">
        <f>IF(MAIN_DATA!T36=0,"",MAIN_DATA!T36)</f>
        <v/>
      </c>
      <c r="P30" s="185" t="str">
        <f>IF(MAIN_DATA!U36=0,"",MAIN_DATA!U36)</f>
        <v/>
      </c>
      <c r="Q30" s="185" t="str">
        <f>IF(MAIN_DATA!V36=0,"",MAIN_DATA!V36)</f>
        <v/>
      </c>
      <c r="R30" s="185" t="str">
        <f>IF(MAIN_DATA!W36=0,"",MAIN_DATA!W36)</f>
        <v/>
      </c>
      <c r="S30" s="186" t="str">
        <f>IF(MAIN_DATA!X36=0,"",MAIN_DATA!X36)</f>
        <v/>
      </c>
      <c r="T30" s="187" t="str">
        <f>IF(MAIN_DATA!Y36=0,"",MAIN_DATA!Y36)</f>
        <v/>
      </c>
      <c r="U30" s="187" t="str">
        <f>IF(MAIN_DATA!Z36=0,"",MAIN_DATA!Z36)</f>
        <v/>
      </c>
      <c r="V30" s="187"/>
      <c r="W30" s="176" t="str">
        <f>IF(MAIN_DATA!AB36=0,"",MAIN_DATA!AB36)</f>
        <v/>
      </c>
      <c r="X30" s="188" t="str">
        <f>IF(MAIN_DATA!AC36=0,"",MAIN_DATA!AC36)</f>
        <v/>
      </c>
    </row>
    <row r="31" spans="3:29" s="177" customFormat="1" ht="16.5" customHeight="1">
      <c r="D31" s="178">
        <f>MAIN_DATA!I37</f>
        <v>0</v>
      </c>
      <c r="E31" s="179" t="s">
        <v>285</v>
      </c>
      <c r="F31" s="243" t="str">
        <f>IF(MAIN_DATA!K37=0,"",MAIN_DATA!K37)</f>
        <v/>
      </c>
      <c r="G31" s="243" t="str">
        <f>IF(MAIN_DATA!L37=0,"",MAIN_DATA!L37)</f>
        <v/>
      </c>
      <c r="H31" s="243" t="str">
        <f>IF(MAIN_DATA!M37=0,"",MAIN_DATA!M37)</f>
        <v/>
      </c>
      <c r="I31" s="243" t="str">
        <f>IF(MAIN_DATA!N37=0,"",MAIN_DATA!N37)</f>
        <v/>
      </c>
      <c r="J31" s="243" t="str">
        <f>IF(MAIN_DATA!O37=0,"",MAIN_DATA!O37)</f>
        <v/>
      </c>
      <c r="K31" s="243" t="str">
        <f>IF(MAIN_DATA!P37=0,"",MAIN_DATA!P37)</f>
        <v/>
      </c>
      <c r="L31" s="243" t="str">
        <f>IF(MAIN_DATA!Q37=0,"",MAIN_DATA!Q37)</f>
        <v/>
      </c>
      <c r="M31" s="243" t="str">
        <f>IF(MAIN_DATA!R37=0,"",MAIN_DATA!R37)</f>
        <v/>
      </c>
      <c r="N31" s="243" t="str">
        <f>IF(MAIN_DATA!S37=0,"",MAIN_DATA!S37)</f>
        <v/>
      </c>
      <c r="O31" s="243" t="str">
        <f>IF(MAIN_DATA!T37=0,"",MAIN_DATA!T37)</f>
        <v/>
      </c>
      <c r="P31" s="243" t="str">
        <f>IF(MAIN_DATA!U37=0,"",MAIN_DATA!U37)</f>
        <v/>
      </c>
      <c r="Q31" s="243" t="str">
        <f>IF(MAIN_DATA!V37=0,"",MAIN_DATA!V37)</f>
        <v/>
      </c>
      <c r="R31" s="243" t="str">
        <f>IF(MAIN_DATA!W37=0,"",MAIN_DATA!W37)</f>
        <v/>
      </c>
      <c r="S31" s="243" t="str">
        <f>IF(MAIN_DATA!X37=0,"",MAIN_DATA!X37)</f>
        <v/>
      </c>
      <c r="T31" s="243" t="str">
        <f>IF(MAIN_DATA!Y37=0,"",MAIN_DATA!Y37)</f>
        <v/>
      </c>
      <c r="U31" s="243" t="str">
        <f>IF(MAIN_DATA!Z37=0,"",MAIN_DATA!Z37)</f>
        <v/>
      </c>
      <c r="V31" s="243" t="str">
        <f>IF(MAIN_DATA!AA37=0,"",MAIN_DATA!AA37)</f>
        <v/>
      </c>
      <c r="W31" s="243" t="str">
        <f>IF(MAIN_DATA!AB37=0,"",MAIN_DATA!AB37)</f>
        <v/>
      </c>
      <c r="X31" s="243" t="str">
        <f>IF(MAIN_DATA!AC37=0,"",MAIN_DATA!AC37)</f>
        <v/>
      </c>
    </row>
    <row r="32" spans="3:29" s="177" customFormat="1" ht="16.5" customHeight="1">
      <c r="D32" s="189"/>
      <c r="E32" s="190" t="s">
        <v>286</v>
      </c>
      <c r="F32" s="191" t="str">
        <f>IF(MAIN_DATA!K38=0,"",MAIN_DATA!K38)</f>
        <v/>
      </c>
      <c r="G32" s="191" t="str">
        <f>IF(MAIN_DATA!L38=0,"",MAIN_DATA!L38)</f>
        <v/>
      </c>
      <c r="H32" s="191" t="str">
        <f>IF(MAIN_DATA!M38=0,"",MAIN_DATA!M38)</f>
        <v/>
      </c>
      <c r="I32" s="191" t="str">
        <f>IF(MAIN_DATA!N38=0,"",MAIN_DATA!N38)</f>
        <v/>
      </c>
      <c r="J32" s="191" t="str">
        <f>IF(MAIN_DATA!O38=0,"",MAIN_DATA!O38)</f>
        <v/>
      </c>
      <c r="K32" s="191" t="str">
        <f>IF(MAIN_DATA!P38=0,"",MAIN_DATA!P38)</f>
        <v/>
      </c>
      <c r="L32" s="191" t="str">
        <f>IF(MAIN_DATA!Q38=0,"",MAIN_DATA!Q38)</f>
        <v/>
      </c>
      <c r="M32" s="191" t="str">
        <f>IF(MAIN_DATA!R38=0,"",MAIN_DATA!R38)</f>
        <v/>
      </c>
      <c r="N32" s="191" t="str">
        <f>IF(MAIN_DATA!S38=0,"",MAIN_DATA!S38)</f>
        <v/>
      </c>
      <c r="O32" s="191" t="str">
        <f>IF(MAIN_DATA!T38=0,"",MAIN_DATA!T38)</f>
        <v/>
      </c>
      <c r="P32" s="191" t="str">
        <f>IF(MAIN_DATA!U38=0,"",MAIN_DATA!U38)</f>
        <v/>
      </c>
      <c r="Q32" s="191" t="str">
        <f>IF(MAIN_DATA!V38=0,"",MAIN_DATA!V38)</f>
        <v/>
      </c>
      <c r="R32" s="191" t="str">
        <f>IF(MAIN_DATA!W38=0,"",MAIN_DATA!W38)</f>
        <v/>
      </c>
      <c r="S32" s="191" t="str">
        <f>IF(MAIN_DATA!X38=0,"",MAIN_DATA!X38)</f>
        <v/>
      </c>
      <c r="T32" s="191" t="str">
        <f>IF(MAIN_DATA!Y38=0,"",MAIN_DATA!Y38)</f>
        <v/>
      </c>
      <c r="U32" s="191" t="str">
        <f>IF(MAIN_DATA!Z38=0,"",MAIN_DATA!Z38)</f>
        <v/>
      </c>
      <c r="V32" s="191" t="str">
        <f>IF(MAIN_DATA!AA38=0,"",MAIN_DATA!AA38)</f>
        <v/>
      </c>
      <c r="W32" s="191" t="str">
        <f>IF(MAIN_DATA!AB38=0,"",MAIN_DATA!AB38)</f>
        <v/>
      </c>
      <c r="X32" s="191" t="str">
        <f>IF(MAIN_DATA!AC38=0,"",MAIN_DATA!AC38)</f>
        <v/>
      </c>
    </row>
    <row r="33" spans="3:29" ht="3.75" customHeight="1">
      <c r="C33" s="166"/>
      <c r="D33" s="166"/>
      <c r="E33" s="166"/>
      <c r="F33" s="192" t="str">
        <f>IF(MAIN_DATA!K39=0,"",MAIN_DATA!K39)</f>
        <v/>
      </c>
      <c r="G33" s="193" t="str">
        <f>IF(MAIN_DATA!L39=0,"",MAIN_DATA!L39)</f>
        <v/>
      </c>
      <c r="H33" s="193" t="str">
        <f>IF(MAIN_DATA!M39=0,"",MAIN_DATA!M39)</f>
        <v/>
      </c>
      <c r="I33" s="193" t="str">
        <f>IF(MAIN_DATA!N39=0,"",MAIN_DATA!N39)</f>
        <v/>
      </c>
      <c r="J33" s="193" t="str">
        <f>IF(MAIN_DATA!O39=0,"",MAIN_DATA!O39)</f>
        <v/>
      </c>
      <c r="K33" s="193" t="str">
        <f>IF(MAIN_DATA!P39=0,"",MAIN_DATA!P39)</f>
        <v/>
      </c>
      <c r="L33" s="193" t="str">
        <f>IF(MAIN_DATA!Q39=0,"",MAIN_DATA!Q39)</f>
        <v/>
      </c>
      <c r="M33" s="193" t="str">
        <f>IF(MAIN_DATA!R39=0,"",MAIN_DATA!R39)</f>
        <v/>
      </c>
      <c r="N33" s="193" t="str">
        <f>IF(MAIN_DATA!S39=0,"",MAIN_DATA!S39)</f>
        <v/>
      </c>
      <c r="O33" s="193" t="str">
        <f>IF(MAIN_DATA!T39=0,"",MAIN_DATA!T39)</f>
        <v/>
      </c>
      <c r="P33" s="193" t="str">
        <f>IF(MAIN_DATA!U39=0,"",MAIN_DATA!U39)</f>
        <v/>
      </c>
      <c r="Q33" s="193" t="str">
        <f>IF(MAIN_DATA!V39=0,"",MAIN_DATA!V39)</f>
        <v/>
      </c>
      <c r="R33" s="193" t="str">
        <f>IF(MAIN_DATA!W39=0,"",MAIN_DATA!W39)</f>
        <v/>
      </c>
      <c r="S33" s="193" t="str">
        <f>IF(MAIN_DATA!X39=0,"",MAIN_DATA!X39)</f>
        <v/>
      </c>
      <c r="T33" s="193" t="str">
        <f>IF(MAIN_DATA!Y39=0,"",MAIN_DATA!Y39)</f>
        <v/>
      </c>
      <c r="U33" s="193" t="str">
        <f>IF(MAIN_DATA!Z39=0,"",MAIN_DATA!Z39)</f>
        <v/>
      </c>
      <c r="V33" s="193" t="str">
        <f>IF(MAIN_DATA!AA39=0,"",MAIN_DATA!AA39)</f>
        <v/>
      </c>
      <c r="W33" s="193" t="str">
        <f>IF(MAIN_DATA!AB39=0,"",MAIN_DATA!AB39)</f>
        <v/>
      </c>
      <c r="X33" s="193" t="str">
        <f>IF(MAIN_DATA!AC39=0,"",MAIN_DATA!AC39)</f>
        <v/>
      </c>
      <c r="Y33" s="110"/>
    </row>
    <row r="34" spans="3:29" ht="4.5" customHeight="1">
      <c r="D34" s="107"/>
      <c r="E34" s="107"/>
      <c r="F34" s="194" t="str">
        <f>IF(MAIN_DATA!K40=0,"",MAIN_DATA!K40)</f>
        <v/>
      </c>
      <c r="G34" s="195" t="str">
        <f>IF(MAIN_DATA!L40=0,"",MAIN_DATA!L40)</f>
        <v/>
      </c>
      <c r="H34" s="195" t="str">
        <f>IF(MAIN_DATA!M40=0,"",MAIN_DATA!M40)</f>
        <v/>
      </c>
      <c r="I34" s="195" t="str">
        <f>IF(MAIN_DATA!N40=0,"",MAIN_DATA!N40)</f>
        <v/>
      </c>
      <c r="J34" s="195" t="str">
        <f>IF(MAIN_DATA!O40=0,"",MAIN_DATA!O40)</f>
        <v/>
      </c>
      <c r="K34" s="195" t="str">
        <f>IF(MAIN_DATA!P40=0,"",MAIN_DATA!P40)</f>
        <v/>
      </c>
      <c r="L34" s="195" t="str">
        <f>IF(MAIN_DATA!Q40=0,"",MAIN_DATA!Q40)</f>
        <v/>
      </c>
      <c r="M34" s="195" t="str">
        <f>IF(MAIN_DATA!R40=0,"",MAIN_DATA!R40)</f>
        <v/>
      </c>
      <c r="N34" s="195" t="str">
        <f>IF(MAIN_DATA!S40=0,"",MAIN_DATA!S40)</f>
        <v/>
      </c>
      <c r="O34" s="195" t="str">
        <f>IF(MAIN_DATA!T40=0,"",MAIN_DATA!T40)</f>
        <v/>
      </c>
      <c r="P34" s="195" t="str">
        <f>IF(MAIN_DATA!U40=0,"",MAIN_DATA!U40)</f>
        <v/>
      </c>
      <c r="Q34" s="195" t="str">
        <f>IF(MAIN_DATA!V40=0,"",MAIN_DATA!V40)</f>
        <v/>
      </c>
      <c r="R34" s="195" t="str">
        <f>IF(MAIN_DATA!W40=0,"",MAIN_DATA!W40)</f>
        <v/>
      </c>
      <c r="S34" s="195" t="str">
        <f>IF(MAIN_DATA!X40=0,"",MAIN_DATA!X40)</f>
        <v/>
      </c>
      <c r="T34" s="195" t="str">
        <f>IF(MAIN_DATA!Y40=0,"",MAIN_DATA!Y40)</f>
        <v/>
      </c>
      <c r="U34" s="195" t="str">
        <f>IF(MAIN_DATA!Z40=0,"",MAIN_DATA!Z40)</f>
        <v/>
      </c>
      <c r="V34" s="195" t="str">
        <f>IF(MAIN_DATA!AA40=0,"",MAIN_DATA!AA40)</f>
        <v/>
      </c>
      <c r="W34" s="195" t="str">
        <f>IF(MAIN_DATA!AB40=0,"",MAIN_DATA!AB40)</f>
        <v/>
      </c>
      <c r="X34" s="195" t="str">
        <f>IF(MAIN_DATA!AC40=0,"",MAIN_DATA!AC40)</f>
        <v/>
      </c>
    </row>
    <row r="35" spans="3:29" s="196" customFormat="1" ht="14.25" customHeight="1">
      <c r="D35" s="197" t="s">
        <v>287</v>
      </c>
      <c r="E35" s="197"/>
      <c r="F35" s="198" t="str">
        <f>IF(MAIN_DATA!K41=0,"",MAIN_DATA!K41)</f>
        <v/>
      </c>
      <c r="G35" s="199" t="str">
        <f>IF(MAIN_DATA!L41=0,"",MAIN_DATA!L41)</f>
        <v/>
      </c>
      <c r="H35" s="199" t="str">
        <f>IF(MAIN_DATA!M41=0,"",MAIN_DATA!M41)</f>
        <v/>
      </c>
      <c r="I35" s="199" t="str">
        <f>IF(MAIN_DATA!N41=0,"",MAIN_DATA!N41)</f>
        <v/>
      </c>
      <c r="J35" s="199" t="str">
        <f>IF(MAIN_DATA!O41=0,"",MAIN_DATA!O41)</f>
        <v/>
      </c>
      <c r="K35" s="199" t="str">
        <f>IF(MAIN_DATA!P41=0,"",MAIN_DATA!P41)</f>
        <v/>
      </c>
      <c r="L35" s="199" t="str">
        <f>IF(MAIN_DATA!Q41=0,"",MAIN_DATA!Q41)</f>
        <v/>
      </c>
      <c r="M35" s="199" t="str">
        <f>IF(MAIN_DATA!R41=0,"",MAIN_DATA!R41)</f>
        <v/>
      </c>
      <c r="N35" s="199" t="str">
        <f>IF(MAIN_DATA!S41=0,"",MAIN_DATA!S41)</f>
        <v/>
      </c>
      <c r="O35" s="199" t="str">
        <f>IF(MAIN_DATA!T41=0,"",MAIN_DATA!T41)</f>
        <v/>
      </c>
      <c r="P35" s="199" t="str">
        <f>IF(MAIN_DATA!U41=0,"",MAIN_DATA!U41)</f>
        <v/>
      </c>
      <c r="Q35" s="199" t="str">
        <f>IF(MAIN_DATA!V41=0,"",MAIN_DATA!V41)</f>
        <v/>
      </c>
      <c r="R35" s="199" t="str">
        <f>IF(MAIN_DATA!W41=0,"",MAIN_DATA!W41)</f>
        <v/>
      </c>
      <c r="S35" s="199" t="str">
        <f>IF(MAIN_DATA!X41=0,"",MAIN_DATA!X41)</f>
        <v/>
      </c>
      <c r="T35" s="199" t="str">
        <f>IF(MAIN_DATA!Y41=0,"",MAIN_DATA!Y41)</f>
        <v/>
      </c>
      <c r="U35" s="199" t="str">
        <f>IF(MAIN_DATA!Z41=0,"",MAIN_DATA!Z41)</f>
        <v/>
      </c>
      <c r="V35" s="199" t="str">
        <f>IF(MAIN_DATA!AA41=0,"",MAIN_DATA!AA41)</f>
        <v/>
      </c>
      <c r="W35" s="199" t="str">
        <f>IF(MAIN_DATA!AB41=0,"",MAIN_DATA!AB41)</f>
        <v/>
      </c>
      <c r="X35" s="199" t="str">
        <f>IF(MAIN_DATA!AC41=0,"",MAIN_DATA!AC41)</f>
        <v/>
      </c>
      <c r="Y35" s="200" t="str">
        <f>IF(MAIN_DATA!AD41=0,"",MAIN_DATA!AD41)</f>
        <v/>
      </c>
    </row>
    <row r="36" spans="3:29" s="163" customFormat="1" ht="14.25" customHeight="1">
      <c r="D36" s="201" t="s">
        <v>288</v>
      </c>
      <c r="E36" s="201"/>
      <c r="F36" s="202" t="str">
        <f>IF(MAIN_DATA!K42=0,"",MAIN_DATA!K42)</f>
        <v/>
      </c>
      <c r="G36" s="203" t="str">
        <f>IF(MAIN_DATA!L42=0,"",MAIN_DATA!L42)</f>
        <v/>
      </c>
      <c r="H36" s="203" t="str">
        <f>IF(MAIN_DATA!M42=0,"",MAIN_DATA!M42)</f>
        <v/>
      </c>
      <c r="I36" s="203" t="str">
        <f>IF(MAIN_DATA!N42=0,"",MAIN_DATA!N42)</f>
        <v/>
      </c>
      <c r="J36" s="203" t="str">
        <f>IF(MAIN_DATA!O42=0,"",MAIN_DATA!O42)</f>
        <v/>
      </c>
      <c r="K36" s="203" t="str">
        <f>IF(MAIN_DATA!P42=0,"",MAIN_DATA!P42)</f>
        <v/>
      </c>
      <c r="L36" s="203" t="str">
        <f>IF(MAIN_DATA!Q42=0,"",MAIN_DATA!Q42)</f>
        <v/>
      </c>
      <c r="M36" s="203" t="str">
        <f>IF(MAIN_DATA!R42=0,"",MAIN_DATA!R42)</f>
        <v/>
      </c>
      <c r="N36" s="203" t="str">
        <f>IF(MAIN_DATA!S42=0,"",MAIN_DATA!S42)</f>
        <v/>
      </c>
      <c r="O36" s="203" t="str">
        <f>IF(MAIN_DATA!T42=0,"",MAIN_DATA!T42)</f>
        <v/>
      </c>
      <c r="P36" s="203" t="str">
        <f>IF(MAIN_DATA!U42=0,"",MAIN_DATA!U42)</f>
        <v/>
      </c>
      <c r="Q36" s="203" t="str">
        <f>IF(MAIN_DATA!V42=0,"",MAIN_DATA!V42)</f>
        <v/>
      </c>
      <c r="R36" s="203" t="str">
        <f>IF(MAIN_DATA!W42=0,"",MAIN_DATA!W42)</f>
        <v/>
      </c>
      <c r="S36" s="203" t="str">
        <f>IF(MAIN_DATA!X42=0,"",MAIN_DATA!X42)</f>
        <v/>
      </c>
      <c r="T36" s="203" t="str">
        <f>IF(MAIN_DATA!Y42=0,"",MAIN_DATA!Y42)</f>
        <v/>
      </c>
      <c r="U36" s="203" t="str">
        <f>IF(MAIN_DATA!Z42=0,"",MAIN_DATA!Z42)</f>
        <v/>
      </c>
      <c r="V36" s="203" t="str">
        <f>IF(MAIN_DATA!AA42=0,"",MAIN_DATA!AA42)</f>
        <v/>
      </c>
      <c r="W36" s="203" t="str">
        <f>IF(MAIN_DATA!AB42=0,"",MAIN_DATA!AB42)</f>
        <v/>
      </c>
      <c r="X36" s="203" t="str">
        <f>IF(MAIN_DATA!AC42=0,"",MAIN_DATA!AC42)</f>
        <v/>
      </c>
      <c r="Y36" s="204" t="str">
        <f>IF(MAIN_DATA!AD42=0,"",MAIN_DATA!AD42)</f>
        <v/>
      </c>
    </row>
    <row r="37" spans="3:29" s="205" customFormat="1" ht="15" customHeight="1">
      <c r="D37" s="206" t="s">
        <v>289</v>
      </c>
      <c r="E37" s="206"/>
      <c r="F37" s="207" t="str">
        <f>IF(MAIN_DATA!K43=0,"",MAIN_DATA!K43)</f>
        <v/>
      </c>
      <c r="G37" s="208" t="str">
        <f>IF(MAIN_DATA!L43=0,"",MAIN_DATA!L43)</f>
        <v/>
      </c>
      <c r="H37" s="208" t="str">
        <f>IF(MAIN_DATA!M43=0,"",MAIN_DATA!M43)</f>
        <v/>
      </c>
      <c r="I37" s="208" t="str">
        <f>IF(MAIN_DATA!N43=0,"",MAIN_DATA!N43)</f>
        <v/>
      </c>
      <c r="J37" s="208" t="str">
        <f>IF(MAIN_DATA!O43=0,"",MAIN_DATA!O43)</f>
        <v/>
      </c>
      <c r="K37" s="208" t="str">
        <f>IF(MAIN_DATA!P43=0,"",MAIN_DATA!P43)</f>
        <v/>
      </c>
      <c r="L37" s="208" t="str">
        <f>IF(MAIN_DATA!Q43=0,"",MAIN_DATA!Q43)</f>
        <v/>
      </c>
      <c r="M37" s="208" t="str">
        <f>IF(MAIN_DATA!R43=0,"",MAIN_DATA!R43)</f>
        <v/>
      </c>
      <c r="N37" s="208" t="str">
        <f>IF(MAIN_DATA!S43=0,"",MAIN_DATA!S43)</f>
        <v/>
      </c>
      <c r="O37" s="208" t="str">
        <f>IF(MAIN_DATA!T43=0,"",MAIN_DATA!T43)</f>
        <v/>
      </c>
      <c r="P37" s="208" t="str">
        <f>IF(MAIN_DATA!U43=0,"",MAIN_DATA!U43)</f>
        <v/>
      </c>
      <c r="Q37" s="208" t="str">
        <f>IF(MAIN_DATA!V43=0,"",MAIN_DATA!V43)</f>
        <v/>
      </c>
      <c r="R37" s="208" t="str">
        <f>IF(MAIN_DATA!W43=0,"",MAIN_DATA!W43)</f>
        <v/>
      </c>
      <c r="S37" s="208" t="str">
        <f>IF(MAIN_DATA!X43=0,"",MAIN_DATA!X43)</f>
        <v/>
      </c>
      <c r="T37" s="208" t="str">
        <f>IF(MAIN_DATA!Y43=0,"",MAIN_DATA!Y43)</f>
        <v/>
      </c>
      <c r="U37" s="208" t="str">
        <f>IF(MAIN_DATA!Z43=0,"",MAIN_DATA!Z43)</f>
        <v/>
      </c>
      <c r="V37" s="208" t="str">
        <f>IF(MAIN_DATA!AA43=0,"",MAIN_DATA!AA43)</f>
        <v/>
      </c>
      <c r="W37" s="208" t="str">
        <f>IF(MAIN_DATA!AB43=0,"",MAIN_DATA!AB43)</f>
        <v/>
      </c>
      <c r="X37" s="208" t="str">
        <f>IF(MAIN_DATA!AC43=0,"",MAIN_DATA!AC43)</f>
        <v/>
      </c>
      <c r="Y37" s="209" t="str">
        <f>IF(MAIN_DATA!AD43=0,"",MAIN_DATA!AD43)</f>
        <v/>
      </c>
    </row>
    <row r="38" spans="3:29" ht="3.75" customHeight="1">
      <c r="C38" s="166"/>
      <c r="D38" s="166"/>
      <c r="E38" s="166"/>
      <c r="F38" s="192"/>
      <c r="G38" s="193"/>
      <c r="H38" s="193"/>
      <c r="I38" s="193"/>
      <c r="J38" s="193"/>
      <c r="K38" s="193"/>
      <c r="L38" s="193"/>
      <c r="M38" s="193"/>
      <c r="N38" s="193"/>
      <c r="O38" s="193"/>
      <c r="P38" s="193"/>
      <c r="Q38" s="193"/>
      <c r="R38" s="193"/>
      <c r="S38" s="193"/>
      <c r="T38" s="193"/>
      <c r="U38" s="193"/>
      <c r="V38" s="193"/>
      <c r="W38" s="193"/>
      <c r="X38" s="193"/>
      <c r="Y38" s="110"/>
    </row>
    <row r="39" spans="3:29" ht="4.5" customHeight="1">
      <c r="D39" s="107"/>
      <c r="E39" s="107"/>
      <c r="F39" s="194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5"/>
      <c r="U39" s="195"/>
      <c r="V39" s="195"/>
      <c r="W39" s="195"/>
      <c r="X39" s="195"/>
    </row>
    <row r="40" spans="3:29" hidden="1">
      <c r="C40" s="210" t="s">
        <v>290</v>
      </c>
      <c r="D40" s="211"/>
      <c r="E40" s="211"/>
      <c r="F40" s="212"/>
      <c r="G40" s="212"/>
      <c r="H40" s="212"/>
      <c r="I40" s="212"/>
      <c r="J40" s="212"/>
      <c r="K40" s="212"/>
      <c r="L40" s="212"/>
      <c r="M40" s="212"/>
      <c r="N40" s="212"/>
      <c r="O40" s="212"/>
      <c r="P40" s="212"/>
      <c r="Q40" s="212"/>
      <c r="R40" s="212"/>
      <c r="S40" s="212"/>
      <c r="T40" s="212"/>
      <c r="U40" s="212"/>
    </row>
    <row r="41" spans="3:29" hidden="1">
      <c r="C41" s="210">
        <v>36</v>
      </c>
      <c r="D41" s="213" t="s">
        <v>291</v>
      </c>
      <c r="E41" s="213"/>
      <c r="F41" s="214" t="e">
        <f>VLOOKUP(ROW(),[2]Ex!$A$26:$S$53,COLUMN()-2,0)</f>
        <v>#N/A</v>
      </c>
      <c r="G41" s="214" t="e">
        <f>VLOOKUP(ROW(),[2]Ex!$A$26:$U$53,COLUMN()-2,0)</f>
        <v>#N/A</v>
      </c>
      <c r="H41" s="215" t="e">
        <f>VLOOKUP(ROW(),[2]Ex!$A$26:$U$53,COLUMN()-2,0)</f>
        <v>#N/A</v>
      </c>
      <c r="I41" s="215" t="e">
        <f>VLOOKUP(ROW(),[2]Ex!$A$26:$U$53,COLUMN()-2,0)</f>
        <v>#N/A</v>
      </c>
      <c r="J41" s="215" t="e">
        <f>VLOOKUP(ROW(),[2]Ex!$A$26:$U$53,COLUMN()-2,0)</f>
        <v>#N/A</v>
      </c>
      <c r="K41" s="215" t="e">
        <f>VLOOKUP(ROW(),[2]Ex!$A$26:$U$53,COLUMN()-2,0)</f>
        <v>#N/A</v>
      </c>
      <c r="L41" s="215" t="e">
        <f>VLOOKUP(ROW(),[2]Ex!$A$26:$U$53,COLUMN()-2,0)</f>
        <v>#N/A</v>
      </c>
      <c r="M41" s="215" t="e">
        <f>VLOOKUP(ROW(),[2]Ex!$A$26:$U$53,COLUMN()-2,0)</f>
        <v>#N/A</v>
      </c>
      <c r="N41" s="215" t="e">
        <f>VLOOKUP(ROW(),[2]Ex!$A$26:$U$53,COLUMN()-2,0)</f>
        <v>#N/A</v>
      </c>
      <c r="O41" s="215" t="e">
        <f>VLOOKUP(ROW(),[2]Ex!$A$26:$U$53,COLUMN()-2,0)</f>
        <v>#N/A</v>
      </c>
      <c r="P41" s="215" t="e">
        <f>VLOOKUP(ROW(),[2]Ex!$A$26:$U$53,COLUMN()-2,0)</f>
        <v>#N/A</v>
      </c>
      <c r="Q41" s="215" t="e">
        <f>VLOOKUP(ROW(),[2]Ex!$A$26:$U$53,COLUMN()-2,0)</f>
        <v>#N/A</v>
      </c>
      <c r="R41" s="215" t="e">
        <f>VLOOKUP(ROW(),[2]Ex!$A$26:$U$53,COLUMN()-2,0)</f>
        <v>#N/A</v>
      </c>
      <c r="S41" s="215" t="e">
        <f>VLOOKUP(ROW(),[2]Ex!$A$26:$U$53,COLUMN()-2,0)</f>
        <v>#N/A</v>
      </c>
      <c r="T41" s="215" t="e">
        <f>VLOOKUP(ROW(),[2]Ex!$A$26:$U$53,COLUMN()-2,0)</f>
        <v>#N/A</v>
      </c>
      <c r="U41" s="215" t="e">
        <f>VLOOKUP(ROW(),[2]Ex!$A$26:$U$53,COLUMN()-2,0)</f>
        <v>#N/A</v>
      </c>
      <c r="V41" s="107" t="e">
        <f>VLOOKUP(ROW(),[2]Ex!$A$26:$U$53,COLUMN()-2,0)</f>
        <v>#N/A</v>
      </c>
      <c r="W41" s="107" t="e">
        <f>VLOOKUP(ROW(),[2]Ex!$A$26:$U$53,COLUMN()-2,0)</f>
        <v>#N/A</v>
      </c>
      <c r="X41" s="107" t="e">
        <f>VLOOKUP(ROW(),[2]Ex!$A$26:$U$53,COLUMN()-2,0)</f>
        <v>#N/A</v>
      </c>
    </row>
    <row r="42" spans="3:29" hidden="1">
      <c r="C42" s="107">
        <v>37</v>
      </c>
      <c r="D42" s="213" t="s">
        <v>292</v>
      </c>
      <c r="E42" s="213"/>
      <c r="F42" s="214" t="e">
        <f>VLOOKUP(ROW(),[2]Ex!$A$26:$S$53,COLUMN()-2,0)</f>
        <v>#N/A</v>
      </c>
      <c r="G42" s="214" t="e">
        <f>VLOOKUP(ROW(),[2]Ex!$A$26:$U$53,COLUMN()-2,0)</f>
        <v>#N/A</v>
      </c>
      <c r="H42" s="215" t="e">
        <f>VLOOKUP(ROW(),[2]Ex!$A$26:$U$53,COLUMN()-2,0)</f>
        <v>#N/A</v>
      </c>
      <c r="I42" s="215" t="e">
        <f>VLOOKUP(ROW(),[2]Ex!$A$26:$U$53,COLUMN()-2,0)</f>
        <v>#N/A</v>
      </c>
      <c r="J42" s="215" t="e">
        <f>VLOOKUP(ROW(),[2]Ex!$A$26:$U$53,COLUMN()-2,0)</f>
        <v>#N/A</v>
      </c>
      <c r="K42" s="215" t="e">
        <f>VLOOKUP(ROW(),[2]Ex!$A$26:$U$53,COLUMN()-2,0)</f>
        <v>#N/A</v>
      </c>
      <c r="L42" s="215" t="e">
        <f>VLOOKUP(ROW(),[2]Ex!$A$26:$U$53,COLUMN()-2,0)</f>
        <v>#N/A</v>
      </c>
      <c r="M42" s="215" t="e">
        <f>VLOOKUP(ROW(),[2]Ex!$A$26:$U$53,COLUMN()-2,0)</f>
        <v>#N/A</v>
      </c>
      <c r="N42" s="215" t="e">
        <f>VLOOKUP(ROW(),[2]Ex!$A$26:$U$53,COLUMN()-2,0)</f>
        <v>#N/A</v>
      </c>
      <c r="O42" s="215" t="e">
        <f>VLOOKUP(ROW(),[2]Ex!$A$26:$U$53,COLUMN()-2,0)</f>
        <v>#N/A</v>
      </c>
      <c r="P42" s="215" t="e">
        <f>VLOOKUP(ROW(),[2]Ex!$A$26:$U$53,COLUMN()-2,0)</f>
        <v>#N/A</v>
      </c>
      <c r="Q42" s="215" t="e">
        <f>VLOOKUP(ROW(),[2]Ex!$A$26:$U$53,COLUMN()-2,0)</f>
        <v>#N/A</v>
      </c>
      <c r="R42" s="215" t="e">
        <f>VLOOKUP(ROW(),[2]Ex!$A$26:$U$53,COLUMN()-2,0)</f>
        <v>#N/A</v>
      </c>
      <c r="S42" s="215" t="e">
        <f>VLOOKUP(ROW(),[2]Ex!$A$26:$U$53,COLUMN()-2,0)</f>
        <v>#N/A</v>
      </c>
      <c r="T42" s="215" t="e">
        <f>VLOOKUP(ROW(),[2]Ex!$A$26:$U$53,COLUMN()-2,0)</f>
        <v>#N/A</v>
      </c>
      <c r="U42" s="215" t="e">
        <f>VLOOKUP(ROW(),[2]Ex!$A$26:$U$53,COLUMN()-2,0)</f>
        <v>#N/A</v>
      </c>
      <c r="V42" s="107" t="e">
        <f>VLOOKUP(ROW(),[2]Ex!$A$26:$U$53,COLUMN()-2,0)</f>
        <v>#N/A</v>
      </c>
      <c r="W42" s="107" t="e">
        <f>VLOOKUP(ROW(),[2]Ex!$A$26:$U$53,COLUMN()-2,0)</f>
        <v>#N/A</v>
      </c>
      <c r="X42" s="107" t="e">
        <f>VLOOKUP(ROW(),[2]Ex!$A$26:$U$53,COLUMN()-2,0)</f>
        <v>#N/A</v>
      </c>
    </row>
    <row r="43" spans="3:29" hidden="1">
      <c r="C43" s="107">
        <v>38</v>
      </c>
      <c r="D43" s="213" t="s">
        <v>293</v>
      </c>
      <c r="E43" s="213"/>
      <c r="F43" s="216" t="e">
        <f>VLOOKUP(ROW(),[2]Ex!$A$26:$S$53,COLUMN()-2,0)</f>
        <v>#N/A</v>
      </c>
      <c r="G43" s="216" t="e">
        <f>VLOOKUP(ROW(),[2]Ex!$A$26:$U$53,COLUMN()-2,0)</f>
        <v>#N/A</v>
      </c>
      <c r="H43" s="217" t="e">
        <f>VLOOKUP(ROW(),[2]Ex!$A$26:$U$53,COLUMN()-2,0)</f>
        <v>#N/A</v>
      </c>
      <c r="I43" s="217" t="e">
        <f>VLOOKUP(ROW(),[2]Ex!$A$26:$U$53,COLUMN()-2,0)</f>
        <v>#N/A</v>
      </c>
      <c r="J43" s="217" t="e">
        <f>VLOOKUP(ROW(),[2]Ex!$A$26:$U$53,COLUMN()-2,0)</f>
        <v>#N/A</v>
      </c>
      <c r="K43" s="217" t="e">
        <f>VLOOKUP(ROW(),[2]Ex!$A$26:$U$53,COLUMN()-2,0)</f>
        <v>#N/A</v>
      </c>
      <c r="L43" s="217" t="e">
        <f>VLOOKUP(ROW(),[2]Ex!$A$26:$U$53,COLUMN()-2,0)</f>
        <v>#N/A</v>
      </c>
      <c r="M43" s="217" t="e">
        <f>VLOOKUP(ROW(),[2]Ex!$A$26:$U$53,COLUMN()-2,0)</f>
        <v>#N/A</v>
      </c>
      <c r="N43" s="217" t="e">
        <f>VLOOKUP(ROW(),[2]Ex!$A$26:$U$53,COLUMN()-2,0)</f>
        <v>#N/A</v>
      </c>
      <c r="O43" s="217" t="e">
        <f>VLOOKUP(ROW(),[2]Ex!$A$26:$U$53,COLUMN()-2,0)</f>
        <v>#N/A</v>
      </c>
      <c r="P43" s="217" t="e">
        <f>VLOOKUP(ROW(),[2]Ex!$A$26:$U$53,COLUMN()-2,0)</f>
        <v>#N/A</v>
      </c>
      <c r="Q43" s="217" t="e">
        <f>VLOOKUP(ROW(),[2]Ex!$A$26:$U$53,COLUMN()-2,0)</f>
        <v>#N/A</v>
      </c>
      <c r="R43" s="217" t="e">
        <f>VLOOKUP(ROW(),[2]Ex!$A$26:$U$53,COLUMN()-2,0)</f>
        <v>#N/A</v>
      </c>
      <c r="S43" s="217" t="e">
        <f>VLOOKUP(ROW(),[2]Ex!$A$26:$U$53,COLUMN()-2,0)</f>
        <v>#N/A</v>
      </c>
      <c r="T43" s="217" t="e">
        <f>VLOOKUP(ROW(),[2]Ex!$A$26:$U$53,COLUMN()-2,0)</f>
        <v>#N/A</v>
      </c>
      <c r="U43" s="217" t="e">
        <f>VLOOKUP(ROW(),[2]Ex!$A$26:$U$53,COLUMN()-2,0)</f>
        <v>#N/A</v>
      </c>
      <c r="V43" s="107" t="e">
        <f>VLOOKUP(ROW(),[2]Ex!$A$26:$U$53,COLUMN()-2,0)</f>
        <v>#N/A</v>
      </c>
      <c r="W43" s="107" t="e">
        <f>VLOOKUP(ROW(),[2]Ex!$A$26:$U$53,COLUMN()-2,0)</f>
        <v>#N/A</v>
      </c>
      <c r="X43" s="107" t="e">
        <f>VLOOKUP(ROW(),[2]Ex!$A$26:$U$53,COLUMN()-2,0)</f>
        <v>#N/A</v>
      </c>
    </row>
    <row r="44" spans="3:29" hidden="1">
      <c r="C44" s="107">
        <v>39</v>
      </c>
      <c r="D44" s="213" t="s">
        <v>294</v>
      </c>
      <c r="E44" s="213"/>
      <c r="F44" s="215" t="e">
        <f>VLOOKUP(ROW(),[2]Ex!$A$26:$U$53,COLUMN()-2,0)</f>
        <v>#N/A</v>
      </c>
      <c r="G44" s="214" t="e">
        <f>VLOOKUP(ROW(),[2]Ex!$A$26:$U$53,COLUMN()-2,0)</f>
        <v>#N/A</v>
      </c>
      <c r="H44" s="215" t="e">
        <f>VLOOKUP(ROW(),[2]Ex!$A$26:$U$53,COLUMN()-2,0)</f>
        <v>#N/A</v>
      </c>
      <c r="I44" s="215" t="e">
        <f>VLOOKUP(ROW(),[2]Ex!$A$26:$U$53,COLUMN()-2,0)</f>
        <v>#N/A</v>
      </c>
      <c r="J44" s="215" t="e">
        <f>VLOOKUP(ROW(),[2]Ex!$A$26:$U$53,COLUMN()-2,0)</f>
        <v>#N/A</v>
      </c>
      <c r="K44" s="215" t="e">
        <f>VLOOKUP(ROW(),[2]Ex!$A$26:$U$53,COLUMN()-2,0)</f>
        <v>#N/A</v>
      </c>
      <c r="L44" s="215" t="e">
        <f>VLOOKUP(ROW(),[2]Ex!$A$26:$U$53,COLUMN()-2,0)</f>
        <v>#N/A</v>
      </c>
      <c r="M44" s="215" t="e">
        <f>VLOOKUP(ROW(),[2]Ex!$A$26:$U$53,COLUMN()-2,0)</f>
        <v>#N/A</v>
      </c>
      <c r="N44" s="215" t="e">
        <f>VLOOKUP(ROW(),[2]Ex!$A$26:$U$53,COLUMN()-2,0)</f>
        <v>#N/A</v>
      </c>
      <c r="O44" s="215" t="e">
        <f>VLOOKUP(ROW(),[2]Ex!$A$26:$U$53,COLUMN()-2,0)</f>
        <v>#N/A</v>
      </c>
      <c r="P44" s="215" t="e">
        <f>VLOOKUP(ROW(),[2]Ex!$A$26:$U$53,COLUMN()-2,0)</f>
        <v>#N/A</v>
      </c>
      <c r="Q44" s="215" t="e">
        <f>VLOOKUP(ROW(),[2]Ex!$A$26:$U$53,COLUMN()-2,0)</f>
        <v>#N/A</v>
      </c>
      <c r="R44" s="215" t="e">
        <f>VLOOKUP(ROW(),[2]Ex!$A$26:$U$53,COLUMN()-2,0)</f>
        <v>#N/A</v>
      </c>
      <c r="S44" s="215" t="e">
        <f>VLOOKUP(ROW(),[2]Ex!$A$26:$U$53,COLUMN()-2,0)</f>
        <v>#N/A</v>
      </c>
      <c r="T44" s="215" t="e">
        <f>VLOOKUP(ROW(),[2]Ex!$A$26:$U$53,COLUMN()-2,0)</f>
        <v>#N/A</v>
      </c>
      <c r="U44" s="215" t="e">
        <f>VLOOKUP(ROW(),[2]Ex!$A$26:$U$53,COLUMN()-2,0)</f>
        <v>#N/A</v>
      </c>
      <c r="V44" s="107" t="e">
        <f>VLOOKUP(ROW(),[2]Ex!$A$26:$U$53,COLUMN()-2,0)</f>
        <v>#N/A</v>
      </c>
      <c r="W44" s="107" t="e">
        <f>VLOOKUP(ROW(),[2]Ex!$A$26:$U$53,COLUMN()-2,0)</f>
        <v>#N/A</v>
      </c>
      <c r="X44" s="107" t="e">
        <f>VLOOKUP(ROW(),[2]Ex!$A$26:$U$53,COLUMN()-2,0)</f>
        <v>#N/A</v>
      </c>
      <c r="AC44" s="210" t="s">
        <v>295</v>
      </c>
    </row>
    <row r="45" spans="3:29" hidden="1">
      <c r="C45" s="218">
        <v>40</v>
      </c>
      <c r="D45" s="110" t="s">
        <v>296</v>
      </c>
      <c r="F45" s="219" t="e">
        <f>VLOOKUP(ROW(),[2]Ex!$A$26:$U$53,COLUMN()-2,0)</f>
        <v>#N/A</v>
      </c>
      <c r="G45" s="220" t="e">
        <f>VLOOKUP(ROW(),[2]Ex!$A$26:$U$53,COLUMN()-2,0)</f>
        <v>#N/A</v>
      </c>
      <c r="H45" s="219" t="e">
        <f>VLOOKUP(ROW(),[2]Ex!$A$26:$U$53,COLUMN()-2,0)</f>
        <v>#N/A</v>
      </c>
      <c r="I45" s="219" t="e">
        <f>VLOOKUP(ROW(),[2]Ex!$A$26:$U$53,COLUMN()-2,0)</f>
        <v>#N/A</v>
      </c>
      <c r="J45" s="219" t="e">
        <f>VLOOKUP(ROW(),[2]Ex!$A$26:$U$53,COLUMN()-2,0)</f>
        <v>#N/A</v>
      </c>
      <c r="K45" s="219" t="e">
        <f>VLOOKUP(ROW(),[2]Ex!$A$26:$U$53,COLUMN()-2,0)</f>
        <v>#N/A</v>
      </c>
      <c r="L45" s="219" t="e">
        <f>VLOOKUP(ROW(),[2]Ex!$A$26:$U$53,COLUMN()-2,0)</f>
        <v>#N/A</v>
      </c>
      <c r="M45" s="219" t="e">
        <f>VLOOKUP(ROW(),[2]Ex!$A$26:$U$53,COLUMN()-2,0)</f>
        <v>#N/A</v>
      </c>
      <c r="N45" s="219" t="e">
        <f>VLOOKUP(ROW(),[2]Ex!$A$26:$U$53,COLUMN()-2,0)</f>
        <v>#N/A</v>
      </c>
      <c r="O45" s="219" t="e">
        <f>VLOOKUP(ROW(),[2]Ex!$A$26:$U$53,COLUMN()-2,0)</f>
        <v>#N/A</v>
      </c>
      <c r="P45" s="219" t="e">
        <f>VLOOKUP(ROW(),[2]Ex!$A$26:$U$53,COLUMN()-2,0)</f>
        <v>#N/A</v>
      </c>
      <c r="Q45" s="219" t="e">
        <f>VLOOKUP(ROW(),[2]Ex!$A$26:$U$53,COLUMN()-2,0)</f>
        <v>#N/A</v>
      </c>
      <c r="R45" s="219" t="e">
        <f>VLOOKUP(ROW(),[2]Ex!$A$26:$U$53,COLUMN()-2,0)</f>
        <v>#N/A</v>
      </c>
      <c r="S45" s="219" t="e">
        <f>VLOOKUP(ROW(),[2]Ex!$A$26:$U$53,COLUMN()-2,0)</f>
        <v>#N/A</v>
      </c>
      <c r="T45" s="219" t="e">
        <f>VLOOKUP(ROW(),[2]Ex!$A$26:$U$53,COLUMN()-2,0)</f>
        <v>#N/A</v>
      </c>
      <c r="U45" s="219" t="e">
        <f>VLOOKUP(ROW(),[2]Ex!$A$26:$U$53,COLUMN()-2,0)</f>
        <v>#N/A</v>
      </c>
      <c r="V45" s="107" t="e">
        <f>VLOOKUP(ROW(),[2]Ex!$A$26:$U$53,COLUMN()-2,0)</f>
        <v>#N/A</v>
      </c>
      <c r="W45" s="107" t="e">
        <f>VLOOKUP(ROW(),[2]Ex!$A$26:$U$53,COLUMN()-2,0)</f>
        <v>#N/A</v>
      </c>
      <c r="X45" s="107" t="e">
        <f>VLOOKUP(ROW(),[2]Ex!$A$26:$U$53,COLUMN()-2,0)</f>
        <v>#N/A</v>
      </c>
    </row>
    <row r="46" spans="3:29" hidden="1">
      <c r="C46" s="218">
        <v>41</v>
      </c>
      <c r="D46" s="110" t="s">
        <v>297</v>
      </c>
      <c r="F46" s="219"/>
      <c r="G46" s="220"/>
      <c r="H46" s="219" t="e">
        <f>VLOOKUP(ROW(),[2]Ex!$A$26:$U$53,COLUMN()-2,0)</f>
        <v>#N/A</v>
      </c>
      <c r="I46" s="219" t="e">
        <f>VLOOKUP(ROW(),[2]Ex!$A$26:$U$53,COLUMN()-2,0)</f>
        <v>#N/A</v>
      </c>
      <c r="J46" s="219" t="e">
        <f>VLOOKUP(ROW(),[2]Ex!$A$26:$U$53,COLUMN()-2,0)</f>
        <v>#N/A</v>
      </c>
      <c r="K46" s="219" t="e">
        <f>VLOOKUP(ROW(),[2]Ex!$A$26:$U$53,COLUMN()-2,0)</f>
        <v>#N/A</v>
      </c>
      <c r="L46" s="219" t="e">
        <f>VLOOKUP(ROW(),[2]Ex!$A$26:$U$53,COLUMN()-2,0)</f>
        <v>#N/A</v>
      </c>
      <c r="M46" s="219" t="e">
        <f>VLOOKUP(ROW(),[2]Ex!$A$26:$U$53,COLUMN()-2,0)</f>
        <v>#N/A</v>
      </c>
      <c r="N46" s="219" t="e">
        <f>VLOOKUP(ROW(),[2]Ex!$A$26:$U$53,COLUMN()-2,0)</f>
        <v>#N/A</v>
      </c>
      <c r="O46" s="219" t="e">
        <f>VLOOKUP(ROW(),[2]Ex!$A$26:$U$53,COLUMN()-2,0)</f>
        <v>#N/A</v>
      </c>
      <c r="P46" s="219" t="e">
        <f>VLOOKUP(ROW(),[2]Ex!$A$26:$U$53,COLUMN()-2,0)</f>
        <v>#N/A</v>
      </c>
      <c r="Q46" s="219" t="e">
        <f>VLOOKUP(ROW(),[2]Ex!$A$26:$U$53,COLUMN()-2,0)</f>
        <v>#N/A</v>
      </c>
      <c r="R46" s="219" t="e">
        <f>VLOOKUP(ROW(),[2]Ex!$A$26:$U$53,COLUMN()-2,0)</f>
        <v>#N/A</v>
      </c>
      <c r="S46" s="219" t="e">
        <f>VLOOKUP(ROW(),[2]Ex!$A$26:$U$53,COLUMN()-2,0)</f>
        <v>#N/A</v>
      </c>
      <c r="T46" s="219" t="e">
        <f>VLOOKUP(ROW(),[2]Ex!$A$26:$U$53,COLUMN()-2,0)</f>
        <v>#N/A</v>
      </c>
      <c r="U46" s="219" t="e">
        <f>VLOOKUP(ROW(),[2]Ex!$A$26:$U$53,COLUMN()-2,0)</f>
        <v>#N/A</v>
      </c>
      <c r="V46" s="107" t="e">
        <f>VLOOKUP(ROW(),[2]Ex!$A$26:$U$53,COLUMN()-2,0)</f>
        <v>#N/A</v>
      </c>
      <c r="W46" s="107" t="e">
        <f>VLOOKUP(ROW(),[2]Ex!$A$26:$U$53,COLUMN()-2,0)</f>
        <v>#N/A</v>
      </c>
      <c r="X46" s="107" t="e">
        <f>VLOOKUP(ROW(),[2]Ex!$A$26:$U$53,COLUMN()-2,0)</f>
        <v>#N/A</v>
      </c>
    </row>
    <row r="47" spans="3:29" hidden="1">
      <c r="C47" s="107">
        <v>42</v>
      </c>
      <c r="D47" s="211" t="s">
        <v>298</v>
      </c>
      <c r="E47" s="211"/>
      <c r="F47" s="220" t="e">
        <f>VLOOKUP(ROW(),[2]Ex!$A$26:$S$53,COLUMN()-2,0)</f>
        <v>#N/A</v>
      </c>
      <c r="G47" s="220" t="e">
        <f>VLOOKUP(ROW(),[2]Ex!$A$26:$U$53,COLUMN()-2,0)</f>
        <v>#N/A</v>
      </c>
      <c r="H47" s="219" t="e">
        <f>VLOOKUP(ROW(),[2]Ex!$A$26:$U$53,COLUMN()-2,0)</f>
        <v>#N/A</v>
      </c>
      <c r="I47" s="219" t="e">
        <f>VLOOKUP(ROW(),[2]Ex!$A$26:$U$53,COLUMN()-2,0)</f>
        <v>#N/A</v>
      </c>
      <c r="J47" s="219" t="e">
        <f>VLOOKUP(ROW(),[2]Ex!$A$26:$U$53,COLUMN()-2,0)</f>
        <v>#N/A</v>
      </c>
      <c r="K47" s="219" t="e">
        <f>VLOOKUP(ROW(),[2]Ex!$A$26:$U$53,COLUMN()-2,0)</f>
        <v>#N/A</v>
      </c>
      <c r="L47" s="219" t="e">
        <f>VLOOKUP(ROW(),[2]Ex!$A$26:$U$53,COLUMN()-2,0)</f>
        <v>#N/A</v>
      </c>
      <c r="M47" s="219" t="e">
        <f>VLOOKUP(ROW(),[2]Ex!$A$26:$U$53,COLUMN()-2,0)</f>
        <v>#N/A</v>
      </c>
      <c r="N47" s="219" t="e">
        <f>VLOOKUP(ROW(),[2]Ex!$A$26:$U$53,COLUMN()-2,0)</f>
        <v>#N/A</v>
      </c>
      <c r="O47" s="219" t="e">
        <f>VLOOKUP(ROW(),[2]Ex!$A$26:$U$53,COLUMN()-2,0)</f>
        <v>#N/A</v>
      </c>
      <c r="P47" s="219" t="e">
        <f>VLOOKUP(ROW(),[2]Ex!$A$26:$U$53,COLUMN()-2,0)</f>
        <v>#N/A</v>
      </c>
      <c r="Q47" s="219" t="e">
        <f>VLOOKUP(ROW(),[2]Ex!$A$26:$U$53,COLUMN()-2,0)</f>
        <v>#N/A</v>
      </c>
      <c r="R47" s="219" t="e">
        <f>VLOOKUP(ROW(),[2]Ex!$A$26:$U$53,COLUMN()-2,0)</f>
        <v>#N/A</v>
      </c>
      <c r="S47" s="219" t="e">
        <f>VLOOKUP(ROW(),[2]Ex!$A$26:$U$53,COLUMN()-2,0)</f>
        <v>#N/A</v>
      </c>
      <c r="T47" s="219" t="e">
        <f>VLOOKUP(ROW(),[2]Ex!$A$26:$U$53,COLUMN()-2,0)</f>
        <v>#N/A</v>
      </c>
      <c r="U47" s="219" t="e">
        <f>VLOOKUP(ROW(),[2]Ex!$A$26:$U$53,COLUMN()-2,0)</f>
        <v>#N/A</v>
      </c>
      <c r="V47" s="107" t="e">
        <f>VLOOKUP(ROW(),[2]Ex!$A$26:$U$53,COLUMN()-2,0)</f>
        <v>#N/A</v>
      </c>
      <c r="W47" s="107" t="e">
        <f>VLOOKUP(ROW(),[2]Ex!$A$26:$U$53,COLUMN()-2,0)</f>
        <v>#N/A</v>
      </c>
      <c r="X47" s="107" t="e">
        <f>VLOOKUP(ROW(),[2]Ex!$A$26:$U$53,COLUMN()-2,0)</f>
        <v>#N/A</v>
      </c>
    </row>
    <row r="48" spans="3:29" hidden="1">
      <c r="D48" s="211"/>
      <c r="E48" s="211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</row>
    <row r="49" spans="4:21" ht="12" customHeight="1"/>
    <row r="50" spans="4:21" ht="20.25" customHeight="1">
      <c r="D50" s="107"/>
      <c r="E50" s="107"/>
      <c r="G50" s="222"/>
      <c r="H50" s="223"/>
      <c r="I50" s="223"/>
      <c r="J50" s="223"/>
      <c r="K50" s="223"/>
      <c r="L50" s="223"/>
      <c r="M50" s="223"/>
      <c r="N50" s="223"/>
      <c r="O50" s="223"/>
      <c r="P50" s="223"/>
      <c r="Q50" s="223"/>
      <c r="R50" s="223"/>
      <c r="S50" s="223"/>
      <c r="T50" s="223"/>
      <c r="U50" s="223"/>
    </row>
    <row r="51" spans="4:21" ht="15" customHeight="1">
      <c r="D51" s="107"/>
      <c r="E51" s="107"/>
    </row>
    <row r="52" spans="4:21">
      <c r="D52" s="107"/>
      <c r="E52" s="107"/>
    </row>
  </sheetData>
  <mergeCells count="1">
    <mergeCell ref="D2:E3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"/>
  <dimension ref="A1:F12"/>
  <sheetViews>
    <sheetView workbookViewId="0">
      <selection activeCell="F9" sqref="F9:F12"/>
    </sheetView>
  </sheetViews>
  <sheetFormatPr defaultRowHeight="16.5"/>
  <cols>
    <col min="1" max="1" width="13.25" customWidth="1"/>
    <col min="2" max="2" width="11.125" customWidth="1"/>
    <col min="3" max="3" width="27.125" customWidth="1"/>
    <col min="4" max="4" width="19.75" customWidth="1"/>
    <col min="5" max="5" width="21.75" customWidth="1"/>
    <col min="6" max="6" width="26.25" customWidth="1"/>
  </cols>
  <sheetData>
    <row r="1" spans="1:6" ht="24.75" customHeight="1">
      <c r="A1" s="234" t="s">
        <v>321</v>
      </c>
      <c r="B1" s="235"/>
      <c r="C1" s="235"/>
    </row>
    <row r="2" spans="1:6">
      <c r="B2" s="236" t="s">
        <v>167</v>
      </c>
      <c r="C2" s="236" t="s">
        <v>264</v>
      </c>
      <c r="F2" s="236" t="s">
        <v>265</v>
      </c>
    </row>
    <row r="3" spans="1:6">
      <c r="B3" s="236" t="s">
        <v>169</v>
      </c>
      <c r="C3" s="236" t="s">
        <v>180</v>
      </c>
      <c r="F3" s="236" t="s">
        <v>183</v>
      </c>
    </row>
    <row r="4" spans="1:6">
      <c r="B4" s="237" t="s">
        <v>322</v>
      </c>
      <c r="C4" s="237" t="e">
        <f>VLOOKUP($C$2&amp;B4&amp;$C$3&amp;B$8,DB_DATA_LIST!B:L,11,FALSE )</f>
        <v>#N/A</v>
      </c>
      <c r="D4" s="237" t="e">
        <f>VLOOKUP(B4,Inv_DIO!$C:$R,--MID($B$8,5,2)+4,FALSE)</f>
        <v>#N/A</v>
      </c>
      <c r="E4" s="237">
        <f>IFERROR(ABS(C4-D4),0)</f>
        <v>0</v>
      </c>
      <c r="F4" s="237" t="e">
        <f>VLOOKUP($F$2&amp;$B4&amp;$F$3&amp;$B$8,DB_DATA_LIST!$B:$L,11,FALSE )</f>
        <v>#N/A</v>
      </c>
    </row>
    <row r="8" spans="1:6">
      <c r="A8" s="238" t="s">
        <v>323</v>
      </c>
      <c r="B8" s="239">
        <f>N_YYYYMM</f>
        <v>201510</v>
      </c>
    </row>
    <row r="9" spans="1:6">
      <c r="A9" s="238" t="s">
        <v>324</v>
      </c>
      <c r="B9" s="236" t="s">
        <v>305</v>
      </c>
      <c r="C9" s="240" t="s">
        <v>325</v>
      </c>
      <c r="D9" s="240" t="s">
        <v>313</v>
      </c>
      <c r="E9" s="241" t="s">
        <v>326</v>
      </c>
      <c r="F9" s="240" t="s">
        <v>327</v>
      </c>
    </row>
    <row r="10" spans="1:6">
      <c r="B10" t="s">
        <v>9</v>
      </c>
      <c r="C10">
        <f>VLOOKUP($C$2&amp;B10&amp;$C$3&amp;B$8,DB_DATA_LIST!B:L,11,FALSE )</f>
        <v>35.097484046275703</v>
      </c>
      <c r="D10">
        <f>VLOOKUP(B10,Inv_DIO!$C:$R,--MID($B$8,5,2)+4,FALSE)</f>
        <v>6.9999988749558186</v>
      </c>
      <c r="E10">
        <f>IFERROR(ABS(C10-D10),0)</f>
        <v>28.097485171319885</v>
      </c>
      <c r="F10">
        <f>VLOOKUP($F$2&amp;$B10&amp;$F$3&amp;$B$8,DB_DATA_LIST!$B:$L,11,FALSE )</f>
        <v>581.22780635559798</v>
      </c>
    </row>
    <row r="11" spans="1:6">
      <c r="B11" t="s">
        <v>310</v>
      </c>
      <c r="C11">
        <f>VLOOKUP($C$2&amp;B11&amp;$C$3&amp;B$8,DB_DATA_LIST!B:L,11,FALSE )</f>
        <v>68.235788651912102</v>
      </c>
      <c r="D11" t="str">
        <f>VLOOKUP(B11,Inv_DIO!$C:$R,--MID($B$8,5,2)+4,FALSE)</f>
        <v>0</v>
      </c>
      <c r="E11">
        <f>IFERROR(ABS(C11-D11),0)</f>
        <v>68.235788651912102</v>
      </c>
      <c r="F11">
        <f>VLOOKUP($F$2&amp;$B11&amp;$F$3&amp;$B$8,DB_DATA_LIST!$B:$L,11,FALSE )</f>
        <v>144.86272835507299</v>
      </c>
    </row>
    <row r="12" spans="1:6">
      <c r="B12" t="s">
        <v>18</v>
      </c>
      <c r="C12">
        <f>VLOOKUP($C$2&amp;B12&amp;$C$3&amp;B$8,DB_DATA_LIST!B:L,11,FALSE )</f>
        <v>-61.243159261216398</v>
      </c>
      <c r="D12" t="str">
        <f>VLOOKUP(B12,Inv_DIO!$C:$R,--MID($B$8,5,2)+4,FALSE)</f>
        <v>0</v>
      </c>
      <c r="E12">
        <f>IFERROR(ABS(C12-D12),0)</f>
        <v>61.243159261216398</v>
      </c>
      <c r="F12">
        <f>VLOOKUP($F$2&amp;$B12&amp;$F$3&amp;$B$8,DB_DATA_LIST!$B:$L,11,FALSE )</f>
        <v>0</v>
      </c>
    </row>
  </sheetData>
  <sortState ref="B10:F12">
    <sortCondition descending="1" ref="F9"/>
  </sortState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7"/>
  <dimension ref="A6:N2407"/>
  <sheetViews>
    <sheetView workbookViewId="0">
      <pane xSplit="5" ySplit="6" topLeftCell="F7" activePane="bottomRight" state="frozen"/>
      <selection pane="topRight" activeCell="C1" sqref="C1"/>
      <selection pane="bottomLeft" activeCell="A3" sqref="A3"/>
      <selection pane="bottomRight" activeCell="A7" sqref="A7:B1721"/>
    </sheetView>
  </sheetViews>
  <sheetFormatPr defaultRowHeight="16.5"/>
  <cols>
    <col min="1" max="1" width="27" customWidth="1"/>
    <col min="2" max="2" width="30" customWidth="1"/>
    <col min="3" max="5" width="2.875" customWidth="1"/>
    <col min="6" max="6" width="28.75" bestFit="1" customWidth="1"/>
    <col min="7" max="7" width="19.5" bestFit="1" customWidth="1"/>
    <col min="8" max="8" width="4.875" bestFit="1" customWidth="1"/>
    <col min="9" max="9" width="5.5" bestFit="1" customWidth="1"/>
    <col min="10" max="10" width="7.5" bestFit="1" customWidth="1"/>
    <col min="11" max="11" width="30" bestFit="1" customWidth="1"/>
    <col min="12" max="12" width="13.625" bestFit="1" customWidth="1"/>
    <col min="13" max="13" width="17.125" bestFit="1" customWidth="1"/>
    <col min="14" max="14" width="13.75" bestFit="1" customWidth="1"/>
  </cols>
  <sheetData>
    <row r="6" spans="1:14">
      <c r="A6" s="230" t="str">
        <f>F6&amp;G6&amp;K6&amp;I6</f>
        <v>COL_INDEXDIV_CDKPI_CDBASIS_YYYY</v>
      </c>
      <c r="B6" s="230" t="str">
        <f>F6&amp;G6&amp;K6&amp;J6</f>
        <v>COL_INDEXDIV_CDKPI_CDBASIS_YYYYMM</v>
      </c>
      <c r="F6" s="94" t="s">
        <v>6</v>
      </c>
      <c r="G6" s="94" t="s">
        <v>305</v>
      </c>
      <c r="H6" s="94" t="s">
        <v>306</v>
      </c>
      <c r="I6" s="94" t="s">
        <v>225</v>
      </c>
      <c r="J6" s="94" t="s">
        <v>175</v>
      </c>
      <c r="K6" s="102" t="s">
        <v>5</v>
      </c>
      <c r="L6" s="102" t="s">
        <v>176</v>
      </c>
      <c r="M6" s="102" t="s">
        <v>314</v>
      </c>
      <c r="N6" s="102" t="s">
        <v>315</v>
      </c>
    </row>
    <row r="7" spans="1:14">
      <c r="A7" t="str">
        <f t="shared" ref="A7:A70" si="0">F7&amp;G7&amp;K7&amp;I7</f>
        <v>1.전체_매출1.전체_매출SALE2012</v>
      </c>
      <c r="B7" t="str">
        <f t="shared" ref="B7:B70" si="1">F7&amp;G7&amp;K7&amp;J7</f>
        <v>1.전체_매출1.전체_매출SALE201201</v>
      </c>
      <c r="F7" t="s">
        <v>190</v>
      </c>
      <c r="G7" t="s">
        <v>190</v>
      </c>
      <c r="H7" t="s">
        <v>307</v>
      </c>
      <c r="I7" t="s">
        <v>226</v>
      </c>
      <c r="J7" t="s">
        <v>227</v>
      </c>
      <c r="K7" t="s">
        <v>21</v>
      </c>
      <c r="L7">
        <v>34755510.048274986</v>
      </c>
    </row>
    <row r="8" spans="1:14">
      <c r="A8" t="str">
        <f t="shared" si="0"/>
        <v>1.전체_매출1.전체_매출SALE2012</v>
      </c>
      <c r="B8" t="str">
        <f t="shared" si="1"/>
        <v>1.전체_매출1.전체_매출SALE201202</v>
      </c>
      <c r="F8" t="s">
        <v>190</v>
      </c>
      <c r="G8" t="s">
        <v>190</v>
      </c>
      <c r="H8" t="s">
        <v>307</v>
      </c>
      <c r="I8" t="s">
        <v>226</v>
      </c>
      <c r="J8" t="s">
        <v>229</v>
      </c>
      <c r="K8" t="s">
        <v>21</v>
      </c>
      <c r="L8">
        <v>26980075.100886896</v>
      </c>
    </row>
    <row r="9" spans="1:14">
      <c r="A9" t="str">
        <f t="shared" si="0"/>
        <v>1.전체_매출1.전체_매출SALE2012</v>
      </c>
      <c r="B9" t="str">
        <f t="shared" si="1"/>
        <v>1.전체_매출1.전체_매출SALE201203</v>
      </c>
      <c r="F9" t="s">
        <v>190</v>
      </c>
      <c r="G9" t="s">
        <v>190</v>
      </c>
      <c r="H9" t="s">
        <v>307</v>
      </c>
      <c r="I9" t="s">
        <v>226</v>
      </c>
      <c r="J9" t="s">
        <v>230</v>
      </c>
      <c r="K9" t="s">
        <v>21</v>
      </c>
      <c r="L9">
        <v>41098345.830866389</v>
      </c>
    </row>
    <row r="10" spans="1:14">
      <c r="A10" t="str">
        <f t="shared" si="0"/>
        <v>1.전체_매출1.전체_매출SALE2012</v>
      </c>
      <c r="B10" t="str">
        <f t="shared" si="1"/>
        <v>1.전체_매출1.전체_매출SALE201204</v>
      </c>
      <c r="F10" t="s">
        <v>190</v>
      </c>
      <c r="G10" t="s">
        <v>190</v>
      </c>
      <c r="H10" t="s">
        <v>307</v>
      </c>
      <c r="I10" t="s">
        <v>226</v>
      </c>
      <c r="J10" t="s">
        <v>231</v>
      </c>
      <c r="K10" t="s">
        <v>21</v>
      </c>
      <c r="L10">
        <v>42602852.957146451</v>
      </c>
    </row>
    <row r="11" spans="1:14">
      <c r="A11" t="str">
        <f t="shared" si="0"/>
        <v>1.전체_매출1.전체_매출SALE2012</v>
      </c>
      <c r="B11" t="str">
        <f t="shared" si="1"/>
        <v>1.전체_매출1.전체_매출SALE201205</v>
      </c>
      <c r="F11" t="s">
        <v>190</v>
      </c>
      <c r="G11" t="s">
        <v>190</v>
      </c>
      <c r="H11" t="s">
        <v>307</v>
      </c>
      <c r="I11" t="s">
        <v>226</v>
      </c>
      <c r="J11" t="s">
        <v>232</v>
      </c>
      <c r="K11" t="s">
        <v>21</v>
      </c>
      <c r="L11">
        <v>38317137.724943541</v>
      </c>
    </row>
    <row r="12" spans="1:14">
      <c r="A12" t="str">
        <f t="shared" si="0"/>
        <v>1.전체_매출1.전체_매출SALE2012</v>
      </c>
      <c r="B12" t="str">
        <f t="shared" si="1"/>
        <v>1.전체_매출1.전체_매출SALE201206</v>
      </c>
      <c r="F12" t="s">
        <v>190</v>
      </c>
      <c r="G12" t="s">
        <v>190</v>
      </c>
      <c r="H12" t="s">
        <v>307</v>
      </c>
      <c r="I12" t="s">
        <v>226</v>
      </c>
      <c r="J12" t="s">
        <v>233</v>
      </c>
      <c r="K12" t="s">
        <v>21</v>
      </c>
      <c r="L12">
        <v>33561399.118237019</v>
      </c>
    </row>
    <row r="13" spans="1:14">
      <c r="A13" t="str">
        <f t="shared" si="0"/>
        <v>1.전체_매출1.전체_매출SALE2012</v>
      </c>
      <c r="B13" t="str">
        <f t="shared" si="1"/>
        <v>1.전체_매출1.전체_매출SALE201207</v>
      </c>
      <c r="F13" t="s">
        <v>190</v>
      </c>
      <c r="G13" t="s">
        <v>190</v>
      </c>
      <c r="H13" t="s">
        <v>307</v>
      </c>
      <c r="I13" t="s">
        <v>226</v>
      </c>
      <c r="J13" t="s">
        <v>234</v>
      </c>
      <c r="K13" t="s">
        <v>21</v>
      </c>
      <c r="L13">
        <v>41821643.139291748</v>
      </c>
    </row>
    <row r="14" spans="1:14">
      <c r="A14" t="str">
        <f t="shared" si="0"/>
        <v>1.전체_매출1.전체_매출SALE2012</v>
      </c>
      <c r="B14" t="str">
        <f t="shared" si="1"/>
        <v>1.전체_매출1.전체_매출SALE201208</v>
      </c>
      <c r="F14" t="s">
        <v>190</v>
      </c>
      <c r="G14" t="s">
        <v>190</v>
      </c>
      <c r="H14" t="s">
        <v>307</v>
      </c>
      <c r="I14" t="s">
        <v>226</v>
      </c>
      <c r="J14" t="s">
        <v>235</v>
      </c>
      <c r="K14" t="s">
        <v>21</v>
      </c>
      <c r="L14">
        <v>44700165.581131332</v>
      </c>
    </row>
    <row r="15" spans="1:14">
      <c r="A15" t="str">
        <f t="shared" si="0"/>
        <v>1.전체_매출1.전체_매출SALE2012</v>
      </c>
      <c r="B15" t="str">
        <f t="shared" si="1"/>
        <v>1.전체_매출1.전체_매출SALE201209</v>
      </c>
      <c r="F15" t="s">
        <v>190</v>
      </c>
      <c r="G15" t="s">
        <v>190</v>
      </c>
      <c r="H15" t="s">
        <v>307</v>
      </c>
      <c r="I15" t="s">
        <v>226</v>
      </c>
      <c r="J15" t="s">
        <v>236</v>
      </c>
      <c r="K15" t="s">
        <v>21</v>
      </c>
      <c r="L15">
        <v>49084027.609429508</v>
      </c>
    </row>
    <row r="16" spans="1:14">
      <c r="A16" t="str">
        <f t="shared" si="0"/>
        <v>1.전체_매출1.전체_매출SALE2012</v>
      </c>
      <c r="B16" t="str">
        <f t="shared" si="1"/>
        <v>1.전체_매출1.전체_매출SALE201210</v>
      </c>
      <c r="F16" t="s">
        <v>190</v>
      </c>
      <c r="G16" t="s">
        <v>190</v>
      </c>
      <c r="H16" t="s">
        <v>307</v>
      </c>
      <c r="I16" t="s">
        <v>226</v>
      </c>
      <c r="J16" t="s">
        <v>237</v>
      </c>
      <c r="K16" t="s">
        <v>21</v>
      </c>
      <c r="L16">
        <v>62471646.981993802</v>
      </c>
    </row>
    <row r="17" spans="1:12">
      <c r="A17" t="str">
        <f t="shared" si="0"/>
        <v>1.전체_매출1.전체_매출SALE2012</v>
      </c>
      <c r="B17" t="str">
        <f t="shared" si="1"/>
        <v>1.전체_매출1.전체_매출SALE201211</v>
      </c>
      <c r="F17" t="s">
        <v>190</v>
      </c>
      <c r="G17" t="s">
        <v>190</v>
      </c>
      <c r="H17" t="s">
        <v>307</v>
      </c>
      <c r="I17" t="s">
        <v>226</v>
      </c>
      <c r="J17" t="s">
        <v>238</v>
      </c>
      <c r="K17" t="s">
        <v>21</v>
      </c>
      <c r="L17">
        <v>82091256.051491126</v>
      </c>
    </row>
    <row r="18" spans="1:12">
      <c r="A18" t="str">
        <f t="shared" si="0"/>
        <v>1.전체_매출1.전체_매출SALE2012</v>
      </c>
      <c r="B18" t="str">
        <f t="shared" si="1"/>
        <v>1.전체_매출1.전체_매출SALE201212</v>
      </c>
      <c r="F18" t="s">
        <v>190</v>
      </c>
      <c r="G18" t="s">
        <v>190</v>
      </c>
      <c r="H18" t="s">
        <v>307</v>
      </c>
      <c r="I18" t="s">
        <v>226</v>
      </c>
      <c r="J18" t="s">
        <v>239</v>
      </c>
      <c r="K18" t="s">
        <v>21</v>
      </c>
      <c r="L18">
        <v>67253999.209048644</v>
      </c>
    </row>
    <row r="19" spans="1:12">
      <c r="A19" t="str">
        <f t="shared" si="0"/>
        <v>1.전체_매출1.전체_매출SALE2013</v>
      </c>
      <c r="B19" t="str">
        <f t="shared" si="1"/>
        <v>1.전체_매출1.전체_매출SALE201301</v>
      </c>
      <c r="F19" t="s">
        <v>190</v>
      </c>
      <c r="G19" t="s">
        <v>190</v>
      </c>
      <c r="H19" t="s">
        <v>307</v>
      </c>
      <c r="I19" t="s">
        <v>240</v>
      </c>
      <c r="J19" t="s">
        <v>242</v>
      </c>
      <c r="K19" t="s">
        <v>21</v>
      </c>
      <c r="L19">
        <v>47263458.629857279</v>
      </c>
    </row>
    <row r="20" spans="1:12">
      <c r="A20" t="str">
        <f t="shared" si="0"/>
        <v>1.전체_매출1.전체_매출SALE2013</v>
      </c>
      <c r="B20" t="str">
        <f t="shared" si="1"/>
        <v>1.전체_매출1.전체_매출SALE201302</v>
      </c>
      <c r="F20" t="s">
        <v>190</v>
      </c>
      <c r="G20" t="s">
        <v>190</v>
      </c>
      <c r="H20" t="s">
        <v>307</v>
      </c>
      <c r="I20" t="s">
        <v>240</v>
      </c>
      <c r="J20" t="s">
        <v>243</v>
      </c>
      <c r="K20" t="s">
        <v>21</v>
      </c>
      <c r="L20">
        <v>36229165.145843104</v>
      </c>
    </row>
    <row r="21" spans="1:12">
      <c r="A21" t="str">
        <f t="shared" si="0"/>
        <v>1.전체_매출1.전체_매출SALE2013</v>
      </c>
      <c r="B21" t="str">
        <f t="shared" si="1"/>
        <v>1.전체_매출1.전체_매출SALE201303</v>
      </c>
      <c r="F21" t="s">
        <v>190</v>
      </c>
      <c r="G21" t="s">
        <v>190</v>
      </c>
      <c r="H21" t="s">
        <v>307</v>
      </c>
      <c r="I21" t="s">
        <v>240</v>
      </c>
      <c r="J21" t="s">
        <v>244</v>
      </c>
      <c r="K21" t="s">
        <v>21</v>
      </c>
      <c r="L21">
        <v>44314063.512949854</v>
      </c>
    </row>
    <row r="22" spans="1:12">
      <c r="A22" t="str">
        <f t="shared" si="0"/>
        <v>1.전체_매출1.전체_매출SALE2013</v>
      </c>
      <c r="B22" t="str">
        <f t="shared" si="1"/>
        <v>1.전체_매출1.전체_매출SALE201304</v>
      </c>
      <c r="F22" t="s">
        <v>190</v>
      </c>
      <c r="G22" t="s">
        <v>190</v>
      </c>
      <c r="H22" t="s">
        <v>307</v>
      </c>
      <c r="I22" t="s">
        <v>240</v>
      </c>
      <c r="J22" t="s">
        <v>245</v>
      </c>
      <c r="K22" t="s">
        <v>21</v>
      </c>
      <c r="L22">
        <v>44331267.411026798</v>
      </c>
    </row>
    <row r="23" spans="1:12">
      <c r="A23" t="str">
        <f t="shared" si="0"/>
        <v>1.전체_매출1.전체_매출SALE2013</v>
      </c>
      <c r="B23" t="str">
        <f t="shared" si="1"/>
        <v>1.전체_매출1.전체_매출SALE201305</v>
      </c>
      <c r="F23" t="s">
        <v>190</v>
      </c>
      <c r="G23" t="s">
        <v>190</v>
      </c>
      <c r="H23" t="s">
        <v>307</v>
      </c>
      <c r="I23" t="s">
        <v>240</v>
      </c>
      <c r="J23" t="s">
        <v>246</v>
      </c>
      <c r="K23" t="s">
        <v>21</v>
      </c>
      <c r="L23">
        <v>48559047.897662386</v>
      </c>
    </row>
    <row r="24" spans="1:12">
      <c r="A24" t="str">
        <f t="shared" si="0"/>
        <v>1.전체_매출1.전체_매출SALE2013</v>
      </c>
      <c r="B24" t="str">
        <f t="shared" si="1"/>
        <v>1.전체_매출1.전체_매출SALE201306</v>
      </c>
      <c r="F24" t="s">
        <v>190</v>
      </c>
      <c r="G24" t="s">
        <v>190</v>
      </c>
      <c r="H24" t="s">
        <v>307</v>
      </c>
      <c r="I24" t="s">
        <v>240</v>
      </c>
      <c r="J24" t="s">
        <v>247</v>
      </c>
      <c r="K24" t="s">
        <v>21</v>
      </c>
      <c r="L24">
        <v>35343175.136061266</v>
      </c>
    </row>
    <row r="25" spans="1:12">
      <c r="A25" t="str">
        <f t="shared" si="0"/>
        <v>1.전체_매출1.전체_매출SALE2013</v>
      </c>
      <c r="B25" t="str">
        <f t="shared" si="1"/>
        <v>1.전체_매출1.전체_매출SALE201307</v>
      </c>
      <c r="F25" t="s">
        <v>190</v>
      </c>
      <c r="G25" t="s">
        <v>190</v>
      </c>
      <c r="H25" t="s">
        <v>307</v>
      </c>
      <c r="I25" t="s">
        <v>240</v>
      </c>
      <c r="J25" t="s">
        <v>248</v>
      </c>
      <c r="K25" t="s">
        <v>21</v>
      </c>
      <c r="L25">
        <v>37258310.485042639</v>
      </c>
    </row>
    <row r="26" spans="1:12">
      <c r="A26" t="str">
        <f t="shared" si="0"/>
        <v>1.전체_매출1.전체_매출SALE2013</v>
      </c>
      <c r="B26" t="str">
        <f t="shared" si="1"/>
        <v>1.전체_매출1.전체_매출SALE201308</v>
      </c>
      <c r="F26" t="s">
        <v>190</v>
      </c>
      <c r="G26" t="s">
        <v>190</v>
      </c>
      <c r="H26" t="s">
        <v>307</v>
      </c>
      <c r="I26" t="s">
        <v>240</v>
      </c>
      <c r="J26" t="s">
        <v>249</v>
      </c>
      <c r="K26" t="s">
        <v>21</v>
      </c>
      <c r="L26">
        <v>41123916.02179765</v>
      </c>
    </row>
    <row r="27" spans="1:12">
      <c r="A27" t="str">
        <f t="shared" si="0"/>
        <v>1.전체_매출1.전체_매출SALE2013</v>
      </c>
      <c r="B27" t="str">
        <f t="shared" si="1"/>
        <v>1.전체_매출1.전체_매출SALE201309</v>
      </c>
      <c r="F27" t="s">
        <v>190</v>
      </c>
      <c r="G27" t="s">
        <v>190</v>
      </c>
      <c r="H27" t="s">
        <v>307</v>
      </c>
      <c r="I27" t="s">
        <v>240</v>
      </c>
      <c r="J27" t="s">
        <v>250</v>
      </c>
      <c r="K27" t="s">
        <v>21</v>
      </c>
      <c r="L27">
        <v>42850264.146215402</v>
      </c>
    </row>
    <row r="28" spans="1:12">
      <c r="A28" t="str">
        <f t="shared" si="0"/>
        <v>1.전체_매출1.전체_매출SALE2013</v>
      </c>
      <c r="B28" t="str">
        <f t="shared" si="1"/>
        <v>1.전체_매출1.전체_매출SALE201310</v>
      </c>
      <c r="F28" t="s">
        <v>190</v>
      </c>
      <c r="G28" t="s">
        <v>190</v>
      </c>
      <c r="H28" t="s">
        <v>307</v>
      </c>
      <c r="I28" t="s">
        <v>240</v>
      </c>
      <c r="J28" t="s">
        <v>251</v>
      </c>
      <c r="K28" t="s">
        <v>21</v>
      </c>
      <c r="L28">
        <v>70538719.076631755</v>
      </c>
    </row>
    <row r="29" spans="1:12">
      <c r="A29" t="str">
        <f t="shared" si="0"/>
        <v>1.전체_매출1.전체_매출SALE2013</v>
      </c>
      <c r="B29" t="str">
        <f t="shared" si="1"/>
        <v>1.전체_매출1.전체_매출SALE201311</v>
      </c>
      <c r="F29" t="s">
        <v>190</v>
      </c>
      <c r="G29" t="s">
        <v>190</v>
      </c>
      <c r="H29" t="s">
        <v>307</v>
      </c>
      <c r="I29" t="s">
        <v>240</v>
      </c>
      <c r="J29" t="s">
        <v>252</v>
      </c>
      <c r="K29" t="s">
        <v>21</v>
      </c>
      <c r="L29">
        <v>99555752.053670287</v>
      </c>
    </row>
    <row r="30" spans="1:12">
      <c r="A30" t="str">
        <f t="shared" si="0"/>
        <v>1.전체_매출1.전체_매출SALE2013</v>
      </c>
      <c r="B30" t="str">
        <f t="shared" si="1"/>
        <v>1.전체_매출1.전체_매출SALE201312</v>
      </c>
      <c r="F30" t="s">
        <v>190</v>
      </c>
      <c r="G30" t="s">
        <v>190</v>
      </c>
      <c r="H30" t="s">
        <v>307</v>
      </c>
      <c r="I30" t="s">
        <v>240</v>
      </c>
      <c r="J30" t="s">
        <v>253</v>
      </c>
      <c r="K30" t="s">
        <v>21</v>
      </c>
      <c r="L30">
        <v>71649943.859514296</v>
      </c>
    </row>
    <row r="31" spans="1:12">
      <c r="A31" t="str">
        <f t="shared" si="0"/>
        <v>1.전체_매출1.전체_매출SALE2014</v>
      </c>
      <c r="B31" t="str">
        <f t="shared" si="1"/>
        <v>1.전체_매출1.전체_매출SALE201401</v>
      </c>
      <c r="F31" t="s">
        <v>190</v>
      </c>
      <c r="G31" t="s">
        <v>190</v>
      </c>
      <c r="H31" t="s">
        <v>307</v>
      </c>
      <c r="I31" t="s">
        <v>254</v>
      </c>
      <c r="J31" t="s">
        <v>22</v>
      </c>
      <c r="K31" t="s">
        <v>21</v>
      </c>
      <c r="L31">
        <v>52173258.053572021</v>
      </c>
    </row>
    <row r="32" spans="1:12">
      <c r="A32" t="str">
        <f t="shared" si="0"/>
        <v>1.전체_매출1.전체_매출SALE2014</v>
      </c>
      <c r="B32" t="str">
        <f t="shared" si="1"/>
        <v>1.전체_매출1.전체_매출SALE201402</v>
      </c>
      <c r="F32" t="s">
        <v>190</v>
      </c>
      <c r="G32" t="s">
        <v>190</v>
      </c>
      <c r="H32" t="s">
        <v>307</v>
      </c>
      <c r="I32" t="s">
        <v>254</v>
      </c>
      <c r="J32" t="s">
        <v>23</v>
      </c>
      <c r="K32" t="s">
        <v>21</v>
      </c>
      <c r="L32">
        <v>43467049.089931123</v>
      </c>
    </row>
    <row r="33" spans="1:12">
      <c r="A33" t="str">
        <f t="shared" si="0"/>
        <v>1.전체_매출1.전체_매출SALE2014</v>
      </c>
      <c r="B33" t="str">
        <f t="shared" si="1"/>
        <v>1.전체_매출1.전체_매출SALE201403</v>
      </c>
      <c r="F33" t="s">
        <v>190</v>
      </c>
      <c r="G33" t="s">
        <v>190</v>
      </c>
      <c r="H33" t="s">
        <v>307</v>
      </c>
      <c r="I33" t="s">
        <v>254</v>
      </c>
      <c r="J33" t="s">
        <v>24</v>
      </c>
      <c r="K33" t="s">
        <v>21</v>
      </c>
      <c r="L33">
        <v>51263096.732115597</v>
      </c>
    </row>
    <row r="34" spans="1:12">
      <c r="A34" t="str">
        <f t="shared" si="0"/>
        <v>1.전체_매출1.전체_매출SALE2014</v>
      </c>
      <c r="B34" t="str">
        <f t="shared" si="1"/>
        <v>1.전체_매출1.전체_매출SALE201404</v>
      </c>
      <c r="F34" t="s">
        <v>190</v>
      </c>
      <c r="G34" t="s">
        <v>190</v>
      </c>
      <c r="H34" t="s">
        <v>307</v>
      </c>
      <c r="I34" t="s">
        <v>254</v>
      </c>
      <c r="J34" t="s">
        <v>25</v>
      </c>
      <c r="K34" t="s">
        <v>21</v>
      </c>
      <c r="L34">
        <v>48807835.953079037</v>
      </c>
    </row>
    <row r="35" spans="1:12">
      <c r="A35" t="str">
        <f t="shared" si="0"/>
        <v>1.전체_매출1.전체_매출SALE2014</v>
      </c>
      <c r="B35" t="str">
        <f t="shared" si="1"/>
        <v>1.전체_매출1.전체_매출SALE201405</v>
      </c>
      <c r="F35" t="s">
        <v>190</v>
      </c>
      <c r="G35" t="s">
        <v>190</v>
      </c>
      <c r="H35" t="s">
        <v>307</v>
      </c>
      <c r="I35" t="s">
        <v>254</v>
      </c>
      <c r="J35" t="s">
        <v>26</v>
      </c>
      <c r="K35" t="s">
        <v>21</v>
      </c>
      <c r="L35">
        <v>59477594.828803658</v>
      </c>
    </row>
    <row r="36" spans="1:12">
      <c r="A36" t="str">
        <f t="shared" si="0"/>
        <v>1.전체_매출1.전체_매출SALE2014</v>
      </c>
      <c r="B36" t="str">
        <f t="shared" si="1"/>
        <v>1.전체_매출1.전체_매출SALE201406</v>
      </c>
      <c r="F36" t="s">
        <v>190</v>
      </c>
      <c r="G36" t="s">
        <v>190</v>
      </c>
      <c r="H36" t="s">
        <v>307</v>
      </c>
      <c r="I36" t="s">
        <v>254</v>
      </c>
      <c r="J36" t="s">
        <v>27</v>
      </c>
      <c r="K36" t="s">
        <v>21</v>
      </c>
      <c r="L36">
        <v>46422138.060603626</v>
      </c>
    </row>
    <row r="37" spans="1:12">
      <c r="A37" t="str">
        <f t="shared" si="0"/>
        <v>1.전체_매출1.전체_매출SALE2014</v>
      </c>
      <c r="B37" t="str">
        <f t="shared" si="1"/>
        <v>1.전체_매출1.전체_매출SALE201407</v>
      </c>
      <c r="F37" t="s">
        <v>190</v>
      </c>
      <c r="G37" t="s">
        <v>190</v>
      </c>
      <c r="H37" t="s">
        <v>307</v>
      </c>
      <c r="I37" t="s">
        <v>254</v>
      </c>
      <c r="J37" t="s">
        <v>28</v>
      </c>
      <c r="K37" t="s">
        <v>21</v>
      </c>
      <c r="L37">
        <v>49640517.963160403</v>
      </c>
    </row>
    <row r="38" spans="1:12">
      <c r="A38" t="str">
        <f t="shared" si="0"/>
        <v>1.전체_매출1.전체_매출SALE2014</v>
      </c>
      <c r="B38" t="str">
        <f t="shared" si="1"/>
        <v>1.전체_매출1.전체_매출SALE201408</v>
      </c>
      <c r="F38" t="s">
        <v>190</v>
      </c>
      <c r="G38" t="s">
        <v>190</v>
      </c>
      <c r="H38" t="s">
        <v>307</v>
      </c>
      <c r="I38" t="s">
        <v>254</v>
      </c>
      <c r="J38" t="s">
        <v>29</v>
      </c>
      <c r="K38" t="s">
        <v>21</v>
      </c>
      <c r="L38">
        <v>56796346.646599747</v>
      </c>
    </row>
    <row r="39" spans="1:12">
      <c r="A39" t="str">
        <f t="shared" si="0"/>
        <v>1.전체_매출1.전체_매출SALE2014</v>
      </c>
      <c r="B39" t="str">
        <f t="shared" si="1"/>
        <v>1.전체_매출1.전체_매출SALE201409</v>
      </c>
      <c r="F39" t="s">
        <v>190</v>
      </c>
      <c r="G39" t="s">
        <v>190</v>
      </c>
      <c r="H39" t="s">
        <v>307</v>
      </c>
      <c r="I39" t="s">
        <v>254</v>
      </c>
      <c r="J39" t="s">
        <v>30</v>
      </c>
      <c r="K39" t="s">
        <v>21</v>
      </c>
      <c r="L39">
        <v>55165009.11535047</v>
      </c>
    </row>
    <row r="40" spans="1:12">
      <c r="A40" t="str">
        <f t="shared" si="0"/>
        <v>1.전체_매출1.전체_매출SALE2014</v>
      </c>
      <c r="B40" t="str">
        <f t="shared" si="1"/>
        <v>1.전체_매출1.전체_매출SALE201410</v>
      </c>
      <c r="F40" t="s">
        <v>190</v>
      </c>
      <c r="G40" t="s">
        <v>190</v>
      </c>
      <c r="H40" t="s">
        <v>307</v>
      </c>
      <c r="I40" t="s">
        <v>254</v>
      </c>
      <c r="J40" t="s">
        <v>31</v>
      </c>
      <c r="K40" t="s">
        <v>21</v>
      </c>
      <c r="L40">
        <v>70948357.404854104</v>
      </c>
    </row>
    <row r="41" spans="1:12">
      <c r="A41" t="str">
        <f t="shared" si="0"/>
        <v>1.전체_매출1.전체_매출SALE2014</v>
      </c>
      <c r="B41" t="str">
        <f t="shared" si="1"/>
        <v>1.전체_매출1.전체_매출SALE201411</v>
      </c>
      <c r="F41" t="s">
        <v>190</v>
      </c>
      <c r="G41" t="s">
        <v>190</v>
      </c>
      <c r="H41" t="s">
        <v>307</v>
      </c>
      <c r="I41" t="s">
        <v>254</v>
      </c>
      <c r="J41" t="s">
        <v>32</v>
      </c>
      <c r="K41" t="s">
        <v>21</v>
      </c>
      <c r="L41">
        <v>109961443.03820056</v>
      </c>
    </row>
    <row r="42" spans="1:12">
      <c r="A42" t="str">
        <f t="shared" si="0"/>
        <v>1.전체_매출1.전체_매출SALE2014</v>
      </c>
      <c r="B42" t="str">
        <f t="shared" si="1"/>
        <v>1.전체_매출1.전체_매출SALE201412</v>
      </c>
      <c r="F42" t="s">
        <v>190</v>
      </c>
      <c r="G42" t="s">
        <v>190</v>
      </c>
      <c r="H42" t="s">
        <v>307</v>
      </c>
      <c r="I42" t="s">
        <v>254</v>
      </c>
      <c r="J42" t="s">
        <v>33</v>
      </c>
      <c r="K42" t="s">
        <v>21</v>
      </c>
      <c r="L42">
        <v>74908098.346164793</v>
      </c>
    </row>
    <row r="43" spans="1:12">
      <c r="A43" t="str">
        <f t="shared" si="0"/>
        <v>1.전체_매출1.전체_매출SALE2015</v>
      </c>
      <c r="B43" t="str">
        <f t="shared" si="1"/>
        <v>1.전체_매출1.전체_매출SALE201501</v>
      </c>
      <c r="F43" t="s">
        <v>190</v>
      </c>
      <c r="G43" t="s">
        <v>190</v>
      </c>
      <c r="H43" t="s">
        <v>307</v>
      </c>
      <c r="I43" t="s">
        <v>260</v>
      </c>
      <c r="J43" t="s">
        <v>34</v>
      </c>
      <c r="K43" t="s">
        <v>21</v>
      </c>
      <c r="L43">
        <v>55737821.749156326</v>
      </c>
    </row>
    <row r="44" spans="1:12">
      <c r="A44" t="str">
        <f t="shared" si="0"/>
        <v>1.전체_매출1.전체_매출SALE2015</v>
      </c>
      <c r="B44" t="str">
        <f t="shared" si="1"/>
        <v>1.전체_매출1.전체_매출SALE201502</v>
      </c>
      <c r="F44" t="s">
        <v>190</v>
      </c>
      <c r="G44" t="s">
        <v>190</v>
      </c>
      <c r="H44" t="s">
        <v>307</v>
      </c>
      <c r="I44" t="s">
        <v>260</v>
      </c>
      <c r="J44" t="s">
        <v>35</v>
      </c>
      <c r="K44" t="s">
        <v>21</v>
      </c>
      <c r="L44">
        <v>44385008.017537586</v>
      </c>
    </row>
    <row r="45" spans="1:12">
      <c r="A45" t="str">
        <f t="shared" si="0"/>
        <v>1.전체_매출1.전체_매출SALE2015</v>
      </c>
      <c r="B45" t="str">
        <f t="shared" si="1"/>
        <v>1.전체_매출1.전체_매출SALE201503</v>
      </c>
      <c r="F45" t="s">
        <v>190</v>
      </c>
      <c r="G45" t="s">
        <v>190</v>
      </c>
      <c r="H45" t="s">
        <v>307</v>
      </c>
      <c r="I45" t="s">
        <v>260</v>
      </c>
      <c r="J45" t="s">
        <v>36</v>
      </c>
      <c r="K45" t="s">
        <v>21</v>
      </c>
      <c r="L45">
        <v>50866293.573938221</v>
      </c>
    </row>
    <row r="46" spans="1:12">
      <c r="A46" t="str">
        <f t="shared" si="0"/>
        <v>1.전체_매출1.전체_매출SALE2015</v>
      </c>
      <c r="B46" t="str">
        <f t="shared" si="1"/>
        <v>1.전체_매출1.전체_매출SALE201504</v>
      </c>
      <c r="F46" t="s">
        <v>190</v>
      </c>
      <c r="G46" t="s">
        <v>190</v>
      </c>
      <c r="H46" t="s">
        <v>307</v>
      </c>
      <c r="I46" t="s">
        <v>260</v>
      </c>
      <c r="J46" t="s">
        <v>37</v>
      </c>
      <c r="K46" t="s">
        <v>21</v>
      </c>
      <c r="L46">
        <v>45090354.045579493</v>
      </c>
    </row>
    <row r="47" spans="1:12">
      <c r="A47" t="str">
        <f t="shared" si="0"/>
        <v>1.전체_매출1.전체_매출SALE2015</v>
      </c>
      <c r="B47" t="str">
        <f t="shared" si="1"/>
        <v>1.전체_매출1.전체_매출SALE201505</v>
      </c>
      <c r="F47" t="s">
        <v>190</v>
      </c>
      <c r="G47" t="s">
        <v>190</v>
      </c>
      <c r="H47" t="s">
        <v>307</v>
      </c>
      <c r="I47" t="s">
        <v>260</v>
      </c>
      <c r="J47" t="s">
        <v>38</v>
      </c>
      <c r="K47" t="s">
        <v>21</v>
      </c>
      <c r="L47">
        <v>51761214.970111169</v>
      </c>
    </row>
    <row r="48" spans="1:12">
      <c r="A48" t="str">
        <f t="shared" si="0"/>
        <v>1.전체_매출1.전체_매출SALE2015</v>
      </c>
      <c r="B48" t="str">
        <f t="shared" si="1"/>
        <v>1.전체_매출1.전체_매출SALE201506</v>
      </c>
      <c r="F48" t="s">
        <v>190</v>
      </c>
      <c r="G48" t="s">
        <v>190</v>
      </c>
      <c r="H48" t="s">
        <v>307</v>
      </c>
      <c r="I48" t="s">
        <v>260</v>
      </c>
      <c r="J48" t="s">
        <v>39</v>
      </c>
      <c r="K48" t="s">
        <v>21</v>
      </c>
      <c r="L48">
        <v>51899054.886559092</v>
      </c>
    </row>
    <row r="49" spans="1:12">
      <c r="A49" t="str">
        <f t="shared" si="0"/>
        <v>1.전체_매출1.전체_매출SALE2015</v>
      </c>
      <c r="B49" t="str">
        <f t="shared" si="1"/>
        <v>1.전체_매출1.전체_매출SALE201507</v>
      </c>
      <c r="F49" t="s">
        <v>190</v>
      </c>
      <c r="G49" t="s">
        <v>190</v>
      </c>
      <c r="H49" t="s">
        <v>307</v>
      </c>
      <c r="I49" t="s">
        <v>260</v>
      </c>
      <c r="J49" t="s">
        <v>40</v>
      </c>
      <c r="K49" t="s">
        <v>21</v>
      </c>
      <c r="L49">
        <v>50654875.733508959</v>
      </c>
    </row>
    <row r="50" spans="1:12">
      <c r="A50" t="str">
        <f t="shared" si="0"/>
        <v>1.전체_매출1.전체_매출SALE2015</v>
      </c>
      <c r="B50" t="str">
        <f t="shared" si="1"/>
        <v>1.전체_매출1.전체_매출SALE201508</v>
      </c>
      <c r="F50" t="s">
        <v>190</v>
      </c>
      <c r="G50" t="s">
        <v>190</v>
      </c>
      <c r="H50" t="s">
        <v>307</v>
      </c>
      <c r="I50" t="s">
        <v>260</v>
      </c>
      <c r="J50" t="s">
        <v>41</v>
      </c>
      <c r="K50" t="s">
        <v>21</v>
      </c>
      <c r="L50">
        <v>44283784.795194708</v>
      </c>
    </row>
    <row r="51" spans="1:12">
      <c r="A51" t="str">
        <f t="shared" si="0"/>
        <v>1.전체_매출1.전체_매출SALE2015</v>
      </c>
      <c r="B51" t="str">
        <f t="shared" si="1"/>
        <v>1.전체_매출1.전체_매출SALE201509</v>
      </c>
      <c r="F51" t="s">
        <v>190</v>
      </c>
      <c r="G51" t="s">
        <v>190</v>
      </c>
      <c r="H51" t="s">
        <v>307</v>
      </c>
      <c r="I51" t="s">
        <v>260</v>
      </c>
      <c r="J51" t="s">
        <v>42</v>
      </c>
      <c r="K51" t="s">
        <v>21</v>
      </c>
      <c r="L51">
        <v>48281209.135355242</v>
      </c>
    </row>
    <row r="52" spans="1:12">
      <c r="A52" t="str">
        <f t="shared" si="0"/>
        <v>1.전체_매출1.전체_매출SALE2015</v>
      </c>
      <c r="B52" t="str">
        <f t="shared" si="1"/>
        <v>1.전체_매출1.전체_매출SALE201510</v>
      </c>
      <c r="F52" t="s">
        <v>190</v>
      </c>
      <c r="G52" t="s">
        <v>190</v>
      </c>
      <c r="H52" t="s">
        <v>307</v>
      </c>
      <c r="I52" t="s">
        <v>260</v>
      </c>
      <c r="J52" t="s">
        <v>1</v>
      </c>
      <c r="K52" t="s">
        <v>21</v>
      </c>
      <c r="L52">
        <v>71016146.176545054</v>
      </c>
    </row>
    <row r="53" spans="1:12">
      <c r="A53" t="str">
        <f t="shared" si="0"/>
        <v>2.전체_재고일수2.전체_재고일수INV_DIO2012</v>
      </c>
      <c r="B53" t="str">
        <f t="shared" si="1"/>
        <v>2.전체_재고일수2.전체_재고일수INV_DIO201200</v>
      </c>
      <c r="F53" t="s">
        <v>179</v>
      </c>
      <c r="G53" t="s">
        <v>179</v>
      </c>
      <c r="H53" t="s">
        <v>307</v>
      </c>
      <c r="I53" t="s">
        <v>226</v>
      </c>
      <c r="J53" t="s">
        <v>262</v>
      </c>
      <c r="K53" t="s">
        <v>180</v>
      </c>
    </row>
    <row r="54" spans="1:12">
      <c r="A54" t="str">
        <f t="shared" si="0"/>
        <v>2.전체_재고일수2.전체_재고일수INV_DIO_MTL2012</v>
      </c>
      <c r="B54" t="str">
        <f t="shared" si="1"/>
        <v>2.전체_재고일수2.전체_재고일수INV_DIO_MTL201200</v>
      </c>
      <c r="F54" t="s">
        <v>179</v>
      </c>
      <c r="G54" t="s">
        <v>179</v>
      </c>
      <c r="H54" t="s">
        <v>307</v>
      </c>
      <c r="I54" t="s">
        <v>226</v>
      </c>
      <c r="J54" t="s">
        <v>262</v>
      </c>
      <c r="K54" t="s">
        <v>228</v>
      </c>
    </row>
    <row r="55" spans="1:12">
      <c r="A55" t="str">
        <f t="shared" si="0"/>
        <v>2.전체_재고일수2.전체_재고일수INV_DIO_R2012</v>
      </c>
      <c r="B55" t="str">
        <f t="shared" si="1"/>
        <v>2.전체_재고일수2.전체_재고일수INV_DIO_R201200</v>
      </c>
      <c r="F55" t="s">
        <v>179</v>
      </c>
      <c r="G55" t="s">
        <v>179</v>
      </c>
      <c r="H55" t="s">
        <v>307</v>
      </c>
      <c r="I55" t="s">
        <v>226</v>
      </c>
      <c r="J55" t="s">
        <v>262</v>
      </c>
      <c r="K55" t="s">
        <v>181</v>
      </c>
      <c r="L55">
        <v>0</v>
      </c>
    </row>
    <row r="56" spans="1:12">
      <c r="A56" t="str">
        <f t="shared" si="0"/>
        <v>2.전체_재고일수2.전체_재고일수INV_DIO2012</v>
      </c>
      <c r="B56" t="str">
        <f t="shared" si="1"/>
        <v>2.전체_재고일수2.전체_재고일수INV_DIO201201</v>
      </c>
      <c r="F56" t="s">
        <v>179</v>
      </c>
      <c r="G56" t="s">
        <v>179</v>
      </c>
      <c r="H56" t="s">
        <v>307</v>
      </c>
      <c r="I56" t="s">
        <v>226</v>
      </c>
      <c r="J56" t="s">
        <v>227</v>
      </c>
      <c r="K56" t="s">
        <v>180</v>
      </c>
      <c r="L56">
        <v>32.713842198711198</v>
      </c>
    </row>
    <row r="57" spans="1:12">
      <c r="A57" t="str">
        <f t="shared" si="0"/>
        <v>2.전체_재고일수2.전체_재고일수INV_DIO_MTL2012</v>
      </c>
      <c r="B57" t="str">
        <f t="shared" si="1"/>
        <v>2.전체_재고일수2.전체_재고일수INV_DIO_MTL201201</v>
      </c>
      <c r="F57" t="s">
        <v>179</v>
      </c>
      <c r="G57" t="s">
        <v>179</v>
      </c>
      <c r="H57" t="s">
        <v>307</v>
      </c>
      <c r="I57" t="s">
        <v>226</v>
      </c>
      <c r="J57" t="s">
        <v>227</v>
      </c>
      <c r="K57" t="s">
        <v>228</v>
      </c>
    </row>
    <row r="58" spans="1:12">
      <c r="A58" t="str">
        <f t="shared" si="0"/>
        <v>2.전체_재고일수2.전체_재고일수INV_DIO_R2012</v>
      </c>
      <c r="B58" t="str">
        <f t="shared" si="1"/>
        <v>2.전체_재고일수2.전체_재고일수INV_DIO_R201201</v>
      </c>
      <c r="F58" t="s">
        <v>179</v>
      </c>
      <c r="G58" t="s">
        <v>179</v>
      </c>
      <c r="H58" t="s">
        <v>307</v>
      </c>
      <c r="I58" t="s">
        <v>226</v>
      </c>
      <c r="J58" t="s">
        <v>227</v>
      </c>
      <c r="K58" t="s">
        <v>181</v>
      </c>
      <c r="L58">
        <v>28.548698982512601</v>
      </c>
    </row>
    <row r="59" spans="1:12">
      <c r="A59" t="str">
        <f t="shared" si="0"/>
        <v>2.전체_재고일수2.전체_재고일수INV_DIO2012</v>
      </c>
      <c r="B59" t="str">
        <f t="shared" si="1"/>
        <v>2.전체_재고일수2.전체_재고일수INV_DIO201202</v>
      </c>
      <c r="F59" t="s">
        <v>179</v>
      </c>
      <c r="G59" t="s">
        <v>179</v>
      </c>
      <c r="H59" t="s">
        <v>307</v>
      </c>
      <c r="I59" t="s">
        <v>226</v>
      </c>
      <c r="J59" t="s">
        <v>229</v>
      </c>
      <c r="K59" t="s">
        <v>180</v>
      </c>
      <c r="L59">
        <v>26.003002548225801</v>
      </c>
    </row>
    <row r="60" spans="1:12">
      <c r="A60" t="str">
        <f t="shared" si="0"/>
        <v>2.전체_재고일수2.전체_재고일수INV_DIO_MTL2012</v>
      </c>
      <c r="B60" t="str">
        <f t="shared" si="1"/>
        <v>2.전체_재고일수2.전체_재고일수INV_DIO_MTL201202</v>
      </c>
      <c r="F60" t="s">
        <v>179</v>
      </c>
      <c r="G60" t="s">
        <v>179</v>
      </c>
      <c r="H60" t="s">
        <v>307</v>
      </c>
      <c r="I60" t="s">
        <v>226</v>
      </c>
      <c r="J60" t="s">
        <v>229</v>
      </c>
      <c r="K60" t="s">
        <v>228</v>
      </c>
    </row>
    <row r="61" spans="1:12">
      <c r="A61" t="str">
        <f t="shared" si="0"/>
        <v>2.전체_재고일수2.전체_재고일수INV_DIO_R2012</v>
      </c>
      <c r="B61" t="str">
        <f t="shared" si="1"/>
        <v>2.전체_재고일수2.전체_재고일수INV_DIO_R201202</v>
      </c>
      <c r="F61" t="s">
        <v>179</v>
      </c>
      <c r="G61" t="s">
        <v>179</v>
      </c>
      <c r="H61" t="s">
        <v>307</v>
      </c>
      <c r="I61" t="s">
        <v>226</v>
      </c>
      <c r="J61" t="s">
        <v>229</v>
      </c>
      <c r="K61" t="s">
        <v>181</v>
      </c>
      <c r="L61">
        <v>31.221668378925301</v>
      </c>
    </row>
    <row r="62" spans="1:12">
      <c r="A62" t="str">
        <f t="shared" si="0"/>
        <v>2.전체_재고일수2.전체_재고일수INV_DIO2012</v>
      </c>
      <c r="B62" t="str">
        <f t="shared" si="1"/>
        <v>2.전체_재고일수2.전체_재고일수INV_DIO201203</v>
      </c>
      <c r="F62" t="s">
        <v>179</v>
      </c>
      <c r="G62" t="s">
        <v>179</v>
      </c>
      <c r="H62" t="s">
        <v>307</v>
      </c>
      <c r="I62" t="s">
        <v>226</v>
      </c>
      <c r="J62" t="s">
        <v>230</v>
      </c>
      <c r="K62" t="s">
        <v>180</v>
      </c>
      <c r="L62">
        <v>23.971153941572599</v>
      </c>
    </row>
    <row r="63" spans="1:12">
      <c r="A63" t="str">
        <f t="shared" si="0"/>
        <v>2.전체_재고일수2.전체_재고일수INV_DIO_MTL2012</v>
      </c>
      <c r="B63" t="str">
        <f t="shared" si="1"/>
        <v>2.전체_재고일수2.전체_재고일수INV_DIO_MTL201203</v>
      </c>
      <c r="F63" t="s">
        <v>179</v>
      </c>
      <c r="G63" t="s">
        <v>179</v>
      </c>
      <c r="H63" t="s">
        <v>307</v>
      </c>
      <c r="I63" t="s">
        <v>226</v>
      </c>
      <c r="J63" t="s">
        <v>230</v>
      </c>
      <c r="K63" t="s">
        <v>228</v>
      </c>
    </row>
    <row r="64" spans="1:12">
      <c r="A64" t="str">
        <f t="shared" si="0"/>
        <v>2.전체_재고일수2.전체_재고일수INV_DIO_R2012</v>
      </c>
      <c r="B64" t="str">
        <f t="shared" si="1"/>
        <v>2.전체_재고일수2.전체_재고일수INV_DIO_R201203</v>
      </c>
      <c r="F64" t="s">
        <v>179</v>
      </c>
      <c r="G64" t="s">
        <v>179</v>
      </c>
      <c r="H64" t="s">
        <v>307</v>
      </c>
      <c r="I64" t="s">
        <v>226</v>
      </c>
      <c r="J64" t="s">
        <v>230</v>
      </c>
      <c r="K64" t="s">
        <v>181</v>
      </c>
      <c r="L64">
        <v>28.968888634558201</v>
      </c>
    </row>
    <row r="65" spans="1:12">
      <c r="A65" t="str">
        <f t="shared" si="0"/>
        <v>2.전체_재고일수2.전체_재고일수INV_DIO2012</v>
      </c>
      <c r="B65" t="str">
        <f t="shared" si="1"/>
        <v>2.전체_재고일수2.전체_재고일수INV_DIO201204</v>
      </c>
      <c r="F65" t="s">
        <v>179</v>
      </c>
      <c r="G65" t="s">
        <v>179</v>
      </c>
      <c r="H65" t="s">
        <v>307</v>
      </c>
      <c r="I65" t="s">
        <v>226</v>
      </c>
      <c r="J65" t="s">
        <v>231</v>
      </c>
      <c r="K65" t="s">
        <v>180</v>
      </c>
      <c r="L65">
        <v>31.071772637332302</v>
      </c>
    </row>
    <row r="66" spans="1:12">
      <c r="A66" t="str">
        <f t="shared" si="0"/>
        <v>2.전체_재고일수2.전체_재고일수INV_DIO_MTL2012</v>
      </c>
      <c r="B66" t="str">
        <f t="shared" si="1"/>
        <v>2.전체_재고일수2.전체_재고일수INV_DIO_MTL201204</v>
      </c>
      <c r="F66" t="s">
        <v>179</v>
      </c>
      <c r="G66" t="s">
        <v>179</v>
      </c>
      <c r="H66" t="s">
        <v>307</v>
      </c>
      <c r="I66" t="s">
        <v>226</v>
      </c>
      <c r="J66" t="s">
        <v>231</v>
      </c>
      <c r="K66" t="s">
        <v>228</v>
      </c>
    </row>
    <row r="67" spans="1:12">
      <c r="A67" t="str">
        <f t="shared" si="0"/>
        <v>2.전체_재고일수2.전체_재고일수INV_DIO_R2012</v>
      </c>
      <c r="B67" t="str">
        <f t="shared" si="1"/>
        <v>2.전체_재고일수2.전체_재고일수INV_DIO_R201204</v>
      </c>
      <c r="F67" t="s">
        <v>179</v>
      </c>
      <c r="G67" t="s">
        <v>179</v>
      </c>
      <c r="H67" t="s">
        <v>307</v>
      </c>
      <c r="I67" t="s">
        <v>226</v>
      </c>
      <c r="J67" t="s">
        <v>231</v>
      </c>
      <c r="K67" t="s">
        <v>181</v>
      </c>
      <c r="L67">
        <v>28.501135959838599</v>
      </c>
    </row>
    <row r="68" spans="1:12">
      <c r="A68" t="str">
        <f t="shared" si="0"/>
        <v>2.전체_재고일수2.전체_재고일수INV_DIO2012</v>
      </c>
      <c r="B68" t="str">
        <f t="shared" si="1"/>
        <v>2.전체_재고일수2.전체_재고일수INV_DIO201205</v>
      </c>
      <c r="F68" t="s">
        <v>179</v>
      </c>
      <c r="G68" t="s">
        <v>179</v>
      </c>
      <c r="H68" t="s">
        <v>307</v>
      </c>
      <c r="I68" t="s">
        <v>226</v>
      </c>
      <c r="J68" t="s">
        <v>232</v>
      </c>
      <c r="K68" t="s">
        <v>180</v>
      </c>
      <c r="L68">
        <v>44.5657441867492</v>
      </c>
    </row>
    <row r="69" spans="1:12">
      <c r="A69" t="str">
        <f t="shared" si="0"/>
        <v>2.전체_재고일수2.전체_재고일수INV_DIO_MTL2012</v>
      </c>
      <c r="B69" t="str">
        <f t="shared" si="1"/>
        <v>2.전체_재고일수2.전체_재고일수INV_DIO_MTL201205</v>
      </c>
      <c r="F69" t="s">
        <v>179</v>
      </c>
      <c r="G69" t="s">
        <v>179</v>
      </c>
      <c r="H69" t="s">
        <v>307</v>
      </c>
      <c r="I69" t="s">
        <v>226</v>
      </c>
      <c r="J69" t="s">
        <v>232</v>
      </c>
      <c r="K69" t="s">
        <v>228</v>
      </c>
    </row>
    <row r="70" spans="1:12">
      <c r="A70" t="str">
        <f t="shared" si="0"/>
        <v>2.전체_재고일수2.전체_재고일수INV_DIO_R2012</v>
      </c>
      <c r="B70" t="str">
        <f t="shared" si="1"/>
        <v>2.전체_재고일수2.전체_재고일수INV_DIO_R201205</v>
      </c>
      <c r="F70" t="s">
        <v>179</v>
      </c>
      <c r="G70" t="s">
        <v>179</v>
      </c>
      <c r="H70" t="s">
        <v>307</v>
      </c>
      <c r="I70" t="s">
        <v>226</v>
      </c>
      <c r="J70" t="s">
        <v>232</v>
      </c>
      <c r="K70" t="s">
        <v>181</v>
      </c>
      <c r="L70">
        <v>30.991004188203199</v>
      </c>
    </row>
    <row r="71" spans="1:12">
      <c r="A71" t="str">
        <f t="shared" ref="A71:A134" si="2">F71&amp;G71&amp;K71&amp;I71</f>
        <v>2.전체_재고일수2.전체_재고일수INV_DIO2012</v>
      </c>
      <c r="B71" t="str">
        <f t="shared" ref="B71:B134" si="3">F71&amp;G71&amp;K71&amp;J71</f>
        <v>2.전체_재고일수2.전체_재고일수INV_DIO201206</v>
      </c>
      <c r="F71" t="s">
        <v>179</v>
      </c>
      <c r="G71" t="s">
        <v>179</v>
      </c>
      <c r="H71" t="s">
        <v>307</v>
      </c>
      <c r="I71" t="s">
        <v>226</v>
      </c>
      <c r="J71" t="s">
        <v>233</v>
      </c>
      <c r="K71" t="s">
        <v>180</v>
      </c>
      <c r="L71">
        <v>28.585274495354799</v>
      </c>
    </row>
    <row r="72" spans="1:12">
      <c r="A72" t="str">
        <f t="shared" si="2"/>
        <v>2.전체_재고일수2.전체_재고일수INV_DIO_MTL2012</v>
      </c>
      <c r="B72" t="str">
        <f t="shared" si="3"/>
        <v>2.전체_재고일수2.전체_재고일수INV_DIO_MTL201206</v>
      </c>
      <c r="F72" t="s">
        <v>179</v>
      </c>
      <c r="G72" t="s">
        <v>179</v>
      </c>
      <c r="H72" t="s">
        <v>307</v>
      </c>
      <c r="I72" t="s">
        <v>226</v>
      </c>
      <c r="J72" t="s">
        <v>233</v>
      </c>
      <c r="K72" t="s">
        <v>228</v>
      </c>
    </row>
    <row r="73" spans="1:12">
      <c r="A73" t="str">
        <f t="shared" si="2"/>
        <v>2.전체_재고일수2.전체_재고일수INV_DIO_R2012</v>
      </c>
      <c r="B73" t="str">
        <f t="shared" si="3"/>
        <v>2.전체_재고일수2.전체_재고일수INV_DIO_R201206</v>
      </c>
      <c r="F73" t="s">
        <v>179</v>
      </c>
      <c r="G73" t="s">
        <v>179</v>
      </c>
      <c r="H73" t="s">
        <v>307</v>
      </c>
      <c r="I73" t="s">
        <v>226</v>
      </c>
      <c r="J73" t="s">
        <v>233</v>
      </c>
      <c r="K73" t="s">
        <v>181</v>
      </c>
      <c r="L73">
        <v>31.4494080994859</v>
      </c>
    </row>
    <row r="74" spans="1:12">
      <c r="A74" t="str">
        <f t="shared" si="2"/>
        <v>2.전체_재고일수2.전체_재고일수INV_DIO2012</v>
      </c>
      <c r="B74" t="str">
        <f t="shared" si="3"/>
        <v>2.전체_재고일수2.전체_재고일수INV_DIO201207</v>
      </c>
      <c r="F74" t="s">
        <v>179</v>
      </c>
      <c r="G74" t="s">
        <v>179</v>
      </c>
      <c r="H74" t="s">
        <v>307</v>
      </c>
      <c r="I74" t="s">
        <v>226</v>
      </c>
      <c r="J74" t="s">
        <v>234</v>
      </c>
      <c r="K74" t="s">
        <v>180</v>
      </c>
      <c r="L74">
        <v>24.169518715382001</v>
      </c>
    </row>
    <row r="75" spans="1:12">
      <c r="A75" t="str">
        <f t="shared" si="2"/>
        <v>2.전체_재고일수2.전체_재고일수INV_DIO_MTL2012</v>
      </c>
      <c r="B75" t="str">
        <f t="shared" si="3"/>
        <v>2.전체_재고일수2.전체_재고일수INV_DIO_MTL201207</v>
      </c>
      <c r="F75" t="s">
        <v>179</v>
      </c>
      <c r="G75" t="s">
        <v>179</v>
      </c>
      <c r="H75" t="s">
        <v>307</v>
      </c>
      <c r="I75" t="s">
        <v>226</v>
      </c>
      <c r="J75" t="s">
        <v>234</v>
      </c>
      <c r="K75" t="s">
        <v>228</v>
      </c>
    </row>
    <row r="76" spans="1:12">
      <c r="A76" t="str">
        <f t="shared" si="2"/>
        <v>2.전체_재고일수2.전체_재고일수INV_DIO_R2012</v>
      </c>
      <c r="B76" t="str">
        <f t="shared" si="3"/>
        <v>2.전체_재고일수2.전체_재고일수INV_DIO_R201207</v>
      </c>
      <c r="F76" t="s">
        <v>179</v>
      </c>
      <c r="G76" t="s">
        <v>179</v>
      </c>
      <c r="H76" t="s">
        <v>307</v>
      </c>
      <c r="I76" t="s">
        <v>226</v>
      </c>
      <c r="J76" t="s">
        <v>234</v>
      </c>
      <c r="K76" t="s">
        <v>181</v>
      </c>
      <c r="L76">
        <v>30.3748077285005</v>
      </c>
    </row>
    <row r="77" spans="1:12">
      <c r="A77" t="str">
        <f t="shared" si="2"/>
        <v>2.전체_재고일수2.전체_재고일수INV_DIO2012</v>
      </c>
      <c r="B77" t="str">
        <f t="shared" si="3"/>
        <v>2.전체_재고일수2.전체_재고일수INV_DIO201208</v>
      </c>
      <c r="F77" t="s">
        <v>179</v>
      </c>
      <c r="G77" t="s">
        <v>179</v>
      </c>
      <c r="H77" t="s">
        <v>307</v>
      </c>
      <c r="I77" t="s">
        <v>226</v>
      </c>
      <c r="J77" t="s">
        <v>235</v>
      </c>
      <c r="K77" t="s">
        <v>180</v>
      </c>
      <c r="L77">
        <v>22.831990279773301</v>
      </c>
    </row>
    <row r="78" spans="1:12">
      <c r="A78" t="str">
        <f t="shared" si="2"/>
        <v>2.전체_재고일수2.전체_재고일수INV_DIO_MTL2012</v>
      </c>
      <c r="B78" t="str">
        <f t="shared" si="3"/>
        <v>2.전체_재고일수2.전체_재고일수INV_DIO_MTL201208</v>
      </c>
      <c r="F78" t="s">
        <v>179</v>
      </c>
      <c r="G78" t="s">
        <v>179</v>
      </c>
      <c r="H78" t="s">
        <v>307</v>
      </c>
      <c r="I78" t="s">
        <v>226</v>
      </c>
      <c r="J78" t="s">
        <v>235</v>
      </c>
      <c r="K78" t="s">
        <v>228</v>
      </c>
    </row>
    <row r="79" spans="1:12">
      <c r="A79" t="str">
        <f t="shared" si="2"/>
        <v>2.전체_재고일수2.전체_재고일수INV_DIO_R2012</v>
      </c>
      <c r="B79" t="str">
        <f t="shared" si="3"/>
        <v>2.전체_재고일수2.전체_재고일수INV_DIO_R201208</v>
      </c>
      <c r="F79" t="s">
        <v>179</v>
      </c>
      <c r="G79" t="s">
        <v>179</v>
      </c>
      <c r="H79" t="s">
        <v>307</v>
      </c>
      <c r="I79" t="s">
        <v>226</v>
      </c>
      <c r="J79" t="s">
        <v>235</v>
      </c>
      <c r="K79" t="s">
        <v>181</v>
      </c>
      <c r="L79">
        <v>29.332205092442301</v>
      </c>
    </row>
    <row r="80" spans="1:12">
      <c r="A80" t="str">
        <f t="shared" si="2"/>
        <v>2.전체_재고일수2.전체_재고일수INV_DIO2012</v>
      </c>
      <c r="B80" t="str">
        <f t="shared" si="3"/>
        <v>2.전체_재고일수2.전체_재고일수INV_DIO201209</v>
      </c>
      <c r="F80" t="s">
        <v>179</v>
      </c>
      <c r="G80" t="s">
        <v>179</v>
      </c>
      <c r="H80" t="s">
        <v>307</v>
      </c>
      <c r="I80" t="s">
        <v>226</v>
      </c>
      <c r="J80" t="s">
        <v>236</v>
      </c>
      <c r="K80" t="s">
        <v>180</v>
      </c>
      <c r="L80">
        <v>17.619763090658701</v>
      </c>
    </row>
    <row r="81" spans="1:12">
      <c r="A81" t="str">
        <f t="shared" si="2"/>
        <v>2.전체_재고일수2.전체_재고일수INV_DIO_MTL2012</v>
      </c>
      <c r="B81" t="str">
        <f t="shared" si="3"/>
        <v>2.전체_재고일수2.전체_재고일수INV_DIO_MTL201209</v>
      </c>
      <c r="F81" t="s">
        <v>179</v>
      </c>
      <c r="G81" t="s">
        <v>179</v>
      </c>
      <c r="H81" t="s">
        <v>307</v>
      </c>
      <c r="I81" t="s">
        <v>226</v>
      </c>
      <c r="J81" t="s">
        <v>236</v>
      </c>
      <c r="K81" t="s">
        <v>228</v>
      </c>
    </row>
    <row r="82" spans="1:12">
      <c r="A82" t="str">
        <f t="shared" si="2"/>
        <v>2.전체_재고일수2.전체_재고일수INV_DIO_R2012</v>
      </c>
      <c r="B82" t="str">
        <f t="shared" si="3"/>
        <v>2.전체_재고일수2.전체_재고일수INV_DIO_R201209</v>
      </c>
      <c r="F82" t="s">
        <v>179</v>
      </c>
      <c r="G82" t="s">
        <v>179</v>
      </c>
      <c r="H82" t="s">
        <v>307</v>
      </c>
      <c r="I82" t="s">
        <v>226</v>
      </c>
      <c r="J82" t="s">
        <v>236</v>
      </c>
      <c r="K82" t="s">
        <v>181</v>
      </c>
      <c r="L82">
        <v>28.7534533134016</v>
      </c>
    </row>
    <row r="83" spans="1:12">
      <c r="A83" t="str">
        <f t="shared" si="2"/>
        <v>2.전체_재고일수2.전체_재고일수INV_DIO2012</v>
      </c>
      <c r="B83" t="str">
        <f t="shared" si="3"/>
        <v>2.전체_재고일수2.전체_재고일수INV_DIO201210</v>
      </c>
      <c r="F83" t="s">
        <v>179</v>
      </c>
      <c r="G83" t="s">
        <v>179</v>
      </c>
      <c r="H83" t="s">
        <v>307</v>
      </c>
      <c r="I83" t="s">
        <v>226</v>
      </c>
      <c r="J83" t="s">
        <v>237</v>
      </c>
      <c r="K83" t="s">
        <v>180</v>
      </c>
      <c r="L83">
        <v>14.7825751843513</v>
      </c>
    </row>
    <row r="84" spans="1:12">
      <c r="A84" t="str">
        <f t="shared" si="2"/>
        <v>2.전체_재고일수2.전체_재고일수INV_DIO_MTL2012</v>
      </c>
      <c r="B84" t="str">
        <f t="shared" si="3"/>
        <v>2.전체_재고일수2.전체_재고일수INV_DIO_MTL201210</v>
      </c>
      <c r="F84" t="s">
        <v>179</v>
      </c>
      <c r="G84" t="s">
        <v>179</v>
      </c>
      <c r="H84" t="s">
        <v>307</v>
      </c>
      <c r="I84" t="s">
        <v>226</v>
      </c>
      <c r="J84" t="s">
        <v>237</v>
      </c>
      <c r="K84" t="s">
        <v>228</v>
      </c>
    </row>
    <row r="85" spans="1:12">
      <c r="A85" t="str">
        <f t="shared" si="2"/>
        <v>2.전체_재고일수2.전체_재고일수INV_DIO_R2012</v>
      </c>
      <c r="B85" t="str">
        <f t="shared" si="3"/>
        <v>2.전체_재고일수2.전체_재고일수INV_DIO_R201210</v>
      </c>
      <c r="F85" t="s">
        <v>179</v>
      </c>
      <c r="G85" t="s">
        <v>179</v>
      </c>
      <c r="H85" t="s">
        <v>307</v>
      </c>
      <c r="I85" t="s">
        <v>226</v>
      </c>
      <c r="J85" t="s">
        <v>237</v>
      </c>
      <c r="K85" t="s">
        <v>181</v>
      </c>
      <c r="L85">
        <v>27.8136834296246</v>
      </c>
    </row>
    <row r="86" spans="1:12">
      <c r="A86" t="str">
        <f t="shared" si="2"/>
        <v>2.전체_재고일수2.전체_재고일수INV_DIO2012</v>
      </c>
      <c r="B86" t="str">
        <f t="shared" si="3"/>
        <v>2.전체_재고일수2.전체_재고일수INV_DIO201211</v>
      </c>
      <c r="F86" t="s">
        <v>179</v>
      </c>
      <c r="G86" t="s">
        <v>179</v>
      </c>
      <c r="H86" t="s">
        <v>307</v>
      </c>
      <c r="I86" t="s">
        <v>226</v>
      </c>
      <c r="J86" t="s">
        <v>238</v>
      </c>
      <c r="K86" t="s">
        <v>180</v>
      </c>
      <c r="L86">
        <v>20.2930947512376</v>
      </c>
    </row>
    <row r="87" spans="1:12">
      <c r="A87" t="str">
        <f t="shared" si="2"/>
        <v>2.전체_재고일수2.전체_재고일수INV_DIO_MTL2012</v>
      </c>
      <c r="B87" t="str">
        <f t="shared" si="3"/>
        <v>2.전체_재고일수2.전체_재고일수INV_DIO_MTL201211</v>
      </c>
      <c r="F87" t="s">
        <v>179</v>
      </c>
      <c r="G87" t="s">
        <v>179</v>
      </c>
      <c r="H87" t="s">
        <v>307</v>
      </c>
      <c r="I87" t="s">
        <v>226</v>
      </c>
      <c r="J87" t="s">
        <v>238</v>
      </c>
      <c r="K87" t="s">
        <v>228</v>
      </c>
    </row>
    <row r="88" spans="1:12">
      <c r="A88" t="str">
        <f t="shared" si="2"/>
        <v>2.전체_재고일수2.전체_재고일수INV_DIO_R2012</v>
      </c>
      <c r="B88" t="str">
        <f t="shared" si="3"/>
        <v>2.전체_재고일수2.전체_재고일수INV_DIO_R201211</v>
      </c>
      <c r="F88" t="s">
        <v>179</v>
      </c>
      <c r="G88" t="s">
        <v>179</v>
      </c>
      <c r="H88" t="s">
        <v>307</v>
      </c>
      <c r="I88" t="s">
        <v>226</v>
      </c>
      <c r="J88" t="s">
        <v>238</v>
      </c>
      <c r="K88" t="s">
        <v>181</v>
      </c>
      <c r="L88">
        <v>25.9344223635192</v>
      </c>
    </row>
    <row r="89" spans="1:12">
      <c r="A89" t="str">
        <f t="shared" si="2"/>
        <v>2.전체_재고일수2.전체_재고일수INV_DIO2012</v>
      </c>
      <c r="B89" t="str">
        <f t="shared" si="3"/>
        <v>2.전체_재고일수2.전체_재고일수INV_DIO201212</v>
      </c>
      <c r="F89" t="s">
        <v>179</v>
      </c>
      <c r="G89" t="s">
        <v>179</v>
      </c>
      <c r="H89" t="s">
        <v>307</v>
      </c>
      <c r="I89" t="s">
        <v>226</v>
      </c>
      <c r="J89" t="s">
        <v>239</v>
      </c>
      <c r="K89" t="s">
        <v>180</v>
      </c>
      <c r="L89">
        <v>16.4509829906522</v>
      </c>
    </row>
    <row r="90" spans="1:12">
      <c r="A90" t="str">
        <f t="shared" si="2"/>
        <v>2.전체_재고일수2.전체_재고일수INV_DIO_MTL2012</v>
      </c>
      <c r="B90" t="str">
        <f t="shared" si="3"/>
        <v>2.전체_재고일수2.전체_재고일수INV_DIO_MTL201212</v>
      </c>
      <c r="F90" t="s">
        <v>179</v>
      </c>
      <c r="G90" t="s">
        <v>179</v>
      </c>
      <c r="H90" t="s">
        <v>307</v>
      </c>
      <c r="I90" t="s">
        <v>226</v>
      </c>
      <c r="J90" t="s">
        <v>239</v>
      </c>
      <c r="K90" t="s">
        <v>228</v>
      </c>
    </row>
    <row r="91" spans="1:12">
      <c r="A91" t="str">
        <f t="shared" si="2"/>
        <v>2.전체_재고일수2.전체_재고일수INV_DIO_R2012</v>
      </c>
      <c r="B91" t="str">
        <f t="shared" si="3"/>
        <v>2.전체_재고일수2.전체_재고일수INV_DIO_R201212</v>
      </c>
      <c r="F91" t="s">
        <v>179</v>
      </c>
      <c r="G91" t="s">
        <v>179</v>
      </c>
      <c r="H91" t="s">
        <v>307</v>
      </c>
      <c r="I91" t="s">
        <v>226</v>
      </c>
      <c r="J91" t="s">
        <v>239</v>
      </c>
      <c r="K91" t="s">
        <v>181</v>
      </c>
      <c r="L91">
        <v>24.208427234039799</v>
      </c>
    </row>
    <row r="92" spans="1:12">
      <c r="A92" t="str">
        <f t="shared" si="2"/>
        <v>2.전체_재고일수2.전체_재고일수INV_DIO2013</v>
      </c>
      <c r="B92" t="str">
        <f t="shared" si="3"/>
        <v>2.전체_재고일수2.전체_재고일수INV_DIO201300</v>
      </c>
      <c r="F92" t="s">
        <v>179</v>
      </c>
      <c r="G92" t="s">
        <v>179</v>
      </c>
      <c r="H92" t="s">
        <v>307</v>
      </c>
      <c r="I92" t="s">
        <v>240</v>
      </c>
      <c r="J92" t="s">
        <v>241</v>
      </c>
      <c r="K92" t="s">
        <v>180</v>
      </c>
    </row>
    <row r="93" spans="1:12">
      <c r="A93" t="str">
        <f t="shared" si="2"/>
        <v>2.전체_재고일수2.전체_재고일수INV_DIO_MTL2013</v>
      </c>
      <c r="B93" t="str">
        <f t="shared" si="3"/>
        <v>2.전체_재고일수2.전체_재고일수INV_DIO_MTL201300</v>
      </c>
      <c r="F93" t="s">
        <v>179</v>
      </c>
      <c r="G93" t="s">
        <v>179</v>
      </c>
      <c r="H93" t="s">
        <v>307</v>
      </c>
      <c r="I93" t="s">
        <v>240</v>
      </c>
      <c r="J93" t="s">
        <v>241</v>
      </c>
      <c r="K93" t="s">
        <v>228</v>
      </c>
    </row>
    <row r="94" spans="1:12">
      <c r="A94" t="str">
        <f t="shared" si="2"/>
        <v>2.전체_재고일수2.전체_재고일수INV_DIO_R2013</v>
      </c>
      <c r="B94" t="str">
        <f t="shared" si="3"/>
        <v>2.전체_재고일수2.전체_재고일수INV_DIO_R201300</v>
      </c>
      <c r="F94" t="s">
        <v>179</v>
      </c>
      <c r="G94" t="s">
        <v>179</v>
      </c>
      <c r="H94" t="s">
        <v>307</v>
      </c>
      <c r="I94" t="s">
        <v>240</v>
      </c>
      <c r="J94" t="s">
        <v>241</v>
      </c>
      <c r="K94" t="s">
        <v>181</v>
      </c>
      <c r="L94">
        <v>0</v>
      </c>
    </row>
    <row r="95" spans="1:12">
      <c r="A95" t="str">
        <f t="shared" si="2"/>
        <v>2.전체_재고일수2.전체_재고일수INV_DIO2013</v>
      </c>
      <c r="B95" t="str">
        <f t="shared" si="3"/>
        <v>2.전체_재고일수2.전체_재고일수INV_DIO201301</v>
      </c>
      <c r="F95" t="s">
        <v>179</v>
      </c>
      <c r="G95" t="s">
        <v>179</v>
      </c>
      <c r="H95" t="s">
        <v>307</v>
      </c>
      <c r="I95" t="s">
        <v>240</v>
      </c>
      <c r="J95" t="s">
        <v>242</v>
      </c>
      <c r="K95" t="s">
        <v>180</v>
      </c>
      <c r="L95">
        <v>21.885086868784601</v>
      </c>
    </row>
    <row r="96" spans="1:12">
      <c r="A96" t="str">
        <f t="shared" si="2"/>
        <v>2.전체_재고일수2.전체_재고일수INV_DIO_MTL2013</v>
      </c>
      <c r="B96" t="str">
        <f t="shared" si="3"/>
        <v>2.전체_재고일수2.전체_재고일수INV_DIO_MTL201301</v>
      </c>
      <c r="F96" t="s">
        <v>179</v>
      </c>
      <c r="G96" t="s">
        <v>179</v>
      </c>
      <c r="H96" t="s">
        <v>307</v>
      </c>
      <c r="I96" t="s">
        <v>240</v>
      </c>
      <c r="J96" t="s">
        <v>242</v>
      </c>
      <c r="K96" t="s">
        <v>228</v>
      </c>
    </row>
    <row r="97" spans="1:12">
      <c r="A97" t="str">
        <f t="shared" si="2"/>
        <v>2.전체_재고일수2.전체_재고일수INV_DIO_R2013</v>
      </c>
      <c r="B97" t="str">
        <f t="shared" si="3"/>
        <v>2.전체_재고일수2.전체_재고일수INV_DIO_R201301</v>
      </c>
      <c r="F97" t="s">
        <v>179</v>
      </c>
      <c r="G97" t="s">
        <v>179</v>
      </c>
      <c r="H97" t="s">
        <v>307</v>
      </c>
      <c r="I97" t="s">
        <v>240</v>
      </c>
      <c r="J97" t="s">
        <v>242</v>
      </c>
      <c r="K97" t="s">
        <v>181</v>
      </c>
      <c r="L97">
        <v>16.493718288177401</v>
      </c>
    </row>
    <row r="98" spans="1:12">
      <c r="A98" t="str">
        <f t="shared" si="2"/>
        <v>2.전체_재고일수2.전체_재고일수INV_DIO2013</v>
      </c>
      <c r="B98" t="str">
        <f t="shared" si="3"/>
        <v>2.전체_재고일수2.전체_재고일수INV_DIO201302</v>
      </c>
      <c r="F98" t="s">
        <v>179</v>
      </c>
      <c r="G98" t="s">
        <v>179</v>
      </c>
      <c r="H98" t="s">
        <v>307</v>
      </c>
      <c r="I98" t="s">
        <v>240</v>
      </c>
      <c r="J98" t="s">
        <v>243</v>
      </c>
      <c r="K98" t="s">
        <v>180</v>
      </c>
      <c r="L98">
        <v>16.000330815646901</v>
      </c>
    </row>
    <row r="99" spans="1:12">
      <c r="A99" t="str">
        <f t="shared" si="2"/>
        <v>2.전체_재고일수2.전체_재고일수INV_DIO_MTL2013</v>
      </c>
      <c r="B99" t="str">
        <f t="shared" si="3"/>
        <v>2.전체_재고일수2.전체_재고일수INV_DIO_MTL201302</v>
      </c>
      <c r="F99" t="s">
        <v>179</v>
      </c>
      <c r="G99" t="s">
        <v>179</v>
      </c>
      <c r="H99" t="s">
        <v>307</v>
      </c>
      <c r="I99" t="s">
        <v>240</v>
      </c>
      <c r="J99" t="s">
        <v>243</v>
      </c>
      <c r="K99" t="s">
        <v>228</v>
      </c>
    </row>
    <row r="100" spans="1:12">
      <c r="A100" t="str">
        <f t="shared" si="2"/>
        <v>2.전체_재고일수2.전체_재고일수INV_DIO_R2013</v>
      </c>
      <c r="B100" t="str">
        <f t="shared" si="3"/>
        <v>2.전체_재고일수2.전체_재고일수INV_DIO_R201302</v>
      </c>
      <c r="F100" t="s">
        <v>179</v>
      </c>
      <c r="G100" t="s">
        <v>179</v>
      </c>
      <c r="H100" t="s">
        <v>307</v>
      </c>
      <c r="I100" t="s">
        <v>240</v>
      </c>
      <c r="J100" t="s">
        <v>243</v>
      </c>
      <c r="K100" t="s">
        <v>181</v>
      </c>
      <c r="L100">
        <v>18.036754430140199</v>
      </c>
    </row>
    <row r="101" spans="1:12">
      <c r="A101" t="str">
        <f t="shared" si="2"/>
        <v>2.전체_재고일수2.전체_재고일수INV_DIO2013</v>
      </c>
      <c r="B101" t="str">
        <f t="shared" si="3"/>
        <v>2.전체_재고일수2.전체_재고일수INV_DIO201303</v>
      </c>
      <c r="F101" t="s">
        <v>179</v>
      </c>
      <c r="G101" t="s">
        <v>179</v>
      </c>
      <c r="H101" t="s">
        <v>307</v>
      </c>
      <c r="I101" t="s">
        <v>240</v>
      </c>
      <c r="J101" t="s">
        <v>244</v>
      </c>
      <c r="K101" t="s">
        <v>180</v>
      </c>
      <c r="L101">
        <v>15.364172823471399</v>
      </c>
    </row>
    <row r="102" spans="1:12">
      <c r="A102" t="str">
        <f t="shared" si="2"/>
        <v>2.전체_재고일수2.전체_재고일수INV_DIO_MTL2013</v>
      </c>
      <c r="B102" t="str">
        <f t="shared" si="3"/>
        <v>2.전체_재고일수2.전체_재고일수INV_DIO_MTL201303</v>
      </c>
      <c r="F102" t="s">
        <v>179</v>
      </c>
      <c r="G102" t="s">
        <v>179</v>
      </c>
      <c r="H102" t="s">
        <v>307</v>
      </c>
      <c r="I102" t="s">
        <v>240</v>
      </c>
      <c r="J102" t="s">
        <v>244</v>
      </c>
      <c r="K102" t="s">
        <v>228</v>
      </c>
    </row>
    <row r="103" spans="1:12">
      <c r="A103" t="str">
        <f t="shared" si="2"/>
        <v>2.전체_재고일수2.전체_재고일수INV_DIO_R2013</v>
      </c>
      <c r="B103" t="str">
        <f t="shared" si="3"/>
        <v>2.전체_재고일수2.전체_재고일수INV_DIO_R201303</v>
      </c>
      <c r="F103" t="s">
        <v>179</v>
      </c>
      <c r="G103" t="s">
        <v>179</v>
      </c>
      <c r="H103" t="s">
        <v>307</v>
      </c>
      <c r="I103" t="s">
        <v>240</v>
      </c>
      <c r="J103" t="s">
        <v>244</v>
      </c>
      <c r="K103" t="s">
        <v>181</v>
      </c>
      <c r="L103">
        <v>18.033229853184601</v>
      </c>
    </row>
    <row r="104" spans="1:12">
      <c r="A104" t="str">
        <f t="shared" si="2"/>
        <v>2.전체_재고일수2.전체_재고일수INV_DIO2013</v>
      </c>
      <c r="B104" t="str">
        <f t="shared" si="3"/>
        <v>2.전체_재고일수2.전체_재고일수INV_DIO201304</v>
      </c>
      <c r="F104" t="s">
        <v>179</v>
      </c>
      <c r="G104" t="s">
        <v>179</v>
      </c>
      <c r="H104" t="s">
        <v>307</v>
      </c>
      <c r="I104" t="s">
        <v>240</v>
      </c>
      <c r="J104" t="s">
        <v>245</v>
      </c>
      <c r="K104" t="s">
        <v>180</v>
      </c>
      <c r="L104">
        <v>24.774427416349099</v>
      </c>
    </row>
    <row r="105" spans="1:12">
      <c r="A105" t="str">
        <f t="shared" si="2"/>
        <v>2.전체_재고일수2.전체_재고일수INV_DIO_MTL2013</v>
      </c>
      <c r="B105" t="str">
        <f t="shared" si="3"/>
        <v>2.전체_재고일수2.전체_재고일수INV_DIO_MTL201304</v>
      </c>
      <c r="F105" t="s">
        <v>179</v>
      </c>
      <c r="G105" t="s">
        <v>179</v>
      </c>
      <c r="H105" t="s">
        <v>307</v>
      </c>
      <c r="I105" t="s">
        <v>240</v>
      </c>
      <c r="J105" t="s">
        <v>245</v>
      </c>
      <c r="K105" t="s">
        <v>228</v>
      </c>
    </row>
    <row r="106" spans="1:12">
      <c r="A106" t="str">
        <f t="shared" si="2"/>
        <v>2.전체_재고일수2.전체_재고일수INV_DIO_R2013</v>
      </c>
      <c r="B106" t="str">
        <f t="shared" si="3"/>
        <v>2.전체_재고일수2.전체_재고일수INV_DIO_R201304</v>
      </c>
      <c r="F106" t="s">
        <v>179</v>
      </c>
      <c r="G106" t="s">
        <v>179</v>
      </c>
      <c r="H106" t="s">
        <v>307</v>
      </c>
      <c r="I106" t="s">
        <v>240</v>
      </c>
      <c r="J106" t="s">
        <v>245</v>
      </c>
      <c r="K106" t="s">
        <v>181</v>
      </c>
      <c r="L106">
        <v>18.2379786225323</v>
      </c>
    </row>
    <row r="107" spans="1:12">
      <c r="A107" t="str">
        <f t="shared" si="2"/>
        <v>2.전체_재고일수2.전체_재고일수INV_DIO2013</v>
      </c>
      <c r="B107" t="str">
        <f t="shared" si="3"/>
        <v>2.전체_재고일수2.전체_재고일수INV_DIO201305</v>
      </c>
      <c r="F107" t="s">
        <v>179</v>
      </c>
      <c r="G107" t="s">
        <v>179</v>
      </c>
      <c r="H107" t="s">
        <v>307</v>
      </c>
      <c r="I107" t="s">
        <v>240</v>
      </c>
      <c r="J107" t="s">
        <v>246</v>
      </c>
      <c r="K107" t="s">
        <v>180</v>
      </c>
      <c r="L107">
        <v>36.1512436042768</v>
      </c>
    </row>
    <row r="108" spans="1:12">
      <c r="A108" t="str">
        <f t="shared" si="2"/>
        <v>2.전체_재고일수2.전체_재고일수INV_DIO_MTL2013</v>
      </c>
      <c r="B108" t="str">
        <f t="shared" si="3"/>
        <v>2.전체_재고일수2.전체_재고일수INV_DIO_MTL201305</v>
      </c>
      <c r="F108" t="s">
        <v>179</v>
      </c>
      <c r="G108" t="s">
        <v>179</v>
      </c>
      <c r="H108" t="s">
        <v>307</v>
      </c>
      <c r="I108" t="s">
        <v>240</v>
      </c>
      <c r="J108" t="s">
        <v>246</v>
      </c>
      <c r="K108" t="s">
        <v>228</v>
      </c>
    </row>
    <row r="109" spans="1:12">
      <c r="A109" t="str">
        <f t="shared" si="2"/>
        <v>2.전체_재고일수2.전체_재고일수INV_DIO_R2013</v>
      </c>
      <c r="B109" t="str">
        <f t="shared" si="3"/>
        <v>2.전체_재고일수2.전체_재고일수INV_DIO_R201305</v>
      </c>
      <c r="F109" t="s">
        <v>179</v>
      </c>
      <c r="G109" t="s">
        <v>179</v>
      </c>
      <c r="H109" t="s">
        <v>307</v>
      </c>
      <c r="I109" t="s">
        <v>240</v>
      </c>
      <c r="J109" t="s">
        <v>246</v>
      </c>
      <c r="K109" t="s">
        <v>181</v>
      </c>
      <c r="L109">
        <v>19.724516246621501</v>
      </c>
    </row>
    <row r="110" spans="1:12">
      <c r="A110" t="str">
        <f t="shared" si="2"/>
        <v>2.전체_재고일수2.전체_재고일수INV_DIO2013</v>
      </c>
      <c r="B110" t="str">
        <f t="shared" si="3"/>
        <v>2.전체_재고일수2.전체_재고일수INV_DIO201306</v>
      </c>
      <c r="F110" t="s">
        <v>179</v>
      </c>
      <c r="G110" t="s">
        <v>179</v>
      </c>
      <c r="H110" t="s">
        <v>307</v>
      </c>
      <c r="I110" t="s">
        <v>240</v>
      </c>
      <c r="J110" t="s">
        <v>247</v>
      </c>
      <c r="K110" t="s">
        <v>180</v>
      </c>
      <c r="L110">
        <v>32.171915970830902</v>
      </c>
    </row>
    <row r="111" spans="1:12">
      <c r="A111" t="str">
        <f t="shared" si="2"/>
        <v>2.전체_재고일수2.전체_재고일수INV_DIO_MTL2013</v>
      </c>
      <c r="B111" t="str">
        <f t="shared" si="3"/>
        <v>2.전체_재고일수2.전체_재고일수INV_DIO_MTL201306</v>
      </c>
      <c r="F111" t="s">
        <v>179</v>
      </c>
      <c r="G111" t="s">
        <v>179</v>
      </c>
      <c r="H111" t="s">
        <v>307</v>
      </c>
      <c r="I111" t="s">
        <v>240</v>
      </c>
      <c r="J111" t="s">
        <v>247</v>
      </c>
      <c r="K111" t="s">
        <v>228</v>
      </c>
    </row>
    <row r="112" spans="1:12">
      <c r="A112" t="str">
        <f t="shared" si="2"/>
        <v>2.전체_재고일수2.전체_재고일수INV_DIO_R2013</v>
      </c>
      <c r="B112" t="str">
        <f t="shared" si="3"/>
        <v>2.전체_재고일수2.전체_재고일수INV_DIO_R201306</v>
      </c>
      <c r="F112" t="s">
        <v>179</v>
      </c>
      <c r="G112" t="s">
        <v>179</v>
      </c>
      <c r="H112" t="s">
        <v>307</v>
      </c>
      <c r="I112" t="s">
        <v>240</v>
      </c>
      <c r="J112" t="s">
        <v>247</v>
      </c>
      <c r="K112" t="s">
        <v>181</v>
      </c>
      <c r="L112">
        <v>21.5232428798002</v>
      </c>
    </row>
    <row r="113" spans="1:12">
      <c r="A113" t="str">
        <f t="shared" si="2"/>
        <v>2.전체_재고일수2.전체_재고일수INV_DIO2013</v>
      </c>
      <c r="B113" t="str">
        <f t="shared" si="3"/>
        <v>2.전체_재고일수2.전체_재고일수INV_DIO201307</v>
      </c>
      <c r="F113" t="s">
        <v>179</v>
      </c>
      <c r="G113" t="s">
        <v>179</v>
      </c>
      <c r="H113" t="s">
        <v>307</v>
      </c>
      <c r="I113" t="s">
        <v>240</v>
      </c>
      <c r="J113" t="s">
        <v>248</v>
      </c>
      <c r="K113" t="s">
        <v>180</v>
      </c>
      <c r="L113">
        <v>30.289839330658701</v>
      </c>
    </row>
    <row r="114" spans="1:12">
      <c r="A114" t="str">
        <f t="shared" si="2"/>
        <v>2.전체_재고일수2.전체_재고일수INV_DIO_MTL2013</v>
      </c>
      <c r="B114" t="str">
        <f t="shared" si="3"/>
        <v>2.전체_재고일수2.전체_재고일수INV_DIO_MTL201307</v>
      </c>
      <c r="F114" t="s">
        <v>179</v>
      </c>
      <c r="G114" t="s">
        <v>179</v>
      </c>
      <c r="H114" t="s">
        <v>307</v>
      </c>
      <c r="I114" t="s">
        <v>240</v>
      </c>
      <c r="J114" t="s">
        <v>248</v>
      </c>
      <c r="K114" t="s">
        <v>228</v>
      </c>
    </row>
    <row r="115" spans="1:12">
      <c r="A115" t="str">
        <f t="shared" si="2"/>
        <v>2.전체_재고일수2.전체_재고일수INV_DIO_R2013</v>
      </c>
      <c r="B115" t="str">
        <f t="shared" si="3"/>
        <v>2.전체_재고일수2.전체_재고일수INV_DIO_R201307</v>
      </c>
      <c r="F115" t="s">
        <v>179</v>
      </c>
      <c r="G115" t="s">
        <v>179</v>
      </c>
      <c r="H115" t="s">
        <v>307</v>
      </c>
      <c r="I115" t="s">
        <v>240</v>
      </c>
      <c r="J115" t="s">
        <v>248</v>
      </c>
      <c r="K115" t="s">
        <v>181</v>
      </c>
      <c r="L115">
        <v>22.827324459238099</v>
      </c>
    </row>
    <row r="116" spans="1:12">
      <c r="A116" t="str">
        <f t="shared" si="2"/>
        <v>2.전체_재고일수2.전체_재고일수INV_DIO2013</v>
      </c>
      <c r="B116" t="str">
        <f t="shared" si="3"/>
        <v>2.전체_재고일수2.전체_재고일수INV_DIO201308</v>
      </c>
      <c r="F116" t="s">
        <v>179</v>
      </c>
      <c r="G116" t="s">
        <v>179</v>
      </c>
      <c r="H116" t="s">
        <v>307</v>
      </c>
      <c r="I116" t="s">
        <v>240</v>
      </c>
      <c r="J116" t="s">
        <v>249</v>
      </c>
      <c r="K116" t="s">
        <v>180</v>
      </c>
      <c r="L116">
        <v>23.4006100469262</v>
      </c>
    </row>
    <row r="117" spans="1:12">
      <c r="A117" t="str">
        <f t="shared" si="2"/>
        <v>2.전체_재고일수2.전체_재고일수INV_DIO_MTL2013</v>
      </c>
      <c r="B117" t="str">
        <f t="shared" si="3"/>
        <v>2.전체_재고일수2.전체_재고일수INV_DIO_MTL201308</v>
      </c>
      <c r="F117" t="s">
        <v>179</v>
      </c>
      <c r="G117" t="s">
        <v>179</v>
      </c>
      <c r="H117" t="s">
        <v>307</v>
      </c>
      <c r="I117" t="s">
        <v>240</v>
      </c>
      <c r="J117" t="s">
        <v>249</v>
      </c>
      <c r="K117" t="s">
        <v>228</v>
      </c>
    </row>
    <row r="118" spans="1:12">
      <c r="A118" t="str">
        <f t="shared" si="2"/>
        <v>2.전체_재고일수2.전체_재고일수INV_DIO_R2013</v>
      </c>
      <c r="B118" t="str">
        <f t="shared" si="3"/>
        <v>2.전체_재고일수2.전체_재고일수INV_DIO_R201308</v>
      </c>
      <c r="F118" t="s">
        <v>179</v>
      </c>
      <c r="G118" t="s">
        <v>179</v>
      </c>
      <c r="H118" t="s">
        <v>307</v>
      </c>
      <c r="I118" t="s">
        <v>240</v>
      </c>
      <c r="J118" t="s">
        <v>249</v>
      </c>
      <c r="K118" t="s">
        <v>181</v>
      </c>
      <c r="L118">
        <v>23.129511327056399</v>
      </c>
    </row>
    <row r="119" spans="1:12">
      <c r="A119" t="str">
        <f t="shared" si="2"/>
        <v>2.전체_재고일수2.전체_재고일수INV_DIO2013</v>
      </c>
      <c r="B119" t="str">
        <f t="shared" si="3"/>
        <v>2.전체_재고일수2.전체_재고일수INV_DIO201309</v>
      </c>
      <c r="F119" t="s">
        <v>179</v>
      </c>
      <c r="G119" t="s">
        <v>179</v>
      </c>
      <c r="H119" t="s">
        <v>307</v>
      </c>
      <c r="I119" t="s">
        <v>240</v>
      </c>
      <c r="J119" t="s">
        <v>250</v>
      </c>
      <c r="K119" t="s">
        <v>180</v>
      </c>
      <c r="L119">
        <v>16.2691026226369</v>
      </c>
    </row>
    <row r="120" spans="1:12">
      <c r="A120" t="str">
        <f t="shared" si="2"/>
        <v>2.전체_재고일수2.전체_재고일수INV_DIO_MTL2013</v>
      </c>
      <c r="B120" t="str">
        <f t="shared" si="3"/>
        <v>2.전체_재고일수2.전체_재고일수INV_DIO_MTL201309</v>
      </c>
      <c r="F120" t="s">
        <v>179</v>
      </c>
      <c r="G120" t="s">
        <v>179</v>
      </c>
      <c r="H120" t="s">
        <v>307</v>
      </c>
      <c r="I120" t="s">
        <v>240</v>
      </c>
      <c r="J120" t="s">
        <v>250</v>
      </c>
      <c r="K120" t="s">
        <v>228</v>
      </c>
    </row>
    <row r="121" spans="1:12">
      <c r="A121" t="str">
        <f t="shared" si="2"/>
        <v>2.전체_재고일수2.전체_재고일수INV_DIO_R2013</v>
      </c>
      <c r="B121" t="str">
        <f t="shared" si="3"/>
        <v>2.전체_재고일수2.전체_재고일수INV_DIO_R201309</v>
      </c>
      <c r="F121" t="s">
        <v>179</v>
      </c>
      <c r="G121" t="s">
        <v>179</v>
      </c>
      <c r="H121" t="s">
        <v>307</v>
      </c>
      <c r="I121" t="s">
        <v>240</v>
      </c>
      <c r="J121" t="s">
        <v>250</v>
      </c>
      <c r="K121" t="s">
        <v>181</v>
      </c>
      <c r="L121">
        <v>24.072773374218102</v>
      </c>
    </row>
    <row r="122" spans="1:12">
      <c r="A122" t="str">
        <f t="shared" si="2"/>
        <v>2.전체_재고일수2.전체_재고일수INV_DIO2013</v>
      </c>
      <c r="B122" t="str">
        <f t="shared" si="3"/>
        <v>2.전체_재고일수2.전체_재고일수INV_DIO201310</v>
      </c>
      <c r="F122" t="s">
        <v>179</v>
      </c>
      <c r="G122" t="s">
        <v>179</v>
      </c>
      <c r="H122" t="s">
        <v>307</v>
      </c>
      <c r="I122" t="s">
        <v>240</v>
      </c>
      <c r="J122" t="s">
        <v>251</v>
      </c>
      <c r="K122" t="s">
        <v>180</v>
      </c>
      <c r="L122">
        <v>19.195801867121201</v>
      </c>
    </row>
    <row r="123" spans="1:12">
      <c r="A123" t="str">
        <f t="shared" si="2"/>
        <v>2.전체_재고일수2.전체_재고일수INV_DIO_MTL2013</v>
      </c>
      <c r="B123" t="str">
        <f t="shared" si="3"/>
        <v>2.전체_재고일수2.전체_재고일수INV_DIO_MTL201310</v>
      </c>
      <c r="F123" t="s">
        <v>179</v>
      </c>
      <c r="G123" t="s">
        <v>179</v>
      </c>
      <c r="H123" t="s">
        <v>307</v>
      </c>
      <c r="I123" t="s">
        <v>240</v>
      </c>
      <c r="J123" t="s">
        <v>251</v>
      </c>
      <c r="K123" t="s">
        <v>228</v>
      </c>
    </row>
    <row r="124" spans="1:12">
      <c r="A124" t="str">
        <f t="shared" si="2"/>
        <v>2.전체_재고일수2.전체_재고일수INV_DIO_R2013</v>
      </c>
      <c r="B124" t="str">
        <f t="shared" si="3"/>
        <v>2.전체_재고일수2.전체_재고일수INV_DIO_R201310</v>
      </c>
      <c r="F124" t="s">
        <v>179</v>
      </c>
      <c r="G124" t="s">
        <v>179</v>
      </c>
      <c r="H124" t="s">
        <v>307</v>
      </c>
      <c r="I124" t="s">
        <v>240</v>
      </c>
      <c r="J124" t="s">
        <v>251</v>
      </c>
      <c r="K124" t="s">
        <v>181</v>
      </c>
      <c r="L124">
        <v>23.933367546338101</v>
      </c>
    </row>
    <row r="125" spans="1:12">
      <c r="A125" t="str">
        <f t="shared" si="2"/>
        <v>2.전체_재고일수2.전체_재고일수INV_DIO2013</v>
      </c>
      <c r="B125" t="str">
        <f t="shared" si="3"/>
        <v>2.전체_재고일수2.전체_재고일수INV_DIO201311</v>
      </c>
      <c r="F125" t="s">
        <v>179</v>
      </c>
      <c r="G125" t="s">
        <v>179</v>
      </c>
      <c r="H125" t="s">
        <v>307</v>
      </c>
      <c r="I125" t="s">
        <v>240</v>
      </c>
      <c r="J125" t="s">
        <v>252</v>
      </c>
      <c r="K125" t="s">
        <v>180</v>
      </c>
      <c r="L125">
        <v>23.707551868018001</v>
      </c>
    </row>
    <row r="126" spans="1:12">
      <c r="A126" t="str">
        <f t="shared" si="2"/>
        <v>2.전체_재고일수2.전체_재고일수INV_DIO_MTL2013</v>
      </c>
      <c r="B126" t="str">
        <f t="shared" si="3"/>
        <v>2.전체_재고일수2.전체_재고일수INV_DIO_MTL201311</v>
      </c>
      <c r="F126" t="s">
        <v>179</v>
      </c>
      <c r="G126" t="s">
        <v>179</v>
      </c>
      <c r="H126" t="s">
        <v>307</v>
      </c>
      <c r="I126" t="s">
        <v>240</v>
      </c>
      <c r="J126" t="s">
        <v>252</v>
      </c>
      <c r="K126" t="s">
        <v>228</v>
      </c>
    </row>
    <row r="127" spans="1:12">
      <c r="A127" t="str">
        <f t="shared" si="2"/>
        <v>2.전체_재고일수2.전체_재고일수INV_DIO_R2013</v>
      </c>
      <c r="B127" t="str">
        <f t="shared" si="3"/>
        <v>2.전체_재고일수2.전체_재고일수INV_DIO_R201311</v>
      </c>
      <c r="F127" t="s">
        <v>179</v>
      </c>
      <c r="G127" t="s">
        <v>179</v>
      </c>
      <c r="H127" t="s">
        <v>307</v>
      </c>
      <c r="I127" t="s">
        <v>240</v>
      </c>
      <c r="J127" t="s">
        <v>252</v>
      </c>
      <c r="K127" t="s">
        <v>181</v>
      </c>
      <c r="L127">
        <v>22.309378195011899</v>
      </c>
    </row>
    <row r="128" spans="1:12">
      <c r="A128" t="str">
        <f t="shared" si="2"/>
        <v>2.전체_재고일수2.전체_재고일수INV_DIO2013</v>
      </c>
      <c r="B128" t="str">
        <f t="shared" si="3"/>
        <v>2.전체_재고일수2.전체_재고일수INV_DIO201312</v>
      </c>
      <c r="F128" t="s">
        <v>179</v>
      </c>
      <c r="G128" t="s">
        <v>179</v>
      </c>
      <c r="H128" t="s">
        <v>307</v>
      </c>
      <c r="I128" t="s">
        <v>240</v>
      </c>
      <c r="J128" t="s">
        <v>253</v>
      </c>
      <c r="K128" t="s">
        <v>180</v>
      </c>
      <c r="L128">
        <v>18.352576233175199</v>
      </c>
    </row>
    <row r="129" spans="1:12">
      <c r="A129" t="str">
        <f t="shared" si="2"/>
        <v>2.전체_재고일수2.전체_재고일수INV_DIO_MTL2013</v>
      </c>
      <c r="B129" t="str">
        <f t="shared" si="3"/>
        <v>2.전체_재고일수2.전체_재고일수INV_DIO_MTL201312</v>
      </c>
      <c r="F129" t="s">
        <v>179</v>
      </c>
      <c r="G129" t="s">
        <v>179</v>
      </c>
      <c r="H129" t="s">
        <v>307</v>
      </c>
      <c r="I129" t="s">
        <v>240</v>
      </c>
      <c r="J129" t="s">
        <v>253</v>
      </c>
      <c r="K129" t="s">
        <v>228</v>
      </c>
    </row>
    <row r="130" spans="1:12">
      <c r="A130" t="str">
        <f t="shared" si="2"/>
        <v>2.전체_재고일수2.전체_재고일수INV_DIO_R2013</v>
      </c>
      <c r="B130" t="str">
        <f t="shared" si="3"/>
        <v>2.전체_재고일수2.전체_재고일수INV_DIO_R201312</v>
      </c>
      <c r="F130" t="s">
        <v>179</v>
      </c>
      <c r="G130" t="s">
        <v>179</v>
      </c>
      <c r="H130" t="s">
        <v>307</v>
      </c>
      <c r="I130" t="s">
        <v>240</v>
      </c>
      <c r="J130" t="s">
        <v>253</v>
      </c>
      <c r="K130" t="s">
        <v>181</v>
      </c>
      <c r="L130">
        <v>21.2145589508211</v>
      </c>
    </row>
    <row r="131" spans="1:12">
      <c r="A131" t="str">
        <f t="shared" si="2"/>
        <v>2.전체_재고일수2.전체_재고일수INV_DIO2014</v>
      </c>
      <c r="B131" t="str">
        <f t="shared" si="3"/>
        <v>2.전체_재고일수2.전체_재고일수INV_DIO201400</v>
      </c>
      <c r="F131" t="s">
        <v>179</v>
      </c>
      <c r="G131" t="s">
        <v>179</v>
      </c>
      <c r="H131" t="s">
        <v>307</v>
      </c>
      <c r="I131" t="s">
        <v>254</v>
      </c>
      <c r="J131" t="s">
        <v>255</v>
      </c>
      <c r="K131" t="s">
        <v>180</v>
      </c>
    </row>
    <row r="132" spans="1:12">
      <c r="A132" t="str">
        <f t="shared" si="2"/>
        <v>2.전체_재고일수2.전체_재고일수INV_DIO_MTL2014</v>
      </c>
      <c r="B132" t="str">
        <f t="shared" si="3"/>
        <v>2.전체_재고일수2.전체_재고일수INV_DIO_MTL201400</v>
      </c>
      <c r="F132" t="s">
        <v>179</v>
      </c>
      <c r="G132" t="s">
        <v>179</v>
      </c>
      <c r="H132" t="s">
        <v>307</v>
      </c>
      <c r="I132" t="s">
        <v>254</v>
      </c>
      <c r="J132" t="s">
        <v>255</v>
      </c>
      <c r="K132" t="s">
        <v>228</v>
      </c>
    </row>
    <row r="133" spans="1:12">
      <c r="A133" t="str">
        <f t="shared" si="2"/>
        <v>2.전체_재고일수2.전체_재고일수INV_DIO_R2014</v>
      </c>
      <c r="B133" t="str">
        <f t="shared" si="3"/>
        <v>2.전체_재고일수2.전체_재고일수INV_DIO_R201400</v>
      </c>
      <c r="F133" t="s">
        <v>179</v>
      </c>
      <c r="G133" t="s">
        <v>179</v>
      </c>
      <c r="H133" t="s">
        <v>307</v>
      </c>
      <c r="I133" t="s">
        <v>254</v>
      </c>
      <c r="J133" t="s">
        <v>255</v>
      </c>
      <c r="K133" t="s">
        <v>181</v>
      </c>
      <c r="L133">
        <v>0</v>
      </c>
    </row>
    <row r="134" spans="1:12">
      <c r="A134" t="str">
        <f t="shared" si="2"/>
        <v>2.전체_재고일수2.전체_재고일수INV_DIO2014</v>
      </c>
      <c r="B134" t="str">
        <f t="shared" si="3"/>
        <v>2.전체_재고일수2.전체_재고일수INV_DIO201401</v>
      </c>
      <c r="F134" t="s">
        <v>179</v>
      </c>
      <c r="G134" t="s">
        <v>179</v>
      </c>
      <c r="H134" t="s">
        <v>307</v>
      </c>
      <c r="I134" t="s">
        <v>254</v>
      </c>
      <c r="J134" t="s">
        <v>22</v>
      </c>
      <c r="K134" t="s">
        <v>180</v>
      </c>
      <c r="L134">
        <v>20.602732054547701</v>
      </c>
    </row>
    <row r="135" spans="1:12">
      <c r="A135" t="str">
        <f t="shared" ref="A135:A198" si="4">F135&amp;G135&amp;K135&amp;I135</f>
        <v>2.전체_재고일수2.전체_재고일수INV_DIO_MTL2014</v>
      </c>
      <c r="B135" t="str">
        <f t="shared" ref="B135:B198" si="5">F135&amp;G135&amp;K135&amp;J135</f>
        <v>2.전체_재고일수2.전체_재고일수INV_DIO_MTL201401</v>
      </c>
      <c r="F135" t="s">
        <v>179</v>
      </c>
      <c r="G135" t="s">
        <v>179</v>
      </c>
      <c r="H135" t="s">
        <v>307</v>
      </c>
      <c r="I135" t="s">
        <v>254</v>
      </c>
      <c r="J135" t="s">
        <v>22</v>
      </c>
      <c r="K135" t="s">
        <v>228</v>
      </c>
    </row>
    <row r="136" spans="1:12">
      <c r="A136" t="str">
        <f t="shared" si="4"/>
        <v>2.전체_재고일수2.전체_재고일수INV_DIO_R2014</v>
      </c>
      <c r="B136" t="str">
        <f t="shared" si="5"/>
        <v>2.전체_재고일수2.전체_재고일수INV_DIO_R201401</v>
      </c>
      <c r="F136" t="s">
        <v>179</v>
      </c>
      <c r="G136" t="s">
        <v>179</v>
      </c>
      <c r="H136" t="s">
        <v>307</v>
      </c>
      <c r="I136" t="s">
        <v>254</v>
      </c>
      <c r="J136" t="s">
        <v>22</v>
      </c>
      <c r="K136" t="s">
        <v>181</v>
      </c>
      <c r="L136">
        <v>17.6932178367699</v>
      </c>
    </row>
    <row r="137" spans="1:12">
      <c r="A137" t="str">
        <f t="shared" si="4"/>
        <v>2.전체_재고일수2.전체_재고일수INV_DIO2014</v>
      </c>
      <c r="B137" t="str">
        <f t="shared" si="5"/>
        <v>2.전체_재고일수2.전체_재고일수INV_DIO201402</v>
      </c>
      <c r="F137" t="s">
        <v>179</v>
      </c>
      <c r="G137" t="s">
        <v>179</v>
      </c>
      <c r="H137" t="s">
        <v>307</v>
      </c>
      <c r="I137" t="s">
        <v>254</v>
      </c>
      <c r="J137" t="s">
        <v>23</v>
      </c>
      <c r="K137" t="s">
        <v>180</v>
      </c>
      <c r="L137">
        <v>16.531756696428701</v>
      </c>
    </row>
    <row r="138" spans="1:12">
      <c r="A138" t="str">
        <f t="shared" si="4"/>
        <v>2.전체_재고일수2.전체_재고일수INV_DIO_MTL2014</v>
      </c>
      <c r="B138" t="str">
        <f t="shared" si="5"/>
        <v>2.전체_재고일수2.전체_재고일수INV_DIO_MTL201402</v>
      </c>
      <c r="F138" t="s">
        <v>179</v>
      </c>
      <c r="G138" t="s">
        <v>179</v>
      </c>
      <c r="H138" t="s">
        <v>307</v>
      </c>
      <c r="I138" t="s">
        <v>254</v>
      </c>
      <c r="J138" t="s">
        <v>23</v>
      </c>
      <c r="K138" t="s">
        <v>228</v>
      </c>
    </row>
    <row r="139" spans="1:12">
      <c r="A139" t="str">
        <f t="shared" si="4"/>
        <v>2.전체_재고일수2.전체_재고일수INV_DIO_R2014</v>
      </c>
      <c r="B139" t="str">
        <f t="shared" si="5"/>
        <v>2.전체_재고일수2.전체_재고일수INV_DIO_R201402</v>
      </c>
      <c r="F139" t="s">
        <v>179</v>
      </c>
      <c r="G139" t="s">
        <v>179</v>
      </c>
      <c r="H139" t="s">
        <v>307</v>
      </c>
      <c r="I139" t="s">
        <v>254</v>
      </c>
      <c r="J139" t="s">
        <v>23</v>
      </c>
      <c r="K139" t="s">
        <v>181</v>
      </c>
      <c r="L139">
        <v>18.733074540472298</v>
      </c>
    </row>
    <row r="140" spans="1:12">
      <c r="A140" t="str">
        <f t="shared" si="4"/>
        <v>2.전체_재고일수2.전체_재고일수INV_DIO2014</v>
      </c>
      <c r="B140" t="str">
        <f t="shared" si="5"/>
        <v>2.전체_재고일수2.전체_재고일수INV_DIO201403</v>
      </c>
      <c r="F140" t="s">
        <v>179</v>
      </c>
      <c r="G140" t="s">
        <v>179</v>
      </c>
      <c r="H140" t="s">
        <v>307</v>
      </c>
      <c r="I140" t="s">
        <v>254</v>
      </c>
      <c r="J140" t="s">
        <v>24</v>
      </c>
      <c r="K140" t="s">
        <v>180</v>
      </c>
      <c r="L140">
        <v>18.184187164690599</v>
      </c>
    </row>
    <row r="141" spans="1:12">
      <c r="A141" t="str">
        <f t="shared" si="4"/>
        <v>2.전체_재고일수2.전체_재고일수INV_DIO_MTL2014</v>
      </c>
      <c r="B141" t="str">
        <f t="shared" si="5"/>
        <v>2.전체_재고일수2.전체_재고일수INV_DIO_MTL201403</v>
      </c>
      <c r="F141" t="s">
        <v>179</v>
      </c>
      <c r="G141" t="s">
        <v>179</v>
      </c>
      <c r="H141" t="s">
        <v>307</v>
      </c>
      <c r="I141" t="s">
        <v>254</v>
      </c>
      <c r="J141" t="s">
        <v>24</v>
      </c>
      <c r="K141" t="s">
        <v>228</v>
      </c>
    </row>
    <row r="142" spans="1:12">
      <c r="A142" t="str">
        <f t="shared" si="4"/>
        <v>2.전체_재고일수2.전체_재고일수INV_DIO_R2014</v>
      </c>
      <c r="B142" t="str">
        <f t="shared" si="5"/>
        <v>2.전체_재고일수2.전체_재고일수INV_DIO_R201403</v>
      </c>
      <c r="F142" t="s">
        <v>179</v>
      </c>
      <c r="G142" t="s">
        <v>179</v>
      </c>
      <c r="H142" t="s">
        <v>307</v>
      </c>
      <c r="I142" t="s">
        <v>254</v>
      </c>
      <c r="J142" t="s">
        <v>24</v>
      </c>
      <c r="K142" t="s">
        <v>181</v>
      </c>
      <c r="L142">
        <v>18.368115983686</v>
      </c>
    </row>
    <row r="143" spans="1:12">
      <c r="A143" t="str">
        <f t="shared" si="4"/>
        <v>2.전체_재고일수2.전체_재고일수INV_DIO2014</v>
      </c>
      <c r="B143" t="str">
        <f t="shared" si="5"/>
        <v>2.전체_재고일수2.전체_재고일수INV_DIO201404</v>
      </c>
      <c r="F143" t="s">
        <v>179</v>
      </c>
      <c r="G143" t="s">
        <v>179</v>
      </c>
      <c r="H143" t="s">
        <v>307</v>
      </c>
      <c r="I143" t="s">
        <v>254</v>
      </c>
      <c r="J143" t="s">
        <v>25</v>
      </c>
      <c r="K143" t="s">
        <v>180</v>
      </c>
      <c r="L143">
        <v>18.980480374941099</v>
      </c>
    </row>
    <row r="144" spans="1:12">
      <c r="A144" t="str">
        <f t="shared" si="4"/>
        <v>2.전체_재고일수2.전체_재고일수INV_DIO_MTL2014</v>
      </c>
      <c r="B144" t="str">
        <f t="shared" si="5"/>
        <v>2.전체_재고일수2.전체_재고일수INV_DIO_MTL201404</v>
      </c>
      <c r="F144" t="s">
        <v>179</v>
      </c>
      <c r="G144" t="s">
        <v>179</v>
      </c>
      <c r="H144" t="s">
        <v>307</v>
      </c>
      <c r="I144" t="s">
        <v>254</v>
      </c>
      <c r="J144" t="s">
        <v>25</v>
      </c>
      <c r="K144" t="s">
        <v>228</v>
      </c>
    </row>
    <row r="145" spans="1:12">
      <c r="A145" t="str">
        <f t="shared" si="4"/>
        <v>2.전체_재고일수2.전체_재고일수INV_DIO_R2014</v>
      </c>
      <c r="B145" t="str">
        <f t="shared" si="5"/>
        <v>2.전체_재고일수2.전체_재고일수INV_DIO_R201404</v>
      </c>
      <c r="F145" t="s">
        <v>179</v>
      </c>
      <c r="G145" t="s">
        <v>179</v>
      </c>
      <c r="H145" t="s">
        <v>307</v>
      </c>
      <c r="I145" t="s">
        <v>254</v>
      </c>
      <c r="J145" t="s">
        <v>25</v>
      </c>
      <c r="K145" t="s">
        <v>181</v>
      </c>
      <c r="L145">
        <v>19.368550311367201</v>
      </c>
    </row>
    <row r="146" spans="1:12">
      <c r="A146" t="str">
        <f t="shared" si="4"/>
        <v>2.전체_재고일수2.전체_재고일수INV_DIO2014</v>
      </c>
      <c r="B146" t="str">
        <f t="shared" si="5"/>
        <v>2.전체_재고일수2.전체_재고일수INV_DIO201405</v>
      </c>
      <c r="F146" t="s">
        <v>179</v>
      </c>
      <c r="G146" t="s">
        <v>179</v>
      </c>
      <c r="H146" t="s">
        <v>307</v>
      </c>
      <c r="I146" t="s">
        <v>254</v>
      </c>
      <c r="J146" t="s">
        <v>26</v>
      </c>
      <c r="K146" t="s">
        <v>180</v>
      </c>
      <c r="L146">
        <v>26.456850240945499</v>
      </c>
    </row>
    <row r="147" spans="1:12">
      <c r="A147" t="str">
        <f t="shared" si="4"/>
        <v>2.전체_재고일수2.전체_재고일수INV_DIO_MTL2014</v>
      </c>
      <c r="B147" t="str">
        <f t="shared" si="5"/>
        <v>2.전체_재고일수2.전체_재고일수INV_DIO_MTL201405</v>
      </c>
      <c r="F147" t="s">
        <v>179</v>
      </c>
      <c r="G147" t="s">
        <v>179</v>
      </c>
      <c r="H147" t="s">
        <v>307</v>
      </c>
      <c r="I147" t="s">
        <v>254</v>
      </c>
      <c r="J147" t="s">
        <v>26</v>
      </c>
      <c r="K147" t="s">
        <v>228</v>
      </c>
    </row>
    <row r="148" spans="1:12">
      <c r="A148" t="str">
        <f t="shared" si="4"/>
        <v>2.전체_재고일수2.전체_재고일수INV_DIO_R2014</v>
      </c>
      <c r="B148" t="str">
        <f t="shared" si="5"/>
        <v>2.전체_재고일수2.전체_재고일수INV_DIO_R201405</v>
      </c>
      <c r="F148" t="s">
        <v>179</v>
      </c>
      <c r="G148" t="s">
        <v>179</v>
      </c>
      <c r="H148" t="s">
        <v>307</v>
      </c>
      <c r="I148" t="s">
        <v>254</v>
      </c>
      <c r="J148" t="s">
        <v>26</v>
      </c>
      <c r="K148" t="s">
        <v>181</v>
      </c>
      <c r="L148">
        <v>19.818014292434398</v>
      </c>
    </row>
    <row r="149" spans="1:12">
      <c r="A149" t="str">
        <f t="shared" si="4"/>
        <v>2.전체_재고일수2.전체_재고일수INV_DIO2014</v>
      </c>
      <c r="B149" t="str">
        <f t="shared" si="5"/>
        <v>2.전체_재고일수2.전체_재고일수INV_DIO201406</v>
      </c>
      <c r="F149" t="s">
        <v>179</v>
      </c>
      <c r="G149" t="s">
        <v>179</v>
      </c>
      <c r="H149" t="s">
        <v>307</v>
      </c>
      <c r="I149" t="s">
        <v>254</v>
      </c>
      <c r="J149" t="s">
        <v>27</v>
      </c>
      <c r="K149" t="s">
        <v>180</v>
      </c>
      <c r="L149">
        <v>30.7445856811682</v>
      </c>
    </row>
    <row r="150" spans="1:12">
      <c r="A150" t="str">
        <f t="shared" si="4"/>
        <v>2.전체_재고일수2.전체_재고일수INV_DIO_MTL2014</v>
      </c>
      <c r="B150" t="str">
        <f t="shared" si="5"/>
        <v>2.전체_재고일수2.전체_재고일수INV_DIO_MTL201406</v>
      </c>
      <c r="F150" t="s">
        <v>179</v>
      </c>
      <c r="G150" t="s">
        <v>179</v>
      </c>
      <c r="H150" t="s">
        <v>307</v>
      </c>
      <c r="I150" t="s">
        <v>254</v>
      </c>
      <c r="J150" t="s">
        <v>27</v>
      </c>
      <c r="K150" t="s">
        <v>228</v>
      </c>
    </row>
    <row r="151" spans="1:12">
      <c r="A151" t="str">
        <f t="shared" si="4"/>
        <v>2.전체_재고일수2.전체_재고일수INV_DIO_R2014</v>
      </c>
      <c r="B151" t="str">
        <f t="shared" si="5"/>
        <v>2.전체_재고일수2.전체_재고일수INV_DIO_R201406</v>
      </c>
      <c r="F151" t="s">
        <v>179</v>
      </c>
      <c r="G151" t="s">
        <v>179</v>
      </c>
      <c r="H151" t="s">
        <v>307</v>
      </c>
      <c r="I151" t="s">
        <v>254</v>
      </c>
      <c r="J151" t="s">
        <v>27</v>
      </c>
      <c r="K151" t="s">
        <v>181</v>
      </c>
      <c r="L151">
        <v>21.410022739218299</v>
      </c>
    </row>
    <row r="152" spans="1:12">
      <c r="A152" t="str">
        <f t="shared" si="4"/>
        <v>2.전체_재고일수2.전체_재고일수INV_DIO2014</v>
      </c>
      <c r="B152" t="str">
        <f t="shared" si="5"/>
        <v>2.전체_재고일수2.전체_재고일수INV_DIO201407</v>
      </c>
      <c r="F152" t="s">
        <v>179</v>
      </c>
      <c r="G152" t="s">
        <v>179</v>
      </c>
      <c r="H152" t="s">
        <v>307</v>
      </c>
      <c r="I152" t="s">
        <v>254</v>
      </c>
      <c r="J152" t="s">
        <v>28</v>
      </c>
      <c r="K152" t="s">
        <v>180</v>
      </c>
      <c r="L152">
        <v>26.067957323046301</v>
      </c>
    </row>
    <row r="153" spans="1:12">
      <c r="A153" t="str">
        <f t="shared" si="4"/>
        <v>2.전체_재고일수2.전체_재고일수INV_DIO_MTL2014</v>
      </c>
      <c r="B153" t="str">
        <f t="shared" si="5"/>
        <v>2.전체_재고일수2.전체_재고일수INV_DIO_MTL201407</v>
      </c>
      <c r="F153" t="s">
        <v>179</v>
      </c>
      <c r="G153" t="s">
        <v>179</v>
      </c>
      <c r="H153" t="s">
        <v>307</v>
      </c>
      <c r="I153" t="s">
        <v>254</v>
      </c>
      <c r="J153" t="s">
        <v>28</v>
      </c>
      <c r="K153" t="s">
        <v>228</v>
      </c>
    </row>
    <row r="154" spans="1:12">
      <c r="A154" t="str">
        <f t="shared" si="4"/>
        <v>2.전체_재고일수2.전체_재고일수INV_DIO_R2014</v>
      </c>
      <c r="B154" t="str">
        <f t="shared" si="5"/>
        <v>2.전체_재고일수2.전체_재고일수INV_DIO_R201407</v>
      </c>
      <c r="F154" t="s">
        <v>179</v>
      </c>
      <c r="G154" t="s">
        <v>179</v>
      </c>
      <c r="H154" t="s">
        <v>307</v>
      </c>
      <c r="I154" t="s">
        <v>254</v>
      </c>
      <c r="J154" t="s">
        <v>28</v>
      </c>
      <c r="K154" t="s">
        <v>181</v>
      </c>
      <c r="L154">
        <v>22.0261430480728</v>
      </c>
    </row>
    <row r="155" spans="1:12">
      <c r="A155" t="str">
        <f t="shared" si="4"/>
        <v>2.전체_재고일수2.전체_재고일수INV_DIO2014</v>
      </c>
      <c r="B155" t="str">
        <f t="shared" si="5"/>
        <v>2.전체_재고일수2.전체_재고일수INV_DIO201408</v>
      </c>
      <c r="F155" t="s">
        <v>179</v>
      </c>
      <c r="G155" t="s">
        <v>179</v>
      </c>
      <c r="H155" t="s">
        <v>307</v>
      </c>
      <c r="I155" t="s">
        <v>254</v>
      </c>
      <c r="J155" t="s">
        <v>29</v>
      </c>
      <c r="K155" t="s">
        <v>180</v>
      </c>
      <c r="L155">
        <v>29.282016947518599</v>
      </c>
    </row>
    <row r="156" spans="1:12">
      <c r="A156" t="str">
        <f t="shared" si="4"/>
        <v>2.전체_재고일수2.전체_재고일수INV_DIO_MTL2014</v>
      </c>
      <c r="B156" t="str">
        <f t="shared" si="5"/>
        <v>2.전체_재고일수2.전체_재고일수INV_DIO_MTL201408</v>
      </c>
      <c r="F156" t="s">
        <v>179</v>
      </c>
      <c r="G156" t="s">
        <v>179</v>
      </c>
      <c r="H156" t="s">
        <v>307</v>
      </c>
      <c r="I156" t="s">
        <v>254</v>
      </c>
      <c r="J156" t="s">
        <v>29</v>
      </c>
      <c r="K156" t="s">
        <v>228</v>
      </c>
    </row>
    <row r="157" spans="1:12">
      <c r="A157" t="str">
        <f t="shared" si="4"/>
        <v>2.전체_재고일수2.전체_재고일수INV_DIO_R2014</v>
      </c>
      <c r="B157" t="str">
        <f t="shared" si="5"/>
        <v>2.전체_재고일수2.전체_재고일수INV_DIO_R201408</v>
      </c>
      <c r="F157" t="s">
        <v>179</v>
      </c>
      <c r="G157" t="s">
        <v>179</v>
      </c>
      <c r="H157" t="s">
        <v>307</v>
      </c>
      <c r="I157" t="s">
        <v>254</v>
      </c>
      <c r="J157" t="s">
        <v>29</v>
      </c>
      <c r="K157" t="s">
        <v>181</v>
      </c>
      <c r="L157">
        <v>23.008370572052801</v>
      </c>
    </row>
    <row r="158" spans="1:12">
      <c r="A158" t="str">
        <f t="shared" si="4"/>
        <v>2.전체_재고일수2.전체_재고일수INV_DIO2014</v>
      </c>
      <c r="B158" t="str">
        <f t="shared" si="5"/>
        <v>2.전체_재고일수2.전체_재고일수INV_DIO201409</v>
      </c>
      <c r="F158" t="s">
        <v>179</v>
      </c>
      <c r="G158" t="s">
        <v>179</v>
      </c>
      <c r="H158" t="s">
        <v>307</v>
      </c>
      <c r="I158" t="s">
        <v>254</v>
      </c>
      <c r="J158" t="s">
        <v>30</v>
      </c>
      <c r="K158" t="s">
        <v>180</v>
      </c>
      <c r="L158">
        <v>21.8630487194668</v>
      </c>
    </row>
    <row r="159" spans="1:12">
      <c r="A159" t="str">
        <f t="shared" si="4"/>
        <v>2.전체_재고일수2.전체_재고일수INV_DIO_MTL2014</v>
      </c>
      <c r="B159" t="str">
        <f t="shared" si="5"/>
        <v>2.전체_재고일수2.전체_재고일수INV_DIO_MTL201409</v>
      </c>
      <c r="F159" t="s">
        <v>179</v>
      </c>
      <c r="G159" t="s">
        <v>179</v>
      </c>
      <c r="H159" t="s">
        <v>307</v>
      </c>
      <c r="I159" t="s">
        <v>254</v>
      </c>
      <c r="J159" t="s">
        <v>30</v>
      </c>
      <c r="K159" t="s">
        <v>228</v>
      </c>
    </row>
    <row r="160" spans="1:12">
      <c r="A160" t="str">
        <f t="shared" si="4"/>
        <v>2.전체_재고일수2.전체_재고일수INV_DIO_R2014</v>
      </c>
      <c r="B160" t="str">
        <f t="shared" si="5"/>
        <v>2.전체_재고일수2.전체_재고일수INV_DIO_R201409</v>
      </c>
      <c r="F160" t="s">
        <v>179</v>
      </c>
      <c r="G160" t="s">
        <v>179</v>
      </c>
      <c r="H160" t="s">
        <v>307</v>
      </c>
      <c r="I160" t="s">
        <v>254</v>
      </c>
      <c r="J160" t="s">
        <v>30</v>
      </c>
      <c r="K160" t="s">
        <v>181</v>
      </c>
      <c r="L160">
        <v>23.555273895326899</v>
      </c>
    </row>
    <row r="161" spans="1:12">
      <c r="A161" t="str">
        <f t="shared" si="4"/>
        <v>2.전체_재고일수2.전체_재고일수INV_DIO2014</v>
      </c>
      <c r="B161" t="str">
        <f t="shared" si="5"/>
        <v>2.전체_재고일수2.전체_재고일수INV_DIO201410</v>
      </c>
      <c r="F161" t="s">
        <v>179</v>
      </c>
      <c r="G161" t="s">
        <v>179</v>
      </c>
      <c r="H161" t="s">
        <v>307</v>
      </c>
      <c r="I161" t="s">
        <v>254</v>
      </c>
      <c r="J161" t="s">
        <v>31</v>
      </c>
      <c r="K161" t="s">
        <v>180</v>
      </c>
      <c r="L161">
        <v>18.50576677502</v>
      </c>
    </row>
    <row r="162" spans="1:12">
      <c r="A162" t="str">
        <f t="shared" si="4"/>
        <v>2.전체_재고일수2.전체_재고일수INV_DIO_MTL2014</v>
      </c>
      <c r="B162" t="str">
        <f t="shared" si="5"/>
        <v>2.전체_재고일수2.전체_재고일수INV_DIO_MTL201410</v>
      </c>
      <c r="F162" t="s">
        <v>179</v>
      </c>
      <c r="G162" t="s">
        <v>179</v>
      </c>
      <c r="H162" t="s">
        <v>307</v>
      </c>
      <c r="I162" t="s">
        <v>254</v>
      </c>
      <c r="J162" t="s">
        <v>31</v>
      </c>
      <c r="K162" t="s">
        <v>228</v>
      </c>
    </row>
    <row r="163" spans="1:12">
      <c r="A163" t="str">
        <f t="shared" si="4"/>
        <v>2.전체_재고일수2.전체_재고일수INV_DIO_R2014</v>
      </c>
      <c r="B163" t="str">
        <f t="shared" si="5"/>
        <v>2.전체_재고일수2.전체_재고일수INV_DIO_R201410</v>
      </c>
      <c r="F163" t="s">
        <v>179</v>
      </c>
      <c r="G163" t="s">
        <v>179</v>
      </c>
      <c r="H163" t="s">
        <v>307</v>
      </c>
      <c r="I163" t="s">
        <v>254</v>
      </c>
      <c r="J163" t="s">
        <v>31</v>
      </c>
      <c r="K163" t="s">
        <v>181</v>
      </c>
      <c r="L163">
        <v>24.0560012900464</v>
      </c>
    </row>
    <row r="164" spans="1:12">
      <c r="A164" t="str">
        <f t="shared" si="4"/>
        <v>2.전체_재고일수2.전체_재고일수INV_DIO2014</v>
      </c>
      <c r="B164" t="str">
        <f t="shared" si="5"/>
        <v>2.전체_재고일수2.전체_재고일수INV_DIO201411</v>
      </c>
      <c r="F164" t="s">
        <v>179</v>
      </c>
      <c r="G164" t="s">
        <v>179</v>
      </c>
      <c r="H164" t="s">
        <v>307</v>
      </c>
      <c r="I164" t="s">
        <v>254</v>
      </c>
      <c r="J164" t="s">
        <v>32</v>
      </c>
      <c r="K164" t="s">
        <v>180</v>
      </c>
      <c r="L164">
        <v>26.513890682617099</v>
      </c>
    </row>
    <row r="165" spans="1:12">
      <c r="A165" t="str">
        <f t="shared" si="4"/>
        <v>2.전체_재고일수2.전체_재고일수INV_DIO_MTL2014</v>
      </c>
      <c r="B165" t="str">
        <f t="shared" si="5"/>
        <v>2.전체_재고일수2.전체_재고일수INV_DIO_MTL201411</v>
      </c>
      <c r="F165" t="s">
        <v>179</v>
      </c>
      <c r="G165" t="s">
        <v>179</v>
      </c>
      <c r="H165" t="s">
        <v>307</v>
      </c>
      <c r="I165" t="s">
        <v>254</v>
      </c>
      <c r="J165" t="s">
        <v>32</v>
      </c>
      <c r="K165" t="s">
        <v>228</v>
      </c>
    </row>
    <row r="166" spans="1:12">
      <c r="A166" t="str">
        <f t="shared" si="4"/>
        <v>2.전체_재고일수2.전체_재고일수INV_DIO_R2014</v>
      </c>
      <c r="B166" t="str">
        <f t="shared" si="5"/>
        <v>2.전체_재고일수2.전체_재고일수INV_DIO_R201411</v>
      </c>
      <c r="F166" t="s">
        <v>179</v>
      </c>
      <c r="G166" t="s">
        <v>179</v>
      </c>
      <c r="H166" t="s">
        <v>307</v>
      </c>
      <c r="I166" t="s">
        <v>254</v>
      </c>
      <c r="J166" t="s">
        <v>32</v>
      </c>
      <c r="K166" t="s">
        <v>181</v>
      </c>
      <c r="L166">
        <v>23.096707738466399</v>
      </c>
    </row>
    <row r="167" spans="1:12">
      <c r="A167" t="str">
        <f t="shared" si="4"/>
        <v>2.전체_재고일수2.전체_재고일수INV_DIO2014</v>
      </c>
      <c r="B167" t="str">
        <f t="shared" si="5"/>
        <v>2.전체_재고일수2.전체_재고일수INV_DIO201412</v>
      </c>
      <c r="F167" t="s">
        <v>179</v>
      </c>
      <c r="G167" t="s">
        <v>179</v>
      </c>
      <c r="H167" t="s">
        <v>307</v>
      </c>
      <c r="I167" t="s">
        <v>254</v>
      </c>
      <c r="J167" t="s">
        <v>33</v>
      </c>
      <c r="K167" t="s">
        <v>180</v>
      </c>
      <c r="L167">
        <v>25.223590550447401</v>
      </c>
    </row>
    <row r="168" spans="1:12">
      <c r="A168" t="str">
        <f t="shared" si="4"/>
        <v>2.전체_재고일수2.전체_재고일수INV_DIO_MTL2014</v>
      </c>
      <c r="B168" t="str">
        <f t="shared" si="5"/>
        <v>2.전체_재고일수2.전체_재고일수INV_DIO_MTL201412</v>
      </c>
      <c r="F168" t="s">
        <v>179</v>
      </c>
      <c r="G168" t="s">
        <v>179</v>
      </c>
      <c r="H168" t="s">
        <v>307</v>
      </c>
      <c r="I168" t="s">
        <v>254</v>
      </c>
      <c r="J168" t="s">
        <v>33</v>
      </c>
      <c r="K168" t="s">
        <v>228</v>
      </c>
    </row>
    <row r="169" spans="1:12">
      <c r="A169" t="str">
        <f t="shared" si="4"/>
        <v>2.전체_재고일수2.전체_재고일수INV_DIO_R2014</v>
      </c>
      <c r="B169" t="str">
        <f t="shared" si="5"/>
        <v>2.전체_재고일수2.전체_재고일수INV_DIO_R201412</v>
      </c>
      <c r="F169" t="s">
        <v>179</v>
      </c>
      <c r="G169" t="s">
        <v>179</v>
      </c>
      <c r="H169" t="s">
        <v>307</v>
      </c>
      <c r="I169" t="s">
        <v>254</v>
      </c>
      <c r="J169" t="s">
        <v>33</v>
      </c>
      <c r="K169" t="s">
        <v>181</v>
      </c>
      <c r="L169">
        <v>22.5641118428154</v>
      </c>
    </row>
    <row r="170" spans="1:12">
      <c r="A170" t="str">
        <f t="shared" si="4"/>
        <v>2.전체_재고일수2.전체_재고일수INV_DIO2015</v>
      </c>
      <c r="B170" t="str">
        <f t="shared" si="5"/>
        <v>2.전체_재고일수2.전체_재고일수INV_DIO201500</v>
      </c>
      <c r="F170" t="s">
        <v>179</v>
      </c>
      <c r="G170" t="s">
        <v>179</v>
      </c>
      <c r="H170" t="s">
        <v>307</v>
      </c>
      <c r="I170" t="s">
        <v>260</v>
      </c>
      <c r="J170" t="s">
        <v>261</v>
      </c>
      <c r="K170" t="s">
        <v>180</v>
      </c>
    </row>
    <row r="171" spans="1:12">
      <c r="A171" t="str">
        <f t="shared" si="4"/>
        <v>2.전체_재고일수2.전체_재고일수INV_DIO_MTL2015</v>
      </c>
      <c r="B171" t="str">
        <f t="shared" si="5"/>
        <v>2.전체_재고일수2.전체_재고일수INV_DIO_MTL201500</v>
      </c>
      <c r="F171" t="s">
        <v>179</v>
      </c>
      <c r="G171" t="s">
        <v>179</v>
      </c>
      <c r="H171" t="s">
        <v>307</v>
      </c>
      <c r="I171" t="s">
        <v>260</v>
      </c>
      <c r="J171" t="s">
        <v>261</v>
      </c>
      <c r="K171" t="s">
        <v>228</v>
      </c>
    </row>
    <row r="172" spans="1:12">
      <c r="A172" t="str">
        <f t="shared" si="4"/>
        <v>2.전체_재고일수2.전체_재고일수INV_DIO_R2015</v>
      </c>
      <c r="B172" t="str">
        <f t="shared" si="5"/>
        <v>2.전체_재고일수2.전체_재고일수INV_DIO_R201500</v>
      </c>
      <c r="F172" t="s">
        <v>179</v>
      </c>
      <c r="G172" t="s">
        <v>179</v>
      </c>
      <c r="H172" t="s">
        <v>307</v>
      </c>
      <c r="I172" t="s">
        <v>260</v>
      </c>
      <c r="J172" t="s">
        <v>261</v>
      </c>
      <c r="K172" t="s">
        <v>181</v>
      </c>
      <c r="L172">
        <v>0</v>
      </c>
    </row>
    <row r="173" spans="1:12">
      <c r="A173" t="str">
        <f t="shared" si="4"/>
        <v>2.전체_재고일수2.전체_재고일수INV_DIO2015</v>
      </c>
      <c r="B173" t="str">
        <f t="shared" si="5"/>
        <v>2.전체_재고일수2.전체_재고일수INV_DIO201501</v>
      </c>
      <c r="F173" t="s">
        <v>179</v>
      </c>
      <c r="G173" t="s">
        <v>179</v>
      </c>
      <c r="H173" t="s">
        <v>307</v>
      </c>
      <c r="I173" t="s">
        <v>260</v>
      </c>
      <c r="J173" t="s">
        <v>34</v>
      </c>
      <c r="K173" t="s">
        <v>180</v>
      </c>
      <c r="L173">
        <v>25.367383430182102</v>
      </c>
    </row>
    <row r="174" spans="1:12">
      <c r="A174" t="str">
        <f t="shared" si="4"/>
        <v>2.전체_재고일수2.전체_재고일수INV_DIO_MTL2015</v>
      </c>
      <c r="B174" t="str">
        <f t="shared" si="5"/>
        <v>2.전체_재고일수2.전체_재고일수INV_DIO_MTL201501</v>
      </c>
      <c r="F174" t="s">
        <v>179</v>
      </c>
      <c r="G174" t="s">
        <v>179</v>
      </c>
      <c r="H174" t="s">
        <v>307</v>
      </c>
      <c r="I174" t="s">
        <v>260</v>
      </c>
      <c r="J174" t="s">
        <v>34</v>
      </c>
      <c r="K174" t="s">
        <v>228</v>
      </c>
    </row>
    <row r="175" spans="1:12">
      <c r="A175" t="str">
        <f t="shared" si="4"/>
        <v>2.전체_재고일수2.전체_재고일수INV_DIO_R2015</v>
      </c>
      <c r="B175" t="str">
        <f t="shared" si="5"/>
        <v>2.전체_재고일수2.전체_재고일수INV_DIO_R201501</v>
      </c>
      <c r="F175" t="s">
        <v>179</v>
      </c>
      <c r="G175" t="s">
        <v>179</v>
      </c>
      <c r="H175" t="s">
        <v>307</v>
      </c>
      <c r="I175" t="s">
        <v>260</v>
      </c>
      <c r="J175" t="s">
        <v>34</v>
      </c>
      <c r="K175" t="s">
        <v>181</v>
      </c>
      <c r="L175">
        <v>23.237935916326201</v>
      </c>
    </row>
    <row r="176" spans="1:12">
      <c r="A176" t="str">
        <f t="shared" si="4"/>
        <v>2.전체_재고일수2.전체_재고일수INV_DIO2015</v>
      </c>
      <c r="B176" t="str">
        <f t="shared" si="5"/>
        <v>2.전체_재고일수2.전체_재고일수INV_DIO201502</v>
      </c>
      <c r="F176" t="s">
        <v>179</v>
      </c>
      <c r="G176" t="s">
        <v>179</v>
      </c>
      <c r="H176" t="s">
        <v>307</v>
      </c>
      <c r="I176" t="s">
        <v>260</v>
      </c>
      <c r="J176" t="s">
        <v>35</v>
      </c>
      <c r="K176" t="s">
        <v>180</v>
      </c>
      <c r="L176">
        <v>24.1995956004071</v>
      </c>
    </row>
    <row r="177" spans="1:12">
      <c r="A177" t="str">
        <f t="shared" si="4"/>
        <v>2.전체_재고일수2.전체_재고일수INV_DIO_MTL2015</v>
      </c>
      <c r="B177" t="str">
        <f t="shared" si="5"/>
        <v>2.전체_재고일수2.전체_재고일수INV_DIO_MTL201502</v>
      </c>
      <c r="F177" t="s">
        <v>179</v>
      </c>
      <c r="G177" t="s">
        <v>179</v>
      </c>
      <c r="H177" t="s">
        <v>307</v>
      </c>
      <c r="I177" t="s">
        <v>260</v>
      </c>
      <c r="J177" t="s">
        <v>35</v>
      </c>
      <c r="K177" t="s">
        <v>228</v>
      </c>
    </row>
    <row r="178" spans="1:12">
      <c r="A178" t="str">
        <f t="shared" si="4"/>
        <v>2.전체_재고일수2.전체_재고일수INV_DIO_R2015</v>
      </c>
      <c r="B178" t="str">
        <f t="shared" si="5"/>
        <v>2.전체_재고일수2.전체_재고일수INV_DIO_R201502</v>
      </c>
      <c r="F178" t="s">
        <v>179</v>
      </c>
      <c r="G178" t="s">
        <v>179</v>
      </c>
      <c r="H178" t="s">
        <v>307</v>
      </c>
      <c r="I178" t="s">
        <v>260</v>
      </c>
      <c r="J178" t="s">
        <v>35</v>
      </c>
      <c r="K178" t="s">
        <v>181</v>
      </c>
      <c r="L178">
        <v>24.869196213955</v>
      </c>
    </row>
    <row r="179" spans="1:12">
      <c r="A179" t="str">
        <f t="shared" si="4"/>
        <v>2.전체_재고일수2.전체_재고일수INV_DIO2015</v>
      </c>
      <c r="B179" t="str">
        <f t="shared" si="5"/>
        <v>2.전체_재고일수2.전체_재고일수INV_DIO201503</v>
      </c>
      <c r="F179" t="s">
        <v>179</v>
      </c>
      <c r="G179" t="s">
        <v>179</v>
      </c>
      <c r="H179" t="s">
        <v>307</v>
      </c>
      <c r="I179" t="s">
        <v>260</v>
      </c>
      <c r="J179" t="s">
        <v>36</v>
      </c>
      <c r="K179" t="s">
        <v>180</v>
      </c>
      <c r="L179">
        <v>27.645396675878398</v>
      </c>
    </row>
    <row r="180" spans="1:12">
      <c r="A180" t="str">
        <f t="shared" si="4"/>
        <v>2.전체_재고일수2.전체_재고일수INV_DIO_MTL2015</v>
      </c>
      <c r="B180" t="str">
        <f t="shared" si="5"/>
        <v>2.전체_재고일수2.전체_재고일수INV_DIO_MTL201503</v>
      </c>
      <c r="F180" t="s">
        <v>179</v>
      </c>
      <c r="G180" t="s">
        <v>179</v>
      </c>
      <c r="H180" t="s">
        <v>307</v>
      </c>
      <c r="I180" t="s">
        <v>260</v>
      </c>
      <c r="J180" t="s">
        <v>36</v>
      </c>
      <c r="K180" t="s">
        <v>228</v>
      </c>
    </row>
    <row r="181" spans="1:12">
      <c r="A181" t="str">
        <f t="shared" si="4"/>
        <v>2.전체_재고일수2.전체_재고일수INV_DIO_R2015</v>
      </c>
      <c r="B181" t="str">
        <f t="shared" si="5"/>
        <v>2.전체_재고일수2.전체_재고일수INV_DIO_R201503</v>
      </c>
      <c r="F181" t="s">
        <v>179</v>
      </c>
      <c r="G181" t="s">
        <v>179</v>
      </c>
      <c r="H181" t="s">
        <v>307</v>
      </c>
      <c r="I181" t="s">
        <v>260</v>
      </c>
      <c r="J181" t="s">
        <v>36</v>
      </c>
      <c r="K181" t="s">
        <v>181</v>
      </c>
      <c r="L181">
        <v>24.4834028806583</v>
      </c>
    </row>
    <row r="182" spans="1:12">
      <c r="A182" t="str">
        <f t="shared" si="4"/>
        <v>2.전체_재고일수2.전체_재고일수INV_DIO2015</v>
      </c>
      <c r="B182" t="str">
        <f t="shared" si="5"/>
        <v>2.전체_재고일수2.전체_재고일수INV_DIO201504</v>
      </c>
      <c r="F182" t="s">
        <v>179</v>
      </c>
      <c r="G182" t="s">
        <v>179</v>
      </c>
      <c r="H182" t="s">
        <v>307</v>
      </c>
      <c r="I182" t="s">
        <v>260</v>
      </c>
      <c r="J182" t="s">
        <v>37</v>
      </c>
      <c r="K182" t="s">
        <v>180</v>
      </c>
      <c r="L182">
        <v>23.674114672821801</v>
      </c>
    </row>
    <row r="183" spans="1:12">
      <c r="A183" t="str">
        <f t="shared" si="4"/>
        <v>2.전체_재고일수2.전체_재고일수INV_DIO_MTL2015</v>
      </c>
      <c r="B183" t="str">
        <f t="shared" si="5"/>
        <v>2.전체_재고일수2.전체_재고일수INV_DIO_MTL201504</v>
      </c>
      <c r="F183" t="s">
        <v>179</v>
      </c>
      <c r="G183" t="s">
        <v>179</v>
      </c>
      <c r="H183" t="s">
        <v>307</v>
      </c>
      <c r="I183" t="s">
        <v>260</v>
      </c>
      <c r="J183" t="s">
        <v>37</v>
      </c>
      <c r="K183" t="s">
        <v>228</v>
      </c>
    </row>
    <row r="184" spans="1:12">
      <c r="A184" t="str">
        <f t="shared" si="4"/>
        <v>2.전체_재고일수2.전체_재고일수INV_DIO_R2015</v>
      </c>
      <c r="B184" t="str">
        <f t="shared" si="5"/>
        <v>2.전체_재고일수2.전체_재고일수INV_DIO_R201504</v>
      </c>
      <c r="F184" t="s">
        <v>179</v>
      </c>
      <c r="G184" t="s">
        <v>179</v>
      </c>
      <c r="H184" t="s">
        <v>307</v>
      </c>
      <c r="I184" t="s">
        <v>260</v>
      </c>
      <c r="J184" t="s">
        <v>37</v>
      </c>
      <c r="K184" t="s">
        <v>181</v>
      </c>
      <c r="L184">
        <v>25.350627863073399</v>
      </c>
    </row>
    <row r="185" spans="1:12">
      <c r="A185" t="str">
        <f t="shared" si="4"/>
        <v>2.전체_재고일수2.전체_재고일수INV_DIO2015</v>
      </c>
      <c r="B185" t="str">
        <f t="shared" si="5"/>
        <v>2.전체_재고일수2.전체_재고일수INV_DIO201505</v>
      </c>
      <c r="F185" t="s">
        <v>179</v>
      </c>
      <c r="G185" t="s">
        <v>179</v>
      </c>
      <c r="H185" t="s">
        <v>307</v>
      </c>
      <c r="I185" t="s">
        <v>260</v>
      </c>
      <c r="J185" t="s">
        <v>38</v>
      </c>
      <c r="K185" t="s">
        <v>180</v>
      </c>
      <c r="L185">
        <v>24.762827494484299</v>
      </c>
    </row>
    <row r="186" spans="1:12">
      <c r="A186" t="str">
        <f t="shared" si="4"/>
        <v>2.전체_재고일수2.전체_재고일수INV_DIO_MTL2015</v>
      </c>
      <c r="B186" t="str">
        <f t="shared" si="5"/>
        <v>2.전체_재고일수2.전체_재고일수INV_DIO_MTL201505</v>
      </c>
      <c r="F186" t="s">
        <v>179</v>
      </c>
      <c r="G186" t="s">
        <v>179</v>
      </c>
      <c r="H186" t="s">
        <v>307</v>
      </c>
      <c r="I186" t="s">
        <v>260</v>
      </c>
      <c r="J186" t="s">
        <v>38</v>
      </c>
      <c r="K186" t="s">
        <v>228</v>
      </c>
    </row>
    <row r="187" spans="1:12">
      <c r="A187" t="str">
        <f t="shared" si="4"/>
        <v>2.전체_재고일수2.전체_재고일수INV_DIO_R2015</v>
      </c>
      <c r="B187" t="str">
        <f t="shared" si="5"/>
        <v>2.전체_재고일수2.전체_재고일수INV_DIO_R201505</v>
      </c>
      <c r="F187" t="s">
        <v>179</v>
      </c>
      <c r="G187" t="s">
        <v>179</v>
      </c>
      <c r="H187" t="s">
        <v>307</v>
      </c>
      <c r="I187" t="s">
        <v>260</v>
      </c>
      <c r="J187" t="s">
        <v>38</v>
      </c>
      <c r="K187" t="s">
        <v>181</v>
      </c>
      <c r="L187">
        <v>25.247587430683101</v>
      </c>
    </row>
    <row r="188" spans="1:12">
      <c r="A188" t="str">
        <f t="shared" si="4"/>
        <v>2.전체_재고일수2.전체_재고일수INV_DIO2015</v>
      </c>
      <c r="B188" t="str">
        <f t="shared" si="5"/>
        <v>2.전체_재고일수2.전체_재고일수INV_DIO201506</v>
      </c>
      <c r="F188" t="s">
        <v>179</v>
      </c>
      <c r="G188" t="s">
        <v>179</v>
      </c>
      <c r="H188" t="s">
        <v>307</v>
      </c>
      <c r="I188" t="s">
        <v>260</v>
      </c>
      <c r="J188" t="s">
        <v>39</v>
      </c>
      <c r="K188" t="s">
        <v>180</v>
      </c>
      <c r="L188">
        <v>26.3084475499682</v>
      </c>
    </row>
    <row r="189" spans="1:12">
      <c r="A189" t="str">
        <f t="shared" si="4"/>
        <v>2.전체_재고일수2.전체_재고일수INV_DIO_MTL2015</v>
      </c>
      <c r="B189" t="str">
        <f t="shared" si="5"/>
        <v>2.전체_재고일수2.전체_재고일수INV_DIO_MTL201506</v>
      </c>
      <c r="F189" t="s">
        <v>179</v>
      </c>
      <c r="G189" t="s">
        <v>179</v>
      </c>
      <c r="H189" t="s">
        <v>307</v>
      </c>
      <c r="I189" t="s">
        <v>260</v>
      </c>
      <c r="J189" t="s">
        <v>39</v>
      </c>
      <c r="K189" t="s">
        <v>228</v>
      </c>
    </row>
    <row r="190" spans="1:12">
      <c r="A190" t="str">
        <f t="shared" si="4"/>
        <v>2.전체_재고일수2.전체_재고일수INV_DIO_R2015</v>
      </c>
      <c r="B190" t="str">
        <f t="shared" si="5"/>
        <v>2.전체_재고일수2.전체_재고일수INV_DIO_R201506</v>
      </c>
      <c r="F190" t="s">
        <v>179</v>
      </c>
      <c r="G190" t="s">
        <v>179</v>
      </c>
      <c r="H190" t="s">
        <v>307</v>
      </c>
      <c r="I190" t="s">
        <v>260</v>
      </c>
      <c r="J190" t="s">
        <v>39</v>
      </c>
      <c r="K190" t="s">
        <v>181</v>
      </c>
      <c r="L190">
        <v>25.225930740239399</v>
      </c>
    </row>
    <row r="191" spans="1:12">
      <c r="A191" t="str">
        <f t="shared" si="4"/>
        <v>2.전체_재고일수2.전체_재고일수INV_DIO2015</v>
      </c>
      <c r="B191" t="str">
        <f t="shared" si="5"/>
        <v>2.전체_재고일수2.전체_재고일수INV_DIO201507</v>
      </c>
      <c r="F191" t="s">
        <v>179</v>
      </c>
      <c r="G191" t="s">
        <v>179</v>
      </c>
      <c r="H191" t="s">
        <v>307</v>
      </c>
      <c r="I191" t="s">
        <v>260</v>
      </c>
      <c r="J191" t="s">
        <v>40</v>
      </c>
      <c r="K191" t="s">
        <v>180</v>
      </c>
      <c r="L191">
        <v>29.082494362560901</v>
      </c>
    </row>
    <row r="192" spans="1:12">
      <c r="A192" t="str">
        <f t="shared" si="4"/>
        <v>2.전체_재고일수2.전체_재고일수INV_DIO_MTL2015</v>
      </c>
      <c r="B192" t="str">
        <f t="shared" si="5"/>
        <v>2.전체_재고일수2.전체_재고일수INV_DIO_MTL201507</v>
      </c>
      <c r="F192" t="s">
        <v>179</v>
      </c>
      <c r="G192" t="s">
        <v>179</v>
      </c>
      <c r="H192" t="s">
        <v>307</v>
      </c>
      <c r="I192" t="s">
        <v>260</v>
      </c>
      <c r="J192" t="s">
        <v>40</v>
      </c>
      <c r="K192" t="s">
        <v>228</v>
      </c>
    </row>
    <row r="193" spans="1:12">
      <c r="A193" t="str">
        <f t="shared" si="4"/>
        <v>2.전체_재고일수2.전체_재고일수INV_DIO_R2015</v>
      </c>
      <c r="B193" t="str">
        <f t="shared" si="5"/>
        <v>2.전체_재고일수2.전체_재고일수INV_DIO_R201507</v>
      </c>
      <c r="F193" t="s">
        <v>179</v>
      </c>
      <c r="G193" t="s">
        <v>179</v>
      </c>
      <c r="H193" t="s">
        <v>307</v>
      </c>
      <c r="I193" t="s">
        <v>260</v>
      </c>
      <c r="J193" t="s">
        <v>40</v>
      </c>
      <c r="K193" t="s">
        <v>181</v>
      </c>
      <c r="L193">
        <v>25.435238108020801</v>
      </c>
    </row>
    <row r="194" spans="1:12">
      <c r="A194" t="str">
        <f t="shared" si="4"/>
        <v>2.전체_재고일수2.전체_재고일수INV_DIO2015</v>
      </c>
      <c r="B194" t="str">
        <f t="shared" si="5"/>
        <v>2.전체_재고일수2.전체_재고일수INV_DIO201508</v>
      </c>
      <c r="F194" t="s">
        <v>179</v>
      </c>
      <c r="G194" t="s">
        <v>179</v>
      </c>
      <c r="H194" t="s">
        <v>307</v>
      </c>
      <c r="I194" t="s">
        <v>260</v>
      </c>
      <c r="J194" t="s">
        <v>41</v>
      </c>
      <c r="K194" t="s">
        <v>180</v>
      </c>
      <c r="L194">
        <v>21.639231938626899</v>
      </c>
    </row>
    <row r="195" spans="1:12">
      <c r="A195" t="str">
        <f t="shared" si="4"/>
        <v>2.전체_재고일수2.전체_재고일수INV_DIO_MTL2015</v>
      </c>
      <c r="B195" t="str">
        <f t="shared" si="5"/>
        <v>2.전체_재고일수2.전체_재고일수INV_DIO_MTL201508</v>
      </c>
      <c r="F195" t="s">
        <v>179</v>
      </c>
      <c r="G195" t="s">
        <v>179</v>
      </c>
      <c r="H195" t="s">
        <v>307</v>
      </c>
      <c r="I195" t="s">
        <v>260</v>
      </c>
      <c r="J195" t="s">
        <v>41</v>
      </c>
      <c r="K195" t="s">
        <v>228</v>
      </c>
    </row>
    <row r="196" spans="1:12">
      <c r="A196" t="str">
        <f t="shared" si="4"/>
        <v>2.전체_재고일수2.전체_재고일수INV_DIO_R2015</v>
      </c>
      <c r="B196" t="str">
        <f t="shared" si="5"/>
        <v>2.전체_재고일수2.전체_재고일수INV_DIO_R201508</v>
      </c>
      <c r="F196" t="s">
        <v>179</v>
      </c>
      <c r="G196" t="s">
        <v>179</v>
      </c>
      <c r="H196" t="s">
        <v>307</v>
      </c>
      <c r="I196" t="s">
        <v>260</v>
      </c>
      <c r="J196" t="s">
        <v>41</v>
      </c>
      <c r="K196" t="s">
        <v>181</v>
      </c>
      <c r="L196">
        <v>25.1819004893418</v>
      </c>
    </row>
    <row r="197" spans="1:12">
      <c r="A197" t="str">
        <f t="shared" si="4"/>
        <v>2.전체_재고일수2.전체_재고일수INV_DIO2015</v>
      </c>
      <c r="B197" t="str">
        <f t="shared" si="5"/>
        <v>2.전체_재고일수2.전체_재고일수INV_DIO201509</v>
      </c>
      <c r="F197" t="s">
        <v>179</v>
      </c>
      <c r="G197" t="s">
        <v>179</v>
      </c>
      <c r="H197" t="s">
        <v>307</v>
      </c>
      <c r="I197" t="s">
        <v>260</v>
      </c>
      <c r="J197" t="s">
        <v>42</v>
      </c>
      <c r="K197" t="s">
        <v>180</v>
      </c>
      <c r="L197">
        <v>16.237209657365099</v>
      </c>
    </row>
    <row r="198" spans="1:12">
      <c r="A198" t="str">
        <f t="shared" si="4"/>
        <v>2.전체_재고일수2.전체_재고일수INV_DIO_MTL2015</v>
      </c>
      <c r="B198" t="str">
        <f t="shared" si="5"/>
        <v>2.전체_재고일수2.전체_재고일수INV_DIO_MTL201509</v>
      </c>
      <c r="F198" t="s">
        <v>179</v>
      </c>
      <c r="G198" t="s">
        <v>179</v>
      </c>
      <c r="H198" t="s">
        <v>307</v>
      </c>
      <c r="I198" t="s">
        <v>260</v>
      </c>
      <c r="J198" t="s">
        <v>42</v>
      </c>
      <c r="K198" t="s">
        <v>228</v>
      </c>
    </row>
    <row r="199" spans="1:12">
      <c r="A199" t="str">
        <f t="shared" ref="A199:A262" si="6">F199&amp;G199&amp;K199&amp;I199</f>
        <v>2.전체_재고일수2.전체_재고일수INV_DIO_R2015</v>
      </c>
      <c r="B199" t="str">
        <f t="shared" ref="B199:B262" si="7">F199&amp;G199&amp;K199&amp;J199</f>
        <v>2.전체_재고일수2.전체_재고일수INV_DIO_R201509</v>
      </c>
      <c r="F199" t="s">
        <v>179</v>
      </c>
      <c r="G199" t="s">
        <v>179</v>
      </c>
      <c r="H199" t="s">
        <v>307</v>
      </c>
      <c r="I199" t="s">
        <v>260</v>
      </c>
      <c r="J199" t="s">
        <v>42</v>
      </c>
      <c r="K199" t="s">
        <v>181</v>
      </c>
      <c r="L199">
        <v>25.080463174234499</v>
      </c>
    </row>
    <row r="200" spans="1:12">
      <c r="A200" t="str">
        <f t="shared" si="6"/>
        <v>2.전체_재고일수2.전체_재고일수INV_DIO2015</v>
      </c>
      <c r="B200" t="str">
        <f t="shared" si="7"/>
        <v>2.전체_재고일수2.전체_재고일수INV_DIO201510</v>
      </c>
      <c r="F200" t="s">
        <v>179</v>
      </c>
      <c r="G200" t="s">
        <v>179</v>
      </c>
      <c r="H200" t="s">
        <v>307</v>
      </c>
      <c r="I200" t="s">
        <v>260</v>
      </c>
      <c r="J200" t="s">
        <v>1</v>
      </c>
      <c r="K200" t="s">
        <v>180</v>
      </c>
      <c r="L200">
        <v>15.8528922770282</v>
      </c>
    </row>
    <row r="201" spans="1:12">
      <c r="A201" t="str">
        <f t="shared" si="6"/>
        <v>2.전체_재고일수2.전체_재고일수INV_DIO_MTL2015</v>
      </c>
      <c r="B201" t="str">
        <f t="shared" si="7"/>
        <v>2.전체_재고일수2.전체_재고일수INV_DIO_MTL201510</v>
      </c>
      <c r="F201" t="s">
        <v>179</v>
      </c>
      <c r="G201" t="s">
        <v>179</v>
      </c>
      <c r="H201" t="s">
        <v>307</v>
      </c>
      <c r="I201" t="s">
        <v>260</v>
      </c>
      <c r="J201" t="s">
        <v>1</v>
      </c>
      <c r="K201" t="s">
        <v>228</v>
      </c>
    </row>
    <row r="202" spans="1:12">
      <c r="A202" t="str">
        <f t="shared" si="6"/>
        <v>2.전체_재고일수2.전체_재고일수INV_DIO_R2015</v>
      </c>
      <c r="B202" t="str">
        <f t="shared" si="7"/>
        <v>2.전체_재고일수2.전체_재고일수INV_DIO_R201510</v>
      </c>
      <c r="F202" t="s">
        <v>179</v>
      </c>
      <c r="G202" t="s">
        <v>179</v>
      </c>
      <c r="H202" t="s">
        <v>307</v>
      </c>
      <c r="I202" t="s">
        <v>260</v>
      </c>
      <c r="J202" t="s">
        <v>1</v>
      </c>
      <c r="K202" t="s">
        <v>181</v>
      </c>
      <c r="L202">
        <v>24.929161977187199</v>
      </c>
    </row>
    <row r="203" spans="1:12">
      <c r="A203" t="str">
        <f t="shared" si="6"/>
        <v>3.전체_재고금액3.전체_재고금액INV2014</v>
      </c>
      <c r="B203" t="str">
        <f t="shared" si="7"/>
        <v>3.전체_재고금액3.전체_재고금액INV201401</v>
      </c>
      <c r="F203" t="s">
        <v>177</v>
      </c>
      <c r="G203" t="s">
        <v>177</v>
      </c>
      <c r="H203" t="s">
        <v>307</v>
      </c>
      <c r="I203" t="s">
        <v>254</v>
      </c>
      <c r="J203" t="s">
        <v>22</v>
      </c>
      <c r="K203" t="s">
        <v>178</v>
      </c>
      <c r="L203">
        <v>25050332.189584509</v>
      </c>
    </row>
    <row r="204" spans="1:12">
      <c r="A204" t="str">
        <f t="shared" si="6"/>
        <v>3.전체_재고금액3.전체_재고금액INV_SEA2014</v>
      </c>
      <c r="B204" t="str">
        <f t="shared" si="7"/>
        <v>3.전체_재고금액3.전체_재고금액INV_SEA201401</v>
      </c>
      <c r="F204" t="s">
        <v>177</v>
      </c>
      <c r="G204" t="s">
        <v>177</v>
      </c>
      <c r="H204" t="s">
        <v>307</v>
      </c>
      <c r="I204" t="s">
        <v>254</v>
      </c>
      <c r="J204" t="s">
        <v>22</v>
      </c>
      <c r="K204" t="s">
        <v>188</v>
      </c>
      <c r="L204">
        <v>7440428.0476677995</v>
      </c>
    </row>
    <row r="205" spans="1:12">
      <c r="A205" t="str">
        <f t="shared" si="6"/>
        <v>3.전체_재고금액3.전체_재고금액INV_WH2014</v>
      </c>
      <c r="B205" t="str">
        <f t="shared" si="7"/>
        <v>3.전체_재고금액3.전체_재고금액INV_WH201401</v>
      </c>
      <c r="F205" t="s">
        <v>177</v>
      </c>
      <c r="G205" t="s">
        <v>177</v>
      </c>
      <c r="H205" t="s">
        <v>307</v>
      </c>
      <c r="I205" t="s">
        <v>254</v>
      </c>
      <c r="J205" t="s">
        <v>22</v>
      </c>
      <c r="K205" t="s">
        <v>189</v>
      </c>
      <c r="L205">
        <v>17609904.141916703</v>
      </c>
    </row>
    <row r="206" spans="1:12">
      <c r="A206" t="str">
        <f t="shared" si="6"/>
        <v>3.전체_재고금액3.전체_재고금액INV2014</v>
      </c>
      <c r="B206" t="str">
        <f t="shared" si="7"/>
        <v>3.전체_재고금액3.전체_재고금액INV201402</v>
      </c>
      <c r="F206" t="s">
        <v>177</v>
      </c>
      <c r="G206" t="s">
        <v>177</v>
      </c>
      <c r="H206" t="s">
        <v>307</v>
      </c>
      <c r="I206" t="s">
        <v>254</v>
      </c>
      <c r="J206" t="s">
        <v>23</v>
      </c>
      <c r="K206" t="s">
        <v>178</v>
      </c>
      <c r="L206">
        <v>23449377.682655051</v>
      </c>
    </row>
    <row r="207" spans="1:12">
      <c r="A207" t="str">
        <f t="shared" si="6"/>
        <v>3.전체_재고금액3.전체_재고금액INV_SEA2014</v>
      </c>
      <c r="B207" t="str">
        <f t="shared" si="7"/>
        <v>3.전체_재고금액3.전체_재고금액INV_SEA201402</v>
      </c>
      <c r="F207" t="s">
        <v>177</v>
      </c>
      <c r="G207" t="s">
        <v>177</v>
      </c>
      <c r="H207" t="s">
        <v>307</v>
      </c>
      <c r="I207" t="s">
        <v>254</v>
      </c>
      <c r="J207" t="s">
        <v>23</v>
      </c>
      <c r="K207" t="s">
        <v>188</v>
      </c>
      <c r="L207">
        <v>10363694.18745238</v>
      </c>
    </row>
    <row r="208" spans="1:12">
      <c r="A208" t="str">
        <f t="shared" si="6"/>
        <v>3.전체_재고금액3.전체_재고금액INV_WH2014</v>
      </c>
      <c r="B208" t="str">
        <f t="shared" si="7"/>
        <v>3.전체_재고금액3.전체_재고금액INV_WH201402</v>
      </c>
      <c r="F208" t="s">
        <v>177</v>
      </c>
      <c r="G208" t="s">
        <v>177</v>
      </c>
      <c r="H208" t="s">
        <v>307</v>
      </c>
      <c r="I208" t="s">
        <v>254</v>
      </c>
      <c r="J208" t="s">
        <v>23</v>
      </c>
      <c r="K208" t="s">
        <v>189</v>
      </c>
      <c r="L208">
        <v>13085683.495202677</v>
      </c>
    </row>
    <row r="209" spans="1:12">
      <c r="A209" t="str">
        <f t="shared" si="6"/>
        <v>3.전체_재고금액3.전체_재고금액INV2014</v>
      </c>
      <c r="B209" t="str">
        <f t="shared" si="7"/>
        <v>3.전체_재고금액3.전체_재고금액INV201403</v>
      </c>
      <c r="F209" t="s">
        <v>177</v>
      </c>
      <c r="G209" t="s">
        <v>177</v>
      </c>
      <c r="H209" t="s">
        <v>307</v>
      </c>
      <c r="I209" t="s">
        <v>254</v>
      </c>
      <c r="J209" t="s">
        <v>24</v>
      </c>
      <c r="K209" t="s">
        <v>178</v>
      </c>
      <c r="L209">
        <v>25043999.050888468</v>
      </c>
    </row>
    <row r="210" spans="1:12">
      <c r="A210" t="str">
        <f t="shared" si="6"/>
        <v>3.전체_재고금액3.전체_재고금액INV_SEA2014</v>
      </c>
      <c r="B210" t="str">
        <f t="shared" si="7"/>
        <v>3.전체_재고금액3.전체_재고금액INV_SEA201403</v>
      </c>
      <c r="F210" t="s">
        <v>177</v>
      </c>
      <c r="G210" t="s">
        <v>177</v>
      </c>
      <c r="H210" t="s">
        <v>307</v>
      </c>
      <c r="I210" t="s">
        <v>254</v>
      </c>
      <c r="J210" t="s">
        <v>24</v>
      </c>
      <c r="K210" t="s">
        <v>188</v>
      </c>
      <c r="L210">
        <v>11481202.626698349</v>
      </c>
    </row>
    <row r="211" spans="1:12">
      <c r="A211" t="str">
        <f t="shared" si="6"/>
        <v>3.전체_재고금액3.전체_재고금액INV_WH2014</v>
      </c>
      <c r="B211" t="str">
        <f t="shared" si="7"/>
        <v>3.전체_재고금액3.전체_재고금액INV_WH201403</v>
      </c>
      <c r="F211" t="s">
        <v>177</v>
      </c>
      <c r="G211" t="s">
        <v>177</v>
      </c>
      <c r="H211" t="s">
        <v>307</v>
      </c>
      <c r="I211" t="s">
        <v>254</v>
      </c>
      <c r="J211" t="s">
        <v>24</v>
      </c>
      <c r="K211" t="s">
        <v>189</v>
      </c>
      <c r="L211">
        <v>13562796.424190117</v>
      </c>
    </row>
    <row r="212" spans="1:12">
      <c r="A212" t="str">
        <f t="shared" si="6"/>
        <v>3.전체_재고금액3.전체_재고금액INV2014</v>
      </c>
      <c r="B212" t="str">
        <f t="shared" si="7"/>
        <v>3.전체_재고금액3.전체_재고금액INV201404</v>
      </c>
      <c r="F212" t="s">
        <v>177</v>
      </c>
      <c r="G212" t="s">
        <v>177</v>
      </c>
      <c r="H212" t="s">
        <v>307</v>
      </c>
      <c r="I212" t="s">
        <v>254</v>
      </c>
      <c r="J212" t="s">
        <v>25</v>
      </c>
      <c r="K212" t="s">
        <v>178</v>
      </c>
      <c r="L212">
        <v>32194452.830470316</v>
      </c>
    </row>
    <row r="213" spans="1:12">
      <c r="A213" t="str">
        <f t="shared" si="6"/>
        <v>3.전체_재고금액3.전체_재고금액INV_SEA2014</v>
      </c>
      <c r="B213" t="str">
        <f t="shared" si="7"/>
        <v>3.전체_재고금액3.전체_재고금액INV_SEA201404</v>
      </c>
      <c r="F213" t="s">
        <v>177</v>
      </c>
      <c r="G213" t="s">
        <v>177</v>
      </c>
      <c r="H213" t="s">
        <v>307</v>
      </c>
      <c r="I213" t="s">
        <v>254</v>
      </c>
      <c r="J213" t="s">
        <v>25</v>
      </c>
      <c r="K213" t="s">
        <v>188</v>
      </c>
      <c r="L213">
        <v>15192205.364405736</v>
      </c>
    </row>
    <row r="214" spans="1:12">
      <c r="A214" t="str">
        <f t="shared" si="6"/>
        <v>3.전체_재고금액3.전체_재고금액INV_WH2014</v>
      </c>
      <c r="B214" t="str">
        <f t="shared" si="7"/>
        <v>3.전체_재고금액3.전체_재고금액INV_WH201404</v>
      </c>
      <c r="F214" t="s">
        <v>177</v>
      </c>
      <c r="G214" t="s">
        <v>177</v>
      </c>
      <c r="H214" t="s">
        <v>307</v>
      </c>
      <c r="I214" t="s">
        <v>254</v>
      </c>
      <c r="J214" t="s">
        <v>25</v>
      </c>
      <c r="K214" t="s">
        <v>189</v>
      </c>
      <c r="L214">
        <v>17002247.466064528</v>
      </c>
    </row>
    <row r="215" spans="1:12">
      <c r="A215" t="str">
        <f t="shared" si="6"/>
        <v>3.전체_재고금액3.전체_재고금액INV2014</v>
      </c>
      <c r="B215" t="str">
        <f t="shared" si="7"/>
        <v>3.전체_재고금액3.전체_재고금액INV201405</v>
      </c>
      <c r="F215" t="s">
        <v>177</v>
      </c>
      <c r="G215" t="s">
        <v>177</v>
      </c>
      <c r="H215" t="s">
        <v>307</v>
      </c>
      <c r="I215" t="s">
        <v>254</v>
      </c>
      <c r="J215" t="s">
        <v>26</v>
      </c>
      <c r="K215" t="s">
        <v>178</v>
      </c>
      <c r="L215">
        <v>37987040.08845108</v>
      </c>
    </row>
    <row r="216" spans="1:12">
      <c r="A216" t="str">
        <f t="shared" si="6"/>
        <v>3.전체_재고금액3.전체_재고금액INV_SEA2014</v>
      </c>
      <c r="B216" t="str">
        <f t="shared" si="7"/>
        <v>3.전체_재고금액3.전체_재고금액INV_SEA201405</v>
      </c>
      <c r="F216" t="s">
        <v>177</v>
      </c>
      <c r="G216" t="s">
        <v>177</v>
      </c>
      <c r="H216" t="s">
        <v>307</v>
      </c>
      <c r="I216" t="s">
        <v>254</v>
      </c>
      <c r="J216" t="s">
        <v>26</v>
      </c>
      <c r="K216" t="s">
        <v>188</v>
      </c>
      <c r="L216">
        <v>14707354.996764297</v>
      </c>
    </row>
    <row r="217" spans="1:12">
      <c r="A217" t="str">
        <f t="shared" si="6"/>
        <v>3.전체_재고금액3.전체_재고금액INV_WH2014</v>
      </c>
      <c r="B217" t="str">
        <f t="shared" si="7"/>
        <v>3.전체_재고금액3.전체_재고금액INV_WH201405</v>
      </c>
      <c r="F217" t="s">
        <v>177</v>
      </c>
      <c r="G217" t="s">
        <v>177</v>
      </c>
      <c r="H217" t="s">
        <v>307</v>
      </c>
      <c r="I217" t="s">
        <v>254</v>
      </c>
      <c r="J217" t="s">
        <v>26</v>
      </c>
      <c r="K217" t="s">
        <v>189</v>
      </c>
      <c r="L217">
        <v>23279685.091686733</v>
      </c>
    </row>
    <row r="218" spans="1:12">
      <c r="A218" t="str">
        <f t="shared" si="6"/>
        <v>3.전체_재고금액3.전체_재고금액INV2014</v>
      </c>
      <c r="B218" t="str">
        <f t="shared" si="7"/>
        <v>3.전체_재고금액3.전체_재고금액INV201406</v>
      </c>
      <c r="F218" t="s">
        <v>177</v>
      </c>
      <c r="G218" t="s">
        <v>177</v>
      </c>
      <c r="H218" t="s">
        <v>307</v>
      </c>
      <c r="I218" t="s">
        <v>254</v>
      </c>
      <c r="J218" t="s">
        <v>27</v>
      </c>
      <c r="K218" t="s">
        <v>178</v>
      </c>
      <c r="L218">
        <v>44455369.206092156</v>
      </c>
    </row>
    <row r="219" spans="1:12">
      <c r="A219" t="str">
        <f t="shared" si="6"/>
        <v>3.전체_재고금액3.전체_재고금액INV_SEA2014</v>
      </c>
      <c r="B219" t="str">
        <f t="shared" si="7"/>
        <v>3.전체_재고금액3.전체_재고금액INV_SEA201406</v>
      </c>
      <c r="F219" t="s">
        <v>177</v>
      </c>
      <c r="G219" t="s">
        <v>177</v>
      </c>
      <c r="H219" t="s">
        <v>307</v>
      </c>
      <c r="I219" t="s">
        <v>254</v>
      </c>
      <c r="J219" t="s">
        <v>27</v>
      </c>
      <c r="K219" t="s">
        <v>188</v>
      </c>
      <c r="L219">
        <v>10692288.503810326</v>
      </c>
    </row>
    <row r="220" spans="1:12">
      <c r="A220" t="str">
        <f t="shared" si="6"/>
        <v>3.전체_재고금액3.전체_재고금액INV_WH2014</v>
      </c>
      <c r="B220" t="str">
        <f t="shared" si="7"/>
        <v>3.전체_재고금액3.전체_재고금액INV_WH201406</v>
      </c>
      <c r="F220" t="s">
        <v>177</v>
      </c>
      <c r="G220" t="s">
        <v>177</v>
      </c>
      <c r="H220" t="s">
        <v>307</v>
      </c>
      <c r="I220" t="s">
        <v>254</v>
      </c>
      <c r="J220" t="s">
        <v>27</v>
      </c>
      <c r="K220" t="s">
        <v>189</v>
      </c>
      <c r="L220">
        <v>33763080.702281885</v>
      </c>
    </row>
    <row r="221" spans="1:12">
      <c r="A221" t="str">
        <f t="shared" si="6"/>
        <v>3.전체_재고금액3.전체_재고금액INV2014</v>
      </c>
      <c r="B221" t="str">
        <f t="shared" si="7"/>
        <v>3.전체_재고금액3.전체_재고금액INV201407</v>
      </c>
      <c r="F221" t="s">
        <v>177</v>
      </c>
      <c r="G221" t="s">
        <v>177</v>
      </c>
      <c r="H221" t="s">
        <v>307</v>
      </c>
      <c r="I221" t="s">
        <v>254</v>
      </c>
      <c r="J221" t="s">
        <v>28</v>
      </c>
      <c r="K221" t="s">
        <v>178</v>
      </c>
      <c r="L221">
        <v>37137316.792314202</v>
      </c>
    </row>
    <row r="222" spans="1:12">
      <c r="A222" t="str">
        <f t="shared" si="6"/>
        <v>3.전체_재고금액3.전체_재고금액INV_SEA2014</v>
      </c>
      <c r="B222" t="str">
        <f t="shared" si="7"/>
        <v>3.전체_재고금액3.전체_재고금액INV_SEA201407</v>
      </c>
      <c r="F222" t="s">
        <v>177</v>
      </c>
      <c r="G222" t="s">
        <v>177</v>
      </c>
      <c r="H222" t="s">
        <v>307</v>
      </c>
      <c r="I222" t="s">
        <v>254</v>
      </c>
      <c r="J222" t="s">
        <v>28</v>
      </c>
      <c r="K222" t="s">
        <v>188</v>
      </c>
      <c r="L222">
        <v>8581532.5636571348</v>
      </c>
    </row>
    <row r="223" spans="1:12">
      <c r="A223" t="str">
        <f t="shared" si="6"/>
        <v>3.전체_재고금액3.전체_재고금액INV_WH2014</v>
      </c>
      <c r="B223" t="str">
        <f t="shared" si="7"/>
        <v>3.전체_재고금액3.전체_재고금액INV_WH201407</v>
      </c>
      <c r="F223" t="s">
        <v>177</v>
      </c>
      <c r="G223" t="s">
        <v>177</v>
      </c>
      <c r="H223" t="s">
        <v>307</v>
      </c>
      <c r="I223" t="s">
        <v>254</v>
      </c>
      <c r="J223" t="s">
        <v>28</v>
      </c>
      <c r="K223" t="s">
        <v>189</v>
      </c>
      <c r="L223">
        <v>28555784.228657071</v>
      </c>
    </row>
    <row r="224" spans="1:12">
      <c r="A224" t="str">
        <f t="shared" si="6"/>
        <v>3.전체_재고금액3.전체_재고금액INV2014</v>
      </c>
      <c r="B224" t="str">
        <f t="shared" si="7"/>
        <v>3.전체_재고금액3.전체_재고금액INV201408</v>
      </c>
      <c r="F224" t="s">
        <v>177</v>
      </c>
      <c r="G224" t="s">
        <v>177</v>
      </c>
      <c r="H224" t="s">
        <v>307</v>
      </c>
      <c r="I224" t="s">
        <v>254</v>
      </c>
      <c r="J224" t="s">
        <v>29</v>
      </c>
      <c r="K224" t="s">
        <v>178</v>
      </c>
      <c r="L224">
        <v>44410250.350549161</v>
      </c>
    </row>
    <row r="225" spans="1:12">
      <c r="A225" t="str">
        <f t="shared" si="6"/>
        <v>3.전체_재고금액3.전체_재고금액INV_SEA2014</v>
      </c>
      <c r="B225" t="str">
        <f t="shared" si="7"/>
        <v>3.전체_재고금액3.전체_재고금액INV_SEA201408</v>
      </c>
      <c r="F225" t="s">
        <v>177</v>
      </c>
      <c r="G225" t="s">
        <v>177</v>
      </c>
      <c r="H225" t="s">
        <v>307</v>
      </c>
      <c r="I225" t="s">
        <v>254</v>
      </c>
      <c r="J225" t="s">
        <v>29</v>
      </c>
      <c r="K225" t="s">
        <v>188</v>
      </c>
      <c r="L225">
        <v>17798451.326613456</v>
      </c>
    </row>
    <row r="226" spans="1:12">
      <c r="A226" t="str">
        <f t="shared" si="6"/>
        <v>3.전체_재고금액3.전체_재고금액INV_WH2014</v>
      </c>
      <c r="B226" t="str">
        <f t="shared" si="7"/>
        <v>3.전체_재고금액3.전체_재고금액INV_WH201408</v>
      </c>
      <c r="F226" t="s">
        <v>177</v>
      </c>
      <c r="G226" t="s">
        <v>177</v>
      </c>
      <c r="H226" t="s">
        <v>307</v>
      </c>
      <c r="I226" t="s">
        <v>254</v>
      </c>
      <c r="J226" t="s">
        <v>29</v>
      </c>
      <c r="K226" t="s">
        <v>189</v>
      </c>
      <c r="L226">
        <v>26611799.023935631</v>
      </c>
    </row>
    <row r="227" spans="1:12">
      <c r="A227" t="str">
        <f t="shared" si="6"/>
        <v>3.전체_재고금액3.전체_재고금액INV2014</v>
      </c>
      <c r="B227" t="str">
        <f t="shared" si="7"/>
        <v>3.전체_재고금액3.전체_재고금액INV201409</v>
      </c>
      <c r="F227" t="s">
        <v>177</v>
      </c>
      <c r="G227" t="s">
        <v>177</v>
      </c>
      <c r="H227" t="s">
        <v>307</v>
      </c>
      <c r="I227" t="s">
        <v>254</v>
      </c>
      <c r="J227" t="s">
        <v>30</v>
      </c>
      <c r="K227" t="s">
        <v>178</v>
      </c>
      <c r="L227">
        <v>43506405.523398273</v>
      </c>
    </row>
    <row r="228" spans="1:12">
      <c r="A228" t="str">
        <f t="shared" si="6"/>
        <v>3.전체_재고금액3.전체_재고금액INV_SEA2014</v>
      </c>
      <c r="B228" t="str">
        <f t="shared" si="7"/>
        <v>3.전체_재고금액3.전체_재고금액INV_SEA201409</v>
      </c>
      <c r="F228" t="s">
        <v>177</v>
      </c>
      <c r="G228" t="s">
        <v>177</v>
      </c>
      <c r="H228" t="s">
        <v>307</v>
      </c>
      <c r="I228" t="s">
        <v>254</v>
      </c>
      <c r="J228" t="s">
        <v>30</v>
      </c>
      <c r="K228" t="s">
        <v>188</v>
      </c>
      <c r="L228">
        <v>19113468.988641731</v>
      </c>
    </row>
    <row r="229" spans="1:12">
      <c r="A229" t="str">
        <f t="shared" si="6"/>
        <v>3.전체_재고금액3.전체_재고금액INV_WH2014</v>
      </c>
      <c r="B229" t="str">
        <f t="shared" si="7"/>
        <v>3.전체_재고금액3.전체_재고금액INV_WH201409</v>
      </c>
      <c r="F229" t="s">
        <v>177</v>
      </c>
      <c r="G229" t="s">
        <v>177</v>
      </c>
      <c r="H229" t="s">
        <v>307</v>
      </c>
      <c r="I229" t="s">
        <v>254</v>
      </c>
      <c r="J229" t="s">
        <v>30</v>
      </c>
      <c r="K229" t="s">
        <v>189</v>
      </c>
      <c r="L229">
        <v>24392936.534756538</v>
      </c>
    </row>
    <row r="230" spans="1:12">
      <c r="A230" t="str">
        <f t="shared" si="6"/>
        <v>3.전체_재고금액3.전체_재고금액INV2014</v>
      </c>
      <c r="B230" t="str">
        <f t="shared" si="7"/>
        <v>3.전체_재고금액3.전체_재고금액INV201410</v>
      </c>
      <c r="F230" t="s">
        <v>177</v>
      </c>
      <c r="G230" t="s">
        <v>177</v>
      </c>
      <c r="H230" t="s">
        <v>307</v>
      </c>
      <c r="I230" t="s">
        <v>254</v>
      </c>
      <c r="J230" t="s">
        <v>31</v>
      </c>
      <c r="K230" t="s">
        <v>178</v>
      </c>
      <c r="L230">
        <v>56431582.748554982</v>
      </c>
    </row>
    <row r="231" spans="1:12">
      <c r="A231" t="str">
        <f t="shared" si="6"/>
        <v>3.전체_재고금액3.전체_재고금액INV_SEA2014</v>
      </c>
      <c r="B231" t="str">
        <f t="shared" si="7"/>
        <v>3.전체_재고금액3.전체_재고금액INV_SEA201410</v>
      </c>
      <c r="F231" t="s">
        <v>177</v>
      </c>
      <c r="G231" t="s">
        <v>177</v>
      </c>
      <c r="H231" t="s">
        <v>307</v>
      </c>
      <c r="I231" t="s">
        <v>254</v>
      </c>
      <c r="J231" t="s">
        <v>31</v>
      </c>
      <c r="K231" t="s">
        <v>188</v>
      </c>
      <c r="L231">
        <v>23057535.851281226</v>
      </c>
    </row>
    <row r="232" spans="1:12">
      <c r="A232" t="str">
        <f t="shared" si="6"/>
        <v>3.전체_재고금액3.전체_재고금액INV_WH2014</v>
      </c>
      <c r="B232" t="str">
        <f t="shared" si="7"/>
        <v>3.전체_재고금액3.전체_재고금액INV_WH201410</v>
      </c>
      <c r="F232" t="s">
        <v>177</v>
      </c>
      <c r="G232" t="s">
        <v>177</v>
      </c>
      <c r="H232" t="s">
        <v>307</v>
      </c>
      <c r="I232" t="s">
        <v>254</v>
      </c>
      <c r="J232" t="s">
        <v>31</v>
      </c>
      <c r="K232" t="s">
        <v>189</v>
      </c>
      <c r="L232">
        <v>33374046.897273805</v>
      </c>
    </row>
    <row r="233" spans="1:12">
      <c r="A233" t="str">
        <f t="shared" si="6"/>
        <v>3.전체_재고금액3.전체_재고금액INV2014</v>
      </c>
      <c r="B233" t="str">
        <f t="shared" si="7"/>
        <v>3.전체_재고금액3.전체_재고금액INV201411</v>
      </c>
      <c r="F233" t="s">
        <v>177</v>
      </c>
      <c r="G233" t="s">
        <v>177</v>
      </c>
      <c r="H233" t="s">
        <v>307</v>
      </c>
      <c r="I233" t="s">
        <v>254</v>
      </c>
      <c r="J233" t="s">
        <v>32</v>
      </c>
      <c r="K233" t="s">
        <v>178</v>
      </c>
      <c r="L233">
        <v>57797581.209667064</v>
      </c>
    </row>
    <row r="234" spans="1:12">
      <c r="A234" t="str">
        <f t="shared" si="6"/>
        <v>3.전체_재고금액3.전체_재고금액INV_SEA2014</v>
      </c>
      <c r="B234" t="str">
        <f t="shared" si="7"/>
        <v>3.전체_재고금액3.전체_재고금액INV_SEA201411</v>
      </c>
      <c r="F234" t="s">
        <v>177</v>
      </c>
      <c r="G234" t="s">
        <v>177</v>
      </c>
      <c r="H234" t="s">
        <v>307</v>
      </c>
      <c r="I234" t="s">
        <v>254</v>
      </c>
      <c r="J234" t="s">
        <v>32</v>
      </c>
      <c r="K234" t="s">
        <v>188</v>
      </c>
      <c r="L234">
        <v>30161820.811282154</v>
      </c>
    </row>
    <row r="235" spans="1:12">
      <c r="A235" t="str">
        <f t="shared" si="6"/>
        <v>3.전체_재고금액3.전체_재고금액INV_WH2014</v>
      </c>
      <c r="B235" t="str">
        <f t="shared" si="7"/>
        <v>3.전체_재고금액3.전체_재고금액INV_WH201411</v>
      </c>
      <c r="F235" t="s">
        <v>177</v>
      </c>
      <c r="G235" t="s">
        <v>177</v>
      </c>
      <c r="H235" t="s">
        <v>307</v>
      </c>
      <c r="I235" t="s">
        <v>254</v>
      </c>
      <c r="J235" t="s">
        <v>32</v>
      </c>
      <c r="K235" t="s">
        <v>189</v>
      </c>
      <c r="L235">
        <v>27635760.398384895</v>
      </c>
    </row>
    <row r="236" spans="1:12">
      <c r="A236" t="str">
        <f t="shared" si="6"/>
        <v>3.전체_재고금액3.전체_재고금액INV2014</v>
      </c>
      <c r="B236" t="str">
        <f t="shared" si="7"/>
        <v>3.전체_재고금액3.전체_재고금액INV201412</v>
      </c>
      <c r="F236" t="s">
        <v>177</v>
      </c>
      <c r="G236" t="s">
        <v>177</v>
      </c>
      <c r="H236" t="s">
        <v>307</v>
      </c>
      <c r="I236" t="s">
        <v>254</v>
      </c>
      <c r="J236" t="s">
        <v>33</v>
      </c>
      <c r="K236" t="s">
        <v>178</v>
      </c>
      <c r="L236">
        <v>39679259.836818151</v>
      </c>
    </row>
    <row r="237" spans="1:12">
      <c r="A237" t="str">
        <f t="shared" si="6"/>
        <v>3.전체_재고금액3.전체_재고금액INV_SEA2014</v>
      </c>
      <c r="B237" t="str">
        <f t="shared" si="7"/>
        <v>3.전체_재고금액3.전체_재고금액INV_SEA201412</v>
      </c>
      <c r="F237" t="s">
        <v>177</v>
      </c>
      <c r="G237" t="s">
        <v>177</v>
      </c>
      <c r="H237" t="s">
        <v>307</v>
      </c>
      <c r="I237" t="s">
        <v>254</v>
      </c>
      <c r="J237" t="s">
        <v>33</v>
      </c>
      <c r="K237" t="s">
        <v>188</v>
      </c>
      <c r="L237">
        <v>10391465.37925045</v>
      </c>
    </row>
    <row r="238" spans="1:12">
      <c r="A238" t="str">
        <f t="shared" si="6"/>
        <v>3.전체_재고금액3.전체_재고금액INV_WH2014</v>
      </c>
      <c r="B238" t="str">
        <f t="shared" si="7"/>
        <v>3.전체_재고금액3.전체_재고금액INV_WH201412</v>
      </c>
      <c r="F238" t="s">
        <v>177</v>
      </c>
      <c r="G238" t="s">
        <v>177</v>
      </c>
      <c r="H238" t="s">
        <v>307</v>
      </c>
      <c r="I238" t="s">
        <v>254</v>
      </c>
      <c r="J238" t="s">
        <v>33</v>
      </c>
      <c r="K238" t="s">
        <v>189</v>
      </c>
      <c r="L238">
        <v>29287794.457567725</v>
      </c>
    </row>
    <row r="239" spans="1:12">
      <c r="A239" t="str">
        <f t="shared" si="6"/>
        <v>3.전체_재고금액3.전체_재고금액INV2015</v>
      </c>
      <c r="B239" t="str">
        <f t="shared" si="7"/>
        <v>3.전체_재고금액3.전체_재고금액INV201501</v>
      </c>
      <c r="F239" t="s">
        <v>177</v>
      </c>
      <c r="G239" t="s">
        <v>177</v>
      </c>
      <c r="H239" t="s">
        <v>307</v>
      </c>
      <c r="I239" t="s">
        <v>260</v>
      </c>
      <c r="J239" t="s">
        <v>34</v>
      </c>
      <c r="K239" t="s">
        <v>178</v>
      </c>
      <c r="L239">
        <v>33431993.101939753</v>
      </c>
    </row>
    <row r="240" spans="1:12">
      <c r="A240" t="str">
        <f t="shared" si="6"/>
        <v>3.전체_재고금액3.전체_재고금액INV_SEA2015</v>
      </c>
      <c r="B240" t="str">
        <f t="shared" si="7"/>
        <v>3.전체_재고금액3.전체_재고금액INV_SEA201501</v>
      </c>
      <c r="F240" t="s">
        <v>177</v>
      </c>
      <c r="G240" t="s">
        <v>177</v>
      </c>
      <c r="H240" t="s">
        <v>307</v>
      </c>
      <c r="I240" t="s">
        <v>260</v>
      </c>
      <c r="J240" t="s">
        <v>34</v>
      </c>
      <c r="K240" t="s">
        <v>188</v>
      </c>
      <c r="L240">
        <v>12348430.302610185</v>
      </c>
    </row>
    <row r="241" spans="1:12">
      <c r="A241" t="str">
        <f t="shared" si="6"/>
        <v>3.전체_재고금액3.전체_재고금액INV_WH2015</v>
      </c>
      <c r="B241" t="str">
        <f t="shared" si="7"/>
        <v>3.전체_재고금액3.전체_재고금액INV_WH201501</v>
      </c>
      <c r="F241" t="s">
        <v>177</v>
      </c>
      <c r="G241" t="s">
        <v>177</v>
      </c>
      <c r="H241" t="s">
        <v>307</v>
      </c>
      <c r="I241" t="s">
        <v>260</v>
      </c>
      <c r="J241" t="s">
        <v>34</v>
      </c>
      <c r="K241" t="s">
        <v>189</v>
      </c>
      <c r="L241">
        <v>21083562.799329542</v>
      </c>
    </row>
    <row r="242" spans="1:12">
      <c r="A242" t="str">
        <f t="shared" si="6"/>
        <v>3.전체_재고금액3.전체_재고금액INV2015</v>
      </c>
      <c r="B242" t="str">
        <f t="shared" si="7"/>
        <v>3.전체_재고금액3.전체_재고금액INV201502</v>
      </c>
      <c r="F242" t="s">
        <v>177</v>
      </c>
      <c r="G242" t="s">
        <v>177</v>
      </c>
      <c r="H242" t="s">
        <v>307</v>
      </c>
      <c r="I242" t="s">
        <v>260</v>
      </c>
      <c r="J242" t="s">
        <v>35</v>
      </c>
      <c r="K242" t="s">
        <v>178</v>
      </c>
      <c r="L242">
        <v>34734507.486577749</v>
      </c>
    </row>
    <row r="243" spans="1:12">
      <c r="A243" t="str">
        <f t="shared" si="6"/>
        <v>3.전체_재고금액3.전체_재고금액INV_SEA2015</v>
      </c>
      <c r="B243" t="str">
        <f t="shared" si="7"/>
        <v>3.전체_재고금액3.전체_재고금액INV_SEA201502</v>
      </c>
      <c r="F243" t="s">
        <v>177</v>
      </c>
      <c r="G243" t="s">
        <v>177</v>
      </c>
      <c r="H243" t="s">
        <v>307</v>
      </c>
      <c r="I243" t="s">
        <v>260</v>
      </c>
      <c r="J243" t="s">
        <v>35</v>
      </c>
      <c r="K243" t="s">
        <v>188</v>
      </c>
      <c r="L243">
        <v>12504810.761991823</v>
      </c>
    </row>
    <row r="244" spans="1:12">
      <c r="A244" t="str">
        <f t="shared" si="6"/>
        <v>3.전체_재고금액3.전체_재고금액INV_WH2015</v>
      </c>
      <c r="B244" t="str">
        <f t="shared" si="7"/>
        <v>3.전체_재고금액3.전체_재고금액INV_WH201502</v>
      </c>
      <c r="F244" t="s">
        <v>177</v>
      </c>
      <c r="G244" t="s">
        <v>177</v>
      </c>
      <c r="H244" t="s">
        <v>307</v>
      </c>
      <c r="I244" t="s">
        <v>260</v>
      </c>
      <c r="J244" t="s">
        <v>35</v>
      </c>
      <c r="K244" t="s">
        <v>189</v>
      </c>
      <c r="L244">
        <v>22229696.724585969</v>
      </c>
    </row>
    <row r="245" spans="1:12">
      <c r="A245" t="str">
        <f t="shared" si="6"/>
        <v>3.전체_재고금액3.전체_재고금액INV2015</v>
      </c>
      <c r="B245" t="str">
        <f t="shared" si="7"/>
        <v>3.전체_재고금액3.전체_재고금액INV201503</v>
      </c>
      <c r="F245" t="s">
        <v>177</v>
      </c>
      <c r="G245" t="s">
        <v>177</v>
      </c>
      <c r="H245" t="s">
        <v>307</v>
      </c>
      <c r="I245" t="s">
        <v>260</v>
      </c>
      <c r="J245" t="s">
        <v>36</v>
      </c>
      <c r="K245" t="s">
        <v>178</v>
      </c>
      <c r="L245">
        <v>33386159.142985381</v>
      </c>
    </row>
    <row r="246" spans="1:12">
      <c r="A246" t="str">
        <f t="shared" si="6"/>
        <v>3.전체_재고금액3.전체_재고금액INV_SEA2015</v>
      </c>
      <c r="B246" t="str">
        <f t="shared" si="7"/>
        <v>3.전체_재고금액3.전체_재고금액INV_SEA201503</v>
      </c>
      <c r="F246" t="s">
        <v>177</v>
      </c>
      <c r="G246" t="s">
        <v>177</v>
      </c>
      <c r="H246" t="s">
        <v>307</v>
      </c>
      <c r="I246" t="s">
        <v>260</v>
      </c>
      <c r="J246" t="s">
        <v>36</v>
      </c>
      <c r="K246" t="s">
        <v>188</v>
      </c>
      <c r="L246">
        <v>12031532.781683248</v>
      </c>
    </row>
    <row r="247" spans="1:12">
      <c r="A247" t="str">
        <f t="shared" si="6"/>
        <v>3.전체_재고금액3.전체_재고금액INV_WH2015</v>
      </c>
      <c r="B247" t="str">
        <f t="shared" si="7"/>
        <v>3.전체_재고금액3.전체_재고금액INV_WH201503</v>
      </c>
      <c r="F247" t="s">
        <v>177</v>
      </c>
      <c r="G247" t="s">
        <v>177</v>
      </c>
      <c r="H247" t="s">
        <v>307</v>
      </c>
      <c r="I247" t="s">
        <v>260</v>
      </c>
      <c r="J247" t="s">
        <v>36</v>
      </c>
      <c r="K247" t="s">
        <v>189</v>
      </c>
      <c r="L247">
        <v>21354626.361302122</v>
      </c>
    </row>
    <row r="248" spans="1:12">
      <c r="A248" t="str">
        <f t="shared" si="6"/>
        <v>3.전체_재고금액3.전체_재고금액INV2015</v>
      </c>
      <c r="B248" t="str">
        <f t="shared" si="7"/>
        <v>3.전체_재고금액3.전체_재고금액INV201504</v>
      </c>
      <c r="F248" t="s">
        <v>177</v>
      </c>
      <c r="G248" t="s">
        <v>177</v>
      </c>
      <c r="H248" t="s">
        <v>307</v>
      </c>
      <c r="I248" t="s">
        <v>260</v>
      </c>
      <c r="J248" t="s">
        <v>37</v>
      </c>
      <c r="K248" t="s">
        <v>178</v>
      </c>
      <c r="L248">
        <v>34131151.183801621</v>
      </c>
    </row>
    <row r="249" spans="1:12">
      <c r="A249" t="str">
        <f t="shared" si="6"/>
        <v>3.전체_재고금액3.전체_재고금액INV_SEA2015</v>
      </c>
      <c r="B249" t="str">
        <f t="shared" si="7"/>
        <v>3.전체_재고금액3.전체_재고금액INV_SEA201504</v>
      </c>
      <c r="F249" t="s">
        <v>177</v>
      </c>
      <c r="G249" t="s">
        <v>177</v>
      </c>
      <c r="H249" t="s">
        <v>307</v>
      </c>
      <c r="I249" t="s">
        <v>260</v>
      </c>
      <c r="J249" t="s">
        <v>37</v>
      </c>
      <c r="K249" t="s">
        <v>188</v>
      </c>
      <c r="L249">
        <v>11265649.869273011</v>
      </c>
    </row>
    <row r="250" spans="1:12">
      <c r="A250" t="str">
        <f t="shared" si="6"/>
        <v>3.전체_재고금액3.전체_재고금액INV_WH2015</v>
      </c>
      <c r="B250" t="str">
        <f t="shared" si="7"/>
        <v>3.전체_재고금액3.전체_재고금액INV_WH201504</v>
      </c>
      <c r="F250" t="s">
        <v>177</v>
      </c>
      <c r="G250" t="s">
        <v>177</v>
      </c>
      <c r="H250" t="s">
        <v>307</v>
      </c>
      <c r="I250" t="s">
        <v>260</v>
      </c>
      <c r="J250" t="s">
        <v>37</v>
      </c>
      <c r="K250" t="s">
        <v>189</v>
      </c>
      <c r="L250">
        <v>22865501.314528573</v>
      </c>
    </row>
    <row r="251" spans="1:12">
      <c r="A251" t="str">
        <f t="shared" si="6"/>
        <v>3.전체_재고금액3.전체_재고금액INV2015</v>
      </c>
      <c r="B251" t="str">
        <f t="shared" si="7"/>
        <v>3.전체_재고금액3.전체_재고금액INV201505</v>
      </c>
      <c r="F251" t="s">
        <v>177</v>
      </c>
      <c r="G251" t="s">
        <v>177</v>
      </c>
      <c r="H251" t="s">
        <v>307</v>
      </c>
      <c r="I251" t="s">
        <v>260</v>
      </c>
      <c r="J251" t="s">
        <v>38</v>
      </c>
      <c r="K251" t="s">
        <v>178</v>
      </c>
      <c r="L251">
        <v>35980789.804901585</v>
      </c>
    </row>
    <row r="252" spans="1:12">
      <c r="A252" t="str">
        <f t="shared" si="6"/>
        <v>3.전체_재고금액3.전체_재고금액INV_SEA2015</v>
      </c>
      <c r="B252" t="str">
        <f t="shared" si="7"/>
        <v>3.전체_재고금액3.전체_재고금액INV_SEA201505</v>
      </c>
      <c r="F252" t="s">
        <v>177</v>
      </c>
      <c r="G252" t="s">
        <v>177</v>
      </c>
      <c r="H252" t="s">
        <v>307</v>
      </c>
      <c r="I252" t="s">
        <v>260</v>
      </c>
      <c r="J252" t="s">
        <v>38</v>
      </c>
      <c r="K252" t="s">
        <v>188</v>
      </c>
      <c r="L252">
        <v>13483767.664259383</v>
      </c>
    </row>
    <row r="253" spans="1:12">
      <c r="A253" t="str">
        <f t="shared" si="6"/>
        <v>3.전체_재고금액3.전체_재고금액INV_WH2015</v>
      </c>
      <c r="B253" t="str">
        <f t="shared" si="7"/>
        <v>3.전체_재고금액3.전체_재고금액INV_WH201505</v>
      </c>
      <c r="F253" t="s">
        <v>177</v>
      </c>
      <c r="G253" t="s">
        <v>177</v>
      </c>
      <c r="H253" t="s">
        <v>307</v>
      </c>
      <c r="I253" t="s">
        <v>260</v>
      </c>
      <c r="J253" t="s">
        <v>38</v>
      </c>
      <c r="K253" t="s">
        <v>189</v>
      </c>
      <c r="L253">
        <v>22497022.140642237</v>
      </c>
    </row>
    <row r="254" spans="1:12">
      <c r="A254" t="str">
        <f t="shared" si="6"/>
        <v>3.전체_재고금액3.전체_재고금액INV2015</v>
      </c>
      <c r="B254" t="str">
        <f t="shared" si="7"/>
        <v>3.전체_재고금액3.전체_재고금액INV201506</v>
      </c>
      <c r="F254" t="s">
        <v>177</v>
      </c>
      <c r="G254" t="s">
        <v>177</v>
      </c>
      <c r="H254" t="s">
        <v>307</v>
      </c>
      <c r="I254" t="s">
        <v>260</v>
      </c>
      <c r="J254" t="s">
        <v>39</v>
      </c>
      <c r="K254" t="s">
        <v>178</v>
      </c>
      <c r="L254">
        <v>36715932.398807481</v>
      </c>
    </row>
    <row r="255" spans="1:12">
      <c r="A255" t="str">
        <f t="shared" si="6"/>
        <v>3.전체_재고금액3.전체_재고금액INV_SEA2015</v>
      </c>
      <c r="B255" t="str">
        <f t="shared" si="7"/>
        <v>3.전체_재고금액3.전체_재고금액INV_SEA201506</v>
      </c>
      <c r="F255" t="s">
        <v>177</v>
      </c>
      <c r="G255" t="s">
        <v>177</v>
      </c>
      <c r="H255" t="s">
        <v>307</v>
      </c>
      <c r="I255" t="s">
        <v>260</v>
      </c>
      <c r="J255" t="s">
        <v>39</v>
      </c>
      <c r="K255" t="s">
        <v>188</v>
      </c>
      <c r="L255">
        <v>8122996.5857868437</v>
      </c>
    </row>
    <row r="256" spans="1:12">
      <c r="A256" t="str">
        <f t="shared" si="6"/>
        <v>3.전체_재고금액3.전체_재고금액INV_WH2015</v>
      </c>
      <c r="B256" t="str">
        <f t="shared" si="7"/>
        <v>3.전체_재고금액3.전체_재고금액INV_WH201506</v>
      </c>
      <c r="F256" t="s">
        <v>177</v>
      </c>
      <c r="G256" t="s">
        <v>177</v>
      </c>
      <c r="H256" t="s">
        <v>307</v>
      </c>
      <c r="I256" t="s">
        <v>260</v>
      </c>
      <c r="J256" t="s">
        <v>39</v>
      </c>
      <c r="K256" t="s">
        <v>189</v>
      </c>
      <c r="L256">
        <v>28592935.813020594</v>
      </c>
    </row>
    <row r="257" spans="1:12">
      <c r="A257" t="str">
        <f t="shared" si="6"/>
        <v>3.전체_재고금액3.전체_재고금액INV2015</v>
      </c>
      <c r="B257" t="str">
        <f t="shared" si="7"/>
        <v>3.전체_재고금액3.전체_재고금액INV201507</v>
      </c>
      <c r="F257" t="s">
        <v>177</v>
      </c>
      <c r="G257" t="s">
        <v>177</v>
      </c>
      <c r="H257" t="s">
        <v>307</v>
      </c>
      <c r="I257" t="s">
        <v>260</v>
      </c>
      <c r="J257" t="s">
        <v>40</v>
      </c>
      <c r="K257" t="s">
        <v>178</v>
      </c>
      <c r="L257">
        <v>37512058.256309867</v>
      </c>
    </row>
    <row r="258" spans="1:12">
      <c r="A258" t="str">
        <f t="shared" si="6"/>
        <v>3.전체_재고금액3.전체_재고금액INV_SEA2015</v>
      </c>
      <c r="B258" t="str">
        <f t="shared" si="7"/>
        <v>3.전체_재고금액3.전체_재고금액INV_SEA201507</v>
      </c>
      <c r="F258" t="s">
        <v>177</v>
      </c>
      <c r="G258" t="s">
        <v>177</v>
      </c>
      <c r="H258" t="s">
        <v>307</v>
      </c>
      <c r="I258" t="s">
        <v>260</v>
      </c>
      <c r="J258" t="s">
        <v>40</v>
      </c>
      <c r="K258" t="s">
        <v>188</v>
      </c>
      <c r="L258">
        <v>5488196.9664919898</v>
      </c>
    </row>
    <row r="259" spans="1:12">
      <c r="A259" t="str">
        <f t="shared" si="6"/>
        <v>3.전체_재고금액3.전체_재고금액INV_WH2015</v>
      </c>
      <c r="B259" t="str">
        <f t="shared" si="7"/>
        <v>3.전체_재고금액3.전체_재고금액INV_WH201507</v>
      </c>
      <c r="F259" t="s">
        <v>177</v>
      </c>
      <c r="G259" t="s">
        <v>177</v>
      </c>
      <c r="H259" t="s">
        <v>307</v>
      </c>
      <c r="I259" t="s">
        <v>260</v>
      </c>
      <c r="J259" t="s">
        <v>40</v>
      </c>
      <c r="K259" t="s">
        <v>189</v>
      </c>
      <c r="L259">
        <v>32023861.289817877</v>
      </c>
    </row>
    <row r="260" spans="1:12">
      <c r="A260" t="str">
        <f t="shared" si="6"/>
        <v>3.전체_재고금액3.전체_재고금액INV2015</v>
      </c>
      <c r="B260" t="str">
        <f t="shared" si="7"/>
        <v>3.전체_재고금액3.전체_재고금액INV201508</v>
      </c>
      <c r="F260" t="s">
        <v>177</v>
      </c>
      <c r="G260" t="s">
        <v>177</v>
      </c>
      <c r="H260" t="s">
        <v>307</v>
      </c>
      <c r="I260" t="s">
        <v>260</v>
      </c>
      <c r="J260" t="s">
        <v>41</v>
      </c>
      <c r="K260" t="s">
        <v>178</v>
      </c>
      <c r="L260">
        <v>29286236.206257559</v>
      </c>
    </row>
    <row r="261" spans="1:12">
      <c r="A261" t="str">
        <f t="shared" si="6"/>
        <v>3.전체_재고금액3.전체_재고금액INV_SEA2015</v>
      </c>
      <c r="B261" t="str">
        <f t="shared" si="7"/>
        <v>3.전체_재고금액3.전체_재고금액INV_SEA201508</v>
      </c>
      <c r="F261" t="s">
        <v>177</v>
      </c>
      <c r="G261" t="s">
        <v>177</v>
      </c>
      <c r="H261" t="s">
        <v>307</v>
      </c>
      <c r="I261" t="s">
        <v>260</v>
      </c>
      <c r="J261" t="s">
        <v>41</v>
      </c>
      <c r="K261" t="s">
        <v>188</v>
      </c>
      <c r="L261">
        <v>10867086.526822329</v>
      </c>
    </row>
    <row r="262" spans="1:12">
      <c r="A262" t="str">
        <f t="shared" si="6"/>
        <v>3.전체_재고금액3.전체_재고금액INV_WH2015</v>
      </c>
      <c r="B262" t="str">
        <f t="shared" si="7"/>
        <v>3.전체_재고금액3.전체_재고금액INV_WH201508</v>
      </c>
      <c r="F262" t="s">
        <v>177</v>
      </c>
      <c r="G262" t="s">
        <v>177</v>
      </c>
      <c r="H262" t="s">
        <v>307</v>
      </c>
      <c r="I262" t="s">
        <v>260</v>
      </c>
      <c r="J262" t="s">
        <v>41</v>
      </c>
      <c r="K262" t="s">
        <v>189</v>
      </c>
      <c r="L262">
        <v>18419149.679435264</v>
      </c>
    </row>
    <row r="263" spans="1:12">
      <c r="A263" t="str">
        <f t="shared" ref="A263:A326" si="8">F263&amp;G263&amp;K263&amp;I263</f>
        <v>3.전체_재고금액3.전체_재고금액INV2015</v>
      </c>
      <c r="B263" t="str">
        <f t="shared" ref="B263:B326" si="9">F263&amp;G263&amp;K263&amp;J263</f>
        <v>3.전체_재고금액3.전체_재고금액INV201509</v>
      </c>
      <c r="F263" t="s">
        <v>177</v>
      </c>
      <c r="G263" t="s">
        <v>177</v>
      </c>
      <c r="H263" t="s">
        <v>307</v>
      </c>
      <c r="I263" t="s">
        <v>260</v>
      </c>
      <c r="J263" t="s">
        <v>42</v>
      </c>
      <c r="K263" t="s">
        <v>178</v>
      </c>
      <c r="L263">
        <v>32247586.473248847</v>
      </c>
    </row>
    <row r="264" spans="1:12">
      <c r="A264" t="str">
        <f t="shared" si="8"/>
        <v>3.전체_재고금액3.전체_재고금액INV_SEA2015</v>
      </c>
      <c r="B264" t="str">
        <f t="shared" si="9"/>
        <v>3.전체_재고금액3.전체_재고금액INV_SEA201509</v>
      </c>
      <c r="F264" t="s">
        <v>177</v>
      </c>
      <c r="G264" t="s">
        <v>177</v>
      </c>
      <c r="H264" t="s">
        <v>307</v>
      </c>
      <c r="I264" t="s">
        <v>260</v>
      </c>
      <c r="J264" t="s">
        <v>42</v>
      </c>
      <c r="K264" t="s">
        <v>188</v>
      </c>
      <c r="L264">
        <v>10528294.095544247</v>
      </c>
    </row>
    <row r="265" spans="1:12">
      <c r="A265" t="str">
        <f t="shared" si="8"/>
        <v>3.전체_재고금액3.전체_재고금액INV_WH2015</v>
      </c>
      <c r="B265" t="str">
        <f t="shared" si="9"/>
        <v>3.전체_재고금액3.전체_재고금액INV_WH201509</v>
      </c>
      <c r="F265" t="s">
        <v>177</v>
      </c>
      <c r="G265" t="s">
        <v>177</v>
      </c>
      <c r="H265" t="s">
        <v>307</v>
      </c>
      <c r="I265" t="s">
        <v>260</v>
      </c>
      <c r="J265" t="s">
        <v>42</v>
      </c>
      <c r="K265" t="s">
        <v>189</v>
      </c>
      <c r="L265">
        <v>21719292.377704654</v>
      </c>
    </row>
    <row r="266" spans="1:12">
      <c r="A266" t="str">
        <f t="shared" si="8"/>
        <v>3.전체_재고금액3.전체_재고금액INV2015</v>
      </c>
      <c r="B266" t="str">
        <f t="shared" si="9"/>
        <v>3.전체_재고금액3.전체_재고금액INV201510</v>
      </c>
      <c r="F266" t="s">
        <v>177</v>
      </c>
      <c r="G266" t="s">
        <v>177</v>
      </c>
      <c r="H266" t="s">
        <v>307</v>
      </c>
      <c r="I266" t="s">
        <v>260</v>
      </c>
      <c r="J266" t="s">
        <v>1</v>
      </c>
      <c r="K266" t="s">
        <v>178</v>
      </c>
      <c r="L266">
        <v>49135445.637650497</v>
      </c>
    </row>
    <row r="267" spans="1:12">
      <c r="A267" t="str">
        <f t="shared" si="8"/>
        <v>3.전체_재고금액3.전체_재고금액INV_SEA2015</v>
      </c>
      <c r="B267" t="str">
        <f t="shared" si="9"/>
        <v>3.전체_재고금액3.전체_재고금액INV_SEA201510</v>
      </c>
      <c r="F267" t="s">
        <v>177</v>
      </c>
      <c r="G267" t="s">
        <v>177</v>
      </c>
      <c r="H267" t="s">
        <v>307</v>
      </c>
      <c r="I267" t="s">
        <v>260</v>
      </c>
      <c r="J267" t="s">
        <v>1</v>
      </c>
      <c r="K267" t="s">
        <v>188</v>
      </c>
      <c r="L267">
        <v>27667972.506989036</v>
      </c>
    </row>
    <row r="268" spans="1:12">
      <c r="A268" t="str">
        <f t="shared" si="8"/>
        <v>3.전체_재고금액3.전체_재고금액INV_WH2015</v>
      </c>
      <c r="B268" t="str">
        <f t="shared" si="9"/>
        <v>3.전체_재고금액3.전체_재고금액INV_WH201510</v>
      </c>
      <c r="F268" t="s">
        <v>177</v>
      </c>
      <c r="G268" t="s">
        <v>177</v>
      </c>
      <c r="H268" t="s">
        <v>307</v>
      </c>
      <c r="I268" t="s">
        <v>260</v>
      </c>
      <c r="J268" t="s">
        <v>1</v>
      </c>
      <c r="K268" t="s">
        <v>189</v>
      </c>
      <c r="L268">
        <v>21467473.130661458</v>
      </c>
    </row>
    <row r="269" spans="1:12">
      <c r="A269" t="str">
        <f t="shared" si="8"/>
        <v>4.전체_장기재고금액4.전체_장기재고금액INV_LONG_TERM2014</v>
      </c>
      <c r="B269" t="str">
        <f t="shared" si="9"/>
        <v>4.전체_장기재고금액4.전체_장기재고금액INV_LONG_TERM201401</v>
      </c>
      <c r="F269" t="s">
        <v>182</v>
      </c>
      <c r="G269" t="s">
        <v>182</v>
      </c>
      <c r="H269" t="s">
        <v>307</v>
      </c>
      <c r="I269" t="s">
        <v>254</v>
      </c>
      <c r="J269" t="s">
        <v>22</v>
      </c>
      <c r="K269" t="s">
        <v>183</v>
      </c>
      <c r="L269">
        <v>484219.60721117473</v>
      </c>
    </row>
    <row r="270" spans="1:12">
      <c r="A270" t="str">
        <f t="shared" si="8"/>
        <v>4.전체_장기재고금액4.전체_장기재고금액INV_LONG_TERM_13_Over2014</v>
      </c>
      <c r="B270" t="str">
        <f t="shared" si="9"/>
        <v>4.전체_장기재고금액4.전체_장기재고금액INV_LONG_TERM_13_Over201401</v>
      </c>
      <c r="F270" t="s">
        <v>182</v>
      </c>
      <c r="G270" t="s">
        <v>182</v>
      </c>
      <c r="H270" t="s">
        <v>307</v>
      </c>
      <c r="I270" t="s">
        <v>254</v>
      </c>
      <c r="J270" t="s">
        <v>22</v>
      </c>
      <c r="K270" t="s">
        <v>184</v>
      </c>
      <c r="L270">
        <v>12835.57113111563</v>
      </c>
    </row>
    <row r="271" spans="1:12">
      <c r="A271" t="str">
        <f t="shared" si="8"/>
        <v>4.전체_장기재고금액4.전체_장기재고금액INV_LONG_TERM_3_62014</v>
      </c>
      <c r="B271" t="str">
        <f t="shared" si="9"/>
        <v>4.전체_장기재고금액4.전체_장기재고금액INV_LONG_TERM_3_6201401</v>
      </c>
      <c r="F271" t="s">
        <v>182</v>
      </c>
      <c r="G271" t="s">
        <v>182</v>
      </c>
      <c r="H271" t="s">
        <v>307</v>
      </c>
      <c r="I271" t="s">
        <v>254</v>
      </c>
      <c r="J271" t="s">
        <v>22</v>
      </c>
      <c r="K271" t="s">
        <v>185</v>
      </c>
      <c r="L271">
        <v>460269.58039269887</v>
      </c>
    </row>
    <row r="272" spans="1:12">
      <c r="A272" t="str">
        <f t="shared" si="8"/>
        <v>4.전체_장기재고금액4.전체_장기재고금액INV_LONG_TERM_7_122014</v>
      </c>
      <c r="B272" t="str">
        <f t="shared" si="9"/>
        <v>4.전체_장기재고금액4.전체_장기재고금액INV_LONG_TERM_7_12201401</v>
      </c>
      <c r="F272" t="s">
        <v>182</v>
      </c>
      <c r="G272" t="s">
        <v>182</v>
      </c>
      <c r="H272" t="s">
        <v>307</v>
      </c>
      <c r="I272" t="s">
        <v>254</v>
      </c>
      <c r="J272" t="s">
        <v>22</v>
      </c>
      <c r="K272" t="s">
        <v>186</v>
      </c>
      <c r="L272">
        <v>12453.417607209036</v>
      </c>
    </row>
    <row r="273" spans="1:12">
      <c r="A273" t="str">
        <f t="shared" si="8"/>
        <v>4.전체_장기재고금액4.전체_장기재고금액INV_LONG_TERM_AGING2014</v>
      </c>
      <c r="B273" t="str">
        <f t="shared" si="9"/>
        <v>4.전체_장기재고금액4.전체_장기재고금액INV_LONG_TERM_AGING201401</v>
      </c>
      <c r="F273" t="s">
        <v>182</v>
      </c>
      <c r="G273" t="s">
        <v>182</v>
      </c>
      <c r="H273" t="s">
        <v>307</v>
      </c>
      <c r="I273" t="s">
        <v>254</v>
      </c>
      <c r="J273" t="s">
        <v>22</v>
      </c>
      <c r="K273" t="s">
        <v>256</v>
      </c>
      <c r="L273">
        <v>23323768.449133702</v>
      </c>
    </row>
    <row r="274" spans="1:12">
      <c r="A274" t="str">
        <f t="shared" si="8"/>
        <v>4.전체_장기재고금액4.전체_장기재고금액INV_LONG_TERM_MTL2014</v>
      </c>
      <c r="B274" t="str">
        <f t="shared" si="9"/>
        <v>4.전체_장기재고금액4.전체_장기재고금액INV_LONG_TERM_MTL201401</v>
      </c>
      <c r="F274" t="s">
        <v>182</v>
      </c>
      <c r="G274" t="s">
        <v>182</v>
      </c>
      <c r="H274" t="s">
        <v>307</v>
      </c>
      <c r="I274" t="s">
        <v>254</v>
      </c>
      <c r="J274" t="s">
        <v>22</v>
      </c>
      <c r="K274" t="s">
        <v>187</v>
      </c>
      <c r="L274">
        <v>3668662.7475480908</v>
      </c>
    </row>
    <row r="275" spans="1:12">
      <c r="A275" t="str">
        <f t="shared" si="8"/>
        <v>4.전체_장기재고금액4.전체_장기재고금액INV_LONG_TERM_MTL_13_Over2014</v>
      </c>
      <c r="B275" t="str">
        <f t="shared" si="9"/>
        <v>4.전체_장기재고금액4.전체_장기재고금액INV_LONG_TERM_MTL_13_Over201401</v>
      </c>
      <c r="F275" t="s">
        <v>182</v>
      </c>
      <c r="G275" t="s">
        <v>182</v>
      </c>
      <c r="H275" t="s">
        <v>307</v>
      </c>
      <c r="I275" t="s">
        <v>254</v>
      </c>
      <c r="J275" t="s">
        <v>22</v>
      </c>
      <c r="K275" t="s">
        <v>257</v>
      </c>
      <c r="L275">
        <v>0</v>
      </c>
    </row>
    <row r="276" spans="1:12">
      <c r="A276" t="str">
        <f t="shared" si="8"/>
        <v>4.전체_장기재고금액4.전체_장기재고금액INV_LONG_TERM_MTL_3_62014</v>
      </c>
      <c r="B276" t="str">
        <f t="shared" si="9"/>
        <v>4.전체_장기재고금액4.전체_장기재고금액INV_LONG_TERM_MTL_3_6201401</v>
      </c>
      <c r="F276" t="s">
        <v>182</v>
      </c>
      <c r="G276" t="s">
        <v>182</v>
      </c>
      <c r="H276" t="s">
        <v>307</v>
      </c>
      <c r="I276" t="s">
        <v>254</v>
      </c>
      <c r="J276" t="s">
        <v>22</v>
      </c>
      <c r="K276" t="s">
        <v>258</v>
      </c>
      <c r="L276">
        <v>0</v>
      </c>
    </row>
    <row r="277" spans="1:12">
      <c r="A277" t="str">
        <f t="shared" si="8"/>
        <v>4.전체_장기재고금액4.전체_장기재고금액INV_LONG_TERM_MTL_7_122014</v>
      </c>
      <c r="B277" t="str">
        <f t="shared" si="9"/>
        <v>4.전체_장기재고금액4.전체_장기재고금액INV_LONG_TERM_MTL_7_12201401</v>
      </c>
      <c r="F277" t="s">
        <v>182</v>
      </c>
      <c r="G277" t="s">
        <v>182</v>
      </c>
      <c r="H277" t="s">
        <v>307</v>
      </c>
      <c r="I277" t="s">
        <v>254</v>
      </c>
      <c r="J277" t="s">
        <v>22</v>
      </c>
      <c r="K277" t="s">
        <v>259</v>
      </c>
      <c r="L277">
        <v>0</v>
      </c>
    </row>
    <row r="278" spans="1:12">
      <c r="A278" t="str">
        <f t="shared" si="8"/>
        <v>4.전체_장기재고금액4.전체_장기재고금액INV_LONG_TERM2014</v>
      </c>
      <c r="B278" t="str">
        <f t="shared" si="9"/>
        <v>4.전체_장기재고금액4.전체_장기재고금액INV_LONG_TERM201402</v>
      </c>
      <c r="F278" t="s">
        <v>182</v>
      </c>
      <c r="G278" t="s">
        <v>182</v>
      </c>
      <c r="H278" t="s">
        <v>307</v>
      </c>
      <c r="I278" t="s">
        <v>254</v>
      </c>
      <c r="J278" t="s">
        <v>23</v>
      </c>
      <c r="K278" t="s">
        <v>183</v>
      </c>
      <c r="L278">
        <v>621581.29439308727</v>
      </c>
    </row>
    <row r="279" spans="1:12">
      <c r="A279" t="str">
        <f t="shared" si="8"/>
        <v>4.전체_장기재고금액4.전체_장기재고금액INV_LONG_TERM_13_Over2014</v>
      </c>
      <c r="B279" t="str">
        <f t="shared" si="9"/>
        <v>4.전체_장기재고금액4.전체_장기재고금액INV_LONG_TERM_13_Over201402</v>
      </c>
      <c r="F279" t="s">
        <v>182</v>
      </c>
      <c r="G279" t="s">
        <v>182</v>
      </c>
      <c r="H279" t="s">
        <v>307</v>
      </c>
      <c r="I279" t="s">
        <v>254</v>
      </c>
      <c r="J279" t="s">
        <v>23</v>
      </c>
      <c r="K279" t="s">
        <v>184</v>
      </c>
      <c r="L279">
        <v>13043.425764540631</v>
      </c>
    </row>
    <row r="280" spans="1:12">
      <c r="A280" t="str">
        <f t="shared" si="8"/>
        <v>4.전체_장기재고금액4.전체_장기재고금액INV_LONG_TERM_3_62014</v>
      </c>
      <c r="B280" t="str">
        <f t="shared" si="9"/>
        <v>4.전체_장기재고금액4.전체_장기재고금액INV_LONG_TERM_3_6201402</v>
      </c>
      <c r="F280" t="s">
        <v>182</v>
      </c>
      <c r="G280" t="s">
        <v>182</v>
      </c>
      <c r="H280" t="s">
        <v>307</v>
      </c>
      <c r="I280" t="s">
        <v>254</v>
      </c>
      <c r="J280" t="s">
        <v>23</v>
      </c>
      <c r="K280" t="s">
        <v>185</v>
      </c>
      <c r="L280">
        <v>600074.37580284686</v>
      </c>
    </row>
    <row r="281" spans="1:12">
      <c r="A281" t="str">
        <f t="shared" si="8"/>
        <v>4.전체_장기재고금액4.전체_장기재고금액INV_LONG_TERM_7_122014</v>
      </c>
      <c r="B281" t="str">
        <f t="shared" si="9"/>
        <v>4.전체_장기재고금액4.전체_장기재고금액INV_LONG_TERM_7_12201402</v>
      </c>
      <c r="F281" t="s">
        <v>182</v>
      </c>
      <c r="G281" t="s">
        <v>182</v>
      </c>
      <c r="H281" t="s">
        <v>307</v>
      </c>
      <c r="I281" t="s">
        <v>254</v>
      </c>
      <c r="J281" t="s">
        <v>23</v>
      </c>
      <c r="K281" t="s">
        <v>186</v>
      </c>
      <c r="L281">
        <v>9247.8721834785028</v>
      </c>
    </row>
    <row r="282" spans="1:12">
      <c r="A282" t="str">
        <f t="shared" si="8"/>
        <v>4.전체_장기재고금액4.전체_장기재고금액INV_LONG_TERM_AGING2014</v>
      </c>
      <c r="B282" t="str">
        <f t="shared" si="9"/>
        <v>4.전체_장기재고금액4.전체_장기재고금액INV_LONG_TERM_AGING201402</v>
      </c>
      <c r="F282" t="s">
        <v>182</v>
      </c>
      <c r="G282" t="s">
        <v>182</v>
      </c>
      <c r="H282" t="s">
        <v>307</v>
      </c>
      <c r="I282" t="s">
        <v>254</v>
      </c>
      <c r="J282" t="s">
        <v>23</v>
      </c>
      <c r="K282" t="s">
        <v>256</v>
      </c>
      <c r="L282">
        <v>21820805.872743182</v>
      </c>
    </row>
    <row r="283" spans="1:12">
      <c r="A283" t="str">
        <f t="shared" si="8"/>
        <v>4.전체_장기재고금액4.전체_장기재고금액INV_LONG_TERM_MTL2014</v>
      </c>
      <c r="B283" t="str">
        <f t="shared" si="9"/>
        <v>4.전체_장기재고금액4.전체_장기재고금액INV_LONG_TERM_MTL201402</v>
      </c>
      <c r="F283" t="s">
        <v>182</v>
      </c>
      <c r="G283" t="s">
        <v>182</v>
      </c>
      <c r="H283" t="s">
        <v>307</v>
      </c>
      <c r="I283" t="s">
        <v>254</v>
      </c>
      <c r="J283" t="s">
        <v>23</v>
      </c>
      <c r="K283" t="s">
        <v>187</v>
      </c>
      <c r="L283">
        <v>4016565.136989418</v>
      </c>
    </row>
    <row r="284" spans="1:12">
      <c r="A284" t="str">
        <f t="shared" si="8"/>
        <v>4.전체_장기재고금액4.전체_장기재고금액INV_LONG_TERM_MTL_13_Over2014</v>
      </c>
      <c r="B284" t="str">
        <f t="shared" si="9"/>
        <v>4.전체_장기재고금액4.전체_장기재고금액INV_LONG_TERM_MTL_13_Over201402</v>
      </c>
      <c r="F284" t="s">
        <v>182</v>
      </c>
      <c r="G284" t="s">
        <v>182</v>
      </c>
      <c r="H284" t="s">
        <v>307</v>
      </c>
      <c r="I284" t="s">
        <v>254</v>
      </c>
      <c r="J284" t="s">
        <v>23</v>
      </c>
      <c r="K284" t="s">
        <v>257</v>
      </c>
      <c r="L284">
        <v>0</v>
      </c>
    </row>
    <row r="285" spans="1:12">
      <c r="A285" t="str">
        <f t="shared" si="8"/>
        <v>4.전체_장기재고금액4.전체_장기재고금액INV_LONG_TERM_MTL_3_62014</v>
      </c>
      <c r="B285" t="str">
        <f t="shared" si="9"/>
        <v>4.전체_장기재고금액4.전체_장기재고금액INV_LONG_TERM_MTL_3_6201402</v>
      </c>
      <c r="F285" t="s">
        <v>182</v>
      </c>
      <c r="G285" t="s">
        <v>182</v>
      </c>
      <c r="H285" t="s">
        <v>307</v>
      </c>
      <c r="I285" t="s">
        <v>254</v>
      </c>
      <c r="J285" t="s">
        <v>23</v>
      </c>
      <c r="K285" t="s">
        <v>258</v>
      </c>
      <c r="L285">
        <v>0</v>
      </c>
    </row>
    <row r="286" spans="1:12">
      <c r="A286" t="str">
        <f t="shared" si="8"/>
        <v>4.전체_장기재고금액4.전체_장기재고금액INV_LONG_TERM_MTL_7_122014</v>
      </c>
      <c r="B286" t="str">
        <f t="shared" si="9"/>
        <v>4.전체_장기재고금액4.전체_장기재고금액INV_LONG_TERM_MTL_7_12201402</v>
      </c>
      <c r="F286" t="s">
        <v>182</v>
      </c>
      <c r="G286" t="s">
        <v>182</v>
      </c>
      <c r="H286" t="s">
        <v>307</v>
      </c>
      <c r="I286" t="s">
        <v>254</v>
      </c>
      <c r="J286" t="s">
        <v>23</v>
      </c>
      <c r="K286" t="s">
        <v>259</v>
      </c>
      <c r="L286">
        <v>0</v>
      </c>
    </row>
    <row r="287" spans="1:12">
      <c r="A287" t="str">
        <f t="shared" si="8"/>
        <v>4.전체_장기재고금액4.전체_장기재고금액INV_LONG_TERM2014</v>
      </c>
      <c r="B287" t="str">
        <f t="shared" si="9"/>
        <v>4.전체_장기재고금액4.전체_장기재고금액INV_LONG_TERM201403</v>
      </c>
      <c r="F287" t="s">
        <v>182</v>
      </c>
      <c r="G287" t="s">
        <v>182</v>
      </c>
      <c r="H287" t="s">
        <v>307</v>
      </c>
      <c r="I287" t="s">
        <v>254</v>
      </c>
      <c r="J287" t="s">
        <v>24</v>
      </c>
      <c r="K287" t="s">
        <v>183</v>
      </c>
      <c r="L287">
        <v>791667.42193787417</v>
      </c>
    </row>
    <row r="288" spans="1:12">
      <c r="A288" t="str">
        <f t="shared" si="8"/>
        <v>4.전체_장기재고금액4.전체_장기재고금액INV_LONG_TERM_13_Over2014</v>
      </c>
      <c r="B288" t="str">
        <f t="shared" si="9"/>
        <v>4.전체_장기재고금액4.전체_장기재고금액INV_LONG_TERM_13_Over201403</v>
      </c>
      <c r="F288" t="s">
        <v>182</v>
      </c>
      <c r="G288" t="s">
        <v>182</v>
      </c>
      <c r="H288" t="s">
        <v>307</v>
      </c>
      <c r="I288" t="s">
        <v>254</v>
      </c>
      <c r="J288" t="s">
        <v>24</v>
      </c>
      <c r="K288" t="s">
        <v>184</v>
      </c>
      <c r="L288">
        <v>9291.4968727544892</v>
      </c>
    </row>
    <row r="289" spans="1:12">
      <c r="A289" t="str">
        <f t="shared" si="8"/>
        <v>4.전체_장기재고금액4.전체_장기재고금액INV_LONG_TERM_3_62014</v>
      </c>
      <c r="B289" t="str">
        <f t="shared" si="9"/>
        <v>4.전체_장기재고금액4.전체_장기재고금액INV_LONG_TERM_3_6201403</v>
      </c>
      <c r="F289" t="s">
        <v>182</v>
      </c>
      <c r="G289" t="s">
        <v>182</v>
      </c>
      <c r="H289" t="s">
        <v>307</v>
      </c>
      <c r="I289" t="s">
        <v>254</v>
      </c>
      <c r="J289" t="s">
        <v>24</v>
      </c>
      <c r="K289" t="s">
        <v>185</v>
      </c>
      <c r="L289">
        <v>754125.88645958097</v>
      </c>
    </row>
    <row r="290" spans="1:12">
      <c r="A290" t="str">
        <f t="shared" si="8"/>
        <v>4.전체_장기재고금액4.전체_장기재고금액INV_LONG_TERM_7_122014</v>
      </c>
      <c r="B290" t="str">
        <f t="shared" si="9"/>
        <v>4.전체_장기재고금액4.전체_장기재고금액INV_LONG_TERM_7_12201403</v>
      </c>
      <c r="F290" t="s">
        <v>182</v>
      </c>
      <c r="G290" t="s">
        <v>182</v>
      </c>
      <c r="H290" t="s">
        <v>307</v>
      </c>
      <c r="I290" t="s">
        <v>254</v>
      </c>
      <c r="J290" t="s">
        <v>24</v>
      </c>
      <c r="K290" t="s">
        <v>186</v>
      </c>
      <c r="L290">
        <v>28717.131303143764</v>
      </c>
    </row>
    <row r="291" spans="1:12">
      <c r="A291" t="str">
        <f t="shared" si="8"/>
        <v>4.전체_장기재고금액4.전체_장기재고금액INV_LONG_TERM_AGING2014</v>
      </c>
      <c r="B291" t="str">
        <f t="shared" si="9"/>
        <v>4.전체_장기재고금액4.전체_장기재고금액INV_LONG_TERM_AGING201403</v>
      </c>
      <c r="F291" t="s">
        <v>182</v>
      </c>
      <c r="G291" t="s">
        <v>182</v>
      </c>
      <c r="H291" t="s">
        <v>307</v>
      </c>
      <c r="I291" t="s">
        <v>254</v>
      </c>
      <c r="J291" t="s">
        <v>24</v>
      </c>
      <c r="K291" t="s">
        <v>256</v>
      </c>
      <c r="L291">
        <v>23415346.995972313</v>
      </c>
    </row>
    <row r="292" spans="1:12">
      <c r="A292" t="str">
        <f t="shared" si="8"/>
        <v>4.전체_장기재고금액4.전체_장기재고금액INV_LONG_TERM_MTL2014</v>
      </c>
      <c r="B292" t="str">
        <f t="shared" si="9"/>
        <v>4.전체_장기재고금액4.전체_장기재고금액INV_LONG_TERM_MTL201403</v>
      </c>
      <c r="F292" t="s">
        <v>182</v>
      </c>
      <c r="G292" t="s">
        <v>182</v>
      </c>
      <c r="H292" t="s">
        <v>307</v>
      </c>
      <c r="I292" t="s">
        <v>254</v>
      </c>
      <c r="J292" t="s">
        <v>24</v>
      </c>
      <c r="K292" t="s">
        <v>187</v>
      </c>
      <c r="L292">
        <v>3261499.8230748484</v>
      </c>
    </row>
    <row r="293" spans="1:12">
      <c r="A293" t="str">
        <f t="shared" si="8"/>
        <v>4.전체_장기재고금액4.전체_장기재고금액INV_LONG_TERM_MTL_13_Over2014</v>
      </c>
      <c r="B293" t="str">
        <f t="shared" si="9"/>
        <v>4.전체_장기재고금액4.전체_장기재고금액INV_LONG_TERM_MTL_13_Over201403</v>
      </c>
      <c r="F293" t="s">
        <v>182</v>
      </c>
      <c r="G293" t="s">
        <v>182</v>
      </c>
      <c r="H293" t="s">
        <v>307</v>
      </c>
      <c r="I293" t="s">
        <v>254</v>
      </c>
      <c r="J293" t="s">
        <v>24</v>
      </c>
      <c r="K293" t="s">
        <v>257</v>
      </c>
      <c r="L293">
        <v>0</v>
      </c>
    </row>
    <row r="294" spans="1:12">
      <c r="A294" t="str">
        <f t="shared" si="8"/>
        <v>4.전체_장기재고금액4.전체_장기재고금액INV_LONG_TERM_MTL_3_62014</v>
      </c>
      <c r="B294" t="str">
        <f t="shared" si="9"/>
        <v>4.전체_장기재고금액4.전체_장기재고금액INV_LONG_TERM_MTL_3_6201403</v>
      </c>
      <c r="F294" t="s">
        <v>182</v>
      </c>
      <c r="G294" t="s">
        <v>182</v>
      </c>
      <c r="H294" t="s">
        <v>307</v>
      </c>
      <c r="I294" t="s">
        <v>254</v>
      </c>
      <c r="J294" t="s">
        <v>24</v>
      </c>
      <c r="K294" t="s">
        <v>258</v>
      </c>
      <c r="L294">
        <v>0</v>
      </c>
    </row>
    <row r="295" spans="1:12">
      <c r="A295" t="str">
        <f t="shared" si="8"/>
        <v>4.전체_장기재고금액4.전체_장기재고금액INV_LONG_TERM_MTL_7_122014</v>
      </c>
      <c r="B295" t="str">
        <f t="shared" si="9"/>
        <v>4.전체_장기재고금액4.전체_장기재고금액INV_LONG_TERM_MTL_7_12201403</v>
      </c>
      <c r="F295" t="s">
        <v>182</v>
      </c>
      <c r="G295" t="s">
        <v>182</v>
      </c>
      <c r="H295" t="s">
        <v>307</v>
      </c>
      <c r="I295" t="s">
        <v>254</v>
      </c>
      <c r="J295" t="s">
        <v>24</v>
      </c>
      <c r="K295" t="s">
        <v>259</v>
      </c>
      <c r="L295">
        <v>0</v>
      </c>
    </row>
    <row r="296" spans="1:12">
      <c r="A296" t="str">
        <f t="shared" si="8"/>
        <v>4.전체_장기재고금액4.전체_장기재고금액INV_LONG_TERM2014</v>
      </c>
      <c r="B296" t="str">
        <f t="shared" si="9"/>
        <v>4.전체_장기재고금액4.전체_장기재고금액INV_LONG_TERM201404</v>
      </c>
      <c r="F296" t="s">
        <v>182</v>
      </c>
      <c r="G296" t="s">
        <v>182</v>
      </c>
      <c r="H296" t="s">
        <v>307</v>
      </c>
      <c r="I296" t="s">
        <v>254</v>
      </c>
      <c r="J296" t="s">
        <v>25</v>
      </c>
      <c r="K296" t="s">
        <v>183</v>
      </c>
      <c r="L296">
        <v>446327.31769157737</v>
      </c>
    </row>
    <row r="297" spans="1:12">
      <c r="A297" t="str">
        <f t="shared" si="8"/>
        <v>4.전체_장기재고금액4.전체_장기재고금액INV_LONG_TERM_13_Over2014</v>
      </c>
      <c r="B297" t="str">
        <f t="shared" si="9"/>
        <v>4.전체_장기재고금액4.전체_장기재고금액INV_LONG_TERM_13_Over201404</v>
      </c>
      <c r="F297" t="s">
        <v>182</v>
      </c>
      <c r="G297" t="s">
        <v>182</v>
      </c>
      <c r="H297" t="s">
        <v>307</v>
      </c>
      <c r="I297" t="s">
        <v>254</v>
      </c>
      <c r="J297" t="s">
        <v>25</v>
      </c>
      <c r="K297" t="s">
        <v>184</v>
      </c>
      <c r="L297">
        <v>9392.588191528539</v>
      </c>
    </row>
    <row r="298" spans="1:12">
      <c r="A298" t="str">
        <f t="shared" si="8"/>
        <v>4.전체_장기재고금액4.전체_장기재고금액INV_LONG_TERM_3_62014</v>
      </c>
      <c r="B298" t="str">
        <f t="shared" si="9"/>
        <v>4.전체_장기재고금액4.전체_장기재고금액INV_LONG_TERM_3_6201404</v>
      </c>
      <c r="F298" t="s">
        <v>182</v>
      </c>
      <c r="G298" t="s">
        <v>182</v>
      </c>
      <c r="H298" t="s">
        <v>307</v>
      </c>
      <c r="I298" t="s">
        <v>254</v>
      </c>
      <c r="J298" t="s">
        <v>25</v>
      </c>
      <c r="K298" t="s">
        <v>185</v>
      </c>
      <c r="L298">
        <v>404387.532508481</v>
      </c>
    </row>
    <row r="299" spans="1:12">
      <c r="A299" t="str">
        <f t="shared" si="8"/>
        <v>4.전체_장기재고금액4.전체_장기재고금액INV_LONG_TERM_7_122014</v>
      </c>
      <c r="B299" t="str">
        <f t="shared" si="9"/>
        <v>4.전체_장기재고금액4.전체_장기재고금액INV_LONG_TERM_7_12201404</v>
      </c>
      <c r="F299" t="s">
        <v>182</v>
      </c>
      <c r="G299" t="s">
        <v>182</v>
      </c>
      <c r="H299" t="s">
        <v>307</v>
      </c>
      <c r="I299" t="s">
        <v>254</v>
      </c>
      <c r="J299" t="s">
        <v>25</v>
      </c>
      <c r="K299" t="s">
        <v>186</v>
      </c>
      <c r="L299">
        <v>32797.93674052538</v>
      </c>
    </row>
    <row r="300" spans="1:12">
      <c r="A300" t="str">
        <f t="shared" si="8"/>
        <v>4.전체_장기재고금액4.전체_장기재고금액INV_LONG_TERM_AGING2014</v>
      </c>
      <c r="B300" t="str">
        <f t="shared" si="9"/>
        <v>4.전체_장기재고금액4.전체_장기재고금액INV_LONG_TERM_AGING201404</v>
      </c>
      <c r="F300" t="s">
        <v>182</v>
      </c>
      <c r="G300" t="s">
        <v>182</v>
      </c>
      <c r="H300" t="s">
        <v>307</v>
      </c>
      <c r="I300" t="s">
        <v>254</v>
      </c>
      <c r="J300" t="s">
        <v>25</v>
      </c>
      <c r="K300" t="s">
        <v>256</v>
      </c>
      <c r="L300">
        <v>30416203.856078289</v>
      </c>
    </row>
    <row r="301" spans="1:12">
      <c r="A301" t="str">
        <f t="shared" si="8"/>
        <v>4.전체_장기재고금액4.전체_장기재고금액INV_LONG_TERM_MTL2014</v>
      </c>
      <c r="B301" t="str">
        <f t="shared" si="9"/>
        <v>4.전체_장기재고금액4.전체_장기재고금액INV_LONG_TERM_MTL201404</v>
      </c>
      <c r="F301" t="s">
        <v>182</v>
      </c>
      <c r="G301" t="s">
        <v>182</v>
      </c>
      <c r="H301" t="s">
        <v>307</v>
      </c>
      <c r="I301" t="s">
        <v>254</v>
      </c>
      <c r="J301" t="s">
        <v>25</v>
      </c>
      <c r="K301" t="s">
        <v>187</v>
      </c>
      <c r="L301">
        <v>3826607.3727884102</v>
      </c>
    </row>
    <row r="302" spans="1:12">
      <c r="A302" t="str">
        <f t="shared" si="8"/>
        <v>4.전체_장기재고금액4.전체_장기재고금액INV_LONG_TERM_MTL_13_Over2014</v>
      </c>
      <c r="B302" t="str">
        <f t="shared" si="9"/>
        <v>4.전체_장기재고금액4.전체_장기재고금액INV_LONG_TERM_MTL_13_Over201404</v>
      </c>
      <c r="F302" t="s">
        <v>182</v>
      </c>
      <c r="G302" t="s">
        <v>182</v>
      </c>
      <c r="H302" t="s">
        <v>307</v>
      </c>
      <c r="I302" t="s">
        <v>254</v>
      </c>
      <c r="J302" t="s">
        <v>25</v>
      </c>
      <c r="K302" t="s">
        <v>257</v>
      </c>
      <c r="L302">
        <v>0</v>
      </c>
    </row>
    <row r="303" spans="1:12">
      <c r="A303" t="str">
        <f t="shared" si="8"/>
        <v>4.전체_장기재고금액4.전체_장기재고금액INV_LONG_TERM_MTL_3_62014</v>
      </c>
      <c r="B303" t="str">
        <f t="shared" si="9"/>
        <v>4.전체_장기재고금액4.전체_장기재고금액INV_LONG_TERM_MTL_3_6201404</v>
      </c>
      <c r="F303" t="s">
        <v>182</v>
      </c>
      <c r="G303" t="s">
        <v>182</v>
      </c>
      <c r="H303" t="s">
        <v>307</v>
      </c>
      <c r="I303" t="s">
        <v>254</v>
      </c>
      <c r="J303" t="s">
        <v>25</v>
      </c>
      <c r="K303" t="s">
        <v>258</v>
      </c>
      <c r="L303">
        <v>0</v>
      </c>
    </row>
    <row r="304" spans="1:12">
      <c r="A304" t="str">
        <f t="shared" si="8"/>
        <v>4.전체_장기재고금액4.전체_장기재고금액INV_LONG_TERM_MTL_7_122014</v>
      </c>
      <c r="B304" t="str">
        <f t="shared" si="9"/>
        <v>4.전체_장기재고금액4.전체_장기재고금액INV_LONG_TERM_MTL_7_12201404</v>
      </c>
      <c r="F304" t="s">
        <v>182</v>
      </c>
      <c r="G304" t="s">
        <v>182</v>
      </c>
      <c r="H304" t="s">
        <v>307</v>
      </c>
      <c r="I304" t="s">
        <v>254</v>
      </c>
      <c r="J304" t="s">
        <v>25</v>
      </c>
      <c r="K304" t="s">
        <v>259</v>
      </c>
      <c r="L304">
        <v>0</v>
      </c>
    </row>
    <row r="305" spans="1:12">
      <c r="A305" t="str">
        <f t="shared" si="8"/>
        <v>4.전체_장기재고금액4.전체_장기재고금액INV_LONG_TERM2014</v>
      </c>
      <c r="B305" t="str">
        <f t="shared" si="9"/>
        <v>4.전체_장기재고금액4.전체_장기재고금액INV_LONG_TERM201405</v>
      </c>
      <c r="F305" t="s">
        <v>182</v>
      </c>
      <c r="G305" t="s">
        <v>182</v>
      </c>
      <c r="H305" t="s">
        <v>307</v>
      </c>
      <c r="I305" t="s">
        <v>254</v>
      </c>
      <c r="J305" t="s">
        <v>26</v>
      </c>
      <c r="K305" t="s">
        <v>183</v>
      </c>
      <c r="L305">
        <v>323237.03642443247</v>
      </c>
    </row>
    <row r="306" spans="1:12">
      <c r="A306" t="str">
        <f t="shared" si="8"/>
        <v>4.전체_장기재고금액4.전체_장기재고금액INV_LONG_TERM_13_Over2014</v>
      </c>
      <c r="B306" t="str">
        <f t="shared" si="9"/>
        <v>4.전체_장기재고금액4.전체_장기재고금액INV_LONG_TERM_13_Over201405</v>
      </c>
      <c r="F306" t="s">
        <v>182</v>
      </c>
      <c r="G306" t="s">
        <v>182</v>
      </c>
      <c r="H306" t="s">
        <v>307</v>
      </c>
      <c r="I306" t="s">
        <v>254</v>
      </c>
      <c r="J306" t="s">
        <v>26</v>
      </c>
      <c r="K306" t="s">
        <v>184</v>
      </c>
      <c r="L306">
        <v>11129.280061080657</v>
      </c>
    </row>
    <row r="307" spans="1:12">
      <c r="A307" t="str">
        <f t="shared" si="8"/>
        <v>4.전체_장기재고금액4.전체_장기재고금액INV_LONG_TERM_3_62014</v>
      </c>
      <c r="B307" t="str">
        <f t="shared" si="9"/>
        <v>4.전체_장기재고금액4.전체_장기재고금액INV_LONG_TERM_3_6201405</v>
      </c>
      <c r="F307" t="s">
        <v>182</v>
      </c>
      <c r="G307" t="s">
        <v>182</v>
      </c>
      <c r="H307" t="s">
        <v>307</v>
      </c>
      <c r="I307" t="s">
        <v>254</v>
      </c>
      <c r="J307" t="s">
        <v>26</v>
      </c>
      <c r="K307" t="s">
        <v>185</v>
      </c>
      <c r="L307">
        <v>278863.22376037587</v>
      </c>
    </row>
    <row r="308" spans="1:12">
      <c r="A308" t="str">
        <f t="shared" si="8"/>
        <v>4.전체_장기재고금액4.전체_장기재고금액INV_LONG_TERM_7_122014</v>
      </c>
      <c r="B308" t="str">
        <f t="shared" si="9"/>
        <v>4.전체_장기재고금액4.전체_장기재고금액INV_LONG_TERM_7_12201405</v>
      </c>
      <c r="F308" t="s">
        <v>182</v>
      </c>
      <c r="G308" t="s">
        <v>182</v>
      </c>
      <c r="H308" t="s">
        <v>307</v>
      </c>
      <c r="I308" t="s">
        <v>254</v>
      </c>
      <c r="J308" t="s">
        <v>26</v>
      </c>
      <c r="K308" t="s">
        <v>186</v>
      </c>
      <c r="L308">
        <v>33493.757361002339</v>
      </c>
    </row>
    <row r="309" spans="1:12">
      <c r="A309" t="str">
        <f t="shared" si="8"/>
        <v>4.전체_장기재고금액4.전체_장기재고금액INV_LONG_TERM_AGING2014</v>
      </c>
      <c r="B309" t="str">
        <f t="shared" si="9"/>
        <v>4.전체_장기재고금액4.전체_장기재고금액INV_LONG_TERM_AGING201405</v>
      </c>
      <c r="F309" t="s">
        <v>182</v>
      </c>
      <c r="G309" t="s">
        <v>182</v>
      </c>
      <c r="H309" t="s">
        <v>307</v>
      </c>
      <c r="I309" t="s">
        <v>254</v>
      </c>
      <c r="J309" t="s">
        <v>26</v>
      </c>
      <c r="K309" t="s">
        <v>256</v>
      </c>
      <c r="L309">
        <v>36114718.375212185</v>
      </c>
    </row>
    <row r="310" spans="1:12">
      <c r="A310" t="str">
        <f t="shared" si="8"/>
        <v>4.전체_장기재고금액4.전체_장기재고금액INV_LONG_TERM_MTL2014</v>
      </c>
      <c r="B310" t="str">
        <f t="shared" si="9"/>
        <v>4.전체_장기재고금액4.전체_장기재고금액INV_LONG_TERM_MTL201405</v>
      </c>
      <c r="F310" t="s">
        <v>182</v>
      </c>
      <c r="G310" t="s">
        <v>182</v>
      </c>
      <c r="H310" t="s">
        <v>307</v>
      </c>
      <c r="I310" t="s">
        <v>254</v>
      </c>
      <c r="J310" t="s">
        <v>26</v>
      </c>
      <c r="K310" t="s">
        <v>187</v>
      </c>
      <c r="L310">
        <v>4056186.2968003131</v>
      </c>
    </row>
    <row r="311" spans="1:12">
      <c r="A311" t="str">
        <f t="shared" si="8"/>
        <v>4.전체_장기재고금액4.전체_장기재고금액INV_LONG_TERM_MTL_13_Over2014</v>
      </c>
      <c r="B311" t="str">
        <f t="shared" si="9"/>
        <v>4.전체_장기재고금액4.전체_장기재고금액INV_LONG_TERM_MTL_13_Over201405</v>
      </c>
      <c r="F311" t="s">
        <v>182</v>
      </c>
      <c r="G311" t="s">
        <v>182</v>
      </c>
      <c r="H311" t="s">
        <v>307</v>
      </c>
      <c r="I311" t="s">
        <v>254</v>
      </c>
      <c r="J311" t="s">
        <v>26</v>
      </c>
      <c r="K311" t="s">
        <v>257</v>
      </c>
      <c r="L311">
        <v>0</v>
      </c>
    </row>
    <row r="312" spans="1:12">
      <c r="A312" t="str">
        <f t="shared" si="8"/>
        <v>4.전체_장기재고금액4.전체_장기재고금액INV_LONG_TERM_MTL_3_62014</v>
      </c>
      <c r="B312" t="str">
        <f t="shared" si="9"/>
        <v>4.전체_장기재고금액4.전체_장기재고금액INV_LONG_TERM_MTL_3_6201405</v>
      </c>
      <c r="F312" t="s">
        <v>182</v>
      </c>
      <c r="G312" t="s">
        <v>182</v>
      </c>
      <c r="H312" t="s">
        <v>307</v>
      </c>
      <c r="I312" t="s">
        <v>254</v>
      </c>
      <c r="J312" t="s">
        <v>26</v>
      </c>
      <c r="K312" t="s">
        <v>258</v>
      </c>
      <c r="L312">
        <v>0</v>
      </c>
    </row>
    <row r="313" spans="1:12">
      <c r="A313" t="str">
        <f t="shared" si="8"/>
        <v>4.전체_장기재고금액4.전체_장기재고금액INV_LONG_TERM_MTL_7_122014</v>
      </c>
      <c r="B313" t="str">
        <f t="shared" si="9"/>
        <v>4.전체_장기재고금액4.전체_장기재고금액INV_LONG_TERM_MTL_7_12201405</v>
      </c>
      <c r="F313" t="s">
        <v>182</v>
      </c>
      <c r="G313" t="s">
        <v>182</v>
      </c>
      <c r="H313" t="s">
        <v>307</v>
      </c>
      <c r="I313" t="s">
        <v>254</v>
      </c>
      <c r="J313" t="s">
        <v>26</v>
      </c>
      <c r="K313" t="s">
        <v>259</v>
      </c>
      <c r="L313">
        <v>0</v>
      </c>
    </row>
    <row r="314" spans="1:12">
      <c r="A314" t="str">
        <f t="shared" si="8"/>
        <v>4.전체_장기재고금액4.전체_장기재고금액INV_LONG_TERM2014</v>
      </c>
      <c r="B314" t="str">
        <f t="shared" si="9"/>
        <v>4.전체_장기재고금액4.전체_장기재고금액INV_LONG_TERM201406</v>
      </c>
      <c r="F314" t="s">
        <v>182</v>
      </c>
      <c r="G314" t="s">
        <v>182</v>
      </c>
      <c r="H314" t="s">
        <v>307</v>
      </c>
      <c r="I314" t="s">
        <v>254</v>
      </c>
      <c r="J314" t="s">
        <v>27</v>
      </c>
      <c r="K314" t="s">
        <v>183</v>
      </c>
      <c r="L314">
        <v>781374.76662490144</v>
      </c>
    </row>
    <row r="315" spans="1:12">
      <c r="A315" t="str">
        <f t="shared" si="8"/>
        <v>4.전체_장기재고금액4.전체_장기재고금액INV_LONG_TERM_13_Over2014</v>
      </c>
      <c r="B315" t="str">
        <f t="shared" si="9"/>
        <v>4.전체_장기재고금액4.전체_장기재고금액INV_LONG_TERM_13_Over201406</v>
      </c>
      <c r="F315" t="s">
        <v>182</v>
      </c>
      <c r="G315" t="s">
        <v>182</v>
      </c>
      <c r="H315" t="s">
        <v>307</v>
      </c>
      <c r="I315" t="s">
        <v>254</v>
      </c>
      <c r="J315" t="s">
        <v>27</v>
      </c>
      <c r="K315" t="s">
        <v>184</v>
      </c>
      <c r="L315">
        <v>19351.964299487408</v>
      </c>
    </row>
    <row r="316" spans="1:12">
      <c r="A316" t="str">
        <f t="shared" si="8"/>
        <v>4.전체_장기재고금액4.전체_장기재고금액INV_LONG_TERM_3_62014</v>
      </c>
      <c r="B316" t="str">
        <f t="shared" si="9"/>
        <v>4.전체_장기재고금액4.전체_장기재고금액INV_LONG_TERM_3_6201406</v>
      </c>
      <c r="F316" t="s">
        <v>182</v>
      </c>
      <c r="G316" t="s">
        <v>182</v>
      </c>
      <c r="H316" t="s">
        <v>307</v>
      </c>
      <c r="I316" t="s">
        <v>254</v>
      </c>
      <c r="J316" t="s">
        <v>27</v>
      </c>
      <c r="K316" t="s">
        <v>185</v>
      </c>
      <c r="L316">
        <v>721575.95379741699</v>
      </c>
    </row>
    <row r="317" spans="1:12">
      <c r="A317" t="str">
        <f t="shared" si="8"/>
        <v>4.전체_장기재고금액4.전체_장기재고금액INV_LONG_TERM_7_122014</v>
      </c>
      <c r="B317" t="str">
        <f t="shared" si="9"/>
        <v>4.전체_장기재고금액4.전체_장기재고금액INV_LONG_TERM_7_12201406</v>
      </c>
      <c r="F317" t="s">
        <v>182</v>
      </c>
      <c r="G317" t="s">
        <v>182</v>
      </c>
      <c r="H317" t="s">
        <v>307</v>
      </c>
      <c r="I317" t="s">
        <v>254</v>
      </c>
      <c r="J317" t="s">
        <v>27</v>
      </c>
      <c r="K317" t="s">
        <v>186</v>
      </c>
      <c r="L317">
        <v>40700.740450808371</v>
      </c>
    </row>
    <row r="318" spans="1:12">
      <c r="A318" t="str">
        <f t="shared" si="8"/>
        <v>4.전체_장기재고금액4.전체_장기재고금액INV_LONG_TERM_AGING2014</v>
      </c>
      <c r="B318" t="str">
        <f t="shared" si="9"/>
        <v>4.전체_장기재고금액4.전체_장기재고금액INV_LONG_TERM_AGING201406</v>
      </c>
      <c r="F318" t="s">
        <v>182</v>
      </c>
      <c r="G318" t="s">
        <v>182</v>
      </c>
      <c r="H318" t="s">
        <v>307</v>
      </c>
      <c r="I318" t="s">
        <v>254</v>
      </c>
      <c r="J318" t="s">
        <v>27</v>
      </c>
      <c r="K318" t="s">
        <v>256</v>
      </c>
      <c r="L318">
        <v>42745150.48859217</v>
      </c>
    </row>
    <row r="319" spans="1:12">
      <c r="A319" t="str">
        <f t="shared" si="8"/>
        <v>4.전체_장기재고금액4.전체_장기재고금액INV_LONG_TERM_MTL2014</v>
      </c>
      <c r="B319" t="str">
        <f t="shared" si="9"/>
        <v>4.전체_장기재고금액4.전체_장기재고금액INV_LONG_TERM_MTL201406</v>
      </c>
      <c r="F319" t="s">
        <v>182</v>
      </c>
      <c r="G319" t="s">
        <v>182</v>
      </c>
      <c r="H319" t="s">
        <v>307</v>
      </c>
      <c r="I319" t="s">
        <v>254</v>
      </c>
      <c r="J319" t="s">
        <v>27</v>
      </c>
      <c r="K319" t="s">
        <v>187</v>
      </c>
      <c r="L319">
        <v>7929191.974354201</v>
      </c>
    </row>
    <row r="320" spans="1:12">
      <c r="A320" t="str">
        <f t="shared" si="8"/>
        <v>4.전체_장기재고금액4.전체_장기재고금액INV_LONG_TERM_MTL_13_Over2014</v>
      </c>
      <c r="B320" t="str">
        <f t="shared" si="9"/>
        <v>4.전체_장기재고금액4.전체_장기재고금액INV_LONG_TERM_MTL_13_Over201406</v>
      </c>
      <c r="F320" t="s">
        <v>182</v>
      </c>
      <c r="G320" t="s">
        <v>182</v>
      </c>
      <c r="H320" t="s">
        <v>307</v>
      </c>
      <c r="I320" t="s">
        <v>254</v>
      </c>
      <c r="J320" t="s">
        <v>27</v>
      </c>
      <c r="K320" t="s">
        <v>257</v>
      </c>
      <c r="L320">
        <v>0</v>
      </c>
    </row>
    <row r="321" spans="1:12">
      <c r="A321" t="str">
        <f t="shared" si="8"/>
        <v>4.전체_장기재고금액4.전체_장기재고금액INV_LONG_TERM_MTL_3_62014</v>
      </c>
      <c r="B321" t="str">
        <f t="shared" si="9"/>
        <v>4.전체_장기재고금액4.전체_장기재고금액INV_LONG_TERM_MTL_3_6201406</v>
      </c>
      <c r="F321" t="s">
        <v>182</v>
      </c>
      <c r="G321" t="s">
        <v>182</v>
      </c>
      <c r="H321" t="s">
        <v>307</v>
      </c>
      <c r="I321" t="s">
        <v>254</v>
      </c>
      <c r="J321" t="s">
        <v>27</v>
      </c>
      <c r="K321" t="s">
        <v>258</v>
      </c>
      <c r="L321">
        <v>0</v>
      </c>
    </row>
    <row r="322" spans="1:12">
      <c r="A322" t="str">
        <f t="shared" si="8"/>
        <v>4.전체_장기재고금액4.전체_장기재고금액INV_LONG_TERM_MTL_7_122014</v>
      </c>
      <c r="B322" t="str">
        <f t="shared" si="9"/>
        <v>4.전체_장기재고금액4.전체_장기재고금액INV_LONG_TERM_MTL_7_12201406</v>
      </c>
      <c r="F322" t="s">
        <v>182</v>
      </c>
      <c r="G322" t="s">
        <v>182</v>
      </c>
      <c r="H322" t="s">
        <v>307</v>
      </c>
      <c r="I322" t="s">
        <v>254</v>
      </c>
      <c r="J322" t="s">
        <v>27</v>
      </c>
      <c r="K322" t="s">
        <v>259</v>
      </c>
      <c r="L322">
        <v>0</v>
      </c>
    </row>
    <row r="323" spans="1:12">
      <c r="A323" t="str">
        <f t="shared" si="8"/>
        <v>4.전체_장기재고금액4.전체_장기재고금액INV_LONG_TERM2014</v>
      </c>
      <c r="B323" t="str">
        <f t="shared" si="9"/>
        <v>4.전체_장기재고금액4.전체_장기재고금액INV_LONG_TERM201407</v>
      </c>
      <c r="F323" t="s">
        <v>182</v>
      </c>
      <c r="G323" t="s">
        <v>182</v>
      </c>
      <c r="H323" t="s">
        <v>307</v>
      </c>
      <c r="I323" t="s">
        <v>254</v>
      </c>
      <c r="J323" t="s">
        <v>28</v>
      </c>
      <c r="K323" t="s">
        <v>183</v>
      </c>
      <c r="L323">
        <v>606186.67161456577</v>
      </c>
    </row>
    <row r="324" spans="1:12">
      <c r="A324" t="str">
        <f t="shared" si="8"/>
        <v>4.전체_장기재고금액4.전체_장기재고금액INV_LONG_TERM_13_Over2014</v>
      </c>
      <c r="B324" t="str">
        <f t="shared" si="9"/>
        <v>4.전체_장기재고금액4.전체_장기재고금액INV_LONG_TERM_13_Over201407</v>
      </c>
      <c r="F324" t="s">
        <v>182</v>
      </c>
      <c r="G324" t="s">
        <v>182</v>
      </c>
      <c r="H324" t="s">
        <v>307</v>
      </c>
      <c r="I324" t="s">
        <v>254</v>
      </c>
      <c r="J324" t="s">
        <v>28</v>
      </c>
      <c r="K324" t="s">
        <v>184</v>
      </c>
      <c r="L324">
        <v>20132.589191252602</v>
      </c>
    </row>
    <row r="325" spans="1:12">
      <c r="A325" t="str">
        <f t="shared" si="8"/>
        <v>4.전체_장기재고금액4.전체_장기재고금액INV_LONG_TERM_3_62014</v>
      </c>
      <c r="B325" t="str">
        <f t="shared" si="9"/>
        <v>4.전체_장기재고금액4.전체_장기재고금액INV_LONG_TERM_3_6201407</v>
      </c>
      <c r="F325" t="s">
        <v>182</v>
      </c>
      <c r="G325" t="s">
        <v>182</v>
      </c>
      <c r="H325" t="s">
        <v>307</v>
      </c>
      <c r="I325" t="s">
        <v>254</v>
      </c>
      <c r="J325" t="s">
        <v>28</v>
      </c>
      <c r="K325" t="s">
        <v>185</v>
      </c>
      <c r="L325">
        <v>550256.75442233682</v>
      </c>
    </row>
    <row r="326" spans="1:12">
      <c r="A326" t="str">
        <f t="shared" si="8"/>
        <v>4.전체_장기재고금액4.전체_장기재고금액INV_LONG_TERM_7_122014</v>
      </c>
      <c r="B326" t="str">
        <f t="shared" si="9"/>
        <v>4.전체_장기재고금액4.전체_장기재고금액INV_LONG_TERM_7_12201407</v>
      </c>
      <c r="F326" t="s">
        <v>182</v>
      </c>
      <c r="G326" t="s">
        <v>182</v>
      </c>
      <c r="H326" t="s">
        <v>307</v>
      </c>
      <c r="I326" t="s">
        <v>254</v>
      </c>
      <c r="J326" t="s">
        <v>28</v>
      </c>
      <c r="K326" t="s">
        <v>186</v>
      </c>
      <c r="L326">
        <v>35797.29418705462</v>
      </c>
    </row>
    <row r="327" spans="1:12">
      <c r="A327" t="str">
        <f t="shared" ref="A327:A390" si="10">F327&amp;G327&amp;K327&amp;I327</f>
        <v>4.전체_장기재고금액4.전체_장기재고금액INV_LONG_TERM_AGING2014</v>
      </c>
      <c r="B327" t="str">
        <f t="shared" ref="B327:B390" si="11">F327&amp;G327&amp;K327&amp;J327</f>
        <v>4.전체_장기재고금액4.전체_장기재고금액INV_LONG_TERM_AGING201407</v>
      </c>
      <c r="F327" t="s">
        <v>182</v>
      </c>
      <c r="G327" t="s">
        <v>182</v>
      </c>
      <c r="H327" t="s">
        <v>307</v>
      </c>
      <c r="I327" t="s">
        <v>254</v>
      </c>
      <c r="J327" t="s">
        <v>28</v>
      </c>
      <c r="K327" t="s">
        <v>256</v>
      </c>
      <c r="L327">
        <v>35705521.580485456</v>
      </c>
    </row>
    <row r="328" spans="1:12">
      <c r="A328" t="str">
        <f t="shared" si="10"/>
        <v>4.전체_장기재고금액4.전체_장기재고금액INV_LONG_TERM_MTL2014</v>
      </c>
      <c r="B328" t="str">
        <f t="shared" si="11"/>
        <v>4.전체_장기재고금액4.전체_장기재고금액INV_LONG_TERM_MTL201407</v>
      </c>
      <c r="F328" t="s">
        <v>182</v>
      </c>
      <c r="G328" t="s">
        <v>182</v>
      </c>
      <c r="H328" t="s">
        <v>307</v>
      </c>
      <c r="I328" t="s">
        <v>254</v>
      </c>
      <c r="J328" t="s">
        <v>28</v>
      </c>
      <c r="K328" t="s">
        <v>187</v>
      </c>
      <c r="L328">
        <v>6060518.2000412047</v>
      </c>
    </row>
    <row r="329" spans="1:12">
      <c r="A329" t="str">
        <f t="shared" si="10"/>
        <v>4.전체_장기재고금액4.전체_장기재고금액INV_LONG_TERM_MTL_13_Over2014</v>
      </c>
      <c r="B329" t="str">
        <f t="shared" si="11"/>
        <v>4.전체_장기재고금액4.전체_장기재고금액INV_LONG_TERM_MTL_13_Over201407</v>
      </c>
      <c r="F329" t="s">
        <v>182</v>
      </c>
      <c r="G329" t="s">
        <v>182</v>
      </c>
      <c r="H329" t="s">
        <v>307</v>
      </c>
      <c r="I329" t="s">
        <v>254</v>
      </c>
      <c r="J329" t="s">
        <v>28</v>
      </c>
      <c r="K329" t="s">
        <v>257</v>
      </c>
      <c r="L329">
        <v>0</v>
      </c>
    </row>
    <row r="330" spans="1:12">
      <c r="A330" t="str">
        <f t="shared" si="10"/>
        <v>4.전체_장기재고금액4.전체_장기재고금액INV_LONG_TERM_MTL_3_62014</v>
      </c>
      <c r="B330" t="str">
        <f t="shared" si="11"/>
        <v>4.전체_장기재고금액4.전체_장기재고금액INV_LONG_TERM_MTL_3_6201407</v>
      </c>
      <c r="F330" t="s">
        <v>182</v>
      </c>
      <c r="G330" t="s">
        <v>182</v>
      </c>
      <c r="H330" t="s">
        <v>307</v>
      </c>
      <c r="I330" t="s">
        <v>254</v>
      </c>
      <c r="J330" t="s">
        <v>28</v>
      </c>
      <c r="K330" t="s">
        <v>258</v>
      </c>
      <c r="L330">
        <v>0</v>
      </c>
    </row>
    <row r="331" spans="1:12">
      <c r="A331" t="str">
        <f t="shared" si="10"/>
        <v>4.전체_장기재고금액4.전체_장기재고금액INV_LONG_TERM_MTL_7_122014</v>
      </c>
      <c r="B331" t="str">
        <f t="shared" si="11"/>
        <v>4.전체_장기재고금액4.전체_장기재고금액INV_LONG_TERM_MTL_7_12201407</v>
      </c>
      <c r="F331" t="s">
        <v>182</v>
      </c>
      <c r="G331" t="s">
        <v>182</v>
      </c>
      <c r="H331" t="s">
        <v>307</v>
      </c>
      <c r="I331" t="s">
        <v>254</v>
      </c>
      <c r="J331" t="s">
        <v>28</v>
      </c>
      <c r="K331" t="s">
        <v>259</v>
      </c>
      <c r="L331">
        <v>0</v>
      </c>
    </row>
    <row r="332" spans="1:12">
      <c r="A332" t="str">
        <f t="shared" si="10"/>
        <v>4.전체_장기재고금액4.전체_장기재고금액INV_LONG_TERM2014</v>
      </c>
      <c r="B332" t="str">
        <f t="shared" si="11"/>
        <v>4.전체_장기재고금액4.전체_장기재고금액INV_LONG_TERM201408</v>
      </c>
      <c r="F332" t="s">
        <v>182</v>
      </c>
      <c r="G332" t="s">
        <v>182</v>
      </c>
      <c r="H332" t="s">
        <v>307</v>
      </c>
      <c r="I332" t="s">
        <v>254</v>
      </c>
      <c r="J332" t="s">
        <v>29</v>
      </c>
      <c r="K332" t="s">
        <v>183</v>
      </c>
      <c r="L332">
        <v>1383081.7831568667</v>
      </c>
    </row>
    <row r="333" spans="1:12">
      <c r="A333" t="str">
        <f t="shared" si="10"/>
        <v>4.전체_장기재고금액4.전체_장기재고금액INV_LONG_TERM_13_Over2014</v>
      </c>
      <c r="B333" t="str">
        <f t="shared" si="11"/>
        <v>4.전체_장기재고금액4.전체_장기재고금액INV_LONG_TERM_13_Over201408</v>
      </c>
      <c r="F333" t="s">
        <v>182</v>
      </c>
      <c r="G333" t="s">
        <v>182</v>
      </c>
      <c r="H333" t="s">
        <v>307</v>
      </c>
      <c r="I333" t="s">
        <v>254</v>
      </c>
      <c r="J333" t="s">
        <v>29</v>
      </c>
      <c r="K333" t="s">
        <v>184</v>
      </c>
      <c r="L333">
        <v>9410.6540351223357</v>
      </c>
    </row>
    <row r="334" spans="1:12">
      <c r="A334" t="str">
        <f t="shared" si="10"/>
        <v>4.전체_장기재고금액4.전체_장기재고금액INV_LONG_TERM_3_62014</v>
      </c>
      <c r="B334" t="str">
        <f t="shared" si="11"/>
        <v>4.전체_장기재고금액4.전체_장기재고금액INV_LONG_TERM_3_6201408</v>
      </c>
      <c r="F334" t="s">
        <v>182</v>
      </c>
      <c r="G334" t="s">
        <v>182</v>
      </c>
      <c r="H334" t="s">
        <v>307</v>
      </c>
      <c r="I334" t="s">
        <v>254</v>
      </c>
      <c r="J334" t="s">
        <v>29</v>
      </c>
      <c r="K334" t="s">
        <v>185</v>
      </c>
      <c r="L334">
        <v>1342016.081008781</v>
      </c>
    </row>
    <row r="335" spans="1:12">
      <c r="A335" t="str">
        <f t="shared" si="10"/>
        <v>4.전체_장기재고금액4.전체_장기재고금액INV_LONG_TERM_7_122014</v>
      </c>
      <c r="B335" t="str">
        <f t="shared" si="11"/>
        <v>4.전체_장기재고금액4.전체_장기재고금액INV_LONG_TERM_7_12201408</v>
      </c>
      <c r="F335" t="s">
        <v>182</v>
      </c>
      <c r="G335" t="s">
        <v>182</v>
      </c>
      <c r="H335" t="s">
        <v>307</v>
      </c>
      <c r="I335" t="s">
        <v>254</v>
      </c>
      <c r="J335" t="s">
        <v>29</v>
      </c>
      <c r="K335" t="s">
        <v>186</v>
      </c>
      <c r="L335">
        <v>31655.048112963697</v>
      </c>
    </row>
    <row r="336" spans="1:12">
      <c r="A336" t="str">
        <f t="shared" si="10"/>
        <v>4.전체_장기재고금액4.전체_장기재고금액INV_LONG_TERM_AGING2014</v>
      </c>
      <c r="B336" t="str">
        <f t="shared" si="11"/>
        <v>4.전체_장기재고금액4.전체_장기재고금액INV_LONG_TERM_AGING201408</v>
      </c>
      <c r="F336" t="s">
        <v>182</v>
      </c>
      <c r="G336" t="s">
        <v>182</v>
      </c>
      <c r="H336" t="s">
        <v>307</v>
      </c>
      <c r="I336" t="s">
        <v>254</v>
      </c>
      <c r="J336" t="s">
        <v>29</v>
      </c>
      <c r="K336" t="s">
        <v>256</v>
      </c>
      <c r="L336">
        <v>43282956.464284003</v>
      </c>
    </row>
    <row r="337" spans="1:12">
      <c r="A337" t="str">
        <f t="shared" si="10"/>
        <v>4.전체_장기재고금액4.전체_장기재고금액INV_LONG_TERM_MTL2014</v>
      </c>
      <c r="B337" t="str">
        <f t="shared" si="11"/>
        <v>4.전체_장기재고금액4.전체_장기재고금액INV_LONG_TERM_MTL201408</v>
      </c>
      <c r="F337" t="s">
        <v>182</v>
      </c>
      <c r="G337" t="s">
        <v>182</v>
      </c>
      <c r="H337" t="s">
        <v>307</v>
      </c>
      <c r="I337" t="s">
        <v>254</v>
      </c>
      <c r="J337" t="s">
        <v>29</v>
      </c>
      <c r="K337" t="s">
        <v>187</v>
      </c>
      <c r="L337">
        <v>7429147.683619773</v>
      </c>
    </row>
    <row r="338" spans="1:12">
      <c r="A338" t="str">
        <f t="shared" si="10"/>
        <v>4.전체_장기재고금액4.전체_장기재고금액INV_LONG_TERM_MTL_13_Over2014</v>
      </c>
      <c r="B338" t="str">
        <f t="shared" si="11"/>
        <v>4.전체_장기재고금액4.전체_장기재고금액INV_LONG_TERM_MTL_13_Over201408</v>
      </c>
      <c r="F338" t="s">
        <v>182</v>
      </c>
      <c r="G338" t="s">
        <v>182</v>
      </c>
      <c r="H338" t="s">
        <v>307</v>
      </c>
      <c r="I338" t="s">
        <v>254</v>
      </c>
      <c r="J338" t="s">
        <v>29</v>
      </c>
      <c r="K338" t="s">
        <v>257</v>
      </c>
      <c r="L338">
        <v>0</v>
      </c>
    </row>
    <row r="339" spans="1:12">
      <c r="A339" t="str">
        <f t="shared" si="10"/>
        <v>4.전체_장기재고금액4.전체_장기재고금액INV_LONG_TERM_MTL_3_62014</v>
      </c>
      <c r="B339" t="str">
        <f t="shared" si="11"/>
        <v>4.전체_장기재고금액4.전체_장기재고금액INV_LONG_TERM_MTL_3_6201408</v>
      </c>
      <c r="F339" t="s">
        <v>182</v>
      </c>
      <c r="G339" t="s">
        <v>182</v>
      </c>
      <c r="H339" t="s">
        <v>307</v>
      </c>
      <c r="I339" t="s">
        <v>254</v>
      </c>
      <c r="J339" t="s">
        <v>29</v>
      </c>
      <c r="K339" t="s">
        <v>258</v>
      </c>
      <c r="L339">
        <v>0</v>
      </c>
    </row>
    <row r="340" spans="1:12">
      <c r="A340" t="str">
        <f t="shared" si="10"/>
        <v>4.전체_장기재고금액4.전체_장기재고금액INV_LONG_TERM_MTL_7_122014</v>
      </c>
      <c r="B340" t="str">
        <f t="shared" si="11"/>
        <v>4.전체_장기재고금액4.전체_장기재고금액INV_LONG_TERM_MTL_7_12201408</v>
      </c>
      <c r="F340" t="s">
        <v>182</v>
      </c>
      <c r="G340" t="s">
        <v>182</v>
      </c>
      <c r="H340" t="s">
        <v>307</v>
      </c>
      <c r="I340" t="s">
        <v>254</v>
      </c>
      <c r="J340" t="s">
        <v>29</v>
      </c>
      <c r="K340" t="s">
        <v>259</v>
      </c>
      <c r="L340">
        <v>0</v>
      </c>
    </row>
    <row r="341" spans="1:12">
      <c r="A341" t="str">
        <f t="shared" si="10"/>
        <v>4.전체_장기재고금액4.전체_장기재고금액INV_LONG_TERM2014</v>
      </c>
      <c r="B341" t="str">
        <f t="shared" si="11"/>
        <v>4.전체_장기재고금액4.전체_장기재고금액INV_LONG_TERM201409</v>
      </c>
      <c r="F341" t="s">
        <v>182</v>
      </c>
      <c r="G341" t="s">
        <v>182</v>
      </c>
      <c r="H341" t="s">
        <v>307</v>
      </c>
      <c r="I341" t="s">
        <v>254</v>
      </c>
      <c r="J341" t="s">
        <v>30</v>
      </c>
      <c r="K341" t="s">
        <v>183</v>
      </c>
      <c r="L341">
        <v>1083551.5470258899</v>
      </c>
    </row>
    <row r="342" spans="1:12">
      <c r="A342" t="str">
        <f t="shared" si="10"/>
        <v>4.전체_장기재고금액4.전체_장기재고금액INV_LONG_TERM_13_Over2014</v>
      </c>
      <c r="B342" t="str">
        <f t="shared" si="11"/>
        <v>4.전체_장기재고금액4.전체_장기재고금액INV_LONG_TERM_13_Over201409</v>
      </c>
      <c r="F342" t="s">
        <v>182</v>
      </c>
      <c r="G342" t="s">
        <v>182</v>
      </c>
      <c r="H342" t="s">
        <v>307</v>
      </c>
      <c r="I342" t="s">
        <v>254</v>
      </c>
      <c r="J342" t="s">
        <v>30</v>
      </c>
      <c r="K342" t="s">
        <v>184</v>
      </c>
      <c r="L342">
        <v>10810.726219017708</v>
      </c>
    </row>
    <row r="343" spans="1:12">
      <c r="A343" t="str">
        <f t="shared" si="10"/>
        <v>4.전체_장기재고금액4.전체_장기재고금액INV_LONG_TERM_3_62014</v>
      </c>
      <c r="B343" t="str">
        <f t="shared" si="11"/>
        <v>4.전체_장기재고금액4.전체_장기재고금액INV_LONG_TERM_3_6201409</v>
      </c>
      <c r="F343" t="s">
        <v>182</v>
      </c>
      <c r="G343" t="s">
        <v>182</v>
      </c>
      <c r="H343" t="s">
        <v>307</v>
      </c>
      <c r="I343" t="s">
        <v>254</v>
      </c>
      <c r="J343" t="s">
        <v>30</v>
      </c>
      <c r="K343" t="s">
        <v>185</v>
      </c>
      <c r="L343">
        <v>1040002.8171933184</v>
      </c>
    </row>
    <row r="344" spans="1:12">
      <c r="A344" t="str">
        <f t="shared" si="10"/>
        <v>4.전체_장기재고금액4.전체_장기재고금액INV_LONG_TERM_7_122014</v>
      </c>
      <c r="B344" t="str">
        <f t="shared" si="11"/>
        <v>4.전체_장기재고금액4.전체_장기재고금액INV_LONG_TERM_7_12201409</v>
      </c>
      <c r="F344" t="s">
        <v>182</v>
      </c>
      <c r="G344" t="s">
        <v>182</v>
      </c>
      <c r="H344" t="s">
        <v>307</v>
      </c>
      <c r="I344" t="s">
        <v>254</v>
      </c>
      <c r="J344" t="s">
        <v>30</v>
      </c>
      <c r="K344" t="s">
        <v>186</v>
      </c>
      <c r="L344">
        <v>32738.019857509964</v>
      </c>
    </row>
    <row r="345" spans="1:12">
      <c r="A345" t="str">
        <f t="shared" si="10"/>
        <v>4.전체_장기재고금액4.전체_장기재고금액INV_LONG_TERM_AGING2014</v>
      </c>
      <c r="B345" t="str">
        <f t="shared" si="11"/>
        <v>4.전체_장기재고금액4.전체_장기재고금액INV_LONG_TERM_AGING201409</v>
      </c>
      <c r="F345" t="s">
        <v>182</v>
      </c>
      <c r="G345" t="s">
        <v>182</v>
      </c>
      <c r="H345" t="s">
        <v>307</v>
      </c>
      <c r="I345" t="s">
        <v>254</v>
      </c>
      <c r="J345" t="s">
        <v>30</v>
      </c>
      <c r="K345" t="s">
        <v>256</v>
      </c>
      <c r="L345">
        <v>42466879.076453738</v>
      </c>
    </row>
    <row r="346" spans="1:12">
      <c r="A346" t="str">
        <f t="shared" si="10"/>
        <v>4.전체_장기재고금액4.전체_장기재고금액INV_LONG_TERM_MTL2014</v>
      </c>
      <c r="B346" t="str">
        <f t="shared" si="11"/>
        <v>4.전체_장기재고금액4.전체_장기재고금액INV_LONG_TERM_MTL201409</v>
      </c>
      <c r="F346" t="s">
        <v>182</v>
      </c>
      <c r="G346" t="s">
        <v>182</v>
      </c>
      <c r="H346" t="s">
        <v>307</v>
      </c>
      <c r="I346" t="s">
        <v>254</v>
      </c>
      <c r="J346" t="s">
        <v>30</v>
      </c>
      <c r="K346" t="s">
        <v>187</v>
      </c>
      <c r="L346">
        <v>7670410.7921498278</v>
      </c>
    </row>
    <row r="347" spans="1:12">
      <c r="A347" t="str">
        <f t="shared" si="10"/>
        <v>4.전체_장기재고금액4.전체_장기재고금액INV_LONG_TERM_MTL_13_Over2014</v>
      </c>
      <c r="B347" t="str">
        <f t="shared" si="11"/>
        <v>4.전체_장기재고금액4.전체_장기재고금액INV_LONG_TERM_MTL_13_Over201409</v>
      </c>
      <c r="F347" t="s">
        <v>182</v>
      </c>
      <c r="G347" t="s">
        <v>182</v>
      </c>
      <c r="H347" t="s">
        <v>307</v>
      </c>
      <c r="I347" t="s">
        <v>254</v>
      </c>
      <c r="J347" t="s">
        <v>30</v>
      </c>
      <c r="K347" t="s">
        <v>257</v>
      </c>
      <c r="L347">
        <v>0</v>
      </c>
    </row>
    <row r="348" spans="1:12">
      <c r="A348" t="str">
        <f t="shared" si="10"/>
        <v>4.전체_장기재고금액4.전체_장기재고금액INV_LONG_TERM_MTL_3_62014</v>
      </c>
      <c r="B348" t="str">
        <f t="shared" si="11"/>
        <v>4.전체_장기재고금액4.전체_장기재고금액INV_LONG_TERM_MTL_3_6201409</v>
      </c>
      <c r="F348" t="s">
        <v>182</v>
      </c>
      <c r="G348" t="s">
        <v>182</v>
      </c>
      <c r="H348" t="s">
        <v>307</v>
      </c>
      <c r="I348" t="s">
        <v>254</v>
      </c>
      <c r="J348" t="s">
        <v>30</v>
      </c>
      <c r="K348" t="s">
        <v>258</v>
      </c>
      <c r="L348">
        <v>0</v>
      </c>
    </row>
    <row r="349" spans="1:12">
      <c r="A349" t="str">
        <f t="shared" si="10"/>
        <v>4.전체_장기재고금액4.전체_장기재고금액INV_LONG_TERM_MTL_7_122014</v>
      </c>
      <c r="B349" t="str">
        <f t="shared" si="11"/>
        <v>4.전체_장기재고금액4.전체_장기재고금액INV_LONG_TERM_MTL_7_12201409</v>
      </c>
      <c r="F349" t="s">
        <v>182</v>
      </c>
      <c r="G349" t="s">
        <v>182</v>
      </c>
      <c r="H349" t="s">
        <v>307</v>
      </c>
      <c r="I349" t="s">
        <v>254</v>
      </c>
      <c r="J349" t="s">
        <v>30</v>
      </c>
      <c r="K349" t="s">
        <v>259</v>
      </c>
      <c r="L349">
        <v>0</v>
      </c>
    </row>
    <row r="350" spans="1:12">
      <c r="A350" t="str">
        <f t="shared" si="10"/>
        <v>4.전체_장기재고금액4.전체_장기재고금액INV_LONG_TERM2014</v>
      </c>
      <c r="B350" t="str">
        <f t="shared" si="11"/>
        <v>4.전체_장기재고금액4.전체_장기재고금액INV_LONG_TERM201410</v>
      </c>
      <c r="F350" t="s">
        <v>182</v>
      </c>
      <c r="G350" t="s">
        <v>182</v>
      </c>
      <c r="H350" t="s">
        <v>307</v>
      </c>
      <c r="I350" t="s">
        <v>254</v>
      </c>
      <c r="J350" t="s">
        <v>31</v>
      </c>
      <c r="K350" t="s">
        <v>183</v>
      </c>
      <c r="L350">
        <v>907937.85667656572</v>
      </c>
    </row>
    <row r="351" spans="1:12">
      <c r="A351" t="str">
        <f t="shared" si="10"/>
        <v>4.전체_장기재고금액4.전체_장기재고금액INV_LONG_TERM_13_Over2014</v>
      </c>
      <c r="B351" t="str">
        <f t="shared" si="11"/>
        <v>4.전체_장기재고금액4.전체_장기재고금액INV_LONG_TERM_13_Over201410</v>
      </c>
      <c r="F351" t="s">
        <v>182</v>
      </c>
      <c r="G351" t="s">
        <v>182</v>
      </c>
      <c r="H351" t="s">
        <v>307</v>
      </c>
      <c r="I351" t="s">
        <v>254</v>
      </c>
      <c r="J351" t="s">
        <v>31</v>
      </c>
      <c r="K351" t="s">
        <v>184</v>
      </c>
      <c r="L351">
        <v>13485.76014943074</v>
      </c>
    </row>
    <row r="352" spans="1:12">
      <c r="A352" t="str">
        <f t="shared" si="10"/>
        <v>4.전체_장기재고금액4.전체_장기재고금액INV_LONG_TERM_3_62014</v>
      </c>
      <c r="B352" t="str">
        <f t="shared" si="11"/>
        <v>4.전체_장기재고금액4.전체_장기재고금액INV_LONG_TERM_3_6201410</v>
      </c>
      <c r="F352" t="s">
        <v>182</v>
      </c>
      <c r="G352" t="s">
        <v>182</v>
      </c>
      <c r="H352" t="s">
        <v>307</v>
      </c>
      <c r="I352" t="s">
        <v>254</v>
      </c>
      <c r="J352" t="s">
        <v>31</v>
      </c>
      <c r="K352" t="s">
        <v>185</v>
      </c>
      <c r="L352">
        <v>862404.96906622453</v>
      </c>
    </row>
    <row r="353" spans="1:12">
      <c r="A353" t="str">
        <f t="shared" si="10"/>
        <v>4.전체_장기재고금액4.전체_장기재고금액INV_LONG_TERM_7_122014</v>
      </c>
      <c r="B353" t="str">
        <f t="shared" si="11"/>
        <v>4.전체_장기재고금액4.전체_장기재고금액INV_LONG_TERM_7_12201410</v>
      </c>
      <c r="F353" t="s">
        <v>182</v>
      </c>
      <c r="G353" t="s">
        <v>182</v>
      </c>
      <c r="H353" t="s">
        <v>307</v>
      </c>
      <c r="I353" t="s">
        <v>254</v>
      </c>
      <c r="J353" t="s">
        <v>31</v>
      </c>
      <c r="K353" t="s">
        <v>186</v>
      </c>
      <c r="L353">
        <v>32306.726444497112</v>
      </c>
    </row>
    <row r="354" spans="1:12">
      <c r="A354" t="str">
        <f t="shared" si="10"/>
        <v>4.전체_장기재고금액4.전체_장기재고금액INV_LONG_TERM_AGING2014</v>
      </c>
      <c r="B354" t="str">
        <f t="shared" si="11"/>
        <v>4.전체_장기재고금액4.전체_장기재고금액INV_LONG_TERM_AGING201410</v>
      </c>
      <c r="F354" t="s">
        <v>182</v>
      </c>
      <c r="G354" t="s">
        <v>182</v>
      </c>
      <c r="H354" t="s">
        <v>307</v>
      </c>
      <c r="I354" t="s">
        <v>254</v>
      </c>
      <c r="J354" t="s">
        <v>31</v>
      </c>
      <c r="K354" t="s">
        <v>256</v>
      </c>
      <c r="L354">
        <v>55370617.60069637</v>
      </c>
    </row>
    <row r="355" spans="1:12">
      <c r="A355" t="str">
        <f t="shared" si="10"/>
        <v>4.전체_장기재고금액4.전체_장기재고금액INV_LONG_TERM_MTL2014</v>
      </c>
      <c r="B355" t="str">
        <f t="shared" si="11"/>
        <v>4.전체_장기재고금액4.전체_장기재고금액INV_LONG_TERM_MTL201410</v>
      </c>
      <c r="F355" t="s">
        <v>182</v>
      </c>
      <c r="G355" t="s">
        <v>182</v>
      </c>
      <c r="H355" t="s">
        <v>307</v>
      </c>
      <c r="I355" t="s">
        <v>254</v>
      </c>
      <c r="J355" t="s">
        <v>31</v>
      </c>
      <c r="K355" t="s">
        <v>187</v>
      </c>
      <c r="L355">
        <v>5008720.7825904209</v>
      </c>
    </row>
    <row r="356" spans="1:12">
      <c r="A356" t="str">
        <f t="shared" si="10"/>
        <v>4.전체_장기재고금액4.전체_장기재고금액INV_LONG_TERM_MTL_13_Over2014</v>
      </c>
      <c r="B356" t="str">
        <f t="shared" si="11"/>
        <v>4.전체_장기재고금액4.전체_장기재고금액INV_LONG_TERM_MTL_13_Over201410</v>
      </c>
      <c r="F356" t="s">
        <v>182</v>
      </c>
      <c r="G356" t="s">
        <v>182</v>
      </c>
      <c r="H356" t="s">
        <v>307</v>
      </c>
      <c r="I356" t="s">
        <v>254</v>
      </c>
      <c r="J356" t="s">
        <v>31</v>
      </c>
      <c r="K356" t="s">
        <v>257</v>
      </c>
      <c r="L356">
        <v>0</v>
      </c>
    </row>
    <row r="357" spans="1:12">
      <c r="A357" t="str">
        <f t="shared" si="10"/>
        <v>4.전체_장기재고금액4.전체_장기재고금액INV_LONG_TERM_MTL_3_62014</v>
      </c>
      <c r="B357" t="str">
        <f t="shared" si="11"/>
        <v>4.전체_장기재고금액4.전체_장기재고금액INV_LONG_TERM_MTL_3_6201410</v>
      </c>
      <c r="F357" t="s">
        <v>182</v>
      </c>
      <c r="G357" t="s">
        <v>182</v>
      </c>
      <c r="H357" t="s">
        <v>307</v>
      </c>
      <c r="I357" t="s">
        <v>254</v>
      </c>
      <c r="J357" t="s">
        <v>31</v>
      </c>
      <c r="K357" t="s">
        <v>258</v>
      </c>
      <c r="L357">
        <v>0</v>
      </c>
    </row>
    <row r="358" spans="1:12">
      <c r="A358" t="str">
        <f t="shared" si="10"/>
        <v>4.전체_장기재고금액4.전체_장기재고금액INV_LONG_TERM_MTL_7_122014</v>
      </c>
      <c r="B358" t="str">
        <f t="shared" si="11"/>
        <v>4.전체_장기재고금액4.전체_장기재고금액INV_LONG_TERM_MTL_7_12201410</v>
      </c>
      <c r="F358" t="s">
        <v>182</v>
      </c>
      <c r="G358" t="s">
        <v>182</v>
      </c>
      <c r="H358" t="s">
        <v>307</v>
      </c>
      <c r="I358" t="s">
        <v>254</v>
      </c>
      <c r="J358" t="s">
        <v>31</v>
      </c>
      <c r="K358" t="s">
        <v>259</v>
      </c>
      <c r="L358">
        <v>0</v>
      </c>
    </row>
    <row r="359" spans="1:12">
      <c r="A359" t="str">
        <f t="shared" si="10"/>
        <v>4.전체_장기재고금액4.전체_장기재고금액INV_LONG_TERM2014</v>
      </c>
      <c r="B359" t="str">
        <f t="shared" si="11"/>
        <v>4.전체_장기재고금액4.전체_장기재고금액INV_LONG_TERM201411</v>
      </c>
      <c r="F359" t="s">
        <v>182</v>
      </c>
      <c r="G359" t="s">
        <v>182</v>
      </c>
      <c r="H359" t="s">
        <v>307</v>
      </c>
      <c r="I359" t="s">
        <v>254</v>
      </c>
      <c r="J359" t="s">
        <v>32</v>
      </c>
      <c r="K359" t="s">
        <v>183</v>
      </c>
      <c r="L359">
        <v>797428.32438470598</v>
      </c>
    </row>
    <row r="360" spans="1:12">
      <c r="A360" t="str">
        <f t="shared" si="10"/>
        <v>4.전체_장기재고금액4.전체_장기재고금액INV_LONG_TERM_13_Over2014</v>
      </c>
      <c r="B360" t="str">
        <f t="shared" si="11"/>
        <v>4.전체_장기재고금액4.전체_장기재고금액INV_LONG_TERM_13_Over201411</v>
      </c>
      <c r="F360" t="s">
        <v>182</v>
      </c>
      <c r="G360" t="s">
        <v>182</v>
      </c>
      <c r="H360" t="s">
        <v>307</v>
      </c>
      <c r="I360" t="s">
        <v>254</v>
      </c>
      <c r="J360" t="s">
        <v>32</v>
      </c>
      <c r="K360" t="s">
        <v>184</v>
      </c>
      <c r="L360">
        <v>13257.244124057781</v>
      </c>
    </row>
    <row r="361" spans="1:12">
      <c r="A361" t="str">
        <f t="shared" si="10"/>
        <v>4.전체_장기재고금액4.전체_장기재고금액INV_LONG_TERM_3_62014</v>
      </c>
      <c r="B361" t="str">
        <f t="shared" si="11"/>
        <v>4.전체_장기재고금액4.전체_장기재고금액INV_LONG_TERM_3_6201411</v>
      </c>
      <c r="F361" t="s">
        <v>182</v>
      </c>
      <c r="G361" t="s">
        <v>182</v>
      </c>
      <c r="H361" t="s">
        <v>307</v>
      </c>
      <c r="I361" t="s">
        <v>254</v>
      </c>
      <c r="J361" t="s">
        <v>32</v>
      </c>
      <c r="K361" t="s">
        <v>185</v>
      </c>
      <c r="L361">
        <v>752844.92818526935</v>
      </c>
    </row>
    <row r="362" spans="1:12">
      <c r="A362" t="str">
        <f t="shared" si="10"/>
        <v>4.전체_장기재고금액4.전체_장기재고금액INV_LONG_TERM_7_122014</v>
      </c>
      <c r="B362" t="str">
        <f t="shared" si="11"/>
        <v>4.전체_장기재고금액4.전체_장기재고금액INV_LONG_TERM_7_12201411</v>
      </c>
      <c r="F362" t="s">
        <v>182</v>
      </c>
      <c r="G362" t="s">
        <v>182</v>
      </c>
      <c r="H362" t="s">
        <v>307</v>
      </c>
      <c r="I362" t="s">
        <v>254</v>
      </c>
      <c r="J362" t="s">
        <v>32</v>
      </c>
      <c r="K362" t="s">
        <v>186</v>
      </c>
      <c r="L362">
        <v>31870.985619289768</v>
      </c>
    </row>
    <row r="363" spans="1:12">
      <c r="A363" t="str">
        <f t="shared" si="10"/>
        <v>4.전체_장기재고금액4.전체_장기재고금액INV_LONG_TERM_AGING2014</v>
      </c>
      <c r="B363" t="str">
        <f t="shared" si="11"/>
        <v>4.전체_장기재고금액4.전체_장기재고금액INV_LONG_TERM_AGING201411</v>
      </c>
      <c r="F363" t="s">
        <v>182</v>
      </c>
      <c r="G363" t="s">
        <v>182</v>
      </c>
      <c r="H363" t="s">
        <v>307</v>
      </c>
      <c r="I363" t="s">
        <v>254</v>
      </c>
      <c r="J363" t="s">
        <v>32</v>
      </c>
      <c r="K363" t="s">
        <v>256</v>
      </c>
      <c r="L363">
        <v>56681807.598389439</v>
      </c>
    </row>
    <row r="364" spans="1:12">
      <c r="A364" t="str">
        <f t="shared" si="10"/>
        <v>4.전체_장기재고금액4.전체_장기재고금액INV_LONG_TERM_MTL2014</v>
      </c>
      <c r="B364" t="str">
        <f t="shared" si="11"/>
        <v>4.전체_장기재고금액4.전체_장기재고금액INV_LONG_TERM_MTL201411</v>
      </c>
      <c r="F364" t="s">
        <v>182</v>
      </c>
      <c r="G364" t="s">
        <v>182</v>
      </c>
      <c r="H364" t="s">
        <v>307</v>
      </c>
      <c r="I364" t="s">
        <v>254</v>
      </c>
      <c r="J364" t="s">
        <v>32</v>
      </c>
      <c r="K364" t="s">
        <v>187</v>
      </c>
      <c r="L364">
        <v>5043998.0073293988</v>
      </c>
    </row>
    <row r="365" spans="1:12">
      <c r="A365" t="str">
        <f t="shared" si="10"/>
        <v>4.전체_장기재고금액4.전체_장기재고금액INV_LONG_TERM_MTL_13_Over2014</v>
      </c>
      <c r="B365" t="str">
        <f t="shared" si="11"/>
        <v>4.전체_장기재고금액4.전체_장기재고금액INV_LONG_TERM_MTL_13_Over201411</v>
      </c>
      <c r="F365" t="s">
        <v>182</v>
      </c>
      <c r="G365" t="s">
        <v>182</v>
      </c>
      <c r="H365" t="s">
        <v>307</v>
      </c>
      <c r="I365" t="s">
        <v>254</v>
      </c>
      <c r="J365" t="s">
        <v>32</v>
      </c>
      <c r="K365" t="s">
        <v>257</v>
      </c>
      <c r="L365">
        <v>0</v>
      </c>
    </row>
    <row r="366" spans="1:12">
      <c r="A366" t="str">
        <f t="shared" si="10"/>
        <v>4.전체_장기재고금액4.전체_장기재고금액INV_LONG_TERM_MTL_3_62014</v>
      </c>
      <c r="B366" t="str">
        <f t="shared" si="11"/>
        <v>4.전체_장기재고금액4.전체_장기재고금액INV_LONG_TERM_MTL_3_6201411</v>
      </c>
      <c r="F366" t="s">
        <v>182</v>
      </c>
      <c r="G366" t="s">
        <v>182</v>
      </c>
      <c r="H366" t="s">
        <v>307</v>
      </c>
      <c r="I366" t="s">
        <v>254</v>
      </c>
      <c r="J366" t="s">
        <v>32</v>
      </c>
      <c r="K366" t="s">
        <v>258</v>
      </c>
      <c r="L366">
        <v>0</v>
      </c>
    </row>
    <row r="367" spans="1:12">
      <c r="A367" t="str">
        <f t="shared" si="10"/>
        <v>4.전체_장기재고금액4.전체_장기재고금액INV_LONG_TERM_MTL_7_122014</v>
      </c>
      <c r="B367" t="str">
        <f t="shared" si="11"/>
        <v>4.전체_장기재고금액4.전체_장기재고금액INV_LONG_TERM_MTL_7_12201411</v>
      </c>
      <c r="F367" t="s">
        <v>182</v>
      </c>
      <c r="G367" t="s">
        <v>182</v>
      </c>
      <c r="H367" t="s">
        <v>307</v>
      </c>
      <c r="I367" t="s">
        <v>254</v>
      </c>
      <c r="J367" t="s">
        <v>32</v>
      </c>
      <c r="K367" t="s">
        <v>259</v>
      </c>
      <c r="L367">
        <v>0</v>
      </c>
    </row>
    <row r="368" spans="1:12">
      <c r="A368" t="str">
        <f t="shared" si="10"/>
        <v>4.전체_장기재고금액4.전체_장기재고금액INV_LONG_TERM2014</v>
      </c>
      <c r="B368" t="str">
        <f t="shared" si="11"/>
        <v>4.전체_장기재고금액4.전체_장기재고금액INV_LONG_TERM201412</v>
      </c>
      <c r="F368" t="s">
        <v>182</v>
      </c>
      <c r="G368" t="s">
        <v>182</v>
      </c>
      <c r="H368" t="s">
        <v>307</v>
      </c>
      <c r="I368" t="s">
        <v>254</v>
      </c>
      <c r="J368" t="s">
        <v>33</v>
      </c>
      <c r="K368" t="s">
        <v>183</v>
      </c>
      <c r="L368">
        <v>941559.42695505777</v>
      </c>
    </row>
    <row r="369" spans="1:12">
      <c r="A369" t="str">
        <f t="shared" si="10"/>
        <v>4.전체_장기재고금액4.전체_장기재고금액INV_LONG_TERM_13_Over2014</v>
      </c>
      <c r="B369" t="str">
        <f t="shared" si="11"/>
        <v>4.전체_장기재고금액4.전체_장기재고금액INV_LONG_TERM_13_Over201412</v>
      </c>
      <c r="F369" t="s">
        <v>182</v>
      </c>
      <c r="G369" t="s">
        <v>182</v>
      </c>
      <c r="H369" t="s">
        <v>307</v>
      </c>
      <c r="I369" t="s">
        <v>254</v>
      </c>
      <c r="J369" t="s">
        <v>33</v>
      </c>
      <c r="K369" t="s">
        <v>184</v>
      </c>
      <c r="L369">
        <v>20669.143951419202</v>
      </c>
    </row>
    <row r="370" spans="1:12">
      <c r="A370" t="str">
        <f t="shared" si="10"/>
        <v>4.전체_장기재고금액4.전체_장기재고금액INV_LONG_TERM_3_62014</v>
      </c>
      <c r="B370" t="str">
        <f t="shared" si="11"/>
        <v>4.전체_장기재고금액4.전체_장기재고금액INV_LONG_TERM_3_6201412</v>
      </c>
      <c r="F370" t="s">
        <v>182</v>
      </c>
      <c r="G370" t="s">
        <v>182</v>
      </c>
      <c r="H370" t="s">
        <v>307</v>
      </c>
      <c r="I370" t="s">
        <v>254</v>
      </c>
      <c r="J370" t="s">
        <v>33</v>
      </c>
      <c r="K370" t="s">
        <v>185</v>
      </c>
      <c r="L370">
        <v>910128.54479821632</v>
      </c>
    </row>
    <row r="371" spans="1:12">
      <c r="A371" t="str">
        <f t="shared" si="10"/>
        <v>4.전체_장기재고금액4.전체_장기재고금액INV_LONG_TERM_7_122014</v>
      </c>
      <c r="B371" t="str">
        <f t="shared" si="11"/>
        <v>4.전체_장기재고금액4.전체_장기재고금액INV_LONG_TERM_7_12201412</v>
      </c>
      <c r="F371" t="s">
        <v>182</v>
      </c>
      <c r="G371" t="s">
        <v>182</v>
      </c>
      <c r="H371" t="s">
        <v>307</v>
      </c>
      <c r="I371" t="s">
        <v>254</v>
      </c>
      <c r="J371" t="s">
        <v>33</v>
      </c>
      <c r="K371" t="s">
        <v>186</v>
      </c>
      <c r="L371">
        <v>11300.975076874092</v>
      </c>
    </row>
    <row r="372" spans="1:12">
      <c r="A372" t="str">
        <f t="shared" si="10"/>
        <v>4.전체_장기재고금액4.전체_장기재고금액INV_LONG_TERM_AGING2014</v>
      </c>
      <c r="B372" t="str">
        <f t="shared" si="11"/>
        <v>4.전체_장기재고금액4.전체_장기재고금액INV_LONG_TERM_AGING201412</v>
      </c>
      <c r="F372" t="s">
        <v>182</v>
      </c>
      <c r="G372" t="s">
        <v>182</v>
      </c>
      <c r="H372" t="s">
        <v>307</v>
      </c>
      <c r="I372" t="s">
        <v>254</v>
      </c>
      <c r="J372" t="s">
        <v>33</v>
      </c>
      <c r="K372" t="s">
        <v>256</v>
      </c>
      <c r="L372">
        <v>38553120.514188483</v>
      </c>
    </row>
    <row r="373" spans="1:12">
      <c r="A373" t="str">
        <f t="shared" si="10"/>
        <v>4.전체_장기재고금액4.전체_장기재고금액INV_LONG_TERM_MTL2014</v>
      </c>
      <c r="B373" t="str">
        <f t="shared" si="11"/>
        <v>4.전체_장기재고금액4.전체_장기재고금액INV_LONG_TERM_MTL201412</v>
      </c>
      <c r="F373" t="s">
        <v>182</v>
      </c>
      <c r="G373" t="s">
        <v>182</v>
      </c>
      <c r="H373" t="s">
        <v>307</v>
      </c>
      <c r="I373" t="s">
        <v>254</v>
      </c>
      <c r="J373" t="s">
        <v>33</v>
      </c>
      <c r="K373" t="s">
        <v>187</v>
      </c>
      <c r="L373">
        <v>4563324.1037552832</v>
      </c>
    </row>
    <row r="374" spans="1:12">
      <c r="A374" t="str">
        <f t="shared" si="10"/>
        <v>4.전체_장기재고금액4.전체_장기재고금액INV_LONG_TERM_MTL_13_Over2014</v>
      </c>
      <c r="B374" t="str">
        <f t="shared" si="11"/>
        <v>4.전체_장기재고금액4.전체_장기재고금액INV_LONG_TERM_MTL_13_Over201412</v>
      </c>
      <c r="F374" t="s">
        <v>182</v>
      </c>
      <c r="G374" t="s">
        <v>182</v>
      </c>
      <c r="H374" t="s">
        <v>307</v>
      </c>
      <c r="I374" t="s">
        <v>254</v>
      </c>
      <c r="J374" t="s">
        <v>33</v>
      </c>
      <c r="K374" t="s">
        <v>257</v>
      </c>
      <c r="L374">
        <v>0</v>
      </c>
    </row>
    <row r="375" spans="1:12">
      <c r="A375" t="str">
        <f t="shared" si="10"/>
        <v>4.전체_장기재고금액4.전체_장기재고금액INV_LONG_TERM_MTL_3_62014</v>
      </c>
      <c r="B375" t="str">
        <f t="shared" si="11"/>
        <v>4.전체_장기재고금액4.전체_장기재고금액INV_LONG_TERM_MTL_3_6201412</v>
      </c>
      <c r="F375" t="s">
        <v>182</v>
      </c>
      <c r="G375" t="s">
        <v>182</v>
      </c>
      <c r="H375" t="s">
        <v>307</v>
      </c>
      <c r="I375" t="s">
        <v>254</v>
      </c>
      <c r="J375" t="s">
        <v>33</v>
      </c>
      <c r="K375" t="s">
        <v>258</v>
      </c>
      <c r="L375">
        <v>0</v>
      </c>
    </row>
    <row r="376" spans="1:12">
      <c r="A376" t="str">
        <f t="shared" si="10"/>
        <v>4.전체_장기재고금액4.전체_장기재고금액INV_LONG_TERM_MTL_7_122014</v>
      </c>
      <c r="B376" t="str">
        <f t="shared" si="11"/>
        <v>4.전체_장기재고금액4.전체_장기재고금액INV_LONG_TERM_MTL_7_12201412</v>
      </c>
      <c r="F376" t="s">
        <v>182</v>
      </c>
      <c r="G376" t="s">
        <v>182</v>
      </c>
      <c r="H376" t="s">
        <v>307</v>
      </c>
      <c r="I376" t="s">
        <v>254</v>
      </c>
      <c r="J376" t="s">
        <v>33</v>
      </c>
      <c r="K376" t="s">
        <v>259</v>
      </c>
      <c r="L376">
        <v>0</v>
      </c>
    </row>
    <row r="377" spans="1:12">
      <c r="A377" t="str">
        <f t="shared" si="10"/>
        <v>4.전체_장기재고금액4.전체_장기재고금액INV_LONG_TERM2015</v>
      </c>
      <c r="B377" t="str">
        <f t="shared" si="11"/>
        <v>4.전체_장기재고금액4.전체_장기재고금액INV_LONG_TERM201501</v>
      </c>
      <c r="F377" t="s">
        <v>182</v>
      </c>
      <c r="G377" t="s">
        <v>182</v>
      </c>
      <c r="H377" t="s">
        <v>307</v>
      </c>
      <c r="I377" t="s">
        <v>260</v>
      </c>
      <c r="J377" t="s">
        <v>34</v>
      </c>
      <c r="K377" t="s">
        <v>183</v>
      </c>
      <c r="L377">
        <v>625333.52919921209</v>
      </c>
    </row>
    <row r="378" spans="1:12">
      <c r="A378" t="str">
        <f t="shared" si="10"/>
        <v>4.전체_장기재고금액4.전체_장기재고금액INV_LONG_TERM_13_Over2015</v>
      </c>
      <c r="B378" t="str">
        <f t="shared" si="11"/>
        <v>4.전체_장기재고금액4.전체_장기재고금액INV_LONG_TERM_13_Over201501</v>
      </c>
      <c r="F378" t="s">
        <v>182</v>
      </c>
      <c r="G378" t="s">
        <v>182</v>
      </c>
      <c r="H378" t="s">
        <v>307</v>
      </c>
      <c r="I378" t="s">
        <v>260</v>
      </c>
      <c r="J378" t="s">
        <v>34</v>
      </c>
      <c r="K378" t="s">
        <v>184</v>
      </c>
      <c r="L378">
        <v>18925.504919325307</v>
      </c>
    </row>
    <row r="379" spans="1:12">
      <c r="A379" t="str">
        <f t="shared" si="10"/>
        <v>4.전체_장기재고금액4.전체_장기재고금액INV_LONG_TERM_3_62015</v>
      </c>
      <c r="B379" t="str">
        <f t="shared" si="11"/>
        <v>4.전체_장기재고금액4.전체_장기재고금액INV_LONG_TERM_3_6201501</v>
      </c>
      <c r="F379" t="s">
        <v>182</v>
      </c>
      <c r="G379" t="s">
        <v>182</v>
      </c>
      <c r="H379" t="s">
        <v>307</v>
      </c>
      <c r="I379" t="s">
        <v>260</v>
      </c>
      <c r="J379" t="s">
        <v>34</v>
      </c>
      <c r="K379" t="s">
        <v>185</v>
      </c>
      <c r="L379">
        <v>596171.52630986413</v>
      </c>
    </row>
    <row r="380" spans="1:12">
      <c r="A380" t="str">
        <f t="shared" si="10"/>
        <v>4.전체_장기재고금액4.전체_장기재고금액INV_LONG_TERM_7_122015</v>
      </c>
      <c r="B380" t="str">
        <f t="shared" si="11"/>
        <v>4.전체_장기재고금액4.전체_장기재고금액INV_LONG_TERM_7_12201501</v>
      </c>
      <c r="F380" t="s">
        <v>182</v>
      </c>
      <c r="G380" t="s">
        <v>182</v>
      </c>
      <c r="H380" t="s">
        <v>307</v>
      </c>
      <c r="I380" t="s">
        <v>260</v>
      </c>
      <c r="J380" t="s">
        <v>34</v>
      </c>
      <c r="K380" t="s">
        <v>186</v>
      </c>
      <c r="L380">
        <v>10829.904377154382</v>
      </c>
    </row>
    <row r="381" spans="1:12">
      <c r="A381" t="str">
        <f t="shared" si="10"/>
        <v>4.전체_장기재고금액4.전체_장기재고금액INV_LONG_TERM_AGING2015</v>
      </c>
      <c r="B381" t="str">
        <f t="shared" si="11"/>
        <v>4.전체_장기재고금액4.전체_장기재고금액INV_LONG_TERM_AGING201501</v>
      </c>
      <c r="F381" t="s">
        <v>182</v>
      </c>
      <c r="G381" t="s">
        <v>182</v>
      </c>
      <c r="H381" t="s">
        <v>307</v>
      </c>
      <c r="I381" t="s">
        <v>260</v>
      </c>
      <c r="J381" t="s">
        <v>34</v>
      </c>
      <c r="K381" t="s">
        <v>256</v>
      </c>
      <c r="L381">
        <v>32368415.530971896</v>
      </c>
    </row>
    <row r="382" spans="1:12">
      <c r="A382" t="str">
        <f t="shared" si="10"/>
        <v>4.전체_장기재고금액4.전체_장기재고금액INV_LONG_TERM_MTL2015</v>
      </c>
      <c r="B382" t="str">
        <f t="shared" si="11"/>
        <v>4.전체_장기재고금액4.전체_장기재고금액INV_LONG_TERM_MTL201501</v>
      </c>
      <c r="F382" t="s">
        <v>182</v>
      </c>
      <c r="G382" t="s">
        <v>182</v>
      </c>
      <c r="H382" t="s">
        <v>307</v>
      </c>
      <c r="I382" t="s">
        <v>260</v>
      </c>
      <c r="J382" t="s">
        <v>34</v>
      </c>
      <c r="K382" t="s">
        <v>187</v>
      </c>
      <c r="L382">
        <v>8128666.9876542883</v>
      </c>
    </row>
    <row r="383" spans="1:12">
      <c r="A383" t="str">
        <f t="shared" si="10"/>
        <v>4.전체_장기재고금액4.전체_장기재고금액INV_LONG_TERM_MTL_13_Over2015</v>
      </c>
      <c r="B383" t="str">
        <f t="shared" si="11"/>
        <v>4.전체_장기재고금액4.전체_장기재고금액INV_LONG_TERM_MTL_13_Over201501</v>
      </c>
      <c r="F383" t="s">
        <v>182</v>
      </c>
      <c r="G383" t="s">
        <v>182</v>
      </c>
      <c r="H383" t="s">
        <v>307</v>
      </c>
      <c r="I383" t="s">
        <v>260</v>
      </c>
      <c r="J383" t="s">
        <v>34</v>
      </c>
      <c r="K383" t="s">
        <v>257</v>
      </c>
      <c r="L383">
        <v>0</v>
      </c>
    </row>
    <row r="384" spans="1:12">
      <c r="A384" t="str">
        <f t="shared" si="10"/>
        <v>4.전체_장기재고금액4.전체_장기재고금액INV_LONG_TERM_MTL_3_62015</v>
      </c>
      <c r="B384" t="str">
        <f t="shared" si="11"/>
        <v>4.전체_장기재고금액4.전체_장기재고금액INV_LONG_TERM_MTL_3_6201501</v>
      </c>
      <c r="F384" t="s">
        <v>182</v>
      </c>
      <c r="G384" t="s">
        <v>182</v>
      </c>
      <c r="H384" t="s">
        <v>307</v>
      </c>
      <c r="I384" t="s">
        <v>260</v>
      </c>
      <c r="J384" t="s">
        <v>34</v>
      </c>
      <c r="K384" t="s">
        <v>258</v>
      </c>
      <c r="L384">
        <v>0</v>
      </c>
    </row>
    <row r="385" spans="1:12">
      <c r="A385" t="str">
        <f t="shared" si="10"/>
        <v>4.전체_장기재고금액4.전체_장기재고금액INV_LONG_TERM_MTL_7_122015</v>
      </c>
      <c r="B385" t="str">
        <f t="shared" si="11"/>
        <v>4.전체_장기재고금액4.전체_장기재고금액INV_LONG_TERM_MTL_7_12201501</v>
      </c>
      <c r="F385" t="s">
        <v>182</v>
      </c>
      <c r="G385" t="s">
        <v>182</v>
      </c>
      <c r="H385" t="s">
        <v>307</v>
      </c>
      <c r="I385" t="s">
        <v>260</v>
      </c>
      <c r="J385" t="s">
        <v>34</v>
      </c>
      <c r="K385" t="s">
        <v>259</v>
      </c>
      <c r="L385">
        <v>0</v>
      </c>
    </row>
    <row r="386" spans="1:12">
      <c r="A386" t="str">
        <f t="shared" si="10"/>
        <v>4.전체_장기재고금액4.전체_장기재고금액INV_LONG_TERM2015</v>
      </c>
      <c r="B386" t="str">
        <f t="shared" si="11"/>
        <v>4.전체_장기재고금액4.전체_장기재고금액INV_LONG_TERM201502</v>
      </c>
      <c r="F386" t="s">
        <v>182</v>
      </c>
      <c r="G386" t="s">
        <v>182</v>
      </c>
      <c r="H386" t="s">
        <v>307</v>
      </c>
      <c r="I386" t="s">
        <v>260</v>
      </c>
      <c r="J386" t="s">
        <v>35</v>
      </c>
      <c r="K386" t="s">
        <v>183</v>
      </c>
      <c r="L386">
        <v>907677.28560780559</v>
      </c>
    </row>
    <row r="387" spans="1:12">
      <c r="A387" t="str">
        <f t="shared" si="10"/>
        <v>4.전체_장기재고금액4.전체_장기재고금액INV_LONG_TERM_13_Over2015</v>
      </c>
      <c r="B387" t="str">
        <f t="shared" si="11"/>
        <v>4.전체_장기재고금액4.전체_장기재고금액INV_LONG_TERM_13_Over201502</v>
      </c>
      <c r="F387" t="s">
        <v>182</v>
      </c>
      <c r="G387" t="s">
        <v>182</v>
      </c>
      <c r="H387" t="s">
        <v>307</v>
      </c>
      <c r="I387" t="s">
        <v>260</v>
      </c>
      <c r="J387" t="s">
        <v>35</v>
      </c>
      <c r="K387" t="s">
        <v>184</v>
      </c>
      <c r="L387">
        <v>19229.817179312216</v>
      </c>
    </row>
    <row r="388" spans="1:12">
      <c r="A388" t="str">
        <f t="shared" si="10"/>
        <v>4.전체_장기재고금액4.전체_장기재고금액INV_LONG_TERM_3_62015</v>
      </c>
      <c r="B388" t="str">
        <f t="shared" si="11"/>
        <v>4.전체_장기재고금액4.전체_장기재고금액INV_LONG_TERM_3_6201502</v>
      </c>
      <c r="F388" t="s">
        <v>182</v>
      </c>
      <c r="G388" t="s">
        <v>182</v>
      </c>
      <c r="H388" t="s">
        <v>307</v>
      </c>
      <c r="I388" t="s">
        <v>260</v>
      </c>
      <c r="J388" t="s">
        <v>35</v>
      </c>
      <c r="K388" t="s">
        <v>185</v>
      </c>
      <c r="L388">
        <v>885671.80861471931</v>
      </c>
    </row>
    <row r="389" spans="1:12">
      <c r="A389" t="str">
        <f t="shared" si="10"/>
        <v>4.전체_장기재고금액4.전체_장기재고금액INV_LONG_TERM_7_122015</v>
      </c>
      <c r="B389" t="str">
        <f t="shared" si="11"/>
        <v>4.전체_장기재고금액4.전체_장기재고금액INV_LONG_TERM_7_12201502</v>
      </c>
      <c r="F389" t="s">
        <v>182</v>
      </c>
      <c r="G389" t="s">
        <v>182</v>
      </c>
      <c r="H389" t="s">
        <v>307</v>
      </c>
      <c r="I389" t="s">
        <v>260</v>
      </c>
      <c r="J389" t="s">
        <v>35</v>
      </c>
      <c r="K389" t="s">
        <v>186</v>
      </c>
      <c r="L389">
        <v>3934.3668223253262</v>
      </c>
    </row>
    <row r="390" spans="1:12">
      <c r="A390" t="str">
        <f t="shared" si="10"/>
        <v>4.전체_장기재고금액4.전체_장기재고금액INV_LONG_TERM_AGING2015</v>
      </c>
      <c r="B390" t="str">
        <f t="shared" si="11"/>
        <v>4.전체_장기재고금액4.전체_장기재고금액INV_LONG_TERM_AGING201502</v>
      </c>
      <c r="F390" t="s">
        <v>182</v>
      </c>
      <c r="G390" t="s">
        <v>182</v>
      </c>
      <c r="H390" t="s">
        <v>307</v>
      </c>
      <c r="I390" t="s">
        <v>260</v>
      </c>
      <c r="J390" t="s">
        <v>35</v>
      </c>
      <c r="K390" t="s">
        <v>256</v>
      </c>
      <c r="L390">
        <v>33384696.291371144</v>
      </c>
    </row>
    <row r="391" spans="1:12">
      <c r="A391" t="str">
        <f t="shared" ref="A391:A454" si="12">F391&amp;G391&amp;K391&amp;I391</f>
        <v>4.전체_장기재고금액4.전체_장기재고금액INV_LONG_TERM_MTL2015</v>
      </c>
      <c r="B391" t="str">
        <f t="shared" ref="B391:B454" si="13">F391&amp;G391&amp;K391&amp;J391</f>
        <v>4.전체_장기재고금액4.전체_장기재고금액INV_LONG_TERM_MTL201502</v>
      </c>
      <c r="F391" t="s">
        <v>182</v>
      </c>
      <c r="G391" t="s">
        <v>182</v>
      </c>
      <c r="H391" t="s">
        <v>307</v>
      </c>
      <c r="I391" t="s">
        <v>260</v>
      </c>
      <c r="J391" t="s">
        <v>35</v>
      </c>
      <c r="K391" t="s">
        <v>187</v>
      </c>
      <c r="L391">
        <v>5492287.603519558</v>
      </c>
    </row>
    <row r="392" spans="1:12">
      <c r="A392" t="str">
        <f t="shared" si="12"/>
        <v>4.전체_장기재고금액4.전체_장기재고금액INV_LONG_TERM_MTL_13_Over2015</v>
      </c>
      <c r="B392" t="str">
        <f t="shared" si="13"/>
        <v>4.전체_장기재고금액4.전체_장기재고금액INV_LONG_TERM_MTL_13_Over201502</v>
      </c>
      <c r="F392" t="s">
        <v>182</v>
      </c>
      <c r="G392" t="s">
        <v>182</v>
      </c>
      <c r="H392" t="s">
        <v>307</v>
      </c>
      <c r="I392" t="s">
        <v>260</v>
      </c>
      <c r="J392" t="s">
        <v>35</v>
      </c>
      <c r="K392" t="s">
        <v>257</v>
      </c>
      <c r="L392">
        <v>0</v>
      </c>
    </row>
    <row r="393" spans="1:12">
      <c r="A393" t="str">
        <f t="shared" si="12"/>
        <v>4.전체_장기재고금액4.전체_장기재고금액INV_LONG_TERM_MTL_3_62015</v>
      </c>
      <c r="B393" t="str">
        <f t="shared" si="13"/>
        <v>4.전체_장기재고금액4.전체_장기재고금액INV_LONG_TERM_MTL_3_6201502</v>
      </c>
      <c r="F393" t="s">
        <v>182</v>
      </c>
      <c r="G393" t="s">
        <v>182</v>
      </c>
      <c r="H393" t="s">
        <v>307</v>
      </c>
      <c r="I393" t="s">
        <v>260</v>
      </c>
      <c r="J393" t="s">
        <v>35</v>
      </c>
      <c r="K393" t="s">
        <v>258</v>
      </c>
      <c r="L393">
        <v>0</v>
      </c>
    </row>
    <row r="394" spans="1:12">
      <c r="A394" t="str">
        <f t="shared" si="12"/>
        <v>4.전체_장기재고금액4.전체_장기재고금액INV_LONG_TERM_MTL_7_122015</v>
      </c>
      <c r="B394" t="str">
        <f t="shared" si="13"/>
        <v>4.전체_장기재고금액4.전체_장기재고금액INV_LONG_TERM_MTL_7_12201502</v>
      </c>
      <c r="F394" t="s">
        <v>182</v>
      </c>
      <c r="G394" t="s">
        <v>182</v>
      </c>
      <c r="H394" t="s">
        <v>307</v>
      </c>
      <c r="I394" t="s">
        <v>260</v>
      </c>
      <c r="J394" t="s">
        <v>35</v>
      </c>
      <c r="K394" t="s">
        <v>259</v>
      </c>
      <c r="L394">
        <v>0</v>
      </c>
    </row>
    <row r="395" spans="1:12">
      <c r="A395" t="str">
        <f t="shared" si="12"/>
        <v>4.전체_장기재고금액4.전체_장기재고금액INV_LONG_TERM2015</v>
      </c>
      <c r="B395" t="str">
        <f t="shared" si="13"/>
        <v>4.전체_장기재고금액4.전체_장기재고금액INV_LONG_TERM201503</v>
      </c>
      <c r="F395" t="s">
        <v>182</v>
      </c>
      <c r="G395" t="s">
        <v>182</v>
      </c>
      <c r="H395" t="s">
        <v>307</v>
      </c>
      <c r="I395" t="s">
        <v>260</v>
      </c>
      <c r="J395" t="s">
        <v>36</v>
      </c>
      <c r="K395" t="s">
        <v>183</v>
      </c>
      <c r="L395">
        <v>659569.15656542988</v>
      </c>
    </row>
    <row r="396" spans="1:12">
      <c r="A396" t="str">
        <f t="shared" si="12"/>
        <v>4.전체_장기재고금액4.전체_장기재고금액INV_LONG_TERM_13_Over2015</v>
      </c>
      <c r="B396" t="str">
        <f t="shared" si="13"/>
        <v>4.전체_장기재고금액4.전체_장기재고금액INV_LONG_TERM_13_Over201503</v>
      </c>
      <c r="F396" t="s">
        <v>182</v>
      </c>
      <c r="G396" t="s">
        <v>182</v>
      </c>
      <c r="H396" t="s">
        <v>307</v>
      </c>
      <c r="I396" t="s">
        <v>260</v>
      </c>
      <c r="J396" t="s">
        <v>36</v>
      </c>
      <c r="K396" t="s">
        <v>184</v>
      </c>
      <c r="L396">
        <v>17919.650082171989</v>
      </c>
    </row>
    <row r="397" spans="1:12">
      <c r="A397" t="str">
        <f t="shared" si="12"/>
        <v>4.전체_장기재고금액4.전체_장기재고금액INV_LONG_TERM_3_62015</v>
      </c>
      <c r="B397" t="str">
        <f t="shared" si="13"/>
        <v>4.전체_장기재고금액4.전체_장기재고금액INV_LONG_TERM_3_6201503</v>
      </c>
      <c r="F397" t="s">
        <v>182</v>
      </c>
      <c r="G397" t="s">
        <v>182</v>
      </c>
      <c r="H397" t="s">
        <v>307</v>
      </c>
      <c r="I397" t="s">
        <v>260</v>
      </c>
      <c r="J397" t="s">
        <v>36</v>
      </c>
      <c r="K397" t="s">
        <v>185</v>
      </c>
      <c r="L397">
        <v>638142.49199239782</v>
      </c>
    </row>
    <row r="398" spans="1:12">
      <c r="A398" t="str">
        <f t="shared" si="12"/>
        <v>4.전체_장기재고금액4.전체_장기재고금액INV_LONG_TERM_7_122015</v>
      </c>
      <c r="B398" t="str">
        <f t="shared" si="13"/>
        <v>4.전체_장기재고금액4.전체_장기재고금액INV_LONG_TERM_7_12201503</v>
      </c>
      <c r="F398" t="s">
        <v>182</v>
      </c>
      <c r="G398" t="s">
        <v>182</v>
      </c>
      <c r="H398" t="s">
        <v>307</v>
      </c>
      <c r="I398" t="s">
        <v>260</v>
      </c>
      <c r="J398" t="s">
        <v>36</v>
      </c>
      <c r="K398" t="s">
        <v>186</v>
      </c>
      <c r="L398">
        <v>3715.2885017194485</v>
      </c>
    </row>
    <row r="399" spans="1:12">
      <c r="A399" t="str">
        <f t="shared" si="12"/>
        <v>4.전체_장기재고금액4.전체_장기재고금액INV_LONG_TERM_AGING2015</v>
      </c>
      <c r="B399" t="str">
        <f t="shared" si="13"/>
        <v>4.전체_장기재고금액4.전체_장기재고금액INV_LONG_TERM_AGING201503</v>
      </c>
      <c r="F399" t="s">
        <v>182</v>
      </c>
      <c r="G399" t="s">
        <v>182</v>
      </c>
      <c r="H399" t="s">
        <v>307</v>
      </c>
      <c r="I399" t="s">
        <v>260</v>
      </c>
      <c r="J399" t="s">
        <v>36</v>
      </c>
      <c r="K399" t="s">
        <v>256</v>
      </c>
      <c r="L399">
        <v>32111342.842466298</v>
      </c>
    </row>
    <row r="400" spans="1:12">
      <c r="A400" t="str">
        <f t="shared" si="12"/>
        <v>4.전체_장기재고금액4.전체_장기재고금액INV_LONG_TERM_MTL2015</v>
      </c>
      <c r="B400" t="str">
        <f t="shared" si="13"/>
        <v>4.전체_장기재고금액4.전체_장기재고금액INV_LONG_TERM_MTL201503</v>
      </c>
      <c r="F400" t="s">
        <v>182</v>
      </c>
      <c r="G400" t="s">
        <v>182</v>
      </c>
      <c r="H400" t="s">
        <v>307</v>
      </c>
      <c r="I400" t="s">
        <v>260</v>
      </c>
      <c r="J400" t="s">
        <v>36</v>
      </c>
      <c r="K400" t="s">
        <v>187</v>
      </c>
      <c r="L400">
        <v>4773327.4514378309</v>
      </c>
    </row>
    <row r="401" spans="1:12">
      <c r="A401" t="str">
        <f t="shared" si="12"/>
        <v>4.전체_장기재고금액4.전체_장기재고금액INV_LONG_TERM_MTL_13_Over2015</v>
      </c>
      <c r="B401" t="str">
        <f t="shared" si="13"/>
        <v>4.전체_장기재고금액4.전체_장기재고금액INV_LONG_TERM_MTL_13_Over201503</v>
      </c>
      <c r="F401" t="s">
        <v>182</v>
      </c>
      <c r="G401" t="s">
        <v>182</v>
      </c>
      <c r="H401" t="s">
        <v>307</v>
      </c>
      <c r="I401" t="s">
        <v>260</v>
      </c>
      <c r="J401" t="s">
        <v>36</v>
      </c>
      <c r="K401" t="s">
        <v>257</v>
      </c>
      <c r="L401">
        <v>0</v>
      </c>
    </row>
    <row r="402" spans="1:12">
      <c r="A402" t="str">
        <f t="shared" si="12"/>
        <v>4.전체_장기재고금액4.전체_장기재고금액INV_LONG_TERM_MTL_3_62015</v>
      </c>
      <c r="B402" t="str">
        <f t="shared" si="13"/>
        <v>4.전체_장기재고금액4.전체_장기재고금액INV_LONG_TERM_MTL_3_6201503</v>
      </c>
      <c r="F402" t="s">
        <v>182</v>
      </c>
      <c r="G402" t="s">
        <v>182</v>
      </c>
      <c r="H402" t="s">
        <v>307</v>
      </c>
      <c r="I402" t="s">
        <v>260</v>
      </c>
      <c r="J402" t="s">
        <v>36</v>
      </c>
      <c r="K402" t="s">
        <v>258</v>
      </c>
      <c r="L402">
        <v>0</v>
      </c>
    </row>
    <row r="403" spans="1:12">
      <c r="A403" t="str">
        <f t="shared" si="12"/>
        <v>4.전체_장기재고금액4.전체_장기재고금액INV_LONG_TERM_MTL_7_122015</v>
      </c>
      <c r="B403" t="str">
        <f t="shared" si="13"/>
        <v>4.전체_장기재고금액4.전체_장기재고금액INV_LONG_TERM_MTL_7_12201503</v>
      </c>
      <c r="F403" t="s">
        <v>182</v>
      </c>
      <c r="G403" t="s">
        <v>182</v>
      </c>
      <c r="H403" t="s">
        <v>307</v>
      </c>
      <c r="I403" t="s">
        <v>260</v>
      </c>
      <c r="J403" t="s">
        <v>36</v>
      </c>
      <c r="K403" t="s">
        <v>259</v>
      </c>
      <c r="L403">
        <v>0</v>
      </c>
    </row>
    <row r="404" spans="1:12">
      <c r="A404" t="str">
        <f t="shared" si="12"/>
        <v>4.전체_장기재고금액4.전체_장기재고금액INV_LONG_TERM2015</v>
      </c>
      <c r="B404" t="str">
        <f t="shared" si="13"/>
        <v>4.전체_장기재고금액4.전체_장기재고금액INV_LONG_TERM201504</v>
      </c>
      <c r="F404" t="s">
        <v>182</v>
      </c>
      <c r="G404" t="s">
        <v>182</v>
      </c>
      <c r="H404" t="s">
        <v>307</v>
      </c>
      <c r="I404" t="s">
        <v>260</v>
      </c>
      <c r="J404" t="s">
        <v>37</v>
      </c>
      <c r="K404" t="s">
        <v>183</v>
      </c>
      <c r="L404">
        <v>1073756.7986527481</v>
      </c>
    </row>
    <row r="405" spans="1:12">
      <c r="A405" t="str">
        <f t="shared" si="12"/>
        <v>4.전체_장기재고금액4.전체_장기재고금액INV_LONG_TERM_13_Over2015</v>
      </c>
      <c r="B405" t="str">
        <f t="shared" si="13"/>
        <v>4.전체_장기재고금액4.전체_장기재고금액INV_LONG_TERM_13_Over201504</v>
      </c>
      <c r="F405" t="s">
        <v>182</v>
      </c>
      <c r="G405" t="s">
        <v>182</v>
      </c>
      <c r="H405" t="s">
        <v>307</v>
      </c>
      <c r="I405" t="s">
        <v>260</v>
      </c>
      <c r="J405" t="s">
        <v>37</v>
      </c>
      <c r="K405" t="s">
        <v>184</v>
      </c>
      <c r="L405">
        <v>18667.545926411341</v>
      </c>
    </row>
    <row r="406" spans="1:12">
      <c r="A406" t="str">
        <f t="shared" si="12"/>
        <v>4.전체_장기재고금액4.전체_장기재고금액INV_LONG_TERM_3_62015</v>
      </c>
      <c r="B406" t="str">
        <f t="shared" si="13"/>
        <v>4.전체_장기재고금액4.전체_장기재고금액INV_LONG_TERM_3_6201504</v>
      </c>
      <c r="F406" t="s">
        <v>182</v>
      </c>
      <c r="G406" t="s">
        <v>182</v>
      </c>
      <c r="H406" t="s">
        <v>307</v>
      </c>
      <c r="I406" t="s">
        <v>260</v>
      </c>
      <c r="J406" t="s">
        <v>37</v>
      </c>
      <c r="K406" t="s">
        <v>185</v>
      </c>
      <c r="L406">
        <v>1051795.1405275722</v>
      </c>
    </row>
    <row r="407" spans="1:12">
      <c r="A407" t="str">
        <f t="shared" si="12"/>
        <v>4.전체_장기재고금액4.전체_장기재고금액INV_LONG_TERM_7_122015</v>
      </c>
      <c r="B407" t="str">
        <f t="shared" si="13"/>
        <v>4.전체_장기재고금액4.전체_장기재고금액INV_LONG_TERM_7_12201504</v>
      </c>
      <c r="F407" t="s">
        <v>182</v>
      </c>
      <c r="G407" t="s">
        <v>182</v>
      </c>
      <c r="H407" t="s">
        <v>307</v>
      </c>
      <c r="I407" t="s">
        <v>260</v>
      </c>
      <c r="J407" t="s">
        <v>37</v>
      </c>
      <c r="K407" t="s">
        <v>186</v>
      </c>
      <c r="L407">
        <v>4199.4789823050296</v>
      </c>
    </row>
    <row r="408" spans="1:12">
      <c r="A408" t="str">
        <f t="shared" si="12"/>
        <v>4.전체_장기재고금액4.전체_장기재고금액INV_LONG_TERM_AGING2015</v>
      </c>
      <c r="B408" t="str">
        <f t="shared" si="13"/>
        <v>4.전체_장기재고금액4.전체_장기재고금액INV_LONG_TERM_AGING201504</v>
      </c>
      <c r="F408" t="s">
        <v>182</v>
      </c>
      <c r="G408" t="s">
        <v>182</v>
      </c>
      <c r="H408" t="s">
        <v>307</v>
      </c>
      <c r="I408" t="s">
        <v>260</v>
      </c>
      <c r="J408" t="s">
        <v>37</v>
      </c>
      <c r="K408" t="s">
        <v>256</v>
      </c>
      <c r="L408">
        <v>32104666.449209385</v>
      </c>
    </row>
    <row r="409" spans="1:12">
      <c r="A409" t="str">
        <f t="shared" si="12"/>
        <v>4.전체_장기재고금액4.전체_장기재고금액INV_LONG_TERM_MTL2015</v>
      </c>
      <c r="B409" t="str">
        <f t="shared" si="13"/>
        <v>4.전체_장기재고금액4.전체_장기재고금액INV_LONG_TERM_MTL201504</v>
      </c>
      <c r="F409" t="s">
        <v>182</v>
      </c>
      <c r="G409" t="s">
        <v>182</v>
      </c>
      <c r="H409" t="s">
        <v>307</v>
      </c>
      <c r="I409" t="s">
        <v>260</v>
      </c>
      <c r="J409" t="s">
        <v>37</v>
      </c>
      <c r="K409" t="s">
        <v>187</v>
      </c>
      <c r="L409">
        <v>3506553.0259343684</v>
      </c>
    </row>
    <row r="410" spans="1:12">
      <c r="A410" t="str">
        <f t="shared" si="12"/>
        <v>4.전체_장기재고금액4.전체_장기재고금액INV_LONG_TERM_MTL_13_Over2015</v>
      </c>
      <c r="B410" t="str">
        <f t="shared" si="13"/>
        <v>4.전체_장기재고금액4.전체_장기재고금액INV_LONG_TERM_MTL_13_Over201504</v>
      </c>
      <c r="F410" t="s">
        <v>182</v>
      </c>
      <c r="G410" t="s">
        <v>182</v>
      </c>
      <c r="H410" t="s">
        <v>307</v>
      </c>
      <c r="I410" t="s">
        <v>260</v>
      </c>
      <c r="J410" t="s">
        <v>37</v>
      </c>
      <c r="K410" t="s">
        <v>257</v>
      </c>
      <c r="L410">
        <v>0</v>
      </c>
    </row>
    <row r="411" spans="1:12">
      <c r="A411" t="str">
        <f t="shared" si="12"/>
        <v>4.전체_장기재고금액4.전체_장기재고금액INV_LONG_TERM_MTL_3_62015</v>
      </c>
      <c r="B411" t="str">
        <f t="shared" si="13"/>
        <v>4.전체_장기재고금액4.전체_장기재고금액INV_LONG_TERM_MTL_3_6201504</v>
      </c>
      <c r="F411" t="s">
        <v>182</v>
      </c>
      <c r="G411" t="s">
        <v>182</v>
      </c>
      <c r="H411" t="s">
        <v>307</v>
      </c>
      <c r="I411" t="s">
        <v>260</v>
      </c>
      <c r="J411" t="s">
        <v>37</v>
      </c>
      <c r="K411" t="s">
        <v>258</v>
      </c>
      <c r="L411">
        <v>0</v>
      </c>
    </row>
    <row r="412" spans="1:12">
      <c r="A412" t="str">
        <f t="shared" si="12"/>
        <v>4.전체_장기재고금액4.전체_장기재고금액INV_LONG_TERM_MTL_7_122015</v>
      </c>
      <c r="B412" t="str">
        <f t="shared" si="13"/>
        <v>4.전체_장기재고금액4.전체_장기재고금액INV_LONG_TERM_MTL_7_12201504</v>
      </c>
      <c r="F412" t="s">
        <v>182</v>
      </c>
      <c r="G412" t="s">
        <v>182</v>
      </c>
      <c r="H412" t="s">
        <v>307</v>
      </c>
      <c r="I412" t="s">
        <v>260</v>
      </c>
      <c r="J412" t="s">
        <v>37</v>
      </c>
      <c r="K412" t="s">
        <v>259</v>
      </c>
      <c r="L412">
        <v>0</v>
      </c>
    </row>
    <row r="413" spans="1:12">
      <c r="A413" t="str">
        <f t="shared" si="12"/>
        <v>4.전체_장기재고금액4.전체_장기재고금액INV_LONG_TERM2015</v>
      </c>
      <c r="B413" t="str">
        <f t="shared" si="13"/>
        <v>4.전체_장기재고금액4.전체_장기재고금액INV_LONG_TERM201505</v>
      </c>
      <c r="F413" t="s">
        <v>182</v>
      </c>
      <c r="G413" t="s">
        <v>182</v>
      </c>
      <c r="H413" t="s">
        <v>307</v>
      </c>
      <c r="I413" t="s">
        <v>260</v>
      </c>
      <c r="J413" t="s">
        <v>38</v>
      </c>
      <c r="K413" t="s">
        <v>183</v>
      </c>
      <c r="L413">
        <v>1187438.6714879058</v>
      </c>
    </row>
    <row r="414" spans="1:12">
      <c r="A414" t="str">
        <f t="shared" si="12"/>
        <v>4.전체_장기재고금액4.전체_장기재고금액INV_LONG_TERM_13_Over2015</v>
      </c>
      <c r="B414" t="str">
        <f t="shared" si="13"/>
        <v>4.전체_장기재고금액4.전체_장기재고금액INV_LONG_TERM_13_Over201505</v>
      </c>
      <c r="F414" t="s">
        <v>182</v>
      </c>
      <c r="G414" t="s">
        <v>182</v>
      </c>
      <c r="H414" t="s">
        <v>307</v>
      </c>
      <c r="I414" t="s">
        <v>260</v>
      </c>
      <c r="J414" t="s">
        <v>38</v>
      </c>
      <c r="K414" t="s">
        <v>184</v>
      </c>
      <c r="L414">
        <v>8382.7578664259872</v>
      </c>
    </row>
    <row r="415" spans="1:12">
      <c r="A415" t="str">
        <f t="shared" si="12"/>
        <v>4.전체_장기재고금액4.전체_장기재고금액INV_LONG_TERM_3_62015</v>
      </c>
      <c r="B415" t="str">
        <f t="shared" si="13"/>
        <v>4.전체_장기재고금액4.전체_장기재고금액INV_LONG_TERM_3_6201505</v>
      </c>
      <c r="F415" t="s">
        <v>182</v>
      </c>
      <c r="G415" t="s">
        <v>182</v>
      </c>
      <c r="H415" t="s">
        <v>307</v>
      </c>
      <c r="I415" t="s">
        <v>260</v>
      </c>
      <c r="J415" t="s">
        <v>38</v>
      </c>
      <c r="K415" t="s">
        <v>185</v>
      </c>
      <c r="L415">
        <v>1170968.0444958473</v>
      </c>
    </row>
    <row r="416" spans="1:12">
      <c r="A416" t="str">
        <f t="shared" si="12"/>
        <v>4.전체_장기재고금액4.전체_장기재고금액INV_LONG_TERM_7_122015</v>
      </c>
      <c r="B416" t="str">
        <f t="shared" si="13"/>
        <v>4.전체_장기재고금액4.전체_장기재고금액INV_LONG_TERM_7_12201505</v>
      </c>
      <c r="F416" t="s">
        <v>182</v>
      </c>
      <c r="G416" t="s">
        <v>182</v>
      </c>
      <c r="H416" t="s">
        <v>307</v>
      </c>
      <c r="I416" t="s">
        <v>260</v>
      </c>
      <c r="J416" t="s">
        <v>38</v>
      </c>
      <c r="K416" t="s">
        <v>186</v>
      </c>
      <c r="L416">
        <v>9975.2306050541556</v>
      </c>
    </row>
    <row r="417" spans="1:12">
      <c r="A417" t="str">
        <f t="shared" si="12"/>
        <v>4.전체_장기재고금액4.전체_장기재고금액INV_LONG_TERM_AGING2015</v>
      </c>
      <c r="B417" t="str">
        <f t="shared" si="13"/>
        <v>4.전체_장기재고금액4.전체_장기재고금액INV_LONG_TERM_AGING201505</v>
      </c>
      <c r="F417" t="s">
        <v>182</v>
      </c>
      <c r="G417" t="s">
        <v>182</v>
      </c>
      <c r="H417" t="s">
        <v>307</v>
      </c>
      <c r="I417" t="s">
        <v>260</v>
      </c>
      <c r="J417" t="s">
        <v>38</v>
      </c>
      <c r="K417" t="s">
        <v>256</v>
      </c>
      <c r="L417">
        <v>33927097.762167789</v>
      </c>
    </row>
    <row r="418" spans="1:12">
      <c r="A418" t="str">
        <f t="shared" si="12"/>
        <v>4.전체_장기재고금액4.전체_장기재고금액INV_LONG_TERM_MTL2015</v>
      </c>
      <c r="B418" t="str">
        <f t="shared" si="13"/>
        <v>4.전체_장기재고금액4.전체_장기재고금액INV_LONG_TERM_MTL201505</v>
      </c>
      <c r="F418" t="s">
        <v>182</v>
      </c>
      <c r="G418" t="s">
        <v>182</v>
      </c>
      <c r="H418" t="s">
        <v>307</v>
      </c>
      <c r="I418" t="s">
        <v>260</v>
      </c>
      <c r="J418" t="s">
        <v>38</v>
      </c>
      <c r="K418" t="s">
        <v>187</v>
      </c>
      <c r="L418">
        <v>6761403.9714906951</v>
      </c>
    </row>
    <row r="419" spans="1:12">
      <c r="A419" t="str">
        <f t="shared" si="12"/>
        <v>4.전체_장기재고금액4.전체_장기재고금액INV_LONG_TERM_MTL_13_Over2015</v>
      </c>
      <c r="B419" t="str">
        <f t="shared" si="13"/>
        <v>4.전체_장기재고금액4.전체_장기재고금액INV_LONG_TERM_MTL_13_Over201505</v>
      </c>
      <c r="F419" t="s">
        <v>182</v>
      </c>
      <c r="G419" t="s">
        <v>182</v>
      </c>
      <c r="H419" t="s">
        <v>307</v>
      </c>
      <c r="I419" t="s">
        <v>260</v>
      </c>
      <c r="J419" t="s">
        <v>38</v>
      </c>
      <c r="K419" t="s">
        <v>257</v>
      </c>
      <c r="L419">
        <v>0</v>
      </c>
    </row>
    <row r="420" spans="1:12">
      <c r="A420" t="str">
        <f t="shared" si="12"/>
        <v>4.전체_장기재고금액4.전체_장기재고금액INV_LONG_TERM_MTL_3_62015</v>
      </c>
      <c r="B420" t="str">
        <f t="shared" si="13"/>
        <v>4.전체_장기재고금액4.전체_장기재고금액INV_LONG_TERM_MTL_3_6201505</v>
      </c>
      <c r="F420" t="s">
        <v>182</v>
      </c>
      <c r="G420" t="s">
        <v>182</v>
      </c>
      <c r="H420" t="s">
        <v>307</v>
      </c>
      <c r="I420" t="s">
        <v>260</v>
      </c>
      <c r="J420" t="s">
        <v>38</v>
      </c>
      <c r="K420" t="s">
        <v>258</v>
      </c>
      <c r="L420">
        <v>0</v>
      </c>
    </row>
    <row r="421" spans="1:12">
      <c r="A421" t="str">
        <f t="shared" si="12"/>
        <v>4.전체_장기재고금액4.전체_장기재고금액INV_LONG_TERM_MTL_7_122015</v>
      </c>
      <c r="B421" t="str">
        <f t="shared" si="13"/>
        <v>4.전체_장기재고금액4.전체_장기재고금액INV_LONG_TERM_MTL_7_12201505</v>
      </c>
      <c r="F421" t="s">
        <v>182</v>
      </c>
      <c r="G421" t="s">
        <v>182</v>
      </c>
      <c r="H421" t="s">
        <v>307</v>
      </c>
      <c r="I421" t="s">
        <v>260</v>
      </c>
      <c r="J421" t="s">
        <v>38</v>
      </c>
      <c r="K421" t="s">
        <v>259</v>
      </c>
      <c r="L421">
        <v>0</v>
      </c>
    </row>
    <row r="422" spans="1:12">
      <c r="A422" t="str">
        <f t="shared" si="12"/>
        <v>4.전체_장기재고금액4.전체_장기재고금액INV_LONG_TERM2015</v>
      </c>
      <c r="B422" t="str">
        <f t="shared" si="13"/>
        <v>4.전체_장기재고금액4.전체_장기재고금액INV_LONG_TERM201506</v>
      </c>
      <c r="F422" t="s">
        <v>182</v>
      </c>
      <c r="G422" t="s">
        <v>182</v>
      </c>
      <c r="H422" t="s">
        <v>307</v>
      </c>
      <c r="I422" t="s">
        <v>260</v>
      </c>
      <c r="J422" t="s">
        <v>39</v>
      </c>
      <c r="K422" t="s">
        <v>183</v>
      </c>
      <c r="L422">
        <v>1395297.0746161374</v>
      </c>
    </row>
    <row r="423" spans="1:12">
      <c r="A423" t="str">
        <f t="shared" si="12"/>
        <v>4.전체_장기재고금액4.전체_장기재고금액INV_LONG_TERM_13_Over2015</v>
      </c>
      <c r="B423" t="str">
        <f t="shared" si="13"/>
        <v>4.전체_장기재고금액4.전체_장기재고금액INV_LONG_TERM_13_Over201506</v>
      </c>
      <c r="F423" t="s">
        <v>182</v>
      </c>
      <c r="G423" t="s">
        <v>182</v>
      </c>
      <c r="H423" t="s">
        <v>307</v>
      </c>
      <c r="I423" t="s">
        <v>260</v>
      </c>
      <c r="J423" t="s">
        <v>39</v>
      </c>
      <c r="K423" t="s">
        <v>184</v>
      </c>
      <c r="L423">
        <v>6043.0431091539858</v>
      </c>
    </row>
    <row r="424" spans="1:12">
      <c r="A424" t="str">
        <f t="shared" si="12"/>
        <v>4.전체_장기재고금액4.전체_장기재고금액INV_LONG_TERM_3_62015</v>
      </c>
      <c r="B424" t="str">
        <f t="shared" si="13"/>
        <v>4.전체_장기재고금액4.전체_장기재고금액INV_LONG_TERM_3_6201506</v>
      </c>
      <c r="F424" t="s">
        <v>182</v>
      </c>
      <c r="G424" t="s">
        <v>182</v>
      </c>
      <c r="H424" t="s">
        <v>307</v>
      </c>
      <c r="I424" t="s">
        <v>260</v>
      </c>
      <c r="J424" t="s">
        <v>39</v>
      </c>
      <c r="K424" t="s">
        <v>185</v>
      </c>
      <c r="L424">
        <v>1348078.142038964</v>
      </c>
    </row>
    <row r="425" spans="1:12">
      <c r="A425" t="str">
        <f t="shared" si="12"/>
        <v>4.전체_장기재고금액4.전체_장기재고금액INV_LONG_TERM_7_122015</v>
      </c>
      <c r="B425" t="str">
        <f t="shared" si="13"/>
        <v>4.전체_장기재고금액4.전체_장기재고금액INV_LONG_TERM_7_12201506</v>
      </c>
      <c r="F425" t="s">
        <v>182</v>
      </c>
      <c r="G425" t="s">
        <v>182</v>
      </c>
      <c r="H425" t="s">
        <v>307</v>
      </c>
      <c r="I425" t="s">
        <v>260</v>
      </c>
      <c r="J425" t="s">
        <v>39</v>
      </c>
      <c r="K425" t="s">
        <v>186</v>
      </c>
      <c r="L425">
        <v>55392.13949515175</v>
      </c>
    </row>
    <row r="426" spans="1:12">
      <c r="A426" t="str">
        <f t="shared" si="12"/>
        <v>4.전체_장기재고금액4.전체_장기재고금액INV_LONG_TERM_AGING2015</v>
      </c>
      <c r="B426" t="str">
        <f t="shared" si="13"/>
        <v>4.전체_장기재고금액4.전체_장기재고금액INV_LONG_TERM_AGING201506</v>
      </c>
      <c r="F426" t="s">
        <v>182</v>
      </c>
      <c r="G426" t="s">
        <v>182</v>
      </c>
      <c r="H426" t="s">
        <v>307</v>
      </c>
      <c r="I426" t="s">
        <v>260</v>
      </c>
      <c r="J426" t="s">
        <v>39</v>
      </c>
      <c r="K426" t="s">
        <v>256</v>
      </c>
      <c r="L426">
        <v>35603075.981120914</v>
      </c>
    </row>
    <row r="427" spans="1:12">
      <c r="A427" t="str">
        <f t="shared" si="12"/>
        <v>4.전체_장기재고금액4.전체_장기재고금액INV_LONG_TERM_MTL2015</v>
      </c>
      <c r="B427" t="str">
        <f t="shared" si="13"/>
        <v>4.전체_장기재고금액4.전체_장기재고금액INV_LONG_TERM_MTL201506</v>
      </c>
      <c r="F427" t="s">
        <v>182</v>
      </c>
      <c r="G427" t="s">
        <v>182</v>
      </c>
      <c r="H427" t="s">
        <v>307</v>
      </c>
      <c r="I427" t="s">
        <v>260</v>
      </c>
      <c r="J427" t="s">
        <v>39</v>
      </c>
      <c r="K427" t="s">
        <v>187</v>
      </c>
      <c r="L427">
        <v>6957154.7637283178</v>
      </c>
    </row>
    <row r="428" spans="1:12">
      <c r="A428" t="str">
        <f t="shared" si="12"/>
        <v>4.전체_장기재고금액4.전체_장기재고금액INV_LONG_TERM_MTL_13_Over2015</v>
      </c>
      <c r="B428" t="str">
        <f t="shared" si="13"/>
        <v>4.전체_장기재고금액4.전체_장기재고금액INV_LONG_TERM_MTL_13_Over201506</v>
      </c>
      <c r="F428" t="s">
        <v>182</v>
      </c>
      <c r="G428" t="s">
        <v>182</v>
      </c>
      <c r="H428" t="s">
        <v>307</v>
      </c>
      <c r="I428" t="s">
        <v>260</v>
      </c>
      <c r="J428" t="s">
        <v>39</v>
      </c>
      <c r="K428" t="s">
        <v>257</v>
      </c>
      <c r="L428">
        <v>0</v>
      </c>
    </row>
    <row r="429" spans="1:12">
      <c r="A429" t="str">
        <f t="shared" si="12"/>
        <v>4.전체_장기재고금액4.전체_장기재고금액INV_LONG_TERM_MTL_3_62015</v>
      </c>
      <c r="B429" t="str">
        <f t="shared" si="13"/>
        <v>4.전체_장기재고금액4.전체_장기재고금액INV_LONG_TERM_MTL_3_6201506</v>
      </c>
      <c r="F429" t="s">
        <v>182</v>
      </c>
      <c r="G429" t="s">
        <v>182</v>
      </c>
      <c r="H429" t="s">
        <v>307</v>
      </c>
      <c r="I429" t="s">
        <v>260</v>
      </c>
      <c r="J429" t="s">
        <v>39</v>
      </c>
      <c r="K429" t="s">
        <v>258</v>
      </c>
      <c r="L429">
        <v>0</v>
      </c>
    </row>
    <row r="430" spans="1:12">
      <c r="A430" t="str">
        <f t="shared" si="12"/>
        <v>4.전체_장기재고금액4.전체_장기재고금액INV_LONG_TERM_MTL_7_122015</v>
      </c>
      <c r="B430" t="str">
        <f t="shared" si="13"/>
        <v>4.전체_장기재고금액4.전체_장기재고금액INV_LONG_TERM_MTL_7_12201506</v>
      </c>
      <c r="F430" t="s">
        <v>182</v>
      </c>
      <c r="G430" t="s">
        <v>182</v>
      </c>
      <c r="H430" t="s">
        <v>307</v>
      </c>
      <c r="I430" t="s">
        <v>260</v>
      </c>
      <c r="J430" t="s">
        <v>39</v>
      </c>
      <c r="K430" t="s">
        <v>259</v>
      </c>
      <c r="L430">
        <v>0</v>
      </c>
    </row>
    <row r="431" spans="1:12">
      <c r="A431" t="str">
        <f t="shared" si="12"/>
        <v>4.전체_장기재고금액4.전체_장기재고금액INV_LONG_TERM2015</v>
      </c>
      <c r="B431" t="str">
        <f t="shared" si="13"/>
        <v>4.전체_장기재고금액4.전체_장기재고금액INV_LONG_TERM201507</v>
      </c>
      <c r="F431" t="s">
        <v>182</v>
      </c>
      <c r="G431" t="s">
        <v>182</v>
      </c>
      <c r="H431" t="s">
        <v>307</v>
      </c>
      <c r="I431" t="s">
        <v>260</v>
      </c>
      <c r="J431" t="s">
        <v>40</v>
      </c>
      <c r="K431" t="s">
        <v>183</v>
      </c>
      <c r="L431">
        <v>1149588.9191449035</v>
      </c>
    </row>
    <row r="432" spans="1:12">
      <c r="A432" t="str">
        <f t="shared" si="12"/>
        <v>4.전체_장기재고금액4.전체_장기재고금액INV_LONG_TERM_13_Over2015</v>
      </c>
      <c r="B432" t="str">
        <f t="shared" si="13"/>
        <v>4.전체_장기재고금액4.전체_장기재고금액INV_LONG_TERM_13_Over201507</v>
      </c>
      <c r="F432" t="s">
        <v>182</v>
      </c>
      <c r="G432" t="s">
        <v>182</v>
      </c>
      <c r="H432" t="s">
        <v>307</v>
      </c>
      <c r="I432" t="s">
        <v>260</v>
      </c>
      <c r="J432" t="s">
        <v>40</v>
      </c>
      <c r="K432" t="s">
        <v>184</v>
      </c>
      <c r="L432">
        <v>7570.1422024350522</v>
      </c>
    </row>
    <row r="433" spans="1:12">
      <c r="A433" t="str">
        <f t="shared" si="12"/>
        <v>4.전체_장기재고금액4.전체_장기재고금액INV_LONG_TERM_3_62015</v>
      </c>
      <c r="B433" t="str">
        <f t="shared" si="13"/>
        <v>4.전체_장기재고금액4.전체_장기재고금액INV_LONG_TERM_3_6201507</v>
      </c>
      <c r="F433" t="s">
        <v>182</v>
      </c>
      <c r="G433" t="s">
        <v>182</v>
      </c>
      <c r="H433" t="s">
        <v>307</v>
      </c>
      <c r="I433" t="s">
        <v>260</v>
      </c>
      <c r="J433" t="s">
        <v>40</v>
      </c>
      <c r="K433" t="s">
        <v>185</v>
      </c>
      <c r="L433">
        <v>1134175.1688769616</v>
      </c>
    </row>
    <row r="434" spans="1:12">
      <c r="A434" t="str">
        <f t="shared" si="12"/>
        <v>4.전체_장기재고금액4.전체_장기재고금액INV_LONG_TERM_7_122015</v>
      </c>
      <c r="B434" t="str">
        <f t="shared" si="13"/>
        <v>4.전체_장기재고금액4.전체_장기재고금액INV_LONG_TERM_7_12201507</v>
      </c>
      <c r="F434" t="s">
        <v>182</v>
      </c>
      <c r="G434" t="s">
        <v>182</v>
      </c>
      <c r="H434" t="s">
        <v>307</v>
      </c>
      <c r="I434" t="s">
        <v>260</v>
      </c>
      <c r="J434" t="s">
        <v>40</v>
      </c>
      <c r="K434" t="s">
        <v>186</v>
      </c>
      <c r="L434">
        <v>21597.391998456656</v>
      </c>
    </row>
    <row r="435" spans="1:12">
      <c r="A435" t="str">
        <f t="shared" si="12"/>
        <v>4.전체_장기재고금액4.전체_장기재고금액INV_LONG_TERM_AGING2015</v>
      </c>
      <c r="B435" t="str">
        <f t="shared" si="13"/>
        <v>4.전체_장기재고금액4.전체_장기재고금액INV_LONG_TERM_AGING201507</v>
      </c>
      <c r="F435" t="s">
        <v>182</v>
      </c>
      <c r="G435" t="s">
        <v>182</v>
      </c>
      <c r="H435" t="s">
        <v>307</v>
      </c>
      <c r="I435" t="s">
        <v>260</v>
      </c>
      <c r="J435" t="s">
        <v>40</v>
      </c>
      <c r="K435" t="s">
        <v>256</v>
      </c>
      <c r="L435">
        <v>36169613.538944744</v>
      </c>
    </row>
    <row r="436" spans="1:12">
      <c r="A436" t="str">
        <f t="shared" si="12"/>
        <v>4.전체_장기재고금액4.전체_장기재고금액INV_LONG_TERM_MTL2015</v>
      </c>
      <c r="B436" t="str">
        <f t="shared" si="13"/>
        <v>4.전체_장기재고금액4.전체_장기재고금액INV_LONG_TERM_MTL201507</v>
      </c>
      <c r="F436" t="s">
        <v>182</v>
      </c>
      <c r="G436" t="s">
        <v>182</v>
      </c>
      <c r="H436" t="s">
        <v>307</v>
      </c>
      <c r="I436" t="s">
        <v>260</v>
      </c>
      <c r="J436" t="s">
        <v>40</v>
      </c>
      <c r="K436" t="s">
        <v>187</v>
      </c>
      <c r="L436">
        <v>7206753.9593072943</v>
      </c>
    </row>
    <row r="437" spans="1:12">
      <c r="A437" t="str">
        <f t="shared" si="12"/>
        <v>4.전체_장기재고금액4.전체_장기재고금액INV_LONG_TERM_MTL_13_Over2015</v>
      </c>
      <c r="B437" t="str">
        <f t="shared" si="13"/>
        <v>4.전체_장기재고금액4.전체_장기재고금액INV_LONG_TERM_MTL_13_Over201507</v>
      </c>
      <c r="F437" t="s">
        <v>182</v>
      </c>
      <c r="G437" t="s">
        <v>182</v>
      </c>
      <c r="H437" t="s">
        <v>307</v>
      </c>
      <c r="I437" t="s">
        <v>260</v>
      </c>
      <c r="J437" t="s">
        <v>40</v>
      </c>
      <c r="K437" t="s">
        <v>257</v>
      </c>
      <c r="L437">
        <v>0</v>
      </c>
    </row>
    <row r="438" spans="1:12">
      <c r="A438" t="str">
        <f t="shared" si="12"/>
        <v>4.전체_장기재고금액4.전체_장기재고금액INV_LONG_TERM_MTL_3_62015</v>
      </c>
      <c r="B438" t="str">
        <f t="shared" si="13"/>
        <v>4.전체_장기재고금액4.전체_장기재고금액INV_LONG_TERM_MTL_3_6201507</v>
      </c>
      <c r="F438" t="s">
        <v>182</v>
      </c>
      <c r="G438" t="s">
        <v>182</v>
      </c>
      <c r="H438" t="s">
        <v>307</v>
      </c>
      <c r="I438" t="s">
        <v>260</v>
      </c>
      <c r="J438" t="s">
        <v>40</v>
      </c>
      <c r="K438" t="s">
        <v>258</v>
      </c>
      <c r="L438">
        <v>0</v>
      </c>
    </row>
    <row r="439" spans="1:12">
      <c r="A439" t="str">
        <f t="shared" si="12"/>
        <v>4.전체_장기재고금액4.전체_장기재고금액INV_LONG_TERM_MTL_7_122015</v>
      </c>
      <c r="B439" t="str">
        <f t="shared" si="13"/>
        <v>4.전체_장기재고금액4.전체_장기재고금액INV_LONG_TERM_MTL_7_12201507</v>
      </c>
      <c r="F439" t="s">
        <v>182</v>
      </c>
      <c r="G439" t="s">
        <v>182</v>
      </c>
      <c r="H439" t="s">
        <v>307</v>
      </c>
      <c r="I439" t="s">
        <v>260</v>
      </c>
      <c r="J439" t="s">
        <v>40</v>
      </c>
      <c r="K439" t="s">
        <v>259</v>
      </c>
      <c r="L439">
        <v>0</v>
      </c>
    </row>
    <row r="440" spans="1:12">
      <c r="A440" t="str">
        <f t="shared" si="12"/>
        <v>4.전체_장기재고금액4.전체_장기재고금액INV_LONG_TERM2015</v>
      </c>
      <c r="B440" t="str">
        <f t="shared" si="13"/>
        <v>4.전체_장기재고금액4.전체_장기재고금액INV_LONG_TERM201508</v>
      </c>
      <c r="F440" t="s">
        <v>182</v>
      </c>
      <c r="G440" t="s">
        <v>182</v>
      </c>
      <c r="H440" t="s">
        <v>307</v>
      </c>
      <c r="I440" t="s">
        <v>260</v>
      </c>
      <c r="J440" t="s">
        <v>41</v>
      </c>
      <c r="K440" t="s">
        <v>183</v>
      </c>
      <c r="L440">
        <v>612480.33882019971</v>
      </c>
    </row>
    <row r="441" spans="1:12">
      <c r="A441" t="str">
        <f t="shared" si="12"/>
        <v>4.전체_장기재고금액4.전체_장기재고금액INV_LONG_TERM_13_Over2015</v>
      </c>
      <c r="B441" t="str">
        <f t="shared" si="13"/>
        <v>4.전체_장기재고금액4.전체_장기재고금액INV_LONG_TERM_13_Over201508</v>
      </c>
      <c r="F441" t="s">
        <v>182</v>
      </c>
      <c r="G441" t="s">
        <v>182</v>
      </c>
      <c r="H441" t="s">
        <v>307</v>
      </c>
      <c r="I441" t="s">
        <v>260</v>
      </c>
      <c r="J441" t="s">
        <v>41</v>
      </c>
      <c r="K441" t="s">
        <v>184</v>
      </c>
      <c r="L441">
        <v>4331.3645625265635</v>
      </c>
    </row>
    <row r="442" spans="1:12">
      <c r="A442" t="str">
        <f t="shared" si="12"/>
        <v>4.전체_장기재고금액4.전체_장기재고금액INV_LONG_TERM_3_62015</v>
      </c>
      <c r="B442" t="str">
        <f t="shared" si="13"/>
        <v>4.전체_장기재고금액4.전체_장기재고금액INV_LONG_TERM_3_6201508</v>
      </c>
      <c r="F442" t="s">
        <v>182</v>
      </c>
      <c r="G442" t="s">
        <v>182</v>
      </c>
      <c r="H442" t="s">
        <v>307</v>
      </c>
      <c r="I442" t="s">
        <v>260</v>
      </c>
      <c r="J442" t="s">
        <v>41</v>
      </c>
      <c r="K442" t="s">
        <v>185</v>
      </c>
      <c r="L442">
        <v>573826.79507192085</v>
      </c>
    </row>
    <row r="443" spans="1:12">
      <c r="A443" t="str">
        <f t="shared" si="12"/>
        <v>4.전체_장기재고금액4.전체_장기재고금액INV_LONG_TERM_7_122015</v>
      </c>
      <c r="B443" t="str">
        <f t="shared" si="13"/>
        <v>4.전체_장기재고금액4.전체_장기재고금액INV_LONG_TERM_7_12201508</v>
      </c>
      <c r="F443" t="s">
        <v>182</v>
      </c>
      <c r="G443" t="s">
        <v>182</v>
      </c>
      <c r="H443" t="s">
        <v>307</v>
      </c>
      <c r="I443" t="s">
        <v>260</v>
      </c>
      <c r="J443" t="s">
        <v>41</v>
      </c>
      <c r="K443" t="s">
        <v>186</v>
      </c>
      <c r="L443">
        <v>34468.438778542928</v>
      </c>
    </row>
    <row r="444" spans="1:12">
      <c r="A444" t="str">
        <f t="shared" si="12"/>
        <v>4.전체_장기재고금액4.전체_장기재고금액INV_LONG_TERM_AGING2015</v>
      </c>
      <c r="B444" t="str">
        <f t="shared" si="13"/>
        <v>4.전체_장기재고금액4.전체_장기재고금액INV_LONG_TERM_AGING201508</v>
      </c>
      <c r="F444" t="s">
        <v>182</v>
      </c>
      <c r="G444" t="s">
        <v>182</v>
      </c>
      <c r="H444" t="s">
        <v>307</v>
      </c>
      <c r="I444" t="s">
        <v>260</v>
      </c>
      <c r="J444" t="s">
        <v>41</v>
      </c>
      <c r="K444" t="s">
        <v>256</v>
      </c>
      <c r="L444">
        <v>28097700.208714318</v>
      </c>
    </row>
    <row r="445" spans="1:12">
      <c r="A445" t="str">
        <f t="shared" si="12"/>
        <v>4.전체_장기재고금액4.전체_장기재고금액INV_LONG_TERM_MTL2015</v>
      </c>
      <c r="B445" t="str">
        <f t="shared" si="13"/>
        <v>4.전체_장기재고금액4.전체_장기재고금액INV_LONG_TERM_MTL201508</v>
      </c>
      <c r="F445" t="s">
        <v>182</v>
      </c>
      <c r="G445" t="s">
        <v>182</v>
      </c>
      <c r="H445" t="s">
        <v>307</v>
      </c>
      <c r="I445" t="s">
        <v>260</v>
      </c>
      <c r="J445" t="s">
        <v>41</v>
      </c>
      <c r="K445" t="s">
        <v>187</v>
      </c>
      <c r="L445">
        <v>7958151.0317367204</v>
      </c>
    </row>
    <row r="446" spans="1:12">
      <c r="A446" t="str">
        <f t="shared" si="12"/>
        <v>4.전체_장기재고금액4.전체_장기재고금액INV_LONG_TERM_MTL_13_Over2015</v>
      </c>
      <c r="B446" t="str">
        <f t="shared" si="13"/>
        <v>4.전체_장기재고금액4.전체_장기재고금액INV_LONG_TERM_MTL_13_Over201508</v>
      </c>
      <c r="F446" t="s">
        <v>182</v>
      </c>
      <c r="G446" t="s">
        <v>182</v>
      </c>
      <c r="H446" t="s">
        <v>307</v>
      </c>
      <c r="I446" t="s">
        <v>260</v>
      </c>
      <c r="J446" t="s">
        <v>41</v>
      </c>
      <c r="K446" t="s">
        <v>257</v>
      </c>
      <c r="L446">
        <v>0</v>
      </c>
    </row>
    <row r="447" spans="1:12">
      <c r="A447" t="str">
        <f t="shared" si="12"/>
        <v>4.전체_장기재고금액4.전체_장기재고금액INV_LONG_TERM_MTL_3_62015</v>
      </c>
      <c r="B447" t="str">
        <f t="shared" si="13"/>
        <v>4.전체_장기재고금액4.전체_장기재고금액INV_LONG_TERM_MTL_3_6201508</v>
      </c>
      <c r="F447" t="s">
        <v>182</v>
      </c>
      <c r="G447" t="s">
        <v>182</v>
      </c>
      <c r="H447" t="s">
        <v>307</v>
      </c>
      <c r="I447" t="s">
        <v>260</v>
      </c>
      <c r="J447" t="s">
        <v>41</v>
      </c>
      <c r="K447" t="s">
        <v>258</v>
      </c>
      <c r="L447">
        <v>0</v>
      </c>
    </row>
    <row r="448" spans="1:12">
      <c r="A448" t="str">
        <f t="shared" si="12"/>
        <v>4.전체_장기재고금액4.전체_장기재고금액INV_LONG_TERM_MTL_7_122015</v>
      </c>
      <c r="B448" t="str">
        <f t="shared" si="13"/>
        <v>4.전체_장기재고금액4.전체_장기재고금액INV_LONG_TERM_MTL_7_12201508</v>
      </c>
      <c r="F448" t="s">
        <v>182</v>
      </c>
      <c r="G448" t="s">
        <v>182</v>
      </c>
      <c r="H448" t="s">
        <v>307</v>
      </c>
      <c r="I448" t="s">
        <v>260</v>
      </c>
      <c r="J448" t="s">
        <v>41</v>
      </c>
      <c r="K448" t="s">
        <v>259</v>
      </c>
      <c r="L448">
        <v>0</v>
      </c>
    </row>
    <row r="449" spans="1:12">
      <c r="A449" t="str">
        <f t="shared" si="12"/>
        <v>4.전체_장기재고금액4.전체_장기재고금액INV_LONG_TERM2015</v>
      </c>
      <c r="B449" t="str">
        <f t="shared" si="13"/>
        <v>4.전체_장기재고금액4.전체_장기재고금액INV_LONG_TERM201509</v>
      </c>
      <c r="F449" t="s">
        <v>182</v>
      </c>
      <c r="G449" t="s">
        <v>182</v>
      </c>
      <c r="H449" t="s">
        <v>307</v>
      </c>
      <c r="I449" t="s">
        <v>260</v>
      </c>
      <c r="J449" t="s">
        <v>42</v>
      </c>
      <c r="K449" t="s">
        <v>183</v>
      </c>
      <c r="L449">
        <v>1051274.6621821679</v>
      </c>
    </row>
    <row r="450" spans="1:12">
      <c r="A450" t="str">
        <f t="shared" si="12"/>
        <v>4.전체_장기재고금액4.전체_장기재고금액INV_LONG_TERM_13_Over2015</v>
      </c>
      <c r="B450" t="str">
        <f t="shared" si="13"/>
        <v>4.전체_장기재고금액4.전체_장기재고금액INV_LONG_TERM_13_Over201509</v>
      </c>
      <c r="F450" t="s">
        <v>182</v>
      </c>
      <c r="G450" t="s">
        <v>182</v>
      </c>
      <c r="H450" t="s">
        <v>307</v>
      </c>
      <c r="I450" t="s">
        <v>260</v>
      </c>
      <c r="J450" t="s">
        <v>42</v>
      </c>
      <c r="K450" t="s">
        <v>184</v>
      </c>
      <c r="L450">
        <v>2931.5121870238581</v>
      </c>
    </row>
    <row r="451" spans="1:12">
      <c r="A451" t="str">
        <f t="shared" si="12"/>
        <v>4.전체_장기재고금액4.전체_장기재고금액INV_LONG_TERM_3_62015</v>
      </c>
      <c r="B451" t="str">
        <f t="shared" si="13"/>
        <v>4.전체_장기재고금액4.전체_장기재고금액INV_LONG_TERM_3_6201509</v>
      </c>
      <c r="F451" t="s">
        <v>182</v>
      </c>
      <c r="G451" t="s">
        <v>182</v>
      </c>
      <c r="H451" t="s">
        <v>307</v>
      </c>
      <c r="I451" t="s">
        <v>260</v>
      </c>
      <c r="J451" t="s">
        <v>42</v>
      </c>
      <c r="K451" t="s">
        <v>185</v>
      </c>
      <c r="L451">
        <v>1013932.8200855592</v>
      </c>
    </row>
    <row r="452" spans="1:12">
      <c r="A452" t="str">
        <f t="shared" si="12"/>
        <v>4.전체_장기재고금액4.전체_장기재고금액INV_LONG_TERM_7_122015</v>
      </c>
      <c r="B452" t="str">
        <f t="shared" si="13"/>
        <v>4.전체_장기재고금액4.전체_장기재고금액INV_LONG_TERM_7_12201509</v>
      </c>
      <c r="F452" t="s">
        <v>182</v>
      </c>
      <c r="G452" t="s">
        <v>182</v>
      </c>
      <c r="H452" t="s">
        <v>307</v>
      </c>
      <c r="I452" t="s">
        <v>260</v>
      </c>
      <c r="J452" t="s">
        <v>42</v>
      </c>
      <c r="K452" t="s">
        <v>186</v>
      </c>
      <c r="L452">
        <v>38232.527838258706</v>
      </c>
    </row>
    <row r="453" spans="1:12">
      <c r="A453" t="str">
        <f t="shared" si="12"/>
        <v>4.전체_장기재고금액4.전체_장기재고금액INV_LONG_TERM_AGING2015</v>
      </c>
      <c r="B453" t="str">
        <f t="shared" si="13"/>
        <v>4.전체_장기재고금액4.전체_장기재고금액INV_LONG_TERM_AGING201509</v>
      </c>
      <c r="F453" t="s">
        <v>182</v>
      </c>
      <c r="G453" t="s">
        <v>182</v>
      </c>
      <c r="H453" t="s">
        <v>307</v>
      </c>
      <c r="I453" t="s">
        <v>260</v>
      </c>
      <c r="J453" t="s">
        <v>42</v>
      </c>
      <c r="K453" t="s">
        <v>256</v>
      </c>
      <c r="L453">
        <v>31063399.000898484</v>
      </c>
    </row>
    <row r="454" spans="1:12">
      <c r="A454" t="str">
        <f t="shared" si="12"/>
        <v>4.전체_장기재고금액4.전체_장기재고금액INV_LONG_TERM_MTL2015</v>
      </c>
      <c r="B454" t="str">
        <f t="shared" si="13"/>
        <v>4.전체_장기재고금액4.전체_장기재고금액INV_LONG_TERM_MTL201509</v>
      </c>
      <c r="F454" t="s">
        <v>182</v>
      </c>
      <c r="G454" t="s">
        <v>182</v>
      </c>
      <c r="H454" t="s">
        <v>307</v>
      </c>
      <c r="I454" t="s">
        <v>260</v>
      </c>
      <c r="J454" t="s">
        <v>42</v>
      </c>
      <c r="K454" t="s">
        <v>187</v>
      </c>
      <c r="L454">
        <v>3752965.6176929255</v>
      </c>
    </row>
    <row r="455" spans="1:12">
      <c r="A455" t="str">
        <f t="shared" ref="A455:A518" si="14">F455&amp;G455&amp;K455&amp;I455</f>
        <v>4.전체_장기재고금액4.전체_장기재고금액INV_LONG_TERM_MTL_13_Over2015</v>
      </c>
      <c r="B455" t="str">
        <f t="shared" ref="B455:B518" si="15">F455&amp;G455&amp;K455&amp;J455</f>
        <v>4.전체_장기재고금액4.전체_장기재고금액INV_LONG_TERM_MTL_13_Over201509</v>
      </c>
      <c r="F455" t="s">
        <v>182</v>
      </c>
      <c r="G455" t="s">
        <v>182</v>
      </c>
      <c r="H455" t="s">
        <v>307</v>
      </c>
      <c r="I455" t="s">
        <v>260</v>
      </c>
      <c r="J455" t="s">
        <v>42</v>
      </c>
      <c r="K455" t="s">
        <v>257</v>
      </c>
      <c r="L455">
        <v>0</v>
      </c>
    </row>
    <row r="456" spans="1:12">
      <c r="A456" t="str">
        <f t="shared" si="14"/>
        <v>4.전체_장기재고금액4.전체_장기재고금액INV_LONG_TERM_MTL_3_62015</v>
      </c>
      <c r="B456" t="str">
        <f t="shared" si="15"/>
        <v>4.전체_장기재고금액4.전체_장기재고금액INV_LONG_TERM_MTL_3_6201509</v>
      </c>
      <c r="F456" t="s">
        <v>182</v>
      </c>
      <c r="G456" t="s">
        <v>182</v>
      </c>
      <c r="H456" t="s">
        <v>307</v>
      </c>
      <c r="I456" t="s">
        <v>260</v>
      </c>
      <c r="J456" t="s">
        <v>42</v>
      </c>
      <c r="K456" t="s">
        <v>258</v>
      </c>
      <c r="L456">
        <v>0</v>
      </c>
    </row>
    <row r="457" spans="1:12">
      <c r="A457" t="str">
        <f t="shared" si="14"/>
        <v>4.전체_장기재고금액4.전체_장기재고금액INV_LONG_TERM_MTL_7_122015</v>
      </c>
      <c r="B457" t="str">
        <f t="shared" si="15"/>
        <v>4.전체_장기재고금액4.전체_장기재고금액INV_LONG_TERM_MTL_7_12201509</v>
      </c>
      <c r="F457" t="s">
        <v>182</v>
      </c>
      <c r="G457" t="s">
        <v>182</v>
      </c>
      <c r="H457" t="s">
        <v>307</v>
      </c>
      <c r="I457" t="s">
        <v>260</v>
      </c>
      <c r="J457" t="s">
        <v>42</v>
      </c>
      <c r="K457" t="s">
        <v>259</v>
      </c>
      <c r="L457">
        <v>0</v>
      </c>
    </row>
    <row r="458" spans="1:12">
      <c r="A458" t="str">
        <f t="shared" si="14"/>
        <v>4.전체_장기재고금액4.전체_장기재고금액INV_LONG_TERM2015</v>
      </c>
      <c r="B458" t="str">
        <f t="shared" si="15"/>
        <v>4.전체_장기재고금액4.전체_장기재고금액INV_LONG_TERM201510</v>
      </c>
      <c r="F458" t="s">
        <v>182</v>
      </c>
      <c r="G458" t="s">
        <v>182</v>
      </c>
      <c r="H458" t="s">
        <v>307</v>
      </c>
      <c r="I458" t="s">
        <v>260</v>
      </c>
      <c r="J458" t="s">
        <v>1</v>
      </c>
      <c r="K458" t="s">
        <v>183</v>
      </c>
      <c r="L458">
        <v>464656.69072625414</v>
      </c>
    </row>
    <row r="459" spans="1:12">
      <c r="A459" t="str">
        <f t="shared" si="14"/>
        <v>4.전체_장기재고금액4.전체_장기재고금액INV_LONG_TERM_13_Over2015</v>
      </c>
      <c r="B459" t="str">
        <f t="shared" si="15"/>
        <v>4.전체_장기재고금액4.전체_장기재고금액INV_LONG_TERM_13_Over201510</v>
      </c>
      <c r="F459" t="s">
        <v>182</v>
      </c>
      <c r="G459" t="s">
        <v>182</v>
      </c>
      <c r="H459" t="s">
        <v>307</v>
      </c>
      <c r="I459" t="s">
        <v>260</v>
      </c>
      <c r="J459" t="s">
        <v>1</v>
      </c>
      <c r="K459" t="s">
        <v>184</v>
      </c>
      <c r="L459">
        <v>2867.6601089030864</v>
      </c>
    </row>
    <row r="460" spans="1:12">
      <c r="A460" t="str">
        <f t="shared" si="14"/>
        <v>4.전체_장기재고금액4.전체_장기재고금액INV_LONG_TERM_3_62015</v>
      </c>
      <c r="B460" t="str">
        <f t="shared" si="15"/>
        <v>4.전체_장기재고금액4.전체_장기재고금액INV_LONG_TERM_3_6201510</v>
      </c>
      <c r="F460" t="s">
        <v>182</v>
      </c>
      <c r="G460" t="s">
        <v>182</v>
      </c>
      <c r="H460" t="s">
        <v>307</v>
      </c>
      <c r="I460" t="s">
        <v>260</v>
      </c>
      <c r="J460" t="s">
        <v>1</v>
      </c>
      <c r="K460" t="s">
        <v>185</v>
      </c>
      <c r="L460">
        <v>430386.78299185779</v>
      </c>
    </row>
    <row r="461" spans="1:12">
      <c r="A461" t="str">
        <f t="shared" si="14"/>
        <v>4.전체_장기재고금액4.전체_장기재고금액INV_LONG_TERM_7_122015</v>
      </c>
      <c r="B461" t="str">
        <f t="shared" si="15"/>
        <v>4.전체_장기재고금액4.전체_장기재고금액INV_LONG_TERM_7_12201510</v>
      </c>
      <c r="F461" t="s">
        <v>182</v>
      </c>
      <c r="G461" t="s">
        <v>182</v>
      </c>
      <c r="H461" t="s">
        <v>307</v>
      </c>
      <c r="I461" t="s">
        <v>260</v>
      </c>
      <c r="J461" t="s">
        <v>1</v>
      </c>
      <c r="K461" t="s">
        <v>186</v>
      </c>
      <c r="L461">
        <v>39671.570349470341</v>
      </c>
    </row>
    <row r="462" spans="1:12">
      <c r="A462" t="str">
        <f t="shared" si="14"/>
        <v>4.전체_장기재고금액4.전체_장기재고금액INV_LONG_TERM_AGING2015</v>
      </c>
      <c r="B462" t="str">
        <f t="shared" si="15"/>
        <v>4.전체_장기재고금액4.전체_장기재고금액INV_LONG_TERM_AGING201510</v>
      </c>
      <c r="F462" t="s">
        <v>182</v>
      </c>
      <c r="G462" t="s">
        <v>182</v>
      </c>
      <c r="H462" t="s">
        <v>307</v>
      </c>
      <c r="I462" t="s">
        <v>260</v>
      </c>
      <c r="J462" t="s">
        <v>1</v>
      </c>
      <c r="K462" t="s">
        <v>256</v>
      </c>
      <c r="L462">
        <v>47970297.633873239</v>
      </c>
    </row>
    <row r="463" spans="1:12">
      <c r="A463" t="str">
        <f t="shared" si="14"/>
        <v>4.전체_장기재고금액4.전체_장기재고금액INV_LONG_TERM_MTL2015</v>
      </c>
      <c r="B463" t="str">
        <f t="shared" si="15"/>
        <v>4.전체_장기재고금액4.전체_장기재고금액INV_LONG_TERM_MTL201510</v>
      </c>
      <c r="F463" t="s">
        <v>182</v>
      </c>
      <c r="G463" t="s">
        <v>182</v>
      </c>
      <c r="H463" t="s">
        <v>307</v>
      </c>
      <c r="I463" t="s">
        <v>260</v>
      </c>
      <c r="J463" t="s">
        <v>1</v>
      </c>
      <c r="K463" t="s">
        <v>187</v>
      </c>
      <c r="L463">
        <v>3039362.2229603422</v>
      </c>
    </row>
    <row r="464" spans="1:12">
      <c r="A464" t="str">
        <f t="shared" si="14"/>
        <v>4.전체_장기재고금액4.전체_장기재고금액INV_LONG_TERM_MTL_13_Over2015</v>
      </c>
      <c r="B464" t="str">
        <f t="shared" si="15"/>
        <v>4.전체_장기재고금액4.전체_장기재고금액INV_LONG_TERM_MTL_13_Over201510</v>
      </c>
      <c r="F464" t="s">
        <v>182</v>
      </c>
      <c r="G464" t="s">
        <v>182</v>
      </c>
      <c r="H464" t="s">
        <v>307</v>
      </c>
      <c r="I464" t="s">
        <v>260</v>
      </c>
      <c r="J464" t="s">
        <v>1</v>
      </c>
      <c r="K464" t="s">
        <v>257</v>
      </c>
      <c r="L464">
        <v>0</v>
      </c>
    </row>
    <row r="465" spans="1:14">
      <c r="A465" t="str">
        <f t="shared" si="14"/>
        <v>4.전체_장기재고금액4.전체_장기재고금액INV_LONG_TERM_MTL_3_62015</v>
      </c>
      <c r="B465" t="str">
        <f t="shared" si="15"/>
        <v>4.전체_장기재고금액4.전체_장기재고금액INV_LONG_TERM_MTL_3_6201510</v>
      </c>
      <c r="F465" t="s">
        <v>182</v>
      </c>
      <c r="G465" t="s">
        <v>182</v>
      </c>
      <c r="H465" t="s">
        <v>307</v>
      </c>
      <c r="I465" t="s">
        <v>260</v>
      </c>
      <c r="J465" t="s">
        <v>1</v>
      </c>
      <c r="K465" t="s">
        <v>258</v>
      </c>
      <c r="L465">
        <v>0</v>
      </c>
    </row>
    <row r="466" spans="1:14">
      <c r="A466" t="str">
        <f t="shared" si="14"/>
        <v>4.전체_장기재고금액4.전체_장기재고금액INV_LONG_TERM_MTL_7_122015</v>
      </c>
      <c r="B466" t="str">
        <f t="shared" si="15"/>
        <v>4.전체_장기재고금액4.전체_장기재고금액INV_LONG_TERM_MTL_7_12201510</v>
      </c>
      <c r="F466" t="s">
        <v>182</v>
      </c>
      <c r="G466" t="s">
        <v>182</v>
      </c>
      <c r="H466" t="s">
        <v>307</v>
      </c>
      <c r="I466" t="s">
        <v>260</v>
      </c>
      <c r="J466" t="s">
        <v>1</v>
      </c>
      <c r="K466" t="s">
        <v>259</v>
      </c>
      <c r="L466">
        <v>0</v>
      </c>
    </row>
    <row r="467" spans="1:14">
      <c r="A467" t="str">
        <f t="shared" si="14"/>
        <v>5.재고과다/재고부족_재고일수CNTINV_DIO2012</v>
      </c>
      <c r="B467" t="str">
        <f t="shared" si="15"/>
        <v>5.재고과다/재고부족_재고일수CNTINV_DIO201200</v>
      </c>
      <c r="F467" t="s">
        <v>264</v>
      </c>
      <c r="G467" t="s">
        <v>7</v>
      </c>
      <c r="H467" t="s">
        <v>307</v>
      </c>
      <c r="I467" t="s">
        <v>226</v>
      </c>
      <c r="J467" t="s">
        <v>262</v>
      </c>
      <c r="K467" t="s">
        <v>180</v>
      </c>
      <c r="M467" t="s">
        <v>70</v>
      </c>
      <c r="N467" t="s">
        <v>62</v>
      </c>
    </row>
    <row r="468" spans="1:14">
      <c r="A468" t="str">
        <f t="shared" si="14"/>
        <v>5.재고과다/재고부족_재고일수CNTINV_DIO2012</v>
      </c>
      <c r="B468" t="str">
        <f t="shared" si="15"/>
        <v>5.재고과다/재고부족_재고일수CNTINV_DIO201201</v>
      </c>
      <c r="F468" t="s">
        <v>264</v>
      </c>
      <c r="G468" t="s">
        <v>7</v>
      </c>
      <c r="H468" t="s">
        <v>307</v>
      </c>
      <c r="I468" t="s">
        <v>226</v>
      </c>
      <c r="J468" t="s">
        <v>227</v>
      </c>
      <c r="K468" t="s">
        <v>180</v>
      </c>
      <c r="L468">
        <v>52.277520843201003</v>
      </c>
      <c r="M468" t="s">
        <v>70</v>
      </c>
      <c r="N468" t="s">
        <v>62</v>
      </c>
    </row>
    <row r="469" spans="1:14">
      <c r="A469" t="str">
        <f t="shared" si="14"/>
        <v>5.재고과다/재고부족_재고일수CNTINV_DIO2012</v>
      </c>
      <c r="B469" t="str">
        <f t="shared" si="15"/>
        <v>5.재고과다/재고부족_재고일수CNTINV_DIO201202</v>
      </c>
      <c r="F469" t="s">
        <v>264</v>
      </c>
      <c r="G469" t="s">
        <v>7</v>
      </c>
      <c r="H469" t="s">
        <v>307</v>
      </c>
      <c r="I469" t="s">
        <v>226</v>
      </c>
      <c r="J469" t="s">
        <v>229</v>
      </c>
      <c r="K469" t="s">
        <v>180</v>
      </c>
      <c r="L469">
        <v>40.108272876899399</v>
      </c>
      <c r="M469" t="s">
        <v>70</v>
      </c>
      <c r="N469" t="s">
        <v>62</v>
      </c>
    </row>
    <row r="470" spans="1:14">
      <c r="A470" t="str">
        <f t="shared" si="14"/>
        <v>5.재고과다/재고부족_재고일수CNTINV_DIO2012</v>
      </c>
      <c r="B470" t="str">
        <f t="shared" si="15"/>
        <v>5.재고과다/재고부족_재고일수CNTINV_DIO201203</v>
      </c>
      <c r="F470" t="s">
        <v>264</v>
      </c>
      <c r="G470" t="s">
        <v>7</v>
      </c>
      <c r="H470" t="s">
        <v>307</v>
      </c>
      <c r="I470" t="s">
        <v>226</v>
      </c>
      <c r="J470" t="s">
        <v>230</v>
      </c>
      <c r="K470" t="s">
        <v>180</v>
      </c>
      <c r="L470">
        <v>35.178407133616702</v>
      </c>
      <c r="M470" t="s">
        <v>70</v>
      </c>
      <c r="N470" t="s">
        <v>62</v>
      </c>
    </row>
    <row r="471" spans="1:14">
      <c r="A471" t="str">
        <f t="shared" si="14"/>
        <v>5.재고과다/재고부족_재고일수CNTINV_DIO2012</v>
      </c>
      <c r="B471" t="str">
        <f t="shared" si="15"/>
        <v>5.재고과다/재고부족_재고일수CNTINV_DIO201204</v>
      </c>
      <c r="F471" t="s">
        <v>264</v>
      </c>
      <c r="G471" t="s">
        <v>7</v>
      </c>
      <c r="H471" t="s">
        <v>307</v>
      </c>
      <c r="I471" t="s">
        <v>226</v>
      </c>
      <c r="J471" t="s">
        <v>231</v>
      </c>
      <c r="K471" t="s">
        <v>180</v>
      </c>
      <c r="L471">
        <v>18.4677184041769</v>
      </c>
      <c r="M471" t="s">
        <v>70</v>
      </c>
      <c r="N471" t="s">
        <v>62</v>
      </c>
    </row>
    <row r="472" spans="1:14">
      <c r="A472" t="str">
        <f t="shared" si="14"/>
        <v>5.재고과다/재고부족_재고일수CNTINV_DIO2012</v>
      </c>
      <c r="B472" t="str">
        <f t="shared" si="15"/>
        <v>5.재고과다/재고부족_재고일수CNTINV_DIO201205</v>
      </c>
      <c r="F472" t="s">
        <v>264</v>
      </c>
      <c r="G472" t="s">
        <v>7</v>
      </c>
      <c r="H472" t="s">
        <v>307</v>
      </c>
      <c r="I472" t="s">
        <v>226</v>
      </c>
      <c r="J472" t="s">
        <v>232</v>
      </c>
      <c r="K472" t="s">
        <v>180</v>
      </c>
      <c r="L472">
        <v>19.017370241940899</v>
      </c>
      <c r="M472" t="s">
        <v>70</v>
      </c>
      <c r="N472" t="s">
        <v>62</v>
      </c>
    </row>
    <row r="473" spans="1:14">
      <c r="A473" t="str">
        <f t="shared" si="14"/>
        <v>5.재고과다/재고부족_재고일수CNTINV_DIO2012</v>
      </c>
      <c r="B473" t="str">
        <f t="shared" si="15"/>
        <v>5.재고과다/재고부족_재고일수CNTINV_DIO201206</v>
      </c>
      <c r="F473" t="s">
        <v>264</v>
      </c>
      <c r="G473" t="s">
        <v>7</v>
      </c>
      <c r="H473" t="s">
        <v>307</v>
      </c>
      <c r="I473" t="s">
        <v>226</v>
      </c>
      <c r="J473" t="s">
        <v>233</v>
      </c>
      <c r="K473" t="s">
        <v>180</v>
      </c>
      <c r="L473">
        <v>25.613190273750799</v>
      </c>
      <c r="M473" t="s">
        <v>70</v>
      </c>
      <c r="N473" t="s">
        <v>62</v>
      </c>
    </row>
    <row r="474" spans="1:14">
      <c r="A474" t="str">
        <f t="shared" si="14"/>
        <v>5.재고과다/재고부족_재고일수CNTINV_DIO2012</v>
      </c>
      <c r="B474" t="str">
        <f t="shared" si="15"/>
        <v>5.재고과다/재고부족_재고일수CNTINV_DIO201207</v>
      </c>
      <c r="F474" t="s">
        <v>264</v>
      </c>
      <c r="G474" t="s">
        <v>7</v>
      </c>
      <c r="H474" t="s">
        <v>307</v>
      </c>
      <c r="I474" t="s">
        <v>226</v>
      </c>
      <c r="J474" t="s">
        <v>234</v>
      </c>
      <c r="K474" t="s">
        <v>180</v>
      </c>
      <c r="L474">
        <v>23.173469067318798</v>
      </c>
      <c r="M474" t="s">
        <v>70</v>
      </c>
      <c r="N474" t="s">
        <v>62</v>
      </c>
    </row>
    <row r="475" spans="1:14">
      <c r="A475" t="str">
        <f t="shared" si="14"/>
        <v>5.재고과다/재고부족_재고일수CNTINV_DIO2012</v>
      </c>
      <c r="B475" t="str">
        <f t="shared" si="15"/>
        <v>5.재고과다/재고부족_재고일수CNTINV_DIO201208</v>
      </c>
      <c r="F475" t="s">
        <v>264</v>
      </c>
      <c r="G475" t="s">
        <v>7</v>
      </c>
      <c r="H475" t="s">
        <v>307</v>
      </c>
      <c r="I475" t="s">
        <v>226</v>
      </c>
      <c r="J475" t="s">
        <v>235</v>
      </c>
      <c r="K475" t="s">
        <v>180</v>
      </c>
      <c r="L475">
        <v>26.116687534134201</v>
      </c>
      <c r="M475" t="s">
        <v>70</v>
      </c>
      <c r="N475" t="s">
        <v>62</v>
      </c>
    </row>
    <row r="476" spans="1:14">
      <c r="A476" t="str">
        <f t="shared" si="14"/>
        <v>5.재고과다/재고부족_재고일수CNTINV_DIO2012</v>
      </c>
      <c r="B476" t="str">
        <f t="shared" si="15"/>
        <v>5.재고과다/재고부족_재고일수CNTINV_DIO201209</v>
      </c>
      <c r="F476" t="s">
        <v>264</v>
      </c>
      <c r="G476" t="s">
        <v>7</v>
      </c>
      <c r="H476" t="s">
        <v>307</v>
      </c>
      <c r="I476" t="s">
        <v>226</v>
      </c>
      <c r="J476" t="s">
        <v>236</v>
      </c>
      <c r="K476" t="s">
        <v>180</v>
      </c>
      <c r="L476">
        <v>20.296165522689599</v>
      </c>
      <c r="M476" t="s">
        <v>70</v>
      </c>
      <c r="N476" t="s">
        <v>62</v>
      </c>
    </row>
    <row r="477" spans="1:14">
      <c r="A477" t="str">
        <f t="shared" si="14"/>
        <v>5.재고과다/재고부족_재고일수CNTINV_DIO2012</v>
      </c>
      <c r="B477" t="str">
        <f t="shared" si="15"/>
        <v>5.재고과다/재고부족_재고일수CNTINV_DIO201210</v>
      </c>
      <c r="F477" t="s">
        <v>264</v>
      </c>
      <c r="G477" t="s">
        <v>7</v>
      </c>
      <c r="H477" t="s">
        <v>307</v>
      </c>
      <c r="I477" t="s">
        <v>226</v>
      </c>
      <c r="J477" t="s">
        <v>237</v>
      </c>
      <c r="K477" t="s">
        <v>180</v>
      </c>
      <c r="L477">
        <v>23.246715898782501</v>
      </c>
      <c r="M477" t="s">
        <v>70</v>
      </c>
      <c r="N477" t="s">
        <v>62</v>
      </c>
    </row>
    <row r="478" spans="1:14">
      <c r="A478" t="str">
        <f t="shared" si="14"/>
        <v>5.재고과다/재고부족_재고일수CNTINV_DIO2012</v>
      </c>
      <c r="B478" t="str">
        <f t="shared" si="15"/>
        <v>5.재고과다/재고부족_재고일수CNTINV_DIO201211</v>
      </c>
      <c r="F478" t="s">
        <v>264</v>
      </c>
      <c r="G478" t="s">
        <v>7</v>
      </c>
      <c r="H478" t="s">
        <v>307</v>
      </c>
      <c r="I478" t="s">
        <v>226</v>
      </c>
      <c r="J478" t="s">
        <v>238</v>
      </c>
      <c r="K478" t="s">
        <v>180</v>
      </c>
      <c r="L478">
        <v>48.118751433197801</v>
      </c>
      <c r="M478" t="s">
        <v>70</v>
      </c>
      <c r="N478" t="s">
        <v>62</v>
      </c>
    </row>
    <row r="479" spans="1:14">
      <c r="A479" t="str">
        <f t="shared" si="14"/>
        <v>5.재고과다/재고부족_재고일수CNTINV_DIO2012</v>
      </c>
      <c r="B479" t="str">
        <f t="shared" si="15"/>
        <v>5.재고과다/재고부족_재고일수CNTINV_DIO201212</v>
      </c>
      <c r="F479" t="s">
        <v>264</v>
      </c>
      <c r="G479" t="s">
        <v>7</v>
      </c>
      <c r="H479" t="s">
        <v>307</v>
      </c>
      <c r="I479" t="s">
        <v>226</v>
      </c>
      <c r="J479" t="s">
        <v>239</v>
      </c>
      <c r="K479" t="s">
        <v>180</v>
      </c>
      <c r="L479">
        <v>46.623932104948203</v>
      </c>
      <c r="M479" t="s">
        <v>70</v>
      </c>
      <c r="N479" t="s">
        <v>62</v>
      </c>
    </row>
    <row r="480" spans="1:14">
      <c r="A480" t="str">
        <f t="shared" si="14"/>
        <v>5.재고과다/재고부족_재고일수CNTINV_DIO2013</v>
      </c>
      <c r="B480" t="str">
        <f t="shared" si="15"/>
        <v>5.재고과다/재고부족_재고일수CNTINV_DIO201300</v>
      </c>
      <c r="F480" t="s">
        <v>264</v>
      </c>
      <c r="G480" t="s">
        <v>7</v>
      </c>
      <c r="H480" t="s">
        <v>307</v>
      </c>
      <c r="I480" t="s">
        <v>240</v>
      </c>
      <c r="J480" t="s">
        <v>241</v>
      </c>
      <c r="K480" t="s">
        <v>180</v>
      </c>
      <c r="M480" t="s">
        <v>70</v>
      </c>
      <c r="N480" t="s">
        <v>62</v>
      </c>
    </row>
    <row r="481" spans="1:14">
      <c r="A481" t="str">
        <f t="shared" si="14"/>
        <v>5.재고과다/재고부족_재고일수CNTINV_DIO2013</v>
      </c>
      <c r="B481" t="str">
        <f t="shared" si="15"/>
        <v>5.재고과다/재고부족_재고일수CNTINV_DIO201301</v>
      </c>
      <c r="F481" t="s">
        <v>264</v>
      </c>
      <c r="G481" t="s">
        <v>7</v>
      </c>
      <c r="H481" t="s">
        <v>307</v>
      </c>
      <c r="I481" t="s">
        <v>240</v>
      </c>
      <c r="J481" t="s">
        <v>242</v>
      </c>
      <c r="K481" t="s">
        <v>180</v>
      </c>
      <c r="L481">
        <v>60.405006499682997</v>
      </c>
      <c r="M481" t="s">
        <v>70</v>
      </c>
      <c r="N481" t="s">
        <v>62</v>
      </c>
    </row>
    <row r="482" spans="1:14">
      <c r="A482" t="str">
        <f t="shared" si="14"/>
        <v>5.재고과다/재고부족_재고일수CNTINV_DIO2013</v>
      </c>
      <c r="B482" t="str">
        <f t="shared" si="15"/>
        <v>5.재고과다/재고부족_재고일수CNTINV_DIO201302</v>
      </c>
      <c r="F482" t="s">
        <v>264</v>
      </c>
      <c r="G482" t="s">
        <v>7</v>
      </c>
      <c r="H482" t="s">
        <v>307</v>
      </c>
      <c r="I482" t="s">
        <v>240</v>
      </c>
      <c r="J482" t="s">
        <v>243</v>
      </c>
      <c r="K482" t="s">
        <v>180</v>
      </c>
      <c r="L482">
        <v>49.764406092048198</v>
      </c>
      <c r="M482" t="s">
        <v>70</v>
      </c>
      <c r="N482" t="s">
        <v>62</v>
      </c>
    </row>
    <row r="483" spans="1:14">
      <c r="A483" t="str">
        <f t="shared" si="14"/>
        <v>5.재고과다/재고부족_재고일수CNTINV_DIO2013</v>
      </c>
      <c r="B483" t="str">
        <f t="shared" si="15"/>
        <v>5.재고과다/재고부족_재고일수CNTINV_DIO201303</v>
      </c>
      <c r="F483" t="s">
        <v>264</v>
      </c>
      <c r="G483" t="s">
        <v>7</v>
      </c>
      <c r="H483" t="s">
        <v>307</v>
      </c>
      <c r="I483" t="s">
        <v>240</v>
      </c>
      <c r="J483" t="s">
        <v>244</v>
      </c>
      <c r="K483" t="s">
        <v>180</v>
      </c>
      <c r="L483">
        <v>37.279671713349899</v>
      </c>
      <c r="M483" t="s">
        <v>70</v>
      </c>
      <c r="N483" t="s">
        <v>62</v>
      </c>
    </row>
    <row r="484" spans="1:14">
      <c r="A484" t="str">
        <f t="shared" si="14"/>
        <v>5.재고과다/재고부족_재고일수CNTINV_DIO2013</v>
      </c>
      <c r="B484" t="str">
        <f t="shared" si="15"/>
        <v>5.재고과다/재고부족_재고일수CNTINV_DIO201304</v>
      </c>
      <c r="F484" t="s">
        <v>264</v>
      </c>
      <c r="G484" t="s">
        <v>7</v>
      </c>
      <c r="H484" t="s">
        <v>307</v>
      </c>
      <c r="I484" t="s">
        <v>240</v>
      </c>
      <c r="J484" t="s">
        <v>245</v>
      </c>
      <c r="K484" t="s">
        <v>180</v>
      </c>
      <c r="L484">
        <v>21.346845416234199</v>
      </c>
      <c r="M484" t="s">
        <v>70</v>
      </c>
      <c r="N484" t="s">
        <v>62</v>
      </c>
    </row>
    <row r="485" spans="1:14">
      <c r="A485" t="str">
        <f t="shared" si="14"/>
        <v>5.재고과다/재고부족_재고일수CNTINV_DIO2013</v>
      </c>
      <c r="B485" t="str">
        <f t="shared" si="15"/>
        <v>5.재고과다/재고부족_재고일수CNTINV_DIO201305</v>
      </c>
      <c r="F485" t="s">
        <v>264</v>
      </c>
      <c r="G485" t="s">
        <v>7</v>
      </c>
      <c r="H485" t="s">
        <v>307</v>
      </c>
      <c r="I485" t="s">
        <v>240</v>
      </c>
      <c r="J485" t="s">
        <v>246</v>
      </c>
      <c r="K485" t="s">
        <v>180</v>
      </c>
      <c r="L485">
        <v>14.986057177663501</v>
      </c>
      <c r="M485" t="s">
        <v>70</v>
      </c>
      <c r="N485" t="s">
        <v>62</v>
      </c>
    </row>
    <row r="486" spans="1:14">
      <c r="A486" t="str">
        <f t="shared" si="14"/>
        <v>5.재고과다/재고부족_재고일수CNTINV_DIO2013</v>
      </c>
      <c r="B486" t="str">
        <f t="shared" si="15"/>
        <v>5.재고과다/재고부족_재고일수CNTINV_DIO201306</v>
      </c>
      <c r="F486" t="s">
        <v>264</v>
      </c>
      <c r="G486" t="s">
        <v>7</v>
      </c>
      <c r="H486" t="s">
        <v>307</v>
      </c>
      <c r="I486" t="s">
        <v>240</v>
      </c>
      <c r="J486" t="s">
        <v>247</v>
      </c>
      <c r="K486" t="s">
        <v>180</v>
      </c>
      <c r="L486">
        <v>23.976022501437999</v>
      </c>
      <c r="M486" t="s">
        <v>70</v>
      </c>
      <c r="N486" t="s">
        <v>62</v>
      </c>
    </row>
    <row r="487" spans="1:14">
      <c r="A487" t="str">
        <f t="shared" si="14"/>
        <v>5.재고과다/재고부족_재고일수CNTINV_DIO2013</v>
      </c>
      <c r="B487" t="str">
        <f t="shared" si="15"/>
        <v>5.재고과다/재고부족_재고일수CNTINV_DIO201307</v>
      </c>
      <c r="F487" t="s">
        <v>264</v>
      </c>
      <c r="G487" t="s">
        <v>7</v>
      </c>
      <c r="H487" t="s">
        <v>307</v>
      </c>
      <c r="I487" t="s">
        <v>240</v>
      </c>
      <c r="J487" t="s">
        <v>248</v>
      </c>
      <c r="K487" t="s">
        <v>180</v>
      </c>
      <c r="L487">
        <v>18.967126466690601</v>
      </c>
      <c r="M487" t="s">
        <v>70</v>
      </c>
      <c r="N487" t="s">
        <v>62</v>
      </c>
    </row>
    <row r="488" spans="1:14">
      <c r="A488" t="str">
        <f t="shared" si="14"/>
        <v>5.재고과다/재고부족_재고일수CNTINV_DIO2013</v>
      </c>
      <c r="B488" t="str">
        <f t="shared" si="15"/>
        <v>5.재고과다/재고부족_재고일수CNTINV_DIO201308</v>
      </c>
      <c r="F488" t="s">
        <v>264</v>
      </c>
      <c r="G488" t="s">
        <v>7</v>
      </c>
      <c r="H488" t="s">
        <v>307</v>
      </c>
      <c r="I488" t="s">
        <v>240</v>
      </c>
      <c r="J488" t="s">
        <v>249</v>
      </c>
      <c r="K488" t="s">
        <v>180</v>
      </c>
      <c r="L488">
        <v>15.199134034136099</v>
      </c>
      <c r="M488" t="s">
        <v>70</v>
      </c>
      <c r="N488" t="s">
        <v>62</v>
      </c>
    </row>
    <row r="489" spans="1:14">
      <c r="A489" t="str">
        <f t="shared" si="14"/>
        <v>5.재고과다/재고부족_재고일수CNTINV_DIO2013</v>
      </c>
      <c r="B489" t="str">
        <f t="shared" si="15"/>
        <v>5.재고과다/재고부족_재고일수CNTINV_DIO201309</v>
      </c>
      <c r="F489" t="s">
        <v>264</v>
      </c>
      <c r="G489" t="s">
        <v>7</v>
      </c>
      <c r="H489" t="s">
        <v>307</v>
      </c>
      <c r="I489" t="s">
        <v>240</v>
      </c>
      <c r="J489" t="s">
        <v>250</v>
      </c>
      <c r="K489" t="s">
        <v>180</v>
      </c>
      <c r="L489">
        <v>24.883303510717301</v>
      </c>
      <c r="M489" t="s">
        <v>70</v>
      </c>
      <c r="N489" t="s">
        <v>62</v>
      </c>
    </row>
    <row r="490" spans="1:14">
      <c r="A490" t="str">
        <f t="shared" si="14"/>
        <v>5.재고과다/재고부족_재고일수CNTINV_DIO2013</v>
      </c>
      <c r="B490" t="str">
        <f t="shared" si="15"/>
        <v>5.재고과다/재고부족_재고일수CNTINV_DIO201310</v>
      </c>
      <c r="F490" t="s">
        <v>264</v>
      </c>
      <c r="G490" t="s">
        <v>7</v>
      </c>
      <c r="H490" t="s">
        <v>307</v>
      </c>
      <c r="I490" t="s">
        <v>240</v>
      </c>
      <c r="J490" t="s">
        <v>251</v>
      </c>
      <c r="K490" t="s">
        <v>180</v>
      </c>
      <c r="L490">
        <v>47.910032604487697</v>
      </c>
      <c r="M490" t="s">
        <v>70</v>
      </c>
      <c r="N490" t="s">
        <v>62</v>
      </c>
    </row>
    <row r="491" spans="1:14">
      <c r="A491" t="str">
        <f t="shared" si="14"/>
        <v>5.재고과다/재고부족_재고일수CNTINV_DIO2013</v>
      </c>
      <c r="B491" t="str">
        <f t="shared" si="15"/>
        <v>5.재고과다/재고부족_재고일수CNTINV_DIO201311</v>
      </c>
      <c r="F491" t="s">
        <v>264</v>
      </c>
      <c r="G491" t="s">
        <v>7</v>
      </c>
      <c r="H491" t="s">
        <v>307</v>
      </c>
      <c r="I491" t="s">
        <v>240</v>
      </c>
      <c r="J491" t="s">
        <v>252</v>
      </c>
      <c r="K491" t="s">
        <v>180</v>
      </c>
      <c r="L491">
        <v>51.793236426166402</v>
      </c>
      <c r="M491" t="s">
        <v>70</v>
      </c>
      <c r="N491" t="s">
        <v>62</v>
      </c>
    </row>
    <row r="492" spans="1:14">
      <c r="A492" t="str">
        <f t="shared" si="14"/>
        <v>5.재고과다/재고부족_재고일수CNTINV_DIO2013</v>
      </c>
      <c r="B492" t="str">
        <f t="shared" si="15"/>
        <v>5.재고과다/재고부족_재고일수CNTINV_DIO201312</v>
      </c>
      <c r="F492" t="s">
        <v>264</v>
      </c>
      <c r="G492" t="s">
        <v>7</v>
      </c>
      <c r="H492" t="s">
        <v>307</v>
      </c>
      <c r="I492" t="s">
        <v>240</v>
      </c>
      <c r="J492" t="s">
        <v>253</v>
      </c>
      <c r="K492" t="s">
        <v>180</v>
      </c>
      <c r="L492">
        <v>56.140190140797998</v>
      </c>
      <c r="M492" t="s">
        <v>70</v>
      </c>
      <c r="N492" t="s">
        <v>62</v>
      </c>
    </row>
    <row r="493" spans="1:14">
      <c r="A493" t="str">
        <f t="shared" si="14"/>
        <v>5.재고과다/재고부족_재고일수CNTINV_DIO2014</v>
      </c>
      <c r="B493" t="str">
        <f t="shared" si="15"/>
        <v>5.재고과다/재고부족_재고일수CNTINV_DIO201400</v>
      </c>
      <c r="F493" t="s">
        <v>264</v>
      </c>
      <c r="G493" t="s">
        <v>7</v>
      </c>
      <c r="H493" t="s">
        <v>307</v>
      </c>
      <c r="I493" t="s">
        <v>254</v>
      </c>
      <c r="J493" t="s">
        <v>255</v>
      </c>
      <c r="K493" t="s">
        <v>180</v>
      </c>
      <c r="M493" t="s">
        <v>70</v>
      </c>
      <c r="N493" t="s">
        <v>62</v>
      </c>
    </row>
    <row r="494" spans="1:14">
      <c r="A494" t="str">
        <f t="shared" si="14"/>
        <v>5.재고과다/재고부족_재고일수CNTINV_DIO2014</v>
      </c>
      <c r="B494" t="str">
        <f t="shared" si="15"/>
        <v>5.재고과다/재고부족_재고일수CNTINV_DIO201401</v>
      </c>
      <c r="F494" t="s">
        <v>264</v>
      </c>
      <c r="G494" t="s">
        <v>7</v>
      </c>
      <c r="H494" t="s">
        <v>307</v>
      </c>
      <c r="I494" t="s">
        <v>254</v>
      </c>
      <c r="J494" t="s">
        <v>22</v>
      </c>
      <c r="K494" t="s">
        <v>180</v>
      </c>
      <c r="L494">
        <v>44.125250692414603</v>
      </c>
      <c r="M494" t="s">
        <v>70</v>
      </c>
      <c r="N494" t="s">
        <v>62</v>
      </c>
    </row>
    <row r="495" spans="1:14">
      <c r="A495" t="str">
        <f t="shared" si="14"/>
        <v>5.재고과다/재고부족_재고일수CNTINV_DIO2014</v>
      </c>
      <c r="B495" t="str">
        <f t="shared" si="15"/>
        <v>5.재고과다/재고부족_재고일수CNTINV_DIO201402</v>
      </c>
      <c r="F495" t="s">
        <v>264</v>
      </c>
      <c r="G495" t="s">
        <v>7</v>
      </c>
      <c r="H495" t="s">
        <v>307</v>
      </c>
      <c r="I495" t="s">
        <v>254</v>
      </c>
      <c r="J495" t="s">
        <v>23</v>
      </c>
      <c r="K495" t="s">
        <v>180</v>
      </c>
      <c r="L495">
        <v>45.074890490885203</v>
      </c>
      <c r="M495" t="s">
        <v>70</v>
      </c>
      <c r="N495" t="s">
        <v>62</v>
      </c>
    </row>
    <row r="496" spans="1:14">
      <c r="A496" t="str">
        <f t="shared" si="14"/>
        <v>5.재고과다/재고부족_재고일수CNTINV_DIO2014</v>
      </c>
      <c r="B496" t="str">
        <f t="shared" si="15"/>
        <v>5.재고과다/재고부족_재고일수CNTINV_DIO201403</v>
      </c>
      <c r="F496" t="s">
        <v>264</v>
      </c>
      <c r="G496" t="s">
        <v>7</v>
      </c>
      <c r="H496" t="s">
        <v>307</v>
      </c>
      <c r="I496" t="s">
        <v>254</v>
      </c>
      <c r="J496" t="s">
        <v>24</v>
      </c>
      <c r="K496" t="s">
        <v>180</v>
      </c>
      <c r="L496">
        <v>44.341413292752797</v>
      </c>
      <c r="M496" t="s">
        <v>70</v>
      </c>
      <c r="N496" t="s">
        <v>62</v>
      </c>
    </row>
    <row r="497" spans="1:14">
      <c r="A497" t="str">
        <f t="shared" si="14"/>
        <v>5.재고과다/재고부족_재고일수CNTINV_DIO2014</v>
      </c>
      <c r="B497" t="str">
        <f t="shared" si="15"/>
        <v>5.재고과다/재고부족_재고일수CNTINV_DIO201404</v>
      </c>
      <c r="F497" t="s">
        <v>264</v>
      </c>
      <c r="G497" t="s">
        <v>7</v>
      </c>
      <c r="H497" t="s">
        <v>307</v>
      </c>
      <c r="I497" t="s">
        <v>254</v>
      </c>
      <c r="J497" t="s">
        <v>25</v>
      </c>
      <c r="K497" t="s">
        <v>180</v>
      </c>
      <c r="L497">
        <v>37.758021834288897</v>
      </c>
      <c r="M497" t="s">
        <v>70</v>
      </c>
      <c r="N497" t="s">
        <v>62</v>
      </c>
    </row>
    <row r="498" spans="1:14">
      <c r="A498" t="str">
        <f t="shared" si="14"/>
        <v>5.재고과다/재고부족_재고일수CNTINV_DIO2014</v>
      </c>
      <c r="B498" t="str">
        <f t="shared" si="15"/>
        <v>5.재고과다/재고부족_재고일수CNTINV_DIO201405</v>
      </c>
      <c r="F498" t="s">
        <v>264</v>
      </c>
      <c r="G498" t="s">
        <v>7</v>
      </c>
      <c r="H498" t="s">
        <v>307</v>
      </c>
      <c r="I498" t="s">
        <v>254</v>
      </c>
      <c r="J498" t="s">
        <v>26</v>
      </c>
      <c r="K498" t="s">
        <v>180</v>
      </c>
      <c r="L498">
        <v>36.989963044075601</v>
      </c>
      <c r="M498" t="s">
        <v>70</v>
      </c>
      <c r="N498" t="s">
        <v>62</v>
      </c>
    </row>
    <row r="499" spans="1:14">
      <c r="A499" t="str">
        <f t="shared" si="14"/>
        <v>5.재고과다/재고부족_재고일수CNTINV_DIO2014</v>
      </c>
      <c r="B499" t="str">
        <f t="shared" si="15"/>
        <v>5.재고과다/재고부족_재고일수CNTINV_DIO201406</v>
      </c>
      <c r="F499" t="s">
        <v>264</v>
      </c>
      <c r="G499" t="s">
        <v>7</v>
      </c>
      <c r="H499" t="s">
        <v>307</v>
      </c>
      <c r="I499" t="s">
        <v>254</v>
      </c>
      <c r="J499" t="s">
        <v>27</v>
      </c>
      <c r="K499" t="s">
        <v>180</v>
      </c>
      <c r="L499">
        <v>33.963003038487102</v>
      </c>
      <c r="M499" t="s">
        <v>70</v>
      </c>
      <c r="N499" t="s">
        <v>62</v>
      </c>
    </row>
    <row r="500" spans="1:14">
      <c r="A500" t="str">
        <f t="shared" si="14"/>
        <v>5.재고과다/재고부족_재고일수CNTINV_DIO2014</v>
      </c>
      <c r="B500" t="str">
        <f t="shared" si="15"/>
        <v>5.재고과다/재고부족_재고일수CNTINV_DIO201407</v>
      </c>
      <c r="F500" t="s">
        <v>264</v>
      </c>
      <c r="G500" t="s">
        <v>7</v>
      </c>
      <c r="H500" t="s">
        <v>307</v>
      </c>
      <c r="I500" t="s">
        <v>254</v>
      </c>
      <c r="J500" t="s">
        <v>28</v>
      </c>
      <c r="K500" t="s">
        <v>180</v>
      </c>
      <c r="L500">
        <v>38.444659754494801</v>
      </c>
      <c r="M500" t="s">
        <v>70</v>
      </c>
      <c r="N500" t="s">
        <v>62</v>
      </c>
    </row>
    <row r="501" spans="1:14">
      <c r="A501" t="str">
        <f t="shared" si="14"/>
        <v>5.재고과다/재고부족_재고일수CNTINV_DIO2014</v>
      </c>
      <c r="B501" t="str">
        <f t="shared" si="15"/>
        <v>5.재고과다/재고부족_재고일수CNTINV_DIO201408</v>
      </c>
      <c r="F501" t="s">
        <v>264</v>
      </c>
      <c r="G501" t="s">
        <v>7</v>
      </c>
      <c r="H501" t="s">
        <v>307</v>
      </c>
      <c r="I501" t="s">
        <v>254</v>
      </c>
      <c r="J501" t="s">
        <v>29</v>
      </c>
      <c r="K501" t="s">
        <v>180</v>
      </c>
      <c r="L501">
        <v>54.0171368095125</v>
      </c>
      <c r="M501" t="s">
        <v>70</v>
      </c>
      <c r="N501" t="s">
        <v>62</v>
      </c>
    </row>
    <row r="502" spans="1:14">
      <c r="A502" t="str">
        <f t="shared" si="14"/>
        <v>5.재고과다/재고부족_재고일수CNTINV_DIO2014</v>
      </c>
      <c r="B502" t="str">
        <f t="shared" si="15"/>
        <v>5.재고과다/재고부족_재고일수CNTINV_DIO201409</v>
      </c>
      <c r="F502" t="s">
        <v>264</v>
      </c>
      <c r="G502" t="s">
        <v>7</v>
      </c>
      <c r="H502" t="s">
        <v>307</v>
      </c>
      <c r="I502" t="s">
        <v>254</v>
      </c>
      <c r="J502" t="s">
        <v>30</v>
      </c>
      <c r="K502" t="s">
        <v>180</v>
      </c>
      <c r="L502">
        <v>48.691638271243903</v>
      </c>
      <c r="M502" t="s">
        <v>70</v>
      </c>
      <c r="N502" t="s">
        <v>62</v>
      </c>
    </row>
    <row r="503" spans="1:14">
      <c r="A503" t="str">
        <f t="shared" si="14"/>
        <v>5.재고과다/재고부족_재고일수CNTINV_DIO2014</v>
      </c>
      <c r="B503" t="str">
        <f t="shared" si="15"/>
        <v>5.재고과다/재고부족_재고일수CNTINV_DIO201410</v>
      </c>
      <c r="F503" t="s">
        <v>264</v>
      </c>
      <c r="G503" t="s">
        <v>7</v>
      </c>
      <c r="H503" t="s">
        <v>307</v>
      </c>
      <c r="I503" t="s">
        <v>254</v>
      </c>
      <c r="J503" t="s">
        <v>31</v>
      </c>
      <c r="K503" t="s">
        <v>180</v>
      </c>
      <c r="L503">
        <v>47.274851376537498</v>
      </c>
      <c r="M503" t="s">
        <v>70</v>
      </c>
      <c r="N503" t="s">
        <v>62</v>
      </c>
    </row>
    <row r="504" spans="1:14">
      <c r="A504" t="str">
        <f t="shared" si="14"/>
        <v>5.재고과다/재고부족_재고일수CNTINV_DIO2014</v>
      </c>
      <c r="B504" t="str">
        <f t="shared" si="15"/>
        <v>5.재고과다/재고부족_재고일수CNTINV_DIO201411</v>
      </c>
      <c r="F504" t="s">
        <v>264</v>
      </c>
      <c r="G504" t="s">
        <v>7</v>
      </c>
      <c r="H504" t="s">
        <v>307</v>
      </c>
      <c r="I504" t="s">
        <v>254</v>
      </c>
      <c r="J504" t="s">
        <v>32</v>
      </c>
      <c r="K504" t="s">
        <v>180</v>
      </c>
      <c r="L504">
        <v>44.4745954742842</v>
      </c>
      <c r="M504" t="s">
        <v>70</v>
      </c>
      <c r="N504" t="s">
        <v>62</v>
      </c>
    </row>
    <row r="505" spans="1:14">
      <c r="A505" t="str">
        <f t="shared" si="14"/>
        <v>5.재고과다/재고부족_재고일수CNTINV_DIO2014</v>
      </c>
      <c r="B505" t="str">
        <f t="shared" si="15"/>
        <v>5.재고과다/재고부족_재고일수CNTINV_DIO201412</v>
      </c>
      <c r="F505" t="s">
        <v>264</v>
      </c>
      <c r="G505" t="s">
        <v>7</v>
      </c>
      <c r="H505" t="s">
        <v>307</v>
      </c>
      <c r="I505" t="s">
        <v>254</v>
      </c>
      <c r="J505" t="s">
        <v>33</v>
      </c>
      <c r="K505" t="s">
        <v>180</v>
      </c>
      <c r="L505">
        <v>59.4609657798635</v>
      </c>
      <c r="M505" t="s">
        <v>70</v>
      </c>
      <c r="N505" t="s">
        <v>62</v>
      </c>
    </row>
    <row r="506" spans="1:14">
      <c r="A506" t="str">
        <f t="shared" si="14"/>
        <v>5.재고과다/재고부족_재고일수CNTINV_DIO2015</v>
      </c>
      <c r="B506" t="str">
        <f t="shared" si="15"/>
        <v>5.재고과다/재고부족_재고일수CNTINV_DIO201500</v>
      </c>
      <c r="F506" t="s">
        <v>264</v>
      </c>
      <c r="G506" t="s">
        <v>7</v>
      </c>
      <c r="H506" t="s">
        <v>307</v>
      </c>
      <c r="I506" t="s">
        <v>260</v>
      </c>
      <c r="J506" t="s">
        <v>261</v>
      </c>
      <c r="K506" t="s">
        <v>180</v>
      </c>
      <c r="M506" t="s">
        <v>70</v>
      </c>
      <c r="N506" t="s">
        <v>62</v>
      </c>
    </row>
    <row r="507" spans="1:14">
      <c r="A507" t="str">
        <f t="shared" si="14"/>
        <v>5.재고과다/재고부족_재고일수CNTINV_DIO2015</v>
      </c>
      <c r="B507" t="str">
        <f t="shared" si="15"/>
        <v>5.재고과다/재고부족_재고일수CNTINV_DIO201501</v>
      </c>
      <c r="F507" t="s">
        <v>264</v>
      </c>
      <c r="G507" t="s">
        <v>7</v>
      </c>
      <c r="H507" t="s">
        <v>307</v>
      </c>
      <c r="I507" t="s">
        <v>260</v>
      </c>
      <c r="J507" t="s">
        <v>34</v>
      </c>
      <c r="K507" t="s">
        <v>180</v>
      </c>
      <c r="L507">
        <v>55.985864611796899</v>
      </c>
      <c r="M507" t="s">
        <v>70</v>
      </c>
      <c r="N507" t="s">
        <v>62</v>
      </c>
    </row>
    <row r="508" spans="1:14">
      <c r="A508" t="str">
        <f t="shared" si="14"/>
        <v>5.재고과다/재고부족_재고일수CNTINV_DIO2015</v>
      </c>
      <c r="B508" t="str">
        <f t="shared" si="15"/>
        <v>5.재고과다/재고부족_재고일수CNTINV_DIO201502</v>
      </c>
      <c r="F508" t="s">
        <v>264</v>
      </c>
      <c r="G508" t="s">
        <v>7</v>
      </c>
      <c r="H508" t="s">
        <v>307</v>
      </c>
      <c r="I508" t="s">
        <v>260</v>
      </c>
      <c r="J508" t="s">
        <v>35</v>
      </c>
      <c r="K508" t="s">
        <v>180</v>
      </c>
      <c r="L508">
        <v>54.755502512280202</v>
      </c>
      <c r="M508" t="s">
        <v>70</v>
      </c>
      <c r="N508" t="s">
        <v>62</v>
      </c>
    </row>
    <row r="509" spans="1:14">
      <c r="A509" t="str">
        <f t="shared" si="14"/>
        <v>5.재고과다/재고부족_재고일수CNTINV_DIO2015</v>
      </c>
      <c r="B509" t="str">
        <f t="shared" si="15"/>
        <v>5.재고과다/재고부족_재고일수CNTINV_DIO201503</v>
      </c>
      <c r="F509" t="s">
        <v>264</v>
      </c>
      <c r="G509" t="s">
        <v>7</v>
      </c>
      <c r="H509" t="s">
        <v>307</v>
      </c>
      <c r="I509" t="s">
        <v>260</v>
      </c>
      <c r="J509" t="s">
        <v>36</v>
      </c>
      <c r="K509" t="s">
        <v>180</v>
      </c>
      <c r="L509">
        <v>55.449977622903901</v>
      </c>
      <c r="M509" t="s">
        <v>70</v>
      </c>
      <c r="N509" t="s">
        <v>62</v>
      </c>
    </row>
    <row r="510" spans="1:14">
      <c r="A510" t="str">
        <f t="shared" si="14"/>
        <v>5.재고과다/재고부족_재고일수CNTINV_DIO2015</v>
      </c>
      <c r="B510" t="str">
        <f t="shared" si="15"/>
        <v>5.재고과다/재고부족_재고일수CNTINV_DIO201504</v>
      </c>
      <c r="F510" t="s">
        <v>264</v>
      </c>
      <c r="G510" t="s">
        <v>7</v>
      </c>
      <c r="H510" t="s">
        <v>307</v>
      </c>
      <c r="I510" t="s">
        <v>260</v>
      </c>
      <c r="J510" t="s">
        <v>37</v>
      </c>
      <c r="K510" t="s">
        <v>180</v>
      </c>
      <c r="L510">
        <v>41.239403870873403</v>
      </c>
      <c r="M510" t="s">
        <v>70</v>
      </c>
      <c r="N510" t="s">
        <v>62</v>
      </c>
    </row>
    <row r="511" spans="1:14">
      <c r="A511" t="str">
        <f t="shared" si="14"/>
        <v>5.재고과다/재고부족_재고일수CNTINV_DIO2015</v>
      </c>
      <c r="B511" t="str">
        <f t="shared" si="15"/>
        <v>5.재고과다/재고부족_재고일수CNTINV_DIO201505</v>
      </c>
      <c r="F511" t="s">
        <v>264</v>
      </c>
      <c r="G511" t="s">
        <v>7</v>
      </c>
      <c r="H511" t="s">
        <v>307</v>
      </c>
      <c r="I511" t="s">
        <v>260</v>
      </c>
      <c r="J511" t="s">
        <v>38</v>
      </c>
      <c r="K511" t="s">
        <v>180</v>
      </c>
      <c r="L511">
        <v>45.1799331262904</v>
      </c>
      <c r="M511" t="s">
        <v>70</v>
      </c>
      <c r="N511" t="s">
        <v>62</v>
      </c>
    </row>
    <row r="512" spans="1:14">
      <c r="A512" t="str">
        <f t="shared" si="14"/>
        <v>5.재고과다/재고부족_재고일수CNTINV_DIO2015</v>
      </c>
      <c r="B512" t="str">
        <f t="shared" si="15"/>
        <v>5.재고과다/재고부족_재고일수CNTINV_DIO201506</v>
      </c>
      <c r="F512" t="s">
        <v>264</v>
      </c>
      <c r="G512" t="s">
        <v>7</v>
      </c>
      <c r="H512" t="s">
        <v>307</v>
      </c>
      <c r="I512" t="s">
        <v>260</v>
      </c>
      <c r="J512" t="s">
        <v>39</v>
      </c>
      <c r="K512" t="s">
        <v>180</v>
      </c>
      <c r="L512">
        <v>28.632326518010299</v>
      </c>
      <c r="M512" t="s">
        <v>70</v>
      </c>
      <c r="N512" t="s">
        <v>62</v>
      </c>
    </row>
    <row r="513" spans="1:14">
      <c r="A513" t="str">
        <f t="shared" si="14"/>
        <v>5.재고과다/재고부족_재고일수CNTINV_DIO2015</v>
      </c>
      <c r="B513" t="str">
        <f t="shared" si="15"/>
        <v>5.재고과다/재고부족_재고일수CNTINV_DIO201507</v>
      </c>
      <c r="F513" t="s">
        <v>264</v>
      </c>
      <c r="G513" t="s">
        <v>7</v>
      </c>
      <c r="H513" t="s">
        <v>307</v>
      </c>
      <c r="I513" t="s">
        <v>260</v>
      </c>
      <c r="J513" t="s">
        <v>40</v>
      </c>
      <c r="K513" t="s">
        <v>180</v>
      </c>
      <c r="L513">
        <v>37.665972248825902</v>
      </c>
      <c r="M513" t="s">
        <v>70</v>
      </c>
      <c r="N513" t="s">
        <v>62</v>
      </c>
    </row>
    <row r="514" spans="1:14">
      <c r="A514" t="str">
        <f t="shared" si="14"/>
        <v>5.재고과다/재고부족_재고일수CNTINV_DIO2015</v>
      </c>
      <c r="B514" t="str">
        <f t="shared" si="15"/>
        <v>5.재고과다/재고부족_재고일수CNTINV_DIO201508</v>
      </c>
      <c r="F514" t="s">
        <v>264</v>
      </c>
      <c r="G514" t="s">
        <v>7</v>
      </c>
      <c r="H514" t="s">
        <v>307</v>
      </c>
      <c r="I514" t="s">
        <v>260</v>
      </c>
      <c r="J514" t="s">
        <v>41</v>
      </c>
      <c r="K514" t="s">
        <v>180</v>
      </c>
      <c r="L514">
        <v>31.4931318942314</v>
      </c>
      <c r="M514" t="s">
        <v>70</v>
      </c>
      <c r="N514" t="s">
        <v>62</v>
      </c>
    </row>
    <row r="515" spans="1:14">
      <c r="A515" t="str">
        <f t="shared" si="14"/>
        <v>5.재고과다/재고부족_재고일수CNTINV_DIO2015</v>
      </c>
      <c r="B515" t="str">
        <f t="shared" si="15"/>
        <v>5.재고과다/재고부족_재고일수CNTINV_DIO201509</v>
      </c>
      <c r="F515" t="s">
        <v>264</v>
      </c>
      <c r="G515" t="s">
        <v>7</v>
      </c>
      <c r="H515" t="s">
        <v>307</v>
      </c>
      <c r="I515" t="s">
        <v>260</v>
      </c>
      <c r="J515" t="s">
        <v>42</v>
      </c>
      <c r="K515" t="s">
        <v>180</v>
      </c>
      <c r="L515">
        <v>31.7756025194095</v>
      </c>
      <c r="M515" t="s">
        <v>70</v>
      </c>
      <c r="N515" t="s">
        <v>62</v>
      </c>
    </row>
    <row r="516" spans="1:14">
      <c r="A516" t="str">
        <f t="shared" si="14"/>
        <v>5.재고과다/재고부족_재고일수CNTINV_DIO2015</v>
      </c>
      <c r="B516" t="str">
        <f t="shared" si="15"/>
        <v>5.재고과다/재고부족_재고일수CNTINV_DIO201510</v>
      </c>
      <c r="F516" t="s">
        <v>264</v>
      </c>
      <c r="G516" t="s">
        <v>7</v>
      </c>
      <c r="H516" t="s">
        <v>307</v>
      </c>
      <c r="I516" t="s">
        <v>260</v>
      </c>
      <c r="J516" t="s">
        <v>1</v>
      </c>
      <c r="K516" t="s">
        <v>180</v>
      </c>
      <c r="L516">
        <v>24.9967159941591</v>
      </c>
      <c r="M516" t="s">
        <v>70</v>
      </c>
      <c r="N516" t="s">
        <v>62</v>
      </c>
    </row>
    <row r="517" spans="1:14">
      <c r="A517" t="str">
        <f t="shared" si="14"/>
        <v>5.재고과다/재고부족_재고일수CVTINV_DIO2012</v>
      </c>
      <c r="B517" t="str">
        <f t="shared" si="15"/>
        <v>5.재고과다/재고부족_재고일수CVTINV_DIO201200</v>
      </c>
      <c r="F517" t="s">
        <v>264</v>
      </c>
      <c r="G517" t="s">
        <v>308</v>
      </c>
      <c r="H517" t="s">
        <v>307</v>
      </c>
      <c r="I517" t="s">
        <v>226</v>
      </c>
      <c r="J517" t="s">
        <v>262</v>
      </c>
      <c r="K517" t="s">
        <v>180</v>
      </c>
      <c r="M517" t="s">
        <v>316</v>
      </c>
      <c r="N517" t="s">
        <v>317</v>
      </c>
    </row>
    <row r="518" spans="1:14">
      <c r="A518" t="str">
        <f t="shared" si="14"/>
        <v>5.재고과다/재고부족_재고일수CVTINV_DIO2012</v>
      </c>
      <c r="B518" t="str">
        <f t="shared" si="15"/>
        <v>5.재고과다/재고부족_재고일수CVTINV_DIO201201</v>
      </c>
      <c r="F518" t="s">
        <v>264</v>
      </c>
      <c r="G518" t="s">
        <v>308</v>
      </c>
      <c r="H518" t="s">
        <v>307</v>
      </c>
      <c r="I518" t="s">
        <v>226</v>
      </c>
      <c r="J518" t="s">
        <v>227</v>
      </c>
      <c r="K518" t="s">
        <v>180</v>
      </c>
      <c r="L518">
        <v>31.805906524368002</v>
      </c>
      <c r="M518" t="s">
        <v>316</v>
      </c>
      <c r="N518" t="s">
        <v>317</v>
      </c>
    </row>
    <row r="519" spans="1:14">
      <c r="A519" t="str">
        <f t="shared" ref="A519:A582" si="16">F519&amp;G519&amp;K519&amp;I519</f>
        <v>5.재고과다/재고부족_재고일수CVTINV_DIO2012</v>
      </c>
      <c r="B519" t="str">
        <f t="shared" ref="B519:B582" si="17">F519&amp;G519&amp;K519&amp;J519</f>
        <v>5.재고과다/재고부족_재고일수CVTINV_DIO201202</v>
      </c>
      <c r="F519" t="s">
        <v>264</v>
      </c>
      <c r="G519" t="s">
        <v>308</v>
      </c>
      <c r="H519" t="s">
        <v>307</v>
      </c>
      <c r="I519" t="s">
        <v>226</v>
      </c>
      <c r="J519" t="s">
        <v>229</v>
      </c>
      <c r="K519" t="s">
        <v>180</v>
      </c>
      <c r="L519">
        <v>57.769308941748797</v>
      </c>
      <c r="M519" t="s">
        <v>316</v>
      </c>
      <c r="N519" t="s">
        <v>317</v>
      </c>
    </row>
    <row r="520" spans="1:14">
      <c r="A520" t="str">
        <f t="shared" si="16"/>
        <v>5.재고과다/재고부족_재고일수CVTINV_DIO2012</v>
      </c>
      <c r="B520" t="str">
        <f t="shared" si="17"/>
        <v>5.재고과다/재고부족_재고일수CVTINV_DIO201203</v>
      </c>
      <c r="F520" t="s">
        <v>264</v>
      </c>
      <c r="G520" t="s">
        <v>308</v>
      </c>
      <c r="H520" t="s">
        <v>307</v>
      </c>
      <c r="I520" t="s">
        <v>226</v>
      </c>
      <c r="J520" t="s">
        <v>230</v>
      </c>
      <c r="K520" t="s">
        <v>180</v>
      </c>
      <c r="L520">
        <v>63.194955996294702</v>
      </c>
      <c r="M520" t="s">
        <v>316</v>
      </c>
      <c r="N520" t="s">
        <v>317</v>
      </c>
    </row>
    <row r="521" spans="1:14">
      <c r="A521" t="str">
        <f t="shared" si="16"/>
        <v>5.재고과다/재고부족_재고일수CVTINV_DIO2012</v>
      </c>
      <c r="B521" t="str">
        <f t="shared" si="17"/>
        <v>5.재고과다/재고부족_재고일수CVTINV_DIO201204</v>
      </c>
      <c r="F521" t="s">
        <v>264</v>
      </c>
      <c r="G521" t="s">
        <v>308</v>
      </c>
      <c r="H521" t="s">
        <v>307</v>
      </c>
      <c r="I521" t="s">
        <v>226</v>
      </c>
      <c r="J521" t="s">
        <v>231</v>
      </c>
      <c r="K521" t="s">
        <v>180</v>
      </c>
      <c r="L521">
        <v>70.087617236834305</v>
      </c>
      <c r="M521" t="s">
        <v>316</v>
      </c>
      <c r="N521" t="s">
        <v>317</v>
      </c>
    </row>
    <row r="522" spans="1:14">
      <c r="A522" t="str">
        <f t="shared" si="16"/>
        <v>5.재고과다/재고부족_재고일수CVTINV_DIO2012</v>
      </c>
      <c r="B522" t="str">
        <f t="shared" si="17"/>
        <v>5.재고과다/재고부족_재고일수CVTINV_DIO201205</v>
      </c>
      <c r="F522" t="s">
        <v>264</v>
      </c>
      <c r="G522" t="s">
        <v>308</v>
      </c>
      <c r="H522" t="s">
        <v>307</v>
      </c>
      <c r="I522" t="s">
        <v>226</v>
      </c>
      <c r="J522" t="s">
        <v>232</v>
      </c>
      <c r="K522" t="s">
        <v>180</v>
      </c>
      <c r="L522">
        <v>61.782694997457803</v>
      </c>
      <c r="M522" t="s">
        <v>316</v>
      </c>
      <c r="N522" t="s">
        <v>317</v>
      </c>
    </row>
    <row r="523" spans="1:14">
      <c r="A523" t="str">
        <f t="shared" si="16"/>
        <v>5.재고과다/재고부족_재고일수CVTINV_DIO2012</v>
      </c>
      <c r="B523" t="str">
        <f t="shared" si="17"/>
        <v>5.재고과다/재고부족_재고일수CVTINV_DIO201206</v>
      </c>
      <c r="F523" t="s">
        <v>264</v>
      </c>
      <c r="G523" t="s">
        <v>308</v>
      </c>
      <c r="H523" t="s">
        <v>307</v>
      </c>
      <c r="I523" t="s">
        <v>226</v>
      </c>
      <c r="J523" t="s">
        <v>233</v>
      </c>
      <c r="K523" t="s">
        <v>180</v>
      </c>
      <c r="L523">
        <v>79.297923324705494</v>
      </c>
      <c r="M523" t="s">
        <v>316</v>
      </c>
      <c r="N523" t="s">
        <v>317</v>
      </c>
    </row>
    <row r="524" spans="1:14">
      <c r="A524" t="str">
        <f t="shared" si="16"/>
        <v>5.재고과다/재고부족_재고일수CVTINV_DIO2012</v>
      </c>
      <c r="B524" t="str">
        <f t="shared" si="17"/>
        <v>5.재고과다/재고부족_재고일수CVTINV_DIO201207</v>
      </c>
      <c r="F524" t="s">
        <v>264</v>
      </c>
      <c r="G524" t="s">
        <v>308</v>
      </c>
      <c r="H524" t="s">
        <v>307</v>
      </c>
      <c r="I524" t="s">
        <v>226</v>
      </c>
      <c r="J524" t="s">
        <v>234</v>
      </c>
      <c r="K524" t="s">
        <v>180</v>
      </c>
      <c r="L524">
        <v>103.524468915472</v>
      </c>
      <c r="M524" t="s">
        <v>316</v>
      </c>
      <c r="N524" t="s">
        <v>317</v>
      </c>
    </row>
    <row r="525" spans="1:14">
      <c r="A525" t="str">
        <f t="shared" si="16"/>
        <v>5.재고과다/재고부족_재고일수CVTINV_DIO2012</v>
      </c>
      <c r="B525" t="str">
        <f t="shared" si="17"/>
        <v>5.재고과다/재고부족_재고일수CVTINV_DIO201208</v>
      </c>
      <c r="F525" t="s">
        <v>264</v>
      </c>
      <c r="G525" t="s">
        <v>308</v>
      </c>
      <c r="H525" t="s">
        <v>307</v>
      </c>
      <c r="I525" t="s">
        <v>226</v>
      </c>
      <c r="J525" t="s">
        <v>235</v>
      </c>
      <c r="K525" t="s">
        <v>180</v>
      </c>
      <c r="L525">
        <v>87.062099380280898</v>
      </c>
      <c r="M525" t="s">
        <v>316</v>
      </c>
      <c r="N525" t="s">
        <v>317</v>
      </c>
    </row>
    <row r="526" spans="1:14">
      <c r="A526" t="str">
        <f t="shared" si="16"/>
        <v>5.재고과다/재고부족_재고일수CVTINV_DIO2012</v>
      </c>
      <c r="B526" t="str">
        <f t="shared" si="17"/>
        <v>5.재고과다/재고부족_재고일수CVTINV_DIO201209</v>
      </c>
      <c r="F526" t="s">
        <v>264</v>
      </c>
      <c r="G526" t="s">
        <v>308</v>
      </c>
      <c r="H526" t="s">
        <v>307</v>
      </c>
      <c r="I526" t="s">
        <v>226</v>
      </c>
      <c r="J526" t="s">
        <v>236</v>
      </c>
      <c r="K526" t="s">
        <v>180</v>
      </c>
      <c r="L526">
        <v>104.563054023384</v>
      </c>
      <c r="M526" t="s">
        <v>316</v>
      </c>
      <c r="N526" t="s">
        <v>317</v>
      </c>
    </row>
    <row r="527" spans="1:14">
      <c r="A527" t="str">
        <f t="shared" si="16"/>
        <v>5.재고과다/재고부족_재고일수CVTINV_DIO2012</v>
      </c>
      <c r="B527" t="str">
        <f t="shared" si="17"/>
        <v>5.재고과다/재고부족_재고일수CVTINV_DIO201210</v>
      </c>
      <c r="F527" t="s">
        <v>264</v>
      </c>
      <c r="G527" t="s">
        <v>308</v>
      </c>
      <c r="H527" t="s">
        <v>307</v>
      </c>
      <c r="I527" t="s">
        <v>226</v>
      </c>
      <c r="J527" t="s">
        <v>237</v>
      </c>
      <c r="K527" t="s">
        <v>180</v>
      </c>
      <c r="L527">
        <v>1.156955891919E-5</v>
      </c>
      <c r="M527" t="s">
        <v>316</v>
      </c>
      <c r="N527" t="s">
        <v>317</v>
      </c>
    </row>
    <row r="528" spans="1:14">
      <c r="A528" t="str">
        <f t="shared" si="16"/>
        <v>5.재고과다/재고부족_재고일수CVTINV_DIO2012</v>
      </c>
      <c r="B528" t="str">
        <f t="shared" si="17"/>
        <v>5.재고과다/재고부족_재고일수CVTINV_DIO201211</v>
      </c>
      <c r="F528" t="s">
        <v>264</v>
      </c>
      <c r="G528" t="s">
        <v>308</v>
      </c>
      <c r="H528" t="s">
        <v>307</v>
      </c>
      <c r="I528" t="s">
        <v>226</v>
      </c>
      <c r="J528" t="s">
        <v>238</v>
      </c>
      <c r="K528" t="s">
        <v>180</v>
      </c>
      <c r="L528">
        <v>67.688178803733607</v>
      </c>
      <c r="M528" t="s">
        <v>316</v>
      </c>
      <c r="N528" t="s">
        <v>317</v>
      </c>
    </row>
    <row r="529" spans="1:14">
      <c r="A529" t="str">
        <f t="shared" si="16"/>
        <v>5.재고과다/재고부족_재고일수CVTINV_DIO2012</v>
      </c>
      <c r="B529" t="str">
        <f t="shared" si="17"/>
        <v>5.재고과다/재고부족_재고일수CVTINV_DIO201212</v>
      </c>
      <c r="F529" t="s">
        <v>264</v>
      </c>
      <c r="G529" t="s">
        <v>308</v>
      </c>
      <c r="H529" t="s">
        <v>307</v>
      </c>
      <c r="I529" t="s">
        <v>226</v>
      </c>
      <c r="J529" t="s">
        <v>239</v>
      </c>
      <c r="K529" t="s">
        <v>180</v>
      </c>
      <c r="L529">
        <v>29.291345977189199</v>
      </c>
      <c r="M529" t="s">
        <v>316</v>
      </c>
      <c r="N529" t="s">
        <v>317</v>
      </c>
    </row>
    <row r="530" spans="1:14">
      <c r="A530" t="str">
        <f t="shared" si="16"/>
        <v>5.재고과다/재고부족_재고일수CVTINV_DIO2013</v>
      </c>
      <c r="B530" t="str">
        <f t="shared" si="17"/>
        <v>5.재고과다/재고부족_재고일수CVTINV_DIO201300</v>
      </c>
      <c r="F530" t="s">
        <v>264</v>
      </c>
      <c r="G530" t="s">
        <v>308</v>
      </c>
      <c r="H530" t="s">
        <v>307</v>
      </c>
      <c r="I530" t="s">
        <v>240</v>
      </c>
      <c r="J530" t="s">
        <v>241</v>
      </c>
      <c r="K530" t="s">
        <v>180</v>
      </c>
      <c r="M530" t="s">
        <v>316</v>
      </c>
      <c r="N530" t="s">
        <v>317</v>
      </c>
    </row>
    <row r="531" spans="1:14">
      <c r="A531" t="str">
        <f t="shared" si="16"/>
        <v>5.재고과다/재고부족_재고일수CVTINV_DIO2013</v>
      </c>
      <c r="B531" t="str">
        <f t="shared" si="17"/>
        <v>5.재고과다/재고부족_재고일수CVTINV_DIO201301</v>
      </c>
      <c r="F531" t="s">
        <v>264</v>
      </c>
      <c r="G531" t="s">
        <v>308</v>
      </c>
      <c r="H531" t="s">
        <v>307</v>
      </c>
      <c r="I531" t="s">
        <v>240</v>
      </c>
      <c r="J531" t="s">
        <v>242</v>
      </c>
      <c r="K531" t="s">
        <v>180</v>
      </c>
      <c r="L531">
        <v>58.131273994129799</v>
      </c>
      <c r="M531" t="s">
        <v>316</v>
      </c>
      <c r="N531" t="s">
        <v>317</v>
      </c>
    </row>
    <row r="532" spans="1:14">
      <c r="A532" t="str">
        <f t="shared" si="16"/>
        <v>5.재고과다/재고부족_재고일수CVTINV_DIO2013</v>
      </c>
      <c r="B532" t="str">
        <f t="shared" si="17"/>
        <v>5.재고과다/재고부족_재고일수CVTINV_DIO201302</v>
      </c>
      <c r="F532" t="s">
        <v>264</v>
      </c>
      <c r="G532" t="s">
        <v>308</v>
      </c>
      <c r="H532" t="s">
        <v>307</v>
      </c>
      <c r="I532" t="s">
        <v>240</v>
      </c>
      <c r="J532" t="s">
        <v>243</v>
      </c>
      <c r="K532" t="s">
        <v>180</v>
      </c>
      <c r="L532">
        <v>36.643997962838</v>
      </c>
      <c r="M532" t="s">
        <v>316</v>
      </c>
      <c r="N532" t="s">
        <v>317</v>
      </c>
    </row>
    <row r="533" spans="1:14">
      <c r="A533" t="str">
        <f t="shared" si="16"/>
        <v>5.재고과다/재고부족_재고일수CVTINV_DIO2013</v>
      </c>
      <c r="B533" t="str">
        <f t="shared" si="17"/>
        <v>5.재고과다/재고부족_재고일수CVTINV_DIO201303</v>
      </c>
      <c r="F533" t="s">
        <v>264</v>
      </c>
      <c r="G533" t="s">
        <v>308</v>
      </c>
      <c r="H533" t="s">
        <v>307</v>
      </c>
      <c r="I533" t="s">
        <v>240</v>
      </c>
      <c r="J533" t="s">
        <v>244</v>
      </c>
      <c r="K533" t="s">
        <v>180</v>
      </c>
      <c r="L533">
        <v>43.310254790471099</v>
      </c>
      <c r="M533" t="s">
        <v>316</v>
      </c>
      <c r="N533" t="s">
        <v>317</v>
      </c>
    </row>
    <row r="534" spans="1:14">
      <c r="A534" t="str">
        <f t="shared" si="16"/>
        <v>5.재고과다/재고부족_재고일수CVTINV_DIO2013</v>
      </c>
      <c r="B534" t="str">
        <f t="shared" si="17"/>
        <v>5.재고과다/재고부족_재고일수CVTINV_DIO201304</v>
      </c>
      <c r="F534" t="s">
        <v>264</v>
      </c>
      <c r="G534" t="s">
        <v>308</v>
      </c>
      <c r="H534" t="s">
        <v>307</v>
      </c>
      <c r="I534" t="s">
        <v>240</v>
      </c>
      <c r="J534" t="s">
        <v>245</v>
      </c>
      <c r="K534" t="s">
        <v>180</v>
      </c>
      <c r="L534">
        <v>49.926093708264098</v>
      </c>
      <c r="M534" t="s">
        <v>316</v>
      </c>
      <c r="N534" t="s">
        <v>317</v>
      </c>
    </row>
    <row r="535" spans="1:14">
      <c r="A535" t="str">
        <f t="shared" si="16"/>
        <v>5.재고과다/재고부족_재고일수CVTINV_DIO2013</v>
      </c>
      <c r="B535" t="str">
        <f t="shared" si="17"/>
        <v>5.재고과다/재고부족_재고일수CVTINV_DIO201305</v>
      </c>
      <c r="F535" t="s">
        <v>264</v>
      </c>
      <c r="G535" t="s">
        <v>308</v>
      </c>
      <c r="H535" t="s">
        <v>307</v>
      </c>
      <c r="I535" t="s">
        <v>240</v>
      </c>
      <c r="J535" t="s">
        <v>246</v>
      </c>
      <c r="K535" t="s">
        <v>180</v>
      </c>
      <c r="L535">
        <v>94.059042768303001</v>
      </c>
      <c r="M535" t="s">
        <v>316</v>
      </c>
      <c r="N535" t="s">
        <v>317</v>
      </c>
    </row>
    <row r="536" spans="1:14">
      <c r="A536" t="str">
        <f t="shared" si="16"/>
        <v>5.재고과다/재고부족_재고일수CVTINV_DIO2013</v>
      </c>
      <c r="B536" t="str">
        <f t="shared" si="17"/>
        <v>5.재고과다/재고부족_재고일수CVTINV_DIO201306</v>
      </c>
      <c r="F536" t="s">
        <v>264</v>
      </c>
      <c r="G536" t="s">
        <v>308</v>
      </c>
      <c r="H536" t="s">
        <v>307</v>
      </c>
      <c r="I536" t="s">
        <v>240</v>
      </c>
      <c r="J536" t="s">
        <v>247</v>
      </c>
      <c r="K536" t="s">
        <v>180</v>
      </c>
      <c r="L536">
        <v>385.49839824838199</v>
      </c>
      <c r="M536" t="s">
        <v>316</v>
      </c>
      <c r="N536" t="s">
        <v>317</v>
      </c>
    </row>
    <row r="537" spans="1:14">
      <c r="A537" t="str">
        <f t="shared" si="16"/>
        <v>5.재고과다/재고부족_재고일수CVTINV_DIO2013</v>
      </c>
      <c r="B537" t="str">
        <f t="shared" si="17"/>
        <v>5.재고과다/재고부족_재고일수CVTINV_DIO201307</v>
      </c>
      <c r="F537" t="s">
        <v>264</v>
      </c>
      <c r="G537" t="s">
        <v>308</v>
      </c>
      <c r="H537" t="s">
        <v>307</v>
      </c>
      <c r="I537" t="s">
        <v>240</v>
      </c>
      <c r="J537" t="s">
        <v>248</v>
      </c>
      <c r="K537" t="s">
        <v>180</v>
      </c>
      <c r="L537">
        <v>276.12348553227298</v>
      </c>
      <c r="M537" t="s">
        <v>316</v>
      </c>
      <c r="N537" t="s">
        <v>317</v>
      </c>
    </row>
    <row r="538" spans="1:14">
      <c r="A538" t="str">
        <f t="shared" si="16"/>
        <v>5.재고과다/재고부족_재고일수CVTINV_DIO2013</v>
      </c>
      <c r="B538" t="str">
        <f t="shared" si="17"/>
        <v>5.재고과다/재고부족_재고일수CVTINV_DIO201308</v>
      </c>
      <c r="F538" t="s">
        <v>264</v>
      </c>
      <c r="G538" t="s">
        <v>308</v>
      </c>
      <c r="H538" t="s">
        <v>307</v>
      </c>
      <c r="I538" t="s">
        <v>240</v>
      </c>
      <c r="J538" t="s">
        <v>249</v>
      </c>
      <c r="K538" t="s">
        <v>180</v>
      </c>
      <c r="L538">
        <v>25.6164261358755</v>
      </c>
      <c r="M538" t="s">
        <v>316</v>
      </c>
      <c r="N538" t="s">
        <v>317</v>
      </c>
    </row>
    <row r="539" spans="1:14">
      <c r="A539" t="str">
        <f t="shared" si="16"/>
        <v>5.재고과다/재고부족_재고일수CVTINV_DIO2013</v>
      </c>
      <c r="B539" t="str">
        <f t="shared" si="17"/>
        <v>5.재고과다/재고부족_재고일수CVTINV_DIO201309</v>
      </c>
      <c r="F539" t="s">
        <v>264</v>
      </c>
      <c r="G539" t="s">
        <v>308</v>
      </c>
      <c r="H539" t="s">
        <v>307</v>
      </c>
      <c r="I539" t="s">
        <v>240</v>
      </c>
      <c r="J539" t="s">
        <v>250</v>
      </c>
      <c r="K539" t="s">
        <v>180</v>
      </c>
      <c r="L539">
        <v>207.70513973071601</v>
      </c>
      <c r="M539" t="s">
        <v>316</v>
      </c>
      <c r="N539" t="s">
        <v>317</v>
      </c>
    </row>
    <row r="540" spans="1:14">
      <c r="A540" t="str">
        <f t="shared" si="16"/>
        <v>5.재고과다/재고부족_재고일수CVTINV_DIO2013</v>
      </c>
      <c r="B540" t="str">
        <f t="shared" si="17"/>
        <v>5.재고과다/재고부족_재고일수CVTINV_DIO201310</v>
      </c>
      <c r="F540" t="s">
        <v>264</v>
      </c>
      <c r="G540" t="s">
        <v>308</v>
      </c>
      <c r="H540" t="s">
        <v>307</v>
      </c>
      <c r="I540" t="s">
        <v>240</v>
      </c>
      <c r="J540" t="s">
        <v>251</v>
      </c>
      <c r="K540" t="s">
        <v>180</v>
      </c>
      <c r="L540">
        <v>75.865751790822102</v>
      </c>
      <c r="M540" t="s">
        <v>316</v>
      </c>
      <c r="N540" t="s">
        <v>317</v>
      </c>
    </row>
    <row r="541" spans="1:14">
      <c r="A541" t="str">
        <f t="shared" si="16"/>
        <v>5.재고과다/재고부족_재고일수CVTINV_DIO2013</v>
      </c>
      <c r="B541" t="str">
        <f t="shared" si="17"/>
        <v>5.재고과다/재고부족_재고일수CVTINV_DIO201311</v>
      </c>
      <c r="F541" t="s">
        <v>264</v>
      </c>
      <c r="G541" t="s">
        <v>308</v>
      </c>
      <c r="H541" t="s">
        <v>307</v>
      </c>
      <c r="I541" t="s">
        <v>240</v>
      </c>
      <c r="J541" t="s">
        <v>252</v>
      </c>
      <c r="K541" t="s">
        <v>180</v>
      </c>
      <c r="L541">
        <v>141.634806636523</v>
      </c>
      <c r="M541" t="s">
        <v>316</v>
      </c>
      <c r="N541" t="s">
        <v>317</v>
      </c>
    </row>
    <row r="542" spans="1:14">
      <c r="A542" t="str">
        <f t="shared" si="16"/>
        <v>5.재고과다/재고부족_재고일수CVTINV_DIO2013</v>
      </c>
      <c r="B542" t="str">
        <f t="shared" si="17"/>
        <v>5.재고과다/재고부족_재고일수CVTINV_DIO201312</v>
      </c>
      <c r="F542" t="s">
        <v>264</v>
      </c>
      <c r="G542" t="s">
        <v>308</v>
      </c>
      <c r="H542" t="s">
        <v>307</v>
      </c>
      <c r="I542" t="s">
        <v>240</v>
      </c>
      <c r="J542" t="s">
        <v>253</v>
      </c>
      <c r="K542" t="s">
        <v>180</v>
      </c>
      <c r="L542">
        <v>25.245577434760101</v>
      </c>
      <c r="M542" t="s">
        <v>316</v>
      </c>
      <c r="N542" t="s">
        <v>317</v>
      </c>
    </row>
    <row r="543" spans="1:14">
      <c r="A543" t="str">
        <f t="shared" si="16"/>
        <v>5.재고과다/재고부족_재고일수CVTINV_DIO2014</v>
      </c>
      <c r="B543" t="str">
        <f t="shared" si="17"/>
        <v>5.재고과다/재고부족_재고일수CVTINV_DIO201400</v>
      </c>
      <c r="F543" t="s">
        <v>264</v>
      </c>
      <c r="G543" t="s">
        <v>308</v>
      </c>
      <c r="H543" t="s">
        <v>307</v>
      </c>
      <c r="I543" t="s">
        <v>254</v>
      </c>
      <c r="J543" t="s">
        <v>255</v>
      </c>
      <c r="K543" t="s">
        <v>180</v>
      </c>
      <c r="M543" t="s">
        <v>316</v>
      </c>
      <c r="N543" t="s">
        <v>317</v>
      </c>
    </row>
    <row r="544" spans="1:14">
      <c r="A544" t="str">
        <f t="shared" si="16"/>
        <v>5.재고과다/재고부족_재고일수CVTINV_DIO2014</v>
      </c>
      <c r="B544" t="str">
        <f t="shared" si="17"/>
        <v>5.재고과다/재고부족_재고일수CVTINV_DIO201401</v>
      </c>
      <c r="F544" t="s">
        <v>264</v>
      </c>
      <c r="G544" t="s">
        <v>308</v>
      </c>
      <c r="H544" t="s">
        <v>307</v>
      </c>
      <c r="I544" t="s">
        <v>254</v>
      </c>
      <c r="J544" t="s">
        <v>22</v>
      </c>
      <c r="K544" t="s">
        <v>180</v>
      </c>
      <c r="L544">
        <v>57.8071440469271</v>
      </c>
      <c r="M544" t="s">
        <v>316</v>
      </c>
      <c r="N544" t="s">
        <v>317</v>
      </c>
    </row>
    <row r="545" spans="1:14">
      <c r="A545" t="str">
        <f t="shared" si="16"/>
        <v>5.재고과다/재고부족_재고일수CVTINV_DIO2014</v>
      </c>
      <c r="B545" t="str">
        <f t="shared" si="17"/>
        <v>5.재고과다/재고부족_재고일수CVTINV_DIO201402</v>
      </c>
      <c r="F545" t="s">
        <v>264</v>
      </c>
      <c r="G545" t="s">
        <v>308</v>
      </c>
      <c r="H545" t="s">
        <v>307</v>
      </c>
      <c r="I545" t="s">
        <v>254</v>
      </c>
      <c r="J545" t="s">
        <v>23</v>
      </c>
      <c r="K545" t="s">
        <v>180</v>
      </c>
      <c r="L545">
        <v>31.4994795383313</v>
      </c>
      <c r="M545" t="s">
        <v>316</v>
      </c>
      <c r="N545" t="s">
        <v>317</v>
      </c>
    </row>
    <row r="546" spans="1:14">
      <c r="A546" t="str">
        <f t="shared" si="16"/>
        <v>5.재고과다/재고부족_재고일수CVTINV_DIO2014</v>
      </c>
      <c r="B546" t="str">
        <f t="shared" si="17"/>
        <v>5.재고과다/재고부족_재고일수CVTINV_DIO201403</v>
      </c>
      <c r="F546" t="s">
        <v>264</v>
      </c>
      <c r="G546" t="s">
        <v>308</v>
      </c>
      <c r="H546" t="s">
        <v>307</v>
      </c>
      <c r="I546" t="s">
        <v>254</v>
      </c>
      <c r="J546" t="s">
        <v>24</v>
      </c>
      <c r="K546" t="s">
        <v>180</v>
      </c>
      <c r="L546">
        <v>58.005926480414203</v>
      </c>
      <c r="M546" t="s">
        <v>316</v>
      </c>
      <c r="N546" t="s">
        <v>317</v>
      </c>
    </row>
    <row r="547" spans="1:14">
      <c r="A547" t="str">
        <f t="shared" si="16"/>
        <v>5.재고과다/재고부족_재고일수CVTINV_DIO2014</v>
      </c>
      <c r="B547" t="str">
        <f t="shared" si="17"/>
        <v>5.재고과다/재고부족_재고일수CVTINV_DIO201404</v>
      </c>
      <c r="F547" t="s">
        <v>264</v>
      </c>
      <c r="G547" t="s">
        <v>308</v>
      </c>
      <c r="H547" t="s">
        <v>307</v>
      </c>
      <c r="I547" t="s">
        <v>254</v>
      </c>
      <c r="J547" t="s">
        <v>25</v>
      </c>
      <c r="K547" t="s">
        <v>180</v>
      </c>
      <c r="L547">
        <v>43.441195301259</v>
      </c>
      <c r="M547" t="s">
        <v>316</v>
      </c>
      <c r="N547" t="s">
        <v>317</v>
      </c>
    </row>
    <row r="548" spans="1:14">
      <c r="A548" t="str">
        <f t="shared" si="16"/>
        <v>5.재고과다/재고부족_재고일수CVTINV_DIO2014</v>
      </c>
      <c r="B548" t="str">
        <f t="shared" si="17"/>
        <v>5.재고과다/재고부족_재고일수CVTINV_DIO201405</v>
      </c>
      <c r="F548" t="s">
        <v>264</v>
      </c>
      <c r="G548" t="s">
        <v>308</v>
      </c>
      <c r="H548" t="s">
        <v>307</v>
      </c>
      <c r="I548" t="s">
        <v>254</v>
      </c>
      <c r="J548" t="s">
        <v>26</v>
      </c>
      <c r="K548" t="s">
        <v>180</v>
      </c>
      <c r="L548">
        <v>52.8751471942889</v>
      </c>
      <c r="M548" t="s">
        <v>316</v>
      </c>
      <c r="N548" t="s">
        <v>317</v>
      </c>
    </row>
    <row r="549" spans="1:14">
      <c r="A549" t="str">
        <f t="shared" si="16"/>
        <v>5.재고과다/재고부족_재고일수CVTINV_DIO2014</v>
      </c>
      <c r="B549" t="str">
        <f t="shared" si="17"/>
        <v>5.재고과다/재고부족_재고일수CVTINV_DIO201406</v>
      </c>
      <c r="F549" t="s">
        <v>264</v>
      </c>
      <c r="G549" t="s">
        <v>308</v>
      </c>
      <c r="H549" t="s">
        <v>307</v>
      </c>
      <c r="I549" t="s">
        <v>254</v>
      </c>
      <c r="J549" t="s">
        <v>27</v>
      </c>
      <c r="K549" t="s">
        <v>180</v>
      </c>
      <c r="L549">
        <v>71.824258226287398</v>
      </c>
      <c r="M549" t="s">
        <v>316</v>
      </c>
      <c r="N549" t="s">
        <v>317</v>
      </c>
    </row>
    <row r="550" spans="1:14">
      <c r="A550" t="str">
        <f t="shared" si="16"/>
        <v>5.재고과다/재고부족_재고일수CVTINV_DIO2014</v>
      </c>
      <c r="B550" t="str">
        <f t="shared" si="17"/>
        <v>5.재고과다/재고부족_재고일수CVTINV_DIO201407</v>
      </c>
      <c r="F550" t="s">
        <v>264</v>
      </c>
      <c r="G550" t="s">
        <v>308</v>
      </c>
      <c r="H550" t="s">
        <v>307</v>
      </c>
      <c r="I550" t="s">
        <v>254</v>
      </c>
      <c r="J550" t="s">
        <v>28</v>
      </c>
      <c r="K550" t="s">
        <v>180</v>
      </c>
      <c r="L550">
        <v>88.882364896061404</v>
      </c>
      <c r="M550" t="s">
        <v>316</v>
      </c>
      <c r="N550" t="s">
        <v>317</v>
      </c>
    </row>
    <row r="551" spans="1:14">
      <c r="A551" t="str">
        <f t="shared" si="16"/>
        <v>5.재고과다/재고부족_재고일수CVTINV_DIO2014</v>
      </c>
      <c r="B551" t="str">
        <f t="shared" si="17"/>
        <v>5.재고과다/재고부족_재고일수CVTINV_DIO201408</v>
      </c>
      <c r="F551" t="s">
        <v>264</v>
      </c>
      <c r="G551" t="s">
        <v>308</v>
      </c>
      <c r="H551" t="s">
        <v>307</v>
      </c>
      <c r="I551" t="s">
        <v>254</v>
      </c>
      <c r="J551" t="s">
        <v>29</v>
      </c>
      <c r="K551" t="s">
        <v>180</v>
      </c>
      <c r="L551">
        <v>52.225851509447999</v>
      </c>
      <c r="M551" t="s">
        <v>316</v>
      </c>
      <c r="N551" t="s">
        <v>317</v>
      </c>
    </row>
    <row r="552" spans="1:14">
      <c r="A552" t="str">
        <f t="shared" si="16"/>
        <v>5.재고과다/재고부족_재고일수CVTINV_DIO2014</v>
      </c>
      <c r="B552" t="str">
        <f t="shared" si="17"/>
        <v>5.재고과다/재고부족_재고일수CVTINV_DIO201409</v>
      </c>
      <c r="F552" t="s">
        <v>264</v>
      </c>
      <c r="G552" t="s">
        <v>308</v>
      </c>
      <c r="H552" t="s">
        <v>307</v>
      </c>
      <c r="I552" t="s">
        <v>254</v>
      </c>
      <c r="J552" t="s">
        <v>30</v>
      </c>
      <c r="K552" t="s">
        <v>180</v>
      </c>
      <c r="L552">
        <v>61.178971874607797</v>
      </c>
      <c r="M552" t="s">
        <v>316</v>
      </c>
      <c r="N552" t="s">
        <v>317</v>
      </c>
    </row>
    <row r="553" spans="1:14">
      <c r="A553" t="str">
        <f t="shared" si="16"/>
        <v>5.재고과다/재고부족_재고일수CVTINV_DIO2014</v>
      </c>
      <c r="B553" t="str">
        <f t="shared" si="17"/>
        <v>5.재고과다/재고부족_재고일수CVTINV_DIO201410</v>
      </c>
      <c r="F553" t="s">
        <v>264</v>
      </c>
      <c r="G553" t="s">
        <v>308</v>
      </c>
      <c r="H553" t="s">
        <v>307</v>
      </c>
      <c r="I553" t="s">
        <v>254</v>
      </c>
      <c r="J553" t="s">
        <v>31</v>
      </c>
      <c r="K553" t="s">
        <v>180</v>
      </c>
      <c r="L553">
        <v>31.333921573744298</v>
      </c>
      <c r="M553" t="s">
        <v>316</v>
      </c>
      <c r="N553" t="s">
        <v>317</v>
      </c>
    </row>
    <row r="554" spans="1:14">
      <c r="A554" t="str">
        <f t="shared" si="16"/>
        <v>5.재고과다/재고부족_재고일수CVTINV_DIO2014</v>
      </c>
      <c r="B554" t="str">
        <f t="shared" si="17"/>
        <v>5.재고과다/재고부족_재고일수CVTINV_DIO201411</v>
      </c>
      <c r="F554" t="s">
        <v>264</v>
      </c>
      <c r="G554" t="s">
        <v>308</v>
      </c>
      <c r="H554" t="s">
        <v>307</v>
      </c>
      <c r="I554" t="s">
        <v>254</v>
      </c>
      <c r="J554" t="s">
        <v>32</v>
      </c>
      <c r="K554" t="s">
        <v>180</v>
      </c>
      <c r="L554">
        <v>48.459749695253997</v>
      </c>
      <c r="M554" t="s">
        <v>316</v>
      </c>
      <c r="N554" t="s">
        <v>317</v>
      </c>
    </row>
    <row r="555" spans="1:14">
      <c r="A555" t="str">
        <f t="shared" si="16"/>
        <v>5.재고과다/재고부족_재고일수CVTINV_DIO2014</v>
      </c>
      <c r="B555" t="str">
        <f t="shared" si="17"/>
        <v>5.재고과다/재고부족_재고일수CVTINV_DIO201412</v>
      </c>
      <c r="F555" t="s">
        <v>264</v>
      </c>
      <c r="G555" t="s">
        <v>308</v>
      </c>
      <c r="H555" t="s">
        <v>307</v>
      </c>
      <c r="I555" t="s">
        <v>254</v>
      </c>
      <c r="J555" t="s">
        <v>33</v>
      </c>
      <c r="K555" t="s">
        <v>180</v>
      </c>
      <c r="L555">
        <v>63.520627387951301</v>
      </c>
      <c r="M555" t="s">
        <v>316</v>
      </c>
      <c r="N555" t="s">
        <v>317</v>
      </c>
    </row>
    <row r="556" spans="1:14">
      <c r="A556" t="str">
        <f t="shared" si="16"/>
        <v>5.재고과다/재고부족_재고일수CVTINV_DIO2015</v>
      </c>
      <c r="B556" t="str">
        <f t="shared" si="17"/>
        <v>5.재고과다/재고부족_재고일수CVTINV_DIO201500</v>
      </c>
      <c r="F556" t="s">
        <v>264</v>
      </c>
      <c r="G556" t="s">
        <v>308</v>
      </c>
      <c r="H556" t="s">
        <v>307</v>
      </c>
      <c r="I556" t="s">
        <v>260</v>
      </c>
      <c r="J556" t="s">
        <v>261</v>
      </c>
      <c r="K556" t="s">
        <v>180</v>
      </c>
      <c r="M556" t="s">
        <v>316</v>
      </c>
      <c r="N556" t="s">
        <v>317</v>
      </c>
    </row>
    <row r="557" spans="1:14">
      <c r="A557" t="str">
        <f t="shared" si="16"/>
        <v>5.재고과다/재고부족_재고일수CVTINV_DIO2015</v>
      </c>
      <c r="B557" t="str">
        <f t="shared" si="17"/>
        <v>5.재고과다/재고부족_재고일수CVTINV_DIO201501</v>
      </c>
      <c r="F557" t="s">
        <v>264</v>
      </c>
      <c r="G557" t="s">
        <v>308</v>
      </c>
      <c r="H557" t="s">
        <v>307</v>
      </c>
      <c r="I557" t="s">
        <v>260</v>
      </c>
      <c r="J557" t="s">
        <v>34</v>
      </c>
      <c r="K557" t="s">
        <v>180</v>
      </c>
      <c r="L557">
        <v>110.02891367944299</v>
      </c>
      <c r="M557" t="s">
        <v>316</v>
      </c>
      <c r="N557" t="s">
        <v>317</v>
      </c>
    </row>
    <row r="558" spans="1:14">
      <c r="A558" t="str">
        <f t="shared" si="16"/>
        <v>5.재고과다/재고부족_재고일수CVTINV_DIO2015</v>
      </c>
      <c r="B558" t="str">
        <f t="shared" si="17"/>
        <v>5.재고과다/재고부족_재고일수CVTINV_DIO201502</v>
      </c>
      <c r="F558" t="s">
        <v>264</v>
      </c>
      <c r="G558" t="s">
        <v>308</v>
      </c>
      <c r="H558" t="s">
        <v>307</v>
      </c>
      <c r="I558" t="s">
        <v>260</v>
      </c>
      <c r="J558" t="s">
        <v>35</v>
      </c>
      <c r="K558" t="s">
        <v>180</v>
      </c>
      <c r="L558">
        <v>104.386532118441</v>
      </c>
      <c r="M558" t="s">
        <v>316</v>
      </c>
      <c r="N558" t="s">
        <v>317</v>
      </c>
    </row>
    <row r="559" spans="1:14">
      <c r="A559" t="str">
        <f t="shared" si="16"/>
        <v>5.재고과다/재고부족_재고일수CVTINV_DIO2015</v>
      </c>
      <c r="B559" t="str">
        <f t="shared" si="17"/>
        <v>5.재고과다/재고부족_재고일수CVTINV_DIO201503</v>
      </c>
      <c r="F559" t="s">
        <v>264</v>
      </c>
      <c r="G559" t="s">
        <v>308</v>
      </c>
      <c r="H559" t="s">
        <v>307</v>
      </c>
      <c r="I559" t="s">
        <v>260</v>
      </c>
      <c r="J559" t="s">
        <v>36</v>
      </c>
      <c r="K559" t="s">
        <v>180</v>
      </c>
      <c r="L559">
        <v>108.16879501572799</v>
      </c>
      <c r="M559" t="s">
        <v>316</v>
      </c>
      <c r="N559" t="s">
        <v>317</v>
      </c>
    </row>
    <row r="560" spans="1:14">
      <c r="A560" t="str">
        <f t="shared" si="16"/>
        <v>5.재고과다/재고부족_재고일수CVTINV_DIO2015</v>
      </c>
      <c r="B560" t="str">
        <f t="shared" si="17"/>
        <v>5.재고과다/재고부족_재고일수CVTINV_DIO201504</v>
      </c>
      <c r="F560" t="s">
        <v>264</v>
      </c>
      <c r="G560" t="s">
        <v>308</v>
      </c>
      <c r="H560" t="s">
        <v>307</v>
      </c>
      <c r="I560" t="s">
        <v>260</v>
      </c>
      <c r="J560" t="s">
        <v>37</v>
      </c>
      <c r="K560" t="s">
        <v>180</v>
      </c>
      <c r="L560">
        <v>66.176198666960303</v>
      </c>
      <c r="M560" t="s">
        <v>316</v>
      </c>
      <c r="N560" t="s">
        <v>317</v>
      </c>
    </row>
    <row r="561" spans="1:14">
      <c r="A561" t="str">
        <f t="shared" si="16"/>
        <v>5.재고과다/재고부족_재고일수CVTINV_DIO2015</v>
      </c>
      <c r="B561" t="str">
        <f t="shared" si="17"/>
        <v>5.재고과다/재고부족_재고일수CVTINV_DIO201505</v>
      </c>
      <c r="F561" t="s">
        <v>264</v>
      </c>
      <c r="G561" t="s">
        <v>308</v>
      </c>
      <c r="H561" t="s">
        <v>307</v>
      </c>
      <c r="I561" t="s">
        <v>260</v>
      </c>
      <c r="J561" t="s">
        <v>38</v>
      </c>
      <c r="K561" t="s">
        <v>180</v>
      </c>
      <c r="L561">
        <v>68.384509739859695</v>
      </c>
      <c r="M561" t="s">
        <v>316</v>
      </c>
      <c r="N561" t="s">
        <v>317</v>
      </c>
    </row>
    <row r="562" spans="1:14">
      <c r="A562" t="str">
        <f t="shared" si="16"/>
        <v>5.재고과다/재고부족_재고일수CVTINV_DIO2015</v>
      </c>
      <c r="B562" t="str">
        <f t="shared" si="17"/>
        <v>5.재고과다/재고부족_재고일수CVTINV_DIO201506</v>
      </c>
      <c r="F562" t="s">
        <v>264</v>
      </c>
      <c r="G562" t="s">
        <v>308</v>
      </c>
      <c r="H562" t="s">
        <v>307</v>
      </c>
      <c r="I562" t="s">
        <v>260</v>
      </c>
      <c r="J562" t="s">
        <v>39</v>
      </c>
      <c r="K562" t="s">
        <v>180</v>
      </c>
      <c r="L562">
        <v>68.258623947115098</v>
      </c>
      <c r="M562" t="s">
        <v>316</v>
      </c>
      <c r="N562" t="s">
        <v>317</v>
      </c>
    </row>
    <row r="563" spans="1:14">
      <c r="A563" t="str">
        <f t="shared" si="16"/>
        <v>5.재고과다/재고부족_재고일수CVTINV_DIO2015</v>
      </c>
      <c r="B563" t="str">
        <f t="shared" si="17"/>
        <v>5.재고과다/재고부족_재고일수CVTINV_DIO201507</v>
      </c>
      <c r="F563" t="s">
        <v>264</v>
      </c>
      <c r="G563" t="s">
        <v>308</v>
      </c>
      <c r="H563" t="s">
        <v>307</v>
      </c>
      <c r="I563" t="s">
        <v>260</v>
      </c>
      <c r="J563" t="s">
        <v>40</v>
      </c>
      <c r="K563" t="s">
        <v>180</v>
      </c>
      <c r="L563">
        <v>113.22815162585201</v>
      </c>
      <c r="M563" t="s">
        <v>316</v>
      </c>
      <c r="N563" t="s">
        <v>317</v>
      </c>
    </row>
    <row r="564" spans="1:14">
      <c r="A564" t="str">
        <f t="shared" si="16"/>
        <v>5.재고과다/재고부족_재고일수CVTINV_DIO2015</v>
      </c>
      <c r="B564" t="str">
        <f t="shared" si="17"/>
        <v>5.재고과다/재고부족_재고일수CVTINV_DIO201508</v>
      </c>
      <c r="F564" t="s">
        <v>264</v>
      </c>
      <c r="G564" t="s">
        <v>308</v>
      </c>
      <c r="H564" t="s">
        <v>307</v>
      </c>
      <c r="I564" t="s">
        <v>260</v>
      </c>
      <c r="J564" t="s">
        <v>41</v>
      </c>
      <c r="K564" t="s">
        <v>180</v>
      </c>
      <c r="L564">
        <v>130.04059831039899</v>
      </c>
      <c r="M564" t="s">
        <v>316</v>
      </c>
      <c r="N564" t="s">
        <v>317</v>
      </c>
    </row>
    <row r="565" spans="1:14">
      <c r="A565" t="str">
        <f t="shared" si="16"/>
        <v>5.재고과다/재고부족_재고일수CVTINV_DIO2015</v>
      </c>
      <c r="B565" t="str">
        <f t="shared" si="17"/>
        <v>5.재고과다/재고부족_재고일수CVTINV_DIO201509</v>
      </c>
      <c r="F565" t="s">
        <v>264</v>
      </c>
      <c r="G565" t="s">
        <v>308</v>
      </c>
      <c r="H565" t="s">
        <v>307</v>
      </c>
      <c r="I565" t="s">
        <v>260</v>
      </c>
      <c r="J565" t="s">
        <v>42</v>
      </c>
      <c r="K565" t="s">
        <v>180</v>
      </c>
      <c r="L565">
        <v>73.227307890405299</v>
      </c>
      <c r="M565" t="s">
        <v>316</v>
      </c>
      <c r="N565" t="s">
        <v>317</v>
      </c>
    </row>
    <row r="566" spans="1:14">
      <c r="A566" t="str">
        <f t="shared" si="16"/>
        <v>5.재고과다/재고부족_재고일수CVTINV_DIO2015</v>
      </c>
      <c r="B566" t="str">
        <f t="shared" si="17"/>
        <v>5.재고과다/재고부족_재고일수CVTINV_DIO201510</v>
      </c>
      <c r="F566" t="s">
        <v>264</v>
      </c>
      <c r="G566" t="s">
        <v>308</v>
      </c>
      <c r="H566" t="s">
        <v>307</v>
      </c>
      <c r="I566" t="s">
        <v>260</v>
      </c>
      <c r="J566" t="s">
        <v>1</v>
      </c>
      <c r="K566" t="s">
        <v>180</v>
      </c>
      <c r="L566">
        <v>64.431306704837993</v>
      </c>
      <c r="M566" t="s">
        <v>316</v>
      </c>
      <c r="N566" t="s">
        <v>317</v>
      </c>
    </row>
    <row r="567" spans="1:14">
      <c r="A567" t="str">
        <f t="shared" si="16"/>
        <v>5.재고과다/재고부족_재고일수DFTINV_DIO2012</v>
      </c>
      <c r="B567" t="str">
        <f t="shared" si="17"/>
        <v>5.재고과다/재고부족_재고일수DFTINV_DIO201200</v>
      </c>
      <c r="F567" t="s">
        <v>264</v>
      </c>
      <c r="G567" t="s">
        <v>8</v>
      </c>
      <c r="H567" t="s">
        <v>307</v>
      </c>
      <c r="I567" t="s">
        <v>226</v>
      </c>
      <c r="J567" t="s">
        <v>262</v>
      </c>
      <c r="K567" t="s">
        <v>180</v>
      </c>
      <c r="M567" t="s">
        <v>71</v>
      </c>
      <c r="N567" t="s">
        <v>63</v>
      </c>
    </row>
    <row r="568" spans="1:14">
      <c r="A568" t="str">
        <f t="shared" si="16"/>
        <v>5.재고과다/재고부족_재고일수DFTINV_DIO2012</v>
      </c>
      <c r="B568" t="str">
        <f t="shared" si="17"/>
        <v>5.재고과다/재고부족_재고일수DFTINV_DIO201201</v>
      </c>
      <c r="F568" t="s">
        <v>264</v>
      </c>
      <c r="G568" t="s">
        <v>8</v>
      </c>
      <c r="H568" t="s">
        <v>307</v>
      </c>
      <c r="I568" t="s">
        <v>226</v>
      </c>
      <c r="J568" t="s">
        <v>227</v>
      </c>
      <c r="K568" t="s">
        <v>180</v>
      </c>
      <c r="L568">
        <v>62.468700305827603</v>
      </c>
      <c r="M568" t="s">
        <v>71</v>
      </c>
      <c r="N568" t="s">
        <v>63</v>
      </c>
    </row>
    <row r="569" spans="1:14">
      <c r="A569" t="str">
        <f t="shared" si="16"/>
        <v>5.재고과다/재고부족_재고일수DFTINV_DIO2012</v>
      </c>
      <c r="B569" t="str">
        <f t="shared" si="17"/>
        <v>5.재고과다/재고부족_재고일수DFTINV_DIO201202</v>
      </c>
      <c r="F569" t="s">
        <v>264</v>
      </c>
      <c r="G569" t="s">
        <v>8</v>
      </c>
      <c r="H569" t="s">
        <v>307</v>
      </c>
      <c r="I569" t="s">
        <v>226</v>
      </c>
      <c r="J569" t="s">
        <v>229</v>
      </c>
      <c r="K569" t="s">
        <v>180</v>
      </c>
      <c r="L569">
        <v>49.981907985034603</v>
      </c>
      <c r="M569" t="s">
        <v>71</v>
      </c>
      <c r="N569" t="s">
        <v>63</v>
      </c>
    </row>
    <row r="570" spans="1:14">
      <c r="A570" t="str">
        <f t="shared" si="16"/>
        <v>5.재고과다/재고부족_재고일수DFTINV_DIO2012</v>
      </c>
      <c r="B570" t="str">
        <f t="shared" si="17"/>
        <v>5.재고과다/재고부족_재고일수DFTINV_DIO201203</v>
      </c>
      <c r="F570" t="s">
        <v>264</v>
      </c>
      <c r="G570" t="s">
        <v>8</v>
      </c>
      <c r="H570" t="s">
        <v>307</v>
      </c>
      <c r="I570" t="s">
        <v>226</v>
      </c>
      <c r="J570" t="s">
        <v>230</v>
      </c>
      <c r="K570" t="s">
        <v>180</v>
      </c>
      <c r="L570">
        <v>44.747402787623898</v>
      </c>
      <c r="M570" t="s">
        <v>71</v>
      </c>
      <c r="N570" t="s">
        <v>63</v>
      </c>
    </row>
    <row r="571" spans="1:14">
      <c r="A571" t="str">
        <f t="shared" si="16"/>
        <v>5.재고과다/재고부족_재고일수DFTINV_DIO2012</v>
      </c>
      <c r="B571" t="str">
        <f t="shared" si="17"/>
        <v>5.재고과다/재고부족_재고일수DFTINV_DIO201204</v>
      </c>
      <c r="F571" t="s">
        <v>264</v>
      </c>
      <c r="G571" t="s">
        <v>8</v>
      </c>
      <c r="H571" t="s">
        <v>307</v>
      </c>
      <c r="I571" t="s">
        <v>226</v>
      </c>
      <c r="J571" t="s">
        <v>231</v>
      </c>
      <c r="K571" t="s">
        <v>180</v>
      </c>
      <c r="L571">
        <v>40.558727574437597</v>
      </c>
      <c r="M571" t="s">
        <v>71</v>
      </c>
      <c r="N571" t="s">
        <v>63</v>
      </c>
    </row>
    <row r="572" spans="1:14">
      <c r="A572" t="str">
        <f t="shared" si="16"/>
        <v>5.재고과다/재고부족_재고일수DFTINV_DIO2012</v>
      </c>
      <c r="B572" t="str">
        <f t="shared" si="17"/>
        <v>5.재고과다/재고부족_재고일수DFTINV_DIO201205</v>
      </c>
      <c r="F572" t="s">
        <v>264</v>
      </c>
      <c r="G572" t="s">
        <v>8</v>
      </c>
      <c r="H572" t="s">
        <v>307</v>
      </c>
      <c r="I572" t="s">
        <v>226</v>
      </c>
      <c r="J572" t="s">
        <v>232</v>
      </c>
      <c r="K572" t="s">
        <v>180</v>
      </c>
      <c r="L572">
        <v>45.993910371387997</v>
      </c>
      <c r="M572" t="s">
        <v>71</v>
      </c>
      <c r="N572" t="s">
        <v>63</v>
      </c>
    </row>
    <row r="573" spans="1:14">
      <c r="A573" t="str">
        <f t="shared" si="16"/>
        <v>5.재고과다/재고부족_재고일수DFTINV_DIO2012</v>
      </c>
      <c r="B573" t="str">
        <f t="shared" si="17"/>
        <v>5.재고과다/재고부족_재고일수DFTINV_DIO201206</v>
      </c>
      <c r="F573" t="s">
        <v>264</v>
      </c>
      <c r="G573" t="s">
        <v>8</v>
      </c>
      <c r="H573" t="s">
        <v>307</v>
      </c>
      <c r="I573" t="s">
        <v>226</v>
      </c>
      <c r="J573" t="s">
        <v>233</v>
      </c>
      <c r="K573" t="s">
        <v>180</v>
      </c>
      <c r="L573">
        <v>40.917470253097001</v>
      </c>
      <c r="M573" t="s">
        <v>71</v>
      </c>
      <c r="N573" t="s">
        <v>63</v>
      </c>
    </row>
    <row r="574" spans="1:14">
      <c r="A574" t="str">
        <f t="shared" si="16"/>
        <v>5.재고과다/재고부족_재고일수DFTINV_DIO2012</v>
      </c>
      <c r="B574" t="str">
        <f t="shared" si="17"/>
        <v>5.재고과다/재고부족_재고일수DFTINV_DIO201207</v>
      </c>
      <c r="F574" t="s">
        <v>264</v>
      </c>
      <c r="G574" t="s">
        <v>8</v>
      </c>
      <c r="H574" t="s">
        <v>307</v>
      </c>
      <c r="I574" t="s">
        <v>226</v>
      </c>
      <c r="J574" t="s">
        <v>234</v>
      </c>
      <c r="K574" t="s">
        <v>180</v>
      </c>
      <c r="L574">
        <v>45.3905366850245</v>
      </c>
      <c r="M574" t="s">
        <v>71</v>
      </c>
      <c r="N574" t="s">
        <v>63</v>
      </c>
    </row>
    <row r="575" spans="1:14">
      <c r="A575" t="str">
        <f t="shared" si="16"/>
        <v>5.재고과다/재고부족_재고일수DFTINV_DIO2012</v>
      </c>
      <c r="B575" t="str">
        <f t="shared" si="17"/>
        <v>5.재고과다/재고부족_재고일수DFTINV_DIO201208</v>
      </c>
      <c r="F575" t="s">
        <v>264</v>
      </c>
      <c r="G575" t="s">
        <v>8</v>
      </c>
      <c r="H575" t="s">
        <v>307</v>
      </c>
      <c r="I575" t="s">
        <v>226</v>
      </c>
      <c r="J575" t="s">
        <v>235</v>
      </c>
      <c r="K575" t="s">
        <v>180</v>
      </c>
      <c r="L575">
        <v>53.473309804518699</v>
      </c>
      <c r="M575" t="s">
        <v>71</v>
      </c>
      <c r="N575" t="s">
        <v>63</v>
      </c>
    </row>
    <row r="576" spans="1:14">
      <c r="A576" t="str">
        <f t="shared" si="16"/>
        <v>5.재고과다/재고부족_재고일수DFTINV_DIO2012</v>
      </c>
      <c r="B576" t="str">
        <f t="shared" si="17"/>
        <v>5.재고과다/재고부족_재고일수DFTINV_DIO201209</v>
      </c>
      <c r="F576" t="s">
        <v>264</v>
      </c>
      <c r="G576" t="s">
        <v>8</v>
      </c>
      <c r="H576" t="s">
        <v>307</v>
      </c>
      <c r="I576" t="s">
        <v>226</v>
      </c>
      <c r="J576" t="s">
        <v>236</v>
      </c>
      <c r="K576" t="s">
        <v>180</v>
      </c>
      <c r="L576">
        <v>56.250710988734198</v>
      </c>
      <c r="M576" t="s">
        <v>71</v>
      </c>
      <c r="N576" t="s">
        <v>63</v>
      </c>
    </row>
    <row r="577" spans="1:14">
      <c r="A577" t="str">
        <f t="shared" si="16"/>
        <v>5.재고과다/재고부족_재고일수DFTINV_DIO2012</v>
      </c>
      <c r="B577" t="str">
        <f t="shared" si="17"/>
        <v>5.재고과다/재고부족_재고일수DFTINV_DIO201210</v>
      </c>
      <c r="F577" t="s">
        <v>264</v>
      </c>
      <c r="G577" t="s">
        <v>8</v>
      </c>
      <c r="H577" t="s">
        <v>307</v>
      </c>
      <c r="I577" t="s">
        <v>226</v>
      </c>
      <c r="J577" t="s">
        <v>237</v>
      </c>
      <c r="K577" t="s">
        <v>180</v>
      </c>
      <c r="L577">
        <v>57.806897455565199</v>
      </c>
      <c r="M577" t="s">
        <v>71</v>
      </c>
      <c r="N577" t="s">
        <v>63</v>
      </c>
    </row>
    <row r="578" spans="1:14">
      <c r="A578" t="str">
        <f t="shared" si="16"/>
        <v>5.재고과다/재고부족_재고일수DFTINV_DIO2012</v>
      </c>
      <c r="B578" t="str">
        <f t="shared" si="17"/>
        <v>5.재고과다/재고부족_재고일수DFTINV_DIO201211</v>
      </c>
      <c r="F578" t="s">
        <v>264</v>
      </c>
      <c r="G578" t="s">
        <v>8</v>
      </c>
      <c r="H578" t="s">
        <v>307</v>
      </c>
      <c r="I578" t="s">
        <v>226</v>
      </c>
      <c r="J578" t="s">
        <v>238</v>
      </c>
      <c r="K578" t="s">
        <v>180</v>
      </c>
      <c r="L578">
        <v>63.122818482767798</v>
      </c>
      <c r="M578" t="s">
        <v>71</v>
      </c>
      <c r="N578" t="s">
        <v>63</v>
      </c>
    </row>
    <row r="579" spans="1:14">
      <c r="A579" t="str">
        <f t="shared" si="16"/>
        <v>5.재고과다/재고부족_재고일수DFTINV_DIO2012</v>
      </c>
      <c r="B579" t="str">
        <f t="shared" si="17"/>
        <v>5.재고과다/재고부족_재고일수DFTINV_DIO201212</v>
      </c>
      <c r="F579" t="s">
        <v>264</v>
      </c>
      <c r="G579" t="s">
        <v>8</v>
      </c>
      <c r="H579" t="s">
        <v>307</v>
      </c>
      <c r="I579" t="s">
        <v>226</v>
      </c>
      <c r="J579" t="s">
        <v>239</v>
      </c>
      <c r="K579" t="s">
        <v>180</v>
      </c>
      <c r="L579">
        <v>50.980223975384902</v>
      </c>
      <c r="M579" t="s">
        <v>71</v>
      </c>
      <c r="N579" t="s">
        <v>63</v>
      </c>
    </row>
    <row r="580" spans="1:14">
      <c r="A580" t="str">
        <f t="shared" si="16"/>
        <v>5.재고과다/재고부족_재고일수DFTINV_DIO2013</v>
      </c>
      <c r="B580" t="str">
        <f t="shared" si="17"/>
        <v>5.재고과다/재고부족_재고일수DFTINV_DIO201300</v>
      </c>
      <c r="F580" t="s">
        <v>264</v>
      </c>
      <c r="G580" t="s">
        <v>8</v>
      </c>
      <c r="H580" t="s">
        <v>307</v>
      </c>
      <c r="I580" t="s">
        <v>240</v>
      </c>
      <c r="J580" t="s">
        <v>241</v>
      </c>
      <c r="K580" t="s">
        <v>180</v>
      </c>
      <c r="M580" t="s">
        <v>71</v>
      </c>
      <c r="N580" t="s">
        <v>63</v>
      </c>
    </row>
    <row r="581" spans="1:14">
      <c r="A581" t="str">
        <f t="shared" si="16"/>
        <v>5.재고과다/재고부족_재고일수DFTINV_DIO2013</v>
      </c>
      <c r="B581" t="str">
        <f t="shared" si="17"/>
        <v>5.재고과다/재고부족_재고일수DFTINV_DIO201301</v>
      </c>
      <c r="F581" t="s">
        <v>264</v>
      </c>
      <c r="G581" t="s">
        <v>8</v>
      </c>
      <c r="H581" t="s">
        <v>307</v>
      </c>
      <c r="I581" t="s">
        <v>240</v>
      </c>
      <c r="J581" t="s">
        <v>242</v>
      </c>
      <c r="K581" t="s">
        <v>180</v>
      </c>
      <c r="L581">
        <v>48.576356155435398</v>
      </c>
      <c r="M581" t="s">
        <v>71</v>
      </c>
      <c r="N581" t="s">
        <v>63</v>
      </c>
    </row>
    <row r="582" spans="1:14">
      <c r="A582" t="str">
        <f t="shared" si="16"/>
        <v>5.재고과다/재고부족_재고일수DFTINV_DIO2013</v>
      </c>
      <c r="B582" t="str">
        <f t="shared" si="17"/>
        <v>5.재고과다/재고부족_재고일수DFTINV_DIO201302</v>
      </c>
      <c r="F582" t="s">
        <v>264</v>
      </c>
      <c r="G582" t="s">
        <v>8</v>
      </c>
      <c r="H582" t="s">
        <v>307</v>
      </c>
      <c r="I582" t="s">
        <v>240</v>
      </c>
      <c r="J582" t="s">
        <v>243</v>
      </c>
      <c r="K582" t="s">
        <v>180</v>
      </c>
      <c r="L582">
        <v>41.517157036649699</v>
      </c>
      <c r="M582" t="s">
        <v>71</v>
      </c>
      <c r="N582" t="s">
        <v>63</v>
      </c>
    </row>
    <row r="583" spans="1:14">
      <c r="A583" t="str">
        <f t="shared" ref="A583:A646" si="18">F583&amp;G583&amp;K583&amp;I583</f>
        <v>5.재고과다/재고부족_재고일수DFTINV_DIO2013</v>
      </c>
      <c r="B583" t="str">
        <f t="shared" ref="B583:B646" si="19">F583&amp;G583&amp;K583&amp;J583</f>
        <v>5.재고과다/재고부족_재고일수DFTINV_DIO201303</v>
      </c>
      <c r="F583" t="s">
        <v>264</v>
      </c>
      <c r="G583" t="s">
        <v>8</v>
      </c>
      <c r="H583" t="s">
        <v>307</v>
      </c>
      <c r="I583" t="s">
        <v>240</v>
      </c>
      <c r="J583" t="s">
        <v>244</v>
      </c>
      <c r="K583" t="s">
        <v>180</v>
      </c>
      <c r="L583">
        <v>47.232237777406702</v>
      </c>
      <c r="M583" t="s">
        <v>71</v>
      </c>
      <c r="N583" t="s">
        <v>63</v>
      </c>
    </row>
    <row r="584" spans="1:14">
      <c r="A584" t="str">
        <f t="shared" si="18"/>
        <v>5.재고과다/재고부족_재고일수DFTINV_DIO2013</v>
      </c>
      <c r="B584" t="str">
        <f t="shared" si="19"/>
        <v>5.재고과다/재고부족_재고일수DFTINV_DIO201304</v>
      </c>
      <c r="F584" t="s">
        <v>264</v>
      </c>
      <c r="G584" t="s">
        <v>8</v>
      </c>
      <c r="H584" t="s">
        <v>307</v>
      </c>
      <c r="I584" t="s">
        <v>240</v>
      </c>
      <c r="J584" t="s">
        <v>245</v>
      </c>
      <c r="K584" t="s">
        <v>180</v>
      </c>
      <c r="L584">
        <v>59.399204717157403</v>
      </c>
      <c r="M584" t="s">
        <v>71</v>
      </c>
      <c r="N584" t="s">
        <v>63</v>
      </c>
    </row>
    <row r="585" spans="1:14">
      <c r="A585" t="str">
        <f t="shared" si="18"/>
        <v>5.재고과다/재고부족_재고일수DFTINV_DIO2013</v>
      </c>
      <c r="B585" t="str">
        <f t="shared" si="19"/>
        <v>5.재고과다/재고부족_재고일수DFTINV_DIO201305</v>
      </c>
      <c r="F585" t="s">
        <v>264</v>
      </c>
      <c r="G585" t="s">
        <v>8</v>
      </c>
      <c r="H585" t="s">
        <v>307</v>
      </c>
      <c r="I585" t="s">
        <v>240</v>
      </c>
      <c r="J585" t="s">
        <v>246</v>
      </c>
      <c r="K585" t="s">
        <v>180</v>
      </c>
      <c r="L585">
        <v>54.027523186619398</v>
      </c>
      <c r="M585" t="s">
        <v>71</v>
      </c>
      <c r="N585" t="s">
        <v>63</v>
      </c>
    </row>
    <row r="586" spans="1:14">
      <c r="A586" t="str">
        <f t="shared" si="18"/>
        <v>5.재고과다/재고부족_재고일수DFTINV_DIO2013</v>
      </c>
      <c r="B586" t="str">
        <f t="shared" si="19"/>
        <v>5.재고과다/재고부족_재고일수DFTINV_DIO201306</v>
      </c>
      <c r="F586" t="s">
        <v>264</v>
      </c>
      <c r="G586" t="s">
        <v>8</v>
      </c>
      <c r="H586" t="s">
        <v>307</v>
      </c>
      <c r="I586" t="s">
        <v>240</v>
      </c>
      <c r="J586" t="s">
        <v>247</v>
      </c>
      <c r="K586" t="s">
        <v>180</v>
      </c>
      <c r="L586">
        <v>51.9509373781924</v>
      </c>
      <c r="M586" t="s">
        <v>71</v>
      </c>
      <c r="N586" t="s">
        <v>63</v>
      </c>
    </row>
    <row r="587" spans="1:14">
      <c r="A587" t="str">
        <f t="shared" si="18"/>
        <v>5.재고과다/재고부족_재고일수DFTINV_DIO2013</v>
      </c>
      <c r="B587" t="str">
        <f t="shared" si="19"/>
        <v>5.재고과다/재고부족_재고일수DFTINV_DIO201307</v>
      </c>
      <c r="F587" t="s">
        <v>264</v>
      </c>
      <c r="G587" t="s">
        <v>8</v>
      </c>
      <c r="H587" t="s">
        <v>307</v>
      </c>
      <c r="I587" t="s">
        <v>240</v>
      </c>
      <c r="J587" t="s">
        <v>248</v>
      </c>
      <c r="K587" t="s">
        <v>180</v>
      </c>
      <c r="L587">
        <v>49.5091579130155</v>
      </c>
      <c r="M587" t="s">
        <v>71</v>
      </c>
      <c r="N587" t="s">
        <v>63</v>
      </c>
    </row>
    <row r="588" spans="1:14">
      <c r="A588" t="str">
        <f t="shared" si="18"/>
        <v>5.재고과다/재고부족_재고일수DFTINV_DIO2013</v>
      </c>
      <c r="B588" t="str">
        <f t="shared" si="19"/>
        <v>5.재고과다/재고부족_재고일수DFTINV_DIO201308</v>
      </c>
      <c r="F588" t="s">
        <v>264</v>
      </c>
      <c r="G588" t="s">
        <v>8</v>
      </c>
      <c r="H588" t="s">
        <v>307</v>
      </c>
      <c r="I588" t="s">
        <v>240</v>
      </c>
      <c r="J588" t="s">
        <v>249</v>
      </c>
      <c r="K588" t="s">
        <v>180</v>
      </c>
      <c r="L588">
        <v>52.275134284407898</v>
      </c>
      <c r="M588" t="s">
        <v>71</v>
      </c>
      <c r="N588" t="s">
        <v>63</v>
      </c>
    </row>
    <row r="589" spans="1:14">
      <c r="A589" t="str">
        <f t="shared" si="18"/>
        <v>5.재고과다/재고부족_재고일수DFTINV_DIO2013</v>
      </c>
      <c r="B589" t="str">
        <f t="shared" si="19"/>
        <v>5.재고과다/재고부족_재고일수DFTINV_DIO201309</v>
      </c>
      <c r="F589" t="s">
        <v>264</v>
      </c>
      <c r="G589" t="s">
        <v>8</v>
      </c>
      <c r="H589" t="s">
        <v>307</v>
      </c>
      <c r="I589" t="s">
        <v>240</v>
      </c>
      <c r="J589" t="s">
        <v>250</v>
      </c>
      <c r="K589" t="s">
        <v>180</v>
      </c>
      <c r="L589">
        <v>50.963809604800701</v>
      </c>
      <c r="M589" t="s">
        <v>71</v>
      </c>
      <c r="N589" t="s">
        <v>63</v>
      </c>
    </row>
    <row r="590" spans="1:14">
      <c r="A590" t="str">
        <f t="shared" si="18"/>
        <v>5.재고과다/재고부족_재고일수DFTINV_DIO2013</v>
      </c>
      <c r="B590" t="str">
        <f t="shared" si="19"/>
        <v>5.재고과다/재고부족_재고일수DFTINV_DIO201310</v>
      </c>
      <c r="F590" t="s">
        <v>264</v>
      </c>
      <c r="G590" t="s">
        <v>8</v>
      </c>
      <c r="H590" t="s">
        <v>307</v>
      </c>
      <c r="I590" t="s">
        <v>240</v>
      </c>
      <c r="J590" t="s">
        <v>251</v>
      </c>
      <c r="K590" t="s">
        <v>180</v>
      </c>
      <c r="L590">
        <v>64.365019852287901</v>
      </c>
      <c r="M590" t="s">
        <v>71</v>
      </c>
      <c r="N590" t="s">
        <v>63</v>
      </c>
    </row>
    <row r="591" spans="1:14">
      <c r="A591" t="str">
        <f t="shared" si="18"/>
        <v>5.재고과다/재고부족_재고일수DFTINV_DIO2013</v>
      </c>
      <c r="B591" t="str">
        <f t="shared" si="19"/>
        <v>5.재고과다/재고부족_재고일수DFTINV_DIO201311</v>
      </c>
      <c r="F591" t="s">
        <v>264</v>
      </c>
      <c r="G591" t="s">
        <v>8</v>
      </c>
      <c r="H591" t="s">
        <v>307</v>
      </c>
      <c r="I591" t="s">
        <v>240</v>
      </c>
      <c r="J591" t="s">
        <v>252</v>
      </c>
      <c r="K591" t="s">
        <v>180</v>
      </c>
      <c r="L591">
        <v>52.982295010579698</v>
      </c>
      <c r="M591" t="s">
        <v>71</v>
      </c>
      <c r="N591" t="s">
        <v>63</v>
      </c>
    </row>
    <row r="592" spans="1:14">
      <c r="A592" t="str">
        <f t="shared" si="18"/>
        <v>5.재고과다/재고부족_재고일수DFTINV_DIO2013</v>
      </c>
      <c r="B592" t="str">
        <f t="shared" si="19"/>
        <v>5.재고과다/재고부족_재고일수DFTINV_DIO201312</v>
      </c>
      <c r="F592" t="s">
        <v>264</v>
      </c>
      <c r="G592" t="s">
        <v>8</v>
      </c>
      <c r="H592" t="s">
        <v>307</v>
      </c>
      <c r="I592" t="s">
        <v>240</v>
      </c>
      <c r="J592" t="s">
        <v>253</v>
      </c>
      <c r="K592" t="s">
        <v>180</v>
      </c>
      <c r="L592">
        <v>43.019477430751998</v>
      </c>
      <c r="M592" t="s">
        <v>71</v>
      </c>
      <c r="N592" t="s">
        <v>63</v>
      </c>
    </row>
    <row r="593" spans="1:14">
      <c r="A593" t="str">
        <f t="shared" si="18"/>
        <v>5.재고과다/재고부족_재고일수DFTINV_DIO2014</v>
      </c>
      <c r="B593" t="str">
        <f t="shared" si="19"/>
        <v>5.재고과다/재고부족_재고일수DFTINV_DIO201400</v>
      </c>
      <c r="F593" t="s">
        <v>264</v>
      </c>
      <c r="G593" t="s">
        <v>8</v>
      </c>
      <c r="H593" t="s">
        <v>307</v>
      </c>
      <c r="I593" t="s">
        <v>254</v>
      </c>
      <c r="J593" t="s">
        <v>255</v>
      </c>
      <c r="K593" t="s">
        <v>180</v>
      </c>
      <c r="M593" t="s">
        <v>71</v>
      </c>
      <c r="N593" t="s">
        <v>63</v>
      </c>
    </row>
    <row r="594" spans="1:14">
      <c r="A594" t="str">
        <f t="shared" si="18"/>
        <v>5.재고과다/재고부족_재고일수DFTINV_DIO2014</v>
      </c>
      <c r="B594" t="str">
        <f t="shared" si="19"/>
        <v>5.재고과다/재고부족_재고일수DFTINV_DIO201401</v>
      </c>
      <c r="F594" t="s">
        <v>264</v>
      </c>
      <c r="G594" t="s">
        <v>8</v>
      </c>
      <c r="H594" t="s">
        <v>307</v>
      </c>
      <c r="I594" t="s">
        <v>254</v>
      </c>
      <c r="J594" t="s">
        <v>22</v>
      </c>
      <c r="K594" t="s">
        <v>180</v>
      </c>
      <c r="L594">
        <v>44.967123438977197</v>
      </c>
      <c r="M594" t="s">
        <v>71</v>
      </c>
      <c r="N594" t="s">
        <v>63</v>
      </c>
    </row>
    <row r="595" spans="1:14">
      <c r="A595" t="str">
        <f t="shared" si="18"/>
        <v>5.재고과다/재고부족_재고일수DFTINV_DIO2014</v>
      </c>
      <c r="B595" t="str">
        <f t="shared" si="19"/>
        <v>5.재고과다/재고부족_재고일수DFTINV_DIO201402</v>
      </c>
      <c r="F595" t="s">
        <v>264</v>
      </c>
      <c r="G595" t="s">
        <v>8</v>
      </c>
      <c r="H595" t="s">
        <v>307</v>
      </c>
      <c r="I595" t="s">
        <v>254</v>
      </c>
      <c r="J595" t="s">
        <v>23</v>
      </c>
      <c r="K595" t="s">
        <v>180</v>
      </c>
      <c r="L595">
        <v>41.694753846706298</v>
      </c>
      <c r="M595" t="s">
        <v>71</v>
      </c>
      <c r="N595" t="s">
        <v>63</v>
      </c>
    </row>
    <row r="596" spans="1:14">
      <c r="A596" t="str">
        <f t="shared" si="18"/>
        <v>5.재고과다/재고부족_재고일수DFTINV_DIO2014</v>
      </c>
      <c r="B596" t="str">
        <f t="shared" si="19"/>
        <v>5.재고과다/재고부족_재고일수DFTINV_DIO201403</v>
      </c>
      <c r="F596" t="s">
        <v>264</v>
      </c>
      <c r="G596" t="s">
        <v>8</v>
      </c>
      <c r="H596" t="s">
        <v>307</v>
      </c>
      <c r="I596" t="s">
        <v>254</v>
      </c>
      <c r="J596" t="s">
        <v>24</v>
      </c>
      <c r="K596" t="s">
        <v>180</v>
      </c>
      <c r="L596">
        <v>46.583485185246403</v>
      </c>
      <c r="M596" t="s">
        <v>71</v>
      </c>
      <c r="N596" t="s">
        <v>63</v>
      </c>
    </row>
    <row r="597" spans="1:14">
      <c r="A597" t="str">
        <f t="shared" si="18"/>
        <v>5.재고과다/재고부족_재고일수DFTINV_DIO2014</v>
      </c>
      <c r="B597" t="str">
        <f t="shared" si="19"/>
        <v>5.재고과다/재고부족_재고일수DFTINV_DIO201404</v>
      </c>
      <c r="F597" t="s">
        <v>264</v>
      </c>
      <c r="G597" t="s">
        <v>8</v>
      </c>
      <c r="H597" t="s">
        <v>307</v>
      </c>
      <c r="I597" t="s">
        <v>254</v>
      </c>
      <c r="J597" t="s">
        <v>25</v>
      </c>
      <c r="K597" t="s">
        <v>180</v>
      </c>
      <c r="L597">
        <v>33.452153369282399</v>
      </c>
      <c r="M597" t="s">
        <v>71</v>
      </c>
      <c r="N597" t="s">
        <v>63</v>
      </c>
    </row>
    <row r="598" spans="1:14">
      <c r="A598" t="str">
        <f t="shared" si="18"/>
        <v>5.재고과다/재고부족_재고일수DFTINV_DIO2014</v>
      </c>
      <c r="B598" t="str">
        <f t="shared" si="19"/>
        <v>5.재고과다/재고부족_재고일수DFTINV_DIO201405</v>
      </c>
      <c r="F598" t="s">
        <v>264</v>
      </c>
      <c r="G598" t="s">
        <v>8</v>
      </c>
      <c r="H598" t="s">
        <v>307</v>
      </c>
      <c r="I598" t="s">
        <v>254</v>
      </c>
      <c r="J598" t="s">
        <v>26</v>
      </c>
      <c r="K598" t="s">
        <v>180</v>
      </c>
      <c r="L598">
        <v>27.019283388563501</v>
      </c>
      <c r="M598" t="s">
        <v>71</v>
      </c>
      <c r="N598" t="s">
        <v>63</v>
      </c>
    </row>
    <row r="599" spans="1:14">
      <c r="A599" t="str">
        <f t="shared" si="18"/>
        <v>5.재고과다/재고부족_재고일수DFTINV_DIO2014</v>
      </c>
      <c r="B599" t="str">
        <f t="shared" si="19"/>
        <v>5.재고과다/재고부족_재고일수DFTINV_DIO201406</v>
      </c>
      <c r="F599" t="s">
        <v>264</v>
      </c>
      <c r="G599" t="s">
        <v>8</v>
      </c>
      <c r="H599" t="s">
        <v>307</v>
      </c>
      <c r="I599" t="s">
        <v>254</v>
      </c>
      <c r="J599" t="s">
        <v>27</v>
      </c>
      <c r="K599" t="s">
        <v>180</v>
      </c>
      <c r="L599">
        <v>48.500094259277098</v>
      </c>
      <c r="M599" t="s">
        <v>71</v>
      </c>
      <c r="N599" t="s">
        <v>63</v>
      </c>
    </row>
    <row r="600" spans="1:14">
      <c r="A600" t="str">
        <f t="shared" si="18"/>
        <v>5.재고과다/재고부족_재고일수DFTINV_DIO2014</v>
      </c>
      <c r="B600" t="str">
        <f t="shared" si="19"/>
        <v>5.재고과다/재고부족_재고일수DFTINV_DIO201407</v>
      </c>
      <c r="F600" t="s">
        <v>264</v>
      </c>
      <c r="G600" t="s">
        <v>8</v>
      </c>
      <c r="H600" t="s">
        <v>307</v>
      </c>
      <c r="I600" t="s">
        <v>254</v>
      </c>
      <c r="J600" t="s">
        <v>28</v>
      </c>
      <c r="K600" t="s">
        <v>180</v>
      </c>
      <c r="L600">
        <v>43.654779610955103</v>
      </c>
      <c r="M600" t="s">
        <v>71</v>
      </c>
      <c r="N600" t="s">
        <v>63</v>
      </c>
    </row>
    <row r="601" spans="1:14">
      <c r="A601" t="str">
        <f t="shared" si="18"/>
        <v>5.재고과다/재고부족_재고일수DFTINV_DIO2014</v>
      </c>
      <c r="B601" t="str">
        <f t="shared" si="19"/>
        <v>5.재고과다/재고부족_재고일수DFTINV_DIO201408</v>
      </c>
      <c r="F601" t="s">
        <v>264</v>
      </c>
      <c r="G601" t="s">
        <v>8</v>
      </c>
      <c r="H601" t="s">
        <v>307</v>
      </c>
      <c r="I601" t="s">
        <v>254</v>
      </c>
      <c r="J601" t="s">
        <v>29</v>
      </c>
      <c r="K601" t="s">
        <v>180</v>
      </c>
      <c r="L601">
        <v>39.023584273754402</v>
      </c>
      <c r="M601" t="s">
        <v>71</v>
      </c>
      <c r="N601" t="s">
        <v>63</v>
      </c>
    </row>
    <row r="602" spans="1:14">
      <c r="A602" t="str">
        <f t="shared" si="18"/>
        <v>5.재고과다/재고부족_재고일수DFTINV_DIO2014</v>
      </c>
      <c r="B602" t="str">
        <f t="shared" si="19"/>
        <v>5.재고과다/재고부족_재고일수DFTINV_DIO201409</v>
      </c>
      <c r="F602" t="s">
        <v>264</v>
      </c>
      <c r="G602" t="s">
        <v>8</v>
      </c>
      <c r="H602" t="s">
        <v>307</v>
      </c>
      <c r="I602" t="s">
        <v>254</v>
      </c>
      <c r="J602" t="s">
        <v>30</v>
      </c>
      <c r="K602" t="s">
        <v>180</v>
      </c>
      <c r="L602">
        <v>47.187869886882602</v>
      </c>
      <c r="M602" t="s">
        <v>71</v>
      </c>
      <c r="N602" t="s">
        <v>63</v>
      </c>
    </row>
    <row r="603" spans="1:14">
      <c r="A603" t="str">
        <f t="shared" si="18"/>
        <v>5.재고과다/재고부족_재고일수DFTINV_DIO2014</v>
      </c>
      <c r="B603" t="str">
        <f t="shared" si="19"/>
        <v>5.재고과다/재고부족_재고일수DFTINV_DIO201410</v>
      </c>
      <c r="F603" t="s">
        <v>264</v>
      </c>
      <c r="G603" t="s">
        <v>8</v>
      </c>
      <c r="H603" t="s">
        <v>307</v>
      </c>
      <c r="I603" t="s">
        <v>254</v>
      </c>
      <c r="J603" t="s">
        <v>31</v>
      </c>
      <c r="K603" t="s">
        <v>180</v>
      </c>
      <c r="L603">
        <v>57.051764575051898</v>
      </c>
      <c r="M603" t="s">
        <v>71</v>
      </c>
      <c r="N603" t="s">
        <v>63</v>
      </c>
    </row>
    <row r="604" spans="1:14">
      <c r="A604" t="str">
        <f t="shared" si="18"/>
        <v>5.재고과다/재고부족_재고일수DFTINV_DIO2014</v>
      </c>
      <c r="B604" t="str">
        <f t="shared" si="19"/>
        <v>5.재고과다/재고부족_재고일수DFTINV_DIO201411</v>
      </c>
      <c r="F604" t="s">
        <v>264</v>
      </c>
      <c r="G604" t="s">
        <v>8</v>
      </c>
      <c r="H604" t="s">
        <v>307</v>
      </c>
      <c r="I604" t="s">
        <v>254</v>
      </c>
      <c r="J604" t="s">
        <v>32</v>
      </c>
      <c r="K604" t="s">
        <v>180</v>
      </c>
      <c r="L604">
        <v>46.832570860053501</v>
      </c>
      <c r="M604" t="s">
        <v>71</v>
      </c>
      <c r="N604" t="s">
        <v>63</v>
      </c>
    </row>
    <row r="605" spans="1:14">
      <c r="A605" t="str">
        <f t="shared" si="18"/>
        <v>5.재고과다/재고부족_재고일수DFTINV_DIO2014</v>
      </c>
      <c r="B605" t="str">
        <f t="shared" si="19"/>
        <v>5.재고과다/재고부족_재고일수DFTINV_DIO201412</v>
      </c>
      <c r="F605" t="s">
        <v>264</v>
      </c>
      <c r="G605" t="s">
        <v>8</v>
      </c>
      <c r="H605" t="s">
        <v>307</v>
      </c>
      <c r="I605" t="s">
        <v>254</v>
      </c>
      <c r="J605" t="s">
        <v>33</v>
      </c>
      <c r="K605" t="s">
        <v>180</v>
      </c>
      <c r="L605">
        <v>42.0802519912775</v>
      </c>
      <c r="M605" t="s">
        <v>71</v>
      </c>
      <c r="N605" t="s">
        <v>63</v>
      </c>
    </row>
    <row r="606" spans="1:14">
      <c r="A606" t="str">
        <f t="shared" si="18"/>
        <v>5.재고과다/재고부족_재고일수DFTINV_DIO2015</v>
      </c>
      <c r="B606" t="str">
        <f t="shared" si="19"/>
        <v>5.재고과다/재고부족_재고일수DFTINV_DIO201500</v>
      </c>
      <c r="F606" t="s">
        <v>264</v>
      </c>
      <c r="G606" t="s">
        <v>8</v>
      </c>
      <c r="H606" t="s">
        <v>307</v>
      </c>
      <c r="I606" t="s">
        <v>260</v>
      </c>
      <c r="J606" t="s">
        <v>261</v>
      </c>
      <c r="K606" t="s">
        <v>180</v>
      </c>
      <c r="M606" t="s">
        <v>71</v>
      </c>
      <c r="N606" t="s">
        <v>63</v>
      </c>
    </row>
    <row r="607" spans="1:14">
      <c r="A607" t="str">
        <f t="shared" si="18"/>
        <v>5.재고과다/재고부족_재고일수DFTINV_DIO2015</v>
      </c>
      <c r="B607" t="str">
        <f t="shared" si="19"/>
        <v>5.재고과다/재고부족_재고일수DFTINV_DIO201501</v>
      </c>
      <c r="F607" t="s">
        <v>264</v>
      </c>
      <c r="G607" t="s">
        <v>8</v>
      </c>
      <c r="H607" t="s">
        <v>307</v>
      </c>
      <c r="I607" t="s">
        <v>260</v>
      </c>
      <c r="J607" t="s">
        <v>34</v>
      </c>
      <c r="K607" t="s">
        <v>180</v>
      </c>
      <c r="L607">
        <v>38.7888936124982</v>
      </c>
      <c r="M607" t="s">
        <v>71</v>
      </c>
      <c r="N607" t="s">
        <v>63</v>
      </c>
    </row>
    <row r="608" spans="1:14">
      <c r="A608" t="str">
        <f t="shared" si="18"/>
        <v>5.재고과다/재고부족_재고일수DFTINV_DIO2015</v>
      </c>
      <c r="B608" t="str">
        <f t="shared" si="19"/>
        <v>5.재고과다/재고부족_재고일수DFTINV_DIO201502</v>
      </c>
      <c r="F608" t="s">
        <v>264</v>
      </c>
      <c r="G608" t="s">
        <v>8</v>
      </c>
      <c r="H608" t="s">
        <v>307</v>
      </c>
      <c r="I608" t="s">
        <v>260</v>
      </c>
      <c r="J608" t="s">
        <v>35</v>
      </c>
      <c r="K608" t="s">
        <v>180</v>
      </c>
      <c r="L608">
        <v>48.728479435507701</v>
      </c>
      <c r="M608" t="s">
        <v>71</v>
      </c>
      <c r="N608" t="s">
        <v>63</v>
      </c>
    </row>
    <row r="609" spans="1:14">
      <c r="A609" t="str">
        <f t="shared" si="18"/>
        <v>5.재고과다/재고부족_재고일수DFTINV_DIO2015</v>
      </c>
      <c r="B609" t="str">
        <f t="shared" si="19"/>
        <v>5.재고과다/재고부족_재고일수DFTINV_DIO201503</v>
      </c>
      <c r="F609" t="s">
        <v>264</v>
      </c>
      <c r="G609" t="s">
        <v>8</v>
      </c>
      <c r="H609" t="s">
        <v>307</v>
      </c>
      <c r="I609" t="s">
        <v>260</v>
      </c>
      <c r="J609" t="s">
        <v>36</v>
      </c>
      <c r="K609" t="s">
        <v>180</v>
      </c>
      <c r="L609">
        <v>38.123822929722202</v>
      </c>
      <c r="M609" t="s">
        <v>71</v>
      </c>
      <c r="N609" t="s">
        <v>63</v>
      </c>
    </row>
    <row r="610" spans="1:14">
      <c r="A610" t="str">
        <f t="shared" si="18"/>
        <v>5.재고과다/재고부족_재고일수DFTINV_DIO2015</v>
      </c>
      <c r="B610" t="str">
        <f t="shared" si="19"/>
        <v>5.재고과다/재고부족_재고일수DFTINV_DIO201504</v>
      </c>
      <c r="F610" t="s">
        <v>264</v>
      </c>
      <c r="G610" t="s">
        <v>8</v>
      </c>
      <c r="H610" t="s">
        <v>307</v>
      </c>
      <c r="I610" t="s">
        <v>260</v>
      </c>
      <c r="J610" t="s">
        <v>37</v>
      </c>
      <c r="K610" t="s">
        <v>180</v>
      </c>
      <c r="L610">
        <v>23.585734824539401</v>
      </c>
      <c r="M610" t="s">
        <v>71</v>
      </c>
      <c r="N610" t="s">
        <v>63</v>
      </c>
    </row>
    <row r="611" spans="1:14">
      <c r="A611" t="str">
        <f t="shared" si="18"/>
        <v>5.재고과다/재고부족_재고일수DFTINV_DIO2015</v>
      </c>
      <c r="B611" t="str">
        <f t="shared" si="19"/>
        <v>5.재고과다/재고부족_재고일수DFTINV_DIO201505</v>
      </c>
      <c r="F611" t="s">
        <v>264</v>
      </c>
      <c r="G611" t="s">
        <v>8</v>
      </c>
      <c r="H611" t="s">
        <v>307</v>
      </c>
      <c r="I611" t="s">
        <v>260</v>
      </c>
      <c r="J611" t="s">
        <v>38</v>
      </c>
      <c r="K611" t="s">
        <v>180</v>
      </c>
      <c r="L611">
        <v>45.180664761548201</v>
      </c>
      <c r="M611" t="s">
        <v>71</v>
      </c>
      <c r="N611" t="s">
        <v>63</v>
      </c>
    </row>
    <row r="612" spans="1:14">
      <c r="A612" t="str">
        <f t="shared" si="18"/>
        <v>5.재고과다/재고부족_재고일수DFTINV_DIO2015</v>
      </c>
      <c r="B612" t="str">
        <f t="shared" si="19"/>
        <v>5.재고과다/재고부족_재고일수DFTINV_DIO201506</v>
      </c>
      <c r="F612" t="s">
        <v>264</v>
      </c>
      <c r="G612" t="s">
        <v>8</v>
      </c>
      <c r="H612" t="s">
        <v>307</v>
      </c>
      <c r="I612" t="s">
        <v>260</v>
      </c>
      <c r="J612" t="s">
        <v>39</v>
      </c>
      <c r="K612" t="s">
        <v>180</v>
      </c>
      <c r="L612">
        <v>48.618141365278497</v>
      </c>
      <c r="M612" t="s">
        <v>71</v>
      </c>
      <c r="N612" t="s">
        <v>63</v>
      </c>
    </row>
    <row r="613" spans="1:14">
      <c r="A613" t="str">
        <f t="shared" si="18"/>
        <v>5.재고과다/재고부족_재고일수DFTINV_DIO2015</v>
      </c>
      <c r="B613" t="str">
        <f t="shared" si="19"/>
        <v>5.재고과다/재고부족_재고일수DFTINV_DIO201507</v>
      </c>
      <c r="F613" t="s">
        <v>264</v>
      </c>
      <c r="G613" t="s">
        <v>8</v>
      </c>
      <c r="H613" t="s">
        <v>307</v>
      </c>
      <c r="I613" t="s">
        <v>260</v>
      </c>
      <c r="J613" t="s">
        <v>40</v>
      </c>
      <c r="K613" t="s">
        <v>180</v>
      </c>
      <c r="L613">
        <v>53.3403706518909</v>
      </c>
      <c r="M613" t="s">
        <v>71</v>
      </c>
      <c r="N613" t="s">
        <v>63</v>
      </c>
    </row>
    <row r="614" spans="1:14">
      <c r="A614" t="str">
        <f t="shared" si="18"/>
        <v>5.재고과다/재고부족_재고일수DFTINV_DIO2015</v>
      </c>
      <c r="B614" t="str">
        <f t="shared" si="19"/>
        <v>5.재고과다/재고부족_재고일수DFTINV_DIO201508</v>
      </c>
      <c r="F614" t="s">
        <v>264</v>
      </c>
      <c r="G614" t="s">
        <v>8</v>
      </c>
      <c r="H614" t="s">
        <v>307</v>
      </c>
      <c r="I614" t="s">
        <v>260</v>
      </c>
      <c r="J614" t="s">
        <v>41</v>
      </c>
      <c r="K614" t="s">
        <v>180</v>
      </c>
      <c r="L614">
        <v>42.386179991427603</v>
      </c>
      <c r="M614" t="s">
        <v>71</v>
      </c>
      <c r="N614" t="s">
        <v>63</v>
      </c>
    </row>
    <row r="615" spans="1:14">
      <c r="A615" t="str">
        <f t="shared" si="18"/>
        <v>5.재고과다/재고부족_재고일수DFTINV_DIO2015</v>
      </c>
      <c r="B615" t="str">
        <f t="shared" si="19"/>
        <v>5.재고과다/재고부족_재고일수DFTINV_DIO201509</v>
      </c>
      <c r="F615" t="s">
        <v>264</v>
      </c>
      <c r="G615" t="s">
        <v>8</v>
      </c>
      <c r="H615" t="s">
        <v>307</v>
      </c>
      <c r="I615" t="s">
        <v>260</v>
      </c>
      <c r="J615" t="s">
        <v>42</v>
      </c>
      <c r="K615" t="s">
        <v>180</v>
      </c>
      <c r="L615">
        <v>33.490864733185802</v>
      </c>
      <c r="M615" t="s">
        <v>71</v>
      </c>
      <c r="N615" t="s">
        <v>63</v>
      </c>
    </row>
    <row r="616" spans="1:14">
      <c r="A616" t="str">
        <f t="shared" si="18"/>
        <v>5.재고과다/재고부족_재고일수DFTINV_DIO2015</v>
      </c>
      <c r="B616" t="str">
        <f t="shared" si="19"/>
        <v>5.재고과다/재고부족_재고일수DFTINV_DIO201510</v>
      </c>
      <c r="F616" t="s">
        <v>264</v>
      </c>
      <c r="G616" t="s">
        <v>8</v>
      </c>
      <c r="H616" t="s">
        <v>307</v>
      </c>
      <c r="I616" t="s">
        <v>260</v>
      </c>
      <c r="J616" t="s">
        <v>1</v>
      </c>
      <c r="K616" t="s">
        <v>180</v>
      </c>
      <c r="L616">
        <v>41.838364720246098</v>
      </c>
      <c r="M616" t="s">
        <v>71</v>
      </c>
      <c r="N616" t="s">
        <v>63</v>
      </c>
    </row>
    <row r="617" spans="1:14">
      <c r="A617" t="str">
        <f t="shared" si="18"/>
        <v>5.재고과다/재고부족_재고일수DGTINV_DIO2012</v>
      </c>
      <c r="B617" t="str">
        <f t="shared" si="19"/>
        <v>5.재고과다/재고부족_재고일수DGTINV_DIO201200</v>
      </c>
      <c r="F617" t="s">
        <v>264</v>
      </c>
      <c r="G617" t="s">
        <v>9</v>
      </c>
      <c r="H617" t="s">
        <v>307</v>
      </c>
      <c r="I617" t="s">
        <v>226</v>
      </c>
      <c r="J617" t="s">
        <v>262</v>
      </c>
      <c r="K617" t="s">
        <v>180</v>
      </c>
      <c r="M617" t="s">
        <v>64</v>
      </c>
      <c r="N617" t="s">
        <v>64</v>
      </c>
    </row>
    <row r="618" spans="1:14">
      <c r="A618" t="str">
        <f t="shared" si="18"/>
        <v>5.재고과다/재고부족_재고일수DGTINV_DIO2012</v>
      </c>
      <c r="B618" t="str">
        <f t="shared" si="19"/>
        <v>5.재고과다/재고부족_재고일수DGTINV_DIO201201</v>
      </c>
      <c r="F618" t="s">
        <v>264</v>
      </c>
      <c r="G618" t="s">
        <v>9</v>
      </c>
      <c r="H618" t="s">
        <v>307</v>
      </c>
      <c r="I618" t="s">
        <v>226</v>
      </c>
      <c r="J618" t="s">
        <v>227</v>
      </c>
      <c r="K618" t="s">
        <v>180</v>
      </c>
      <c r="L618">
        <v>87.897791668066006</v>
      </c>
      <c r="M618" t="s">
        <v>64</v>
      </c>
      <c r="N618" t="s">
        <v>64</v>
      </c>
    </row>
    <row r="619" spans="1:14">
      <c r="A619" t="str">
        <f t="shared" si="18"/>
        <v>5.재고과다/재고부족_재고일수DGTINV_DIO2012</v>
      </c>
      <c r="B619" t="str">
        <f t="shared" si="19"/>
        <v>5.재고과다/재고부족_재고일수DGTINV_DIO201202</v>
      </c>
      <c r="F619" t="s">
        <v>264</v>
      </c>
      <c r="G619" t="s">
        <v>9</v>
      </c>
      <c r="H619" t="s">
        <v>307</v>
      </c>
      <c r="I619" t="s">
        <v>226</v>
      </c>
      <c r="J619" t="s">
        <v>229</v>
      </c>
      <c r="K619" t="s">
        <v>180</v>
      </c>
      <c r="L619">
        <v>115.387540265556</v>
      </c>
      <c r="M619" t="s">
        <v>64</v>
      </c>
      <c r="N619" t="s">
        <v>64</v>
      </c>
    </row>
    <row r="620" spans="1:14">
      <c r="A620" t="str">
        <f t="shared" si="18"/>
        <v>5.재고과다/재고부족_재고일수DGTINV_DIO2012</v>
      </c>
      <c r="B620" t="str">
        <f t="shared" si="19"/>
        <v>5.재고과다/재고부족_재고일수DGTINV_DIO201203</v>
      </c>
      <c r="F620" t="s">
        <v>264</v>
      </c>
      <c r="G620" t="s">
        <v>9</v>
      </c>
      <c r="H620" t="s">
        <v>307</v>
      </c>
      <c r="I620" t="s">
        <v>226</v>
      </c>
      <c r="J620" t="s">
        <v>230</v>
      </c>
      <c r="K620" t="s">
        <v>180</v>
      </c>
      <c r="L620">
        <v>139.50823885563801</v>
      </c>
      <c r="M620" t="s">
        <v>64</v>
      </c>
      <c r="N620" t="s">
        <v>64</v>
      </c>
    </row>
    <row r="621" spans="1:14">
      <c r="A621" t="str">
        <f t="shared" si="18"/>
        <v>5.재고과다/재고부족_재고일수DGTINV_DIO2012</v>
      </c>
      <c r="B621" t="str">
        <f t="shared" si="19"/>
        <v>5.재고과다/재고부족_재고일수DGTINV_DIO201204</v>
      </c>
      <c r="F621" t="s">
        <v>264</v>
      </c>
      <c r="G621" t="s">
        <v>9</v>
      </c>
      <c r="H621" t="s">
        <v>307</v>
      </c>
      <c r="I621" t="s">
        <v>226</v>
      </c>
      <c r="J621" t="s">
        <v>231</v>
      </c>
      <c r="K621" t="s">
        <v>180</v>
      </c>
      <c r="L621">
        <v>117.624848366912</v>
      </c>
      <c r="M621" t="s">
        <v>64</v>
      </c>
      <c r="N621" t="s">
        <v>64</v>
      </c>
    </row>
    <row r="622" spans="1:14">
      <c r="A622" t="str">
        <f t="shared" si="18"/>
        <v>5.재고과다/재고부족_재고일수DGTINV_DIO2012</v>
      </c>
      <c r="B622" t="str">
        <f t="shared" si="19"/>
        <v>5.재고과다/재고부족_재고일수DGTINV_DIO201205</v>
      </c>
      <c r="F622" t="s">
        <v>264</v>
      </c>
      <c r="G622" t="s">
        <v>9</v>
      </c>
      <c r="H622" t="s">
        <v>307</v>
      </c>
      <c r="I622" t="s">
        <v>226</v>
      </c>
      <c r="J622" t="s">
        <v>232</v>
      </c>
      <c r="K622" t="s">
        <v>180</v>
      </c>
      <c r="L622">
        <v>107.19503510509</v>
      </c>
      <c r="M622" t="s">
        <v>64</v>
      </c>
      <c r="N622" t="s">
        <v>64</v>
      </c>
    </row>
    <row r="623" spans="1:14">
      <c r="A623" t="str">
        <f t="shared" si="18"/>
        <v>5.재고과다/재고부족_재고일수DGTINV_DIO2012</v>
      </c>
      <c r="B623" t="str">
        <f t="shared" si="19"/>
        <v>5.재고과다/재고부족_재고일수DGTINV_DIO201206</v>
      </c>
      <c r="F623" t="s">
        <v>264</v>
      </c>
      <c r="G623" t="s">
        <v>9</v>
      </c>
      <c r="H623" t="s">
        <v>307</v>
      </c>
      <c r="I623" t="s">
        <v>226</v>
      </c>
      <c r="J623" t="s">
        <v>233</v>
      </c>
      <c r="K623" t="s">
        <v>180</v>
      </c>
      <c r="L623">
        <v>92.054539445204696</v>
      </c>
      <c r="M623" t="s">
        <v>64</v>
      </c>
      <c r="N623" t="s">
        <v>64</v>
      </c>
    </row>
    <row r="624" spans="1:14">
      <c r="A624" t="str">
        <f t="shared" si="18"/>
        <v>5.재고과다/재고부족_재고일수DGTINV_DIO2012</v>
      </c>
      <c r="B624" t="str">
        <f t="shared" si="19"/>
        <v>5.재고과다/재고부족_재고일수DGTINV_DIO201207</v>
      </c>
      <c r="F624" t="s">
        <v>264</v>
      </c>
      <c r="G624" t="s">
        <v>9</v>
      </c>
      <c r="H624" t="s">
        <v>307</v>
      </c>
      <c r="I624" t="s">
        <v>226</v>
      </c>
      <c r="J624" t="s">
        <v>234</v>
      </c>
      <c r="K624" t="s">
        <v>180</v>
      </c>
      <c r="L624">
        <v>67.067659959236707</v>
      </c>
      <c r="M624" t="s">
        <v>64</v>
      </c>
      <c r="N624" t="s">
        <v>64</v>
      </c>
    </row>
    <row r="625" spans="1:14">
      <c r="A625" t="str">
        <f t="shared" si="18"/>
        <v>5.재고과다/재고부족_재고일수DGTINV_DIO2012</v>
      </c>
      <c r="B625" t="str">
        <f t="shared" si="19"/>
        <v>5.재고과다/재고부족_재고일수DGTINV_DIO201208</v>
      </c>
      <c r="F625" t="s">
        <v>264</v>
      </c>
      <c r="G625" t="s">
        <v>9</v>
      </c>
      <c r="H625" t="s">
        <v>307</v>
      </c>
      <c r="I625" t="s">
        <v>226</v>
      </c>
      <c r="J625" t="s">
        <v>235</v>
      </c>
      <c r="K625" t="s">
        <v>180</v>
      </c>
      <c r="L625">
        <v>68.839979961184795</v>
      </c>
      <c r="M625" t="s">
        <v>64</v>
      </c>
      <c r="N625" t="s">
        <v>64</v>
      </c>
    </row>
    <row r="626" spans="1:14">
      <c r="A626" t="str">
        <f t="shared" si="18"/>
        <v>5.재고과다/재고부족_재고일수DGTINV_DIO2012</v>
      </c>
      <c r="B626" t="str">
        <f t="shared" si="19"/>
        <v>5.재고과다/재고부족_재고일수DGTINV_DIO201209</v>
      </c>
      <c r="F626" t="s">
        <v>264</v>
      </c>
      <c r="G626" t="s">
        <v>9</v>
      </c>
      <c r="H626" t="s">
        <v>307</v>
      </c>
      <c r="I626" t="s">
        <v>226</v>
      </c>
      <c r="J626" t="s">
        <v>236</v>
      </c>
      <c r="K626" t="s">
        <v>180</v>
      </c>
      <c r="L626">
        <v>52.538963859362198</v>
      </c>
      <c r="M626" t="s">
        <v>64</v>
      </c>
      <c r="N626" t="s">
        <v>64</v>
      </c>
    </row>
    <row r="627" spans="1:14">
      <c r="A627" t="str">
        <f t="shared" si="18"/>
        <v>5.재고과다/재고부족_재고일수DGTINV_DIO2012</v>
      </c>
      <c r="B627" t="str">
        <f t="shared" si="19"/>
        <v>5.재고과다/재고부족_재고일수DGTINV_DIO201210</v>
      </c>
      <c r="F627" t="s">
        <v>264</v>
      </c>
      <c r="G627" t="s">
        <v>9</v>
      </c>
      <c r="H627" t="s">
        <v>307</v>
      </c>
      <c r="I627" t="s">
        <v>226</v>
      </c>
      <c r="J627" t="s">
        <v>237</v>
      </c>
      <c r="K627" t="s">
        <v>180</v>
      </c>
      <c r="L627">
        <v>95.511946816933104</v>
      </c>
      <c r="M627" t="s">
        <v>64</v>
      </c>
      <c r="N627" t="s">
        <v>64</v>
      </c>
    </row>
    <row r="628" spans="1:14">
      <c r="A628" t="str">
        <f t="shared" si="18"/>
        <v>5.재고과다/재고부족_재고일수DGTINV_DIO2012</v>
      </c>
      <c r="B628" t="str">
        <f t="shared" si="19"/>
        <v>5.재고과다/재고부족_재고일수DGTINV_DIO201211</v>
      </c>
      <c r="F628" t="s">
        <v>264</v>
      </c>
      <c r="G628" t="s">
        <v>9</v>
      </c>
      <c r="H628" t="s">
        <v>307</v>
      </c>
      <c r="I628" t="s">
        <v>226</v>
      </c>
      <c r="J628" t="s">
        <v>238</v>
      </c>
      <c r="K628" t="s">
        <v>180</v>
      </c>
      <c r="L628">
        <v>65.575238703052605</v>
      </c>
      <c r="M628" t="s">
        <v>64</v>
      </c>
      <c r="N628" t="s">
        <v>64</v>
      </c>
    </row>
    <row r="629" spans="1:14">
      <c r="A629" t="str">
        <f t="shared" si="18"/>
        <v>5.재고과다/재고부족_재고일수DGTINV_DIO2012</v>
      </c>
      <c r="B629" t="str">
        <f t="shared" si="19"/>
        <v>5.재고과다/재고부족_재고일수DGTINV_DIO201212</v>
      </c>
      <c r="F629" t="s">
        <v>264</v>
      </c>
      <c r="G629" t="s">
        <v>9</v>
      </c>
      <c r="H629" t="s">
        <v>307</v>
      </c>
      <c r="I629" t="s">
        <v>226</v>
      </c>
      <c r="J629" t="s">
        <v>239</v>
      </c>
      <c r="K629" t="s">
        <v>180</v>
      </c>
      <c r="L629">
        <v>38.978482469135002</v>
      </c>
      <c r="M629" t="s">
        <v>64</v>
      </c>
      <c r="N629" t="s">
        <v>64</v>
      </c>
    </row>
    <row r="630" spans="1:14">
      <c r="A630" t="str">
        <f t="shared" si="18"/>
        <v>5.재고과다/재고부족_재고일수DGTINV_DIO2013</v>
      </c>
      <c r="B630" t="str">
        <f t="shared" si="19"/>
        <v>5.재고과다/재고부족_재고일수DGTINV_DIO201300</v>
      </c>
      <c r="F630" t="s">
        <v>264</v>
      </c>
      <c r="G630" t="s">
        <v>9</v>
      </c>
      <c r="H630" t="s">
        <v>307</v>
      </c>
      <c r="I630" t="s">
        <v>240</v>
      </c>
      <c r="J630" t="s">
        <v>241</v>
      </c>
      <c r="K630" t="s">
        <v>180</v>
      </c>
      <c r="M630" t="s">
        <v>64</v>
      </c>
      <c r="N630" t="s">
        <v>64</v>
      </c>
    </row>
    <row r="631" spans="1:14">
      <c r="A631" t="str">
        <f t="shared" si="18"/>
        <v>5.재고과다/재고부족_재고일수DGTINV_DIO2013</v>
      </c>
      <c r="B631" t="str">
        <f t="shared" si="19"/>
        <v>5.재고과다/재고부족_재고일수DGTINV_DIO201301</v>
      </c>
      <c r="F631" t="s">
        <v>264</v>
      </c>
      <c r="G631" t="s">
        <v>9</v>
      </c>
      <c r="H631" t="s">
        <v>307</v>
      </c>
      <c r="I631" t="s">
        <v>240</v>
      </c>
      <c r="J631" t="s">
        <v>242</v>
      </c>
      <c r="K631" t="s">
        <v>180</v>
      </c>
      <c r="L631">
        <v>30.8217470880784</v>
      </c>
      <c r="M631" t="s">
        <v>64</v>
      </c>
      <c r="N631" t="s">
        <v>64</v>
      </c>
    </row>
    <row r="632" spans="1:14">
      <c r="A632" t="str">
        <f t="shared" si="18"/>
        <v>5.재고과다/재고부족_재고일수DGTINV_DIO2013</v>
      </c>
      <c r="B632" t="str">
        <f t="shared" si="19"/>
        <v>5.재고과다/재고부족_재고일수DGTINV_DIO201302</v>
      </c>
      <c r="F632" t="s">
        <v>264</v>
      </c>
      <c r="G632" t="s">
        <v>9</v>
      </c>
      <c r="H632" t="s">
        <v>307</v>
      </c>
      <c r="I632" t="s">
        <v>240</v>
      </c>
      <c r="J632" t="s">
        <v>243</v>
      </c>
      <c r="K632" t="s">
        <v>180</v>
      </c>
      <c r="L632">
        <v>15.4146216328222</v>
      </c>
      <c r="M632" t="s">
        <v>64</v>
      </c>
      <c r="N632" t="s">
        <v>64</v>
      </c>
    </row>
    <row r="633" spans="1:14">
      <c r="A633" t="str">
        <f t="shared" si="18"/>
        <v>5.재고과다/재고부족_재고일수DGTINV_DIO2013</v>
      </c>
      <c r="B633" t="str">
        <f t="shared" si="19"/>
        <v>5.재고과다/재고부족_재고일수DGTINV_DIO201303</v>
      </c>
      <c r="F633" t="s">
        <v>264</v>
      </c>
      <c r="G633" t="s">
        <v>9</v>
      </c>
      <c r="H633" t="s">
        <v>307</v>
      </c>
      <c r="I633" t="s">
        <v>240</v>
      </c>
      <c r="J633" t="s">
        <v>244</v>
      </c>
      <c r="K633" t="s">
        <v>180</v>
      </c>
      <c r="L633">
        <v>11.624383381442399</v>
      </c>
      <c r="M633" t="s">
        <v>64</v>
      </c>
      <c r="N633" t="s">
        <v>64</v>
      </c>
    </row>
    <row r="634" spans="1:14">
      <c r="A634" t="str">
        <f t="shared" si="18"/>
        <v>5.재고과다/재고부족_재고일수DGTINV_DIO2013</v>
      </c>
      <c r="B634" t="str">
        <f t="shared" si="19"/>
        <v>5.재고과다/재고부족_재고일수DGTINV_DIO201304</v>
      </c>
      <c r="F634" t="s">
        <v>264</v>
      </c>
      <c r="G634" t="s">
        <v>9</v>
      </c>
      <c r="H634" t="s">
        <v>307</v>
      </c>
      <c r="I634" t="s">
        <v>240</v>
      </c>
      <c r="J634" t="s">
        <v>245</v>
      </c>
      <c r="K634" t="s">
        <v>180</v>
      </c>
      <c r="L634">
        <v>6.1417070020006896</v>
      </c>
      <c r="M634" t="s">
        <v>64</v>
      </c>
      <c r="N634" t="s">
        <v>64</v>
      </c>
    </row>
    <row r="635" spans="1:14">
      <c r="A635" t="str">
        <f t="shared" si="18"/>
        <v>5.재고과다/재고부족_재고일수DGTINV_DIO2013</v>
      </c>
      <c r="B635" t="str">
        <f t="shared" si="19"/>
        <v>5.재고과다/재고부족_재고일수DGTINV_DIO201305</v>
      </c>
      <c r="F635" t="s">
        <v>264</v>
      </c>
      <c r="G635" t="s">
        <v>9</v>
      </c>
      <c r="H635" t="s">
        <v>307</v>
      </c>
      <c r="I635" t="s">
        <v>240</v>
      </c>
      <c r="J635" t="s">
        <v>246</v>
      </c>
      <c r="K635" t="s">
        <v>180</v>
      </c>
      <c r="L635">
        <v>10.2874631816216</v>
      </c>
      <c r="M635" t="s">
        <v>64</v>
      </c>
      <c r="N635" t="s">
        <v>64</v>
      </c>
    </row>
    <row r="636" spans="1:14">
      <c r="A636" t="str">
        <f t="shared" si="18"/>
        <v>5.재고과다/재고부족_재고일수DGTINV_DIO2013</v>
      </c>
      <c r="B636" t="str">
        <f t="shared" si="19"/>
        <v>5.재고과다/재고부족_재고일수DGTINV_DIO201306</v>
      </c>
      <c r="F636" t="s">
        <v>264</v>
      </c>
      <c r="G636" t="s">
        <v>9</v>
      </c>
      <c r="H636" t="s">
        <v>307</v>
      </c>
      <c r="I636" t="s">
        <v>240</v>
      </c>
      <c r="J636" t="s">
        <v>247</v>
      </c>
      <c r="K636" t="s">
        <v>180</v>
      </c>
      <c r="L636">
        <v>6.1987288898447899</v>
      </c>
      <c r="M636" t="s">
        <v>64</v>
      </c>
      <c r="N636" t="s">
        <v>64</v>
      </c>
    </row>
    <row r="637" spans="1:14">
      <c r="A637" t="str">
        <f t="shared" si="18"/>
        <v>5.재고과다/재고부족_재고일수DGTINV_DIO2013</v>
      </c>
      <c r="B637" t="str">
        <f t="shared" si="19"/>
        <v>5.재고과다/재고부족_재고일수DGTINV_DIO201307</v>
      </c>
      <c r="F637" t="s">
        <v>264</v>
      </c>
      <c r="G637" t="s">
        <v>9</v>
      </c>
      <c r="H637" t="s">
        <v>307</v>
      </c>
      <c r="I637" t="s">
        <v>240</v>
      </c>
      <c r="J637" t="s">
        <v>248</v>
      </c>
      <c r="K637" t="s">
        <v>180</v>
      </c>
      <c r="L637">
        <v>6.4384491343013597</v>
      </c>
      <c r="M637" t="s">
        <v>64</v>
      </c>
      <c r="N637" t="s">
        <v>64</v>
      </c>
    </row>
    <row r="638" spans="1:14">
      <c r="A638" t="str">
        <f t="shared" si="18"/>
        <v>5.재고과다/재고부족_재고일수DGTINV_DIO2013</v>
      </c>
      <c r="B638" t="str">
        <f t="shared" si="19"/>
        <v>5.재고과다/재고부족_재고일수DGTINV_DIO201308</v>
      </c>
      <c r="F638" t="s">
        <v>264</v>
      </c>
      <c r="G638" t="s">
        <v>9</v>
      </c>
      <c r="H638" t="s">
        <v>307</v>
      </c>
      <c r="I638" t="s">
        <v>240</v>
      </c>
      <c r="J638" t="s">
        <v>249</v>
      </c>
      <c r="K638" t="s">
        <v>180</v>
      </c>
      <c r="L638">
        <v>5.5928495377634899</v>
      </c>
      <c r="M638" t="s">
        <v>64</v>
      </c>
      <c r="N638" t="s">
        <v>64</v>
      </c>
    </row>
    <row r="639" spans="1:14">
      <c r="A639" t="str">
        <f t="shared" si="18"/>
        <v>5.재고과다/재고부족_재고일수DGTINV_DIO2013</v>
      </c>
      <c r="B639" t="str">
        <f t="shared" si="19"/>
        <v>5.재고과다/재고부족_재고일수DGTINV_DIO201309</v>
      </c>
      <c r="F639" t="s">
        <v>264</v>
      </c>
      <c r="G639" t="s">
        <v>9</v>
      </c>
      <c r="H639" t="s">
        <v>307</v>
      </c>
      <c r="I639" t="s">
        <v>240</v>
      </c>
      <c r="J639" t="s">
        <v>250</v>
      </c>
      <c r="K639" t="s">
        <v>180</v>
      </c>
      <c r="L639">
        <v>14.804753331127101</v>
      </c>
      <c r="M639" t="s">
        <v>64</v>
      </c>
      <c r="N639" t="s">
        <v>64</v>
      </c>
    </row>
    <row r="640" spans="1:14">
      <c r="A640" t="str">
        <f t="shared" si="18"/>
        <v>5.재고과다/재고부족_재고일수DGTINV_DIO2013</v>
      </c>
      <c r="B640" t="str">
        <f t="shared" si="19"/>
        <v>5.재고과다/재고부족_재고일수DGTINV_DIO201310</v>
      </c>
      <c r="F640" t="s">
        <v>264</v>
      </c>
      <c r="G640" t="s">
        <v>9</v>
      </c>
      <c r="H640" t="s">
        <v>307</v>
      </c>
      <c r="I640" t="s">
        <v>240</v>
      </c>
      <c r="J640" t="s">
        <v>251</v>
      </c>
      <c r="K640" t="s">
        <v>180</v>
      </c>
      <c r="L640">
        <v>12.7276729774798</v>
      </c>
      <c r="M640" t="s">
        <v>64</v>
      </c>
      <c r="N640" t="s">
        <v>64</v>
      </c>
    </row>
    <row r="641" spans="1:14">
      <c r="A641" t="str">
        <f t="shared" si="18"/>
        <v>5.재고과다/재고부족_재고일수DGTINV_DIO2013</v>
      </c>
      <c r="B641" t="str">
        <f t="shared" si="19"/>
        <v>5.재고과다/재고부족_재고일수DGTINV_DIO201311</v>
      </c>
      <c r="F641" t="s">
        <v>264</v>
      </c>
      <c r="G641" t="s">
        <v>9</v>
      </c>
      <c r="H641" t="s">
        <v>307</v>
      </c>
      <c r="I641" t="s">
        <v>240</v>
      </c>
      <c r="J641" t="s">
        <v>252</v>
      </c>
      <c r="K641" t="s">
        <v>180</v>
      </c>
      <c r="L641">
        <v>7.63698995615509</v>
      </c>
      <c r="M641" t="s">
        <v>64</v>
      </c>
      <c r="N641" t="s">
        <v>64</v>
      </c>
    </row>
    <row r="642" spans="1:14">
      <c r="A642" t="str">
        <f t="shared" si="18"/>
        <v>5.재고과다/재고부족_재고일수DGTINV_DIO2013</v>
      </c>
      <c r="B642" t="str">
        <f t="shared" si="19"/>
        <v>5.재고과다/재고부족_재고일수DGTINV_DIO201312</v>
      </c>
      <c r="F642" t="s">
        <v>264</v>
      </c>
      <c r="G642" t="s">
        <v>9</v>
      </c>
      <c r="H642" t="s">
        <v>307</v>
      </c>
      <c r="I642" t="s">
        <v>240</v>
      </c>
      <c r="J642" t="s">
        <v>253</v>
      </c>
      <c r="K642" t="s">
        <v>180</v>
      </c>
      <c r="L642">
        <v>4.4564876996190996</v>
      </c>
      <c r="M642" t="s">
        <v>64</v>
      </c>
      <c r="N642" t="s">
        <v>64</v>
      </c>
    </row>
    <row r="643" spans="1:14">
      <c r="A643" t="str">
        <f t="shared" si="18"/>
        <v>5.재고과다/재고부족_재고일수DGTINV_DIO2014</v>
      </c>
      <c r="B643" t="str">
        <f t="shared" si="19"/>
        <v>5.재고과다/재고부족_재고일수DGTINV_DIO201400</v>
      </c>
      <c r="F643" t="s">
        <v>264</v>
      </c>
      <c r="G643" t="s">
        <v>9</v>
      </c>
      <c r="H643" t="s">
        <v>307</v>
      </c>
      <c r="I643" t="s">
        <v>254</v>
      </c>
      <c r="J643" t="s">
        <v>255</v>
      </c>
      <c r="K643" t="s">
        <v>180</v>
      </c>
      <c r="M643" t="s">
        <v>64</v>
      </c>
      <c r="N643" t="s">
        <v>64</v>
      </c>
    </row>
    <row r="644" spans="1:14">
      <c r="A644" t="str">
        <f t="shared" si="18"/>
        <v>5.재고과다/재고부족_재고일수DGTINV_DIO2014</v>
      </c>
      <c r="B644" t="str">
        <f t="shared" si="19"/>
        <v>5.재고과다/재고부족_재고일수DGTINV_DIO201401</v>
      </c>
      <c r="F644" t="s">
        <v>264</v>
      </c>
      <c r="G644" t="s">
        <v>9</v>
      </c>
      <c r="H644" t="s">
        <v>307</v>
      </c>
      <c r="I644" t="s">
        <v>254</v>
      </c>
      <c r="J644" t="s">
        <v>22</v>
      </c>
      <c r="K644" t="s">
        <v>180</v>
      </c>
      <c r="L644">
        <v>3.96141699394519</v>
      </c>
      <c r="M644" t="s">
        <v>64</v>
      </c>
      <c r="N644" t="s">
        <v>64</v>
      </c>
    </row>
    <row r="645" spans="1:14">
      <c r="A645" t="str">
        <f t="shared" si="18"/>
        <v>5.재고과다/재고부족_재고일수DGTINV_DIO2014</v>
      </c>
      <c r="B645" t="str">
        <f t="shared" si="19"/>
        <v>5.재고과다/재고부족_재고일수DGTINV_DIO201402</v>
      </c>
      <c r="F645" t="s">
        <v>264</v>
      </c>
      <c r="G645" t="s">
        <v>9</v>
      </c>
      <c r="H645" t="s">
        <v>307</v>
      </c>
      <c r="I645" t="s">
        <v>254</v>
      </c>
      <c r="J645" t="s">
        <v>23</v>
      </c>
      <c r="K645" t="s">
        <v>180</v>
      </c>
      <c r="L645">
        <v>1.9458168636781901</v>
      </c>
      <c r="M645" t="s">
        <v>64</v>
      </c>
      <c r="N645" t="s">
        <v>64</v>
      </c>
    </row>
    <row r="646" spans="1:14">
      <c r="A646" t="str">
        <f t="shared" si="18"/>
        <v>5.재고과다/재고부족_재고일수DGTINV_DIO2014</v>
      </c>
      <c r="B646" t="str">
        <f t="shared" si="19"/>
        <v>5.재고과다/재고부족_재고일수DGTINV_DIO201403</v>
      </c>
      <c r="F646" t="s">
        <v>264</v>
      </c>
      <c r="G646" t="s">
        <v>9</v>
      </c>
      <c r="H646" t="s">
        <v>307</v>
      </c>
      <c r="I646" t="s">
        <v>254</v>
      </c>
      <c r="J646" t="s">
        <v>24</v>
      </c>
      <c r="K646" t="s">
        <v>180</v>
      </c>
      <c r="L646">
        <v>3.4750239867146</v>
      </c>
      <c r="M646" t="s">
        <v>64</v>
      </c>
      <c r="N646" t="s">
        <v>64</v>
      </c>
    </row>
    <row r="647" spans="1:14">
      <c r="A647" t="str">
        <f t="shared" ref="A647:A710" si="20">F647&amp;G647&amp;K647&amp;I647</f>
        <v>5.재고과다/재고부족_재고일수DGTINV_DIO2014</v>
      </c>
      <c r="B647" t="str">
        <f t="shared" ref="B647:B710" si="21">F647&amp;G647&amp;K647&amp;J647</f>
        <v>5.재고과다/재고부족_재고일수DGTINV_DIO201404</v>
      </c>
      <c r="F647" t="s">
        <v>264</v>
      </c>
      <c r="G647" t="s">
        <v>9</v>
      </c>
      <c r="H647" t="s">
        <v>307</v>
      </c>
      <c r="I647" t="s">
        <v>254</v>
      </c>
      <c r="J647" t="s">
        <v>25</v>
      </c>
      <c r="K647" t="s">
        <v>180</v>
      </c>
      <c r="L647">
        <v>7.8441584924546701</v>
      </c>
      <c r="M647" t="s">
        <v>64</v>
      </c>
      <c r="N647" t="s">
        <v>64</v>
      </c>
    </row>
    <row r="648" spans="1:14">
      <c r="A648" t="str">
        <f t="shared" si="20"/>
        <v>5.재고과다/재고부족_재고일수DGTINV_DIO2014</v>
      </c>
      <c r="B648" t="str">
        <f t="shared" si="21"/>
        <v>5.재고과다/재고부족_재고일수DGTINV_DIO201405</v>
      </c>
      <c r="F648" t="s">
        <v>264</v>
      </c>
      <c r="G648" t="s">
        <v>9</v>
      </c>
      <c r="H648" t="s">
        <v>307</v>
      </c>
      <c r="I648" t="s">
        <v>254</v>
      </c>
      <c r="J648" t="s">
        <v>26</v>
      </c>
      <c r="K648" t="s">
        <v>180</v>
      </c>
      <c r="L648">
        <v>5.0081814717735504</v>
      </c>
      <c r="M648" t="s">
        <v>64</v>
      </c>
      <c r="N648" t="s">
        <v>64</v>
      </c>
    </row>
    <row r="649" spans="1:14">
      <c r="A649" t="str">
        <f t="shared" si="20"/>
        <v>5.재고과다/재고부족_재고일수DGTINV_DIO2014</v>
      </c>
      <c r="B649" t="str">
        <f t="shared" si="21"/>
        <v>5.재고과다/재고부족_재고일수DGTINV_DIO201406</v>
      </c>
      <c r="F649" t="s">
        <v>264</v>
      </c>
      <c r="G649" t="s">
        <v>9</v>
      </c>
      <c r="H649" t="s">
        <v>307</v>
      </c>
      <c r="I649" t="s">
        <v>254</v>
      </c>
      <c r="J649" t="s">
        <v>27</v>
      </c>
      <c r="K649" t="s">
        <v>180</v>
      </c>
      <c r="L649">
        <v>2.1786396044624601</v>
      </c>
      <c r="M649" t="s">
        <v>64</v>
      </c>
      <c r="N649" t="s">
        <v>64</v>
      </c>
    </row>
    <row r="650" spans="1:14">
      <c r="A650" t="str">
        <f t="shared" si="20"/>
        <v>5.재고과다/재고부족_재고일수DGTINV_DIO2014</v>
      </c>
      <c r="B650" t="str">
        <f t="shared" si="21"/>
        <v>5.재고과다/재고부족_재고일수DGTINV_DIO201407</v>
      </c>
      <c r="F650" t="s">
        <v>264</v>
      </c>
      <c r="G650" t="s">
        <v>9</v>
      </c>
      <c r="H650" t="s">
        <v>307</v>
      </c>
      <c r="I650" t="s">
        <v>254</v>
      </c>
      <c r="J650" t="s">
        <v>28</v>
      </c>
      <c r="K650" t="s">
        <v>180</v>
      </c>
      <c r="L650">
        <v>7.4589603117844998</v>
      </c>
      <c r="M650" t="s">
        <v>64</v>
      </c>
      <c r="N650" t="s">
        <v>64</v>
      </c>
    </row>
    <row r="651" spans="1:14">
      <c r="A651" t="str">
        <f t="shared" si="20"/>
        <v>5.재고과다/재고부족_재고일수DGTINV_DIO2014</v>
      </c>
      <c r="B651" t="str">
        <f t="shared" si="21"/>
        <v>5.재고과다/재고부족_재고일수DGTINV_DIO201408</v>
      </c>
      <c r="F651" t="s">
        <v>264</v>
      </c>
      <c r="G651" t="s">
        <v>9</v>
      </c>
      <c r="H651" t="s">
        <v>307</v>
      </c>
      <c r="I651" t="s">
        <v>254</v>
      </c>
      <c r="J651" t="s">
        <v>29</v>
      </c>
      <c r="K651" t="s">
        <v>180</v>
      </c>
      <c r="L651">
        <v>3.5416019016291398</v>
      </c>
      <c r="M651" t="s">
        <v>64</v>
      </c>
      <c r="N651" t="s">
        <v>64</v>
      </c>
    </row>
    <row r="652" spans="1:14">
      <c r="A652" t="str">
        <f t="shared" si="20"/>
        <v>5.재고과다/재고부족_재고일수DGTINV_DIO2014</v>
      </c>
      <c r="B652" t="str">
        <f t="shared" si="21"/>
        <v>5.재고과다/재고부족_재고일수DGTINV_DIO201409</v>
      </c>
      <c r="F652" t="s">
        <v>264</v>
      </c>
      <c r="G652" t="s">
        <v>9</v>
      </c>
      <c r="H652" t="s">
        <v>307</v>
      </c>
      <c r="I652" t="s">
        <v>254</v>
      </c>
      <c r="J652" t="s">
        <v>30</v>
      </c>
      <c r="K652" t="s">
        <v>180</v>
      </c>
      <c r="L652">
        <v>1.39950046326434</v>
      </c>
      <c r="M652" t="s">
        <v>64</v>
      </c>
      <c r="N652" t="s">
        <v>64</v>
      </c>
    </row>
    <row r="653" spans="1:14">
      <c r="A653" t="str">
        <f t="shared" si="20"/>
        <v>5.재고과다/재고부족_재고일수DGTINV_DIO2014</v>
      </c>
      <c r="B653" t="str">
        <f t="shared" si="21"/>
        <v>5.재고과다/재고부족_재고일수DGTINV_DIO201410</v>
      </c>
      <c r="F653" t="s">
        <v>264</v>
      </c>
      <c r="G653" t="s">
        <v>9</v>
      </c>
      <c r="H653" t="s">
        <v>307</v>
      </c>
      <c r="I653" t="s">
        <v>254</v>
      </c>
      <c r="J653" t="s">
        <v>31</v>
      </c>
      <c r="K653" t="s">
        <v>180</v>
      </c>
      <c r="L653">
        <v>21.668222796693701</v>
      </c>
      <c r="M653" t="s">
        <v>64</v>
      </c>
      <c r="N653" t="s">
        <v>64</v>
      </c>
    </row>
    <row r="654" spans="1:14">
      <c r="A654" t="str">
        <f t="shared" si="20"/>
        <v>5.재고과다/재고부족_재고일수DGTINV_DIO2014</v>
      </c>
      <c r="B654" t="str">
        <f t="shared" si="21"/>
        <v>5.재고과다/재고부족_재고일수DGTINV_DIO201411</v>
      </c>
      <c r="F654" t="s">
        <v>264</v>
      </c>
      <c r="G654" t="s">
        <v>9</v>
      </c>
      <c r="H654" t="s">
        <v>307</v>
      </c>
      <c r="I654" t="s">
        <v>254</v>
      </c>
      <c r="J654" t="s">
        <v>32</v>
      </c>
      <c r="K654" t="s">
        <v>180</v>
      </c>
      <c r="L654">
        <v>12.485535767248001</v>
      </c>
      <c r="M654" t="s">
        <v>64</v>
      </c>
      <c r="N654" t="s">
        <v>64</v>
      </c>
    </row>
    <row r="655" spans="1:14">
      <c r="A655" t="str">
        <f t="shared" si="20"/>
        <v>5.재고과다/재고부족_재고일수DGTINV_DIO2014</v>
      </c>
      <c r="B655" t="str">
        <f t="shared" si="21"/>
        <v>5.재고과다/재고부족_재고일수DGTINV_DIO201412</v>
      </c>
      <c r="F655" t="s">
        <v>264</v>
      </c>
      <c r="G655" t="s">
        <v>9</v>
      </c>
      <c r="H655" t="s">
        <v>307</v>
      </c>
      <c r="I655" t="s">
        <v>254</v>
      </c>
      <c r="J655" t="s">
        <v>33</v>
      </c>
      <c r="K655" t="s">
        <v>180</v>
      </c>
      <c r="L655">
        <v>18.8056906567532</v>
      </c>
      <c r="M655" t="s">
        <v>64</v>
      </c>
      <c r="N655" t="s">
        <v>64</v>
      </c>
    </row>
    <row r="656" spans="1:14">
      <c r="A656" t="str">
        <f t="shared" si="20"/>
        <v>5.재고과다/재고부족_재고일수DGTINV_DIO2015</v>
      </c>
      <c r="B656" t="str">
        <f t="shared" si="21"/>
        <v>5.재고과다/재고부족_재고일수DGTINV_DIO201500</v>
      </c>
      <c r="F656" t="s">
        <v>264</v>
      </c>
      <c r="G656" t="s">
        <v>9</v>
      </c>
      <c r="H656" t="s">
        <v>307</v>
      </c>
      <c r="I656" t="s">
        <v>260</v>
      </c>
      <c r="J656" t="s">
        <v>261</v>
      </c>
      <c r="K656" t="s">
        <v>180</v>
      </c>
      <c r="M656" t="s">
        <v>64</v>
      </c>
      <c r="N656" t="s">
        <v>64</v>
      </c>
    </row>
    <row r="657" spans="1:14">
      <c r="A657" t="str">
        <f t="shared" si="20"/>
        <v>5.재고과다/재고부족_재고일수DGTINV_DIO2015</v>
      </c>
      <c r="B657" t="str">
        <f t="shared" si="21"/>
        <v>5.재고과다/재고부족_재고일수DGTINV_DIO201501</v>
      </c>
      <c r="F657" t="s">
        <v>264</v>
      </c>
      <c r="G657" t="s">
        <v>9</v>
      </c>
      <c r="H657" t="s">
        <v>307</v>
      </c>
      <c r="I657" t="s">
        <v>260</v>
      </c>
      <c r="J657" t="s">
        <v>34</v>
      </c>
      <c r="K657" t="s">
        <v>180</v>
      </c>
      <c r="L657">
        <v>22.948876669321901</v>
      </c>
      <c r="M657" t="s">
        <v>64</v>
      </c>
      <c r="N657" t="s">
        <v>64</v>
      </c>
    </row>
    <row r="658" spans="1:14">
      <c r="A658" t="str">
        <f t="shared" si="20"/>
        <v>5.재고과다/재고부족_재고일수DGTINV_DIO2015</v>
      </c>
      <c r="B658" t="str">
        <f t="shared" si="21"/>
        <v>5.재고과다/재고부족_재고일수DGTINV_DIO201502</v>
      </c>
      <c r="F658" t="s">
        <v>264</v>
      </c>
      <c r="G658" t="s">
        <v>9</v>
      </c>
      <c r="H658" t="s">
        <v>307</v>
      </c>
      <c r="I658" t="s">
        <v>260</v>
      </c>
      <c r="J658" t="s">
        <v>35</v>
      </c>
      <c r="K658" t="s">
        <v>180</v>
      </c>
      <c r="L658">
        <v>3.94794937557046</v>
      </c>
      <c r="M658" t="s">
        <v>64</v>
      </c>
      <c r="N658" t="s">
        <v>64</v>
      </c>
    </row>
    <row r="659" spans="1:14">
      <c r="A659" t="str">
        <f t="shared" si="20"/>
        <v>5.재고과다/재고부족_재고일수DGTINV_DIO2015</v>
      </c>
      <c r="B659" t="str">
        <f t="shared" si="21"/>
        <v>5.재고과다/재고부족_재고일수DGTINV_DIO201503</v>
      </c>
      <c r="F659" t="s">
        <v>264</v>
      </c>
      <c r="G659" t="s">
        <v>9</v>
      </c>
      <c r="H659" t="s">
        <v>307</v>
      </c>
      <c r="I659" t="s">
        <v>260</v>
      </c>
      <c r="J659" t="s">
        <v>36</v>
      </c>
      <c r="K659" t="s">
        <v>180</v>
      </c>
      <c r="L659">
        <v>17.193737151589001</v>
      </c>
      <c r="M659" t="s">
        <v>64</v>
      </c>
      <c r="N659" t="s">
        <v>64</v>
      </c>
    </row>
    <row r="660" spans="1:14">
      <c r="A660" t="str">
        <f t="shared" si="20"/>
        <v>5.재고과다/재고부족_재고일수DGTINV_DIO2015</v>
      </c>
      <c r="B660" t="str">
        <f t="shared" si="21"/>
        <v>5.재고과다/재고부족_재고일수DGTINV_DIO201504</v>
      </c>
      <c r="F660" t="s">
        <v>264</v>
      </c>
      <c r="G660" t="s">
        <v>9</v>
      </c>
      <c r="H660" t="s">
        <v>307</v>
      </c>
      <c r="I660" t="s">
        <v>260</v>
      </c>
      <c r="J660" t="s">
        <v>37</v>
      </c>
      <c r="K660" t="s">
        <v>180</v>
      </c>
      <c r="L660">
        <v>22.2266067235009</v>
      </c>
      <c r="M660" t="s">
        <v>64</v>
      </c>
      <c r="N660" t="s">
        <v>64</v>
      </c>
    </row>
    <row r="661" spans="1:14">
      <c r="A661" t="str">
        <f t="shared" si="20"/>
        <v>5.재고과다/재고부족_재고일수DGTINV_DIO2015</v>
      </c>
      <c r="B661" t="str">
        <f t="shared" si="21"/>
        <v>5.재고과다/재고부족_재고일수DGTINV_DIO201505</v>
      </c>
      <c r="F661" t="s">
        <v>264</v>
      </c>
      <c r="G661" t="s">
        <v>9</v>
      </c>
      <c r="H661" t="s">
        <v>307</v>
      </c>
      <c r="I661" t="s">
        <v>260</v>
      </c>
      <c r="J661" t="s">
        <v>38</v>
      </c>
      <c r="K661" t="s">
        <v>180</v>
      </c>
      <c r="L661">
        <v>14.4122736845208</v>
      </c>
      <c r="M661" t="s">
        <v>64</v>
      </c>
      <c r="N661" t="s">
        <v>64</v>
      </c>
    </row>
    <row r="662" spans="1:14">
      <c r="A662" t="str">
        <f t="shared" si="20"/>
        <v>5.재고과다/재고부족_재고일수DGTINV_DIO2015</v>
      </c>
      <c r="B662" t="str">
        <f t="shared" si="21"/>
        <v>5.재고과다/재고부족_재고일수DGTINV_DIO201506</v>
      </c>
      <c r="F662" t="s">
        <v>264</v>
      </c>
      <c r="G662" t="s">
        <v>9</v>
      </c>
      <c r="H662" t="s">
        <v>307</v>
      </c>
      <c r="I662" t="s">
        <v>260</v>
      </c>
      <c r="J662" t="s">
        <v>39</v>
      </c>
      <c r="K662" t="s">
        <v>180</v>
      </c>
      <c r="L662">
        <v>9.2619242397506305</v>
      </c>
      <c r="M662" t="s">
        <v>64</v>
      </c>
      <c r="N662" t="s">
        <v>64</v>
      </c>
    </row>
    <row r="663" spans="1:14">
      <c r="A663" t="str">
        <f t="shared" si="20"/>
        <v>5.재고과다/재고부족_재고일수DGTINV_DIO2015</v>
      </c>
      <c r="B663" t="str">
        <f t="shared" si="21"/>
        <v>5.재고과다/재고부족_재고일수DGTINV_DIO201507</v>
      </c>
      <c r="F663" t="s">
        <v>264</v>
      </c>
      <c r="G663" t="s">
        <v>9</v>
      </c>
      <c r="H663" t="s">
        <v>307</v>
      </c>
      <c r="I663" t="s">
        <v>260</v>
      </c>
      <c r="J663" t="s">
        <v>40</v>
      </c>
      <c r="K663" t="s">
        <v>180</v>
      </c>
      <c r="L663">
        <v>16.002189237690299</v>
      </c>
      <c r="M663" t="s">
        <v>64</v>
      </c>
      <c r="N663" t="s">
        <v>64</v>
      </c>
    </row>
    <row r="664" spans="1:14">
      <c r="A664" t="str">
        <f t="shared" si="20"/>
        <v>5.재고과다/재고부족_재고일수DGTINV_DIO2015</v>
      </c>
      <c r="B664" t="str">
        <f t="shared" si="21"/>
        <v>5.재고과다/재고부족_재고일수DGTINV_DIO201508</v>
      </c>
      <c r="F664" t="s">
        <v>264</v>
      </c>
      <c r="G664" t="s">
        <v>9</v>
      </c>
      <c r="H664" t="s">
        <v>307</v>
      </c>
      <c r="I664" t="s">
        <v>260</v>
      </c>
      <c r="J664" t="s">
        <v>41</v>
      </c>
      <c r="K664" t="s">
        <v>180</v>
      </c>
      <c r="L664">
        <v>31.052686046054699</v>
      </c>
      <c r="M664" t="s">
        <v>64</v>
      </c>
      <c r="N664" t="s">
        <v>64</v>
      </c>
    </row>
    <row r="665" spans="1:14">
      <c r="A665" t="str">
        <f t="shared" si="20"/>
        <v>5.재고과다/재고부족_재고일수DGTINV_DIO2015</v>
      </c>
      <c r="B665" t="str">
        <f t="shared" si="21"/>
        <v>5.재고과다/재고부족_재고일수DGTINV_DIO201509</v>
      </c>
      <c r="F665" t="s">
        <v>264</v>
      </c>
      <c r="G665" t="s">
        <v>9</v>
      </c>
      <c r="H665" t="s">
        <v>307</v>
      </c>
      <c r="I665" t="s">
        <v>260</v>
      </c>
      <c r="J665" t="s">
        <v>42</v>
      </c>
      <c r="K665" t="s">
        <v>180</v>
      </c>
      <c r="L665">
        <v>14.147274635071099</v>
      </c>
      <c r="M665" t="s">
        <v>64</v>
      </c>
      <c r="N665" t="s">
        <v>64</v>
      </c>
    </row>
    <row r="666" spans="1:14">
      <c r="A666" t="str">
        <f t="shared" si="20"/>
        <v>5.재고과다/재고부족_재고일수DGTINV_DIO2015</v>
      </c>
      <c r="B666" t="str">
        <f t="shared" si="21"/>
        <v>5.재고과다/재고부족_재고일수DGTINV_DIO201510</v>
      </c>
      <c r="F666" t="s">
        <v>264</v>
      </c>
      <c r="G666" t="s">
        <v>9</v>
      </c>
      <c r="H666" t="s">
        <v>307</v>
      </c>
      <c r="I666" t="s">
        <v>260</v>
      </c>
      <c r="J666" t="s">
        <v>1</v>
      </c>
      <c r="K666" t="s">
        <v>180</v>
      </c>
      <c r="L666">
        <v>35.097484046275703</v>
      </c>
      <c r="M666" t="s">
        <v>64</v>
      </c>
      <c r="N666" t="s">
        <v>64</v>
      </c>
    </row>
    <row r="667" spans="1:14">
      <c r="A667" t="str">
        <f t="shared" si="20"/>
        <v>5.재고과다/재고부족_재고일수DVTINV_DIO2012</v>
      </c>
      <c r="B667" t="str">
        <f t="shared" si="21"/>
        <v>5.재고과다/재고부족_재고일수DVTINV_DIO201200</v>
      </c>
      <c r="F667" t="s">
        <v>264</v>
      </c>
      <c r="G667" t="s">
        <v>11</v>
      </c>
      <c r="H667" t="s">
        <v>307</v>
      </c>
      <c r="I667" t="s">
        <v>226</v>
      </c>
      <c r="J667" t="s">
        <v>262</v>
      </c>
      <c r="K667" t="s">
        <v>180</v>
      </c>
      <c r="M667" t="s">
        <v>67</v>
      </c>
      <c r="N667" t="s">
        <v>67</v>
      </c>
    </row>
    <row r="668" spans="1:14">
      <c r="A668" t="str">
        <f t="shared" si="20"/>
        <v>5.재고과다/재고부족_재고일수DVTINV_DIO2012</v>
      </c>
      <c r="B668" t="str">
        <f t="shared" si="21"/>
        <v>5.재고과다/재고부족_재고일수DVTINV_DIO201201</v>
      </c>
      <c r="F668" t="s">
        <v>264</v>
      </c>
      <c r="G668" t="s">
        <v>11</v>
      </c>
      <c r="H668" t="s">
        <v>307</v>
      </c>
      <c r="I668" t="s">
        <v>226</v>
      </c>
      <c r="J668" t="s">
        <v>227</v>
      </c>
      <c r="K668" t="s">
        <v>180</v>
      </c>
      <c r="L668">
        <v>3.4852068078623102</v>
      </c>
      <c r="M668" t="s">
        <v>67</v>
      </c>
      <c r="N668" t="s">
        <v>67</v>
      </c>
    </row>
    <row r="669" spans="1:14">
      <c r="A669" t="str">
        <f t="shared" si="20"/>
        <v>5.재고과다/재고부족_재고일수DVTINV_DIO2012</v>
      </c>
      <c r="B669" t="str">
        <f t="shared" si="21"/>
        <v>5.재고과다/재고부족_재고일수DVTINV_DIO201202</v>
      </c>
      <c r="F669" t="s">
        <v>264</v>
      </c>
      <c r="G669" t="s">
        <v>11</v>
      </c>
      <c r="H669" t="s">
        <v>307</v>
      </c>
      <c r="I669" t="s">
        <v>226</v>
      </c>
      <c r="J669" t="s">
        <v>229</v>
      </c>
      <c r="K669" t="s">
        <v>180</v>
      </c>
      <c r="L669">
        <v>1130.6312091555501</v>
      </c>
      <c r="M669" t="s">
        <v>67</v>
      </c>
      <c r="N669" t="s">
        <v>67</v>
      </c>
    </row>
    <row r="670" spans="1:14">
      <c r="A670" t="str">
        <f t="shared" si="20"/>
        <v>5.재고과다/재고부족_재고일수DVTINV_DIO2012</v>
      </c>
      <c r="B670" t="str">
        <f t="shared" si="21"/>
        <v>5.재고과다/재고부족_재고일수DVTINV_DIO201203</v>
      </c>
      <c r="F670" t="s">
        <v>264</v>
      </c>
      <c r="G670" t="s">
        <v>11</v>
      </c>
      <c r="H670" t="s">
        <v>307</v>
      </c>
      <c r="I670" t="s">
        <v>226</v>
      </c>
      <c r="J670" t="s">
        <v>230</v>
      </c>
      <c r="K670" t="s">
        <v>180</v>
      </c>
      <c r="L670">
        <v>157.53376231689199</v>
      </c>
      <c r="M670" t="s">
        <v>67</v>
      </c>
      <c r="N670" t="s">
        <v>67</v>
      </c>
    </row>
    <row r="671" spans="1:14">
      <c r="A671" t="str">
        <f t="shared" si="20"/>
        <v>5.재고과다/재고부족_재고일수DVTINV_DIO2012</v>
      </c>
      <c r="B671" t="str">
        <f t="shared" si="21"/>
        <v>5.재고과다/재고부족_재고일수DVTINV_DIO201204</v>
      </c>
      <c r="F671" t="s">
        <v>264</v>
      </c>
      <c r="G671" t="s">
        <v>11</v>
      </c>
      <c r="H671" t="s">
        <v>307</v>
      </c>
      <c r="I671" t="s">
        <v>226</v>
      </c>
      <c r="J671" t="s">
        <v>231</v>
      </c>
      <c r="K671" t="s">
        <v>180</v>
      </c>
      <c r="L671">
        <v>56.863649069812801</v>
      </c>
      <c r="M671" t="s">
        <v>67</v>
      </c>
      <c r="N671" t="s">
        <v>67</v>
      </c>
    </row>
    <row r="672" spans="1:14">
      <c r="A672" t="str">
        <f t="shared" si="20"/>
        <v>5.재고과다/재고부족_재고일수DVTINV_DIO2012</v>
      </c>
      <c r="B672" t="str">
        <f t="shared" si="21"/>
        <v>5.재고과다/재고부족_재고일수DVTINV_DIO201205</v>
      </c>
      <c r="F672" t="s">
        <v>264</v>
      </c>
      <c r="G672" t="s">
        <v>11</v>
      </c>
      <c r="H672" t="s">
        <v>307</v>
      </c>
      <c r="I672" t="s">
        <v>226</v>
      </c>
      <c r="J672" t="s">
        <v>232</v>
      </c>
      <c r="K672" t="s">
        <v>180</v>
      </c>
      <c r="L672">
        <v>2.9112211664388998</v>
      </c>
      <c r="M672" t="s">
        <v>67</v>
      </c>
      <c r="N672" t="s">
        <v>67</v>
      </c>
    </row>
    <row r="673" spans="1:14">
      <c r="A673" t="str">
        <f t="shared" si="20"/>
        <v>5.재고과다/재고부족_재고일수DVTINV_DIO2012</v>
      </c>
      <c r="B673" t="str">
        <f t="shared" si="21"/>
        <v>5.재고과다/재고부족_재고일수DVTINV_DIO201206</v>
      </c>
      <c r="F673" t="s">
        <v>264</v>
      </c>
      <c r="G673" t="s">
        <v>11</v>
      </c>
      <c r="H673" t="s">
        <v>307</v>
      </c>
      <c r="I673" t="s">
        <v>226</v>
      </c>
      <c r="J673" t="s">
        <v>233</v>
      </c>
      <c r="K673" t="s">
        <v>180</v>
      </c>
      <c r="L673">
        <v>62.897733064425701</v>
      </c>
      <c r="M673" t="s">
        <v>67</v>
      </c>
      <c r="N673" t="s">
        <v>67</v>
      </c>
    </row>
    <row r="674" spans="1:14">
      <c r="A674" t="str">
        <f t="shared" si="20"/>
        <v>5.재고과다/재고부족_재고일수DVTINV_DIO2012</v>
      </c>
      <c r="B674" t="str">
        <f t="shared" si="21"/>
        <v>5.재고과다/재고부족_재고일수DVTINV_DIO201207</v>
      </c>
      <c r="F674" t="s">
        <v>264</v>
      </c>
      <c r="G674" t="s">
        <v>11</v>
      </c>
      <c r="H674" t="s">
        <v>307</v>
      </c>
      <c r="I674" t="s">
        <v>226</v>
      </c>
      <c r="J674" t="s">
        <v>234</v>
      </c>
      <c r="K674" t="s">
        <v>180</v>
      </c>
      <c r="L674">
        <v>1.8006077964289999</v>
      </c>
      <c r="M674" t="s">
        <v>67</v>
      </c>
      <c r="N674" t="s">
        <v>67</v>
      </c>
    </row>
    <row r="675" spans="1:14">
      <c r="A675" t="str">
        <f t="shared" si="20"/>
        <v>5.재고과다/재고부족_재고일수DVTINV_DIO2012</v>
      </c>
      <c r="B675" t="str">
        <f t="shared" si="21"/>
        <v>5.재고과다/재고부족_재고일수DVTINV_DIO201208</v>
      </c>
      <c r="F675" t="s">
        <v>264</v>
      </c>
      <c r="G675" t="s">
        <v>11</v>
      </c>
      <c r="H675" t="s">
        <v>307</v>
      </c>
      <c r="I675" t="s">
        <v>226</v>
      </c>
      <c r="J675" t="s">
        <v>235</v>
      </c>
      <c r="K675" t="s">
        <v>180</v>
      </c>
      <c r="L675">
        <v>30.5001108636136</v>
      </c>
      <c r="M675" t="s">
        <v>67</v>
      </c>
      <c r="N675" t="s">
        <v>67</v>
      </c>
    </row>
    <row r="676" spans="1:14">
      <c r="A676" t="str">
        <f t="shared" si="20"/>
        <v>5.재고과다/재고부족_재고일수DVTINV_DIO2012</v>
      </c>
      <c r="B676" t="str">
        <f t="shared" si="21"/>
        <v>5.재고과다/재고부족_재고일수DVTINV_DIO201209</v>
      </c>
      <c r="F676" t="s">
        <v>264</v>
      </c>
      <c r="G676" t="s">
        <v>11</v>
      </c>
      <c r="H676" t="s">
        <v>307</v>
      </c>
      <c r="I676" t="s">
        <v>226</v>
      </c>
      <c r="J676" t="s">
        <v>236</v>
      </c>
      <c r="K676" t="s">
        <v>180</v>
      </c>
      <c r="L676">
        <v>0.24890899854682899</v>
      </c>
      <c r="M676" t="s">
        <v>67</v>
      </c>
      <c r="N676" t="s">
        <v>67</v>
      </c>
    </row>
    <row r="677" spans="1:14">
      <c r="A677" t="str">
        <f t="shared" si="20"/>
        <v>5.재고과다/재고부족_재고일수DVTINV_DIO2012</v>
      </c>
      <c r="B677" t="str">
        <f t="shared" si="21"/>
        <v>5.재고과다/재고부족_재고일수DVTINV_DIO201210</v>
      </c>
      <c r="F677" t="s">
        <v>264</v>
      </c>
      <c r="G677" t="s">
        <v>11</v>
      </c>
      <c r="H677" t="s">
        <v>307</v>
      </c>
      <c r="I677" t="s">
        <v>226</v>
      </c>
      <c r="J677" t="s">
        <v>237</v>
      </c>
      <c r="K677" t="s">
        <v>180</v>
      </c>
      <c r="L677">
        <v>845.71661174943995</v>
      </c>
      <c r="M677" t="s">
        <v>67</v>
      </c>
      <c r="N677" t="s">
        <v>67</v>
      </c>
    </row>
    <row r="678" spans="1:14">
      <c r="A678" t="str">
        <f t="shared" si="20"/>
        <v>5.재고과다/재고부족_재고일수DVTINV_DIO2012</v>
      </c>
      <c r="B678" t="str">
        <f t="shared" si="21"/>
        <v>5.재고과다/재고부족_재고일수DVTINV_DIO201211</v>
      </c>
      <c r="F678" t="s">
        <v>264</v>
      </c>
      <c r="G678" t="s">
        <v>11</v>
      </c>
      <c r="H678" t="s">
        <v>307</v>
      </c>
      <c r="I678" t="s">
        <v>226</v>
      </c>
      <c r="J678" t="s">
        <v>238</v>
      </c>
      <c r="K678" t="s">
        <v>180</v>
      </c>
      <c r="L678">
        <v>1.05647096621656E-2</v>
      </c>
      <c r="M678" t="s">
        <v>67</v>
      </c>
      <c r="N678" t="s">
        <v>67</v>
      </c>
    </row>
    <row r="679" spans="1:14">
      <c r="A679" t="str">
        <f t="shared" si="20"/>
        <v>5.재고과다/재고부족_재고일수DVTINV_DIO2012</v>
      </c>
      <c r="B679" t="str">
        <f t="shared" si="21"/>
        <v>5.재고과다/재고부족_재고일수DVTINV_DIO201212</v>
      </c>
      <c r="F679" t="s">
        <v>264</v>
      </c>
      <c r="G679" t="s">
        <v>11</v>
      </c>
      <c r="H679" t="s">
        <v>307</v>
      </c>
      <c r="I679" t="s">
        <v>226</v>
      </c>
      <c r="J679" t="s">
        <v>239</v>
      </c>
      <c r="K679" t="s">
        <v>180</v>
      </c>
      <c r="L679">
        <v>28182.828362981702</v>
      </c>
      <c r="M679" t="s">
        <v>67</v>
      </c>
      <c r="N679" t="s">
        <v>67</v>
      </c>
    </row>
    <row r="680" spans="1:14">
      <c r="A680" t="str">
        <f t="shared" si="20"/>
        <v>5.재고과다/재고부족_재고일수DVTINV_DIO2013</v>
      </c>
      <c r="B680" t="str">
        <f t="shared" si="21"/>
        <v>5.재고과다/재고부족_재고일수DVTINV_DIO201300</v>
      </c>
      <c r="F680" t="s">
        <v>264</v>
      </c>
      <c r="G680" t="s">
        <v>11</v>
      </c>
      <c r="H680" t="s">
        <v>307</v>
      </c>
      <c r="I680" t="s">
        <v>240</v>
      </c>
      <c r="J680" t="s">
        <v>241</v>
      </c>
      <c r="K680" t="s">
        <v>180</v>
      </c>
      <c r="M680" t="s">
        <v>67</v>
      </c>
      <c r="N680" t="s">
        <v>67</v>
      </c>
    </row>
    <row r="681" spans="1:14">
      <c r="A681" t="str">
        <f t="shared" si="20"/>
        <v>5.재고과다/재고부족_재고일수DVTINV_DIO2013</v>
      </c>
      <c r="B681" t="str">
        <f t="shared" si="21"/>
        <v>5.재고과다/재고부족_재고일수DVTINV_DIO201301</v>
      </c>
      <c r="F681" t="s">
        <v>264</v>
      </c>
      <c r="G681" t="s">
        <v>11</v>
      </c>
      <c r="H681" t="s">
        <v>307</v>
      </c>
      <c r="I681" t="s">
        <v>240</v>
      </c>
      <c r="J681" t="s">
        <v>242</v>
      </c>
      <c r="K681" t="s">
        <v>180</v>
      </c>
      <c r="L681">
        <v>-156.36885825551599</v>
      </c>
      <c r="M681" t="s">
        <v>67</v>
      </c>
      <c r="N681" t="s">
        <v>67</v>
      </c>
    </row>
    <row r="682" spans="1:14">
      <c r="A682" t="str">
        <f t="shared" si="20"/>
        <v>5.재고과다/재고부족_재고일수DVTINV_DIO2013</v>
      </c>
      <c r="B682" t="str">
        <f t="shared" si="21"/>
        <v>5.재고과다/재고부족_재고일수DVTINV_DIO201302</v>
      </c>
      <c r="F682" t="s">
        <v>264</v>
      </c>
      <c r="G682" t="s">
        <v>11</v>
      </c>
      <c r="H682" t="s">
        <v>307</v>
      </c>
      <c r="I682" t="s">
        <v>240</v>
      </c>
      <c r="J682" t="s">
        <v>243</v>
      </c>
      <c r="K682" t="s">
        <v>180</v>
      </c>
      <c r="L682">
        <v>483.77591278686299</v>
      </c>
      <c r="M682" t="s">
        <v>67</v>
      </c>
      <c r="N682" t="s">
        <v>67</v>
      </c>
    </row>
    <row r="683" spans="1:14">
      <c r="A683" t="str">
        <f t="shared" si="20"/>
        <v>5.재고과다/재고부족_재고일수DVTINV_DIO2013</v>
      </c>
      <c r="B683" t="str">
        <f t="shared" si="21"/>
        <v>5.재고과다/재고부족_재고일수DVTINV_DIO201303</v>
      </c>
      <c r="F683" t="s">
        <v>264</v>
      </c>
      <c r="G683" t="s">
        <v>11</v>
      </c>
      <c r="H683" t="s">
        <v>307</v>
      </c>
      <c r="I683" t="s">
        <v>240</v>
      </c>
      <c r="J683" t="s">
        <v>244</v>
      </c>
      <c r="K683" t="s">
        <v>180</v>
      </c>
      <c r="L683">
        <v>-19522.6316530328</v>
      </c>
      <c r="M683" t="s">
        <v>67</v>
      </c>
      <c r="N683" t="s">
        <v>67</v>
      </c>
    </row>
    <row r="684" spans="1:14">
      <c r="A684" t="str">
        <f t="shared" si="20"/>
        <v>5.재고과다/재고부족_재고일수DVTINV_DIO2013</v>
      </c>
      <c r="B684" t="str">
        <f t="shared" si="21"/>
        <v>5.재고과다/재고부족_재고일수DVTINV_DIO201304</v>
      </c>
      <c r="F684" t="s">
        <v>264</v>
      </c>
      <c r="G684" t="s">
        <v>11</v>
      </c>
      <c r="H684" t="s">
        <v>307</v>
      </c>
      <c r="I684" t="s">
        <v>240</v>
      </c>
      <c r="J684" t="s">
        <v>245</v>
      </c>
      <c r="K684" t="s">
        <v>180</v>
      </c>
      <c r="L684">
        <v>-275.75950693961698</v>
      </c>
      <c r="M684" t="s">
        <v>67</v>
      </c>
      <c r="N684" t="s">
        <v>67</v>
      </c>
    </row>
    <row r="685" spans="1:14">
      <c r="A685" t="str">
        <f t="shared" si="20"/>
        <v>5.재고과다/재고부족_재고일수DVTINV_DIO2013</v>
      </c>
      <c r="B685" t="str">
        <f t="shared" si="21"/>
        <v>5.재고과다/재고부족_재고일수DVTINV_DIO201305</v>
      </c>
      <c r="F685" t="s">
        <v>264</v>
      </c>
      <c r="G685" t="s">
        <v>11</v>
      </c>
      <c r="H685" t="s">
        <v>307</v>
      </c>
      <c r="I685" t="s">
        <v>240</v>
      </c>
      <c r="J685" t="s">
        <v>246</v>
      </c>
      <c r="K685" t="s">
        <v>180</v>
      </c>
      <c r="L685">
        <v>61.556192006688597</v>
      </c>
      <c r="M685" t="s">
        <v>67</v>
      </c>
      <c r="N685" t="s">
        <v>67</v>
      </c>
    </row>
    <row r="686" spans="1:14">
      <c r="A686" t="str">
        <f t="shared" si="20"/>
        <v>5.재고과다/재고부족_재고일수DVTINV_DIO2013</v>
      </c>
      <c r="B686" t="str">
        <f t="shared" si="21"/>
        <v>5.재고과다/재고부족_재고일수DVTINV_DIO201306</v>
      </c>
      <c r="F686" t="s">
        <v>264</v>
      </c>
      <c r="G686" t="s">
        <v>11</v>
      </c>
      <c r="H686" t="s">
        <v>307</v>
      </c>
      <c r="I686" t="s">
        <v>240</v>
      </c>
      <c r="J686" t="s">
        <v>247</v>
      </c>
      <c r="K686" t="s">
        <v>180</v>
      </c>
      <c r="L686">
        <v>30.4236190209207</v>
      </c>
      <c r="M686" t="s">
        <v>67</v>
      </c>
      <c r="N686" t="s">
        <v>67</v>
      </c>
    </row>
    <row r="687" spans="1:14">
      <c r="A687" t="str">
        <f t="shared" si="20"/>
        <v>5.재고과다/재고부족_재고일수DVTINV_DIO2013</v>
      </c>
      <c r="B687" t="str">
        <f t="shared" si="21"/>
        <v>5.재고과다/재고부족_재고일수DVTINV_DIO201307</v>
      </c>
      <c r="F687" t="s">
        <v>264</v>
      </c>
      <c r="G687" t="s">
        <v>11</v>
      </c>
      <c r="H687" t="s">
        <v>307</v>
      </c>
      <c r="I687" t="s">
        <v>240</v>
      </c>
      <c r="J687" t="s">
        <v>248</v>
      </c>
      <c r="K687" t="s">
        <v>180</v>
      </c>
      <c r="L687">
        <v>0.82270201824226696</v>
      </c>
      <c r="M687" t="s">
        <v>67</v>
      </c>
      <c r="N687" t="s">
        <v>67</v>
      </c>
    </row>
    <row r="688" spans="1:14">
      <c r="A688" t="str">
        <f t="shared" si="20"/>
        <v>5.재고과다/재고부족_재고일수DVTINV_DIO2013</v>
      </c>
      <c r="B688" t="str">
        <f t="shared" si="21"/>
        <v>5.재고과다/재고부족_재고일수DVTINV_DIO201308</v>
      </c>
      <c r="F688" t="s">
        <v>264</v>
      </c>
      <c r="G688" t="s">
        <v>11</v>
      </c>
      <c r="H688" t="s">
        <v>307</v>
      </c>
      <c r="I688" t="s">
        <v>240</v>
      </c>
      <c r="J688" t="s">
        <v>249</v>
      </c>
      <c r="K688" t="s">
        <v>180</v>
      </c>
      <c r="L688">
        <v>213.276770050701</v>
      </c>
      <c r="M688" t="s">
        <v>67</v>
      </c>
      <c r="N688" t="s">
        <v>67</v>
      </c>
    </row>
    <row r="689" spans="1:14">
      <c r="A689" t="str">
        <f t="shared" si="20"/>
        <v>5.재고과다/재고부족_재고일수DVTINV_DIO2013</v>
      </c>
      <c r="B689" t="str">
        <f t="shared" si="21"/>
        <v>5.재고과다/재고부족_재고일수DVTINV_DIO201309</v>
      </c>
      <c r="F689" t="s">
        <v>264</v>
      </c>
      <c r="G689" t="s">
        <v>11</v>
      </c>
      <c r="H689" t="s">
        <v>307</v>
      </c>
      <c r="I689" t="s">
        <v>240</v>
      </c>
      <c r="J689" t="s">
        <v>250</v>
      </c>
      <c r="K689" t="s">
        <v>180</v>
      </c>
      <c r="L689">
        <v>2.9469844616071299</v>
      </c>
      <c r="M689" t="s">
        <v>67</v>
      </c>
      <c r="N689" t="s">
        <v>67</v>
      </c>
    </row>
    <row r="690" spans="1:14">
      <c r="A690" t="str">
        <f t="shared" si="20"/>
        <v>5.재고과다/재고부족_재고일수DVTINV_DIO2013</v>
      </c>
      <c r="B690" t="str">
        <f t="shared" si="21"/>
        <v>5.재고과다/재고부족_재고일수DVTINV_DIO201310</v>
      </c>
      <c r="F690" t="s">
        <v>264</v>
      </c>
      <c r="G690" t="s">
        <v>11</v>
      </c>
      <c r="H690" t="s">
        <v>307</v>
      </c>
      <c r="I690" t="s">
        <v>240</v>
      </c>
      <c r="J690" t="s">
        <v>251</v>
      </c>
      <c r="K690" t="s">
        <v>180</v>
      </c>
      <c r="L690">
        <v>119.586721978198</v>
      </c>
      <c r="M690" t="s">
        <v>67</v>
      </c>
      <c r="N690" t="s">
        <v>67</v>
      </c>
    </row>
    <row r="691" spans="1:14">
      <c r="A691" t="str">
        <f t="shared" si="20"/>
        <v>5.재고과다/재고부족_재고일수DVTINV_DIO2013</v>
      </c>
      <c r="B691" t="str">
        <f t="shared" si="21"/>
        <v>5.재고과다/재고부족_재고일수DVTINV_DIO201311</v>
      </c>
      <c r="F691" t="s">
        <v>264</v>
      </c>
      <c r="G691" t="s">
        <v>11</v>
      </c>
      <c r="H691" t="s">
        <v>307</v>
      </c>
      <c r="I691" t="s">
        <v>240</v>
      </c>
      <c r="J691" t="s">
        <v>252</v>
      </c>
      <c r="K691" t="s">
        <v>180</v>
      </c>
      <c r="L691">
        <v>19.098591633755301</v>
      </c>
      <c r="M691" t="s">
        <v>67</v>
      </c>
      <c r="N691" t="s">
        <v>67</v>
      </c>
    </row>
    <row r="692" spans="1:14">
      <c r="A692" t="str">
        <f t="shared" si="20"/>
        <v>5.재고과다/재고부족_재고일수DVTINV_DIO2013</v>
      </c>
      <c r="B692" t="str">
        <f t="shared" si="21"/>
        <v>5.재고과다/재고부족_재고일수DVTINV_DIO201312</v>
      </c>
      <c r="F692" t="s">
        <v>264</v>
      </c>
      <c r="G692" t="s">
        <v>11</v>
      </c>
      <c r="H692" t="s">
        <v>307</v>
      </c>
      <c r="I692" t="s">
        <v>240</v>
      </c>
      <c r="J692" t="s">
        <v>253</v>
      </c>
      <c r="K692" t="s">
        <v>180</v>
      </c>
      <c r="L692">
        <v>113.943764708267</v>
      </c>
      <c r="M692" t="s">
        <v>67</v>
      </c>
      <c r="N692" t="s">
        <v>67</v>
      </c>
    </row>
    <row r="693" spans="1:14">
      <c r="A693" t="str">
        <f t="shared" si="20"/>
        <v>5.재고과다/재고부족_재고일수DVTINV_DIO2014</v>
      </c>
      <c r="B693" t="str">
        <f t="shared" si="21"/>
        <v>5.재고과다/재고부족_재고일수DVTINV_DIO201400</v>
      </c>
      <c r="F693" t="s">
        <v>264</v>
      </c>
      <c r="G693" t="s">
        <v>11</v>
      </c>
      <c r="H693" t="s">
        <v>307</v>
      </c>
      <c r="I693" t="s">
        <v>254</v>
      </c>
      <c r="J693" t="s">
        <v>255</v>
      </c>
      <c r="K693" t="s">
        <v>180</v>
      </c>
      <c r="M693" t="s">
        <v>67</v>
      </c>
      <c r="N693" t="s">
        <v>67</v>
      </c>
    </row>
    <row r="694" spans="1:14">
      <c r="A694" t="str">
        <f t="shared" si="20"/>
        <v>5.재고과다/재고부족_재고일수DVTINV_DIO2014</v>
      </c>
      <c r="B694" t="str">
        <f t="shared" si="21"/>
        <v>5.재고과다/재고부족_재고일수DVTINV_DIO201401</v>
      </c>
      <c r="F694" t="s">
        <v>264</v>
      </c>
      <c r="G694" t="s">
        <v>11</v>
      </c>
      <c r="H694" t="s">
        <v>307</v>
      </c>
      <c r="I694" t="s">
        <v>254</v>
      </c>
      <c r="J694" t="s">
        <v>22</v>
      </c>
      <c r="K694" t="s">
        <v>180</v>
      </c>
      <c r="L694">
        <v>57.689577575119003</v>
      </c>
      <c r="M694" t="s">
        <v>67</v>
      </c>
      <c r="N694" t="s">
        <v>67</v>
      </c>
    </row>
    <row r="695" spans="1:14">
      <c r="A695" t="str">
        <f t="shared" si="20"/>
        <v>5.재고과다/재고부족_재고일수DVTINV_DIO2014</v>
      </c>
      <c r="B695" t="str">
        <f t="shared" si="21"/>
        <v>5.재고과다/재고부족_재고일수DVTINV_DIO201402</v>
      </c>
      <c r="F695" t="s">
        <v>264</v>
      </c>
      <c r="G695" t="s">
        <v>11</v>
      </c>
      <c r="H695" t="s">
        <v>307</v>
      </c>
      <c r="I695" t="s">
        <v>254</v>
      </c>
      <c r="J695" t="s">
        <v>23</v>
      </c>
      <c r="K695" t="s">
        <v>180</v>
      </c>
      <c r="L695">
        <v>29.311736018332699</v>
      </c>
      <c r="M695" t="s">
        <v>67</v>
      </c>
      <c r="N695" t="s">
        <v>67</v>
      </c>
    </row>
    <row r="696" spans="1:14">
      <c r="A696" t="str">
        <f t="shared" si="20"/>
        <v>5.재고과다/재고부족_재고일수DVTINV_DIO2014</v>
      </c>
      <c r="B696" t="str">
        <f t="shared" si="21"/>
        <v>5.재고과다/재고부족_재고일수DVTINV_DIO201403</v>
      </c>
      <c r="F696" t="s">
        <v>264</v>
      </c>
      <c r="G696" t="s">
        <v>11</v>
      </c>
      <c r="H696" t="s">
        <v>307</v>
      </c>
      <c r="I696" t="s">
        <v>254</v>
      </c>
      <c r="J696" t="s">
        <v>24</v>
      </c>
      <c r="K696" t="s">
        <v>180</v>
      </c>
      <c r="L696">
        <v>0.89443402201755395</v>
      </c>
      <c r="M696" t="s">
        <v>67</v>
      </c>
      <c r="N696" t="s">
        <v>67</v>
      </c>
    </row>
    <row r="697" spans="1:14">
      <c r="A697" t="str">
        <f t="shared" si="20"/>
        <v>5.재고과다/재고부족_재고일수DVTINV_DIO2014</v>
      </c>
      <c r="B697" t="str">
        <f t="shared" si="21"/>
        <v>5.재고과다/재고부족_재고일수DVTINV_DIO201404</v>
      </c>
      <c r="F697" t="s">
        <v>264</v>
      </c>
      <c r="G697" t="s">
        <v>11</v>
      </c>
      <c r="H697" t="s">
        <v>307</v>
      </c>
      <c r="I697" t="s">
        <v>254</v>
      </c>
      <c r="J697" t="s">
        <v>25</v>
      </c>
      <c r="K697" t="s">
        <v>180</v>
      </c>
      <c r="L697">
        <v>2.63273030342588</v>
      </c>
      <c r="M697" t="s">
        <v>67</v>
      </c>
      <c r="N697" t="s">
        <v>67</v>
      </c>
    </row>
    <row r="698" spans="1:14">
      <c r="A698" t="str">
        <f t="shared" si="20"/>
        <v>5.재고과다/재고부족_재고일수DVTINV_DIO2014</v>
      </c>
      <c r="B698" t="str">
        <f t="shared" si="21"/>
        <v>5.재고과다/재고부족_재고일수DVTINV_DIO201405</v>
      </c>
      <c r="F698" t="s">
        <v>264</v>
      </c>
      <c r="G698" t="s">
        <v>11</v>
      </c>
      <c r="H698" t="s">
        <v>307</v>
      </c>
      <c r="I698" t="s">
        <v>254</v>
      </c>
      <c r="J698" t="s">
        <v>26</v>
      </c>
      <c r="K698" t="s">
        <v>180</v>
      </c>
      <c r="L698">
        <v>14.347764542767999</v>
      </c>
      <c r="M698" t="s">
        <v>67</v>
      </c>
      <c r="N698" t="s">
        <v>67</v>
      </c>
    </row>
    <row r="699" spans="1:14">
      <c r="A699" t="str">
        <f t="shared" si="20"/>
        <v>5.재고과다/재고부족_재고일수DVTINV_DIO2014</v>
      </c>
      <c r="B699" t="str">
        <f t="shared" si="21"/>
        <v>5.재고과다/재고부족_재고일수DVTINV_DIO201406</v>
      </c>
      <c r="F699" t="s">
        <v>264</v>
      </c>
      <c r="G699" t="s">
        <v>11</v>
      </c>
      <c r="H699" t="s">
        <v>307</v>
      </c>
      <c r="I699" t="s">
        <v>254</v>
      </c>
      <c r="J699" t="s">
        <v>27</v>
      </c>
      <c r="K699" t="s">
        <v>180</v>
      </c>
      <c r="L699">
        <v>0.87387702251399102</v>
      </c>
      <c r="M699" t="s">
        <v>67</v>
      </c>
      <c r="N699" t="s">
        <v>67</v>
      </c>
    </row>
    <row r="700" spans="1:14">
      <c r="A700" t="str">
        <f t="shared" si="20"/>
        <v>5.재고과다/재고부족_재고일수DVTINV_DIO2014</v>
      </c>
      <c r="B700" t="str">
        <f t="shared" si="21"/>
        <v>5.재고과다/재고부족_재고일수DVTINV_DIO201407</v>
      </c>
      <c r="F700" t="s">
        <v>264</v>
      </c>
      <c r="G700" t="s">
        <v>11</v>
      </c>
      <c r="H700" t="s">
        <v>307</v>
      </c>
      <c r="I700" t="s">
        <v>254</v>
      </c>
      <c r="J700" t="s">
        <v>28</v>
      </c>
      <c r="K700" t="s">
        <v>180</v>
      </c>
      <c r="L700">
        <v>1.7313099775737</v>
      </c>
      <c r="M700" t="s">
        <v>67</v>
      </c>
      <c r="N700" t="s">
        <v>67</v>
      </c>
    </row>
    <row r="701" spans="1:14">
      <c r="A701" t="str">
        <f t="shared" si="20"/>
        <v>5.재고과다/재고부족_재고일수DVTINV_DIO2014</v>
      </c>
      <c r="B701" t="str">
        <f t="shared" si="21"/>
        <v>5.재고과다/재고부족_재고일수DVTINV_DIO201408</v>
      </c>
      <c r="F701" t="s">
        <v>264</v>
      </c>
      <c r="G701" t="s">
        <v>11</v>
      </c>
      <c r="H701" t="s">
        <v>307</v>
      </c>
      <c r="I701" t="s">
        <v>254</v>
      </c>
      <c r="J701" t="s">
        <v>29</v>
      </c>
      <c r="K701" t="s">
        <v>180</v>
      </c>
      <c r="L701">
        <v>2.8719435161125002</v>
      </c>
      <c r="M701" t="s">
        <v>67</v>
      </c>
      <c r="N701" t="s">
        <v>67</v>
      </c>
    </row>
    <row r="702" spans="1:14">
      <c r="A702" t="str">
        <f t="shared" si="20"/>
        <v>5.재고과다/재고부족_재고일수DVTINV_DIO2014</v>
      </c>
      <c r="B702" t="str">
        <f t="shared" si="21"/>
        <v>5.재고과다/재고부족_재고일수DVTINV_DIO201409</v>
      </c>
      <c r="F702" t="s">
        <v>264</v>
      </c>
      <c r="G702" t="s">
        <v>11</v>
      </c>
      <c r="H702" t="s">
        <v>307</v>
      </c>
      <c r="I702" t="s">
        <v>254</v>
      </c>
      <c r="J702" t="s">
        <v>30</v>
      </c>
      <c r="K702" t="s">
        <v>180</v>
      </c>
      <c r="L702">
        <v>0.24659241200193399</v>
      </c>
      <c r="M702" t="s">
        <v>67</v>
      </c>
      <c r="N702" t="s">
        <v>67</v>
      </c>
    </row>
    <row r="703" spans="1:14">
      <c r="A703" t="str">
        <f t="shared" si="20"/>
        <v>5.재고과다/재고부족_재고일수DVTINV_DIO2014</v>
      </c>
      <c r="B703" t="str">
        <f t="shared" si="21"/>
        <v>5.재고과다/재고부족_재고일수DVTINV_DIO201410</v>
      </c>
      <c r="F703" t="s">
        <v>264</v>
      </c>
      <c r="G703" t="s">
        <v>11</v>
      </c>
      <c r="H703" t="s">
        <v>307</v>
      </c>
      <c r="I703" t="s">
        <v>254</v>
      </c>
      <c r="J703" t="s">
        <v>31</v>
      </c>
      <c r="K703" t="s">
        <v>180</v>
      </c>
      <c r="L703">
        <v>13.987834152068</v>
      </c>
      <c r="M703" t="s">
        <v>67</v>
      </c>
      <c r="N703" t="s">
        <v>67</v>
      </c>
    </row>
    <row r="704" spans="1:14">
      <c r="A704" t="str">
        <f t="shared" si="20"/>
        <v>5.재고과다/재고부족_재고일수DVTINV_DIO2014</v>
      </c>
      <c r="B704" t="str">
        <f t="shared" si="21"/>
        <v>5.재고과다/재고부족_재고일수DVTINV_DIO201411</v>
      </c>
      <c r="F704" t="s">
        <v>264</v>
      </c>
      <c r="G704" t="s">
        <v>11</v>
      </c>
      <c r="H704" t="s">
        <v>307</v>
      </c>
      <c r="I704" t="s">
        <v>254</v>
      </c>
      <c r="J704" t="s">
        <v>32</v>
      </c>
      <c r="K704" t="s">
        <v>180</v>
      </c>
      <c r="L704">
        <v>3.1745168866556099</v>
      </c>
      <c r="M704" t="s">
        <v>67</v>
      </c>
      <c r="N704" t="s">
        <v>67</v>
      </c>
    </row>
    <row r="705" spans="1:14">
      <c r="A705" t="str">
        <f t="shared" si="20"/>
        <v>5.재고과다/재고부족_재고일수DVTINV_DIO2014</v>
      </c>
      <c r="B705" t="str">
        <f t="shared" si="21"/>
        <v>5.재고과다/재고부족_재고일수DVTINV_DIO201412</v>
      </c>
      <c r="F705" t="s">
        <v>264</v>
      </c>
      <c r="G705" t="s">
        <v>11</v>
      </c>
      <c r="H705" t="s">
        <v>307</v>
      </c>
      <c r="I705" t="s">
        <v>254</v>
      </c>
      <c r="J705" t="s">
        <v>33</v>
      </c>
      <c r="K705" t="s">
        <v>180</v>
      </c>
      <c r="L705">
        <v>0.84034033028946797</v>
      </c>
      <c r="M705" t="s">
        <v>67</v>
      </c>
      <c r="N705" t="s">
        <v>67</v>
      </c>
    </row>
    <row r="706" spans="1:14">
      <c r="A706" t="str">
        <f t="shared" si="20"/>
        <v>5.재고과다/재고부족_재고일수DVTINV_DIO2015</v>
      </c>
      <c r="B706" t="str">
        <f t="shared" si="21"/>
        <v>5.재고과다/재고부족_재고일수DVTINV_DIO201500</v>
      </c>
      <c r="F706" t="s">
        <v>264</v>
      </c>
      <c r="G706" t="s">
        <v>11</v>
      </c>
      <c r="H706" t="s">
        <v>307</v>
      </c>
      <c r="I706" t="s">
        <v>260</v>
      </c>
      <c r="J706" t="s">
        <v>261</v>
      </c>
      <c r="K706" t="s">
        <v>180</v>
      </c>
      <c r="M706" t="s">
        <v>67</v>
      </c>
      <c r="N706" t="s">
        <v>67</v>
      </c>
    </row>
    <row r="707" spans="1:14">
      <c r="A707" t="str">
        <f t="shared" si="20"/>
        <v>5.재고과다/재고부족_재고일수DVTINV_DIO2015</v>
      </c>
      <c r="B707" t="str">
        <f t="shared" si="21"/>
        <v>5.재고과다/재고부족_재고일수DVTINV_DIO201501</v>
      </c>
      <c r="F707" t="s">
        <v>264</v>
      </c>
      <c r="G707" t="s">
        <v>11</v>
      </c>
      <c r="H707" t="s">
        <v>307</v>
      </c>
      <c r="I707" t="s">
        <v>260</v>
      </c>
      <c r="J707" t="s">
        <v>34</v>
      </c>
      <c r="K707" t="s">
        <v>180</v>
      </c>
      <c r="L707">
        <v>3.5747648135687702</v>
      </c>
      <c r="M707" t="s">
        <v>67</v>
      </c>
      <c r="N707" t="s">
        <v>67</v>
      </c>
    </row>
    <row r="708" spans="1:14">
      <c r="A708" t="str">
        <f t="shared" si="20"/>
        <v>5.재고과다/재고부족_재고일수DVTINV_DIO2015</v>
      </c>
      <c r="B708" t="str">
        <f t="shared" si="21"/>
        <v>5.재고과다/재고부족_재고일수DVTINV_DIO201502</v>
      </c>
      <c r="F708" t="s">
        <v>264</v>
      </c>
      <c r="G708" t="s">
        <v>11</v>
      </c>
      <c r="H708" t="s">
        <v>307</v>
      </c>
      <c r="I708" t="s">
        <v>260</v>
      </c>
      <c r="J708" t="s">
        <v>35</v>
      </c>
      <c r="K708" t="s">
        <v>180</v>
      </c>
      <c r="L708">
        <v>13.918963437599</v>
      </c>
      <c r="M708" t="s">
        <v>67</v>
      </c>
      <c r="N708" t="s">
        <v>67</v>
      </c>
    </row>
    <row r="709" spans="1:14">
      <c r="A709" t="str">
        <f t="shared" si="20"/>
        <v>5.재고과다/재고부족_재고일수DVTINV_DIO2015</v>
      </c>
      <c r="B709" t="str">
        <f t="shared" si="21"/>
        <v>5.재고과다/재고부족_재고일수DVTINV_DIO201503</v>
      </c>
      <c r="F709" t="s">
        <v>264</v>
      </c>
      <c r="G709" t="s">
        <v>11</v>
      </c>
      <c r="H709" t="s">
        <v>307</v>
      </c>
      <c r="I709" t="s">
        <v>260</v>
      </c>
      <c r="J709" t="s">
        <v>36</v>
      </c>
      <c r="K709" t="s">
        <v>180</v>
      </c>
      <c r="L709">
        <v>10.6465851411601</v>
      </c>
      <c r="M709" t="s">
        <v>67</v>
      </c>
      <c r="N709" t="s">
        <v>67</v>
      </c>
    </row>
    <row r="710" spans="1:14">
      <c r="A710" t="str">
        <f t="shared" si="20"/>
        <v>5.재고과다/재고부족_재고일수DVTINV_DIO2015</v>
      </c>
      <c r="B710" t="str">
        <f t="shared" si="21"/>
        <v>5.재고과다/재고부족_재고일수DVTINV_DIO201504</v>
      </c>
      <c r="F710" t="s">
        <v>264</v>
      </c>
      <c r="G710" t="s">
        <v>11</v>
      </c>
      <c r="H710" t="s">
        <v>307</v>
      </c>
      <c r="I710" t="s">
        <v>260</v>
      </c>
      <c r="J710" t="s">
        <v>37</v>
      </c>
      <c r="K710" t="s">
        <v>180</v>
      </c>
      <c r="L710">
        <v>80.549116645934006</v>
      </c>
      <c r="M710" t="s">
        <v>67</v>
      </c>
      <c r="N710" t="s">
        <v>67</v>
      </c>
    </row>
    <row r="711" spans="1:14">
      <c r="A711" t="str">
        <f t="shared" ref="A711:A774" si="22">F711&amp;G711&amp;K711&amp;I711</f>
        <v>5.재고과다/재고부족_재고일수DVTINV_DIO2015</v>
      </c>
      <c r="B711" t="str">
        <f t="shared" ref="B711:B774" si="23">F711&amp;G711&amp;K711&amp;J711</f>
        <v>5.재고과다/재고부족_재고일수DVTINV_DIO201505</v>
      </c>
      <c r="F711" t="s">
        <v>264</v>
      </c>
      <c r="G711" t="s">
        <v>11</v>
      </c>
      <c r="H711" t="s">
        <v>307</v>
      </c>
      <c r="I711" t="s">
        <v>260</v>
      </c>
      <c r="J711" t="s">
        <v>38</v>
      </c>
      <c r="K711" t="s">
        <v>180</v>
      </c>
      <c r="L711">
        <v>53.075063203456999</v>
      </c>
      <c r="M711" t="s">
        <v>67</v>
      </c>
      <c r="N711" t="s">
        <v>67</v>
      </c>
    </row>
    <row r="712" spans="1:14">
      <c r="A712" t="str">
        <f t="shared" si="22"/>
        <v>5.재고과다/재고부족_재고일수DVTINV_DIO2015</v>
      </c>
      <c r="B712" t="str">
        <f t="shared" si="23"/>
        <v>5.재고과다/재고부족_재고일수DVTINV_DIO201506</v>
      </c>
      <c r="F712" t="s">
        <v>264</v>
      </c>
      <c r="G712" t="s">
        <v>11</v>
      </c>
      <c r="H712" t="s">
        <v>307</v>
      </c>
      <c r="I712" t="s">
        <v>260</v>
      </c>
      <c r="J712" t="s">
        <v>39</v>
      </c>
      <c r="K712" t="s">
        <v>180</v>
      </c>
      <c r="L712">
        <v>32.689958040485699</v>
      </c>
      <c r="M712" t="s">
        <v>67</v>
      </c>
      <c r="N712" t="s">
        <v>67</v>
      </c>
    </row>
    <row r="713" spans="1:14">
      <c r="A713" t="str">
        <f t="shared" si="22"/>
        <v>5.재고과다/재고부족_재고일수DVTINV_DIO2015</v>
      </c>
      <c r="B713" t="str">
        <f t="shared" si="23"/>
        <v>5.재고과다/재고부족_재고일수DVTINV_DIO201507</v>
      </c>
      <c r="F713" t="s">
        <v>264</v>
      </c>
      <c r="G713" t="s">
        <v>11</v>
      </c>
      <c r="H713" t="s">
        <v>307</v>
      </c>
      <c r="I713" t="s">
        <v>260</v>
      </c>
      <c r="J713" t="s">
        <v>40</v>
      </c>
      <c r="K713" t="s">
        <v>180</v>
      </c>
      <c r="L713">
        <v>25.228007877141501</v>
      </c>
      <c r="M713" t="s">
        <v>67</v>
      </c>
      <c r="N713" t="s">
        <v>67</v>
      </c>
    </row>
    <row r="714" spans="1:14">
      <c r="A714" t="str">
        <f t="shared" si="22"/>
        <v>5.재고과다/재고부족_재고일수DVTINV_DIO2015</v>
      </c>
      <c r="B714" t="str">
        <f t="shared" si="23"/>
        <v>5.재고과다/재고부족_재고일수DVTINV_DIO201508</v>
      </c>
      <c r="F714" t="s">
        <v>264</v>
      </c>
      <c r="G714" t="s">
        <v>11</v>
      </c>
      <c r="H714" t="s">
        <v>307</v>
      </c>
      <c r="I714" t="s">
        <v>260</v>
      </c>
      <c r="J714" t="s">
        <v>41</v>
      </c>
      <c r="K714" t="s">
        <v>180</v>
      </c>
      <c r="L714">
        <v>21.6795172681792</v>
      </c>
      <c r="M714" t="s">
        <v>67</v>
      </c>
      <c r="N714" t="s">
        <v>67</v>
      </c>
    </row>
    <row r="715" spans="1:14">
      <c r="A715" t="str">
        <f t="shared" si="22"/>
        <v>5.재고과다/재고부족_재고일수DVTINV_DIO2015</v>
      </c>
      <c r="B715" t="str">
        <f t="shared" si="23"/>
        <v>5.재고과다/재고부족_재고일수DVTINV_DIO201509</v>
      </c>
      <c r="F715" t="s">
        <v>264</v>
      </c>
      <c r="G715" t="s">
        <v>11</v>
      </c>
      <c r="H715" t="s">
        <v>307</v>
      </c>
      <c r="I715" t="s">
        <v>260</v>
      </c>
      <c r="J715" t="s">
        <v>42</v>
      </c>
      <c r="K715" t="s">
        <v>180</v>
      </c>
      <c r="L715">
        <v>1.9401681501207999</v>
      </c>
      <c r="M715" t="s">
        <v>67</v>
      </c>
      <c r="N715" t="s">
        <v>67</v>
      </c>
    </row>
    <row r="716" spans="1:14">
      <c r="A716" t="str">
        <f t="shared" si="22"/>
        <v>5.재고과다/재고부족_재고일수DVTINV_DIO2015</v>
      </c>
      <c r="B716" t="str">
        <f t="shared" si="23"/>
        <v>5.재고과다/재고부족_재고일수DVTINV_DIO201510</v>
      </c>
      <c r="F716" t="s">
        <v>264</v>
      </c>
      <c r="G716" t="s">
        <v>11</v>
      </c>
      <c r="H716" t="s">
        <v>307</v>
      </c>
      <c r="I716" t="s">
        <v>260</v>
      </c>
      <c r="J716" t="s">
        <v>1</v>
      </c>
      <c r="K716" t="s">
        <v>180</v>
      </c>
      <c r="L716">
        <v>2.18306451849437</v>
      </c>
      <c r="M716" t="s">
        <v>67</v>
      </c>
      <c r="N716" t="s">
        <v>67</v>
      </c>
    </row>
    <row r="717" spans="1:14">
      <c r="A717" t="str">
        <f t="shared" si="22"/>
        <v>5.재고과다/재고부족_재고일수GLTINV_DIO2012</v>
      </c>
      <c r="B717" t="str">
        <f t="shared" si="23"/>
        <v>5.재고과다/재고부족_재고일수GLTINV_DIO201200</v>
      </c>
      <c r="F717" t="s">
        <v>264</v>
      </c>
      <c r="G717" t="s">
        <v>13</v>
      </c>
      <c r="H717" t="s">
        <v>307</v>
      </c>
      <c r="I717" t="s">
        <v>226</v>
      </c>
      <c r="J717" t="s">
        <v>262</v>
      </c>
      <c r="K717" t="s">
        <v>180</v>
      </c>
      <c r="M717" t="s">
        <v>58</v>
      </c>
      <c r="N717" t="s">
        <v>58</v>
      </c>
    </row>
    <row r="718" spans="1:14">
      <c r="A718" t="str">
        <f t="shared" si="22"/>
        <v>5.재고과다/재고부족_재고일수GLTINV_DIO2012</v>
      </c>
      <c r="B718" t="str">
        <f t="shared" si="23"/>
        <v>5.재고과다/재고부족_재고일수GLTINV_DIO201201</v>
      </c>
      <c r="F718" t="s">
        <v>264</v>
      </c>
      <c r="G718" t="s">
        <v>13</v>
      </c>
      <c r="H718" t="s">
        <v>307</v>
      </c>
      <c r="I718" t="s">
        <v>226</v>
      </c>
      <c r="J718" t="s">
        <v>227</v>
      </c>
      <c r="K718" t="s">
        <v>180</v>
      </c>
      <c r="L718">
        <v>25.9048851180148</v>
      </c>
      <c r="M718" t="s">
        <v>58</v>
      </c>
      <c r="N718" t="s">
        <v>58</v>
      </c>
    </row>
    <row r="719" spans="1:14">
      <c r="A719" t="str">
        <f t="shared" si="22"/>
        <v>5.재고과다/재고부족_재고일수GLTINV_DIO2012</v>
      </c>
      <c r="B719" t="str">
        <f t="shared" si="23"/>
        <v>5.재고과다/재고부족_재고일수GLTINV_DIO201202</v>
      </c>
      <c r="F719" t="s">
        <v>264</v>
      </c>
      <c r="G719" t="s">
        <v>13</v>
      </c>
      <c r="H719" t="s">
        <v>307</v>
      </c>
      <c r="I719" t="s">
        <v>226</v>
      </c>
      <c r="J719" t="s">
        <v>229</v>
      </c>
      <c r="K719" t="s">
        <v>180</v>
      </c>
      <c r="L719">
        <v>17.132505871275399</v>
      </c>
      <c r="M719" t="s">
        <v>58</v>
      </c>
      <c r="N719" t="s">
        <v>58</v>
      </c>
    </row>
    <row r="720" spans="1:14">
      <c r="A720" t="str">
        <f t="shared" si="22"/>
        <v>5.재고과다/재고부족_재고일수GLTINV_DIO2012</v>
      </c>
      <c r="B720" t="str">
        <f t="shared" si="23"/>
        <v>5.재고과다/재고부족_재고일수GLTINV_DIO201203</v>
      </c>
      <c r="F720" t="s">
        <v>264</v>
      </c>
      <c r="G720" t="s">
        <v>13</v>
      </c>
      <c r="H720" t="s">
        <v>307</v>
      </c>
      <c r="I720" t="s">
        <v>226</v>
      </c>
      <c r="J720" t="s">
        <v>230</v>
      </c>
      <c r="K720" t="s">
        <v>180</v>
      </c>
      <c r="L720">
        <v>19.968169750433599</v>
      </c>
      <c r="M720" t="s">
        <v>58</v>
      </c>
      <c r="N720" t="s">
        <v>58</v>
      </c>
    </row>
    <row r="721" spans="1:14">
      <c r="A721" t="str">
        <f t="shared" si="22"/>
        <v>5.재고과다/재고부족_재고일수GLTINV_DIO2012</v>
      </c>
      <c r="B721" t="str">
        <f t="shared" si="23"/>
        <v>5.재고과다/재고부족_재고일수GLTINV_DIO201204</v>
      </c>
      <c r="F721" t="s">
        <v>264</v>
      </c>
      <c r="G721" t="s">
        <v>13</v>
      </c>
      <c r="H721" t="s">
        <v>307</v>
      </c>
      <c r="I721" t="s">
        <v>226</v>
      </c>
      <c r="J721" t="s">
        <v>231</v>
      </c>
      <c r="K721" t="s">
        <v>180</v>
      </c>
      <c r="L721">
        <v>30.8102218676284</v>
      </c>
      <c r="M721" t="s">
        <v>58</v>
      </c>
      <c r="N721" t="s">
        <v>58</v>
      </c>
    </row>
    <row r="722" spans="1:14">
      <c r="A722" t="str">
        <f t="shared" si="22"/>
        <v>5.재고과다/재고부족_재고일수GLTINV_DIO2012</v>
      </c>
      <c r="B722" t="str">
        <f t="shared" si="23"/>
        <v>5.재고과다/재고부족_재고일수GLTINV_DIO201205</v>
      </c>
      <c r="F722" t="s">
        <v>264</v>
      </c>
      <c r="G722" t="s">
        <v>13</v>
      </c>
      <c r="H722" t="s">
        <v>307</v>
      </c>
      <c r="I722" t="s">
        <v>226</v>
      </c>
      <c r="J722" t="s">
        <v>232</v>
      </c>
      <c r="K722" t="s">
        <v>180</v>
      </c>
      <c r="L722">
        <v>48.548238556935999</v>
      </c>
      <c r="M722" t="s">
        <v>58</v>
      </c>
      <c r="N722" t="s">
        <v>58</v>
      </c>
    </row>
    <row r="723" spans="1:14">
      <c r="A723" t="str">
        <f t="shared" si="22"/>
        <v>5.재고과다/재고부족_재고일수GLTINV_DIO2012</v>
      </c>
      <c r="B723" t="str">
        <f t="shared" si="23"/>
        <v>5.재고과다/재고부족_재고일수GLTINV_DIO201206</v>
      </c>
      <c r="F723" t="s">
        <v>264</v>
      </c>
      <c r="G723" t="s">
        <v>13</v>
      </c>
      <c r="H723" t="s">
        <v>307</v>
      </c>
      <c r="I723" t="s">
        <v>226</v>
      </c>
      <c r="J723" t="s">
        <v>233</v>
      </c>
      <c r="K723" t="s">
        <v>180</v>
      </c>
      <c r="L723">
        <v>28.428843183735101</v>
      </c>
      <c r="M723" t="s">
        <v>58</v>
      </c>
      <c r="N723" t="s">
        <v>58</v>
      </c>
    </row>
    <row r="724" spans="1:14">
      <c r="A724" t="str">
        <f t="shared" si="22"/>
        <v>5.재고과다/재고부족_재고일수GLTINV_DIO2012</v>
      </c>
      <c r="B724" t="str">
        <f t="shared" si="23"/>
        <v>5.재고과다/재고부족_재고일수GLTINV_DIO201207</v>
      </c>
      <c r="F724" t="s">
        <v>264</v>
      </c>
      <c r="G724" t="s">
        <v>13</v>
      </c>
      <c r="H724" t="s">
        <v>307</v>
      </c>
      <c r="I724" t="s">
        <v>226</v>
      </c>
      <c r="J724" t="s">
        <v>234</v>
      </c>
      <c r="K724" t="s">
        <v>180</v>
      </c>
      <c r="L724">
        <v>21.766421953008699</v>
      </c>
      <c r="M724" t="s">
        <v>58</v>
      </c>
      <c r="N724" t="s">
        <v>58</v>
      </c>
    </row>
    <row r="725" spans="1:14">
      <c r="A725" t="str">
        <f t="shared" si="22"/>
        <v>5.재고과다/재고부족_재고일수GLTINV_DIO2012</v>
      </c>
      <c r="B725" t="str">
        <f t="shared" si="23"/>
        <v>5.재고과다/재고부족_재고일수GLTINV_DIO201208</v>
      </c>
      <c r="F725" t="s">
        <v>264</v>
      </c>
      <c r="G725" t="s">
        <v>13</v>
      </c>
      <c r="H725" t="s">
        <v>307</v>
      </c>
      <c r="I725" t="s">
        <v>226</v>
      </c>
      <c r="J725" t="s">
        <v>235</v>
      </c>
      <c r="K725" t="s">
        <v>180</v>
      </c>
      <c r="L725">
        <v>14.932225018685999</v>
      </c>
      <c r="M725" t="s">
        <v>58</v>
      </c>
      <c r="N725" t="s">
        <v>58</v>
      </c>
    </row>
    <row r="726" spans="1:14">
      <c r="A726" t="str">
        <f t="shared" si="22"/>
        <v>5.재고과다/재고부족_재고일수GLTINV_DIO2012</v>
      </c>
      <c r="B726" t="str">
        <f t="shared" si="23"/>
        <v>5.재고과다/재고부족_재고일수GLTINV_DIO201209</v>
      </c>
      <c r="F726" t="s">
        <v>264</v>
      </c>
      <c r="G726" t="s">
        <v>13</v>
      </c>
      <c r="H726" t="s">
        <v>307</v>
      </c>
      <c r="I726" t="s">
        <v>226</v>
      </c>
      <c r="J726" t="s">
        <v>236</v>
      </c>
      <c r="K726" t="s">
        <v>180</v>
      </c>
      <c r="L726">
        <v>10.491445857027401</v>
      </c>
      <c r="M726" t="s">
        <v>58</v>
      </c>
      <c r="N726" t="s">
        <v>58</v>
      </c>
    </row>
    <row r="727" spans="1:14">
      <c r="A727" t="str">
        <f t="shared" si="22"/>
        <v>5.재고과다/재고부족_재고일수GLTINV_DIO2012</v>
      </c>
      <c r="B727" t="str">
        <f t="shared" si="23"/>
        <v>5.재고과다/재고부족_재고일수GLTINV_DIO201210</v>
      </c>
      <c r="F727" t="s">
        <v>264</v>
      </c>
      <c r="G727" t="s">
        <v>13</v>
      </c>
      <c r="H727" t="s">
        <v>307</v>
      </c>
      <c r="I727" t="s">
        <v>226</v>
      </c>
      <c r="J727" t="s">
        <v>237</v>
      </c>
      <c r="K727" t="s">
        <v>180</v>
      </c>
      <c r="L727">
        <v>11.2395031194688</v>
      </c>
      <c r="M727" t="s">
        <v>58</v>
      </c>
      <c r="N727" t="s">
        <v>58</v>
      </c>
    </row>
    <row r="728" spans="1:14">
      <c r="A728" t="str">
        <f t="shared" si="22"/>
        <v>5.재고과다/재고부족_재고일수GLTINV_DIO2012</v>
      </c>
      <c r="B728" t="str">
        <f t="shared" si="23"/>
        <v>5.재고과다/재고부족_재고일수GLTINV_DIO201211</v>
      </c>
      <c r="F728" t="s">
        <v>264</v>
      </c>
      <c r="G728" t="s">
        <v>13</v>
      </c>
      <c r="H728" t="s">
        <v>307</v>
      </c>
      <c r="I728" t="s">
        <v>226</v>
      </c>
      <c r="J728" t="s">
        <v>238</v>
      </c>
      <c r="K728" t="s">
        <v>180</v>
      </c>
      <c r="L728">
        <v>15.215067432971701</v>
      </c>
      <c r="M728" t="s">
        <v>58</v>
      </c>
      <c r="N728" t="s">
        <v>58</v>
      </c>
    </row>
    <row r="729" spans="1:14">
      <c r="A729" t="str">
        <f t="shared" si="22"/>
        <v>5.재고과다/재고부족_재고일수GLTINV_DIO2012</v>
      </c>
      <c r="B729" t="str">
        <f t="shared" si="23"/>
        <v>5.재고과다/재고부족_재고일수GLTINV_DIO201212</v>
      </c>
      <c r="F729" t="s">
        <v>264</v>
      </c>
      <c r="G729" t="s">
        <v>13</v>
      </c>
      <c r="H729" t="s">
        <v>307</v>
      </c>
      <c r="I729" t="s">
        <v>226</v>
      </c>
      <c r="J729" t="s">
        <v>239</v>
      </c>
      <c r="K729" t="s">
        <v>180</v>
      </c>
      <c r="L729">
        <v>12.740927170446</v>
      </c>
      <c r="M729" t="s">
        <v>58</v>
      </c>
      <c r="N729" t="s">
        <v>58</v>
      </c>
    </row>
    <row r="730" spans="1:14">
      <c r="A730" t="str">
        <f t="shared" si="22"/>
        <v>5.재고과다/재고부족_재고일수GLTINV_DIO2013</v>
      </c>
      <c r="B730" t="str">
        <f t="shared" si="23"/>
        <v>5.재고과다/재고부족_재고일수GLTINV_DIO201300</v>
      </c>
      <c r="F730" t="s">
        <v>264</v>
      </c>
      <c r="G730" t="s">
        <v>13</v>
      </c>
      <c r="H730" t="s">
        <v>307</v>
      </c>
      <c r="I730" t="s">
        <v>240</v>
      </c>
      <c r="J730" t="s">
        <v>241</v>
      </c>
      <c r="K730" t="s">
        <v>180</v>
      </c>
      <c r="M730" t="s">
        <v>58</v>
      </c>
      <c r="N730" t="s">
        <v>58</v>
      </c>
    </row>
    <row r="731" spans="1:14">
      <c r="A731" t="str">
        <f t="shared" si="22"/>
        <v>5.재고과다/재고부족_재고일수GLTINV_DIO2013</v>
      </c>
      <c r="B731" t="str">
        <f t="shared" si="23"/>
        <v>5.재고과다/재고부족_재고일수GLTINV_DIO201301</v>
      </c>
      <c r="F731" t="s">
        <v>264</v>
      </c>
      <c r="G731" t="s">
        <v>13</v>
      </c>
      <c r="H731" t="s">
        <v>307</v>
      </c>
      <c r="I731" t="s">
        <v>240</v>
      </c>
      <c r="J731" t="s">
        <v>242</v>
      </c>
      <c r="K731" t="s">
        <v>180</v>
      </c>
      <c r="L731">
        <v>19.259695535185301</v>
      </c>
      <c r="M731" t="s">
        <v>58</v>
      </c>
      <c r="N731" t="s">
        <v>58</v>
      </c>
    </row>
    <row r="732" spans="1:14">
      <c r="A732" t="str">
        <f t="shared" si="22"/>
        <v>5.재고과다/재고부족_재고일수GLTINV_DIO2013</v>
      </c>
      <c r="B732" t="str">
        <f t="shared" si="23"/>
        <v>5.재고과다/재고부족_재고일수GLTINV_DIO201302</v>
      </c>
      <c r="F732" t="s">
        <v>264</v>
      </c>
      <c r="G732" t="s">
        <v>13</v>
      </c>
      <c r="H732" t="s">
        <v>307</v>
      </c>
      <c r="I732" t="s">
        <v>240</v>
      </c>
      <c r="J732" t="s">
        <v>243</v>
      </c>
      <c r="K732" t="s">
        <v>180</v>
      </c>
      <c r="L732">
        <v>7.6344259247776902</v>
      </c>
      <c r="M732" t="s">
        <v>58</v>
      </c>
      <c r="N732" t="s">
        <v>58</v>
      </c>
    </row>
    <row r="733" spans="1:14">
      <c r="A733" t="str">
        <f t="shared" si="22"/>
        <v>5.재고과다/재고부족_재고일수GLTINV_DIO2013</v>
      </c>
      <c r="B733" t="str">
        <f t="shared" si="23"/>
        <v>5.재고과다/재고부족_재고일수GLTINV_DIO201303</v>
      </c>
      <c r="F733" t="s">
        <v>264</v>
      </c>
      <c r="G733" t="s">
        <v>13</v>
      </c>
      <c r="H733" t="s">
        <v>307</v>
      </c>
      <c r="I733" t="s">
        <v>240</v>
      </c>
      <c r="J733" t="s">
        <v>244</v>
      </c>
      <c r="K733" t="s">
        <v>180</v>
      </c>
      <c r="L733">
        <v>14.124979403294001</v>
      </c>
      <c r="M733" t="s">
        <v>58</v>
      </c>
      <c r="N733" t="s">
        <v>58</v>
      </c>
    </row>
    <row r="734" spans="1:14">
      <c r="A734" t="str">
        <f t="shared" si="22"/>
        <v>5.재고과다/재고부족_재고일수GLTINV_DIO2013</v>
      </c>
      <c r="B734" t="str">
        <f t="shared" si="23"/>
        <v>5.재고과다/재고부족_재고일수GLTINV_DIO201304</v>
      </c>
      <c r="F734" t="s">
        <v>264</v>
      </c>
      <c r="G734" t="s">
        <v>13</v>
      </c>
      <c r="H734" t="s">
        <v>307</v>
      </c>
      <c r="I734" t="s">
        <v>240</v>
      </c>
      <c r="J734" t="s">
        <v>245</v>
      </c>
      <c r="K734" t="s">
        <v>180</v>
      </c>
      <c r="L734">
        <v>19.4407412203104</v>
      </c>
      <c r="M734" t="s">
        <v>58</v>
      </c>
      <c r="N734" t="s">
        <v>58</v>
      </c>
    </row>
    <row r="735" spans="1:14">
      <c r="A735" t="str">
        <f t="shared" si="22"/>
        <v>5.재고과다/재고부족_재고일수GLTINV_DIO2013</v>
      </c>
      <c r="B735" t="str">
        <f t="shared" si="23"/>
        <v>5.재고과다/재고부족_재고일수GLTINV_DIO201305</v>
      </c>
      <c r="F735" t="s">
        <v>264</v>
      </c>
      <c r="G735" t="s">
        <v>13</v>
      </c>
      <c r="H735" t="s">
        <v>307</v>
      </c>
      <c r="I735" t="s">
        <v>240</v>
      </c>
      <c r="J735" t="s">
        <v>246</v>
      </c>
      <c r="K735" t="s">
        <v>180</v>
      </c>
      <c r="L735">
        <v>33.8854082776814</v>
      </c>
      <c r="M735" t="s">
        <v>58</v>
      </c>
      <c r="N735" t="s">
        <v>58</v>
      </c>
    </row>
    <row r="736" spans="1:14">
      <c r="A736" t="str">
        <f t="shared" si="22"/>
        <v>5.재고과다/재고부족_재고일수GLTINV_DIO2013</v>
      </c>
      <c r="B736" t="str">
        <f t="shared" si="23"/>
        <v>5.재고과다/재고부족_재고일수GLTINV_DIO201306</v>
      </c>
      <c r="F736" t="s">
        <v>264</v>
      </c>
      <c r="G736" t="s">
        <v>13</v>
      </c>
      <c r="H736" t="s">
        <v>307</v>
      </c>
      <c r="I736" t="s">
        <v>240</v>
      </c>
      <c r="J736" t="s">
        <v>247</v>
      </c>
      <c r="K736" t="s">
        <v>180</v>
      </c>
      <c r="L736">
        <v>28.637899452684898</v>
      </c>
      <c r="M736" t="s">
        <v>58</v>
      </c>
      <c r="N736" t="s">
        <v>58</v>
      </c>
    </row>
    <row r="737" spans="1:14">
      <c r="A737" t="str">
        <f t="shared" si="22"/>
        <v>5.재고과다/재고부족_재고일수GLTINV_DIO2013</v>
      </c>
      <c r="B737" t="str">
        <f t="shared" si="23"/>
        <v>5.재고과다/재고부족_재고일수GLTINV_DIO201307</v>
      </c>
      <c r="F737" t="s">
        <v>264</v>
      </c>
      <c r="G737" t="s">
        <v>13</v>
      </c>
      <c r="H737" t="s">
        <v>307</v>
      </c>
      <c r="I737" t="s">
        <v>240</v>
      </c>
      <c r="J737" t="s">
        <v>248</v>
      </c>
      <c r="K737" t="s">
        <v>180</v>
      </c>
      <c r="L737">
        <v>28.054599998225601</v>
      </c>
      <c r="M737" t="s">
        <v>58</v>
      </c>
      <c r="N737" t="s">
        <v>58</v>
      </c>
    </row>
    <row r="738" spans="1:14">
      <c r="A738" t="str">
        <f t="shared" si="22"/>
        <v>5.재고과다/재고부족_재고일수GLTINV_DIO2013</v>
      </c>
      <c r="B738" t="str">
        <f t="shared" si="23"/>
        <v>5.재고과다/재고부족_재고일수GLTINV_DIO201308</v>
      </c>
      <c r="F738" t="s">
        <v>264</v>
      </c>
      <c r="G738" t="s">
        <v>13</v>
      </c>
      <c r="H738" t="s">
        <v>307</v>
      </c>
      <c r="I738" t="s">
        <v>240</v>
      </c>
      <c r="J738" t="s">
        <v>249</v>
      </c>
      <c r="K738" t="s">
        <v>180</v>
      </c>
      <c r="L738">
        <v>21.48345119251</v>
      </c>
      <c r="M738" t="s">
        <v>58</v>
      </c>
      <c r="N738" t="s">
        <v>58</v>
      </c>
    </row>
    <row r="739" spans="1:14">
      <c r="A739" t="str">
        <f t="shared" si="22"/>
        <v>5.재고과다/재고부족_재고일수GLTINV_DIO2013</v>
      </c>
      <c r="B739" t="str">
        <f t="shared" si="23"/>
        <v>5.재고과다/재고부족_재고일수GLTINV_DIO201309</v>
      </c>
      <c r="F739" t="s">
        <v>264</v>
      </c>
      <c r="G739" t="s">
        <v>13</v>
      </c>
      <c r="H739" t="s">
        <v>307</v>
      </c>
      <c r="I739" t="s">
        <v>240</v>
      </c>
      <c r="J739" t="s">
        <v>250</v>
      </c>
      <c r="K739" t="s">
        <v>180</v>
      </c>
      <c r="L739">
        <v>19.2023546751814</v>
      </c>
      <c r="M739" t="s">
        <v>58</v>
      </c>
      <c r="N739" t="s">
        <v>58</v>
      </c>
    </row>
    <row r="740" spans="1:14">
      <c r="A740" t="str">
        <f t="shared" si="22"/>
        <v>5.재고과다/재고부족_재고일수GLTINV_DIO2013</v>
      </c>
      <c r="B740" t="str">
        <f t="shared" si="23"/>
        <v>5.재고과다/재고부족_재고일수GLTINV_DIO201310</v>
      </c>
      <c r="F740" t="s">
        <v>264</v>
      </c>
      <c r="G740" t="s">
        <v>13</v>
      </c>
      <c r="H740" t="s">
        <v>307</v>
      </c>
      <c r="I740" t="s">
        <v>240</v>
      </c>
      <c r="J740" t="s">
        <v>251</v>
      </c>
      <c r="K740" t="s">
        <v>180</v>
      </c>
      <c r="L740">
        <v>19.867603016128701</v>
      </c>
      <c r="M740" t="s">
        <v>58</v>
      </c>
      <c r="N740" t="s">
        <v>58</v>
      </c>
    </row>
    <row r="741" spans="1:14">
      <c r="A741" t="str">
        <f t="shared" si="22"/>
        <v>5.재고과다/재고부족_재고일수GLTINV_DIO2013</v>
      </c>
      <c r="B741" t="str">
        <f t="shared" si="23"/>
        <v>5.재고과다/재고부족_재고일수GLTINV_DIO201311</v>
      </c>
      <c r="F741" t="s">
        <v>264</v>
      </c>
      <c r="G741" t="s">
        <v>13</v>
      </c>
      <c r="H741" t="s">
        <v>307</v>
      </c>
      <c r="I741" t="s">
        <v>240</v>
      </c>
      <c r="J741" t="s">
        <v>252</v>
      </c>
      <c r="K741" t="s">
        <v>180</v>
      </c>
      <c r="L741">
        <v>22.023336042213401</v>
      </c>
      <c r="M741" t="s">
        <v>58</v>
      </c>
      <c r="N741" t="s">
        <v>58</v>
      </c>
    </row>
    <row r="742" spans="1:14">
      <c r="A742" t="str">
        <f t="shared" si="22"/>
        <v>5.재고과다/재고부족_재고일수GLTINV_DIO2013</v>
      </c>
      <c r="B742" t="str">
        <f t="shared" si="23"/>
        <v>5.재고과다/재고부족_재고일수GLTINV_DIO201312</v>
      </c>
      <c r="F742" t="s">
        <v>264</v>
      </c>
      <c r="G742" t="s">
        <v>13</v>
      </c>
      <c r="H742" t="s">
        <v>307</v>
      </c>
      <c r="I742" t="s">
        <v>240</v>
      </c>
      <c r="J742" t="s">
        <v>253</v>
      </c>
      <c r="K742" t="s">
        <v>180</v>
      </c>
      <c r="L742">
        <v>12.976295534018901</v>
      </c>
      <c r="M742" t="s">
        <v>58</v>
      </c>
      <c r="N742" t="s">
        <v>58</v>
      </c>
    </row>
    <row r="743" spans="1:14">
      <c r="A743" t="str">
        <f t="shared" si="22"/>
        <v>5.재고과다/재고부족_재고일수GLTINV_DIO2014</v>
      </c>
      <c r="B743" t="str">
        <f t="shared" si="23"/>
        <v>5.재고과다/재고부족_재고일수GLTINV_DIO201400</v>
      </c>
      <c r="F743" t="s">
        <v>264</v>
      </c>
      <c r="G743" t="s">
        <v>13</v>
      </c>
      <c r="H743" t="s">
        <v>307</v>
      </c>
      <c r="I743" t="s">
        <v>254</v>
      </c>
      <c r="J743" t="s">
        <v>255</v>
      </c>
      <c r="K743" t="s">
        <v>180</v>
      </c>
      <c r="M743" t="s">
        <v>58</v>
      </c>
      <c r="N743" t="s">
        <v>58</v>
      </c>
    </row>
    <row r="744" spans="1:14">
      <c r="A744" t="str">
        <f t="shared" si="22"/>
        <v>5.재고과다/재고부족_재고일수GLTINV_DIO2014</v>
      </c>
      <c r="B744" t="str">
        <f t="shared" si="23"/>
        <v>5.재고과다/재고부족_재고일수GLTINV_DIO201401</v>
      </c>
      <c r="F744" t="s">
        <v>264</v>
      </c>
      <c r="G744" t="s">
        <v>13</v>
      </c>
      <c r="H744" t="s">
        <v>307</v>
      </c>
      <c r="I744" t="s">
        <v>254</v>
      </c>
      <c r="J744" t="s">
        <v>22</v>
      </c>
      <c r="K744" t="s">
        <v>180</v>
      </c>
      <c r="L744">
        <v>13.6059074429938</v>
      </c>
      <c r="M744" t="s">
        <v>58</v>
      </c>
      <c r="N744" t="s">
        <v>58</v>
      </c>
    </row>
    <row r="745" spans="1:14">
      <c r="A745" t="str">
        <f t="shared" si="22"/>
        <v>5.재고과다/재고부족_재고일수GLTINV_DIO2014</v>
      </c>
      <c r="B745" t="str">
        <f t="shared" si="23"/>
        <v>5.재고과다/재고부족_재고일수GLTINV_DIO201402</v>
      </c>
      <c r="F745" t="s">
        <v>264</v>
      </c>
      <c r="G745" t="s">
        <v>13</v>
      </c>
      <c r="H745" t="s">
        <v>307</v>
      </c>
      <c r="I745" t="s">
        <v>254</v>
      </c>
      <c r="J745" t="s">
        <v>23</v>
      </c>
      <c r="K745" t="s">
        <v>180</v>
      </c>
      <c r="L745">
        <v>12.4534585906238</v>
      </c>
      <c r="M745" t="s">
        <v>58</v>
      </c>
      <c r="N745" t="s">
        <v>58</v>
      </c>
    </row>
    <row r="746" spans="1:14">
      <c r="A746" t="str">
        <f t="shared" si="22"/>
        <v>5.재고과다/재고부족_재고일수GLTINV_DIO2014</v>
      </c>
      <c r="B746" t="str">
        <f t="shared" si="23"/>
        <v>5.재고과다/재고부족_재고일수GLTINV_DIO201403</v>
      </c>
      <c r="F746" t="s">
        <v>264</v>
      </c>
      <c r="G746" t="s">
        <v>13</v>
      </c>
      <c r="H746" t="s">
        <v>307</v>
      </c>
      <c r="I746" t="s">
        <v>254</v>
      </c>
      <c r="J746" t="s">
        <v>24</v>
      </c>
      <c r="K746" t="s">
        <v>180</v>
      </c>
      <c r="L746">
        <v>10.4888837089098</v>
      </c>
      <c r="M746" t="s">
        <v>58</v>
      </c>
      <c r="N746" t="s">
        <v>58</v>
      </c>
    </row>
    <row r="747" spans="1:14">
      <c r="A747" t="str">
        <f t="shared" si="22"/>
        <v>5.재고과다/재고부족_재고일수GLTINV_DIO2014</v>
      </c>
      <c r="B747" t="str">
        <f t="shared" si="23"/>
        <v>5.재고과다/재고부족_재고일수GLTINV_DIO201404</v>
      </c>
      <c r="F747" t="s">
        <v>264</v>
      </c>
      <c r="G747" t="s">
        <v>13</v>
      </c>
      <c r="H747" t="s">
        <v>307</v>
      </c>
      <c r="I747" t="s">
        <v>254</v>
      </c>
      <c r="J747" t="s">
        <v>25</v>
      </c>
      <c r="K747" t="s">
        <v>180</v>
      </c>
      <c r="L747">
        <v>13.3262277393394</v>
      </c>
      <c r="M747" t="s">
        <v>58</v>
      </c>
      <c r="N747" t="s">
        <v>58</v>
      </c>
    </row>
    <row r="748" spans="1:14">
      <c r="A748" t="str">
        <f t="shared" si="22"/>
        <v>5.재고과다/재고부족_재고일수GLTINV_DIO2014</v>
      </c>
      <c r="B748" t="str">
        <f t="shared" si="23"/>
        <v>5.재고과다/재고부족_재고일수GLTINV_DIO201405</v>
      </c>
      <c r="F748" t="s">
        <v>264</v>
      </c>
      <c r="G748" t="s">
        <v>13</v>
      </c>
      <c r="H748" t="s">
        <v>307</v>
      </c>
      <c r="I748" t="s">
        <v>254</v>
      </c>
      <c r="J748" t="s">
        <v>26</v>
      </c>
      <c r="K748" t="s">
        <v>180</v>
      </c>
      <c r="L748">
        <v>32.088655416330802</v>
      </c>
      <c r="M748" t="s">
        <v>58</v>
      </c>
      <c r="N748" t="s">
        <v>58</v>
      </c>
    </row>
    <row r="749" spans="1:14">
      <c r="A749" t="str">
        <f t="shared" si="22"/>
        <v>5.재고과다/재고부족_재고일수GLTINV_DIO2014</v>
      </c>
      <c r="B749" t="str">
        <f t="shared" si="23"/>
        <v>5.재고과다/재고부족_재고일수GLTINV_DIO201406</v>
      </c>
      <c r="F749" t="s">
        <v>264</v>
      </c>
      <c r="G749" t="s">
        <v>13</v>
      </c>
      <c r="H749" t="s">
        <v>307</v>
      </c>
      <c r="I749" t="s">
        <v>254</v>
      </c>
      <c r="J749" t="s">
        <v>27</v>
      </c>
      <c r="K749" t="s">
        <v>180</v>
      </c>
      <c r="L749">
        <v>27.898659132724401</v>
      </c>
      <c r="M749" t="s">
        <v>58</v>
      </c>
      <c r="N749" t="s">
        <v>58</v>
      </c>
    </row>
    <row r="750" spans="1:14">
      <c r="A750" t="str">
        <f t="shared" si="22"/>
        <v>5.재고과다/재고부족_재고일수GLTINV_DIO2014</v>
      </c>
      <c r="B750" t="str">
        <f t="shared" si="23"/>
        <v>5.재고과다/재고부족_재고일수GLTINV_DIO201407</v>
      </c>
      <c r="F750" t="s">
        <v>264</v>
      </c>
      <c r="G750" t="s">
        <v>13</v>
      </c>
      <c r="H750" t="s">
        <v>307</v>
      </c>
      <c r="I750" t="s">
        <v>254</v>
      </c>
      <c r="J750" t="s">
        <v>28</v>
      </c>
      <c r="K750" t="s">
        <v>180</v>
      </c>
      <c r="L750">
        <v>21.814666082489001</v>
      </c>
      <c r="M750" t="s">
        <v>58</v>
      </c>
      <c r="N750" t="s">
        <v>58</v>
      </c>
    </row>
    <row r="751" spans="1:14">
      <c r="A751" t="str">
        <f t="shared" si="22"/>
        <v>5.재고과다/재고부족_재고일수GLTINV_DIO2014</v>
      </c>
      <c r="B751" t="str">
        <f t="shared" si="23"/>
        <v>5.재고과다/재고부족_재고일수GLTINV_DIO201408</v>
      </c>
      <c r="F751" t="s">
        <v>264</v>
      </c>
      <c r="G751" t="s">
        <v>13</v>
      </c>
      <c r="H751" t="s">
        <v>307</v>
      </c>
      <c r="I751" t="s">
        <v>254</v>
      </c>
      <c r="J751" t="s">
        <v>29</v>
      </c>
      <c r="K751" t="s">
        <v>180</v>
      </c>
      <c r="L751">
        <v>20.016122810323999</v>
      </c>
      <c r="M751" t="s">
        <v>58</v>
      </c>
      <c r="N751" t="s">
        <v>58</v>
      </c>
    </row>
    <row r="752" spans="1:14">
      <c r="A752" t="str">
        <f t="shared" si="22"/>
        <v>5.재고과다/재고부족_재고일수GLTINV_DIO2014</v>
      </c>
      <c r="B752" t="str">
        <f t="shared" si="23"/>
        <v>5.재고과다/재고부족_재고일수GLTINV_DIO201409</v>
      </c>
      <c r="F752" t="s">
        <v>264</v>
      </c>
      <c r="G752" t="s">
        <v>13</v>
      </c>
      <c r="H752" t="s">
        <v>307</v>
      </c>
      <c r="I752" t="s">
        <v>254</v>
      </c>
      <c r="J752" t="s">
        <v>30</v>
      </c>
      <c r="K752" t="s">
        <v>180</v>
      </c>
      <c r="L752">
        <v>14.200166953115801</v>
      </c>
      <c r="M752" t="s">
        <v>58</v>
      </c>
      <c r="N752" t="s">
        <v>58</v>
      </c>
    </row>
    <row r="753" spans="1:14">
      <c r="A753" t="str">
        <f t="shared" si="22"/>
        <v>5.재고과다/재고부족_재고일수GLTINV_DIO2014</v>
      </c>
      <c r="B753" t="str">
        <f t="shared" si="23"/>
        <v>5.재고과다/재고부족_재고일수GLTINV_DIO201410</v>
      </c>
      <c r="F753" t="s">
        <v>264</v>
      </c>
      <c r="G753" t="s">
        <v>13</v>
      </c>
      <c r="H753" t="s">
        <v>307</v>
      </c>
      <c r="I753" t="s">
        <v>254</v>
      </c>
      <c r="J753" t="s">
        <v>31</v>
      </c>
      <c r="K753" t="s">
        <v>180</v>
      </c>
      <c r="L753">
        <v>13.7919098457287</v>
      </c>
      <c r="M753" t="s">
        <v>58</v>
      </c>
      <c r="N753" t="s">
        <v>58</v>
      </c>
    </row>
    <row r="754" spans="1:14">
      <c r="A754" t="str">
        <f t="shared" si="22"/>
        <v>5.재고과다/재고부족_재고일수GLTINV_DIO2014</v>
      </c>
      <c r="B754" t="str">
        <f t="shared" si="23"/>
        <v>5.재고과다/재고부족_재고일수GLTINV_DIO201411</v>
      </c>
      <c r="F754" t="s">
        <v>264</v>
      </c>
      <c r="G754" t="s">
        <v>13</v>
      </c>
      <c r="H754" t="s">
        <v>307</v>
      </c>
      <c r="I754" t="s">
        <v>254</v>
      </c>
      <c r="J754" t="s">
        <v>32</v>
      </c>
      <c r="K754" t="s">
        <v>180</v>
      </c>
      <c r="L754">
        <v>20.817236363343302</v>
      </c>
      <c r="M754" t="s">
        <v>58</v>
      </c>
      <c r="N754" t="s">
        <v>58</v>
      </c>
    </row>
    <row r="755" spans="1:14">
      <c r="A755" t="str">
        <f t="shared" si="22"/>
        <v>5.재고과다/재고부족_재고일수GLTINV_DIO2014</v>
      </c>
      <c r="B755" t="str">
        <f t="shared" si="23"/>
        <v>5.재고과다/재고부족_재고일수GLTINV_DIO201412</v>
      </c>
      <c r="F755" t="s">
        <v>264</v>
      </c>
      <c r="G755" t="s">
        <v>13</v>
      </c>
      <c r="H755" t="s">
        <v>307</v>
      </c>
      <c r="I755" t="s">
        <v>254</v>
      </c>
      <c r="J755" t="s">
        <v>33</v>
      </c>
      <c r="K755" t="s">
        <v>180</v>
      </c>
      <c r="L755">
        <v>17.948119523582999</v>
      </c>
      <c r="M755" t="s">
        <v>58</v>
      </c>
      <c r="N755" t="s">
        <v>58</v>
      </c>
    </row>
    <row r="756" spans="1:14">
      <c r="A756" t="str">
        <f t="shared" si="22"/>
        <v>5.재고과다/재고부족_재고일수GLTINV_DIO2015</v>
      </c>
      <c r="B756" t="str">
        <f t="shared" si="23"/>
        <v>5.재고과다/재고부족_재고일수GLTINV_DIO201500</v>
      </c>
      <c r="F756" t="s">
        <v>264</v>
      </c>
      <c r="G756" t="s">
        <v>13</v>
      </c>
      <c r="H756" t="s">
        <v>307</v>
      </c>
      <c r="I756" t="s">
        <v>260</v>
      </c>
      <c r="J756" t="s">
        <v>261</v>
      </c>
      <c r="K756" t="s">
        <v>180</v>
      </c>
      <c r="M756" t="s">
        <v>58</v>
      </c>
      <c r="N756" t="s">
        <v>58</v>
      </c>
    </row>
    <row r="757" spans="1:14">
      <c r="A757" t="str">
        <f t="shared" si="22"/>
        <v>5.재고과다/재고부족_재고일수GLTINV_DIO2015</v>
      </c>
      <c r="B757" t="str">
        <f t="shared" si="23"/>
        <v>5.재고과다/재고부족_재고일수GLTINV_DIO201501</v>
      </c>
      <c r="F757" t="s">
        <v>264</v>
      </c>
      <c r="G757" t="s">
        <v>13</v>
      </c>
      <c r="H757" t="s">
        <v>307</v>
      </c>
      <c r="I757" t="s">
        <v>260</v>
      </c>
      <c r="J757" t="s">
        <v>34</v>
      </c>
      <c r="K757" t="s">
        <v>180</v>
      </c>
      <c r="L757">
        <v>19.364283171574002</v>
      </c>
      <c r="M757" t="s">
        <v>58</v>
      </c>
      <c r="N757" t="s">
        <v>58</v>
      </c>
    </row>
    <row r="758" spans="1:14">
      <c r="A758" t="str">
        <f t="shared" si="22"/>
        <v>5.재고과다/재고부족_재고일수GLTINV_DIO2015</v>
      </c>
      <c r="B758" t="str">
        <f t="shared" si="23"/>
        <v>5.재고과다/재고부족_재고일수GLTINV_DIO201502</v>
      </c>
      <c r="F758" t="s">
        <v>264</v>
      </c>
      <c r="G758" t="s">
        <v>13</v>
      </c>
      <c r="H758" t="s">
        <v>307</v>
      </c>
      <c r="I758" t="s">
        <v>260</v>
      </c>
      <c r="J758" t="s">
        <v>35</v>
      </c>
      <c r="K758" t="s">
        <v>180</v>
      </c>
      <c r="L758">
        <v>16.872486376106799</v>
      </c>
      <c r="M758" t="s">
        <v>58</v>
      </c>
      <c r="N758" t="s">
        <v>58</v>
      </c>
    </row>
    <row r="759" spans="1:14">
      <c r="A759" t="str">
        <f t="shared" si="22"/>
        <v>5.재고과다/재고부족_재고일수GLTINV_DIO2015</v>
      </c>
      <c r="B759" t="str">
        <f t="shared" si="23"/>
        <v>5.재고과다/재고부족_재고일수GLTINV_DIO201503</v>
      </c>
      <c r="F759" t="s">
        <v>264</v>
      </c>
      <c r="G759" t="s">
        <v>13</v>
      </c>
      <c r="H759" t="s">
        <v>307</v>
      </c>
      <c r="I759" t="s">
        <v>260</v>
      </c>
      <c r="J759" t="s">
        <v>36</v>
      </c>
      <c r="K759" t="s">
        <v>180</v>
      </c>
      <c r="L759">
        <v>22.095909386353199</v>
      </c>
      <c r="M759" t="s">
        <v>58</v>
      </c>
      <c r="N759" t="s">
        <v>58</v>
      </c>
    </row>
    <row r="760" spans="1:14">
      <c r="A760" t="str">
        <f t="shared" si="22"/>
        <v>5.재고과다/재고부족_재고일수GLTINV_DIO2015</v>
      </c>
      <c r="B760" t="str">
        <f t="shared" si="23"/>
        <v>5.재고과다/재고부족_재고일수GLTINV_DIO201504</v>
      </c>
      <c r="F760" t="s">
        <v>264</v>
      </c>
      <c r="G760" t="s">
        <v>13</v>
      </c>
      <c r="H760" t="s">
        <v>307</v>
      </c>
      <c r="I760" t="s">
        <v>260</v>
      </c>
      <c r="J760" t="s">
        <v>37</v>
      </c>
      <c r="K760" t="s">
        <v>180</v>
      </c>
      <c r="L760">
        <v>24.3587965663387</v>
      </c>
      <c r="M760" t="s">
        <v>58</v>
      </c>
      <c r="N760" t="s">
        <v>58</v>
      </c>
    </row>
    <row r="761" spans="1:14">
      <c r="A761" t="str">
        <f t="shared" si="22"/>
        <v>5.재고과다/재고부족_재고일수GLTINV_DIO2015</v>
      </c>
      <c r="B761" t="str">
        <f t="shared" si="23"/>
        <v>5.재고과다/재고부족_재고일수GLTINV_DIO201505</v>
      </c>
      <c r="F761" t="s">
        <v>264</v>
      </c>
      <c r="G761" t="s">
        <v>13</v>
      </c>
      <c r="H761" t="s">
        <v>307</v>
      </c>
      <c r="I761" t="s">
        <v>260</v>
      </c>
      <c r="J761" t="s">
        <v>38</v>
      </c>
      <c r="K761" t="s">
        <v>180</v>
      </c>
      <c r="L761">
        <v>26.9856559710006</v>
      </c>
      <c r="M761" t="s">
        <v>58</v>
      </c>
      <c r="N761" t="s">
        <v>58</v>
      </c>
    </row>
    <row r="762" spans="1:14">
      <c r="A762" t="str">
        <f t="shared" si="22"/>
        <v>5.재고과다/재고부족_재고일수GLTINV_DIO2015</v>
      </c>
      <c r="B762" t="str">
        <f t="shared" si="23"/>
        <v>5.재고과다/재고부족_재고일수GLTINV_DIO201506</v>
      </c>
      <c r="F762" t="s">
        <v>264</v>
      </c>
      <c r="G762" t="s">
        <v>13</v>
      </c>
      <c r="H762" t="s">
        <v>307</v>
      </c>
      <c r="I762" t="s">
        <v>260</v>
      </c>
      <c r="J762" t="s">
        <v>39</v>
      </c>
      <c r="K762" t="s">
        <v>180</v>
      </c>
      <c r="L762">
        <v>22.789719493513601</v>
      </c>
      <c r="M762" t="s">
        <v>58</v>
      </c>
      <c r="N762" t="s">
        <v>58</v>
      </c>
    </row>
    <row r="763" spans="1:14">
      <c r="A763" t="str">
        <f t="shared" si="22"/>
        <v>5.재고과다/재고부족_재고일수GLTINV_DIO2015</v>
      </c>
      <c r="B763" t="str">
        <f t="shared" si="23"/>
        <v>5.재고과다/재고부족_재고일수GLTINV_DIO201507</v>
      </c>
      <c r="F763" t="s">
        <v>264</v>
      </c>
      <c r="G763" t="s">
        <v>13</v>
      </c>
      <c r="H763" t="s">
        <v>307</v>
      </c>
      <c r="I763" t="s">
        <v>260</v>
      </c>
      <c r="J763" t="s">
        <v>40</v>
      </c>
      <c r="K763" t="s">
        <v>180</v>
      </c>
      <c r="L763">
        <v>24.956870066841802</v>
      </c>
      <c r="M763" t="s">
        <v>58</v>
      </c>
      <c r="N763" t="s">
        <v>58</v>
      </c>
    </row>
    <row r="764" spans="1:14">
      <c r="A764" t="str">
        <f t="shared" si="22"/>
        <v>5.재고과다/재고부족_재고일수GLTINV_DIO2015</v>
      </c>
      <c r="B764" t="str">
        <f t="shared" si="23"/>
        <v>5.재고과다/재고부족_재고일수GLTINV_DIO201508</v>
      </c>
      <c r="F764" t="s">
        <v>264</v>
      </c>
      <c r="G764" t="s">
        <v>13</v>
      </c>
      <c r="H764" t="s">
        <v>307</v>
      </c>
      <c r="I764" t="s">
        <v>260</v>
      </c>
      <c r="J764" t="s">
        <v>41</v>
      </c>
      <c r="K764" t="s">
        <v>180</v>
      </c>
      <c r="L764">
        <v>15.1192472155179</v>
      </c>
      <c r="M764" t="s">
        <v>58</v>
      </c>
      <c r="N764" t="s">
        <v>58</v>
      </c>
    </row>
    <row r="765" spans="1:14">
      <c r="A765" t="str">
        <f t="shared" si="22"/>
        <v>5.재고과다/재고부족_재고일수GLTINV_DIO2015</v>
      </c>
      <c r="B765" t="str">
        <f t="shared" si="23"/>
        <v>5.재고과다/재고부족_재고일수GLTINV_DIO201509</v>
      </c>
      <c r="F765" t="s">
        <v>264</v>
      </c>
      <c r="G765" t="s">
        <v>13</v>
      </c>
      <c r="H765" t="s">
        <v>307</v>
      </c>
      <c r="I765" t="s">
        <v>260</v>
      </c>
      <c r="J765" t="s">
        <v>42</v>
      </c>
      <c r="K765" t="s">
        <v>180</v>
      </c>
      <c r="L765">
        <v>14.904272919192801</v>
      </c>
      <c r="M765" t="s">
        <v>58</v>
      </c>
      <c r="N765" t="s">
        <v>58</v>
      </c>
    </row>
    <row r="766" spans="1:14">
      <c r="A766" t="str">
        <f t="shared" si="22"/>
        <v>5.재고과다/재고부족_재고일수GLTINV_DIO2015</v>
      </c>
      <c r="B766" t="str">
        <f t="shared" si="23"/>
        <v>5.재고과다/재고부족_재고일수GLTINV_DIO201510</v>
      </c>
      <c r="F766" t="s">
        <v>264</v>
      </c>
      <c r="G766" t="s">
        <v>13</v>
      </c>
      <c r="H766" t="s">
        <v>307</v>
      </c>
      <c r="I766" t="s">
        <v>260</v>
      </c>
      <c r="J766" t="s">
        <v>1</v>
      </c>
      <c r="K766" t="s">
        <v>180</v>
      </c>
      <c r="L766">
        <v>14.0004707005795</v>
      </c>
      <c r="M766" t="s">
        <v>58</v>
      </c>
      <c r="N766" t="s">
        <v>58</v>
      </c>
    </row>
    <row r="767" spans="1:14">
      <c r="A767" t="str">
        <f t="shared" si="22"/>
        <v>5.재고과다/재고부족_재고일수GPTINV_DIO2012</v>
      </c>
      <c r="B767" t="str">
        <f t="shared" si="23"/>
        <v>5.재고과다/재고부족_재고일수GPTINV_DIO201200</v>
      </c>
      <c r="F767" t="s">
        <v>264</v>
      </c>
      <c r="G767" t="s">
        <v>309</v>
      </c>
      <c r="H767" t="s">
        <v>307</v>
      </c>
      <c r="I767" t="s">
        <v>226</v>
      </c>
      <c r="J767" t="s">
        <v>262</v>
      </c>
      <c r="K767" t="s">
        <v>180</v>
      </c>
      <c r="M767" t="s">
        <v>318</v>
      </c>
      <c r="N767" t="s">
        <v>318</v>
      </c>
    </row>
    <row r="768" spans="1:14">
      <c r="A768" t="str">
        <f t="shared" si="22"/>
        <v>5.재고과다/재고부족_재고일수GPTINV_DIO2012</v>
      </c>
      <c r="B768" t="str">
        <f t="shared" si="23"/>
        <v>5.재고과다/재고부족_재고일수GPTINV_DIO201201</v>
      </c>
      <c r="F768" t="s">
        <v>264</v>
      </c>
      <c r="G768" t="s">
        <v>309</v>
      </c>
      <c r="H768" t="s">
        <v>307</v>
      </c>
      <c r="I768" t="s">
        <v>226</v>
      </c>
      <c r="J768" t="s">
        <v>227</v>
      </c>
      <c r="K768" t="s">
        <v>180</v>
      </c>
      <c r="L768">
        <v>37.763005082710201</v>
      </c>
      <c r="M768" t="s">
        <v>318</v>
      </c>
      <c r="N768" t="s">
        <v>318</v>
      </c>
    </row>
    <row r="769" spans="1:14">
      <c r="A769" t="str">
        <f t="shared" si="22"/>
        <v>5.재고과다/재고부족_재고일수GPTINV_DIO2012</v>
      </c>
      <c r="B769" t="str">
        <f t="shared" si="23"/>
        <v>5.재고과다/재고부족_재고일수GPTINV_DIO201202</v>
      </c>
      <c r="F769" t="s">
        <v>264</v>
      </c>
      <c r="G769" t="s">
        <v>309</v>
      </c>
      <c r="H769" t="s">
        <v>307</v>
      </c>
      <c r="I769" t="s">
        <v>226</v>
      </c>
      <c r="J769" t="s">
        <v>229</v>
      </c>
      <c r="K769" t="s">
        <v>180</v>
      </c>
      <c r="L769">
        <v>40.150557174596898</v>
      </c>
      <c r="M769" t="s">
        <v>318</v>
      </c>
      <c r="N769" t="s">
        <v>318</v>
      </c>
    </row>
    <row r="770" spans="1:14">
      <c r="A770" t="str">
        <f t="shared" si="22"/>
        <v>5.재고과다/재고부족_재고일수GPTINV_DIO2012</v>
      </c>
      <c r="B770" t="str">
        <f t="shared" si="23"/>
        <v>5.재고과다/재고부족_재고일수GPTINV_DIO201203</v>
      </c>
      <c r="F770" t="s">
        <v>264</v>
      </c>
      <c r="G770" t="s">
        <v>309</v>
      </c>
      <c r="H770" t="s">
        <v>307</v>
      </c>
      <c r="I770" t="s">
        <v>226</v>
      </c>
      <c r="J770" t="s">
        <v>230</v>
      </c>
      <c r="K770" t="s">
        <v>180</v>
      </c>
      <c r="L770">
        <v>16.9880599031043</v>
      </c>
      <c r="M770" t="s">
        <v>318</v>
      </c>
      <c r="N770" t="s">
        <v>318</v>
      </c>
    </row>
    <row r="771" spans="1:14">
      <c r="A771" t="str">
        <f t="shared" si="22"/>
        <v>5.재고과다/재고부족_재고일수GPTINV_DIO2012</v>
      </c>
      <c r="B771" t="str">
        <f t="shared" si="23"/>
        <v>5.재고과다/재고부족_재고일수GPTINV_DIO201204</v>
      </c>
      <c r="F771" t="s">
        <v>264</v>
      </c>
      <c r="G771" t="s">
        <v>309</v>
      </c>
      <c r="H771" t="s">
        <v>307</v>
      </c>
      <c r="I771" t="s">
        <v>226</v>
      </c>
      <c r="J771" t="s">
        <v>231</v>
      </c>
      <c r="K771" t="s">
        <v>180</v>
      </c>
      <c r="L771">
        <v>25.274401550563201</v>
      </c>
      <c r="M771" t="s">
        <v>318</v>
      </c>
      <c r="N771" t="s">
        <v>318</v>
      </c>
    </row>
    <row r="772" spans="1:14">
      <c r="A772" t="str">
        <f t="shared" si="22"/>
        <v>5.재고과다/재고부족_재고일수GPTINV_DIO2012</v>
      </c>
      <c r="B772" t="str">
        <f t="shared" si="23"/>
        <v>5.재고과다/재고부족_재고일수GPTINV_DIO201205</v>
      </c>
      <c r="F772" t="s">
        <v>264</v>
      </c>
      <c r="G772" t="s">
        <v>309</v>
      </c>
      <c r="H772" t="s">
        <v>307</v>
      </c>
      <c r="I772" t="s">
        <v>226</v>
      </c>
      <c r="J772" t="s">
        <v>232</v>
      </c>
      <c r="K772" t="s">
        <v>180</v>
      </c>
      <c r="L772">
        <v>25.704737224976402</v>
      </c>
      <c r="M772" t="s">
        <v>318</v>
      </c>
      <c r="N772" t="s">
        <v>318</v>
      </c>
    </row>
    <row r="773" spans="1:14">
      <c r="A773" t="str">
        <f t="shared" si="22"/>
        <v>5.재고과다/재고부족_재고일수GPTINV_DIO2012</v>
      </c>
      <c r="B773" t="str">
        <f t="shared" si="23"/>
        <v>5.재고과다/재고부족_재고일수GPTINV_DIO201206</v>
      </c>
      <c r="F773" t="s">
        <v>264</v>
      </c>
      <c r="G773" t="s">
        <v>309</v>
      </c>
      <c r="H773" t="s">
        <v>307</v>
      </c>
      <c r="I773" t="s">
        <v>226</v>
      </c>
      <c r="J773" t="s">
        <v>233</v>
      </c>
      <c r="K773" t="s">
        <v>180</v>
      </c>
      <c r="L773">
        <v>17.888761768359199</v>
      </c>
      <c r="M773" t="s">
        <v>318</v>
      </c>
      <c r="N773" t="s">
        <v>318</v>
      </c>
    </row>
    <row r="774" spans="1:14">
      <c r="A774" t="str">
        <f t="shared" si="22"/>
        <v>5.재고과다/재고부족_재고일수GPTINV_DIO2012</v>
      </c>
      <c r="B774" t="str">
        <f t="shared" si="23"/>
        <v>5.재고과다/재고부족_재고일수GPTINV_DIO201207</v>
      </c>
      <c r="F774" t="s">
        <v>264</v>
      </c>
      <c r="G774" t="s">
        <v>309</v>
      </c>
      <c r="H774" t="s">
        <v>307</v>
      </c>
      <c r="I774" t="s">
        <v>226</v>
      </c>
      <c r="J774" t="s">
        <v>234</v>
      </c>
      <c r="K774" t="s">
        <v>180</v>
      </c>
      <c r="L774">
        <v>21.621142556512599</v>
      </c>
      <c r="M774" t="s">
        <v>318</v>
      </c>
      <c r="N774" t="s">
        <v>318</v>
      </c>
    </row>
    <row r="775" spans="1:14">
      <c r="A775" t="str">
        <f t="shared" ref="A775:A838" si="24">F775&amp;G775&amp;K775&amp;I775</f>
        <v>5.재고과다/재고부족_재고일수GPTINV_DIO2012</v>
      </c>
      <c r="B775" t="str">
        <f t="shared" ref="B775:B838" si="25">F775&amp;G775&amp;K775&amp;J775</f>
        <v>5.재고과다/재고부족_재고일수GPTINV_DIO201208</v>
      </c>
      <c r="F775" t="s">
        <v>264</v>
      </c>
      <c r="G775" t="s">
        <v>309</v>
      </c>
      <c r="H775" t="s">
        <v>307</v>
      </c>
      <c r="I775" t="s">
        <v>226</v>
      </c>
      <c r="J775" t="s">
        <v>235</v>
      </c>
      <c r="K775" t="s">
        <v>180</v>
      </c>
      <c r="L775">
        <v>23.3296380945104</v>
      </c>
      <c r="M775" t="s">
        <v>318</v>
      </c>
      <c r="N775" t="s">
        <v>318</v>
      </c>
    </row>
    <row r="776" spans="1:14">
      <c r="A776" t="str">
        <f t="shared" si="24"/>
        <v>5.재고과다/재고부족_재고일수GPTINV_DIO2012</v>
      </c>
      <c r="B776" t="str">
        <f t="shared" si="25"/>
        <v>5.재고과다/재고부족_재고일수GPTINV_DIO201209</v>
      </c>
      <c r="F776" t="s">
        <v>264</v>
      </c>
      <c r="G776" t="s">
        <v>309</v>
      </c>
      <c r="H776" t="s">
        <v>307</v>
      </c>
      <c r="I776" t="s">
        <v>226</v>
      </c>
      <c r="J776" t="s">
        <v>236</v>
      </c>
      <c r="K776" t="s">
        <v>180</v>
      </c>
      <c r="L776">
        <v>11.8821653649211</v>
      </c>
      <c r="M776" t="s">
        <v>318</v>
      </c>
      <c r="N776" t="s">
        <v>318</v>
      </c>
    </row>
    <row r="777" spans="1:14">
      <c r="A777" t="str">
        <f t="shared" si="24"/>
        <v>5.재고과다/재고부족_재고일수GPTINV_DIO2012</v>
      </c>
      <c r="B777" t="str">
        <f t="shared" si="25"/>
        <v>5.재고과다/재고부족_재고일수GPTINV_DIO201210</v>
      </c>
      <c r="F777" t="s">
        <v>264</v>
      </c>
      <c r="G777" t="s">
        <v>309</v>
      </c>
      <c r="H777" t="s">
        <v>307</v>
      </c>
      <c r="I777" t="s">
        <v>226</v>
      </c>
      <c r="J777" t="s">
        <v>237</v>
      </c>
      <c r="K777" t="s">
        <v>180</v>
      </c>
      <c r="L777">
        <v>9.9014630752110602</v>
      </c>
      <c r="M777" t="s">
        <v>318</v>
      </c>
      <c r="N777" t="s">
        <v>318</v>
      </c>
    </row>
    <row r="778" spans="1:14">
      <c r="A778" t="str">
        <f t="shared" si="24"/>
        <v>5.재고과다/재고부족_재고일수GPTINV_DIO2012</v>
      </c>
      <c r="B778" t="str">
        <f t="shared" si="25"/>
        <v>5.재고과다/재고부족_재고일수GPTINV_DIO201211</v>
      </c>
      <c r="F778" t="s">
        <v>264</v>
      </c>
      <c r="G778" t="s">
        <v>309</v>
      </c>
      <c r="H778" t="s">
        <v>307</v>
      </c>
      <c r="I778" t="s">
        <v>226</v>
      </c>
      <c r="J778" t="s">
        <v>238</v>
      </c>
      <c r="K778" t="s">
        <v>180</v>
      </c>
      <c r="L778">
        <v>14.007715853822299</v>
      </c>
      <c r="M778" t="s">
        <v>318</v>
      </c>
      <c r="N778" t="s">
        <v>318</v>
      </c>
    </row>
    <row r="779" spans="1:14">
      <c r="A779" t="str">
        <f t="shared" si="24"/>
        <v>5.재고과다/재고부족_재고일수GPTINV_DIO2012</v>
      </c>
      <c r="B779" t="str">
        <f t="shared" si="25"/>
        <v>5.재고과다/재고부족_재고일수GPTINV_DIO201212</v>
      </c>
      <c r="F779" t="s">
        <v>264</v>
      </c>
      <c r="G779" t="s">
        <v>309</v>
      </c>
      <c r="H779" t="s">
        <v>307</v>
      </c>
      <c r="I779" t="s">
        <v>226</v>
      </c>
      <c r="J779" t="s">
        <v>239</v>
      </c>
      <c r="K779" t="s">
        <v>180</v>
      </c>
      <c r="L779">
        <v>5.2651741178459304</v>
      </c>
      <c r="M779" t="s">
        <v>318</v>
      </c>
      <c r="N779" t="s">
        <v>318</v>
      </c>
    </row>
    <row r="780" spans="1:14">
      <c r="A780" t="str">
        <f t="shared" si="24"/>
        <v>5.재고과다/재고부족_재고일수GPTINV_DIO2013</v>
      </c>
      <c r="B780" t="str">
        <f t="shared" si="25"/>
        <v>5.재고과다/재고부족_재고일수GPTINV_DIO201300</v>
      </c>
      <c r="F780" t="s">
        <v>264</v>
      </c>
      <c r="G780" t="s">
        <v>309</v>
      </c>
      <c r="H780" t="s">
        <v>307</v>
      </c>
      <c r="I780" t="s">
        <v>240</v>
      </c>
      <c r="J780" t="s">
        <v>241</v>
      </c>
      <c r="K780" t="s">
        <v>180</v>
      </c>
      <c r="M780" t="s">
        <v>318</v>
      </c>
      <c r="N780" t="s">
        <v>318</v>
      </c>
    </row>
    <row r="781" spans="1:14">
      <c r="A781" t="str">
        <f t="shared" si="24"/>
        <v>5.재고과다/재고부족_재고일수GPTINV_DIO2013</v>
      </c>
      <c r="B781" t="str">
        <f t="shared" si="25"/>
        <v>5.재고과다/재고부족_재고일수GPTINV_DIO201301</v>
      </c>
      <c r="F781" t="s">
        <v>264</v>
      </c>
      <c r="G781" t="s">
        <v>309</v>
      </c>
      <c r="H781" t="s">
        <v>307</v>
      </c>
      <c r="I781" t="s">
        <v>240</v>
      </c>
      <c r="J781" t="s">
        <v>242</v>
      </c>
      <c r="K781" t="s">
        <v>180</v>
      </c>
      <c r="L781">
        <v>39.2010939079235</v>
      </c>
      <c r="M781" t="s">
        <v>318</v>
      </c>
      <c r="N781" t="s">
        <v>318</v>
      </c>
    </row>
    <row r="782" spans="1:14">
      <c r="A782" t="str">
        <f t="shared" si="24"/>
        <v>5.재고과다/재고부족_재고일수GPTINV_DIO2013</v>
      </c>
      <c r="B782" t="str">
        <f t="shared" si="25"/>
        <v>5.재고과다/재고부족_재고일수GPTINV_DIO201302</v>
      </c>
      <c r="F782" t="s">
        <v>264</v>
      </c>
      <c r="G782" t="s">
        <v>309</v>
      </c>
      <c r="H782" t="s">
        <v>307</v>
      </c>
      <c r="I782" t="s">
        <v>240</v>
      </c>
      <c r="J782" t="s">
        <v>243</v>
      </c>
      <c r="K782" t="s">
        <v>180</v>
      </c>
      <c r="L782">
        <v>18.0253910942156</v>
      </c>
      <c r="M782" t="s">
        <v>318</v>
      </c>
      <c r="N782" t="s">
        <v>318</v>
      </c>
    </row>
    <row r="783" spans="1:14">
      <c r="A783" t="str">
        <f t="shared" si="24"/>
        <v>5.재고과다/재고부족_재고일수GPTINV_DIO2013</v>
      </c>
      <c r="B783" t="str">
        <f t="shared" si="25"/>
        <v>5.재고과다/재고부족_재고일수GPTINV_DIO201303</v>
      </c>
      <c r="F783" t="s">
        <v>264</v>
      </c>
      <c r="G783" t="s">
        <v>309</v>
      </c>
      <c r="H783" t="s">
        <v>307</v>
      </c>
      <c r="I783" t="s">
        <v>240</v>
      </c>
      <c r="J783" t="s">
        <v>244</v>
      </c>
      <c r="K783" t="s">
        <v>180</v>
      </c>
      <c r="L783">
        <v>14.8943399926747</v>
      </c>
      <c r="M783" t="s">
        <v>318</v>
      </c>
      <c r="N783" t="s">
        <v>318</v>
      </c>
    </row>
    <row r="784" spans="1:14">
      <c r="A784" t="str">
        <f t="shared" si="24"/>
        <v>5.재고과다/재고부족_재고일수GPTINV_DIO2013</v>
      </c>
      <c r="B784" t="str">
        <f t="shared" si="25"/>
        <v>5.재고과다/재고부족_재고일수GPTINV_DIO201304</v>
      </c>
      <c r="F784" t="s">
        <v>264</v>
      </c>
      <c r="G784" t="s">
        <v>309</v>
      </c>
      <c r="H784" t="s">
        <v>307</v>
      </c>
      <c r="I784" t="s">
        <v>240</v>
      </c>
      <c r="J784" t="s">
        <v>245</v>
      </c>
      <c r="K784" t="s">
        <v>180</v>
      </c>
      <c r="L784">
        <v>17.919227514823799</v>
      </c>
      <c r="M784" t="s">
        <v>318</v>
      </c>
      <c r="N784" t="s">
        <v>318</v>
      </c>
    </row>
    <row r="785" spans="1:14">
      <c r="A785" t="str">
        <f t="shared" si="24"/>
        <v>5.재고과다/재고부족_재고일수GPTINV_DIO2013</v>
      </c>
      <c r="B785" t="str">
        <f t="shared" si="25"/>
        <v>5.재고과다/재고부족_재고일수GPTINV_DIO201305</v>
      </c>
      <c r="F785" t="s">
        <v>264</v>
      </c>
      <c r="G785" t="s">
        <v>309</v>
      </c>
      <c r="H785" t="s">
        <v>307</v>
      </c>
      <c r="I785" t="s">
        <v>240</v>
      </c>
      <c r="J785" t="s">
        <v>246</v>
      </c>
      <c r="K785" t="s">
        <v>180</v>
      </c>
      <c r="L785">
        <v>24.8718052851609</v>
      </c>
      <c r="M785" t="s">
        <v>318</v>
      </c>
      <c r="N785" t="s">
        <v>318</v>
      </c>
    </row>
    <row r="786" spans="1:14">
      <c r="A786" t="str">
        <f t="shared" si="24"/>
        <v>5.재고과다/재고부족_재고일수GPTINV_DIO2013</v>
      </c>
      <c r="B786" t="str">
        <f t="shared" si="25"/>
        <v>5.재고과다/재고부족_재고일수GPTINV_DIO201306</v>
      </c>
      <c r="F786" t="s">
        <v>264</v>
      </c>
      <c r="G786" t="s">
        <v>309</v>
      </c>
      <c r="H786" t="s">
        <v>307</v>
      </c>
      <c r="I786" t="s">
        <v>240</v>
      </c>
      <c r="J786" t="s">
        <v>247</v>
      </c>
      <c r="K786" t="s">
        <v>180</v>
      </c>
      <c r="L786">
        <v>28.337332512952202</v>
      </c>
      <c r="M786" t="s">
        <v>318</v>
      </c>
      <c r="N786" t="s">
        <v>318</v>
      </c>
    </row>
    <row r="787" spans="1:14">
      <c r="A787" t="str">
        <f t="shared" si="24"/>
        <v>5.재고과다/재고부족_재고일수GPTINV_DIO2013</v>
      </c>
      <c r="B787" t="str">
        <f t="shared" si="25"/>
        <v>5.재고과다/재고부족_재고일수GPTINV_DIO201307</v>
      </c>
      <c r="F787" t="s">
        <v>264</v>
      </c>
      <c r="G787" t="s">
        <v>309</v>
      </c>
      <c r="H787" t="s">
        <v>307</v>
      </c>
      <c r="I787" t="s">
        <v>240</v>
      </c>
      <c r="J787" t="s">
        <v>248</v>
      </c>
      <c r="K787" t="s">
        <v>180</v>
      </c>
      <c r="L787">
        <v>33.645373712407803</v>
      </c>
      <c r="M787" t="s">
        <v>318</v>
      </c>
      <c r="N787" t="s">
        <v>318</v>
      </c>
    </row>
    <row r="788" spans="1:14">
      <c r="A788" t="str">
        <f t="shared" si="24"/>
        <v>5.재고과다/재고부족_재고일수GPTINV_DIO2013</v>
      </c>
      <c r="B788" t="str">
        <f t="shared" si="25"/>
        <v>5.재고과다/재고부족_재고일수GPTINV_DIO201308</v>
      </c>
      <c r="F788" t="s">
        <v>264</v>
      </c>
      <c r="G788" t="s">
        <v>309</v>
      </c>
      <c r="H788" t="s">
        <v>307</v>
      </c>
      <c r="I788" t="s">
        <v>240</v>
      </c>
      <c r="J788" t="s">
        <v>249</v>
      </c>
      <c r="K788" t="s">
        <v>180</v>
      </c>
      <c r="L788">
        <v>24.335270749909999</v>
      </c>
      <c r="M788" t="s">
        <v>318</v>
      </c>
      <c r="N788" t="s">
        <v>318</v>
      </c>
    </row>
    <row r="789" spans="1:14">
      <c r="A789" t="str">
        <f t="shared" si="24"/>
        <v>5.재고과다/재고부족_재고일수GPTINV_DIO2013</v>
      </c>
      <c r="B789" t="str">
        <f t="shared" si="25"/>
        <v>5.재고과다/재고부족_재고일수GPTINV_DIO201309</v>
      </c>
      <c r="F789" t="s">
        <v>264</v>
      </c>
      <c r="G789" t="s">
        <v>309</v>
      </c>
      <c r="H789" t="s">
        <v>307</v>
      </c>
      <c r="I789" t="s">
        <v>240</v>
      </c>
      <c r="J789" t="s">
        <v>250</v>
      </c>
      <c r="K789" t="s">
        <v>180</v>
      </c>
      <c r="L789">
        <v>10.569032966136</v>
      </c>
      <c r="M789" t="s">
        <v>318</v>
      </c>
      <c r="N789" t="s">
        <v>318</v>
      </c>
    </row>
    <row r="790" spans="1:14">
      <c r="A790" t="str">
        <f t="shared" si="24"/>
        <v>5.재고과다/재고부족_재고일수GPTINV_DIO2013</v>
      </c>
      <c r="B790" t="str">
        <f t="shared" si="25"/>
        <v>5.재고과다/재고부족_재고일수GPTINV_DIO201310</v>
      </c>
      <c r="F790" t="s">
        <v>264</v>
      </c>
      <c r="G790" t="s">
        <v>309</v>
      </c>
      <c r="H790" t="s">
        <v>307</v>
      </c>
      <c r="I790" t="s">
        <v>240</v>
      </c>
      <c r="J790" t="s">
        <v>251</v>
      </c>
      <c r="K790" t="s">
        <v>180</v>
      </c>
      <c r="L790">
        <v>12.7172394454736</v>
      </c>
      <c r="M790" t="s">
        <v>318</v>
      </c>
      <c r="N790" t="s">
        <v>318</v>
      </c>
    </row>
    <row r="791" spans="1:14">
      <c r="A791" t="str">
        <f t="shared" si="24"/>
        <v>5.재고과다/재고부족_재고일수GPTINV_DIO2013</v>
      </c>
      <c r="B791" t="str">
        <f t="shared" si="25"/>
        <v>5.재고과다/재고부족_재고일수GPTINV_DIO201311</v>
      </c>
      <c r="F791" t="s">
        <v>264</v>
      </c>
      <c r="G791" t="s">
        <v>309</v>
      </c>
      <c r="H791" t="s">
        <v>307</v>
      </c>
      <c r="I791" t="s">
        <v>240</v>
      </c>
      <c r="J791" t="s">
        <v>252</v>
      </c>
      <c r="K791" t="s">
        <v>180</v>
      </c>
      <c r="L791">
        <v>20.1802779557073</v>
      </c>
      <c r="M791" t="s">
        <v>318</v>
      </c>
      <c r="N791" t="s">
        <v>318</v>
      </c>
    </row>
    <row r="792" spans="1:14">
      <c r="A792" t="str">
        <f t="shared" si="24"/>
        <v>5.재고과다/재고부족_재고일수GPTINV_DIO2013</v>
      </c>
      <c r="B792" t="str">
        <f t="shared" si="25"/>
        <v>5.재고과다/재고부족_재고일수GPTINV_DIO201312</v>
      </c>
      <c r="F792" t="s">
        <v>264</v>
      </c>
      <c r="G792" t="s">
        <v>309</v>
      </c>
      <c r="H792" t="s">
        <v>307</v>
      </c>
      <c r="I792" t="s">
        <v>240</v>
      </c>
      <c r="J792" t="s">
        <v>253</v>
      </c>
      <c r="K792" t="s">
        <v>180</v>
      </c>
      <c r="L792">
        <v>14.7728013475097</v>
      </c>
      <c r="M792" t="s">
        <v>318</v>
      </c>
      <c r="N792" t="s">
        <v>318</v>
      </c>
    </row>
    <row r="793" spans="1:14">
      <c r="A793" t="str">
        <f t="shared" si="24"/>
        <v>5.재고과다/재고부족_재고일수GPTINV_DIO2014</v>
      </c>
      <c r="B793" t="str">
        <f t="shared" si="25"/>
        <v>5.재고과다/재고부족_재고일수GPTINV_DIO201400</v>
      </c>
      <c r="F793" t="s">
        <v>264</v>
      </c>
      <c r="G793" t="s">
        <v>309</v>
      </c>
      <c r="H793" t="s">
        <v>307</v>
      </c>
      <c r="I793" t="s">
        <v>254</v>
      </c>
      <c r="J793" t="s">
        <v>255</v>
      </c>
      <c r="K793" t="s">
        <v>180</v>
      </c>
      <c r="M793" t="s">
        <v>318</v>
      </c>
      <c r="N793" t="s">
        <v>318</v>
      </c>
    </row>
    <row r="794" spans="1:14">
      <c r="A794" t="str">
        <f t="shared" si="24"/>
        <v>5.재고과다/재고부족_재고일수GPTINV_DIO2014</v>
      </c>
      <c r="B794" t="str">
        <f t="shared" si="25"/>
        <v>5.재고과다/재고부족_재고일수GPTINV_DIO201401</v>
      </c>
      <c r="F794" t="s">
        <v>264</v>
      </c>
      <c r="G794" t="s">
        <v>309</v>
      </c>
      <c r="H794" t="s">
        <v>307</v>
      </c>
      <c r="I794" t="s">
        <v>254</v>
      </c>
      <c r="J794" t="s">
        <v>22</v>
      </c>
      <c r="K794" t="s">
        <v>180</v>
      </c>
      <c r="L794">
        <v>25.389608330054902</v>
      </c>
      <c r="M794" t="s">
        <v>318</v>
      </c>
      <c r="N794" t="s">
        <v>318</v>
      </c>
    </row>
    <row r="795" spans="1:14">
      <c r="A795" t="str">
        <f t="shared" si="24"/>
        <v>5.재고과다/재고부족_재고일수GPTINV_DIO2014</v>
      </c>
      <c r="B795" t="str">
        <f t="shared" si="25"/>
        <v>5.재고과다/재고부족_재고일수GPTINV_DIO201402</v>
      </c>
      <c r="F795" t="s">
        <v>264</v>
      </c>
      <c r="G795" t="s">
        <v>309</v>
      </c>
      <c r="H795" t="s">
        <v>307</v>
      </c>
      <c r="I795" t="s">
        <v>254</v>
      </c>
      <c r="J795" t="s">
        <v>23</v>
      </c>
      <c r="K795" t="s">
        <v>180</v>
      </c>
      <c r="L795">
        <v>30.897638202493599</v>
      </c>
      <c r="M795" t="s">
        <v>318</v>
      </c>
      <c r="N795" t="s">
        <v>318</v>
      </c>
    </row>
    <row r="796" spans="1:14">
      <c r="A796" t="str">
        <f t="shared" si="24"/>
        <v>5.재고과다/재고부족_재고일수GPTINV_DIO2014</v>
      </c>
      <c r="B796" t="str">
        <f t="shared" si="25"/>
        <v>5.재고과다/재고부족_재고일수GPTINV_DIO201403</v>
      </c>
      <c r="F796" t="s">
        <v>264</v>
      </c>
      <c r="G796" t="s">
        <v>309</v>
      </c>
      <c r="H796" t="s">
        <v>307</v>
      </c>
      <c r="I796" t="s">
        <v>254</v>
      </c>
      <c r="J796" t="s">
        <v>24</v>
      </c>
      <c r="K796" t="s">
        <v>180</v>
      </c>
      <c r="L796">
        <v>27.039971718459402</v>
      </c>
      <c r="M796" t="s">
        <v>318</v>
      </c>
      <c r="N796" t="s">
        <v>318</v>
      </c>
    </row>
    <row r="797" spans="1:14">
      <c r="A797" t="str">
        <f t="shared" si="24"/>
        <v>5.재고과다/재고부족_재고일수GPTINV_DIO2014</v>
      </c>
      <c r="B797" t="str">
        <f t="shared" si="25"/>
        <v>5.재고과다/재고부족_재고일수GPTINV_DIO201404</v>
      </c>
      <c r="F797" t="s">
        <v>264</v>
      </c>
      <c r="G797" t="s">
        <v>309</v>
      </c>
      <c r="H797" t="s">
        <v>307</v>
      </c>
      <c r="I797" t="s">
        <v>254</v>
      </c>
      <c r="J797" t="s">
        <v>25</v>
      </c>
      <c r="K797" t="s">
        <v>180</v>
      </c>
      <c r="L797">
        <v>17.776006821377301</v>
      </c>
      <c r="M797" t="s">
        <v>318</v>
      </c>
      <c r="N797" t="s">
        <v>318</v>
      </c>
    </row>
    <row r="798" spans="1:14">
      <c r="A798" t="str">
        <f t="shared" si="24"/>
        <v>5.재고과다/재고부족_재고일수GPTINV_DIO2014</v>
      </c>
      <c r="B798" t="str">
        <f t="shared" si="25"/>
        <v>5.재고과다/재고부족_재고일수GPTINV_DIO201405</v>
      </c>
      <c r="F798" t="s">
        <v>264</v>
      </c>
      <c r="G798" t="s">
        <v>309</v>
      </c>
      <c r="H798" t="s">
        <v>307</v>
      </c>
      <c r="I798" t="s">
        <v>254</v>
      </c>
      <c r="J798" t="s">
        <v>26</v>
      </c>
      <c r="K798" t="s">
        <v>180</v>
      </c>
      <c r="L798">
        <v>30.830601536084899</v>
      </c>
      <c r="M798" t="s">
        <v>318</v>
      </c>
      <c r="N798" t="s">
        <v>318</v>
      </c>
    </row>
    <row r="799" spans="1:14">
      <c r="A799" t="str">
        <f t="shared" si="24"/>
        <v>5.재고과다/재고부족_재고일수GPTINV_DIO2014</v>
      </c>
      <c r="B799" t="str">
        <f t="shared" si="25"/>
        <v>5.재고과다/재고부족_재고일수GPTINV_DIO201406</v>
      </c>
      <c r="F799" t="s">
        <v>264</v>
      </c>
      <c r="G799" t="s">
        <v>309</v>
      </c>
      <c r="H799" t="s">
        <v>307</v>
      </c>
      <c r="I799" t="s">
        <v>254</v>
      </c>
      <c r="J799" t="s">
        <v>27</v>
      </c>
      <c r="K799" t="s">
        <v>180</v>
      </c>
      <c r="L799">
        <v>35.448179929097599</v>
      </c>
      <c r="M799" t="s">
        <v>318</v>
      </c>
      <c r="N799" t="s">
        <v>318</v>
      </c>
    </row>
    <row r="800" spans="1:14">
      <c r="A800" t="str">
        <f t="shared" si="24"/>
        <v>5.재고과다/재고부족_재고일수GPTINV_DIO2014</v>
      </c>
      <c r="B800" t="str">
        <f t="shared" si="25"/>
        <v>5.재고과다/재고부족_재고일수GPTINV_DIO201407</v>
      </c>
      <c r="F800" t="s">
        <v>264</v>
      </c>
      <c r="G800" t="s">
        <v>309</v>
      </c>
      <c r="H800" t="s">
        <v>307</v>
      </c>
      <c r="I800" t="s">
        <v>254</v>
      </c>
      <c r="J800" t="s">
        <v>28</v>
      </c>
      <c r="K800" t="s">
        <v>180</v>
      </c>
      <c r="L800">
        <v>36.501178794822302</v>
      </c>
      <c r="M800" t="s">
        <v>318</v>
      </c>
      <c r="N800" t="s">
        <v>318</v>
      </c>
    </row>
    <row r="801" spans="1:14">
      <c r="A801" t="str">
        <f t="shared" si="24"/>
        <v>5.재고과다/재고부족_재고일수GPTINV_DIO2014</v>
      </c>
      <c r="B801" t="str">
        <f t="shared" si="25"/>
        <v>5.재고과다/재고부족_재고일수GPTINV_DIO201408</v>
      </c>
      <c r="F801" t="s">
        <v>264</v>
      </c>
      <c r="G801" t="s">
        <v>309</v>
      </c>
      <c r="H801" t="s">
        <v>307</v>
      </c>
      <c r="I801" t="s">
        <v>254</v>
      </c>
      <c r="J801" t="s">
        <v>29</v>
      </c>
      <c r="K801" t="s">
        <v>180</v>
      </c>
      <c r="L801">
        <v>27.012113481192301</v>
      </c>
      <c r="M801" t="s">
        <v>318</v>
      </c>
      <c r="N801" t="s">
        <v>318</v>
      </c>
    </row>
    <row r="802" spans="1:14">
      <c r="A802" t="str">
        <f t="shared" si="24"/>
        <v>5.재고과다/재고부족_재고일수GPTINV_DIO2014</v>
      </c>
      <c r="B802" t="str">
        <f t="shared" si="25"/>
        <v>5.재고과다/재고부족_재고일수GPTINV_DIO201409</v>
      </c>
      <c r="F802" t="s">
        <v>264</v>
      </c>
      <c r="G802" t="s">
        <v>309</v>
      </c>
      <c r="H802" t="s">
        <v>307</v>
      </c>
      <c r="I802" t="s">
        <v>254</v>
      </c>
      <c r="J802" t="s">
        <v>30</v>
      </c>
      <c r="K802" t="s">
        <v>180</v>
      </c>
      <c r="L802">
        <v>14.186285890783701</v>
      </c>
      <c r="M802" t="s">
        <v>318</v>
      </c>
      <c r="N802" t="s">
        <v>318</v>
      </c>
    </row>
    <row r="803" spans="1:14">
      <c r="A803" t="str">
        <f t="shared" si="24"/>
        <v>5.재고과다/재고부족_재고일수GPTINV_DIO2014</v>
      </c>
      <c r="B803" t="str">
        <f t="shared" si="25"/>
        <v>5.재고과다/재고부족_재고일수GPTINV_DIO201410</v>
      </c>
      <c r="F803" t="s">
        <v>264</v>
      </c>
      <c r="G803" t="s">
        <v>309</v>
      </c>
      <c r="H803" t="s">
        <v>307</v>
      </c>
      <c r="I803" t="s">
        <v>254</v>
      </c>
      <c r="J803" t="s">
        <v>31</v>
      </c>
      <c r="K803" t="s">
        <v>180</v>
      </c>
      <c r="L803">
        <v>16.274830037055398</v>
      </c>
      <c r="M803" t="s">
        <v>318</v>
      </c>
      <c r="N803" t="s">
        <v>318</v>
      </c>
    </row>
    <row r="804" spans="1:14">
      <c r="A804" t="str">
        <f t="shared" si="24"/>
        <v>5.재고과다/재고부족_재고일수GPTINV_DIO2014</v>
      </c>
      <c r="B804" t="str">
        <f t="shared" si="25"/>
        <v>5.재고과다/재고부족_재고일수GPTINV_DIO201411</v>
      </c>
      <c r="F804" t="s">
        <v>264</v>
      </c>
      <c r="G804" t="s">
        <v>309</v>
      </c>
      <c r="H804" t="s">
        <v>307</v>
      </c>
      <c r="I804" t="s">
        <v>254</v>
      </c>
      <c r="J804" t="s">
        <v>32</v>
      </c>
      <c r="K804" t="s">
        <v>180</v>
      </c>
      <c r="L804">
        <v>30.366197765554698</v>
      </c>
      <c r="M804" t="s">
        <v>318</v>
      </c>
      <c r="N804" t="s">
        <v>318</v>
      </c>
    </row>
    <row r="805" spans="1:14">
      <c r="A805" t="str">
        <f t="shared" si="24"/>
        <v>5.재고과다/재고부족_재고일수GPTINV_DIO2014</v>
      </c>
      <c r="B805" t="str">
        <f t="shared" si="25"/>
        <v>5.재고과다/재고부족_재고일수GPTINV_DIO201412</v>
      </c>
      <c r="F805" t="s">
        <v>264</v>
      </c>
      <c r="G805" t="s">
        <v>309</v>
      </c>
      <c r="H805" t="s">
        <v>307</v>
      </c>
      <c r="I805" t="s">
        <v>254</v>
      </c>
      <c r="J805" t="s">
        <v>33</v>
      </c>
      <c r="K805" t="s">
        <v>180</v>
      </c>
      <c r="L805">
        <v>300.86272888627099</v>
      </c>
      <c r="M805" t="s">
        <v>318</v>
      </c>
      <c r="N805" t="s">
        <v>318</v>
      </c>
    </row>
    <row r="806" spans="1:14">
      <c r="A806" t="str">
        <f t="shared" si="24"/>
        <v>5.재고과다/재고부족_재고일수GPTINV_DIO2015</v>
      </c>
      <c r="B806" t="str">
        <f t="shared" si="25"/>
        <v>5.재고과다/재고부족_재고일수GPTINV_DIO201500</v>
      </c>
      <c r="F806" t="s">
        <v>264</v>
      </c>
      <c r="G806" t="s">
        <v>309</v>
      </c>
      <c r="H806" t="s">
        <v>307</v>
      </c>
      <c r="I806" t="s">
        <v>260</v>
      </c>
      <c r="J806" t="s">
        <v>261</v>
      </c>
      <c r="K806" t="s">
        <v>180</v>
      </c>
      <c r="M806" t="s">
        <v>318</v>
      </c>
      <c r="N806" t="s">
        <v>318</v>
      </c>
    </row>
    <row r="807" spans="1:14">
      <c r="A807" t="str">
        <f t="shared" si="24"/>
        <v>5.재고과다/재고부족_재고일수GPTINV_DIO2015</v>
      </c>
      <c r="B807" t="str">
        <f t="shared" si="25"/>
        <v>5.재고과다/재고부족_재고일수GPTINV_DIO201501</v>
      </c>
      <c r="F807" t="s">
        <v>264</v>
      </c>
      <c r="G807" t="s">
        <v>309</v>
      </c>
      <c r="H807" t="s">
        <v>307</v>
      </c>
      <c r="I807" t="s">
        <v>260</v>
      </c>
      <c r="J807" t="s">
        <v>34</v>
      </c>
      <c r="K807" t="s">
        <v>180</v>
      </c>
      <c r="L807">
        <v>64.462408747598303</v>
      </c>
      <c r="M807" t="s">
        <v>318</v>
      </c>
      <c r="N807" t="s">
        <v>318</v>
      </c>
    </row>
    <row r="808" spans="1:14">
      <c r="A808" t="str">
        <f t="shared" si="24"/>
        <v>5.재고과다/재고부족_재고일수GPTINV_DIO2015</v>
      </c>
      <c r="B808" t="str">
        <f t="shared" si="25"/>
        <v>5.재고과다/재고부족_재고일수GPTINV_DIO201502</v>
      </c>
      <c r="F808" t="s">
        <v>264</v>
      </c>
      <c r="G808" t="s">
        <v>309</v>
      </c>
      <c r="H808" t="s">
        <v>307</v>
      </c>
      <c r="I808" t="s">
        <v>260</v>
      </c>
      <c r="J808" t="s">
        <v>35</v>
      </c>
      <c r="K808" t="s">
        <v>180</v>
      </c>
      <c r="L808">
        <v>66.332758102471104</v>
      </c>
      <c r="M808" t="s">
        <v>318</v>
      </c>
      <c r="N808" t="s">
        <v>318</v>
      </c>
    </row>
    <row r="809" spans="1:14">
      <c r="A809" t="str">
        <f t="shared" si="24"/>
        <v>5.재고과다/재고부족_재고일수GPTINV_DIO2015</v>
      </c>
      <c r="B809" t="str">
        <f t="shared" si="25"/>
        <v>5.재고과다/재고부족_재고일수GPTINV_DIO201503</v>
      </c>
      <c r="F809" t="s">
        <v>264</v>
      </c>
      <c r="G809" t="s">
        <v>309</v>
      </c>
      <c r="H809" t="s">
        <v>307</v>
      </c>
      <c r="I809" t="s">
        <v>260</v>
      </c>
      <c r="J809" t="s">
        <v>36</v>
      </c>
      <c r="K809" t="s">
        <v>180</v>
      </c>
      <c r="L809">
        <v>66.169455500637198</v>
      </c>
      <c r="M809" t="s">
        <v>318</v>
      </c>
      <c r="N809" t="s">
        <v>318</v>
      </c>
    </row>
    <row r="810" spans="1:14">
      <c r="A810" t="str">
        <f t="shared" si="24"/>
        <v>5.재고과다/재고부족_재고일수GPTINV_DIO2015</v>
      </c>
      <c r="B810" t="str">
        <f t="shared" si="25"/>
        <v>5.재고과다/재고부족_재고일수GPTINV_DIO201504</v>
      </c>
      <c r="F810" t="s">
        <v>264</v>
      </c>
      <c r="G810" t="s">
        <v>309</v>
      </c>
      <c r="H810" t="s">
        <v>307</v>
      </c>
      <c r="I810" t="s">
        <v>260</v>
      </c>
      <c r="J810" t="s">
        <v>37</v>
      </c>
      <c r="K810" t="s">
        <v>180</v>
      </c>
      <c r="L810">
        <v>76.381798695247198</v>
      </c>
      <c r="M810" t="s">
        <v>318</v>
      </c>
      <c r="N810" t="s">
        <v>318</v>
      </c>
    </row>
    <row r="811" spans="1:14">
      <c r="A811" t="str">
        <f t="shared" si="24"/>
        <v>5.재고과다/재고부족_재고일수GPTINV_DIO2015</v>
      </c>
      <c r="B811" t="str">
        <f t="shared" si="25"/>
        <v>5.재고과다/재고부족_재고일수GPTINV_DIO201505</v>
      </c>
      <c r="F811" t="s">
        <v>264</v>
      </c>
      <c r="G811" t="s">
        <v>309</v>
      </c>
      <c r="H811" t="s">
        <v>307</v>
      </c>
      <c r="I811" t="s">
        <v>260</v>
      </c>
      <c r="J811" t="s">
        <v>38</v>
      </c>
      <c r="K811" t="s">
        <v>180</v>
      </c>
      <c r="L811">
        <v>79.0198290451426</v>
      </c>
      <c r="M811" t="s">
        <v>318</v>
      </c>
      <c r="N811" t="s">
        <v>318</v>
      </c>
    </row>
    <row r="812" spans="1:14">
      <c r="A812" t="str">
        <f t="shared" si="24"/>
        <v>5.재고과다/재고부족_재고일수GPTINV_DIO2015</v>
      </c>
      <c r="B812" t="str">
        <f t="shared" si="25"/>
        <v>5.재고과다/재고부족_재고일수GPTINV_DIO201506</v>
      </c>
      <c r="F812" t="s">
        <v>264</v>
      </c>
      <c r="G812" t="s">
        <v>309</v>
      </c>
      <c r="H812" t="s">
        <v>307</v>
      </c>
      <c r="I812" t="s">
        <v>260</v>
      </c>
      <c r="J812" t="s">
        <v>39</v>
      </c>
      <c r="K812" t="s">
        <v>180</v>
      </c>
      <c r="L812">
        <v>26.1726767163094</v>
      </c>
      <c r="M812" t="s">
        <v>318</v>
      </c>
      <c r="N812" t="s">
        <v>318</v>
      </c>
    </row>
    <row r="813" spans="1:14">
      <c r="A813" t="str">
        <f t="shared" si="24"/>
        <v>5.재고과다/재고부족_재고일수GPTINV_DIO2015</v>
      </c>
      <c r="B813" t="str">
        <f t="shared" si="25"/>
        <v>5.재고과다/재고부족_재고일수GPTINV_DIO201507</v>
      </c>
      <c r="F813" t="s">
        <v>264</v>
      </c>
      <c r="G813" t="s">
        <v>309</v>
      </c>
      <c r="H813" t="s">
        <v>307</v>
      </c>
      <c r="I813" t="s">
        <v>260</v>
      </c>
      <c r="J813" t="s">
        <v>40</v>
      </c>
      <c r="K813" t="s">
        <v>180</v>
      </c>
      <c r="L813">
        <v>42.310128671976202</v>
      </c>
      <c r="M813" t="s">
        <v>318</v>
      </c>
      <c r="N813" t="s">
        <v>318</v>
      </c>
    </row>
    <row r="814" spans="1:14">
      <c r="A814" t="str">
        <f t="shared" si="24"/>
        <v>5.재고과다/재고부족_재고일수GPTINV_DIO2015</v>
      </c>
      <c r="B814" t="str">
        <f t="shared" si="25"/>
        <v>5.재고과다/재고부족_재고일수GPTINV_DIO201508</v>
      </c>
      <c r="F814" t="s">
        <v>264</v>
      </c>
      <c r="G814" t="s">
        <v>309</v>
      </c>
      <c r="H814" t="s">
        <v>307</v>
      </c>
      <c r="I814" t="s">
        <v>260</v>
      </c>
      <c r="J814" t="s">
        <v>41</v>
      </c>
      <c r="K814" t="s">
        <v>180</v>
      </c>
      <c r="L814">
        <v>22.5709213104758</v>
      </c>
      <c r="M814" t="s">
        <v>318</v>
      </c>
      <c r="N814" t="s">
        <v>318</v>
      </c>
    </row>
    <row r="815" spans="1:14">
      <c r="A815" t="str">
        <f t="shared" si="24"/>
        <v>5.재고과다/재고부족_재고일수GPTINV_DIO2015</v>
      </c>
      <c r="B815" t="str">
        <f t="shared" si="25"/>
        <v>5.재고과다/재고부족_재고일수GPTINV_DIO201509</v>
      </c>
      <c r="F815" t="s">
        <v>264</v>
      </c>
      <c r="G815" t="s">
        <v>309</v>
      </c>
      <c r="H815" t="s">
        <v>307</v>
      </c>
      <c r="I815" t="s">
        <v>260</v>
      </c>
      <c r="J815" t="s">
        <v>42</v>
      </c>
      <c r="K815" t="s">
        <v>180</v>
      </c>
      <c r="L815">
        <v>34.326149529006003</v>
      </c>
      <c r="M815" t="s">
        <v>318</v>
      </c>
      <c r="N815" t="s">
        <v>318</v>
      </c>
    </row>
    <row r="816" spans="1:14">
      <c r="A816" t="str">
        <f t="shared" si="24"/>
        <v>5.재고과다/재고부족_재고일수GPTINV_DIO2015</v>
      </c>
      <c r="B816" t="str">
        <f t="shared" si="25"/>
        <v>5.재고과다/재고부족_재고일수GPTINV_DIO201510</v>
      </c>
      <c r="F816" t="s">
        <v>264</v>
      </c>
      <c r="G816" t="s">
        <v>309</v>
      </c>
      <c r="H816" t="s">
        <v>307</v>
      </c>
      <c r="I816" t="s">
        <v>260</v>
      </c>
      <c r="J816" t="s">
        <v>1</v>
      </c>
      <c r="K816" t="s">
        <v>180</v>
      </c>
      <c r="L816">
        <v>13.287403970978</v>
      </c>
      <c r="M816" t="s">
        <v>318</v>
      </c>
      <c r="N816" t="s">
        <v>318</v>
      </c>
    </row>
    <row r="817" spans="1:14">
      <c r="A817" t="str">
        <f t="shared" si="24"/>
        <v>5.재고과다/재고부족_재고일수GTTINV_DIO2012</v>
      </c>
      <c r="B817" t="str">
        <f t="shared" si="25"/>
        <v>5.재고과다/재고부족_재고일수GTTINV_DIO201200</v>
      </c>
      <c r="F817" t="s">
        <v>264</v>
      </c>
      <c r="G817" t="s">
        <v>15</v>
      </c>
      <c r="H817" t="s">
        <v>307</v>
      </c>
      <c r="I817" t="s">
        <v>226</v>
      </c>
      <c r="J817" t="s">
        <v>262</v>
      </c>
      <c r="K817" t="s">
        <v>180</v>
      </c>
      <c r="M817" t="s">
        <v>68</v>
      </c>
      <c r="N817" t="s">
        <v>59</v>
      </c>
    </row>
    <row r="818" spans="1:14">
      <c r="A818" t="str">
        <f t="shared" si="24"/>
        <v>5.재고과다/재고부족_재고일수GTTINV_DIO2012</v>
      </c>
      <c r="B818" t="str">
        <f t="shared" si="25"/>
        <v>5.재고과다/재고부족_재고일수GTTINV_DIO201201</v>
      </c>
      <c r="F818" t="s">
        <v>264</v>
      </c>
      <c r="G818" t="s">
        <v>15</v>
      </c>
      <c r="H818" t="s">
        <v>307</v>
      </c>
      <c r="I818" t="s">
        <v>226</v>
      </c>
      <c r="J818" t="s">
        <v>227</v>
      </c>
      <c r="K818" t="s">
        <v>180</v>
      </c>
      <c r="L818">
        <v>35.672142133847203</v>
      </c>
      <c r="M818" t="s">
        <v>68</v>
      </c>
      <c r="N818" t="s">
        <v>59</v>
      </c>
    </row>
    <row r="819" spans="1:14">
      <c r="A819" t="str">
        <f t="shared" si="24"/>
        <v>5.재고과다/재고부족_재고일수GTTINV_DIO2012</v>
      </c>
      <c r="B819" t="str">
        <f t="shared" si="25"/>
        <v>5.재고과다/재고부족_재고일수GTTINV_DIO201202</v>
      </c>
      <c r="F819" t="s">
        <v>264</v>
      </c>
      <c r="G819" t="s">
        <v>15</v>
      </c>
      <c r="H819" t="s">
        <v>307</v>
      </c>
      <c r="I819" t="s">
        <v>226</v>
      </c>
      <c r="J819" t="s">
        <v>229</v>
      </c>
      <c r="K819" t="s">
        <v>180</v>
      </c>
      <c r="L819">
        <v>26.467140266471901</v>
      </c>
      <c r="M819" t="s">
        <v>68</v>
      </c>
      <c r="N819" t="s">
        <v>59</v>
      </c>
    </row>
    <row r="820" spans="1:14">
      <c r="A820" t="str">
        <f t="shared" si="24"/>
        <v>5.재고과다/재고부족_재고일수GTTINV_DIO2012</v>
      </c>
      <c r="B820" t="str">
        <f t="shared" si="25"/>
        <v>5.재고과다/재고부족_재고일수GTTINV_DIO201203</v>
      </c>
      <c r="F820" t="s">
        <v>264</v>
      </c>
      <c r="G820" t="s">
        <v>15</v>
      </c>
      <c r="H820" t="s">
        <v>307</v>
      </c>
      <c r="I820" t="s">
        <v>226</v>
      </c>
      <c r="J820" t="s">
        <v>230</v>
      </c>
      <c r="K820" t="s">
        <v>180</v>
      </c>
      <c r="L820">
        <v>26.059071937697102</v>
      </c>
      <c r="M820" t="s">
        <v>68</v>
      </c>
      <c r="N820" t="s">
        <v>59</v>
      </c>
    </row>
    <row r="821" spans="1:14">
      <c r="A821" t="str">
        <f t="shared" si="24"/>
        <v>5.재고과다/재고부족_재고일수GTTINV_DIO2012</v>
      </c>
      <c r="B821" t="str">
        <f t="shared" si="25"/>
        <v>5.재고과다/재고부족_재고일수GTTINV_DIO201204</v>
      </c>
      <c r="F821" t="s">
        <v>264</v>
      </c>
      <c r="G821" t="s">
        <v>15</v>
      </c>
      <c r="H821" t="s">
        <v>307</v>
      </c>
      <c r="I821" t="s">
        <v>226</v>
      </c>
      <c r="J821" t="s">
        <v>231</v>
      </c>
      <c r="K821" t="s">
        <v>180</v>
      </c>
      <c r="L821">
        <v>28.013781471600101</v>
      </c>
      <c r="M821" t="s">
        <v>68</v>
      </c>
      <c r="N821" t="s">
        <v>59</v>
      </c>
    </row>
    <row r="822" spans="1:14">
      <c r="A822" t="str">
        <f t="shared" si="24"/>
        <v>5.재고과다/재고부족_재고일수GTTINV_DIO2012</v>
      </c>
      <c r="B822" t="str">
        <f t="shared" si="25"/>
        <v>5.재고과다/재고부족_재고일수GTTINV_DIO201205</v>
      </c>
      <c r="F822" t="s">
        <v>264</v>
      </c>
      <c r="G822" t="s">
        <v>15</v>
      </c>
      <c r="H822" t="s">
        <v>307</v>
      </c>
      <c r="I822" t="s">
        <v>226</v>
      </c>
      <c r="J822" t="s">
        <v>232</v>
      </c>
      <c r="K822" t="s">
        <v>180</v>
      </c>
      <c r="L822">
        <v>27.5719127786314</v>
      </c>
      <c r="M822" t="s">
        <v>68</v>
      </c>
      <c r="N822" t="s">
        <v>59</v>
      </c>
    </row>
    <row r="823" spans="1:14">
      <c r="A823" t="str">
        <f t="shared" si="24"/>
        <v>5.재고과다/재고부족_재고일수GTTINV_DIO2012</v>
      </c>
      <c r="B823" t="str">
        <f t="shared" si="25"/>
        <v>5.재고과다/재고부족_재고일수GTTINV_DIO201206</v>
      </c>
      <c r="F823" t="s">
        <v>264</v>
      </c>
      <c r="G823" t="s">
        <v>15</v>
      </c>
      <c r="H823" t="s">
        <v>307</v>
      </c>
      <c r="I823" t="s">
        <v>226</v>
      </c>
      <c r="J823" t="s">
        <v>233</v>
      </c>
      <c r="K823" t="s">
        <v>180</v>
      </c>
      <c r="L823">
        <v>15.4299707457634</v>
      </c>
      <c r="M823" t="s">
        <v>68</v>
      </c>
      <c r="N823" t="s">
        <v>59</v>
      </c>
    </row>
    <row r="824" spans="1:14">
      <c r="A824" t="str">
        <f t="shared" si="24"/>
        <v>5.재고과다/재고부족_재고일수GTTINV_DIO2012</v>
      </c>
      <c r="B824" t="str">
        <f t="shared" si="25"/>
        <v>5.재고과다/재고부족_재고일수GTTINV_DIO201207</v>
      </c>
      <c r="F824" t="s">
        <v>264</v>
      </c>
      <c r="G824" t="s">
        <v>15</v>
      </c>
      <c r="H824" t="s">
        <v>307</v>
      </c>
      <c r="I824" t="s">
        <v>226</v>
      </c>
      <c r="J824" t="s">
        <v>234</v>
      </c>
      <c r="K824" t="s">
        <v>180</v>
      </c>
      <c r="L824">
        <v>20.580015529258901</v>
      </c>
      <c r="M824" t="s">
        <v>68</v>
      </c>
      <c r="N824" t="s">
        <v>59</v>
      </c>
    </row>
    <row r="825" spans="1:14">
      <c r="A825" t="str">
        <f t="shared" si="24"/>
        <v>5.재고과다/재고부족_재고일수GTTINV_DIO2012</v>
      </c>
      <c r="B825" t="str">
        <f t="shared" si="25"/>
        <v>5.재고과다/재고부족_재고일수GTTINV_DIO201208</v>
      </c>
      <c r="F825" t="s">
        <v>264</v>
      </c>
      <c r="G825" t="s">
        <v>15</v>
      </c>
      <c r="H825" t="s">
        <v>307</v>
      </c>
      <c r="I825" t="s">
        <v>226</v>
      </c>
      <c r="J825" t="s">
        <v>235</v>
      </c>
      <c r="K825" t="s">
        <v>180</v>
      </c>
      <c r="L825">
        <v>25.3148636117844</v>
      </c>
      <c r="M825" t="s">
        <v>68</v>
      </c>
      <c r="N825" t="s">
        <v>59</v>
      </c>
    </row>
    <row r="826" spans="1:14">
      <c r="A826" t="str">
        <f t="shared" si="24"/>
        <v>5.재고과다/재고부족_재고일수GTTINV_DIO2012</v>
      </c>
      <c r="B826" t="str">
        <f t="shared" si="25"/>
        <v>5.재고과다/재고부족_재고일수GTTINV_DIO201209</v>
      </c>
      <c r="F826" t="s">
        <v>264</v>
      </c>
      <c r="G826" t="s">
        <v>15</v>
      </c>
      <c r="H826" t="s">
        <v>307</v>
      </c>
      <c r="I826" t="s">
        <v>226</v>
      </c>
      <c r="J826" t="s">
        <v>236</v>
      </c>
      <c r="K826" t="s">
        <v>180</v>
      </c>
      <c r="L826">
        <v>20.498020232114001</v>
      </c>
      <c r="M826" t="s">
        <v>68</v>
      </c>
      <c r="N826" t="s">
        <v>59</v>
      </c>
    </row>
    <row r="827" spans="1:14">
      <c r="A827" t="str">
        <f t="shared" si="24"/>
        <v>5.재고과다/재고부족_재고일수GTTINV_DIO2012</v>
      </c>
      <c r="B827" t="str">
        <f t="shared" si="25"/>
        <v>5.재고과다/재고부족_재고일수GTTINV_DIO201210</v>
      </c>
      <c r="F827" t="s">
        <v>264</v>
      </c>
      <c r="G827" t="s">
        <v>15</v>
      </c>
      <c r="H827" t="s">
        <v>307</v>
      </c>
      <c r="I827" t="s">
        <v>226</v>
      </c>
      <c r="J827" t="s">
        <v>237</v>
      </c>
      <c r="K827" t="s">
        <v>180</v>
      </c>
      <c r="L827">
        <v>16.924796534135002</v>
      </c>
      <c r="M827" t="s">
        <v>68</v>
      </c>
      <c r="N827" t="s">
        <v>59</v>
      </c>
    </row>
    <row r="828" spans="1:14">
      <c r="A828" t="str">
        <f t="shared" si="24"/>
        <v>5.재고과다/재고부족_재고일수GTTINV_DIO2012</v>
      </c>
      <c r="B828" t="str">
        <f t="shared" si="25"/>
        <v>5.재고과다/재고부족_재고일수GTTINV_DIO201211</v>
      </c>
      <c r="F828" t="s">
        <v>264</v>
      </c>
      <c r="G828" t="s">
        <v>15</v>
      </c>
      <c r="H828" t="s">
        <v>307</v>
      </c>
      <c r="I828" t="s">
        <v>226</v>
      </c>
      <c r="J828" t="s">
        <v>238</v>
      </c>
      <c r="K828" t="s">
        <v>180</v>
      </c>
      <c r="L828">
        <v>34.751784647677503</v>
      </c>
      <c r="M828" t="s">
        <v>68</v>
      </c>
      <c r="N828" t="s">
        <v>59</v>
      </c>
    </row>
    <row r="829" spans="1:14">
      <c r="A829" t="str">
        <f t="shared" si="24"/>
        <v>5.재고과다/재고부족_재고일수GTTINV_DIO2012</v>
      </c>
      <c r="B829" t="str">
        <f t="shared" si="25"/>
        <v>5.재고과다/재고부족_재고일수GTTINV_DIO201212</v>
      </c>
      <c r="F829" t="s">
        <v>264</v>
      </c>
      <c r="G829" t="s">
        <v>15</v>
      </c>
      <c r="H829" t="s">
        <v>307</v>
      </c>
      <c r="I829" t="s">
        <v>226</v>
      </c>
      <c r="J829" t="s">
        <v>239</v>
      </c>
      <c r="K829" t="s">
        <v>180</v>
      </c>
      <c r="L829">
        <v>27.419570965624001</v>
      </c>
      <c r="M829" t="s">
        <v>68</v>
      </c>
      <c r="N829" t="s">
        <v>59</v>
      </c>
    </row>
    <row r="830" spans="1:14">
      <c r="A830" t="str">
        <f t="shared" si="24"/>
        <v>5.재고과다/재고부족_재고일수GTTINV_DIO2013</v>
      </c>
      <c r="B830" t="str">
        <f t="shared" si="25"/>
        <v>5.재고과다/재고부족_재고일수GTTINV_DIO201300</v>
      </c>
      <c r="F830" t="s">
        <v>264</v>
      </c>
      <c r="G830" t="s">
        <v>15</v>
      </c>
      <c r="H830" t="s">
        <v>307</v>
      </c>
      <c r="I830" t="s">
        <v>240</v>
      </c>
      <c r="J830" t="s">
        <v>241</v>
      </c>
      <c r="K830" t="s">
        <v>180</v>
      </c>
      <c r="M830" t="s">
        <v>68</v>
      </c>
      <c r="N830" t="s">
        <v>59</v>
      </c>
    </row>
    <row r="831" spans="1:14">
      <c r="A831" t="str">
        <f t="shared" si="24"/>
        <v>5.재고과다/재고부족_재고일수GTTINV_DIO2013</v>
      </c>
      <c r="B831" t="str">
        <f t="shared" si="25"/>
        <v>5.재고과다/재고부족_재고일수GTTINV_DIO201301</v>
      </c>
      <c r="F831" t="s">
        <v>264</v>
      </c>
      <c r="G831" t="s">
        <v>15</v>
      </c>
      <c r="H831" t="s">
        <v>307</v>
      </c>
      <c r="I831" t="s">
        <v>240</v>
      </c>
      <c r="J831" t="s">
        <v>242</v>
      </c>
      <c r="K831" t="s">
        <v>180</v>
      </c>
      <c r="L831">
        <v>36.618139375650301</v>
      </c>
      <c r="M831" t="s">
        <v>68</v>
      </c>
      <c r="N831" t="s">
        <v>59</v>
      </c>
    </row>
    <row r="832" spans="1:14">
      <c r="A832" t="str">
        <f t="shared" si="24"/>
        <v>5.재고과다/재고부족_재고일수GTTINV_DIO2013</v>
      </c>
      <c r="B832" t="str">
        <f t="shared" si="25"/>
        <v>5.재고과다/재고부족_재고일수GTTINV_DIO201302</v>
      </c>
      <c r="F832" t="s">
        <v>264</v>
      </c>
      <c r="G832" t="s">
        <v>15</v>
      </c>
      <c r="H832" t="s">
        <v>307</v>
      </c>
      <c r="I832" t="s">
        <v>240</v>
      </c>
      <c r="J832" t="s">
        <v>243</v>
      </c>
      <c r="K832" t="s">
        <v>180</v>
      </c>
      <c r="L832">
        <v>36.883480292501503</v>
      </c>
      <c r="M832" t="s">
        <v>68</v>
      </c>
      <c r="N832" t="s">
        <v>59</v>
      </c>
    </row>
    <row r="833" spans="1:14">
      <c r="A833" t="str">
        <f t="shared" si="24"/>
        <v>5.재고과다/재고부족_재고일수GTTINV_DIO2013</v>
      </c>
      <c r="B833" t="str">
        <f t="shared" si="25"/>
        <v>5.재고과다/재고부족_재고일수GTTINV_DIO201303</v>
      </c>
      <c r="F833" t="s">
        <v>264</v>
      </c>
      <c r="G833" t="s">
        <v>15</v>
      </c>
      <c r="H833" t="s">
        <v>307</v>
      </c>
      <c r="I833" t="s">
        <v>240</v>
      </c>
      <c r="J833" t="s">
        <v>244</v>
      </c>
      <c r="K833" t="s">
        <v>180</v>
      </c>
      <c r="L833">
        <v>28.162127157925799</v>
      </c>
      <c r="M833" t="s">
        <v>68</v>
      </c>
      <c r="N833" t="s">
        <v>59</v>
      </c>
    </row>
    <row r="834" spans="1:14">
      <c r="A834" t="str">
        <f t="shared" si="24"/>
        <v>5.재고과다/재고부족_재고일수GTTINV_DIO2013</v>
      </c>
      <c r="B834" t="str">
        <f t="shared" si="25"/>
        <v>5.재고과다/재고부족_재고일수GTTINV_DIO201304</v>
      </c>
      <c r="F834" t="s">
        <v>264</v>
      </c>
      <c r="G834" t="s">
        <v>15</v>
      </c>
      <c r="H834" t="s">
        <v>307</v>
      </c>
      <c r="I834" t="s">
        <v>240</v>
      </c>
      <c r="J834" t="s">
        <v>245</v>
      </c>
      <c r="K834" t="s">
        <v>180</v>
      </c>
      <c r="L834">
        <v>38.365226777142603</v>
      </c>
      <c r="M834" t="s">
        <v>68</v>
      </c>
      <c r="N834" t="s">
        <v>59</v>
      </c>
    </row>
    <row r="835" spans="1:14">
      <c r="A835" t="str">
        <f t="shared" si="24"/>
        <v>5.재고과다/재고부족_재고일수GTTINV_DIO2013</v>
      </c>
      <c r="B835" t="str">
        <f t="shared" si="25"/>
        <v>5.재고과다/재고부족_재고일수GTTINV_DIO201305</v>
      </c>
      <c r="F835" t="s">
        <v>264</v>
      </c>
      <c r="G835" t="s">
        <v>15</v>
      </c>
      <c r="H835" t="s">
        <v>307</v>
      </c>
      <c r="I835" t="s">
        <v>240</v>
      </c>
      <c r="J835" t="s">
        <v>246</v>
      </c>
      <c r="K835" t="s">
        <v>180</v>
      </c>
      <c r="L835">
        <v>39.843390914202303</v>
      </c>
      <c r="M835" t="s">
        <v>68</v>
      </c>
      <c r="N835" t="s">
        <v>59</v>
      </c>
    </row>
    <row r="836" spans="1:14">
      <c r="A836" t="str">
        <f t="shared" si="24"/>
        <v>5.재고과다/재고부족_재고일수GTTINV_DIO2013</v>
      </c>
      <c r="B836" t="str">
        <f t="shared" si="25"/>
        <v>5.재고과다/재고부족_재고일수GTTINV_DIO201306</v>
      </c>
      <c r="F836" t="s">
        <v>264</v>
      </c>
      <c r="G836" t="s">
        <v>15</v>
      </c>
      <c r="H836" t="s">
        <v>307</v>
      </c>
      <c r="I836" t="s">
        <v>240</v>
      </c>
      <c r="J836" t="s">
        <v>247</v>
      </c>
      <c r="K836" t="s">
        <v>180</v>
      </c>
      <c r="L836">
        <v>38.535358114585797</v>
      </c>
      <c r="M836" t="s">
        <v>68</v>
      </c>
      <c r="N836" t="s">
        <v>59</v>
      </c>
    </row>
    <row r="837" spans="1:14">
      <c r="A837" t="str">
        <f t="shared" si="24"/>
        <v>5.재고과다/재고부족_재고일수GTTINV_DIO2013</v>
      </c>
      <c r="B837" t="str">
        <f t="shared" si="25"/>
        <v>5.재고과다/재고부족_재고일수GTTINV_DIO201307</v>
      </c>
      <c r="F837" t="s">
        <v>264</v>
      </c>
      <c r="G837" t="s">
        <v>15</v>
      </c>
      <c r="H837" t="s">
        <v>307</v>
      </c>
      <c r="I837" t="s">
        <v>240</v>
      </c>
      <c r="J837" t="s">
        <v>248</v>
      </c>
      <c r="K837" t="s">
        <v>180</v>
      </c>
      <c r="L837">
        <v>30.5761818597373</v>
      </c>
      <c r="M837" t="s">
        <v>68</v>
      </c>
      <c r="N837" t="s">
        <v>59</v>
      </c>
    </row>
    <row r="838" spans="1:14">
      <c r="A838" t="str">
        <f t="shared" si="24"/>
        <v>5.재고과다/재고부족_재고일수GTTINV_DIO2013</v>
      </c>
      <c r="B838" t="str">
        <f t="shared" si="25"/>
        <v>5.재고과다/재고부족_재고일수GTTINV_DIO201308</v>
      </c>
      <c r="F838" t="s">
        <v>264</v>
      </c>
      <c r="G838" t="s">
        <v>15</v>
      </c>
      <c r="H838" t="s">
        <v>307</v>
      </c>
      <c r="I838" t="s">
        <v>240</v>
      </c>
      <c r="J838" t="s">
        <v>249</v>
      </c>
      <c r="K838" t="s">
        <v>180</v>
      </c>
      <c r="L838">
        <v>31.432137686452599</v>
      </c>
      <c r="M838" t="s">
        <v>68</v>
      </c>
      <c r="N838" t="s">
        <v>59</v>
      </c>
    </row>
    <row r="839" spans="1:14">
      <c r="A839" t="str">
        <f t="shared" ref="A839:A902" si="26">F839&amp;G839&amp;K839&amp;I839</f>
        <v>5.재고과다/재고부족_재고일수GTTINV_DIO2013</v>
      </c>
      <c r="B839" t="str">
        <f t="shared" ref="B839:B902" si="27">F839&amp;G839&amp;K839&amp;J839</f>
        <v>5.재고과다/재고부족_재고일수GTTINV_DIO201309</v>
      </c>
      <c r="F839" t="s">
        <v>264</v>
      </c>
      <c r="G839" t="s">
        <v>15</v>
      </c>
      <c r="H839" t="s">
        <v>307</v>
      </c>
      <c r="I839" t="s">
        <v>240</v>
      </c>
      <c r="J839" t="s">
        <v>250</v>
      </c>
      <c r="K839" t="s">
        <v>180</v>
      </c>
      <c r="L839">
        <v>31.587918428361998</v>
      </c>
      <c r="M839" t="s">
        <v>68</v>
      </c>
      <c r="N839" t="s">
        <v>59</v>
      </c>
    </row>
    <row r="840" spans="1:14">
      <c r="A840" t="str">
        <f t="shared" si="26"/>
        <v>5.재고과다/재고부족_재고일수GTTINV_DIO2013</v>
      </c>
      <c r="B840" t="str">
        <f t="shared" si="27"/>
        <v>5.재고과다/재고부족_재고일수GTTINV_DIO201310</v>
      </c>
      <c r="F840" t="s">
        <v>264</v>
      </c>
      <c r="G840" t="s">
        <v>15</v>
      </c>
      <c r="H840" t="s">
        <v>307</v>
      </c>
      <c r="I840" t="s">
        <v>240</v>
      </c>
      <c r="J840" t="s">
        <v>251</v>
      </c>
      <c r="K840" t="s">
        <v>180</v>
      </c>
      <c r="L840">
        <v>29.704735269519698</v>
      </c>
      <c r="M840" t="s">
        <v>68</v>
      </c>
      <c r="N840" t="s">
        <v>59</v>
      </c>
    </row>
    <row r="841" spans="1:14">
      <c r="A841" t="str">
        <f t="shared" si="26"/>
        <v>5.재고과다/재고부족_재고일수GTTINV_DIO2013</v>
      </c>
      <c r="B841" t="str">
        <f t="shared" si="27"/>
        <v>5.재고과다/재고부족_재고일수GTTINV_DIO201311</v>
      </c>
      <c r="F841" t="s">
        <v>264</v>
      </c>
      <c r="G841" t="s">
        <v>15</v>
      </c>
      <c r="H841" t="s">
        <v>307</v>
      </c>
      <c r="I841" t="s">
        <v>240</v>
      </c>
      <c r="J841" t="s">
        <v>252</v>
      </c>
      <c r="K841" t="s">
        <v>180</v>
      </c>
      <c r="L841">
        <v>31.2583303828422</v>
      </c>
      <c r="M841" t="s">
        <v>68</v>
      </c>
      <c r="N841" t="s">
        <v>59</v>
      </c>
    </row>
    <row r="842" spans="1:14">
      <c r="A842" t="str">
        <f t="shared" si="26"/>
        <v>5.재고과다/재고부족_재고일수GTTINV_DIO2013</v>
      </c>
      <c r="B842" t="str">
        <f t="shared" si="27"/>
        <v>5.재고과다/재고부족_재고일수GTTINV_DIO201312</v>
      </c>
      <c r="F842" t="s">
        <v>264</v>
      </c>
      <c r="G842" t="s">
        <v>15</v>
      </c>
      <c r="H842" t="s">
        <v>307</v>
      </c>
      <c r="I842" t="s">
        <v>240</v>
      </c>
      <c r="J842" t="s">
        <v>253</v>
      </c>
      <c r="K842" t="s">
        <v>180</v>
      </c>
      <c r="L842">
        <v>20.8204791286025</v>
      </c>
      <c r="M842" t="s">
        <v>68</v>
      </c>
      <c r="N842" t="s">
        <v>59</v>
      </c>
    </row>
    <row r="843" spans="1:14">
      <c r="A843" t="str">
        <f t="shared" si="26"/>
        <v>5.재고과다/재고부족_재고일수GTTINV_DIO2014</v>
      </c>
      <c r="B843" t="str">
        <f t="shared" si="27"/>
        <v>5.재고과다/재고부족_재고일수GTTINV_DIO201400</v>
      </c>
      <c r="F843" t="s">
        <v>264</v>
      </c>
      <c r="G843" t="s">
        <v>15</v>
      </c>
      <c r="H843" t="s">
        <v>307</v>
      </c>
      <c r="I843" t="s">
        <v>254</v>
      </c>
      <c r="J843" t="s">
        <v>255</v>
      </c>
      <c r="K843" t="s">
        <v>180</v>
      </c>
      <c r="M843" t="s">
        <v>68</v>
      </c>
      <c r="N843" t="s">
        <v>59</v>
      </c>
    </row>
    <row r="844" spans="1:14">
      <c r="A844" t="str">
        <f t="shared" si="26"/>
        <v>5.재고과다/재고부족_재고일수GTTINV_DIO2014</v>
      </c>
      <c r="B844" t="str">
        <f t="shared" si="27"/>
        <v>5.재고과다/재고부족_재고일수GTTINV_DIO201401</v>
      </c>
      <c r="F844" t="s">
        <v>264</v>
      </c>
      <c r="G844" t="s">
        <v>15</v>
      </c>
      <c r="H844" t="s">
        <v>307</v>
      </c>
      <c r="I844" t="s">
        <v>254</v>
      </c>
      <c r="J844" t="s">
        <v>22</v>
      </c>
      <c r="K844" t="s">
        <v>180</v>
      </c>
      <c r="L844">
        <v>31.014192574564099</v>
      </c>
      <c r="M844" t="s">
        <v>68</v>
      </c>
      <c r="N844" t="s">
        <v>59</v>
      </c>
    </row>
    <row r="845" spans="1:14">
      <c r="A845" t="str">
        <f t="shared" si="26"/>
        <v>5.재고과다/재고부족_재고일수GTTINV_DIO2014</v>
      </c>
      <c r="B845" t="str">
        <f t="shared" si="27"/>
        <v>5.재고과다/재고부족_재고일수GTTINV_DIO201402</v>
      </c>
      <c r="F845" t="s">
        <v>264</v>
      </c>
      <c r="G845" t="s">
        <v>15</v>
      </c>
      <c r="H845" t="s">
        <v>307</v>
      </c>
      <c r="I845" t="s">
        <v>254</v>
      </c>
      <c r="J845" t="s">
        <v>23</v>
      </c>
      <c r="K845" t="s">
        <v>180</v>
      </c>
      <c r="L845">
        <v>24.537421369767198</v>
      </c>
      <c r="M845" t="s">
        <v>68</v>
      </c>
      <c r="N845" t="s">
        <v>59</v>
      </c>
    </row>
    <row r="846" spans="1:14">
      <c r="A846" t="str">
        <f t="shared" si="26"/>
        <v>5.재고과다/재고부족_재고일수GTTINV_DIO2014</v>
      </c>
      <c r="B846" t="str">
        <f t="shared" si="27"/>
        <v>5.재고과다/재고부족_재고일수GTTINV_DIO201403</v>
      </c>
      <c r="F846" t="s">
        <v>264</v>
      </c>
      <c r="G846" t="s">
        <v>15</v>
      </c>
      <c r="H846" t="s">
        <v>307</v>
      </c>
      <c r="I846" t="s">
        <v>254</v>
      </c>
      <c r="J846" t="s">
        <v>24</v>
      </c>
      <c r="K846" t="s">
        <v>180</v>
      </c>
      <c r="L846">
        <v>22.427281607795301</v>
      </c>
      <c r="M846" t="s">
        <v>68</v>
      </c>
      <c r="N846" t="s">
        <v>59</v>
      </c>
    </row>
    <row r="847" spans="1:14">
      <c r="A847" t="str">
        <f t="shared" si="26"/>
        <v>5.재고과다/재고부족_재고일수GTTINV_DIO2014</v>
      </c>
      <c r="B847" t="str">
        <f t="shared" si="27"/>
        <v>5.재고과다/재고부족_재고일수GTTINV_DIO201404</v>
      </c>
      <c r="F847" t="s">
        <v>264</v>
      </c>
      <c r="G847" t="s">
        <v>15</v>
      </c>
      <c r="H847" t="s">
        <v>307</v>
      </c>
      <c r="I847" t="s">
        <v>254</v>
      </c>
      <c r="J847" t="s">
        <v>25</v>
      </c>
      <c r="K847" t="s">
        <v>180</v>
      </c>
      <c r="L847">
        <v>32.045682583341303</v>
      </c>
      <c r="M847" t="s">
        <v>68</v>
      </c>
      <c r="N847" t="s">
        <v>59</v>
      </c>
    </row>
    <row r="848" spans="1:14">
      <c r="A848" t="str">
        <f t="shared" si="26"/>
        <v>5.재고과다/재고부족_재고일수GTTINV_DIO2014</v>
      </c>
      <c r="B848" t="str">
        <f t="shared" si="27"/>
        <v>5.재고과다/재고부족_재고일수GTTINV_DIO201405</v>
      </c>
      <c r="F848" t="s">
        <v>264</v>
      </c>
      <c r="G848" t="s">
        <v>15</v>
      </c>
      <c r="H848" t="s">
        <v>307</v>
      </c>
      <c r="I848" t="s">
        <v>254</v>
      </c>
      <c r="J848" t="s">
        <v>26</v>
      </c>
      <c r="K848" t="s">
        <v>180</v>
      </c>
      <c r="L848">
        <v>44.221687910696801</v>
      </c>
      <c r="M848" t="s">
        <v>68</v>
      </c>
      <c r="N848" t="s">
        <v>59</v>
      </c>
    </row>
    <row r="849" spans="1:14">
      <c r="A849" t="str">
        <f t="shared" si="26"/>
        <v>5.재고과다/재고부족_재고일수GTTINV_DIO2014</v>
      </c>
      <c r="B849" t="str">
        <f t="shared" si="27"/>
        <v>5.재고과다/재고부족_재고일수GTTINV_DIO201406</v>
      </c>
      <c r="F849" t="s">
        <v>264</v>
      </c>
      <c r="G849" t="s">
        <v>15</v>
      </c>
      <c r="H849" t="s">
        <v>307</v>
      </c>
      <c r="I849" t="s">
        <v>254</v>
      </c>
      <c r="J849" t="s">
        <v>27</v>
      </c>
      <c r="K849" t="s">
        <v>180</v>
      </c>
      <c r="L849">
        <v>50.919575295108899</v>
      </c>
      <c r="M849" t="s">
        <v>68</v>
      </c>
      <c r="N849" t="s">
        <v>59</v>
      </c>
    </row>
    <row r="850" spans="1:14">
      <c r="A850" t="str">
        <f t="shared" si="26"/>
        <v>5.재고과다/재고부족_재고일수GTTINV_DIO2014</v>
      </c>
      <c r="B850" t="str">
        <f t="shared" si="27"/>
        <v>5.재고과다/재고부족_재고일수GTTINV_DIO201407</v>
      </c>
      <c r="F850" t="s">
        <v>264</v>
      </c>
      <c r="G850" t="s">
        <v>15</v>
      </c>
      <c r="H850" t="s">
        <v>307</v>
      </c>
      <c r="I850" t="s">
        <v>254</v>
      </c>
      <c r="J850" t="s">
        <v>28</v>
      </c>
      <c r="K850" t="s">
        <v>180</v>
      </c>
      <c r="L850">
        <v>38.8017283245767</v>
      </c>
      <c r="M850" t="s">
        <v>68</v>
      </c>
      <c r="N850" t="s">
        <v>59</v>
      </c>
    </row>
    <row r="851" spans="1:14">
      <c r="A851" t="str">
        <f t="shared" si="26"/>
        <v>5.재고과다/재고부족_재고일수GTTINV_DIO2014</v>
      </c>
      <c r="B851" t="str">
        <f t="shared" si="27"/>
        <v>5.재고과다/재고부족_재고일수GTTINV_DIO201408</v>
      </c>
      <c r="F851" t="s">
        <v>264</v>
      </c>
      <c r="G851" t="s">
        <v>15</v>
      </c>
      <c r="H851" t="s">
        <v>307</v>
      </c>
      <c r="I851" t="s">
        <v>254</v>
      </c>
      <c r="J851" t="s">
        <v>29</v>
      </c>
      <c r="K851" t="s">
        <v>180</v>
      </c>
      <c r="L851">
        <v>30.517101812385299</v>
      </c>
      <c r="M851" t="s">
        <v>68</v>
      </c>
      <c r="N851" t="s">
        <v>59</v>
      </c>
    </row>
    <row r="852" spans="1:14">
      <c r="A852" t="str">
        <f t="shared" si="26"/>
        <v>5.재고과다/재고부족_재고일수GTTINV_DIO2014</v>
      </c>
      <c r="B852" t="str">
        <f t="shared" si="27"/>
        <v>5.재고과다/재고부족_재고일수GTTINV_DIO201409</v>
      </c>
      <c r="F852" t="s">
        <v>264</v>
      </c>
      <c r="G852" t="s">
        <v>15</v>
      </c>
      <c r="H852" t="s">
        <v>307</v>
      </c>
      <c r="I852" t="s">
        <v>254</v>
      </c>
      <c r="J852" t="s">
        <v>30</v>
      </c>
      <c r="K852" t="s">
        <v>180</v>
      </c>
      <c r="L852">
        <v>19.411064982612999</v>
      </c>
      <c r="M852" t="s">
        <v>68</v>
      </c>
      <c r="N852" t="s">
        <v>59</v>
      </c>
    </row>
    <row r="853" spans="1:14">
      <c r="A853" t="str">
        <f t="shared" si="26"/>
        <v>5.재고과다/재고부족_재고일수GTTINV_DIO2014</v>
      </c>
      <c r="B853" t="str">
        <f t="shared" si="27"/>
        <v>5.재고과다/재고부족_재고일수GTTINV_DIO201410</v>
      </c>
      <c r="F853" t="s">
        <v>264</v>
      </c>
      <c r="G853" t="s">
        <v>15</v>
      </c>
      <c r="H853" t="s">
        <v>307</v>
      </c>
      <c r="I853" t="s">
        <v>254</v>
      </c>
      <c r="J853" t="s">
        <v>31</v>
      </c>
      <c r="K853" t="s">
        <v>180</v>
      </c>
      <c r="L853">
        <v>12.284862828832599</v>
      </c>
      <c r="M853" t="s">
        <v>68</v>
      </c>
      <c r="N853" t="s">
        <v>59</v>
      </c>
    </row>
    <row r="854" spans="1:14">
      <c r="A854" t="str">
        <f t="shared" si="26"/>
        <v>5.재고과다/재고부족_재고일수GTTINV_DIO2014</v>
      </c>
      <c r="B854" t="str">
        <f t="shared" si="27"/>
        <v>5.재고과다/재고부족_재고일수GTTINV_DIO201411</v>
      </c>
      <c r="F854" t="s">
        <v>264</v>
      </c>
      <c r="G854" t="s">
        <v>15</v>
      </c>
      <c r="H854" t="s">
        <v>307</v>
      </c>
      <c r="I854" t="s">
        <v>254</v>
      </c>
      <c r="J854" t="s">
        <v>32</v>
      </c>
      <c r="K854" t="s">
        <v>180</v>
      </c>
      <c r="L854">
        <v>25.2707752441544</v>
      </c>
      <c r="M854" t="s">
        <v>68</v>
      </c>
      <c r="N854" t="s">
        <v>59</v>
      </c>
    </row>
    <row r="855" spans="1:14">
      <c r="A855" t="str">
        <f t="shared" si="26"/>
        <v>5.재고과다/재고부족_재고일수GTTINV_DIO2014</v>
      </c>
      <c r="B855" t="str">
        <f t="shared" si="27"/>
        <v>5.재고과다/재고부족_재고일수GTTINV_DIO201412</v>
      </c>
      <c r="F855" t="s">
        <v>264</v>
      </c>
      <c r="G855" t="s">
        <v>15</v>
      </c>
      <c r="H855" t="s">
        <v>307</v>
      </c>
      <c r="I855" t="s">
        <v>254</v>
      </c>
      <c r="J855" t="s">
        <v>33</v>
      </c>
      <c r="K855" t="s">
        <v>180</v>
      </c>
      <c r="L855">
        <v>51.7145012487522</v>
      </c>
      <c r="M855" t="s">
        <v>68</v>
      </c>
      <c r="N855" t="s">
        <v>59</v>
      </c>
    </row>
    <row r="856" spans="1:14">
      <c r="A856" t="str">
        <f t="shared" si="26"/>
        <v>5.재고과다/재고부족_재고일수GTTINV_DIO2015</v>
      </c>
      <c r="B856" t="str">
        <f t="shared" si="27"/>
        <v>5.재고과다/재고부족_재고일수GTTINV_DIO201500</v>
      </c>
      <c r="F856" t="s">
        <v>264</v>
      </c>
      <c r="G856" t="s">
        <v>15</v>
      </c>
      <c r="H856" t="s">
        <v>307</v>
      </c>
      <c r="I856" t="s">
        <v>260</v>
      </c>
      <c r="J856" t="s">
        <v>261</v>
      </c>
      <c r="K856" t="s">
        <v>180</v>
      </c>
      <c r="M856" t="s">
        <v>68</v>
      </c>
      <c r="N856" t="s">
        <v>59</v>
      </c>
    </row>
    <row r="857" spans="1:14">
      <c r="A857" t="str">
        <f t="shared" si="26"/>
        <v>5.재고과다/재고부족_재고일수GTTINV_DIO2015</v>
      </c>
      <c r="B857" t="str">
        <f t="shared" si="27"/>
        <v>5.재고과다/재고부족_재고일수GTTINV_DIO201501</v>
      </c>
      <c r="F857" t="s">
        <v>264</v>
      </c>
      <c r="G857" t="s">
        <v>15</v>
      </c>
      <c r="H857" t="s">
        <v>307</v>
      </c>
      <c r="I857" t="s">
        <v>260</v>
      </c>
      <c r="J857" t="s">
        <v>34</v>
      </c>
      <c r="K857" t="s">
        <v>180</v>
      </c>
      <c r="L857">
        <v>54.4501822583834</v>
      </c>
      <c r="M857" t="s">
        <v>68</v>
      </c>
      <c r="N857" t="s">
        <v>59</v>
      </c>
    </row>
    <row r="858" spans="1:14">
      <c r="A858" t="str">
        <f t="shared" si="26"/>
        <v>5.재고과다/재고부족_재고일수GTTINV_DIO2015</v>
      </c>
      <c r="B858" t="str">
        <f t="shared" si="27"/>
        <v>5.재고과다/재고부족_재고일수GTTINV_DIO201502</v>
      </c>
      <c r="F858" t="s">
        <v>264</v>
      </c>
      <c r="G858" t="s">
        <v>15</v>
      </c>
      <c r="H858" t="s">
        <v>307</v>
      </c>
      <c r="I858" t="s">
        <v>260</v>
      </c>
      <c r="J858" t="s">
        <v>35</v>
      </c>
      <c r="K858" t="s">
        <v>180</v>
      </c>
      <c r="L858">
        <v>51.5987842811154</v>
      </c>
      <c r="M858" t="s">
        <v>68</v>
      </c>
      <c r="N858" t="s">
        <v>59</v>
      </c>
    </row>
    <row r="859" spans="1:14">
      <c r="A859" t="str">
        <f t="shared" si="26"/>
        <v>5.재고과다/재고부족_재고일수GTTINV_DIO2015</v>
      </c>
      <c r="B859" t="str">
        <f t="shared" si="27"/>
        <v>5.재고과다/재고부족_재고일수GTTINV_DIO201503</v>
      </c>
      <c r="F859" t="s">
        <v>264</v>
      </c>
      <c r="G859" t="s">
        <v>15</v>
      </c>
      <c r="H859" t="s">
        <v>307</v>
      </c>
      <c r="I859" t="s">
        <v>260</v>
      </c>
      <c r="J859" t="s">
        <v>36</v>
      </c>
      <c r="K859" t="s">
        <v>180</v>
      </c>
      <c r="L859">
        <v>50.757442803439197</v>
      </c>
      <c r="M859" t="s">
        <v>68</v>
      </c>
      <c r="N859" t="s">
        <v>59</v>
      </c>
    </row>
    <row r="860" spans="1:14">
      <c r="A860" t="str">
        <f t="shared" si="26"/>
        <v>5.재고과다/재고부족_재고일수GTTINV_DIO2015</v>
      </c>
      <c r="B860" t="str">
        <f t="shared" si="27"/>
        <v>5.재고과다/재고부족_재고일수GTTINV_DIO201504</v>
      </c>
      <c r="F860" t="s">
        <v>264</v>
      </c>
      <c r="G860" t="s">
        <v>15</v>
      </c>
      <c r="H860" t="s">
        <v>307</v>
      </c>
      <c r="I860" t="s">
        <v>260</v>
      </c>
      <c r="J860" t="s">
        <v>37</v>
      </c>
      <c r="K860" t="s">
        <v>180</v>
      </c>
      <c r="L860">
        <v>67.430776814198197</v>
      </c>
      <c r="M860" t="s">
        <v>68</v>
      </c>
      <c r="N860" t="s">
        <v>59</v>
      </c>
    </row>
    <row r="861" spans="1:14">
      <c r="A861" t="str">
        <f t="shared" si="26"/>
        <v>5.재고과다/재고부족_재고일수GTTINV_DIO2015</v>
      </c>
      <c r="B861" t="str">
        <f t="shared" si="27"/>
        <v>5.재고과다/재고부족_재고일수GTTINV_DIO201505</v>
      </c>
      <c r="F861" t="s">
        <v>264</v>
      </c>
      <c r="G861" t="s">
        <v>15</v>
      </c>
      <c r="H861" t="s">
        <v>307</v>
      </c>
      <c r="I861" t="s">
        <v>260</v>
      </c>
      <c r="J861" t="s">
        <v>38</v>
      </c>
      <c r="K861" t="s">
        <v>180</v>
      </c>
      <c r="L861">
        <v>51.939854255008399</v>
      </c>
      <c r="M861" t="s">
        <v>68</v>
      </c>
      <c r="N861" t="s">
        <v>59</v>
      </c>
    </row>
    <row r="862" spans="1:14">
      <c r="A862" t="str">
        <f t="shared" si="26"/>
        <v>5.재고과다/재고부족_재고일수GTTINV_DIO2015</v>
      </c>
      <c r="B862" t="str">
        <f t="shared" si="27"/>
        <v>5.재고과다/재고부족_재고일수GTTINV_DIO201506</v>
      </c>
      <c r="F862" t="s">
        <v>264</v>
      </c>
      <c r="G862" t="s">
        <v>15</v>
      </c>
      <c r="H862" t="s">
        <v>307</v>
      </c>
      <c r="I862" t="s">
        <v>260</v>
      </c>
      <c r="J862" t="s">
        <v>39</v>
      </c>
      <c r="K862" t="s">
        <v>180</v>
      </c>
      <c r="L862">
        <v>39.517382293598303</v>
      </c>
      <c r="M862" t="s">
        <v>68</v>
      </c>
      <c r="N862" t="s">
        <v>59</v>
      </c>
    </row>
    <row r="863" spans="1:14">
      <c r="A863" t="str">
        <f t="shared" si="26"/>
        <v>5.재고과다/재고부족_재고일수GTTINV_DIO2015</v>
      </c>
      <c r="B863" t="str">
        <f t="shared" si="27"/>
        <v>5.재고과다/재고부족_재고일수GTTINV_DIO201507</v>
      </c>
      <c r="F863" t="s">
        <v>264</v>
      </c>
      <c r="G863" t="s">
        <v>15</v>
      </c>
      <c r="H863" t="s">
        <v>307</v>
      </c>
      <c r="I863" t="s">
        <v>260</v>
      </c>
      <c r="J863" t="s">
        <v>40</v>
      </c>
      <c r="K863" t="s">
        <v>180</v>
      </c>
      <c r="L863">
        <v>40.654001747869202</v>
      </c>
      <c r="M863" t="s">
        <v>68</v>
      </c>
      <c r="N863" t="s">
        <v>59</v>
      </c>
    </row>
    <row r="864" spans="1:14">
      <c r="A864" t="str">
        <f t="shared" si="26"/>
        <v>5.재고과다/재고부족_재고일수GTTINV_DIO2015</v>
      </c>
      <c r="B864" t="str">
        <f t="shared" si="27"/>
        <v>5.재고과다/재고부족_재고일수GTTINV_DIO201508</v>
      </c>
      <c r="F864" t="s">
        <v>264</v>
      </c>
      <c r="G864" t="s">
        <v>15</v>
      </c>
      <c r="H864" t="s">
        <v>307</v>
      </c>
      <c r="I864" t="s">
        <v>260</v>
      </c>
      <c r="J864" t="s">
        <v>41</v>
      </c>
      <c r="K864" t="s">
        <v>180</v>
      </c>
      <c r="L864">
        <v>33.580222723556197</v>
      </c>
      <c r="M864" t="s">
        <v>68</v>
      </c>
      <c r="N864" t="s">
        <v>59</v>
      </c>
    </row>
    <row r="865" spans="1:14">
      <c r="A865" t="str">
        <f t="shared" si="26"/>
        <v>5.재고과다/재고부족_재고일수GTTINV_DIO2015</v>
      </c>
      <c r="B865" t="str">
        <f t="shared" si="27"/>
        <v>5.재고과다/재고부족_재고일수GTTINV_DIO201509</v>
      </c>
      <c r="F865" t="s">
        <v>264</v>
      </c>
      <c r="G865" t="s">
        <v>15</v>
      </c>
      <c r="H865" t="s">
        <v>307</v>
      </c>
      <c r="I865" t="s">
        <v>260</v>
      </c>
      <c r="J865" t="s">
        <v>42</v>
      </c>
      <c r="K865" t="s">
        <v>180</v>
      </c>
      <c r="L865">
        <v>30.985910940450498</v>
      </c>
      <c r="M865" t="s">
        <v>68</v>
      </c>
      <c r="N865" t="s">
        <v>59</v>
      </c>
    </row>
    <row r="866" spans="1:14">
      <c r="A866" t="str">
        <f t="shared" si="26"/>
        <v>5.재고과다/재고부족_재고일수GTTINV_DIO2015</v>
      </c>
      <c r="B866" t="str">
        <f t="shared" si="27"/>
        <v>5.재고과다/재고부족_재고일수GTTINV_DIO201510</v>
      </c>
      <c r="F866" t="s">
        <v>264</v>
      </c>
      <c r="G866" t="s">
        <v>15</v>
      </c>
      <c r="H866" t="s">
        <v>307</v>
      </c>
      <c r="I866" t="s">
        <v>260</v>
      </c>
      <c r="J866" t="s">
        <v>1</v>
      </c>
      <c r="K866" t="s">
        <v>180</v>
      </c>
      <c r="L866">
        <v>23.765323025255</v>
      </c>
      <c r="M866" t="s">
        <v>68</v>
      </c>
      <c r="N866" t="s">
        <v>59</v>
      </c>
    </row>
    <row r="867" spans="1:14">
      <c r="A867" t="str">
        <f t="shared" si="26"/>
        <v>5.재고과다/재고부족_재고일수MSTINV_DIO2012</v>
      </c>
      <c r="B867" t="str">
        <f t="shared" si="27"/>
        <v>5.재고과다/재고부족_재고일수MSTINV_DIO201200</v>
      </c>
      <c r="F867" t="s">
        <v>264</v>
      </c>
      <c r="G867" t="s">
        <v>16</v>
      </c>
      <c r="H867" t="s">
        <v>307</v>
      </c>
      <c r="I867" t="s">
        <v>226</v>
      </c>
      <c r="J867" t="s">
        <v>262</v>
      </c>
      <c r="K867" t="s">
        <v>180</v>
      </c>
      <c r="M867" t="s">
        <v>69</v>
      </c>
      <c r="N867" t="s">
        <v>61</v>
      </c>
    </row>
    <row r="868" spans="1:14">
      <c r="A868" t="str">
        <f t="shared" si="26"/>
        <v>5.재고과다/재고부족_재고일수MSTINV_DIO2012</v>
      </c>
      <c r="B868" t="str">
        <f t="shared" si="27"/>
        <v>5.재고과다/재고부족_재고일수MSTINV_DIO201201</v>
      </c>
      <c r="F868" t="s">
        <v>264</v>
      </c>
      <c r="G868" t="s">
        <v>16</v>
      </c>
      <c r="H868" t="s">
        <v>307</v>
      </c>
      <c r="I868" t="s">
        <v>226</v>
      </c>
      <c r="J868" t="s">
        <v>227</v>
      </c>
      <c r="K868" t="s">
        <v>180</v>
      </c>
      <c r="L868">
        <v>1.63624491634653</v>
      </c>
      <c r="M868" t="s">
        <v>69</v>
      </c>
      <c r="N868" t="s">
        <v>61</v>
      </c>
    </row>
    <row r="869" spans="1:14">
      <c r="A869" t="str">
        <f t="shared" si="26"/>
        <v>5.재고과다/재고부족_재고일수MSTINV_DIO2012</v>
      </c>
      <c r="B869" t="str">
        <f t="shared" si="27"/>
        <v>5.재고과다/재고부족_재고일수MSTINV_DIO201202</v>
      </c>
      <c r="F869" t="s">
        <v>264</v>
      </c>
      <c r="G869" t="s">
        <v>16</v>
      </c>
      <c r="H869" t="s">
        <v>307</v>
      </c>
      <c r="I869" t="s">
        <v>226</v>
      </c>
      <c r="J869" t="s">
        <v>229</v>
      </c>
      <c r="K869" t="s">
        <v>180</v>
      </c>
      <c r="L869">
        <v>9.0898894148059295</v>
      </c>
      <c r="M869" t="s">
        <v>69</v>
      </c>
      <c r="N869" t="s">
        <v>61</v>
      </c>
    </row>
    <row r="870" spans="1:14">
      <c r="A870" t="str">
        <f t="shared" si="26"/>
        <v>5.재고과다/재고부족_재고일수MSTINV_DIO2012</v>
      </c>
      <c r="B870" t="str">
        <f t="shared" si="27"/>
        <v>5.재고과다/재고부족_재고일수MSTINV_DIO201203</v>
      </c>
      <c r="F870" t="s">
        <v>264</v>
      </c>
      <c r="G870" t="s">
        <v>16</v>
      </c>
      <c r="H870" t="s">
        <v>307</v>
      </c>
      <c r="I870" t="s">
        <v>226</v>
      </c>
      <c r="J870" t="s">
        <v>230</v>
      </c>
      <c r="K870" t="s">
        <v>180</v>
      </c>
      <c r="L870">
        <v>7.6004691353916298</v>
      </c>
      <c r="M870" t="s">
        <v>69</v>
      </c>
      <c r="N870" t="s">
        <v>61</v>
      </c>
    </row>
    <row r="871" spans="1:14">
      <c r="A871" t="str">
        <f t="shared" si="26"/>
        <v>5.재고과다/재고부족_재고일수MSTINV_DIO2012</v>
      </c>
      <c r="B871" t="str">
        <f t="shared" si="27"/>
        <v>5.재고과다/재고부족_재고일수MSTINV_DIO201204</v>
      </c>
      <c r="F871" t="s">
        <v>264</v>
      </c>
      <c r="G871" t="s">
        <v>16</v>
      </c>
      <c r="H871" t="s">
        <v>307</v>
      </c>
      <c r="I871" t="s">
        <v>226</v>
      </c>
      <c r="J871" t="s">
        <v>231</v>
      </c>
      <c r="K871" t="s">
        <v>180</v>
      </c>
      <c r="L871">
        <v>14.9825279507369</v>
      </c>
      <c r="M871" t="s">
        <v>69</v>
      </c>
      <c r="N871" t="s">
        <v>61</v>
      </c>
    </row>
    <row r="872" spans="1:14">
      <c r="A872" t="str">
        <f t="shared" si="26"/>
        <v>5.재고과다/재고부족_재고일수MSTINV_DIO2012</v>
      </c>
      <c r="B872" t="str">
        <f t="shared" si="27"/>
        <v>5.재고과다/재고부족_재고일수MSTINV_DIO201205</v>
      </c>
      <c r="F872" t="s">
        <v>264</v>
      </c>
      <c r="G872" t="s">
        <v>16</v>
      </c>
      <c r="H872" t="s">
        <v>307</v>
      </c>
      <c r="I872" t="s">
        <v>226</v>
      </c>
      <c r="J872" t="s">
        <v>232</v>
      </c>
      <c r="K872" t="s">
        <v>180</v>
      </c>
      <c r="L872">
        <v>12.3599132998266</v>
      </c>
      <c r="M872" t="s">
        <v>69</v>
      </c>
      <c r="N872" t="s">
        <v>61</v>
      </c>
    </row>
    <row r="873" spans="1:14">
      <c r="A873" t="str">
        <f t="shared" si="26"/>
        <v>5.재고과다/재고부족_재고일수MSTINV_DIO2012</v>
      </c>
      <c r="B873" t="str">
        <f t="shared" si="27"/>
        <v>5.재고과다/재고부족_재고일수MSTINV_DIO201206</v>
      </c>
      <c r="F873" t="s">
        <v>264</v>
      </c>
      <c r="G873" t="s">
        <v>16</v>
      </c>
      <c r="H873" t="s">
        <v>307</v>
      </c>
      <c r="I873" t="s">
        <v>226</v>
      </c>
      <c r="J873" t="s">
        <v>233</v>
      </c>
      <c r="K873" t="s">
        <v>180</v>
      </c>
      <c r="L873">
        <v>12.8494170522684</v>
      </c>
      <c r="M873" t="s">
        <v>69</v>
      </c>
      <c r="N873" t="s">
        <v>61</v>
      </c>
    </row>
    <row r="874" spans="1:14">
      <c r="A874" t="str">
        <f t="shared" si="26"/>
        <v>5.재고과다/재고부족_재고일수MSTINV_DIO2012</v>
      </c>
      <c r="B874" t="str">
        <f t="shared" si="27"/>
        <v>5.재고과다/재고부족_재고일수MSTINV_DIO201207</v>
      </c>
      <c r="F874" t="s">
        <v>264</v>
      </c>
      <c r="G874" t="s">
        <v>16</v>
      </c>
      <c r="H874" t="s">
        <v>307</v>
      </c>
      <c r="I874" t="s">
        <v>226</v>
      </c>
      <c r="J874" t="s">
        <v>234</v>
      </c>
      <c r="K874" t="s">
        <v>180</v>
      </c>
      <c r="L874">
        <v>4.66282835690303</v>
      </c>
      <c r="M874" t="s">
        <v>69</v>
      </c>
      <c r="N874" t="s">
        <v>61</v>
      </c>
    </row>
    <row r="875" spans="1:14">
      <c r="A875" t="str">
        <f t="shared" si="26"/>
        <v>5.재고과다/재고부족_재고일수MSTINV_DIO2012</v>
      </c>
      <c r="B875" t="str">
        <f t="shared" si="27"/>
        <v>5.재고과다/재고부족_재고일수MSTINV_DIO201208</v>
      </c>
      <c r="F875" t="s">
        <v>264</v>
      </c>
      <c r="G875" t="s">
        <v>16</v>
      </c>
      <c r="H875" t="s">
        <v>307</v>
      </c>
      <c r="I875" t="s">
        <v>226</v>
      </c>
      <c r="J875" t="s">
        <v>235</v>
      </c>
      <c r="K875" t="s">
        <v>180</v>
      </c>
      <c r="L875">
        <v>16.1630313313008</v>
      </c>
      <c r="M875" t="s">
        <v>69</v>
      </c>
      <c r="N875" t="s">
        <v>61</v>
      </c>
    </row>
    <row r="876" spans="1:14">
      <c r="A876" t="str">
        <f t="shared" si="26"/>
        <v>5.재고과다/재고부족_재고일수MSTINV_DIO2012</v>
      </c>
      <c r="B876" t="str">
        <f t="shared" si="27"/>
        <v>5.재고과다/재고부족_재고일수MSTINV_DIO201209</v>
      </c>
      <c r="F876" t="s">
        <v>264</v>
      </c>
      <c r="G876" t="s">
        <v>16</v>
      </c>
      <c r="H876" t="s">
        <v>307</v>
      </c>
      <c r="I876" t="s">
        <v>226</v>
      </c>
      <c r="J876" t="s">
        <v>236</v>
      </c>
      <c r="K876" t="s">
        <v>180</v>
      </c>
      <c r="L876">
        <v>14.9029539294859</v>
      </c>
      <c r="M876" t="s">
        <v>69</v>
      </c>
      <c r="N876" t="s">
        <v>61</v>
      </c>
    </row>
    <row r="877" spans="1:14">
      <c r="A877" t="str">
        <f t="shared" si="26"/>
        <v>5.재고과다/재고부족_재고일수MSTINV_DIO2012</v>
      </c>
      <c r="B877" t="str">
        <f t="shared" si="27"/>
        <v>5.재고과다/재고부족_재고일수MSTINV_DIO201210</v>
      </c>
      <c r="F877" t="s">
        <v>264</v>
      </c>
      <c r="G877" t="s">
        <v>16</v>
      </c>
      <c r="H877" t="s">
        <v>307</v>
      </c>
      <c r="I877" t="s">
        <v>226</v>
      </c>
      <c r="J877" t="s">
        <v>237</v>
      </c>
      <c r="K877" t="s">
        <v>180</v>
      </c>
      <c r="L877">
        <v>2.9515061361228101</v>
      </c>
      <c r="M877" t="s">
        <v>69</v>
      </c>
      <c r="N877" t="s">
        <v>61</v>
      </c>
    </row>
    <row r="878" spans="1:14">
      <c r="A878" t="str">
        <f t="shared" si="26"/>
        <v>5.재고과다/재고부족_재고일수MSTINV_DIO2012</v>
      </c>
      <c r="B878" t="str">
        <f t="shared" si="27"/>
        <v>5.재고과다/재고부족_재고일수MSTINV_DIO201211</v>
      </c>
      <c r="F878" t="s">
        <v>264</v>
      </c>
      <c r="G878" t="s">
        <v>16</v>
      </c>
      <c r="H878" t="s">
        <v>307</v>
      </c>
      <c r="I878" t="s">
        <v>226</v>
      </c>
      <c r="J878" t="s">
        <v>238</v>
      </c>
      <c r="K878" t="s">
        <v>180</v>
      </c>
      <c r="L878">
        <v>5.0361836394212602</v>
      </c>
      <c r="M878" t="s">
        <v>69</v>
      </c>
      <c r="N878" t="s">
        <v>61</v>
      </c>
    </row>
    <row r="879" spans="1:14">
      <c r="A879" t="str">
        <f t="shared" si="26"/>
        <v>5.재고과다/재고부족_재고일수MSTINV_DIO2012</v>
      </c>
      <c r="B879" t="str">
        <f t="shared" si="27"/>
        <v>5.재고과다/재고부족_재고일수MSTINV_DIO201212</v>
      </c>
      <c r="F879" t="s">
        <v>264</v>
      </c>
      <c r="G879" t="s">
        <v>16</v>
      </c>
      <c r="H879" t="s">
        <v>307</v>
      </c>
      <c r="I879" t="s">
        <v>226</v>
      </c>
      <c r="J879" t="s">
        <v>239</v>
      </c>
      <c r="K879" t="s">
        <v>180</v>
      </c>
      <c r="L879">
        <v>2.8753420070173199</v>
      </c>
      <c r="M879" t="s">
        <v>69</v>
      </c>
      <c r="N879" t="s">
        <v>61</v>
      </c>
    </row>
    <row r="880" spans="1:14">
      <c r="A880" t="str">
        <f t="shared" si="26"/>
        <v>5.재고과다/재고부족_재고일수MSTINV_DIO2013</v>
      </c>
      <c r="B880" t="str">
        <f t="shared" si="27"/>
        <v>5.재고과다/재고부족_재고일수MSTINV_DIO201300</v>
      </c>
      <c r="F880" t="s">
        <v>264</v>
      </c>
      <c r="G880" t="s">
        <v>16</v>
      </c>
      <c r="H880" t="s">
        <v>307</v>
      </c>
      <c r="I880" t="s">
        <v>240</v>
      </c>
      <c r="J880" t="s">
        <v>241</v>
      </c>
      <c r="K880" t="s">
        <v>180</v>
      </c>
      <c r="M880" t="s">
        <v>69</v>
      </c>
      <c r="N880" t="s">
        <v>61</v>
      </c>
    </row>
    <row r="881" spans="1:14">
      <c r="A881" t="str">
        <f t="shared" si="26"/>
        <v>5.재고과다/재고부족_재고일수MSTINV_DIO2013</v>
      </c>
      <c r="B881" t="str">
        <f t="shared" si="27"/>
        <v>5.재고과다/재고부족_재고일수MSTINV_DIO201301</v>
      </c>
      <c r="F881" t="s">
        <v>264</v>
      </c>
      <c r="G881" t="s">
        <v>16</v>
      </c>
      <c r="H881" t="s">
        <v>307</v>
      </c>
      <c r="I881" t="s">
        <v>240</v>
      </c>
      <c r="J881" t="s">
        <v>242</v>
      </c>
      <c r="K881" t="s">
        <v>180</v>
      </c>
      <c r="L881">
        <v>4.4926215165146699</v>
      </c>
      <c r="M881" t="s">
        <v>69</v>
      </c>
      <c r="N881" t="s">
        <v>61</v>
      </c>
    </row>
    <row r="882" spans="1:14">
      <c r="A882" t="str">
        <f t="shared" si="26"/>
        <v>5.재고과다/재고부족_재고일수MSTINV_DIO2013</v>
      </c>
      <c r="B882" t="str">
        <f t="shared" si="27"/>
        <v>5.재고과다/재고부족_재고일수MSTINV_DIO201302</v>
      </c>
      <c r="F882" t="s">
        <v>264</v>
      </c>
      <c r="G882" t="s">
        <v>16</v>
      </c>
      <c r="H882" t="s">
        <v>307</v>
      </c>
      <c r="I882" t="s">
        <v>240</v>
      </c>
      <c r="J882" t="s">
        <v>243</v>
      </c>
      <c r="K882" t="s">
        <v>180</v>
      </c>
      <c r="L882">
        <v>12.620376114400701</v>
      </c>
      <c r="M882" t="s">
        <v>69</v>
      </c>
      <c r="N882" t="s">
        <v>61</v>
      </c>
    </row>
    <row r="883" spans="1:14">
      <c r="A883" t="str">
        <f t="shared" si="26"/>
        <v>5.재고과다/재고부족_재고일수MSTINV_DIO2013</v>
      </c>
      <c r="B883" t="str">
        <f t="shared" si="27"/>
        <v>5.재고과다/재고부족_재고일수MSTINV_DIO201303</v>
      </c>
      <c r="F883" t="s">
        <v>264</v>
      </c>
      <c r="G883" t="s">
        <v>16</v>
      </c>
      <c r="H883" t="s">
        <v>307</v>
      </c>
      <c r="I883" t="s">
        <v>240</v>
      </c>
      <c r="J883" t="s">
        <v>244</v>
      </c>
      <c r="K883" t="s">
        <v>180</v>
      </c>
      <c r="L883">
        <v>1.3589572987496601</v>
      </c>
      <c r="M883" t="s">
        <v>69</v>
      </c>
      <c r="N883" t="s">
        <v>61</v>
      </c>
    </row>
    <row r="884" spans="1:14">
      <c r="A884" t="str">
        <f t="shared" si="26"/>
        <v>5.재고과다/재고부족_재고일수MSTINV_DIO2013</v>
      </c>
      <c r="B884" t="str">
        <f t="shared" si="27"/>
        <v>5.재고과다/재고부족_재고일수MSTINV_DIO201304</v>
      </c>
      <c r="F884" t="s">
        <v>264</v>
      </c>
      <c r="G884" t="s">
        <v>16</v>
      </c>
      <c r="H884" t="s">
        <v>307</v>
      </c>
      <c r="I884" t="s">
        <v>240</v>
      </c>
      <c r="J884" t="s">
        <v>245</v>
      </c>
      <c r="K884" t="s">
        <v>180</v>
      </c>
      <c r="L884">
        <v>19.581065027592299</v>
      </c>
      <c r="M884" t="s">
        <v>69</v>
      </c>
      <c r="N884" t="s">
        <v>61</v>
      </c>
    </row>
    <row r="885" spans="1:14">
      <c r="A885" t="str">
        <f t="shared" si="26"/>
        <v>5.재고과다/재고부족_재고일수MSTINV_DIO2013</v>
      </c>
      <c r="B885" t="str">
        <f t="shared" si="27"/>
        <v>5.재고과다/재고부족_재고일수MSTINV_DIO201305</v>
      </c>
      <c r="F885" t="s">
        <v>264</v>
      </c>
      <c r="G885" t="s">
        <v>16</v>
      </c>
      <c r="H885" t="s">
        <v>307</v>
      </c>
      <c r="I885" t="s">
        <v>240</v>
      </c>
      <c r="J885" t="s">
        <v>246</v>
      </c>
      <c r="K885" t="s">
        <v>180</v>
      </c>
      <c r="L885">
        <v>30.009841005171399</v>
      </c>
      <c r="M885" t="s">
        <v>69</v>
      </c>
      <c r="N885" t="s">
        <v>61</v>
      </c>
    </row>
    <row r="886" spans="1:14">
      <c r="A886" t="str">
        <f t="shared" si="26"/>
        <v>5.재고과다/재고부족_재고일수MSTINV_DIO2013</v>
      </c>
      <c r="B886" t="str">
        <f t="shared" si="27"/>
        <v>5.재고과다/재고부족_재고일수MSTINV_DIO201306</v>
      </c>
      <c r="F886" t="s">
        <v>264</v>
      </c>
      <c r="G886" t="s">
        <v>16</v>
      </c>
      <c r="H886" t="s">
        <v>307</v>
      </c>
      <c r="I886" t="s">
        <v>240</v>
      </c>
      <c r="J886" t="s">
        <v>247</v>
      </c>
      <c r="K886" t="s">
        <v>180</v>
      </c>
      <c r="L886">
        <v>17.6313173552549</v>
      </c>
      <c r="M886" t="s">
        <v>69</v>
      </c>
      <c r="N886" t="s">
        <v>61</v>
      </c>
    </row>
    <row r="887" spans="1:14">
      <c r="A887" t="str">
        <f t="shared" si="26"/>
        <v>5.재고과다/재고부족_재고일수MSTINV_DIO2013</v>
      </c>
      <c r="B887" t="str">
        <f t="shared" si="27"/>
        <v>5.재고과다/재고부족_재고일수MSTINV_DIO201307</v>
      </c>
      <c r="F887" t="s">
        <v>264</v>
      </c>
      <c r="G887" t="s">
        <v>16</v>
      </c>
      <c r="H887" t="s">
        <v>307</v>
      </c>
      <c r="I887" t="s">
        <v>240</v>
      </c>
      <c r="J887" t="s">
        <v>248</v>
      </c>
      <c r="K887" t="s">
        <v>180</v>
      </c>
      <c r="L887">
        <v>9.1668929329028508</v>
      </c>
      <c r="M887" t="s">
        <v>69</v>
      </c>
      <c r="N887" t="s">
        <v>61</v>
      </c>
    </row>
    <row r="888" spans="1:14">
      <c r="A888" t="str">
        <f t="shared" si="26"/>
        <v>5.재고과다/재고부족_재고일수MSTINV_DIO2013</v>
      </c>
      <c r="B888" t="str">
        <f t="shared" si="27"/>
        <v>5.재고과다/재고부족_재고일수MSTINV_DIO201308</v>
      </c>
      <c r="F888" t="s">
        <v>264</v>
      </c>
      <c r="G888" t="s">
        <v>16</v>
      </c>
      <c r="H888" t="s">
        <v>307</v>
      </c>
      <c r="I888" t="s">
        <v>240</v>
      </c>
      <c r="J888" t="s">
        <v>249</v>
      </c>
      <c r="K888" t="s">
        <v>180</v>
      </c>
      <c r="L888">
        <v>3.30967679468008</v>
      </c>
      <c r="M888" t="s">
        <v>69</v>
      </c>
      <c r="N888" t="s">
        <v>61</v>
      </c>
    </row>
    <row r="889" spans="1:14">
      <c r="A889" t="str">
        <f t="shared" si="26"/>
        <v>5.재고과다/재고부족_재고일수MSTINV_DIO2013</v>
      </c>
      <c r="B889" t="str">
        <f t="shared" si="27"/>
        <v>5.재고과다/재고부족_재고일수MSTINV_DIO201309</v>
      </c>
      <c r="F889" t="s">
        <v>264</v>
      </c>
      <c r="G889" t="s">
        <v>16</v>
      </c>
      <c r="H889" t="s">
        <v>307</v>
      </c>
      <c r="I889" t="s">
        <v>240</v>
      </c>
      <c r="J889" t="s">
        <v>250</v>
      </c>
      <c r="K889" t="s">
        <v>180</v>
      </c>
      <c r="L889">
        <v>1.8953827243124799</v>
      </c>
      <c r="M889" t="s">
        <v>69</v>
      </c>
      <c r="N889" t="s">
        <v>61</v>
      </c>
    </row>
    <row r="890" spans="1:14">
      <c r="A890" t="str">
        <f t="shared" si="26"/>
        <v>5.재고과다/재고부족_재고일수MSTINV_DIO2013</v>
      </c>
      <c r="B890" t="str">
        <f t="shared" si="27"/>
        <v>5.재고과다/재고부족_재고일수MSTINV_DIO201310</v>
      </c>
      <c r="F890" t="s">
        <v>264</v>
      </c>
      <c r="G890" t="s">
        <v>16</v>
      </c>
      <c r="H890" t="s">
        <v>307</v>
      </c>
      <c r="I890" t="s">
        <v>240</v>
      </c>
      <c r="J890" t="s">
        <v>251</v>
      </c>
      <c r="K890" t="s">
        <v>180</v>
      </c>
      <c r="L890">
        <v>5.6771140811711396</v>
      </c>
      <c r="M890" t="s">
        <v>69</v>
      </c>
      <c r="N890" t="s">
        <v>61</v>
      </c>
    </row>
    <row r="891" spans="1:14">
      <c r="A891" t="str">
        <f t="shared" si="26"/>
        <v>5.재고과다/재고부족_재고일수MSTINV_DIO2013</v>
      </c>
      <c r="B891" t="str">
        <f t="shared" si="27"/>
        <v>5.재고과다/재고부족_재고일수MSTINV_DIO201311</v>
      </c>
      <c r="F891" t="s">
        <v>264</v>
      </c>
      <c r="G891" t="s">
        <v>16</v>
      </c>
      <c r="H891" t="s">
        <v>307</v>
      </c>
      <c r="I891" t="s">
        <v>240</v>
      </c>
      <c r="J891" t="s">
        <v>252</v>
      </c>
      <c r="K891" t="s">
        <v>180</v>
      </c>
      <c r="L891">
        <v>8.7223236282938004</v>
      </c>
      <c r="M891" t="s">
        <v>69</v>
      </c>
      <c r="N891" t="s">
        <v>61</v>
      </c>
    </row>
    <row r="892" spans="1:14">
      <c r="A892" t="str">
        <f t="shared" si="26"/>
        <v>5.재고과다/재고부족_재고일수MSTINV_DIO2013</v>
      </c>
      <c r="B892" t="str">
        <f t="shared" si="27"/>
        <v>5.재고과다/재고부족_재고일수MSTINV_DIO201312</v>
      </c>
      <c r="F892" t="s">
        <v>264</v>
      </c>
      <c r="G892" t="s">
        <v>16</v>
      </c>
      <c r="H892" t="s">
        <v>307</v>
      </c>
      <c r="I892" t="s">
        <v>240</v>
      </c>
      <c r="J892" t="s">
        <v>253</v>
      </c>
      <c r="K892" t="s">
        <v>180</v>
      </c>
      <c r="L892">
        <v>9.7748049413968801</v>
      </c>
      <c r="M892" t="s">
        <v>69</v>
      </c>
      <c r="N892" t="s">
        <v>61</v>
      </c>
    </row>
    <row r="893" spans="1:14">
      <c r="A893" t="str">
        <f t="shared" si="26"/>
        <v>5.재고과다/재고부족_재고일수MSTINV_DIO2014</v>
      </c>
      <c r="B893" t="str">
        <f t="shared" si="27"/>
        <v>5.재고과다/재고부족_재고일수MSTINV_DIO201400</v>
      </c>
      <c r="F893" t="s">
        <v>264</v>
      </c>
      <c r="G893" t="s">
        <v>16</v>
      </c>
      <c r="H893" t="s">
        <v>307</v>
      </c>
      <c r="I893" t="s">
        <v>254</v>
      </c>
      <c r="J893" t="s">
        <v>255</v>
      </c>
      <c r="K893" t="s">
        <v>180</v>
      </c>
      <c r="M893" t="s">
        <v>69</v>
      </c>
      <c r="N893" t="s">
        <v>61</v>
      </c>
    </row>
    <row r="894" spans="1:14">
      <c r="A894" t="str">
        <f t="shared" si="26"/>
        <v>5.재고과다/재고부족_재고일수MSTINV_DIO2014</v>
      </c>
      <c r="B894" t="str">
        <f t="shared" si="27"/>
        <v>5.재고과다/재고부족_재고일수MSTINV_DIO201401</v>
      </c>
      <c r="F894" t="s">
        <v>264</v>
      </c>
      <c r="G894" t="s">
        <v>16</v>
      </c>
      <c r="H894" t="s">
        <v>307</v>
      </c>
      <c r="I894" t="s">
        <v>254</v>
      </c>
      <c r="J894" t="s">
        <v>22</v>
      </c>
      <c r="K894" t="s">
        <v>180</v>
      </c>
      <c r="L894">
        <v>18.013051122352302</v>
      </c>
      <c r="M894" t="s">
        <v>69</v>
      </c>
      <c r="N894" t="s">
        <v>61</v>
      </c>
    </row>
    <row r="895" spans="1:14">
      <c r="A895" t="str">
        <f t="shared" si="26"/>
        <v>5.재고과다/재고부족_재고일수MSTINV_DIO2014</v>
      </c>
      <c r="B895" t="str">
        <f t="shared" si="27"/>
        <v>5.재고과다/재고부족_재고일수MSTINV_DIO201402</v>
      </c>
      <c r="F895" t="s">
        <v>264</v>
      </c>
      <c r="G895" t="s">
        <v>16</v>
      </c>
      <c r="H895" t="s">
        <v>307</v>
      </c>
      <c r="I895" t="s">
        <v>254</v>
      </c>
      <c r="J895" t="s">
        <v>23</v>
      </c>
      <c r="K895" t="s">
        <v>180</v>
      </c>
      <c r="L895">
        <v>4.7730009868994996</v>
      </c>
      <c r="M895" t="s">
        <v>69</v>
      </c>
      <c r="N895" t="s">
        <v>61</v>
      </c>
    </row>
    <row r="896" spans="1:14">
      <c r="A896" t="str">
        <f t="shared" si="26"/>
        <v>5.재고과다/재고부족_재고일수MSTINV_DIO2014</v>
      </c>
      <c r="B896" t="str">
        <f t="shared" si="27"/>
        <v>5.재고과다/재고부족_재고일수MSTINV_DIO201403</v>
      </c>
      <c r="F896" t="s">
        <v>264</v>
      </c>
      <c r="G896" t="s">
        <v>16</v>
      </c>
      <c r="H896" t="s">
        <v>307</v>
      </c>
      <c r="I896" t="s">
        <v>254</v>
      </c>
      <c r="J896" t="s">
        <v>24</v>
      </c>
      <c r="K896" t="s">
        <v>180</v>
      </c>
      <c r="L896">
        <v>12.7660729017254</v>
      </c>
      <c r="M896" t="s">
        <v>69</v>
      </c>
      <c r="N896" t="s">
        <v>61</v>
      </c>
    </row>
    <row r="897" spans="1:14">
      <c r="A897" t="str">
        <f t="shared" si="26"/>
        <v>5.재고과다/재고부족_재고일수MSTINV_DIO2014</v>
      </c>
      <c r="B897" t="str">
        <f t="shared" si="27"/>
        <v>5.재고과다/재고부족_재고일수MSTINV_DIO201404</v>
      </c>
      <c r="F897" t="s">
        <v>264</v>
      </c>
      <c r="G897" t="s">
        <v>16</v>
      </c>
      <c r="H897" t="s">
        <v>307</v>
      </c>
      <c r="I897" t="s">
        <v>254</v>
      </c>
      <c r="J897" t="s">
        <v>25</v>
      </c>
      <c r="K897" t="s">
        <v>180</v>
      </c>
      <c r="L897">
        <v>9.8370435401687804</v>
      </c>
      <c r="M897" t="s">
        <v>69</v>
      </c>
      <c r="N897" t="s">
        <v>61</v>
      </c>
    </row>
    <row r="898" spans="1:14">
      <c r="A898" t="str">
        <f t="shared" si="26"/>
        <v>5.재고과다/재고부족_재고일수MSTINV_DIO2014</v>
      </c>
      <c r="B898" t="str">
        <f t="shared" si="27"/>
        <v>5.재고과다/재고부족_재고일수MSTINV_DIO201405</v>
      </c>
      <c r="F898" t="s">
        <v>264</v>
      </c>
      <c r="G898" t="s">
        <v>16</v>
      </c>
      <c r="H898" t="s">
        <v>307</v>
      </c>
      <c r="I898" t="s">
        <v>254</v>
      </c>
      <c r="J898" t="s">
        <v>26</v>
      </c>
      <c r="K898" t="s">
        <v>180</v>
      </c>
      <c r="L898">
        <v>4.0409370095239101</v>
      </c>
      <c r="M898" t="s">
        <v>69</v>
      </c>
      <c r="N898" t="s">
        <v>61</v>
      </c>
    </row>
    <row r="899" spans="1:14">
      <c r="A899" t="str">
        <f t="shared" si="26"/>
        <v>5.재고과다/재고부족_재고일수MSTINV_DIO2014</v>
      </c>
      <c r="B899" t="str">
        <f t="shared" si="27"/>
        <v>5.재고과다/재고부족_재고일수MSTINV_DIO201406</v>
      </c>
      <c r="F899" t="s">
        <v>264</v>
      </c>
      <c r="G899" t="s">
        <v>16</v>
      </c>
      <c r="H899" t="s">
        <v>307</v>
      </c>
      <c r="I899" t="s">
        <v>254</v>
      </c>
      <c r="J899" t="s">
        <v>27</v>
      </c>
      <c r="K899" t="s">
        <v>180</v>
      </c>
      <c r="L899">
        <v>18.3940234039482</v>
      </c>
      <c r="M899" t="s">
        <v>69</v>
      </c>
      <c r="N899" t="s">
        <v>61</v>
      </c>
    </row>
    <row r="900" spans="1:14">
      <c r="A900" t="str">
        <f t="shared" si="26"/>
        <v>5.재고과다/재고부족_재고일수MSTINV_DIO2014</v>
      </c>
      <c r="B900" t="str">
        <f t="shared" si="27"/>
        <v>5.재고과다/재고부족_재고일수MSTINV_DIO201407</v>
      </c>
      <c r="F900" t="s">
        <v>264</v>
      </c>
      <c r="G900" t="s">
        <v>16</v>
      </c>
      <c r="H900" t="s">
        <v>307</v>
      </c>
      <c r="I900" t="s">
        <v>254</v>
      </c>
      <c r="J900" t="s">
        <v>28</v>
      </c>
      <c r="K900" t="s">
        <v>180</v>
      </c>
      <c r="L900">
        <v>12.731311062338699</v>
      </c>
      <c r="M900" t="s">
        <v>69</v>
      </c>
      <c r="N900" t="s">
        <v>61</v>
      </c>
    </row>
    <row r="901" spans="1:14">
      <c r="A901" t="str">
        <f t="shared" si="26"/>
        <v>5.재고과다/재고부족_재고일수MSTINV_DIO2014</v>
      </c>
      <c r="B901" t="str">
        <f t="shared" si="27"/>
        <v>5.재고과다/재고부족_재고일수MSTINV_DIO201408</v>
      </c>
      <c r="F901" t="s">
        <v>264</v>
      </c>
      <c r="G901" t="s">
        <v>16</v>
      </c>
      <c r="H901" t="s">
        <v>307</v>
      </c>
      <c r="I901" t="s">
        <v>254</v>
      </c>
      <c r="J901" t="s">
        <v>29</v>
      </c>
      <c r="K901" t="s">
        <v>180</v>
      </c>
      <c r="L901">
        <v>30.4269431734254</v>
      </c>
      <c r="M901" t="s">
        <v>69</v>
      </c>
      <c r="N901" t="s">
        <v>61</v>
      </c>
    </row>
    <row r="902" spans="1:14">
      <c r="A902" t="str">
        <f t="shared" si="26"/>
        <v>5.재고과다/재고부족_재고일수MSTINV_DIO2014</v>
      </c>
      <c r="B902" t="str">
        <f t="shared" si="27"/>
        <v>5.재고과다/재고부족_재고일수MSTINV_DIO201409</v>
      </c>
      <c r="F902" t="s">
        <v>264</v>
      </c>
      <c r="G902" t="s">
        <v>16</v>
      </c>
      <c r="H902" t="s">
        <v>307</v>
      </c>
      <c r="I902" t="s">
        <v>254</v>
      </c>
      <c r="J902" t="s">
        <v>30</v>
      </c>
      <c r="K902" t="s">
        <v>180</v>
      </c>
      <c r="L902">
        <v>12.9569800858986</v>
      </c>
      <c r="M902" t="s">
        <v>69</v>
      </c>
      <c r="N902" t="s">
        <v>61</v>
      </c>
    </row>
    <row r="903" spans="1:14">
      <c r="A903" t="str">
        <f t="shared" ref="A903:A966" si="28">F903&amp;G903&amp;K903&amp;I903</f>
        <v>5.재고과다/재고부족_재고일수MSTINV_DIO2014</v>
      </c>
      <c r="B903" t="str">
        <f t="shared" ref="B903:B966" si="29">F903&amp;G903&amp;K903&amp;J903</f>
        <v>5.재고과다/재고부족_재고일수MSTINV_DIO201410</v>
      </c>
      <c r="F903" t="s">
        <v>264</v>
      </c>
      <c r="G903" t="s">
        <v>16</v>
      </c>
      <c r="H903" t="s">
        <v>307</v>
      </c>
      <c r="I903" t="s">
        <v>254</v>
      </c>
      <c r="J903" t="s">
        <v>31</v>
      </c>
      <c r="K903" t="s">
        <v>180</v>
      </c>
      <c r="L903">
        <v>13.9444171457249</v>
      </c>
      <c r="M903" t="s">
        <v>69</v>
      </c>
      <c r="N903" t="s">
        <v>61</v>
      </c>
    </row>
    <row r="904" spans="1:14">
      <c r="A904" t="str">
        <f t="shared" si="28"/>
        <v>5.재고과다/재고부족_재고일수MSTINV_DIO2014</v>
      </c>
      <c r="B904" t="str">
        <f t="shared" si="29"/>
        <v>5.재고과다/재고부족_재고일수MSTINV_DIO201411</v>
      </c>
      <c r="F904" t="s">
        <v>264</v>
      </c>
      <c r="G904" t="s">
        <v>16</v>
      </c>
      <c r="H904" t="s">
        <v>307</v>
      </c>
      <c r="I904" t="s">
        <v>254</v>
      </c>
      <c r="J904" t="s">
        <v>32</v>
      </c>
      <c r="K904" t="s">
        <v>180</v>
      </c>
      <c r="L904">
        <v>32.318055443815901</v>
      </c>
      <c r="M904" t="s">
        <v>69</v>
      </c>
      <c r="N904" t="s">
        <v>61</v>
      </c>
    </row>
    <row r="905" spans="1:14">
      <c r="A905" t="str">
        <f t="shared" si="28"/>
        <v>5.재고과다/재고부족_재고일수MSTINV_DIO2014</v>
      </c>
      <c r="B905" t="str">
        <f t="shared" si="29"/>
        <v>5.재고과다/재고부족_재고일수MSTINV_DIO201412</v>
      </c>
      <c r="F905" t="s">
        <v>264</v>
      </c>
      <c r="G905" t="s">
        <v>16</v>
      </c>
      <c r="H905" t="s">
        <v>307</v>
      </c>
      <c r="I905" t="s">
        <v>254</v>
      </c>
      <c r="J905" t="s">
        <v>33</v>
      </c>
      <c r="K905" t="s">
        <v>180</v>
      </c>
      <c r="L905">
        <v>22.9691231364685</v>
      </c>
      <c r="M905" t="s">
        <v>69</v>
      </c>
      <c r="N905" t="s">
        <v>61</v>
      </c>
    </row>
    <row r="906" spans="1:14">
      <c r="A906" t="str">
        <f t="shared" si="28"/>
        <v>5.재고과다/재고부족_재고일수MSTINV_DIO2015</v>
      </c>
      <c r="B906" t="str">
        <f t="shared" si="29"/>
        <v>5.재고과다/재고부족_재고일수MSTINV_DIO201500</v>
      </c>
      <c r="F906" t="s">
        <v>264</v>
      </c>
      <c r="G906" t="s">
        <v>16</v>
      </c>
      <c r="H906" t="s">
        <v>307</v>
      </c>
      <c r="I906" t="s">
        <v>260</v>
      </c>
      <c r="J906" t="s">
        <v>261</v>
      </c>
      <c r="K906" t="s">
        <v>180</v>
      </c>
      <c r="M906" t="s">
        <v>69</v>
      </c>
      <c r="N906" t="s">
        <v>61</v>
      </c>
    </row>
    <row r="907" spans="1:14">
      <c r="A907" t="str">
        <f t="shared" si="28"/>
        <v>5.재고과다/재고부족_재고일수MSTINV_DIO2015</v>
      </c>
      <c r="B907" t="str">
        <f t="shared" si="29"/>
        <v>5.재고과다/재고부족_재고일수MSTINV_DIO201501</v>
      </c>
      <c r="F907" t="s">
        <v>264</v>
      </c>
      <c r="G907" t="s">
        <v>16</v>
      </c>
      <c r="H907" t="s">
        <v>307</v>
      </c>
      <c r="I907" t="s">
        <v>260</v>
      </c>
      <c r="J907" t="s">
        <v>34</v>
      </c>
      <c r="K907" t="s">
        <v>180</v>
      </c>
      <c r="L907">
        <v>9.7382268701355397</v>
      </c>
      <c r="M907" t="s">
        <v>69</v>
      </c>
      <c r="N907" t="s">
        <v>61</v>
      </c>
    </row>
    <row r="908" spans="1:14">
      <c r="A908" t="str">
        <f t="shared" si="28"/>
        <v>5.재고과다/재고부족_재고일수MSTINV_DIO2015</v>
      </c>
      <c r="B908" t="str">
        <f t="shared" si="29"/>
        <v>5.재고과다/재고부족_재고일수MSTINV_DIO201502</v>
      </c>
      <c r="F908" t="s">
        <v>264</v>
      </c>
      <c r="G908" t="s">
        <v>16</v>
      </c>
      <c r="H908" t="s">
        <v>307</v>
      </c>
      <c r="I908" t="s">
        <v>260</v>
      </c>
      <c r="J908" t="s">
        <v>35</v>
      </c>
      <c r="K908" t="s">
        <v>180</v>
      </c>
      <c r="L908">
        <v>14.079511529451199</v>
      </c>
      <c r="M908" t="s">
        <v>69</v>
      </c>
      <c r="N908" t="s">
        <v>61</v>
      </c>
    </row>
    <row r="909" spans="1:14">
      <c r="A909" t="str">
        <f t="shared" si="28"/>
        <v>5.재고과다/재고부족_재고일수MSTINV_DIO2015</v>
      </c>
      <c r="B909" t="str">
        <f t="shared" si="29"/>
        <v>5.재고과다/재고부족_재고일수MSTINV_DIO201503</v>
      </c>
      <c r="F909" t="s">
        <v>264</v>
      </c>
      <c r="G909" t="s">
        <v>16</v>
      </c>
      <c r="H909" t="s">
        <v>307</v>
      </c>
      <c r="I909" t="s">
        <v>260</v>
      </c>
      <c r="J909" t="s">
        <v>36</v>
      </c>
      <c r="K909" t="s">
        <v>180</v>
      </c>
      <c r="L909">
        <v>8.0626341895031608</v>
      </c>
      <c r="M909" t="s">
        <v>69</v>
      </c>
      <c r="N909" t="s">
        <v>61</v>
      </c>
    </row>
    <row r="910" spans="1:14">
      <c r="A910" t="str">
        <f t="shared" si="28"/>
        <v>5.재고과다/재고부족_재고일수MSTINV_DIO2015</v>
      </c>
      <c r="B910" t="str">
        <f t="shared" si="29"/>
        <v>5.재고과다/재고부족_재고일수MSTINV_DIO201504</v>
      </c>
      <c r="F910" t="s">
        <v>264</v>
      </c>
      <c r="G910" t="s">
        <v>16</v>
      </c>
      <c r="H910" t="s">
        <v>307</v>
      </c>
      <c r="I910" t="s">
        <v>260</v>
      </c>
      <c r="J910" t="s">
        <v>37</v>
      </c>
      <c r="K910" t="s">
        <v>180</v>
      </c>
      <c r="L910">
        <v>3.9165248142812601</v>
      </c>
      <c r="M910" t="s">
        <v>69</v>
      </c>
      <c r="N910" t="s">
        <v>61</v>
      </c>
    </row>
    <row r="911" spans="1:14">
      <c r="A911" t="str">
        <f t="shared" si="28"/>
        <v>5.재고과다/재고부족_재고일수MSTINV_DIO2015</v>
      </c>
      <c r="B911" t="str">
        <f t="shared" si="29"/>
        <v>5.재고과다/재고부족_재고일수MSTINV_DIO201505</v>
      </c>
      <c r="F911" t="s">
        <v>264</v>
      </c>
      <c r="G911" t="s">
        <v>16</v>
      </c>
      <c r="H911" t="s">
        <v>307</v>
      </c>
      <c r="I911" t="s">
        <v>260</v>
      </c>
      <c r="J911" t="s">
        <v>38</v>
      </c>
      <c r="K911" t="s">
        <v>180</v>
      </c>
      <c r="L911">
        <v>3.25442217103986</v>
      </c>
      <c r="M911" t="s">
        <v>69</v>
      </c>
      <c r="N911" t="s">
        <v>61</v>
      </c>
    </row>
    <row r="912" spans="1:14">
      <c r="A912" t="str">
        <f t="shared" si="28"/>
        <v>5.재고과다/재고부족_재고일수MSTINV_DIO2015</v>
      </c>
      <c r="B912" t="str">
        <f t="shared" si="29"/>
        <v>5.재고과다/재고부족_재고일수MSTINV_DIO201506</v>
      </c>
      <c r="F912" t="s">
        <v>264</v>
      </c>
      <c r="G912" t="s">
        <v>16</v>
      </c>
      <c r="H912" t="s">
        <v>307</v>
      </c>
      <c r="I912" t="s">
        <v>260</v>
      </c>
      <c r="J912" t="s">
        <v>39</v>
      </c>
      <c r="K912" t="s">
        <v>180</v>
      </c>
      <c r="L912">
        <v>17.434195580370599</v>
      </c>
      <c r="M912" t="s">
        <v>69</v>
      </c>
      <c r="N912" t="s">
        <v>61</v>
      </c>
    </row>
    <row r="913" spans="1:14">
      <c r="A913" t="str">
        <f t="shared" si="28"/>
        <v>5.재고과다/재고부족_재고일수MSTINV_DIO2015</v>
      </c>
      <c r="B913" t="str">
        <f t="shared" si="29"/>
        <v>5.재고과다/재고부족_재고일수MSTINV_DIO201507</v>
      </c>
      <c r="F913" t="s">
        <v>264</v>
      </c>
      <c r="G913" t="s">
        <v>16</v>
      </c>
      <c r="H913" t="s">
        <v>307</v>
      </c>
      <c r="I913" t="s">
        <v>260</v>
      </c>
      <c r="J913" t="s">
        <v>40</v>
      </c>
      <c r="K913" t="s">
        <v>180</v>
      </c>
      <c r="L913">
        <v>23.6325824636763</v>
      </c>
      <c r="M913" t="s">
        <v>69</v>
      </c>
      <c r="N913" t="s">
        <v>61</v>
      </c>
    </row>
    <row r="914" spans="1:14">
      <c r="A914" t="str">
        <f t="shared" si="28"/>
        <v>5.재고과다/재고부족_재고일수MSTINV_DIO2015</v>
      </c>
      <c r="B914" t="str">
        <f t="shared" si="29"/>
        <v>5.재고과다/재고부족_재고일수MSTINV_DIO201508</v>
      </c>
      <c r="F914" t="s">
        <v>264</v>
      </c>
      <c r="G914" t="s">
        <v>16</v>
      </c>
      <c r="H914" t="s">
        <v>307</v>
      </c>
      <c r="I914" t="s">
        <v>260</v>
      </c>
      <c r="J914" t="s">
        <v>41</v>
      </c>
      <c r="K914" t="s">
        <v>180</v>
      </c>
      <c r="L914">
        <v>19.281520976740801</v>
      </c>
      <c r="M914" t="s">
        <v>69</v>
      </c>
      <c r="N914" t="s">
        <v>61</v>
      </c>
    </row>
    <row r="915" spans="1:14">
      <c r="A915" t="str">
        <f t="shared" si="28"/>
        <v>5.재고과다/재고부족_재고일수MSTINV_DIO2015</v>
      </c>
      <c r="B915" t="str">
        <f t="shared" si="29"/>
        <v>5.재고과다/재고부족_재고일수MSTINV_DIO201509</v>
      </c>
      <c r="F915" t="s">
        <v>264</v>
      </c>
      <c r="G915" t="s">
        <v>16</v>
      </c>
      <c r="H915" t="s">
        <v>307</v>
      </c>
      <c r="I915" t="s">
        <v>260</v>
      </c>
      <c r="J915" t="s">
        <v>42</v>
      </c>
      <c r="K915" t="s">
        <v>180</v>
      </c>
      <c r="L915">
        <v>4.93040360071112</v>
      </c>
      <c r="M915" t="s">
        <v>69</v>
      </c>
      <c r="N915" t="s">
        <v>61</v>
      </c>
    </row>
    <row r="916" spans="1:14">
      <c r="A916" t="str">
        <f t="shared" si="28"/>
        <v>5.재고과다/재고부족_재고일수MSTINV_DIO2015</v>
      </c>
      <c r="B916" t="str">
        <f t="shared" si="29"/>
        <v>5.재고과다/재고부족_재고일수MSTINV_DIO201510</v>
      </c>
      <c r="F916" t="s">
        <v>264</v>
      </c>
      <c r="G916" t="s">
        <v>16</v>
      </c>
      <c r="H916" t="s">
        <v>307</v>
      </c>
      <c r="I916" t="s">
        <v>260</v>
      </c>
      <c r="J916" t="s">
        <v>1</v>
      </c>
      <c r="K916" t="s">
        <v>180</v>
      </c>
      <c r="L916">
        <v>6.0112359932962898</v>
      </c>
      <c r="M916" t="s">
        <v>69</v>
      </c>
      <c r="N916" t="s">
        <v>61</v>
      </c>
    </row>
    <row r="917" spans="1:14">
      <c r="A917" t="str">
        <f t="shared" si="28"/>
        <v>5.재고과다/재고부족_재고일수PHTINV_DIO2012</v>
      </c>
      <c r="B917" t="str">
        <f t="shared" si="29"/>
        <v>5.재고과다/재고부족_재고일수PHTINV_DIO201200</v>
      </c>
      <c r="F917" t="s">
        <v>264</v>
      </c>
      <c r="G917" t="s">
        <v>310</v>
      </c>
      <c r="H917" t="s">
        <v>307</v>
      </c>
      <c r="I917" t="s">
        <v>226</v>
      </c>
      <c r="J917" t="s">
        <v>262</v>
      </c>
      <c r="K917" t="s">
        <v>180</v>
      </c>
      <c r="M917" t="s">
        <v>319</v>
      </c>
      <c r="N917" t="s">
        <v>319</v>
      </c>
    </row>
    <row r="918" spans="1:14">
      <c r="A918" t="str">
        <f t="shared" si="28"/>
        <v>5.재고과다/재고부족_재고일수PHTINV_DIO2012</v>
      </c>
      <c r="B918" t="str">
        <f t="shared" si="29"/>
        <v>5.재고과다/재고부족_재고일수PHTINV_DIO201201</v>
      </c>
      <c r="F918" t="s">
        <v>264</v>
      </c>
      <c r="G918" t="s">
        <v>310</v>
      </c>
      <c r="H918" t="s">
        <v>307</v>
      </c>
      <c r="I918" t="s">
        <v>226</v>
      </c>
      <c r="J918" t="s">
        <v>227</v>
      </c>
      <c r="K918" t="s">
        <v>180</v>
      </c>
      <c r="M918" t="s">
        <v>319</v>
      </c>
      <c r="N918" t="s">
        <v>319</v>
      </c>
    </row>
    <row r="919" spans="1:14">
      <c r="A919" t="str">
        <f t="shared" si="28"/>
        <v>5.재고과다/재고부족_재고일수PHTINV_DIO2012</v>
      </c>
      <c r="B919" t="str">
        <f t="shared" si="29"/>
        <v>5.재고과다/재고부족_재고일수PHTINV_DIO201202</v>
      </c>
      <c r="F919" t="s">
        <v>264</v>
      </c>
      <c r="G919" t="s">
        <v>310</v>
      </c>
      <c r="H919" t="s">
        <v>307</v>
      </c>
      <c r="I919" t="s">
        <v>226</v>
      </c>
      <c r="J919" t="s">
        <v>229</v>
      </c>
      <c r="K919" t="s">
        <v>180</v>
      </c>
      <c r="M919" t="s">
        <v>319</v>
      </c>
      <c r="N919" t="s">
        <v>319</v>
      </c>
    </row>
    <row r="920" spans="1:14">
      <c r="A920" t="str">
        <f t="shared" si="28"/>
        <v>5.재고과다/재고부족_재고일수PHTINV_DIO2012</v>
      </c>
      <c r="B920" t="str">
        <f t="shared" si="29"/>
        <v>5.재고과다/재고부족_재고일수PHTINV_DIO201203</v>
      </c>
      <c r="F920" t="s">
        <v>264</v>
      </c>
      <c r="G920" t="s">
        <v>310</v>
      </c>
      <c r="H920" t="s">
        <v>307</v>
      </c>
      <c r="I920" t="s">
        <v>226</v>
      </c>
      <c r="J920" t="s">
        <v>230</v>
      </c>
      <c r="K920" t="s">
        <v>180</v>
      </c>
      <c r="M920" t="s">
        <v>319</v>
      </c>
      <c r="N920" t="s">
        <v>319</v>
      </c>
    </row>
    <row r="921" spans="1:14">
      <c r="A921" t="str">
        <f t="shared" si="28"/>
        <v>5.재고과다/재고부족_재고일수PHTINV_DIO2012</v>
      </c>
      <c r="B921" t="str">
        <f t="shared" si="29"/>
        <v>5.재고과다/재고부족_재고일수PHTINV_DIO201204</v>
      </c>
      <c r="F921" t="s">
        <v>264</v>
      </c>
      <c r="G921" t="s">
        <v>310</v>
      </c>
      <c r="H921" t="s">
        <v>307</v>
      </c>
      <c r="I921" t="s">
        <v>226</v>
      </c>
      <c r="J921" t="s">
        <v>231</v>
      </c>
      <c r="K921" t="s">
        <v>180</v>
      </c>
      <c r="M921" t="s">
        <v>319</v>
      </c>
      <c r="N921" t="s">
        <v>319</v>
      </c>
    </row>
    <row r="922" spans="1:14">
      <c r="A922" t="str">
        <f t="shared" si="28"/>
        <v>5.재고과다/재고부족_재고일수PHTINV_DIO2012</v>
      </c>
      <c r="B922" t="str">
        <f t="shared" si="29"/>
        <v>5.재고과다/재고부족_재고일수PHTINV_DIO201205</v>
      </c>
      <c r="F922" t="s">
        <v>264</v>
      </c>
      <c r="G922" t="s">
        <v>310</v>
      </c>
      <c r="H922" t="s">
        <v>307</v>
      </c>
      <c r="I922" t="s">
        <v>226</v>
      </c>
      <c r="J922" t="s">
        <v>232</v>
      </c>
      <c r="K922" t="s">
        <v>180</v>
      </c>
      <c r="M922" t="s">
        <v>319</v>
      </c>
      <c r="N922" t="s">
        <v>319</v>
      </c>
    </row>
    <row r="923" spans="1:14">
      <c r="A923" t="str">
        <f t="shared" si="28"/>
        <v>5.재고과다/재고부족_재고일수PHTINV_DIO2012</v>
      </c>
      <c r="B923" t="str">
        <f t="shared" si="29"/>
        <v>5.재고과다/재고부족_재고일수PHTINV_DIO201206</v>
      </c>
      <c r="F923" t="s">
        <v>264</v>
      </c>
      <c r="G923" t="s">
        <v>310</v>
      </c>
      <c r="H923" t="s">
        <v>307</v>
      </c>
      <c r="I923" t="s">
        <v>226</v>
      </c>
      <c r="J923" t="s">
        <v>233</v>
      </c>
      <c r="K923" t="s">
        <v>180</v>
      </c>
      <c r="M923" t="s">
        <v>319</v>
      </c>
      <c r="N923" t="s">
        <v>319</v>
      </c>
    </row>
    <row r="924" spans="1:14">
      <c r="A924" t="str">
        <f t="shared" si="28"/>
        <v>5.재고과다/재고부족_재고일수PHTINV_DIO2012</v>
      </c>
      <c r="B924" t="str">
        <f t="shared" si="29"/>
        <v>5.재고과다/재고부족_재고일수PHTINV_DIO201207</v>
      </c>
      <c r="F924" t="s">
        <v>264</v>
      </c>
      <c r="G924" t="s">
        <v>310</v>
      </c>
      <c r="H924" t="s">
        <v>307</v>
      </c>
      <c r="I924" t="s">
        <v>226</v>
      </c>
      <c r="J924" t="s">
        <v>234</v>
      </c>
      <c r="K924" t="s">
        <v>180</v>
      </c>
      <c r="M924" t="s">
        <v>319</v>
      </c>
      <c r="N924" t="s">
        <v>319</v>
      </c>
    </row>
    <row r="925" spans="1:14">
      <c r="A925" t="str">
        <f t="shared" si="28"/>
        <v>5.재고과다/재고부족_재고일수PHTINV_DIO2012</v>
      </c>
      <c r="B925" t="str">
        <f t="shared" si="29"/>
        <v>5.재고과다/재고부족_재고일수PHTINV_DIO201208</v>
      </c>
      <c r="F925" t="s">
        <v>264</v>
      </c>
      <c r="G925" t="s">
        <v>310</v>
      </c>
      <c r="H925" t="s">
        <v>307</v>
      </c>
      <c r="I925" t="s">
        <v>226</v>
      </c>
      <c r="J925" t="s">
        <v>235</v>
      </c>
      <c r="K925" t="s">
        <v>180</v>
      </c>
      <c r="M925" t="s">
        <v>319</v>
      </c>
      <c r="N925" t="s">
        <v>319</v>
      </c>
    </row>
    <row r="926" spans="1:14">
      <c r="A926" t="str">
        <f t="shared" si="28"/>
        <v>5.재고과다/재고부족_재고일수PHTINV_DIO2012</v>
      </c>
      <c r="B926" t="str">
        <f t="shared" si="29"/>
        <v>5.재고과다/재고부족_재고일수PHTINV_DIO201209</v>
      </c>
      <c r="F926" t="s">
        <v>264</v>
      </c>
      <c r="G926" t="s">
        <v>310</v>
      </c>
      <c r="H926" t="s">
        <v>307</v>
      </c>
      <c r="I926" t="s">
        <v>226</v>
      </c>
      <c r="J926" t="s">
        <v>236</v>
      </c>
      <c r="K926" t="s">
        <v>180</v>
      </c>
      <c r="M926" t="s">
        <v>319</v>
      </c>
      <c r="N926" t="s">
        <v>319</v>
      </c>
    </row>
    <row r="927" spans="1:14">
      <c r="A927" t="str">
        <f t="shared" si="28"/>
        <v>5.재고과다/재고부족_재고일수PHTINV_DIO2012</v>
      </c>
      <c r="B927" t="str">
        <f t="shared" si="29"/>
        <v>5.재고과다/재고부족_재고일수PHTINV_DIO201210</v>
      </c>
      <c r="F927" t="s">
        <v>264</v>
      </c>
      <c r="G927" t="s">
        <v>310</v>
      </c>
      <c r="H927" t="s">
        <v>307</v>
      </c>
      <c r="I927" t="s">
        <v>226</v>
      </c>
      <c r="J927" t="s">
        <v>237</v>
      </c>
      <c r="K927" t="s">
        <v>180</v>
      </c>
      <c r="M927" t="s">
        <v>319</v>
      </c>
      <c r="N927" t="s">
        <v>319</v>
      </c>
    </row>
    <row r="928" spans="1:14">
      <c r="A928" t="str">
        <f t="shared" si="28"/>
        <v>5.재고과다/재고부족_재고일수PHTINV_DIO2012</v>
      </c>
      <c r="B928" t="str">
        <f t="shared" si="29"/>
        <v>5.재고과다/재고부족_재고일수PHTINV_DIO201211</v>
      </c>
      <c r="F928" t="s">
        <v>264</v>
      </c>
      <c r="G928" t="s">
        <v>310</v>
      </c>
      <c r="H928" t="s">
        <v>307</v>
      </c>
      <c r="I928" t="s">
        <v>226</v>
      </c>
      <c r="J928" t="s">
        <v>238</v>
      </c>
      <c r="K928" t="s">
        <v>180</v>
      </c>
      <c r="M928" t="s">
        <v>319</v>
      </c>
      <c r="N928" t="s">
        <v>319</v>
      </c>
    </row>
    <row r="929" spans="1:14">
      <c r="A929" t="str">
        <f t="shared" si="28"/>
        <v>5.재고과다/재고부족_재고일수PHTINV_DIO2012</v>
      </c>
      <c r="B929" t="str">
        <f t="shared" si="29"/>
        <v>5.재고과다/재고부족_재고일수PHTINV_DIO201212</v>
      </c>
      <c r="F929" t="s">
        <v>264</v>
      </c>
      <c r="G929" t="s">
        <v>310</v>
      </c>
      <c r="H929" t="s">
        <v>307</v>
      </c>
      <c r="I929" t="s">
        <v>226</v>
      </c>
      <c r="J929" t="s">
        <v>239</v>
      </c>
      <c r="K929" t="s">
        <v>180</v>
      </c>
      <c r="M929" t="s">
        <v>319</v>
      </c>
      <c r="N929" t="s">
        <v>319</v>
      </c>
    </row>
    <row r="930" spans="1:14">
      <c r="A930" t="str">
        <f t="shared" si="28"/>
        <v>5.재고과다/재고부족_재고일수PHTINV_DIO2013</v>
      </c>
      <c r="B930" t="str">
        <f t="shared" si="29"/>
        <v>5.재고과다/재고부족_재고일수PHTINV_DIO201300</v>
      </c>
      <c r="F930" t="s">
        <v>264</v>
      </c>
      <c r="G930" t="s">
        <v>310</v>
      </c>
      <c r="H930" t="s">
        <v>307</v>
      </c>
      <c r="I930" t="s">
        <v>240</v>
      </c>
      <c r="J930" t="s">
        <v>241</v>
      </c>
      <c r="K930" t="s">
        <v>180</v>
      </c>
      <c r="M930" t="s">
        <v>319</v>
      </c>
      <c r="N930" t="s">
        <v>319</v>
      </c>
    </row>
    <row r="931" spans="1:14">
      <c r="A931" t="str">
        <f t="shared" si="28"/>
        <v>5.재고과다/재고부족_재고일수PHTINV_DIO2013</v>
      </c>
      <c r="B931" t="str">
        <f t="shared" si="29"/>
        <v>5.재고과다/재고부족_재고일수PHTINV_DIO201301</v>
      </c>
      <c r="F931" t="s">
        <v>264</v>
      </c>
      <c r="G931" t="s">
        <v>310</v>
      </c>
      <c r="H931" t="s">
        <v>307</v>
      </c>
      <c r="I931" t="s">
        <v>240</v>
      </c>
      <c r="J931" t="s">
        <v>242</v>
      </c>
      <c r="K931" t="s">
        <v>180</v>
      </c>
      <c r="M931" t="s">
        <v>319</v>
      </c>
      <c r="N931" t="s">
        <v>319</v>
      </c>
    </row>
    <row r="932" spans="1:14">
      <c r="A932" t="str">
        <f t="shared" si="28"/>
        <v>5.재고과다/재고부족_재고일수PHTINV_DIO2013</v>
      </c>
      <c r="B932" t="str">
        <f t="shared" si="29"/>
        <v>5.재고과다/재고부족_재고일수PHTINV_DIO201302</v>
      </c>
      <c r="F932" t="s">
        <v>264</v>
      </c>
      <c r="G932" t="s">
        <v>310</v>
      </c>
      <c r="H932" t="s">
        <v>307</v>
      </c>
      <c r="I932" t="s">
        <v>240</v>
      </c>
      <c r="J932" t="s">
        <v>243</v>
      </c>
      <c r="K932" t="s">
        <v>180</v>
      </c>
      <c r="M932" t="s">
        <v>319</v>
      </c>
      <c r="N932" t="s">
        <v>319</v>
      </c>
    </row>
    <row r="933" spans="1:14">
      <c r="A933" t="str">
        <f t="shared" si="28"/>
        <v>5.재고과다/재고부족_재고일수PHTINV_DIO2013</v>
      </c>
      <c r="B933" t="str">
        <f t="shared" si="29"/>
        <v>5.재고과다/재고부족_재고일수PHTINV_DIO201303</v>
      </c>
      <c r="F933" t="s">
        <v>264</v>
      </c>
      <c r="G933" t="s">
        <v>310</v>
      </c>
      <c r="H933" t="s">
        <v>307</v>
      </c>
      <c r="I933" t="s">
        <v>240</v>
      </c>
      <c r="J933" t="s">
        <v>244</v>
      </c>
      <c r="K933" t="s">
        <v>180</v>
      </c>
      <c r="M933" t="s">
        <v>319</v>
      </c>
      <c r="N933" t="s">
        <v>319</v>
      </c>
    </row>
    <row r="934" spans="1:14">
      <c r="A934" t="str">
        <f t="shared" si="28"/>
        <v>5.재고과다/재고부족_재고일수PHTINV_DIO2013</v>
      </c>
      <c r="B934" t="str">
        <f t="shared" si="29"/>
        <v>5.재고과다/재고부족_재고일수PHTINV_DIO201304</v>
      </c>
      <c r="F934" t="s">
        <v>264</v>
      </c>
      <c r="G934" t="s">
        <v>310</v>
      </c>
      <c r="H934" t="s">
        <v>307</v>
      </c>
      <c r="I934" t="s">
        <v>240</v>
      </c>
      <c r="J934" t="s">
        <v>245</v>
      </c>
      <c r="K934" t="s">
        <v>180</v>
      </c>
      <c r="M934" t="s">
        <v>319</v>
      </c>
      <c r="N934" t="s">
        <v>319</v>
      </c>
    </row>
    <row r="935" spans="1:14">
      <c r="A935" t="str">
        <f t="shared" si="28"/>
        <v>5.재고과다/재고부족_재고일수PHTINV_DIO2013</v>
      </c>
      <c r="B935" t="str">
        <f t="shared" si="29"/>
        <v>5.재고과다/재고부족_재고일수PHTINV_DIO201305</v>
      </c>
      <c r="F935" t="s">
        <v>264</v>
      </c>
      <c r="G935" t="s">
        <v>310</v>
      </c>
      <c r="H935" t="s">
        <v>307</v>
      </c>
      <c r="I935" t="s">
        <v>240</v>
      </c>
      <c r="J935" t="s">
        <v>246</v>
      </c>
      <c r="K935" t="s">
        <v>180</v>
      </c>
      <c r="M935" t="s">
        <v>319</v>
      </c>
      <c r="N935" t="s">
        <v>319</v>
      </c>
    </row>
    <row r="936" spans="1:14">
      <c r="A936" t="str">
        <f t="shared" si="28"/>
        <v>5.재고과다/재고부족_재고일수PHTINV_DIO2013</v>
      </c>
      <c r="B936" t="str">
        <f t="shared" si="29"/>
        <v>5.재고과다/재고부족_재고일수PHTINV_DIO201306</v>
      </c>
      <c r="F936" t="s">
        <v>264</v>
      </c>
      <c r="G936" t="s">
        <v>310</v>
      </c>
      <c r="H936" t="s">
        <v>307</v>
      </c>
      <c r="I936" t="s">
        <v>240</v>
      </c>
      <c r="J936" t="s">
        <v>247</v>
      </c>
      <c r="K936" t="s">
        <v>180</v>
      </c>
      <c r="L936">
        <v>43.913403162844403</v>
      </c>
      <c r="M936" t="s">
        <v>319</v>
      </c>
      <c r="N936" t="s">
        <v>319</v>
      </c>
    </row>
    <row r="937" spans="1:14">
      <c r="A937" t="str">
        <f t="shared" si="28"/>
        <v>5.재고과다/재고부족_재고일수PHTINV_DIO2013</v>
      </c>
      <c r="B937" t="str">
        <f t="shared" si="29"/>
        <v>5.재고과다/재고부족_재고일수PHTINV_DIO201307</v>
      </c>
      <c r="F937" t="s">
        <v>264</v>
      </c>
      <c r="G937" t="s">
        <v>310</v>
      </c>
      <c r="H937" t="s">
        <v>307</v>
      </c>
      <c r="I937" t="s">
        <v>240</v>
      </c>
      <c r="J937" t="s">
        <v>248</v>
      </c>
      <c r="K937" t="s">
        <v>180</v>
      </c>
      <c r="L937">
        <v>11.447202147219199</v>
      </c>
      <c r="M937" t="s">
        <v>319</v>
      </c>
      <c r="N937" t="s">
        <v>319</v>
      </c>
    </row>
    <row r="938" spans="1:14">
      <c r="A938" t="str">
        <f t="shared" si="28"/>
        <v>5.재고과다/재고부족_재고일수PHTINV_DIO2013</v>
      </c>
      <c r="B938" t="str">
        <f t="shared" si="29"/>
        <v>5.재고과다/재고부족_재고일수PHTINV_DIO201308</v>
      </c>
      <c r="F938" t="s">
        <v>264</v>
      </c>
      <c r="G938" t="s">
        <v>310</v>
      </c>
      <c r="H938" t="s">
        <v>307</v>
      </c>
      <c r="I938" t="s">
        <v>240</v>
      </c>
      <c r="J938" t="s">
        <v>249</v>
      </c>
      <c r="K938" t="s">
        <v>180</v>
      </c>
      <c r="L938">
        <v>66.9160442734333</v>
      </c>
      <c r="M938" t="s">
        <v>319</v>
      </c>
      <c r="N938" t="s">
        <v>319</v>
      </c>
    </row>
    <row r="939" spans="1:14">
      <c r="A939" t="str">
        <f t="shared" si="28"/>
        <v>5.재고과다/재고부족_재고일수PHTINV_DIO2013</v>
      </c>
      <c r="B939" t="str">
        <f t="shared" si="29"/>
        <v>5.재고과다/재고부족_재고일수PHTINV_DIO201309</v>
      </c>
      <c r="F939" t="s">
        <v>264</v>
      </c>
      <c r="G939" t="s">
        <v>310</v>
      </c>
      <c r="H939" t="s">
        <v>307</v>
      </c>
      <c r="I939" t="s">
        <v>240</v>
      </c>
      <c r="J939" t="s">
        <v>250</v>
      </c>
      <c r="K939" t="s">
        <v>180</v>
      </c>
      <c r="L939">
        <v>42.912826843069197</v>
      </c>
      <c r="M939" t="s">
        <v>319</v>
      </c>
      <c r="N939" t="s">
        <v>319</v>
      </c>
    </row>
    <row r="940" spans="1:14">
      <c r="A940" t="str">
        <f t="shared" si="28"/>
        <v>5.재고과다/재고부족_재고일수PHTINV_DIO2013</v>
      </c>
      <c r="B940" t="str">
        <f t="shared" si="29"/>
        <v>5.재고과다/재고부족_재고일수PHTINV_DIO201310</v>
      </c>
      <c r="F940" t="s">
        <v>264</v>
      </c>
      <c r="G940" t="s">
        <v>310</v>
      </c>
      <c r="H940" t="s">
        <v>307</v>
      </c>
      <c r="I940" t="s">
        <v>240</v>
      </c>
      <c r="J940" t="s">
        <v>251</v>
      </c>
      <c r="K940" t="s">
        <v>180</v>
      </c>
      <c r="L940">
        <v>23.006089042806501</v>
      </c>
      <c r="M940" t="s">
        <v>319</v>
      </c>
      <c r="N940" t="s">
        <v>319</v>
      </c>
    </row>
    <row r="941" spans="1:14">
      <c r="A941" t="str">
        <f t="shared" si="28"/>
        <v>5.재고과다/재고부족_재고일수PHTINV_DIO2013</v>
      </c>
      <c r="B941" t="str">
        <f t="shared" si="29"/>
        <v>5.재고과다/재고부족_재고일수PHTINV_DIO201311</v>
      </c>
      <c r="F941" t="s">
        <v>264</v>
      </c>
      <c r="G941" t="s">
        <v>310</v>
      </c>
      <c r="H941" t="s">
        <v>307</v>
      </c>
      <c r="I941" t="s">
        <v>240</v>
      </c>
      <c r="J941" t="s">
        <v>252</v>
      </c>
      <c r="K941" t="s">
        <v>180</v>
      </c>
      <c r="L941">
        <v>57.675090889359403</v>
      </c>
      <c r="M941" t="s">
        <v>319</v>
      </c>
      <c r="N941" t="s">
        <v>319</v>
      </c>
    </row>
    <row r="942" spans="1:14">
      <c r="A942" t="str">
        <f t="shared" si="28"/>
        <v>5.재고과다/재고부족_재고일수PHTINV_DIO2013</v>
      </c>
      <c r="B942" t="str">
        <f t="shared" si="29"/>
        <v>5.재고과다/재고부족_재고일수PHTINV_DIO201312</v>
      </c>
      <c r="F942" t="s">
        <v>264</v>
      </c>
      <c r="G942" t="s">
        <v>310</v>
      </c>
      <c r="H942" t="s">
        <v>307</v>
      </c>
      <c r="I942" t="s">
        <v>240</v>
      </c>
      <c r="J942" t="s">
        <v>253</v>
      </c>
      <c r="K942" t="s">
        <v>180</v>
      </c>
      <c r="L942">
        <v>25.111519292011199</v>
      </c>
      <c r="M942" t="s">
        <v>319</v>
      </c>
      <c r="N942" t="s">
        <v>319</v>
      </c>
    </row>
    <row r="943" spans="1:14">
      <c r="A943" t="str">
        <f t="shared" si="28"/>
        <v>5.재고과다/재고부족_재고일수PHTINV_DIO2014</v>
      </c>
      <c r="B943" t="str">
        <f t="shared" si="29"/>
        <v>5.재고과다/재고부족_재고일수PHTINV_DIO201400</v>
      </c>
      <c r="F943" t="s">
        <v>264</v>
      </c>
      <c r="G943" t="s">
        <v>310</v>
      </c>
      <c r="H943" t="s">
        <v>307</v>
      </c>
      <c r="I943" t="s">
        <v>254</v>
      </c>
      <c r="J943" t="s">
        <v>255</v>
      </c>
      <c r="K943" t="s">
        <v>180</v>
      </c>
      <c r="M943" t="s">
        <v>319</v>
      </c>
      <c r="N943" t="s">
        <v>319</v>
      </c>
    </row>
    <row r="944" spans="1:14">
      <c r="A944" t="str">
        <f t="shared" si="28"/>
        <v>5.재고과다/재고부족_재고일수PHTINV_DIO2014</v>
      </c>
      <c r="B944" t="str">
        <f t="shared" si="29"/>
        <v>5.재고과다/재고부족_재고일수PHTINV_DIO201401</v>
      </c>
      <c r="F944" t="s">
        <v>264</v>
      </c>
      <c r="G944" t="s">
        <v>310</v>
      </c>
      <c r="H944" t="s">
        <v>307</v>
      </c>
      <c r="I944" t="s">
        <v>254</v>
      </c>
      <c r="J944" t="s">
        <v>22</v>
      </c>
      <c r="K944" t="s">
        <v>180</v>
      </c>
      <c r="L944">
        <v>72.984756294473797</v>
      </c>
      <c r="M944" t="s">
        <v>319</v>
      </c>
      <c r="N944" t="s">
        <v>319</v>
      </c>
    </row>
    <row r="945" spans="1:14">
      <c r="A945" t="str">
        <f t="shared" si="28"/>
        <v>5.재고과다/재고부족_재고일수PHTINV_DIO2014</v>
      </c>
      <c r="B945" t="str">
        <f t="shared" si="29"/>
        <v>5.재고과다/재고부족_재고일수PHTINV_DIO201402</v>
      </c>
      <c r="F945" t="s">
        <v>264</v>
      </c>
      <c r="G945" t="s">
        <v>310</v>
      </c>
      <c r="H945" t="s">
        <v>307</v>
      </c>
      <c r="I945" t="s">
        <v>254</v>
      </c>
      <c r="J945" t="s">
        <v>23</v>
      </c>
      <c r="K945" t="s">
        <v>180</v>
      </c>
      <c r="L945">
        <v>68.937857870908005</v>
      </c>
      <c r="M945" t="s">
        <v>319</v>
      </c>
      <c r="N945" t="s">
        <v>319</v>
      </c>
    </row>
    <row r="946" spans="1:14">
      <c r="A946" t="str">
        <f t="shared" si="28"/>
        <v>5.재고과다/재고부족_재고일수PHTINV_DIO2014</v>
      </c>
      <c r="B946" t="str">
        <f t="shared" si="29"/>
        <v>5.재고과다/재고부족_재고일수PHTINV_DIO201403</v>
      </c>
      <c r="F946" t="s">
        <v>264</v>
      </c>
      <c r="G946" t="s">
        <v>310</v>
      </c>
      <c r="H946" t="s">
        <v>307</v>
      </c>
      <c r="I946" t="s">
        <v>254</v>
      </c>
      <c r="J946" t="s">
        <v>24</v>
      </c>
      <c r="K946" t="s">
        <v>180</v>
      </c>
      <c r="L946">
        <v>39.5129568569577</v>
      </c>
      <c r="M946" t="s">
        <v>319</v>
      </c>
      <c r="N946" t="s">
        <v>319</v>
      </c>
    </row>
    <row r="947" spans="1:14">
      <c r="A947" t="str">
        <f t="shared" si="28"/>
        <v>5.재고과다/재고부족_재고일수PHTINV_DIO2014</v>
      </c>
      <c r="B947" t="str">
        <f t="shared" si="29"/>
        <v>5.재고과다/재고부족_재고일수PHTINV_DIO201404</v>
      </c>
      <c r="F947" t="s">
        <v>264</v>
      </c>
      <c r="G947" t="s">
        <v>310</v>
      </c>
      <c r="H947" t="s">
        <v>307</v>
      </c>
      <c r="I947" t="s">
        <v>254</v>
      </c>
      <c r="J947" t="s">
        <v>25</v>
      </c>
      <c r="K947" t="s">
        <v>180</v>
      </c>
      <c r="L947">
        <v>9.2245501147868794</v>
      </c>
      <c r="M947" t="s">
        <v>319</v>
      </c>
      <c r="N947" t="s">
        <v>319</v>
      </c>
    </row>
    <row r="948" spans="1:14">
      <c r="A948" t="str">
        <f t="shared" si="28"/>
        <v>5.재고과다/재고부족_재고일수PHTINV_DIO2014</v>
      </c>
      <c r="B948" t="str">
        <f t="shared" si="29"/>
        <v>5.재고과다/재고부족_재고일수PHTINV_DIO201405</v>
      </c>
      <c r="F948" t="s">
        <v>264</v>
      </c>
      <c r="G948" t="s">
        <v>310</v>
      </c>
      <c r="H948" t="s">
        <v>307</v>
      </c>
      <c r="I948" t="s">
        <v>254</v>
      </c>
      <c r="J948" t="s">
        <v>26</v>
      </c>
      <c r="K948" t="s">
        <v>180</v>
      </c>
      <c r="L948">
        <v>34.085130455732497</v>
      </c>
      <c r="M948" t="s">
        <v>319</v>
      </c>
      <c r="N948" t="s">
        <v>319</v>
      </c>
    </row>
    <row r="949" spans="1:14">
      <c r="A949" t="str">
        <f t="shared" si="28"/>
        <v>5.재고과다/재고부족_재고일수PHTINV_DIO2014</v>
      </c>
      <c r="B949" t="str">
        <f t="shared" si="29"/>
        <v>5.재고과다/재고부족_재고일수PHTINV_DIO201406</v>
      </c>
      <c r="F949" t="s">
        <v>264</v>
      </c>
      <c r="G949" t="s">
        <v>310</v>
      </c>
      <c r="H949" t="s">
        <v>307</v>
      </c>
      <c r="I949" t="s">
        <v>254</v>
      </c>
      <c r="J949" t="s">
        <v>27</v>
      </c>
      <c r="K949" t="s">
        <v>180</v>
      </c>
      <c r="L949">
        <v>39.121425274393502</v>
      </c>
      <c r="M949" t="s">
        <v>319</v>
      </c>
      <c r="N949" t="s">
        <v>319</v>
      </c>
    </row>
    <row r="950" spans="1:14">
      <c r="A950" t="str">
        <f t="shared" si="28"/>
        <v>5.재고과다/재고부족_재고일수PHTINV_DIO2014</v>
      </c>
      <c r="B950" t="str">
        <f t="shared" si="29"/>
        <v>5.재고과다/재고부족_재고일수PHTINV_DIO201407</v>
      </c>
      <c r="F950" t="s">
        <v>264</v>
      </c>
      <c r="G950" t="s">
        <v>310</v>
      </c>
      <c r="H950" t="s">
        <v>307</v>
      </c>
      <c r="I950" t="s">
        <v>254</v>
      </c>
      <c r="J950" t="s">
        <v>28</v>
      </c>
      <c r="K950" t="s">
        <v>180</v>
      </c>
      <c r="L950">
        <v>12.4059689526923</v>
      </c>
      <c r="M950" t="s">
        <v>319</v>
      </c>
      <c r="N950" t="s">
        <v>319</v>
      </c>
    </row>
    <row r="951" spans="1:14">
      <c r="A951" t="str">
        <f t="shared" si="28"/>
        <v>5.재고과다/재고부족_재고일수PHTINV_DIO2014</v>
      </c>
      <c r="B951" t="str">
        <f t="shared" si="29"/>
        <v>5.재고과다/재고부족_재고일수PHTINV_DIO201408</v>
      </c>
      <c r="F951" t="s">
        <v>264</v>
      </c>
      <c r="G951" t="s">
        <v>310</v>
      </c>
      <c r="H951" t="s">
        <v>307</v>
      </c>
      <c r="I951" t="s">
        <v>254</v>
      </c>
      <c r="J951" t="s">
        <v>29</v>
      </c>
      <c r="K951" t="s">
        <v>180</v>
      </c>
      <c r="L951">
        <v>89.069502276710395</v>
      </c>
      <c r="M951" t="s">
        <v>319</v>
      </c>
      <c r="N951" t="s">
        <v>319</v>
      </c>
    </row>
    <row r="952" spans="1:14">
      <c r="A952" t="str">
        <f t="shared" si="28"/>
        <v>5.재고과다/재고부족_재고일수PHTINV_DIO2014</v>
      </c>
      <c r="B952" t="str">
        <f t="shared" si="29"/>
        <v>5.재고과다/재고부족_재고일수PHTINV_DIO201409</v>
      </c>
      <c r="F952" t="s">
        <v>264</v>
      </c>
      <c r="G952" t="s">
        <v>310</v>
      </c>
      <c r="H952" t="s">
        <v>307</v>
      </c>
      <c r="I952" t="s">
        <v>254</v>
      </c>
      <c r="J952" t="s">
        <v>30</v>
      </c>
      <c r="K952" t="s">
        <v>180</v>
      </c>
      <c r="L952">
        <v>105.206863580128</v>
      </c>
      <c r="M952" t="s">
        <v>319</v>
      </c>
      <c r="N952" t="s">
        <v>319</v>
      </c>
    </row>
    <row r="953" spans="1:14">
      <c r="A953" t="str">
        <f t="shared" si="28"/>
        <v>5.재고과다/재고부족_재고일수PHTINV_DIO2014</v>
      </c>
      <c r="B953" t="str">
        <f t="shared" si="29"/>
        <v>5.재고과다/재고부족_재고일수PHTINV_DIO201410</v>
      </c>
      <c r="F953" t="s">
        <v>264</v>
      </c>
      <c r="G953" t="s">
        <v>310</v>
      </c>
      <c r="H953" t="s">
        <v>307</v>
      </c>
      <c r="I953" t="s">
        <v>254</v>
      </c>
      <c r="J953" t="s">
        <v>31</v>
      </c>
      <c r="K953" t="s">
        <v>180</v>
      </c>
      <c r="L953">
        <v>80.192256434193496</v>
      </c>
      <c r="M953" t="s">
        <v>319</v>
      </c>
      <c r="N953" t="s">
        <v>319</v>
      </c>
    </row>
    <row r="954" spans="1:14">
      <c r="A954" t="str">
        <f t="shared" si="28"/>
        <v>5.재고과다/재고부족_재고일수PHTINV_DIO2014</v>
      </c>
      <c r="B954" t="str">
        <f t="shared" si="29"/>
        <v>5.재고과다/재고부족_재고일수PHTINV_DIO201411</v>
      </c>
      <c r="F954" t="s">
        <v>264</v>
      </c>
      <c r="G954" t="s">
        <v>310</v>
      </c>
      <c r="H954" t="s">
        <v>307</v>
      </c>
      <c r="I954" t="s">
        <v>254</v>
      </c>
      <c r="J954" t="s">
        <v>32</v>
      </c>
      <c r="K954" t="s">
        <v>180</v>
      </c>
      <c r="L954">
        <v>40.808794251390502</v>
      </c>
      <c r="M954" t="s">
        <v>319</v>
      </c>
      <c r="N954" t="s">
        <v>319</v>
      </c>
    </row>
    <row r="955" spans="1:14">
      <c r="A955" t="str">
        <f t="shared" si="28"/>
        <v>5.재고과다/재고부족_재고일수PHTINV_DIO2014</v>
      </c>
      <c r="B955" t="str">
        <f t="shared" si="29"/>
        <v>5.재고과다/재고부족_재고일수PHTINV_DIO201412</v>
      </c>
      <c r="F955" t="s">
        <v>264</v>
      </c>
      <c r="G955" t="s">
        <v>310</v>
      </c>
      <c r="H955" t="s">
        <v>307</v>
      </c>
      <c r="I955" t="s">
        <v>254</v>
      </c>
      <c r="J955" t="s">
        <v>33</v>
      </c>
      <c r="K955" t="s">
        <v>180</v>
      </c>
      <c r="L955">
        <v>10.2658409537685</v>
      </c>
      <c r="M955" t="s">
        <v>319</v>
      </c>
      <c r="N955" t="s">
        <v>319</v>
      </c>
    </row>
    <row r="956" spans="1:14">
      <c r="A956" t="str">
        <f t="shared" si="28"/>
        <v>5.재고과다/재고부족_재고일수PHTINV_DIO2015</v>
      </c>
      <c r="B956" t="str">
        <f t="shared" si="29"/>
        <v>5.재고과다/재고부족_재고일수PHTINV_DIO201500</v>
      </c>
      <c r="F956" t="s">
        <v>264</v>
      </c>
      <c r="G956" t="s">
        <v>310</v>
      </c>
      <c r="H956" t="s">
        <v>307</v>
      </c>
      <c r="I956" t="s">
        <v>260</v>
      </c>
      <c r="J956" t="s">
        <v>261</v>
      </c>
      <c r="K956" t="s">
        <v>180</v>
      </c>
      <c r="M956" t="s">
        <v>319</v>
      </c>
      <c r="N956" t="s">
        <v>319</v>
      </c>
    </row>
    <row r="957" spans="1:14">
      <c r="A957" t="str">
        <f t="shared" si="28"/>
        <v>5.재고과다/재고부족_재고일수PHTINV_DIO2015</v>
      </c>
      <c r="B957" t="str">
        <f t="shared" si="29"/>
        <v>5.재고과다/재고부족_재고일수PHTINV_DIO201501</v>
      </c>
      <c r="F957" t="s">
        <v>264</v>
      </c>
      <c r="G957" t="s">
        <v>310</v>
      </c>
      <c r="H957" t="s">
        <v>307</v>
      </c>
      <c r="I957" t="s">
        <v>260</v>
      </c>
      <c r="J957" t="s">
        <v>34</v>
      </c>
      <c r="K957" t="s">
        <v>180</v>
      </c>
      <c r="L957">
        <v>93.9149286719435</v>
      </c>
      <c r="M957" t="s">
        <v>319</v>
      </c>
      <c r="N957" t="s">
        <v>319</v>
      </c>
    </row>
    <row r="958" spans="1:14">
      <c r="A958" t="str">
        <f t="shared" si="28"/>
        <v>5.재고과다/재고부족_재고일수PHTINV_DIO2015</v>
      </c>
      <c r="B958" t="str">
        <f t="shared" si="29"/>
        <v>5.재고과다/재고부족_재고일수PHTINV_DIO201502</v>
      </c>
      <c r="F958" t="s">
        <v>264</v>
      </c>
      <c r="G958" t="s">
        <v>310</v>
      </c>
      <c r="H958" t="s">
        <v>307</v>
      </c>
      <c r="I958" t="s">
        <v>260</v>
      </c>
      <c r="J958" t="s">
        <v>35</v>
      </c>
      <c r="K958" t="s">
        <v>180</v>
      </c>
      <c r="L958">
        <v>115.363716358563</v>
      </c>
      <c r="M958" t="s">
        <v>319</v>
      </c>
      <c r="N958" t="s">
        <v>319</v>
      </c>
    </row>
    <row r="959" spans="1:14">
      <c r="A959" t="str">
        <f t="shared" si="28"/>
        <v>5.재고과다/재고부족_재고일수PHTINV_DIO2015</v>
      </c>
      <c r="B959" t="str">
        <f t="shared" si="29"/>
        <v>5.재고과다/재고부족_재고일수PHTINV_DIO201503</v>
      </c>
      <c r="F959" t="s">
        <v>264</v>
      </c>
      <c r="G959" t="s">
        <v>310</v>
      </c>
      <c r="H959" t="s">
        <v>307</v>
      </c>
      <c r="I959" t="s">
        <v>260</v>
      </c>
      <c r="J959" t="s">
        <v>36</v>
      </c>
      <c r="K959" t="s">
        <v>180</v>
      </c>
      <c r="L959">
        <v>61.462664255436898</v>
      </c>
      <c r="M959" t="s">
        <v>319</v>
      </c>
      <c r="N959" t="s">
        <v>319</v>
      </c>
    </row>
    <row r="960" spans="1:14">
      <c r="A960" t="str">
        <f t="shared" si="28"/>
        <v>5.재고과다/재고부족_재고일수PHTINV_DIO2015</v>
      </c>
      <c r="B960" t="str">
        <f t="shared" si="29"/>
        <v>5.재고과다/재고부족_재고일수PHTINV_DIO201504</v>
      </c>
      <c r="F960" t="s">
        <v>264</v>
      </c>
      <c r="G960" t="s">
        <v>310</v>
      </c>
      <c r="H960" t="s">
        <v>307</v>
      </c>
      <c r="I960" t="s">
        <v>260</v>
      </c>
      <c r="J960" t="s">
        <v>37</v>
      </c>
      <c r="K960" t="s">
        <v>180</v>
      </c>
      <c r="L960">
        <v>31.068986124852501</v>
      </c>
      <c r="M960" t="s">
        <v>319</v>
      </c>
      <c r="N960" t="s">
        <v>319</v>
      </c>
    </row>
    <row r="961" spans="1:14">
      <c r="A961" t="str">
        <f t="shared" si="28"/>
        <v>5.재고과다/재고부족_재고일수PHTINV_DIO2015</v>
      </c>
      <c r="B961" t="str">
        <f t="shared" si="29"/>
        <v>5.재고과다/재고부족_재고일수PHTINV_DIO201505</v>
      </c>
      <c r="F961" t="s">
        <v>264</v>
      </c>
      <c r="G961" t="s">
        <v>310</v>
      </c>
      <c r="H961" t="s">
        <v>307</v>
      </c>
      <c r="I961" t="s">
        <v>260</v>
      </c>
      <c r="J961" t="s">
        <v>38</v>
      </c>
      <c r="K961" t="s">
        <v>180</v>
      </c>
      <c r="L961">
        <v>65.539543886570598</v>
      </c>
      <c r="M961" t="s">
        <v>319</v>
      </c>
      <c r="N961" t="s">
        <v>319</v>
      </c>
    </row>
    <row r="962" spans="1:14">
      <c r="A962" t="str">
        <f t="shared" si="28"/>
        <v>5.재고과다/재고부족_재고일수PHTINV_DIO2015</v>
      </c>
      <c r="B962" t="str">
        <f t="shared" si="29"/>
        <v>5.재고과다/재고부족_재고일수PHTINV_DIO201506</v>
      </c>
      <c r="F962" t="s">
        <v>264</v>
      </c>
      <c r="G962" t="s">
        <v>310</v>
      </c>
      <c r="H962" t="s">
        <v>307</v>
      </c>
      <c r="I962" t="s">
        <v>260</v>
      </c>
      <c r="J962" t="s">
        <v>39</v>
      </c>
      <c r="K962" t="s">
        <v>180</v>
      </c>
      <c r="L962">
        <v>-13.096166885430099</v>
      </c>
      <c r="M962" t="s">
        <v>319</v>
      </c>
      <c r="N962" t="s">
        <v>319</v>
      </c>
    </row>
    <row r="963" spans="1:14">
      <c r="A963" t="str">
        <f t="shared" si="28"/>
        <v>5.재고과다/재고부족_재고일수PHTINV_DIO2015</v>
      </c>
      <c r="B963" t="str">
        <f t="shared" si="29"/>
        <v>5.재고과다/재고부족_재고일수PHTINV_DIO201507</v>
      </c>
      <c r="F963" t="s">
        <v>264</v>
      </c>
      <c r="G963" t="s">
        <v>310</v>
      </c>
      <c r="H963" t="s">
        <v>307</v>
      </c>
      <c r="I963" t="s">
        <v>260</v>
      </c>
      <c r="J963" t="s">
        <v>40</v>
      </c>
      <c r="K963" t="s">
        <v>180</v>
      </c>
      <c r="L963">
        <v>-30.904965820210599</v>
      </c>
      <c r="M963" t="s">
        <v>319</v>
      </c>
      <c r="N963" t="s">
        <v>319</v>
      </c>
    </row>
    <row r="964" spans="1:14">
      <c r="A964" t="str">
        <f t="shared" si="28"/>
        <v>5.재고과다/재고부족_재고일수PHTINV_DIO2015</v>
      </c>
      <c r="B964" t="str">
        <f t="shared" si="29"/>
        <v>5.재고과다/재고부족_재고일수PHTINV_DIO201508</v>
      </c>
      <c r="F964" t="s">
        <v>264</v>
      </c>
      <c r="G964" t="s">
        <v>310</v>
      </c>
      <c r="H964" t="s">
        <v>307</v>
      </c>
      <c r="I964" t="s">
        <v>260</v>
      </c>
      <c r="J964" t="s">
        <v>41</v>
      </c>
      <c r="K964" t="s">
        <v>180</v>
      </c>
      <c r="L964">
        <v>77.061318515214396</v>
      </c>
      <c r="M964" t="s">
        <v>319</v>
      </c>
      <c r="N964" t="s">
        <v>319</v>
      </c>
    </row>
    <row r="965" spans="1:14">
      <c r="A965" t="str">
        <f t="shared" si="28"/>
        <v>5.재고과다/재고부족_재고일수PHTINV_DIO2015</v>
      </c>
      <c r="B965" t="str">
        <f t="shared" si="29"/>
        <v>5.재고과다/재고부족_재고일수PHTINV_DIO201509</v>
      </c>
      <c r="F965" t="s">
        <v>264</v>
      </c>
      <c r="G965" t="s">
        <v>310</v>
      </c>
      <c r="H965" t="s">
        <v>307</v>
      </c>
      <c r="I965" t="s">
        <v>260</v>
      </c>
      <c r="J965" t="s">
        <v>42</v>
      </c>
      <c r="K965" t="s">
        <v>180</v>
      </c>
      <c r="L965">
        <v>46.400174075656302</v>
      </c>
      <c r="M965" t="s">
        <v>319</v>
      </c>
      <c r="N965" t="s">
        <v>319</v>
      </c>
    </row>
    <row r="966" spans="1:14">
      <c r="A966" t="str">
        <f t="shared" si="28"/>
        <v>5.재고과다/재고부족_재고일수PHTINV_DIO2015</v>
      </c>
      <c r="B966" t="str">
        <f t="shared" si="29"/>
        <v>5.재고과다/재고부족_재고일수PHTINV_DIO201510</v>
      </c>
      <c r="F966" t="s">
        <v>264</v>
      </c>
      <c r="G966" t="s">
        <v>310</v>
      </c>
      <c r="H966" t="s">
        <v>307</v>
      </c>
      <c r="I966" t="s">
        <v>260</v>
      </c>
      <c r="J966" t="s">
        <v>1</v>
      </c>
      <c r="K966" t="s">
        <v>180</v>
      </c>
      <c r="L966">
        <v>68.235788651912102</v>
      </c>
      <c r="M966" t="s">
        <v>319</v>
      </c>
      <c r="N966" t="s">
        <v>319</v>
      </c>
    </row>
    <row r="967" spans="1:14">
      <c r="A967" t="str">
        <f t="shared" ref="A967:A1030" si="30">F967&amp;G967&amp;K967&amp;I967</f>
        <v>5.재고과다/재고부족_재고일수PJTINV_DIO2012</v>
      </c>
      <c r="B967" t="str">
        <f t="shared" ref="B967:B1030" si="31">F967&amp;G967&amp;K967&amp;J967</f>
        <v>5.재고과다/재고부족_재고일수PJTINV_DIO201200</v>
      </c>
      <c r="F967" t="s">
        <v>264</v>
      </c>
      <c r="G967" t="s">
        <v>311</v>
      </c>
      <c r="H967" t="s">
        <v>307</v>
      </c>
      <c r="I967" t="s">
        <v>226</v>
      </c>
      <c r="J967" t="s">
        <v>262</v>
      </c>
      <c r="K967" t="s">
        <v>180</v>
      </c>
      <c r="M967" t="s">
        <v>320</v>
      </c>
      <c r="N967" t="s">
        <v>320</v>
      </c>
    </row>
    <row r="968" spans="1:14">
      <c r="A968" t="str">
        <f t="shared" si="30"/>
        <v>5.재고과다/재고부족_재고일수PJTINV_DIO2012</v>
      </c>
      <c r="B968" t="str">
        <f t="shared" si="31"/>
        <v>5.재고과다/재고부족_재고일수PJTINV_DIO201201</v>
      </c>
      <c r="F968" t="s">
        <v>264</v>
      </c>
      <c r="G968" t="s">
        <v>311</v>
      </c>
      <c r="H968" t="s">
        <v>307</v>
      </c>
      <c r="I968" t="s">
        <v>226</v>
      </c>
      <c r="J968" t="s">
        <v>227</v>
      </c>
      <c r="K968" t="s">
        <v>180</v>
      </c>
      <c r="L968">
        <v>-67.432501899852994</v>
      </c>
      <c r="M968" t="s">
        <v>320</v>
      </c>
      <c r="N968" t="s">
        <v>320</v>
      </c>
    </row>
    <row r="969" spans="1:14">
      <c r="A969" t="str">
        <f t="shared" si="30"/>
        <v>5.재고과다/재고부족_재고일수PJTINV_DIO2012</v>
      </c>
      <c r="B969" t="str">
        <f t="shared" si="31"/>
        <v>5.재고과다/재고부족_재고일수PJTINV_DIO201202</v>
      </c>
      <c r="F969" t="s">
        <v>264</v>
      </c>
      <c r="G969" t="s">
        <v>311</v>
      </c>
      <c r="H969" t="s">
        <v>307</v>
      </c>
      <c r="I969" t="s">
        <v>226</v>
      </c>
      <c r="J969" t="s">
        <v>229</v>
      </c>
      <c r="K969" t="s">
        <v>180</v>
      </c>
      <c r="L969">
        <v>1128.1419641422201</v>
      </c>
      <c r="M969" t="s">
        <v>320</v>
      </c>
      <c r="N969" t="s">
        <v>320</v>
      </c>
    </row>
    <row r="970" spans="1:14">
      <c r="A970" t="str">
        <f t="shared" si="30"/>
        <v>5.재고과다/재고부족_재고일수PJTINV_DIO2012</v>
      </c>
      <c r="B970" t="str">
        <f t="shared" si="31"/>
        <v>5.재고과다/재고부족_재고일수PJTINV_DIO201203</v>
      </c>
      <c r="F970" t="s">
        <v>264</v>
      </c>
      <c r="G970" t="s">
        <v>311</v>
      </c>
      <c r="H970" t="s">
        <v>307</v>
      </c>
      <c r="I970" t="s">
        <v>226</v>
      </c>
      <c r="J970" t="s">
        <v>230</v>
      </c>
      <c r="K970" t="s">
        <v>180</v>
      </c>
      <c r="M970" t="s">
        <v>320</v>
      </c>
      <c r="N970" t="s">
        <v>320</v>
      </c>
    </row>
    <row r="971" spans="1:14">
      <c r="A971" t="str">
        <f t="shared" si="30"/>
        <v>5.재고과다/재고부족_재고일수PJTINV_DIO2012</v>
      </c>
      <c r="B971" t="str">
        <f t="shared" si="31"/>
        <v>5.재고과다/재고부족_재고일수PJTINV_DIO201204</v>
      </c>
      <c r="F971" t="s">
        <v>264</v>
      </c>
      <c r="G971" t="s">
        <v>311</v>
      </c>
      <c r="H971" t="s">
        <v>307</v>
      </c>
      <c r="I971" t="s">
        <v>226</v>
      </c>
      <c r="J971" t="s">
        <v>231</v>
      </c>
      <c r="K971" t="s">
        <v>180</v>
      </c>
      <c r="L971">
        <v>2.3125862932070002E-2</v>
      </c>
      <c r="M971" t="s">
        <v>320</v>
      </c>
      <c r="N971" t="s">
        <v>320</v>
      </c>
    </row>
    <row r="972" spans="1:14">
      <c r="A972" t="str">
        <f t="shared" si="30"/>
        <v>5.재고과다/재고부족_재고일수PJTINV_DIO2012</v>
      </c>
      <c r="B972" t="str">
        <f t="shared" si="31"/>
        <v>5.재고과다/재고부족_재고일수PJTINV_DIO201205</v>
      </c>
      <c r="F972" t="s">
        <v>264</v>
      </c>
      <c r="G972" t="s">
        <v>311</v>
      </c>
      <c r="H972" t="s">
        <v>307</v>
      </c>
      <c r="I972" t="s">
        <v>226</v>
      </c>
      <c r="J972" t="s">
        <v>232</v>
      </c>
      <c r="K972" t="s">
        <v>180</v>
      </c>
      <c r="L972">
        <v>91.3854975622626</v>
      </c>
      <c r="M972" t="s">
        <v>320</v>
      </c>
      <c r="N972" t="s">
        <v>320</v>
      </c>
    </row>
    <row r="973" spans="1:14">
      <c r="A973" t="str">
        <f t="shared" si="30"/>
        <v>5.재고과다/재고부족_재고일수PJTINV_DIO2012</v>
      </c>
      <c r="B973" t="str">
        <f t="shared" si="31"/>
        <v>5.재고과다/재고부족_재고일수PJTINV_DIO201206</v>
      </c>
      <c r="F973" t="s">
        <v>264</v>
      </c>
      <c r="G973" t="s">
        <v>311</v>
      </c>
      <c r="H973" t="s">
        <v>307</v>
      </c>
      <c r="I973" t="s">
        <v>226</v>
      </c>
      <c r="J973" t="s">
        <v>233</v>
      </c>
      <c r="K973" t="s">
        <v>180</v>
      </c>
      <c r="M973" t="s">
        <v>320</v>
      </c>
      <c r="N973" t="s">
        <v>320</v>
      </c>
    </row>
    <row r="974" spans="1:14">
      <c r="A974" t="str">
        <f t="shared" si="30"/>
        <v>5.재고과다/재고부족_재고일수PJTINV_DIO2012</v>
      </c>
      <c r="B974" t="str">
        <f t="shared" si="31"/>
        <v>5.재고과다/재고부족_재고일수PJTINV_DIO201207</v>
      </c>
      <c r="F974" t="s">
        <v>264</v>
      </c>
      <c r="G974" t="s">
        <v>311</v>
      </c>
      <c r="H974" t="s">
        <v>307</v>
      </c>
      <c r="I974" t="s">
        <v>226</v>
      </c>
      <c r="J974" t="s">
        <v>234</v>
      </c>
      <c r="K974" t="s">
        <v>180</v>
      </c>
      <c r="M974" t="s">
        <v>320</v>
      </c>
      <c r="N974" t="s">
        <v>320</v>
      </c>
    </row>
    <row r="975" spans="1:14">
      <c r="A975" t="str">
        <f t="shared" si="30"/>
        <v>5.재고과다/재고부족_재고일수PJTINV_DIO2012</v>
      </c>
      <c r="B975" t="str">
        <f t="shared" si="31"/>
        <v>5.재고과다/재고부족_재고일수PJTINV_DIO201208</v>
      </c>
      <c r="F975" t="s">
        <v>264</v>
      </c>
      <c r="G975" t="s">
        <v>311</v>
      </c>
      <c r="H975" t="s">
        <v>307</v>
      </c>
      <c r="I975" t="s">
        <v>226</v>
      </c>
      <c r="J975" t="s">
        <v>235</v>
      </c>
      <c r="K975" t="s">
        <v>180</v>
      </c>
      <c r="L975">
        <v>-1.5352312015924601</v>
      </c>
      <c r="M975" t="s">
        <v>320</v>
      </c>
      <c r="N975" t="s">
        <v>320</v>
      </c>
    </row>
    <row r="976" spans="1:14">
      <c r="A976" t="str">
        <f t="shared" si="30"/>
        <v>5.재고과다/재고부족_재고일수PJTINV_DIO2012</v>
      </c>
      <c r="B976" t="str">
        <f t="shared" si="31"/>
        <v>5.재고과다/재고부족_재고일수PJTINV_DIO201209</v>
      </c>
      <c r="F976" t="s">
        <v>264</v>
      </c>
      <c r="G976" t="s">
        <v>311</v>
      </c>
      <c r="H976" t="s">
        <v>307</v>
      </c>
      <c r="I976" t="s">
        <v>226</v>
      </c>
      <c r="J976" t="s">
        <v>236</v>
      </c>
      <c r="K976" t="s">
        <v>180</v>
      </c>
      <c r="L976">
        <v>-34.436347933494197</v>
      </c>
      <c r="M976" t="s">
        <v>320</v>
      </c>
      <c r="N976" t="s">
        <v>320</v>
      </c>
    </row>
    <row r="977" spans="1:14">
      <c r="A977" t="str">
        <f t="shared" si="30"/>
        <v>5.재고과다/재고부족_재고일수PJTINV_DIO2012</v>
      </c>
      <c r="B977" t="str">
        <f t="shared" si="31"/>
        <v>5.재고과다/재고부족_재고일수PJTINV_DIO201210</v>
      </c>
      <c r="F977" t="s">
        <v>264</v>
      </c>
      <c r="G977" t="s">
        <v>311</v>
      </c>
      <c r="H977" t="s">
        <v>307</v>
      </c>
      <c r="I977" t="s">
        <v>226</v>
      </c>
      <c r="J977" t="s">
        <v>237</v>
      </c>
      <c r="K977" t="s">
        <v>180</v>
      </c>
      <c r="M977" t="s">
        <v>320</v>
      </c>
      <c r="N977" t="s">
        <v>320</v>
      </c>
    </row>
    <row r="978" spans="1:14">
      <c r="A978" t="str">
        <f t="shared" si="30"/>
        <v>5.재고과다/재고부족_재고일수PJTINV_DIO2012</v>
      </c>
      <c r="B978" t="str">
        <f t="shared" si="31"/>
        <v>5.재고과다/재고부족_재고일수PJTINV_DIO201211</v>
      </c>
      <c r="F978" t="s">
        <v>264</v>
      </c>
      <c r="G978" t="s">
        <v>311</v>
      </c>
      <c r="H978" t="s">
        <v>307</v>
      </c>
      <c r="I978" t="s">
        <v>226</v>
      </c>
      <c r="J978" t="s">
        <v>238</v>
      </c>
      <c r="K978" t="s">
        <v>180</v>
      </c>
      <c r="L978">
        <v>3.20660062142331</v>
      </c>
      <c r="M978" t="s">
        <v>320</v>
      </c>
      <c r="N978" t="s">
        <v>320</v>
      </c>
    </row>
    <row r="979" spans="1:14">
      <c r="A979" t="str">
        <f t="shared" si="30"/>
        <v>5.재고과다/재고부족_재고일수PJTINV_DIO2012</v>
      </c>
      <c r="B979" t="str">
        <f t="shared" si="31"/>
        <v>5.재고과다/재고부족_재고일수PJTINV_DIO201212</v>
      </c>
      <c r="F979" t="s">
        <v>264</v>
      </c>
      <c r="G979" t="s">
        <v>311</v>
      </c>
      <c r="H979" t="s">
        <v>307</v>
      </c>
      <c r="I979" t="s">
        <v>226</v>
      </c>
      <c r="J979" t="s">
        <v>239</v>
      </c>
      <c r="K979" t="s">
        <v>180</v>
      </c>
      <c r="M979" t="s">
        <v>320</v>
      </c>
      <c r="N979" t="s">
        <v>320</v>
      </c>
    </row>
    <row r="980" spans="1:14">
      <c r="A980" t="str">
        <f t="shared" si="30"/>
        <v>5.재고과다/재고부족_재고일수PJTINV_DIO2013</v>
      </c>
      <c r="B980" t="str">
        <f t="shared" si="31"/>
        <v>5.재고과다/재고부족_재고일수PJTINV_DIO201300</v>
      </c>
      <c r="F980" t="s">
        <v>264</v>
      </c>
      <c r="G980" t="s">
        <v>311</v>
      </c>
      <c r="H980" t="s">
        <v>307</v>
      </c>
      <c r="I980" t="s">
        <v>240</v>
      </c>
      <c r="J980" t="s">
        <v>241</v>
      </c>
      <c r="K980" t="s">
        <v>180</v>
      </c>
      <c r="M980" t="s">
        <v>320</v>
      </c>
      <c r="N980" t="s">
        <v>320</v>
      </c>
    </row>
    <row r="981" spans="1:14">
      <c r="A981" t="str">
        <f t="shared" si="30"/>
        <v>5.재고과다/재고부족_재고일수PJTINV_DIO2013</v>
      </c>
      <c r="B981" t="str">
        <f t="shared" si="31"/>
        <v>5.재고과다/재고부족_재고일수PJTINV_DIO201301</v>
      </c>
      <c r="F981" t="s">
        <v>264</v>
      </c>
      <c r="G981" t="s">
        <v>311</v>
      </c>
      <c r="H981" t="s">
        <v>307</v>
      </c>
      <c r="I981" t="s">
        <v>240</v>
      </c>
      <c r="J981" t="s">
        <v>242</v>
      </c>
      <c r="K981" t="s">
        <v>180</v>
      </c>
      <c r="M981" t="s">
        <v>320</v>
      </c>
      <c r="N981" t="s">
        <v>320</v>
      </c>
    </row>
    <row r="982" spans="1:14">
      <c r="A982" t="str">
        <f t="shared" si="30"/>
        <v>5.재고과다/재고부족_재고일수PJTINV_DIO2013</v>
      </c>
      <c r="B982" t="str">
        <f t="shared" si="31"/>
        <v>5.재고과다/재고부족_재고일수PJTINV_DIO201302</v>
      </c>
      <c r="F982" t="s">
        <v>264</v>
      </c>
      <c r="G982" t="s">
        <v>311</v>
      </c>
      <c r="H982" t="s">
        <v>307</v>
      </c>
      <c r="I982" t="s">
        <v>240</v>
      </c>
      <c r="J982" t="s">
        <v>243</v>
      </c>
      <c r="K982" t="s">
        <v>180</v>
      </c>
      <c r="L982">
        <v>31974.277101675401</v>
      </c>
      <c r="M982" t="s">
        <v>320</v>
      </c>
      <c r="N982" t="s">
        <v>320</v>
      </c>
    </row>
    <row r="983" spans="1:14">
      <c r="A983" t="str">
        <f t="shared" si="30"/>
        <v>5.재고과다/재고부족_재고일수PJTINV_DIO2013</v>
      </c>
      <c r="B983" t="str">
        <f t="shared" si="31"/>
        <v>5.재고과다/재고부족_재고일수PJTINV_DIO201303</v>
      </c>
      <c r="F983" t="s">
        <v>264</v>
      </c>
      <c r="G983" t="s">
        <v>311</v>
      </c>
      <c r="H983" t="s">
        <v>307</v>
      </c>
      <c r="I983" t="s">
        <v>240</v>
      </c>
      <c r="J983" t="s">
        <v>244</v>
      </c>
      <c r="K983" t="s">
        <v>180</v>
      </c>
      <c r="M983" t="s">
        <v>320</v>
      </c>
      <c r="N983" t="s">
        <v>320</v>
      </c>
    </row>
    <row r="984" spans="1:14">
      <c r="A984" t="str">
        <f t="shared" si="30"/>
        <v>5.재고과다/재고부족_재고일수PJTINV_DIO2013</v>
      </c>
      <c r="B984" t="str">
        <f t="shared" si="31"/>
        <v>5.재고과다/재고부족_재고일수PJTINV_DIO201304</v>
      </c>
      <c r="F984" t="s">
        <v>264</v>
      </c>
      <c r="G984" t="s">
        <v>311</v>
      </c>
      <c r="H984" t="s">
        <v>307</v>
      </c>
      <c r="I984" t="s">
        <v>240</v>
      </c>
      <c r="J984" t="s">
        <v>245</v>
      </c>
      <c r="K984" t="s">
        <v>180</v>
      </c>
      <c r="L984">
        <v>-9138.4931115017898</v>
      </c>
      <c r="M984" t="s">
        <v>320</v>
      </c>
      <c r="N984" t="s">
        <v>320</v>
      </c>
    </row>
    <row r="985" spans="1:14">
      <c r="A985" t="str">
        <f t="shared" si="30"/>
        <v>5.재고과다/재고부족_재고일수PJTINV_DIO2013</v>
      </c>
      <c r="B985" t="str">
        <f t="shared" si="31"/>
        <v>5.재고과다/재고부족_재고일수PJTINV_DIO201305</v>
      </c>
      <c r="F985" t="s">
        <v>264</v>
      </c>
      <c r="G985" t="s">
        <v>311</v>
      </c>
      <c r="H985" t="s">
        <v>307</v>
      </c>
      <c r="I985" t="s">
        <v>240</v>
      </c>
      <c r="J985" t="s">
        <v>246</v>
      </c>
      <c r="K985" t="s">
        <v>180</v>
      </c>
      <c r="L985">
        <v>-53432.079150594298</v>
      </c>
      <c r="M985" t="s">
        <v>320</v>
      </c>
      <c r="N985" t="s">
        <v>320</v>
      </c>
    </row>
    <row r="986" spans="1:14">
      <c r="A986" t="str">
        <f t="shared" si="30"/>
        <v>5.재고과다/재고부족_재고일수PJTINV_DIO2013</v>
      </c>
      <c r="B986" t="str">
        <f t="shared" si="31"/>
        <v>5.재고과다/재고부족_재고일수PJTINV_DIO201306</v>
      </c>
      <c r="F986" t="s">
        <v>264</v>
      </c>
      <c r="G986" t="s">
        <v>311</v>
      </c>
      <c r="H986" t="s">
        <v>307</v>
      </c>
      <c r="I986" t="s">
        <v>240</v>
      </c>
      <c r="J986" t="s">
        <v>247</v>
      </c>
      <c r="K986" t="s">
        <v>180</v>
      </c>
      <c r="M986" t="s">
        <v>320</v>
      </c>
      <c r="N986" t="s">
        <v>320</v>
      </c>
    </row>
    <row r="987" spans="1:14">
      <c r="A987" t="str">
        <f t="shared" si="30"/>
        <v>5.재고과다/재고부족_재고일수PJTINV_DIO2013</v>
      </c>
      <c r="B987" t="str">
        <f t="shared" si="31"/>
        <v>5.재고과다/재고부족_재고일수PJTINV_DIO201307</v>
      </c>
      <c r="F987" t="s">
        <v>264</v>
      </c>
      <c r="G987" t="s">
        <v>311</v>
      </c>
      <c r="H987" t="s">
        <v>307</v>
      </c>
      <c r="I987" t="s">
        <v>240</v>
      </c>
      <c r="J987" t="s">
        <v>248</v>
      </c>
      <c r="K987" t="s">
        <v>180</v>
      </c>
      <c r="L987">
        <v>-17460.279993387601</v>
      </c>
      <c r="M987" t="s">
        <v>320</v>
      </c>
      <c r="N987" t="s">
        <v>320</v>
      </c>
    </row>
    <row r="988" spans="1:14">
      <c r="A988" t="str">
        <f t="shared" si="30"/>
        <v>5.재고과다/재고부족_재고일수PJTINV_DIO2013</v>
      </c>
      <c r="B988" t="str">
        <f t="shared" si="31"/>
        <v>5.재고과다/재고부족_재고일수PJTINV_DIO201308</v>
      </c>
      <c r="F988" t="s">
        <v>264</v>
      </c>
      <c r="G988" t="s">
        <v>311</v>
      </c>
      <c r="H988" t="s">
        <v>307</v>
      </c>
      <c r="I988" t="s">
        <v>240</v>
      </c>
      <c r="J988" t="s">
        <v>249</v>
      </c>
      <c r="K988" t="s">
        <v>180</v>
      </c>
      <c r="L988">
        <v>-70890.922058990996</v>
      </c>
      <c r="M988" t="s">
        <v>320</v>
      </c>
      <c r="N988" t="s">
        <v>320</v>
      </c>
    </row>
    <row r="989" spans="1:14">
      <c r="A989" t="str">
        <f t="shared" si="30"/>
        <v>5.재고과다/재고부족_재고일수PJTINV_DIO2013</v>
      </c>
      <c r="B989" t="str">
        <f t="shared" si="31"/>
        <v>5.재고과다/재고부족_재고일수PJTINV_DIO201309</v>
      </c>
      <c r="F989" t="s">
        <v>264</v>
      </c>
      <c r="G989" t="s">
        <v>311</v>
      </c>
      <c r="H989" t="s">
        <v>307</v>
      </c>
      <c r="I989" t="s">
        <v>240</v>
      </c>
      <c r="J989" t="s">
        <v>250</v>
      </c>
      <c r="K989" t="s">
        <v>180</v>
      </c>
      <c r="M989" t="s">
        <v>320</v>
      </c>
      <c r="N989" t="s">
        <v>320</v>
      </c>
    </row>
    <row r="990" spans="1:14">
      <c r="A990" t="str">
        <f t="shared" si="30"/>
        <v>5.재고과다/재고부족_재고일수PJTINV_DIO2013</v>
      </c>
      <c r="B990" t="str">
        <f t="shared" si="31"/>
        <v>5.재고과다/재고부족_재고일수PJTINV_DIO201310</v>
      </c>
      <c r="F990" t="s">
        <v>264</v>
      </c>
      <c r="G990" t="s">
        <v>311</v>
      </c>
      <c r="H990" t="s">
        <v>307</v>
      </c>
      <c r="I990" t="s">
        <v>240</v>
      </c>
      <c r="J990" t="s">
        <v>251</v>
      </c>
      <c r="K990" t="s">
        <v>180</v>
      </c>
      <c r="M990" t="s">
        <v>320</v>
      </c>
      <c r="N990" t="s">
        <v>320</v>
      </c>
    </row>
    <row r="991" spans="1:14">
      <c r="A991" t="str">
        <f t="shared" si="30"/>
        <v>5.재고과다/재고부족_재고일수PJTINV_DIO2013</v>
      </c>
      <c r="B991" t="str">
        <f t="shared" si="31"/>
        <v>5.재고과다/재고부족_재고일수PJTINV_DIO201311</v>
      </c>
      <c r="F991" t="s">
        <v>264</v>
      </c>
      <c r="G991" t="s">
        <v>311</v>
      </c>
      <c r="H991" t="s">
        <v>307</v>
      </c>
      <c r="I991" t="s">
        <v>240</v>
      </c>
      <c r="J991" t="s">
        <v>252</v>
      </c>
      <c r="K991" t="s">
        <v>180</v>
      </c>
      <c r="M991" t="s">
        <v>320</v>
      </c>
      <c r="N991" t="s">
        <v>320</v>
      </c>
    </row>
    <row r="992" spans="1:14">
      <c r="A992" t="str">
        <f t="shared" si="30"/>
        <v>5.재고과다/재고부족_재고일수PJTINV_DIO2013</v>
      </c>
      <c r="B992" t="str">
        <f t="shared" si="31"/>
        <v>5.재고과다/재고부족_재고일수PJTINV_DIO201312</v>
      </c>
      <c r="F992" t="s">
        <v>264</v>
      </c>
      <c r="G992" t="s">
        <v>311</v>
      </c>
      <c r="H992" t="s">
        <v>307</v>
      </c>
      <c r="I992" t="s">
        <v>240</v>
      </c>
      <c r="J992" t="s">
        <v>253</v>
      </c>
      <c r="K992" t="s">
        <v>180</v>
      </c>
      <c r="M992" t="s">
        <v>320</v>
      </c>
      <c r="N992" t="s">
        <v>320</v>
      </c>
    </row>
    <row r="993" spans="1:14">
      <c r="A993" t="str">
        <f t="shared" si="30"/>
        <v>5.재고과다/재고부족_재고일수PJTINV_DIO2014</v>
      </c>
      <c r="B993" t="str">
        <f t="shared" si="31"/>
        <v>5.재고과다/재고부족_재고일수PJTINV_DIO201400</v>
      </c>
      <c r="F993" t="s">
        <v>264</v>
      </c>
      <c r="G993" t="s">
        <v>311</v>
      </c>
      <c r="H993" t="s">
        <v>307</v>
      </c>
      <c r="I993" t="s">
        <v>254</v>
      </c>
      <c r="J993" t="s">
        <v>255</v>
      </c>
      <c r="K993" t="s">
        <v>180</v>
      </c>
      <c r="M993" t="s">
        <v>320</v>
      </c>
      <c r="N993" t="s">
        <v>320</v>
      </c>
    </row>
    <row r="994" spans="1:14">
      <c r="A994" t="str">
        <f t="shared" si="30"/>
        <v>5.재고과다/재고부족_재고일수PJTINV_DIO2014</v>
      </c>
      <c r="B994" t="str">
        <f t="shared" si="31"/>
        <v>5.재고과다/재고부족_재고일수PJTINV_DIO201401</v>
      </c>
      <c r="F994" t="s">
        <v>264</v>
      </c>
      <c r="G994" t="s">
        <v>311</v>
      </c>
      <c r="H994" t="s">
        <v>307</v>
      </c>
      <c r="I994" t="s">
        <v>254</v>
      </c>
      <c r="J994" t="s">
        <v>22</v>
      </c>
      <c r="K994" t="s">
        <v>180</v>
      </c>
      <c r="M994" t="s">
        <v>320</v>
      </c>
      <c r="N994" t="s">
        <v>320</v>
      </c>
    </row>
    <row r="995" spans="1:14">
      <c r="A995" t="str">
        <f t="shared" si="30"/>
        <v>5.재고과다/재고부족_재고일수PJTINV_DIO2014</v>
      </c>
      <c r="B995" t="str">
        <f t="shared" si="31"/>
        <v>5.재고과다/재고부족_재고일수PJTINV_DIO201402</v>
      </c>
      <c r="F995" t="s">
        <v>264</v>
      </c>
      <c r="G995" t="s">
        <v>311</v>
      </c>
      <c r="H995" t="s">
        <v>307</v>
      </c>
      <c r="I995" t="s">
        <v>254</v>
      </c>
      <c r="J995" t="s">
        <v>23</v>
      </c>
      <c r="K995" t="s">
        <v>180</v>
      </c>
      <c r="M995" t="s">
        <v>320</v>
      </c>
      <c r="N995" t="s">
        <v>320</v>
      </c>
    </row>
    <row r="996" spans="1:14">
      <c r="A996" t="str">
        <f t="shared" si="30"/>
        <v>5.재고과다/재고부족_재고일수PJTINV_DIO2014</v>
      </c>
      <c r="B996" t="str">
        <f t="shared" si="31"/>
        <v>5.재고과다/재고부족_재고일수PJTINV_DIO201403</v>
      </c>
      <c r="F996" t="s">
        <v>264</v>
      </c>
      <c r="G996" t="s">
        <v>311</v>
      </c>
      <c r="H996" t="s">
        <v>307</v>
      </c>
      <c r="I996" t="s">
        <v>254</v>
      </c>
      <c r="J996" t="s">
        <v>24</v>
      </c>
      <c r="K996" t="s">
        <v>180</v>
      </c>
      <c r="L996">
        <v>61.383071401558297</v>
      </c>
      <c r="M996" t="s">
        <v>320</v>
      </c>
      <c r="N996" t="s">
        <v>320</v>
      </c>
    </row>
    <row r="997" spans="1:14">
      <c r="A997" t="str">
        <f t="shared" si="30"/>
        <v>5.재고과다/재고부족_재고일수PJTINV_DIO2014</v>
      </c>
      <c r="B997" t="str">
        <f t="shared" si="31"/>
        <v>5.재고과다/재고부족_재고일수PJTINV_DIO201404</v>
      </c>
      <c r="F997" t="s">
        <v>264</v>
      </c>
      <c r="G997" t="s">
        <v>311</v>
      </c>
      <c r="H997" t="s">
        <v>307</v>
      </c>
      <c r="I997" t="s">
        <v>254</v>
      </c>
      <c r="J997" t="s">
        <v>25</v>
      </c>
      <c r="K997" t="s">
        <v>180</v>
      </c>
      <c r="L997">
        <v>30.779432797828001</v>
      </c>
      <c r="M997" t="s">
        <v>320</v>
      </c>
      <c r="N997" t="s">
        <v>320</v>
      </c>
    </row>
    <row r="998" spans="1:14">
      <c r="A998" t="str">
        <f t="shared" si="30"/>
        <v>5.재고과다/재고부족_재고일수PJTINV_DIO2014</v>
      </c>
      <c r="B998" t="str">
        <f t="shared" si="31"/>
        <v>5.재고과다/재고부족_재고일수PJTINV_DIO201405</v>
      </c>
      <c r="F998" t="s">
        <v>264</v>
      </c>
      <c r="G998" t="s">
        <v>311</v>
      </c>
      <c r="H998" t="s">
        <v>307</v>
      </c>
      <c r="I998" t="s">
        <v>254</v>
      </c>
      <c r="J998" t="s">
        <v>26</v>
      </c>
      <c r="K998" t="s">
        <v>180</v>
      </c>
      <c r="L998">
        <v>0.35728336768979402</v>
      </c>
      <c r="M998" t="s">
        <v>320</v>
      </c>
      <c r="N998" t="s">
        <v>320</v>
      </c>
    </row>
    <row r="999" spans="1:14">
      <c r="A999" t="str">
        <f t="shared" si="30"/>
        <v>5.재고과다/재고부족_재고일수PJTINV_DIO2014</v>
      </c>
      <c r="B999" t="str">
        <f t="shared" si="31"/>
        <v>5.재고과다/재고부족_재고일수PJTINV_DIO201406</v>
      </c>
      <c r="F999" t="s">
        <v>264</v>
      </c>
      <c r="G999" t="s">
        <v>311</v>
      </c>
      <c r="H999" t="s">
        <v>307</v>
      </c>
      <c r="I999" t="s">
        <v>254</v>
      </c>
      <c r="J999" t="s">
        <v>27</v>
      </c>
      <c r="K999" t="s">
        <v>180</v>
      </c>
      <c r="L999">
        <v>20.4398933771859</v>
      </c>
      <c r="M999" t="s">
        <v>320</v>
      </c>
      <c r="N999" t="s">
        <v>320</v>
      </c>
    </row>
    <row r="1000" spans="1:14">
      <c r="A1000" t="str">
        <f t="shared" si="30"/>
        <v>5.재고과다/재고부족_재고일수PJTINV_DIO2014</v>
      </c>
      <c r="B1000" t="str">
        <f t="shared" si="31"/>
        <v>5.재고과다/재고부족_재고일수PJTINV_DIO201407</v>
      </c>
      <c r="F1000" t="s">
        <v>264</v>
      </c>
      <c r="G1000" t="s">
        <v>311</v>
      </c>
      <c r="H1000" t="s">
        <v>307</v>
      </c>
      <c r="I1000" t="s">
        <v>254</v>
      </c>
      <c r="J1000" t="s">
        <v>28</v>
      </c>
      <c r="K1000" t="s">
        <v>180</v>
      </c>
      <c r="L1000">
        <v>4.5747580671677497</v>
      </c>
      <c r="M1000" t="s">
        <v>320</v>
      </c>
      <c r="N1000" t="s">
        <v>320</v>
      </c>
    </row>
    <row r="1001" spans="1:14">
      <c r="A1001" t="str">
        <f t="shared" si="30"/>
        <v>5.재고과다/재고부족_재고일수PJTINV_DIO2014</v>
      </c>
      <c r="B1001" t="str">
        <f t="shared" si="31"/>
        <v>5.재고과다/재고부족_재고일수PJTINV_DIO201408</v>
      </c>
      <c r="F1001" t="s">
        <v>264</v>
      </c>
      <c r="G1001" t="s">
        <v>311</v>
      </c>
      <c r="H1001" t="s">
        <v>307</v>
      </c>
      <c r="I1001" t="s">
        <v>254</v>
      </c>
      <c r="J1001" t="s">
        <v>29</v>
      </c>
      <c r="K1001" t="s">
        <v>180</v>
      </c>
      <c r="L1001">
        <v>29.993773314142999</v>
      </c>
      <c r="M1001" t="s">
        <v>320</v>
      </c>
      <c r="N1001" t="s">
        <v>320</v>
      </c>
    </row>
    <row r="1002" spans="1:14">
      <c r="A1002" t="str">
        <f t="shared" si="30"/>
        <v>5.재고과다/재고부족_재고일수PJTINV_DIO2014</v>
      </c>
      <c r="B1002" t="str">
        <f t="shared" si="31"/>
        <v>5.재고과다/재고부족_재고일수PJTINV_DIO201409</v>
      </c>
      <c r="F1002" t="s">
        <v>264</v>
      </c>
      <c r="G1002" t="s">
        <v>311</v>
      </c>
      <c r="H1002" t="s">
        <v>307</v>
      </c>
      <c r="I1002" t="s">
        <v>254</v>
      </c>
      <c r="J1002" t="s">
        <v>30</v>
      </c>
      <c r="K1002" t="s">
        <v>180</v>
      </c>
      <c r="L1002">
        <v>1.07042715160123</v>
      </c>
      <c r="M1002" t="s">
        <v>320</v>
      </c>
      <c r="N1002" t="s">
        <v>320</v>
      </c>
    </row>
    <row r="1003" spans="1:14">
      <c r="A1003" t="str">
        <f t="shared" si="30"/>
        <v>5.재고과다/재고부족_재고일수PJTINV_DIO2014</v>
      </c>
      <c r="B1003" t="str">
        <f t="shared" si="31"/>
        <v>5.재고과다/재고부족_재고일수PJTINV_DIO201410</v>
      </c>
      <c r="F1003" t="s">
        <v>264</v>
      </c>
      <c r="G1003" t="s">
        <v>311</v>
      </c>
      <c r="H1003" t="s">
        <v>307</v>
      </c>
      <c r="I1003" t="s">
        <v>254</v>
      </c>
      <c r="J1003" t="s">
        <v>31</v>
      </c>
      <c r="K1003" t="s">
        <v>180</v>
      </c>
      <c r="L1003">
        <v>34.324637309175301</v>
      </c>
      <c r="M1003" t="s">
        <v>320</v>
      </c>
      <c r="N1003" t="s">
        <v>320</v>
      </c>
    </row>
    <row r="1004" spans="1:14">
      <c r="A1004" t="str">
        <f t="shared" si="30"/>
        <v>5.재고과다/재고부족_재고일수PJTINV_DIO2014</v>
      </c>
      <c r="B1004" t="str">
        <f t="shared" si="31"/>
        <v>5.재고과다/재고부족_재고일수PJTINV_DIO201411</v>
      </c>
      <c r="F1004" t="s">
        <v>264</v>
      </c>
      <c r="G1004" t="s">
        <v>311</v>
      </c>
      <c r="H1004" t="s">
        <v>307</v>
      </c>
      <c r="I1004" t="s">
        <v>254</v>
      </c>
      <c r="J1004" t="s">
        <v>32</v>
      </c>
      <c r="K1004" t="s">
        <v>180</v>
      </c>
      <c r="L1004">
        <v>3.8585302979760598</v>
      </c>
      <c r="M1004" t="s">
        <v>320</v>
      </c>
      <c r="N1004" t="s">
        <v>320</v>
      </c>
    </row>
    <row r="1005" spans="1:14">
      <c r="A1005" t="str">
        <f t="shared" si="30"/>
        <v>5.재고과다/재고부족_재고일수PJTINV_DIO2014</v>
      </c>
      <c r="B1005" t="str">
        <f t="shared" si="31"/>
        <v>5.재고과다/재고부족_재고일수PJTINV_DIO201412</v>
      </c>
      <c r="F1005" t="s">
        <v>264</v>
      </c>
      <c r="G1005" t="s">
        <v>311</v>
      </c>
      <c r="H1005" t="s">
        <v>307</v>
      </c>
      <c r="I1005" t="s">
        <v>254</v>
      </c>
      <c r="J1005" t="s">
        <v>33</v>
      </c>
      <c r="K1005" t="s">
        <v>180</v>
      </c>
      <c r="M1005" t="s">
        <v>320</v>
      </c>
      <c r="N1005" t="s">
        <v>320</v>
      </c>
    </row>
    <row r="1006" spans="1:14">
      <c r="A1006" t="str">
        <f t="shared" si="30"/>
        <v>5.재고과다/재고부족_재고일수PJTINV_DIO2015</v>
      </c>
      <c r="B1006" t="str">
        <f t="shared" si="31"/>
        <v>5.재고과다/재고부족_재고일수PJTINV_DIO201500</v>
      </c>
      <c r="F1006" t="s">
        <v>264</v>
      </c>
      <c r="G1006" t="s">
        <v>311</v>
      </c>
      <c r="H1006" t="s">
        <v>307</v>
      </c>
      <c r="I1006" t="s">
        <v>260</v>
      </c>
      <c r="J1006" t="s">
        <v>261</v>
      </c>
      <c r="K1006" t="s">
        <v>180</v>
      </c>
      <c r="M1006" t="s">
        <v>320</v>
      </c>
      <c r="N1006" t="s">
        <v>320</v>
      </c>
    </row>
    <row r="1007" spans="1:14">
      <c r="A1007" t="str">
        <f t="shared" si="30"/>
        <v>5.재고과다/재고부족_재고일수PJTINV_DIO2015</v>
      </c>
      <c r="B1007" t="str">
        <f t="shared" si="31"/>
        <v>5.재고과다/재고부족_재고일수PJTINV_DIO201501</v>
      </c>
      <c r="F1007" t="s">
        <v>264</v>
      </c>
      <c r="G1007" t="s">
        <v>311</v>
      </c>
      <c r="H1007" t="s">
        <v>307</v>
      </c>
      <c r="I1007" t="s">
        <v>260</v>
      </c>
      <c r="J1007" t="s">
        <v>34</v>
      </c>
      <c r="K1007" t="s">
        <v>180</v>
      </c>
      <c r="M1007" t="s">
        <v>320</v>
      </c>
      <c r="N1007" t="s">
        <v>320</v>
      </c>
    </row>
    <row r="1008" spans="1:14">
      <c r="A1008" t="str">
        <f t="shared" si="30"/>
        <v>5.재고과다/재고부족_재고일수PJTINV_DIO2015</v>
      </c>
      <c r="B1008" t="str">
        <f t="shared" si="31"/>
        <v>5.재고과다/재고부족_재고일수PJTINV_DIO201502</v>
      </c>
      <c r="F1008" t="s">
        <v>264</v>
      </c>
      <c r="G1008" t="s">
        <v>311</v>
      </c>
      <c r="H1008" t="s">
        <v>307</v>
      </c>
      <c r="I1008" t="s">
        <v>260</v>
      </c>
      <c r="J1008" t="s">
        <v>35</v>
      </c>
      <c r="K1008" t="s">
        <v>180</v>
      </c>
      <c r="L1008">
        <v>-75891.421683244494</v>
      </c>
      <c r="M1008" t="s">
        <v>320</v>
      </c>
      <c r="N1008" t="s">
        <v>320</v>
      </c>
    </row>
    <row r="1009" spans="1:14">
      <c r="A1009" t="str">
        <f t="shared" si="30"/>
        <v>5.재고과다/재고부족_재고일수PJTINV_DIO2015</v>
      </c>
      <c r="B1009" t="str">
        <f t="shared" si="31"/>
        <v>5.재고과다/재고부족_재고일수PJTINV_DIO201503</v>
      </c>
      <c r="F1009" t="s">
        <v>264</v>
      </c>
      <c r="G1009" t="s">
        <v>311</v>
      </c>
      <c r="H1009" t="s">
        <v>307</v>
      </c>
      <c r="I1009" t="s">
        <v>260</v>
      </c>
      <c r="J1009" t="s">
        <v>36</v>
      </c>
      <c r="K1009" t="s">
        <v>180</v>
      </c>
      <c r="L1009">
        <v>-346916.60651035799</v>
      </c>
      <c r="M1009" t="s">
        <v>320</v>
      </c>
      <c r="N1009" t="s">
        <v>320</v>
      </c>
    </row>
    <row r="1010" spans="1:14">
      <c r="A1010" t="str">
        <f t="shared" si="30"/>
        <v>5.재고과다/재고부족_재고일수PJTINV_DIO2015</v>
      </c>
      <c r="B1010" t="str">
        <f t="shared" si="31"/>
        <v>5.재고과다/재고부족_재고일수PJTINV_DIO201504</v>
      </c>
      <c r="F1010" t="s">
        <v>264</v>
      </c>
      <c r="G1010" t="s">
        <v>311</v>
      </c>
      <c r="H1010" t="s">
        <v>307</v>
      </c>
      <c r="I1010" t="s">
        <v>260</v>
      </c>
      <c r="J1010" t="s">
        <v>37</v>
      </c>
      <c r="K1010" t="s">
        <v>180</v>
      </c>
      <c r="L1010">
        <v>-85449.492390284096</v>
      </c>
      <c r="M1010" t="s">
        <v>320</v>
      </c>
      <c r="N1010" t="s">
        <v>320</v>
      </c>
    </row>
    <row r="1011" spans="1:14">
      <c r="A1011" t="str">
        <f t="shared" si="30"/>
        <v>5.재고과다/재고부족_재고일수PJTINV_DIO2015</v>
      </c>
      <c r="B1011" t="str">
        <f t="shared" si="31"/>
        <v>5.재고과다/재고부족_재고일수PJTINV_DIO201505</v>
      </c>
      <c r="F1011" t="s">
        <v>264</v>
      </c>
      <c r="G1011" t="s">
        <v>311</v>
      </c>
      <c r="H1011" t="s">
        <v>307</v>
      </c>
      <c r="I1011" t="s">
        <v>260</v>
      </c>
      <c r="J1011" t="s">
        <v>38</v>
      </c>
      <c r="K1011" t="s">
        <v>180</v>
      </c>
      <c r="L1011">
        <v>43242.597299502697</v>
      </c>
      <c r="M1011" t="s">
        <v>320</v>
      </c>
      <c r="N1011" t="s">
        <v>320</v>
      </c>
    </row>
    <row r="1012" spans="1:14">
      <c r="A1012" t="str">
        <f t="shared" si="30"/>
        <v>5.재고과다/재고부족_재고일수PJTINV_DIO2015</v>
      </c>
      <c r="B1012" t="str">
        <f t="shared" si="31"/>
        <v>5.재고과다/재고부족_재고일수PJTINV_DIO201506</v>
      </c>
      <c r="F1012" t="s">
        <v>264</v>
      </c>
      <c r="G1012" t="s">
        <v>311</v>
      </c>
      <c r="H1012" t="s">
        <v>307</v>
      </c>
      <c r="I1012" t="s">
        <v>260</v>
      </c>
      <c r="J1012" t="s">
        <v>39</v>
      </c>
      <c r="K1012" t="s">
        <v>180</v>
      </c>
      <c r="L1012">
        <v>63.278853623692697</v>
      </c>
      <c r="M1012" t="s">
        <v>320</v>
      </c>
      <c r="N1012" t="s">
        <v>320</v>
      </c>
    </row>
    <row r="1013" spans="1:14">
      <c r="A1013" t="str">
        <f t="shared" si="30"/>
        <v>5.재고과다/재고부족_재고일수PJTINV_DIO2015</v>
      </c>
      <c r="B1013" t="str">
        <f t="shared" si="31"/>
        <v>5.재고과다/재고부족_재고일수PJTINV_DIO201507</v>
      </c>
      <c r="F1013" t="s">
        <v>264</v>
      </c>
      <c r="G1013" t="s">
        <v>311</v>
      </c>
      <c r="H1013" t="s">
        <v>307</v>
      </c>
      <c r="I1013" t="s">
        <v>260</v>
      </c>
      <c r="J1013" t="s">
        <v>40</v>
      </c>
      <c r="K1013" t="s">
        <v>180</v>
      </c>
      <c r="L1013">
        <v>32.872403638978</v>
      </c>
      <c r="M1013" t="s">
        <v>320</v>
      </c>
      <c r="N1013" t="s">
        <v>320</v>
      </c>
    </row>
    <row r="1014" spans="1:14">
      <c r="A1014" t="str">
        <f t="shared" si="30"/>
        <v>5.재고과다/재고부족_재고일수PJTINV_DIO2015</v>
      </c>
      <c r="B1014" t="str">
        <f t="shared" si="31"/>
        <v>5.재고과다/재고부족_재고일수PJTINV_DIO201508</v>
      </c>
      <c r="F1014" t="s">
        <v>264</v>
      </c>
      <c r="G1014" t="s">
        <v>311</v>
      </c>
      <c r="H1014" t="s">
        <v>307</v>
      </c>
      <c r="I1014" t="s">
        <v>260</v>
      </c>
      <c r="J1014" t="s">
        <v>41</v>
      </c>
      <c r="K1014" t="s">
        <v>180</v>
      </c>
      <c r="L1014">
        <v>2.4319817820213898</v>
      </c>
      <c r="M1014" t="s">
        <v>320</v>
      </c>
      <c r="N1014" t="s">
        <v>320</v>
      </c>
    </row>
    <row r="1015" spans="1:14">
      <c r="A1015" t="str">
        <f t="shared" si="30"/>
        <v>5.재고과다/재고부족_재고일수PJTINV_DIO2015</v>
      </c>
      <c r="B1015" t="str">
        <f t="shared" si="31"/>
        <v>5.재고과다/재고부족_재고일수PJTINV_DIO201509</v>
      </c>
      <c r="F1015" t="s">
        <v>264</v>
      </c>
      <c r="G1015" t="s">
        <v>311</v>
      </c>
      <c r="H1015" t="s">
        <v>307</v>
      </c>
      <c r="I1015" t="s">
        <v>260</v>
      </c>
      <c r="J1015" t="s">
        <v>42</v>
      </c>
      <c r="K1015" t="s">
        <v>180</v>
      </c>
      <c r="L1015">
        <v>5.6803502266173203</v>
      </c>
      <c r="M1015" t="s">
        <v>320</v>
      </c>
      <c r="N1015" t="s">
        <v>320</v>
      </c>
    </row>
    <row r="1016" spans="1:14">
      <c r="A1016" t="str">
        <f t="shared" si="30"/>
        <v>5.재고과다/재고부족_재고일수PJTINV_DIO2015</v>
      </c>
      <c r="B1016" t="str">
        <f t="shared" si="31"/>
        <v>5.재고과다/재고부족_재고일수PJTINV_DIO201510</v>
      </c>
      <c r="F1016" t="s">
        <v>264</v>
      </c>
      <c r="G1016" t="s">
        <v>311</v>
      </c>
      <c r="H1016" t="s">
        <v>307</v>
      </c>
      <c r="I1016" t="s">
        <v>260</v>
      </c>
      <c r="J1016" t="s">
        <v>1</v>
      </c>
      <c r="K1016" t="s">
        <v>180</v>
      </c>
      <c r="M1016" t="s">
        <v>320</v>
      </c>
      <c r="N1016" t="s">
        <v>320</v>
      </c>
    </row>
    <row r="1017" spans="1:14">
      <c r="A1017" t="str">
        <f t="shared" si="30"/>
        <v>5.재고과다/재고부족_재고일수PNTINV_DIO2012</v>
      </c>
      <c r="B1017" t="str">
        <f t="shared" si="31"/>
        <v>5.재고과다/재고부족_재고일수PNTINV_DIO201200</v>
      </c>
      <c r="F1017" t="s">
        <v>264</v>
      </c>
      <c r="G1017" t="s">
        <v>17</v>
      </c>
      <c r="H1017" t="s">
        <v>307</v>
      </c>
      <c r="I1017" t="s">
        <v>226</v>
      </c>
      <c r="J1017" t="s">
        <v>262</v>
      </c>
      <c r="K1017" t="s">
        <v>180</v>
      </c>
      <c r="M1017" t="s">
        <v>60</v>
      </c>
      <c r="N1017" t="s">
        <v>60</v>
      </c>
    </row>
    <row r="1018" spans="1:14">
      <c r="A1018" t="str">
        <f t="shared" si="30"/>
        <v>5.재고과다/재고부족_재고일수PNTINV_DIO2012</v>
      </c>
      <c r="B1018" t="str">
        <f t="shared" si="31"/>
        <v>5.재고과다/재고부족_재고일수PNTINV_DIO201201</v>
      </c>
      <c r="F1018" t="s">
        <v>264</v>
      </c>
      <c r="G1018" t="s">
        <v>17</v>
      </c>
      <c r="H1018" t="s">
        <v>307</v>
      </c>
      <c r="I1018" t="s">
        <v>226</v>
      </c>
      <c r="J1018" t="s">
        <v>227</v>
      </c>
      <c r="K1018" t="s">
        <v>180</v>
      </c>
      <c r="L1018">
        <v>55.440271245534802</v>
      </c>
      <c r="M1018" t="s">
        <v>60</v>
      </c>
      <c r="N1018" t="s">
        <v>60</v>
      </c>
    </row>
    <row r="1019" spans="1:14">
      <c r="A1019" t="str">
        <f t="shared" si="30"/>
        <v>5.재고과다/재고부족_재고일수PNTINV_DIO2012</v>
      </c>
      <c r="B1019" t="str">
        <f t="shared" si="31"/>
        <v>5.재고과다/재고부족_재고일수PNTINV_DIO201202</v>
      </c>
      <c r="F1019" t="s">
        <v>264</v>
      </c>
      <c r="G1019" t="s">
        <v>17</v>
      </c>
      <c r="H1019" t="s">
        <v>307</v>
      </c>
      <c r="I1019" t="s">
        <v>226</v>
      </c>
      <c r="J1019" t="s">
        <v>229</v>
      </c>
      <c r="K1019" t="s">
        <v>180</v>
      </c>
      <c r="L1019">
        <v>53.474658354091403</v>
      </c>
      <c r="M1019" t="s">
        <v>60</v>
      </c>
      <c r="N1019" t="s">
        <v>60</v>
      </c>
    </row>
    <row r="1020" spans="1:14">
      <c r="A1020" t="str">
        <f t="shared" si="30"/>
        <v>5.재고과다/재고부족_재고일수PNTINV_DIO2012</v>
      </c>
      <c r="B1020" t="str">
        <f t="shared" si="31"/>
        <v>5.재고과다/재고부족_재고일수PNTINV_DIO201203</v>
      </c>
      <c r="F1020" t="s">
        <v>264</v>
      </c>
      <c r="G1020" t="s">
        <v>17</v>
      </c>
      <c r="H1020" t="s">
        <v>307</v>
      </c>
      <c r="I1020" t="s">
        <v>226</v>
      </c>
      <c r="J1020" t="s">
        <v>230</v>
      </c>
      <c r="K1020" t="s">
        <v>180</v>
      </c>
      <c r="L1020">
        <v>43.952037578352503</v>
      </c>
      <c r="M1020" t="s">
        <v>60</v>
      </c>
      <c r="N1020" t="s">
        <v>60</v>
      </c>
    </row>
    <row r="1021" spans="1:14">
      <c r="A1021" t="str">
        <f t="shared" si="30"/>
        <v>5.재고과다/재고부족_재고일수PNTINV_DIO2012</v>
      </c>
      <c r="B1021" t="str">
        <f t="shared" si="31"/>
        <v>5.재고과다/재고부족_재고일수PNTINV_DIO201204</v>
      </c>
      <c r="F1021" t="s">
        <v>264</v>
      </c>
      <c r="G1021" t="s">
        <v>17</v>
      </c>
      <c r="H1021" t="s">
        <v>307</v>
      </c>
      <c r="I1021" t="s">
        <v>226</v>
      </c>
      <c r="J1021" t="s">
        <v>231</v>
      </c>
      <c r="K1021" t="s">
        <v>180</v>
      </c>
      <c r="L1021">
        <v>53.012445382964202</v>
      </c>
      <c r="M1021" t="s">
        <v>60</v>
      </c>
      <c r="N1021" t="s">
        <v>60</v>
      </c>
    </row>
    <row r="1022" spans="1:14">
      <c r="A1022" t="str">
        <f t="shared" si="30"/>
        <v>5.재고과다/재고부족_재고일수PNTINV_DIO2012</v>
      </c>
      <c r="B1022" t="str">
        <f t="shared" si="31"/>
        <v>5.재고과다/재고부족_재고일수PNTINV_DIO201205</v>
      </c>
      <c r="F1022" t="s">
        <v>264</v>
      </c>
      <c r="G1022" t="s">
        <v>17</v>
      </c>
      <c r="H1022" t="s">
        <v>307</v>
      </c>
      <c r="I1022" t="s">
        <v>226</v>
      </c>
      <c r="J1022" t="s">
        <v>232</v>
      </c>
      <c r="K1022" t="s">
        <v>180</v>
      </c>
      <c r="L1022">
        <v>64.844696786106795</v>
      </c>
      <c r="M1022" t="s">
        <v>60</v>
      </c>
      <c r="N1022" t="s">
        <v>60</v>
      </c>
    </row>
    <row r="1023" spans="1:14">
      <c r="A1023" t="str">
        <f t="shared" si="30"/>
        <v>5.재고과다/재고부족_재고일수PNTINV_DIO2012</v>
      </c>
      <c r="B1023" t="str">
        <f t="shared" si="31"/>
        <v>5.재고과다/재고부족_재고일수PNTINV_DIO201206</v>
      </c>
      <c r="F1023" t="s">
        <v>264</v>
      </c>
      <c r="G1023" t="s">
        <v>17</v>
      </c>
      <c r="H1023" t="s">
        <v>307</v>
      </c>
      <c r="I1023" t="s">
        <v>226</v>
      </c>
      <c r="J1023" t="s">
        <v>233</v>
      </c>
      <c r="K1023" t="s">
        <v>180</v>
      </c>
      <c r="L1023">
        <v>48.955287239643603</v>
      </c>
      <c r="M1023" t="s">
        <v>60</v>
      </c>
      <c r="N1023" t="s">
        <v>60</v>
      </c>
    </row>
    <row r="1024" spans="1:14">
      <c r="A1024" t="str">
        <f t="shared" si="30"/>
        <v>5.재고과다/재고부족_재고일수PNTINV_DIO2012</v>
      </c>
      <c r="B1024" t="str">
        <f t="shared" si="31"/>
        <v>5.재고과다/재고부족_재고일수PNTINV_DIO201207</v>
      </c>
      <c r="F1024" t="s">
        <v>264</v>
      </c>
      <c r="G1024" t="s">
        <v>17</v>
      </c>
      <c r="H1024" t="s">
        <v>307</v>
      </c>
      <c r="I1024" t="s">
        <v>226</v>
      </c>
      <c r="J1024" t="s">
        <v>234</v>
      </c>
      <c r="K1024" t="s">
        <v>180</v>
      </c>
      <c r="L1024">
        <v>52.861549686656801</v>
      </c>
      <c r="M1024" t="s">
        <v>60</v>
      </c>
      <c r="N1024" t="s">
        <v>60</v>
      </c>
    </row>
    <row r="1025" spans="1:14">
      <c r="A1025" t="str">
        <f t="shared" si="30"/>
        <v>5.재고과다/재고부족_재고일수PNTINV_DIO2012</v>
      </c>
      <c r="B1025" t="str">
        <f t="shared" si="31"/>
        <v>5.재고과다/재고부족_재고일수PNTINV_DIO201208</v>
      </c>
      <c r="F1025" t="s">
        <v>264</v>
      </c>
      <c r="G1025" t="s">
        <v>17</v>
      </c>
      <c r="H1025" t="s">
        <v>307</v>
      </c>
      <c r="I1025" t="s">
        <v>226</v>
      </c>
      <c r="J1025" t="s">
        <v>235</v>
      </c>
      <c r="K1025" t="s">
        <v>180</v>
      </c>
      <c r="L1025">
        <v>44.039311560662398</v>
      </c>
      <c r="M1025" t="s">
        <v>60</v>
      </c>
      <c r="N1025" t="s">
        <v>60</v>
      </c>
    </row>
    <row r="1026" spans="1:14">
      <c r="A1026" t="str">
        <f t="shared" si="30"/>
        <v>5.재고과다/재고부족_재고일수PNTINV_DIO2012</v>
      </c>
      <c r="B1026" t="str">
        <f t="shared" si="31"/>
        <v>5.재고과다/재고부족_재고일수PNTINV_DIO201209</v>
      </c>
      <c r="F1026" t="s">
        <v>264</v>
      </c>
      <c r="G1026" t="s">
        <v>17</v>
      </c>
      <c r="H1026" t="s">
        <v>307</v>
      </c>
      <c r="I1026" t="s">
        <v>226</v>
      </c>
      <c r="J1026" t="s">
        <v>236</v>
      </c>
      <c r="K1026" t="s">
        <v>180</v>
      </c>
      <c r="L1026">
        <v>38.804807154641203</v>
      </c>
      <c r="M1026" t="s">
        <v>60</v>
      </c>
      <c r="N1026" t="s">
        <v>60</v>
      </c>
    </row>
    <row r="1027" spans="1:14">
      <c r="A1027" t="str">
        <f t="shared" si="30"/>
        <v>5.재고과다/재고부족_재고일수PNTINV_DIO2012</v>
      </c>
      <c r="B1027" t="str">
        <f t="shared" si="31"/>
        <v>5.재고과다/재고부족_재고일수PNTINV_DIO201210</v>
      </c>
      <c r="F1027" t="s">
        <v>264</v>
      </c>
      <c r="G1027" t="s">
        <v>17</v>
      </c>
      <c r="H1027" t="s">
        <v>307</v>
      </c>
      <c r="I1027" t="s">
        <v>226</v>
      </c>
      <c r="J1027" t="s">
        <v>237</v>
      </c>
      <c r="K1027" t="s">
        <v>180</v>
      </c>
      <c r="L1027">
        <v>45.1155451138685</v>
      </c>
      <c r="M1027" t="s">
        <v>60</v>
      </c>
      <c r="N1027" t="s">
        <v>60</v>
      </c>
    </row>
    <row r="1028" spans="1:14">
      <c r="A1028" t="str">
        <f t="shared" si="30"/>
        <v>5.재고과다/재고부족_재고일수PNTINV_DIO2012</v>
      </c>
      <c r="B1028" t="str">
        <f t="shared" si="31"/>
        <v>5.재고과다/재고부족_재고일수PNTINV_DIO201211</v>
      </c>
      <c r="F1028" t="s">
        <v>264</v>
      </c>
      <c r="G1028" t="s">
        <v>17</v>
      </c>
      <c r="H1028" t="s">
        <v>307</v>
      </c>
      <c r="I1028" t="s">
        <v>226</v>
      </c>
      <c r="J1028" t="s">
        <v>238</v>
      </c>
      <c r="K1028" t="s">
        <v>180</v>
      </c>
      <c r="L1028">
        <v>55.320094546721499</v>
      </c>
      <c r="M1028" t="s">
        <v>60</v>
      </c>
      <c r="N1028" t="s">
        <v>60</v>
      </c>
    </row>
    <row r="1029" spans="1:14">
      <c r="A1029" t="str">
        <f t="shared" si="30"/>
        <v>5.재고과다/재고부족_재고일수PNTINV_DIO2012</v>
      </c>
      <c r="B1029" t="str">
        <f t="shared" si="31"/>
        <v>5.재고과다/재고부족_재고일수PNTINV_DIO201212</v>
      </c>
      <c r="F1029" t="s">
        <v>264</v>
      </c>
      <c r="G1029" t="s">
        <v>17</v>
      </c>
      <c r="H1029" t="s">
        <v>307</v>
      </c>
      <c r="I1029" t="s">
        <v>226</v>
      </c>
      <c r="J1029" t="s">
        <v>239</v>
      </c>
      <c r="K1029" t="s">
        <v>180</v>
      </c>
      <c r="L1029">
        <v>48.533716581438398</v>
      </c>
      <c r="M1029" t="s">
        <v>60</v>
      </c>
      <c r="N1029" t="s">
        <v>60</v>
      </c>
    </row>
    <row r="1030" spans="1:14">
      <c r="A1030" t="str">
        <f t="shared" si="30"/>
        <v>5.재고과다/재고부족_재고일수PNTINV_DIO2013</v>
      </c>
      <c r="B1030" t="str">
        <f t="shared" si="31"/>
        <v>5.재고과다/재고부족_재고일수PNTINV_DIO201300</v>
      </c>
      <c r="F1030" t="s">
        <v>264</v>
      </c>
      <c r="G1030" t="s">
        <v>17</v>
      </c>
      <c r="H1030" t="s">
        <v>307</v>
      </c>
      <c r="I1030" t="s">
        <v>240</v>
      </c>
      <c r="J1030" t="s">
        <v>241</v>
      </c>
      <c r="K1030" t="s">
        <v>180</v>
      </c>
      <c r="M1030" t="s">
        <v>60</v>
      </c>
      <c r="N1030" t="s">
        <v>60</v>
      </c>
    </row>
    <row r="1031" spans="1:14">
      <c r="A1031" t="str">
        <f t="shared" ref="A1031:A1094" si="32">F1031&amp;G1031&amp;K1031&amp;I1031</f>
        <v>5.재고과다/재고부족_재고일수PNTINV_DIO2013</v>
      </c>
      <c r="B1031" t="str">
        <f t="shared" ref="B1031:B1094" si="33">F1031&amp;G1031&amp;K1031&amp;J1031</f>
        <v>5.재고과다/재고부족_재고일수PNTINV_DIO201301</v>
      </c>
      <c r="F1031" t="s">
        <v>264</v>
      </c>
      <c r="G1031" t="s">
        <v>17</v>
      </c>
      <c r="H1031" t="s">
        <v>307</v>
      </c>
      <c r="I1031" t="s">
        <v>240</v>
      </c>
      <c r="J1031" t="s">
        <v>242</v>
      </c>
      <c r="K1031" t="s">
        <v>180</v>
      </c>
      <c r="L1031">
        <v>39.148506197261199</v>
      </c>
      <c r="M1031" t="s">
        <v>60</v>
      </c>
      <c r="N1031" t="s">
        <v>60</v>
      </c>
    </row>
    <row r="1032" spans="1:14">
      <c r="A1032" t="str">
        <f t="shared" si="32"/>
        <v>5.재고과다/재고부족_재고일수PNTINV_DIO2013</v>
      </c>
      <c r="B1032" t="str">
        <f t="shared" si="33"/>
        <v>5.재고과다/재고부족_재고일수PNTINV_DIO201302</v>
      </c>
      <c r="F1032" t="s">
        <v>264</v>
      </c>
      <c r="G1032" t="s">
        <v>17</v>
      </c>
      <c r="H1032" t="s">
        <v>307</v>
      </c>
      <c r="I1032" t="s">
        <v>240</v>
      </c>
      <c r="J1032" t="s">
        <v>243</v>
      </c>
      <c r="K1032" t="s">
        <v>180</v>
      </c>
      <c r="L1032">
        <v>36.501477414270099</v>
      </c>
      <c r="M1032" t="s">
        <v>60</v>
      </c>
      <c r="N1032" t="s">
        <v>60</v>
      </c>
    </row>
    <row r="1033" spans="1:14">
      <c r="A1033" t="str">
        <f t="shared" si="32"/>
        <v>5.재고과다/재고부족_재고일수PNTINV_DIO2013</v>
      </c>
      <c r="B1033" t="str">
        <f t="shared" si="33"/>
        <v>5.재고과다/재고부족_재고일수PNTINV_DIO201303</v>
      </c>
      <c r="F1033" t="s">
        <v>264</v>
      </c>
      <c r="G1033" t="s">
        <v>17</v>
      </c>
      <c r="H1033" t="s">
        <v>307</v>
      </c>
      <c r="I1033" t="s">
        <v>240</v>
      </c>
      <c r="J1033" t="s">
        <v>244</v>
      </c>
      <c r="K1033" t="s">
        <v>180</v>
      </c>
      <c r="L1033">
        <v>40.722938553636503</v>
      </c>
      <c r="M1033" t="s">
        <v>60</v>
      </c>
      <c r="N1033" t="s">
        <v>60</v>
      </c>
    </row>
    <row r="1034" spans="1:14">
      <c r="A1034" t="str">
        <f t="shared" si="32"/>
        <v>5.재고과다/재고부족_재고일수PNTINV_DIO2013</v>
      </c>
      <c r="B1034" t="str">
        <f t="shared" si="33"/>
        <v>5.재고과다/재고부족_재고일수PNTINV_DIO201304</v>
      </c>
      <c r="F1034" t="s">
        <v>264</v>
      </c>
      <c r="G1034" t="s">
        <v>17</v>
      </c>
      <c r="H1034" t="s">
        <v>307</v>
      </c>
      <c r="I1034" t="s">
        <v>240</v>
      </c>
      <c r="J1034" t="s">
        <v>245</v>
      </c>
      <c r="K1034" t="s">
        <v>180</v>
      </c>
      <c r="L1034">
        <v>48.789136888312399</v>
      </c>
      <c r="M1034" t="s">
        <v>60</v>
      </c>
      <c r="N1034" t="s">
        <v>60</v>
      </c>
    </row>
    <row r="1035" spans="1:14">
      <c r="A1035" t="str">
        <f t="shared" si="32"/>
        <v>5.재고과다/재고부족_재고일수PNTINV_DIO2013</v>
      </c>
      <c r="B1035" t="str">
        <f t="shared" si="33"/>
        <v>5.재고과다/재고부족_재고일수PNTINV_DIO201305</v>
      </c>
      <c r="F1035" t="s">
        <v>264</v>
      </c>
      <c r="G1035" t="s">
        <v>17</v>
      </c>
      <c r="H1035" t="s">
        <v>307</v>
      </c>
      <c r="I1035" t="s">
        <v>240</v>
      </c>
      <c r="J1035" t="s">
        <v>246</v>
      </c>
      <c r="K1035" t="s">
        <v>180</v>
      </c>
      <c r="L1035">
        <v>55.993659789259098</v>
      </c>
      <c r="M1035" t="s">
        <v>60</v>
      </c>
      <c r="N1035" t="s">
        <v>60</v>
      </c>
    </row>
    <row r="1036" spans="1:14">
      <c r="A1036" t="str">
        <f t="shared" si="32"/>
        <v>5.재고과다/재고부족_재고일수PNTINV_DIO2013</v>
      </c>
      <c r="B1036" t="str">
        <f t="shared" si="33"/>
        <v>5.재고과다/재고부족_재고일수PNTINV_DIO201306</v>
      </c>
      <c r="F1036" t="s">
        <v>264</v>
      </c>
      <c r="G1036" t="s">
        <v>17</v>
      </c>
      <c r="H1036" t="s">
        <v>307</v>
      </c>
      <c r="I1036" t="s">
        <v>240</v>
      </c>
      <c r="J1036" t="s">
        <v>247</v>
      </c>
      <c r="K1036" t="s">
        <v>180</v>
      </c>
      <c r="L1036">
        <v>55.723733711786203</v>
      </c>
      <c r="M1036" t="s">
        <v>60</v>
      </c>
      <c r="N1036" t="s">
        <v>60</v>
      </c>
    </row>
    <row r="1037" spans="1:14">
      <c r="A1037" t="str">
        <f t="shared" si="32"/>
        <v>5.재고과다/재고부족_재고일수PNTINV_DIO2013</v>
      </c>
      <c r="B1037" t="str">
        <f t="shared" si="33"/>
        <v>5.재고과다/재고부족_재고일수PNTINV_DIO201307</v>
      </c>
      <c r="F1037" t="s">
        <v>264</v>
      </c>
      <c r="G1037" t="s">
        <v>17</v>
      </c>
      <c r="H1037" t="s">
        <v>307</v>
      </c>
      <c r="I1037" t="s">
        <v>240</v>
      </c>
      <c r="J1037" t="s">
        <v>248</v>
      </c>
      <c r="K1037" t="s">
        <v>180</v>
      </c>
      <c r="L1037">
        <v>50.372854365067496</v>
      </c>
      <c r="M1037" t="s">
        <v>60</v>
      </c>
      <c r="N1037" t="s">
        <v>60</v>
      </c>
    </row>
    <row r="1038" spans="1:14">
      <c r="A1038" t="str">
        <f t="shared" si="32"/>
        <v>5.재고과다/재고부족_재고일수PNTINV_DIO2013</v>
      </c>
      <c r="B1038" t="str">
        <f t="shared" si="33"/>
        <v>5.재고과다/재고부족_재고일수PNTINV_DIO201308</v>
      </c>
      <c r="F1038" t="s">
        <v>264</v>
      </c>
      <c r="G1038" t="s">
        <v>17</v>
      </c>
      <c r="H1038" t="s">
        <v>307</v>
      </c>
      <c r="I1038" t="s">
        <v>240</v>
      </c>
      <c r="J1038" t="s">
        <v>249</v>
      </c>
      <c r="K1038" t="s">
        <v>180</v>
      </c>
      <c r="L1038">
        <v>42.667444711281398</v>
      </c>
      <c r="M1038" t="s">
        <v>60</v>
      </c>
      <c r="N1038" t="s">
        <v>60</v>
      </c>
    </row>
    <row r="1039" spans="1:14">
      <c r="A1039" t="str">
        <f t="shared" si="32"/>
        <v>5.재고과다/재고부족_재고일수PNTINV_DIO2013</v>
      </c>
      <c r="B1039" t="str">
        <f t="shared" si="33"/>
        <v>5.재고과다/재고부족_재고일수PNTINV_DIO201309</v>
      </c>
      <c r="F1039" t="s">
        <v>264</v>
      </c>
      <c r="G1039" t="s">
        <v>17</v>
      </c>
      <c r="H1039" t="s">
        <v>307</v>
      </c>
      <c r="I1039" t="s">
        <v>240</v>
      </c>
      <c r="J1039" t="s">
        <v>250</v>
      </c>
      <c r="K1039" t="s">
        <v>180</v>
      </c>
      <c r="L1039">
        <v>35.752169434265198</v>
      </c>
      <c r="M1039" t="s">
        <v>60</v>
      </c>
      <c r="N1039" t="s">
        <v>60</v>
      </c>
    </row>
    <row r="1040" spans="1:14">
      <c r="A1040" t="str">
        <f t="shared" si="32"/>
        <v>5.재고과다/재고부족_재고일수PNTINV_DIO2013</v>
      </c>
      <c r="B1040" t="str">
        <f t="shared" si="33"/>
        <v>5.재고과다/재고부족_재고일수PNTINV_DIO201310</v>
      </c>
      <c r="F1040" t="s">
        <v>264</v>
      </c>
      <c r="G1040" t="s">
        <v>17</v>
      </c>
      <c r="H1040" t="s">
        <v>307</v>
      </c>
      <c r="I1040" t="s">
        <v>240</v>
      </c>
      <c r="J1040" t="s">
        <v>251</v>
      </c>
      <c r="K1040" t="s">
        <v>180</v>
      </c>
      <c r="L1040">
        <v>46.235259744669797</v>
      </c>
      <c r="M1040" t="s">
        <v>60</v>
      </c>
      <c r="N1040" t="s">
        <v>60</v>
      </c>
    </row>
    <row r="1041" spans="1:14">
      <c r="A1041" t="str">
        <f t="shared" si="32"/>
        <v>5.재고과다/재고부족_재고일수PNTINV_DIO2013</v>
      </c>
      <c r="B1041" t="str">
        <f t="shared" si="33"/>
        <v>5.재고과다/재고부족_재고일수PNTINV_DIO201311</v>
      </c>
      <c r="F1041" t="s">
        <v>264</v>
      </c>
      <c r="G1041" t="s">
        <v>17</v>
      </c>
      <c r="H1041" t="s">
        <v>307</v>
      </c>
      <c r="I1041" t="s">
        <v>240</v>
      </c>
      <c r="J1041" t="s">
        <v>252</v>
      </c>
      <c r="K1041" t="s">
        <v>180</v>
      </c>
      <c r="L1041">
        <v>54.918467445849103</v>
      </c>
      <c r="M1041" t="s">
        <v>60</v>
      </c>
      <c r="N1041" t="s">
        <v>60</v>
      </c>
    </row>
    <row r="1042" spans="1:14">
      <c r="A1042" t="str">
        <f t="shared" si="32"/>
        <v>5.재고과다/재고부족_재고일수PNTINV_DIO2013</v>
      </c>
      <c r="B1042" t="str">
        <f t="shared" si="33"/>
        <v>5.재고과다/재고부족_재고일수PNTINV_DIO201312</v>
      </c>
      <c r="F1042" t="s">
        <v>264</v>
      </c>
      <c r="G1042" t="s">
        <v>17</v>
      </c>
      <c r="H1042" t="s">
        <v>307</v>
      </c>
      <c r="I1042" t="s">
        <v>240</v>
      </c>
      <c r="J1042" t="s">
        <v>253</v>
      </c>
      <c r="K1042" t="s">
        <v>180</v>
      </c>
      <c r="L1042">
        <v>48.678242046072398</v>
      </c>
      <c r="M1042" t="s">
        <v>60</v>
      </c>
      <c r="N1042" t="s">
        <v>60</v>
      </c>
    </row>
    <row r="1043" spans="1:14">
      <c r="A1043" t="str">
        <f t="shared" si="32"/>
        <v>5.재고과다/재고부족_재고일수PNTINV_DIO2014</v>
      </c>
      <c r="B1043" t="str">
        <f t="shared" si="33"/>
        <v>5.재고과다/재고부족_재고일수PNTINV_DIO201400</v>
      </c>
      <c r="F1043" t="s">
        <v>264</v>
      </c>
      <c r="G1043" t="s">
        <v>17</v>
      </c>
      <c r="H1043" t="s">
        <v>307</v>
      </c>
      <c r="I1043" t="s">
        <v>254</v>
      </c>
      <c r="J1043" t="s">
        <v>255</v>
      </c>
      <c r="K1043" t="s">
        <v>180</v>
      </c>
      <c r="M1043" t="s">
        <v>60</v>
      </c>
      <c r="N1043" t="s">
        <v>60</v>
      </c>
    </row>
    <row r="1044" spans="1:14">
      <c r="A1044" t="str">
        <f t="shared" si="32"/>
        <v>5.재고과다/재고부족_재고일수PNTINV_DIO2014</v>
      </c>
      <c r="B1044" t="str">
        <f t="shared" si="33"/>
        <v>5.재고과다/재고부족_재고일수PNTINV_DIO201401</v>
      </c>
      <c r="F1044" t="s">
        <v>264</v>
      </c>
      <c r="G1044" t="s">
        <v>17</v>
      </c>
      <c r="H1044" t="s">
        <v>307</v>
      </c>
      <c r="I1044" t="s">
        <v>254</v>
      </c>
      <c r="J1044" t="s">
        <v>22</v>
      </c>
      <c r="K1044" t="s">
        <v>180</v>
      </c>
      <c r="L1044">
        <v>38.551987338413603</v>
      </c>
      <c r="M1044" t="s">
        <v>60</v>
      </c>
      <c r="N1044" t="s">
        <v>60</v>
      </c>
    </row>
    <row r="1045" spans="1:14">
      <c r="A1045" t="str">
        <f t="shared" si="32"/>
        <v>5.재고과다/재고부족_재고일수PNTINV_DIO2014</v>
      </c>
      <c r="B1045" t="str">
        <f t="shared" si="33"/>
        <v>5.재고과다/재고부족_재고일수PNTINV_DIO201402</v>
      </c>
      <c r="F1045" t="s">
        <v>264</v>
      </c>
      <c r="G1045" t="s">
        <v>17</v>
      </c>
      <c r="H1045" t="s">
        <v>307</v>
      </c>
      <c r="I1045" t="s">
        <v>254</v>
      </c>
      <c r="J1045" t="s">
        <v>23</v>
      </c>
      <c r="K1045" t="s">
        <v>180</v>
      </c>
      <c r="L1045">
        <v>40.1360794226282</v>
      </c>
      <c r="M1045" t="s">
        <v>60</v>
      </c>
      <c r="N1045" t="s">
        <v>60</v>
      </c>
    </row>
    <row r="1046" spans="1:14">
      <c r="A1046" t="str">
        <f t="shared" si="32"/>
        <v>5.재고과다/재고부족_재고일수PNTINV_DIO2014</v>
      </c>
      <c r="B1046" t="str">
        <f t="shared" si="33"/>
        <v>5.재고과다/재고부족_재고일수PNTINV_DIO201403</v>
      </c>
      <c r="F1046" t="s">
        <v>264</v>
      </c>
      <c r="G1046" t="s">
        <v>17</v>
      </c>
      <c r="H1046" t="s">
        <v>307</v>
      </c>
      <c r="I1046" t="s">
        <v>254</v>
      </c>
      <c r="J1046" t="s">
        <v>24</v>
      </c>
      <c r="K1046" t="s">
        <v>180</v>
      </c>
      <c r="L1046">
        <v>38.269480779507603</v>
      </c>
      <c r="M1046" t="s">
        <v>60</v>
      </c>
      <c r="N1046" t="s">
        <v>60</v>
      </c>
    </row>
    <row r="1047" spans="1:14">
      <c r="A1047" t="str">
        <f t="shared" si="32"/>
        <v>5.재고과다/재고부족_재고일수PNTINV_DIO2014</v>
      </c>
      <c r="B1047" t="str">
        <f t="shared" si="33"/>
        <v>5.재고과다/재고부족_재고일수PNTINV_DIO201404</v>
      </c>
      <c r="F1047" t="s">
        <v>264</v>
      </c>
      <c r="G1047" t="s">
        <v>17</v>
      </c>
      <c r="H1047" t="s">
        <v>307</v>
      </c>
      <c r="I1047" t="s">
        <v>254</v>
      </c>
      <c r="J1047" t="s">
        <v>25</v>
      </c>
      <c r="K1047" t="s">
        <v>180</v>
      </c>
      <c r="L1047">
        <v>50.039655488082701</v>
      </c>
      <c r="M1047" t="s">
        <v>60</v>
      </c>
      <c r="N1047" t="s">
        <v>60</v>
      </c>
    </row>
    <row r="1048" spans="1:14">
      <c r="A1048" t="str">
        <f t="shared" si="32"/>
        <v>5.재고과다/재고부족_재고일수PNTINV_DIO2014</v>
      </c>
      <c r="B1048" t="str">
        <f t="shared" si="33"/>
        <v>5.재고과다/재고부족_재고일수PNTINV_DIO201405</v>
      </c>
      <c r="F1048" t="s">
        <v>264</v>
      </c>
      <c r="G1048" t="s">
        <v>17</v>
      </c>
      <c r="H1048" t="s">
        <v>307</v>
      </c>
      <c r="I1048" t="s">
        <v>254</v>
      </c>
      <c r="J1048" t="s">
        <v>26</v>
      </c>
      <c r="K1048" t="s">
        <v>180</v>
      </c>
      <c r="L1048">
        <v>57.457093788679103</v>
      </c>
      <c r="M1048" t="s">
        <v>60</v>
      </c>
      <c r="N1048" t="s">
        <v>60</v>
      </c>
    </row>
    <row r="1049" spans="1:14">
      <c r="A1049" t="str">
        <f t="shared" si="32"/>
        <v>5.재고과다/재고부족_재고일수PNTINV_DIO2014</v>
      </c>
      <c r="B1049" t="str">
        <f t="shared" si="33"/>
        <v>5.재고과다/재고부족_재고일수PNTINV_DIO201406</v>
      </c>
      <c r="F1049" t="s">
        <v>264</v>
      </c>
      <c r="G1049" t="s">
        <v>17</v>
      </c>
      <c r="H1049" t="s">
        <v>307</v>
      </c>
      <c r="I1049" t="s">
        <v>254</v>
      </c>
      <c r="J1049" t="s">
        <v>27</v>
      </c>
      <c r="K1049" t="s">
        <v>180</v>
      </c>
      <c r="L1049">
        <v>52.782305661578398</v>
      </c>
      <c r="M1049" t="s">
        <v>60</v>
      </c>
      <c r="N1049" t="s">
        <v>60</v>
      </c>
    </row>
    <row r="1050" spans="1:14">
      <c r="A1050" t="str">
        <f t="shared" si="32"/>
        <v>5.재고과다/재고부족_재고일수PNTINV_DIO2014</v>
      </c>
      <c r="B1050" t="str">
        <f t="shared" si="33"/>
        <v>5.재고과다/재고부족_재고일수PNTINV_DIO201407</v>
      </c>
      <c r="F1050" t="s">
        <v>264</v>
      </c>
      <c r="G1050" t="s">
        <v>17</v>
      </c>
      <c r="H1050" t="s">
        <v>307</v>
      </c>
      <c r="I1050" t="s">
        <v>254</v>
      </c>
      <c r="J1050" t="s">
        <v>28</v>
      </c>
      <c r="K1050" t="s">
        <v>180</v>
      </c>
      <c r="L1050">
        <v>52.7010342377963</v>
      </c>
      <c r="M1050" t="s">
        <v>60</v>
      </c>
      <c r="N1050" t="s">
        <v>60</v>
      </c>
    </row>
    <row r="1051" spans="1:14">
      <c r="A1051" t="str">
        <f t="shared" si="32"/>
        <v>5.재고과다/재고부족_재고일수PNTINV_DIO2014</v>
      </c>
      <c r="B1051" t="str">
        <f t="shared" si="33"/>
        <v>5.재고과다/재고부족_재고일수PNTINV_DIO201408</v>
      </c>
      <c r="F1051" t="s">
        <v>264</v>
      </c>
      <c r="G1051" t="s">
        <v>17</v>
      </c>
      <c r="H1051" t="s">
        <v>307</v>
      </c>
      <c r="I1051" t="s">
        <v>254</v>
      </c>
      <c r="J1051" t="s">
        <v>29</v>
      </c>
      <c r="K1051" t="s">
        <v>180</v>
      </c>
      <c r="L1051">
        <v>49.716960366957998</v>
      </c>
      <c r="M1051" t="s">
        <v>60</v>
      </c>
      <c r="N1051" t="s">
        <v>60</v>
      </c>
    </row>
    <row r="1052" spans="1:14">
      <c r="A1052" t="str">
        <f t="shared" si="32"/>
        <v>5.재고과다/재고부족_재고일수PNTINV_DIO2014</v>
      </c>
      <c r="B1052" t="str">
        <f t="shared" si="33"/>
        <v>5.재고과다/재고부족_재고일수PNTINV_DIO201409</v>
      </c>
      <c r="F1052" t="s">
        <v>264</v>
      </c>
      <c r="G1052" t="s">
        <v>17</v>
      </c>
      <c r="H1052" t="s">
        <v>307</v>
      </c>
      <c r="I1052" t="s">
        <v>254</v>
      </c>
      <c r="J1052" t="s">
        <v>30</v>
      </c>
      <c r="K1052" t="s">
        <v>180</v>
      </c>
      <c r="L1052">
        <v>52.988660193944902</v>
      </c>
      <c r="M1052" t="s">
        <v>60</v>
      </c>
      <c r="N1052" t="s">
        <v>60</v>
      </c>
    </row>
    <row r="1053" spans="1:14">
      <c r="A1053" t="str">
        <f t="shared" si="32"/>
        <v>5.재고과다/재고부족_재고일수PNTINV_DIO2014</v>
      </c>
      <c r="B1053" t="str">
        <f t="shared" si="33"/>
        <v>5.재고과다/재고부족_재고일수PNTINV_DIO201410</v>
      </c>
      <c r="F1053" t="s">
        <v>264</v>
      </c>
      <c r="G1053" t="s">
        <v>17</v>
      </c>
      <c r="H1053" t="s">
        <v>307</v>
      </c>
      <c r="I1053" t="s">
        <v>254</v>
      </c>
      <c r="J1053" t="s">
        <v>31</v>
      </c>
      <c r="K1053" t="s">
        <v>180</v>
      </c>
      <c r="L1053">
        <v>60.467345282425697</v>
      </c>
      <c r="M1053" t="s">
        <v>60</v>
      </c>
      <c r="N1053" t="s">
        <v>60</v>
      </c>
    </row>
    <row r="1054" spans="1:14">
      <c r="A1054" t="str">
        <f t="shared" si="32"/>
        <v>5.재고과다/재고부족_재고일수PNTINV_DIO2014</v>
      </c>
      <c r="B1054" t="str">
        <f t="shared" si="33"/>
        <v>5.재고과다/재고부족_재고일수PNTINV_DIO201411</v>
      </c>
      <c r="F1054" t="s">
        <v>264</v>
      </c>
      <c r="G1054" t="s">
        <v>17</v>
      </c>
      <c r="H1054" t="s">
        <v>307</v>
      </c>
      <c r="I1054" t="s">
        <v>254</v>
      </c>
      <c r="J1054" t="s">
        <v>32</v>
      </c>
      <c r="K1054" t="s">
        <v>180</v>
      </c>
      <c r="L1054">
        <v>56.987632111701302</v>
      </c>
      <c r="M1054" t="s">
        <v>60</v>
      </c>
      <c r="N1054" t="s">
        <v>60</v>
      </c>
    </row>
    <row r="1055" spans="1:14">
      <c r="A1055" t="str">
        <f t="shared" si="32"/>
        <v>5.재고과다/재고부족_재고일수PNTINV_DIO2014</v>
      </c>
      <c r="B1055" t="str">
        <f t="shared" si="33"/>
        <v>5.재고과다/재고부족_재고일수PNTINV_DIO201412</v>
      </c>
      <c r="F1055" t="s">
        <v>264</v>
      </c>
      <c r="G1055" t="s">
        <v>17</v>
      </c>
      <c r="H1055" t="s">
        <v>307</v>
      </c>
      <c r="I1055" t="s">
        <v>254</v>
      </c>
      <c r="J1055" t="s">
        <v>33</v>
      </c>
      <c r="K1055" t="s">
        <v>180</v>
      </c>
      <c r="L1055">
        <v>50.269624858763898</v>
      </c>
      <c r="M1055" t="s">
        <v>60</v>
      </c>
      <c r="N1055" t="s">
        <v>60</v>
      </c>
    </row>
    <row r="1056" spans="1:14">
      <c r="A1056" t="str">
        <f t="shared" si="32"/>
        <v>5.재고과다/재고부족_재고일수PNTINV_DIO2015</v>
      </c>
      <c r="B1056" t="str">
        <f t="shared" si="33"/>
        <v>5.재고과다/재고부족_재고일수PNTINV_DIO201500</v>
      </c>
      <c r="F1056" t="s">
        <v>264</v>
      </c>
      <c r="G1056" t="s">
        <v>17</v>
      </c>
      <c r="H1056" t="s">
        <v>307</v>
      </c>
      <c r="I1056" t="s">
        <v>260</v>
      </c>
      <c r="J1056" t="s">
        <v>261</v>
      </c>
      <c r="K1056" t="s">
        <v>180</v>
      </c>
      <c r="M1056" t="s">
        <v>60</v>
      </c>
      <c r="N1056" t="s">
        <v>60</v>
      </c>
    </row>
    <row r="1057" spans="1:14">
      <c r="A1057" t="str">
        <f t="shared" si="32"/>
        <v>5.재고과다/재고부족_재고일수PNTINV_DIO2015</v>
      </c>
      <c r="B1057" t="str">
        <f t="shared" si="33"/>
        <v>5.재고과다/재고부족_재고일수PNTINV_DIO201501</v>
      </c>
      <c r="F1057" t="s">
        <v>264</v>
      </c>
      <c r="G1057" t="s">
        <v>17</v>
      </c>
      <c r="H1057" t="s">
        <v>307</v>
      </c>
      <c r="I1057" t="s">
        <v>260</v>
      </c>
      <c r="J1057" t="s">
        <v>34</v>
      </c>
      <c r="K1057" t="s">
        <v>180</v>
      </c>
      <c r="L1057">
        <v>52.686209122406503</v>
      </c>
      <c r="M1057" t="s">
        <v>60</v>
      </c>
      <c r="N1057" t="s">
        <v>60</v>
      </c>
    </row>
    <row r="1058" spans="1:14">
      <c r="A1058" t="str">
        <f t="shared" si="32"/>
        <v>5.재고과다/재고부족_재고일수PNTINV_DIO2015</v>
      </c>
      <c r="B1058" t="str">
        <f t="shared" si="33"/>
        <v>5.재고과다/재고부족_재고일수PNTINV_DIO201502</v>
      </c>
      <c r="F1058" t="s">
        <v>264</v>
      </c>
      <c r="G1058" t="s">
        <v>17</v>
      </c>
      <c r="H1058" t="s">
        <v>307</v>
      </c>
      <c r="I1058" t="s">
        <v>260</v>
      </c>
      <c r="J1058" t="s">
        <v>35</v>
      </c>
      <c r="K1058" t="s">
        <v>180</v>
      </c>
      <c r="L1058">
        <v>46.637074775123097</v>
      </c>
      <c r="M1058" t="s">
        <v>60</v>
      </c>
      <c r="N1058" t="s">
        <v>60</v>
      </c>
    </row>
    <row r="1059" spans="1:14">
      <c r="A1059" t="str">
        <f t="shared" si="32"/>
        <v>5.재고과다/재고부족_재고일수PNTINV_DIO2015</v>
      </c>
      <c r="B1059" t="str">
        <f t="shared" si="33"/>
        <v>5.재고과다/재고부족_재고일수PNTINV_DIO201503</v>
      </c>
      <c r="F1059" t="s">
        <v>264</v>
      </c>
      <c r="G1059" t="s">
        <v>17</v>
      </c>
      <c r="H1059" t="s">
        <v>307</v>
      </c>
      <c r="I1059" t="s">
        <v>260</v>
      </c>
      <c r="J1059" t="s">
        <v>36</v>
      </c>
      <c r="K1059" t="s">
        <v>180</v>
      </c>
      <c r="L1059">
        <v>47.190627610862698</v>
      </c>
      <c r="M1059" t="s">
        <v>60</v>
      </c>
      <c r="N1059" t="s">
        <v>60</v>
      </c>
    </row>
    <row r="1060" spans="1:14">
      <c r="A1060" t="str">
        <f t="shared" si="32"/>
        <v>5.재고과다/재고부족_재고일수PNTINV_DIO2015</v>
      </c>
      <c r="B1060" t="str">
        <f t="shared" si="33"/>
        <v>5.재고과다/재고부족_재고일수PNTINV_DIO201504</v>
      </c>
      <c r="F1060" t="s">
        <v>264</v>
      </c>
      <c r="G1060" t="s">
        <v>17</v>
      </c>
      <c r="H1060" t="s">
        <v>307</v>
      </c>
      <c r="I1060" t="s">
        <v>260</v>
      </c>
      <c r="J1060" t="s">
        <v>37</v>
      </c>
      <c r="K1060" t="s">
        <v>180</v>
      </c>
      <c r="L1060">
        <v>57.302027226870997</v>
      </c>
      <c r="M1060" t="s">
        <v>60</v>
      </c>
      <c r="N1060" t="s">
        <v>60</v>
      </c>
    </row>
    <row r="1061" spans="1:14">
      <c r="A1061" t="str">
        <f t="shared" si="32"/>
        <v>5.재고과다/재고부족_재고일수PNTINV_DIO2015</v>
      </c>
      <c r="B1061" t="str">
        <f t="shared" si="33"/>
        <v>5.재고과다/재고부족_재고일수PNTINV_DIO201505</v>
      </c>
      <c r="F1061" t="s">
        <v>264</v>
      </c>
      <c r="G1061" t="s">
        <v>17</v>
      </c>
      <c r="H1061" t="s">
        <v>307</v>
      </c>
      <c r="I1061" t="s">
        <v>260</v>
      </c>
      <c r="J1061" t="s">
        <v>38</v>
      </c>
      <c r="K1061" t="s">
        <v>180</v>
      </c>
      <c r="L1061">
        <v>73.720090742630404</v>
      </c>
      <c r="M1061" t="s">
        <v>60</v>
      </c>
      <c r="N1061" t="s">
        <v>60</v>
      </c>
    </row>
    <row r="1062" spans="1:14">
      <c r="A1062" t="str">
        <f t="shared" si="32"/>
        <v>5.재고과다/재고부족_재고일수PNTINV_DIO2015</v>
      </c>
      <c r="B1062" t="str">
        <f t="shared" si="33"/>
        <v>5.재고과다/재고부족_재고일수PNTINV_DIO201506</v>
      </c>
      <c r="F1062" t="s">
        <v>264</v>
      </c>
      <c r="G1062" t="s">
        <v>17</v>
      </c>
      <c r="H1062" t="s">
        <v>307</v>
      </c>
      <c r="I1062" t="s">
        <v>260</v>
      </c>
      <c r="J1062" t="s">
        <v>39</v>
      </c>
      <c r="K1062" t="s">
        <v>180</v>
      </c>
      <c r="L1062">
        <v>63.408943122222901</v>
      </c>
      <c r="M1062" t="s">
        <v>60</v>
      </c>
      <c r="N1062" t="s">
        <v>60</v>
      </c>
    </row>
    <row r="1063" spans="1:14">
      <c r="A1063" t="str">
        <f t="shared" si="32"/>
        <v>5.재고과다/재고부족_재고일수PNTINV_DIO2015</v>
      </c>
      <c r="B1063" t="str">
        <f t="shared" si="33"/>
        <v>5.재고과다/재고부족_재고일수PNTINV_DIO201507</v>
      </c>
      <c r="F1063" t="s">
        <v>264</v>
      </c>
      <c r="G1063" t="s">
        <v>17</v>
      </c>
      <c r="H1063" t="s">
        <v>307</v>
      </c>
      <c r="I1063" t="s">
        <v>260</v>
      </c>
      <c r="J1063" t="s">
        <v>40</v>
      </c>
      <c r="K1063" t="s">
        <v>180</v>
      </c>
      <c r="L1063">
        <v>49.216604345389101</v>
      </c>
      <c r="M1063" t="s">
        <v>60</v>
      </c>
      <c r="N1063" t="s">
        <v>60</v>
      </c>
    </row>
    <row r="1064" spans="1:14">
      <c r="A1064" t="str">
        <f t="shared" si="32"/>
        <v>5.재고과다/재고부족_재고일수PNTINV_DIO2015</v>
      </c>
      <c r="B1064" t="str">
        <f t="shared" si="33"/>
        <v>5.재고과다/재고부족_재고일수PNTINV_DIO201508</v>
      </c>
      <c r="F1064" t="s">
        <v>264</v>
      </c>
      <c r="G1064" t="s">
        <v>17</v>
      </c>
      <c r="H1064" t="s">
        <v>307</v>
      </c>
      <c r="I1064" t="s">
        <v>260</v>
      </c>
      <c r="J1064" t="s">
        <v>41</v>
      </c>
      <c r="K1064" t="s">
        <v>180</v>
      </c>
      <c r="L1064">
        <v>49.6161745286756</v>
      </c>
      <c r="M1064" t="s">
        <v>60</v>
      </c>
      <c r="N1064" t="s">
        <v>60</v>
      </c>
    </row>
    <row r="1065" spans="1:14">
      <c r="A1065" t="str">
        <f t="shared" si="32"/>
        <v>5.재고과다/재고부족_재고일수PNTINV_DIO2015</v>
      </c>
      <c r="B1065" t="str">
        <f t="shared" si="33"/>
        <v>5.재고과다/재고부족_재고일수PNTINV_DIO201509</v>
      </c>
      <c r="F1065" t="s">
        <v>264</v>
      </c>
      <c r="G1065" t="s">
        <v>17</v>
      </c>
      <c r="H1065" t="s">
        <v>307</v>
      </c>
      <c r="I1065" t="s">
        <v>260</v>
      </c>
      <c r="J1065" t="s">
        <v>42</v>
      </c>
      <c r="K1065" t="s">
        <v>180</v>
      </c>
      <c r="L1065">
        <v>40.890218153349203</v>
      </c>
      <c r="M1065" t="s">
        <v>60</v>
      </c>
      <c r="N1065" t="s">
        <v>60</v>
      </c>
    </row>
    <row r="1066" spans="1:14">
      <c r="A1066" t="str">
        <f t="shared" si="32"/>
        <v>5.재고과다/재고부족_재고일수PNTINV_DIO2015</v>
      </c>
      <c r="B1066" t="str">
        <f t="shared" si="33"/>
        <v>5.재고과다/재고부족_재고일수PNTINV_DIO201510</v>
      </c>
      <c r="F1066" t="s">
        <v>264</v>
      </c>
      <c r="G1066" t="s">
        <v>17</v>
      </c>
      <c r="H1066" t="s">
        <v>307</v>
      </c>
      <c r="I1066" t="s">
        <v>260</v>
      </c>
      <c r="J1066" t="s">
        <v>1</v>
      </c>
      <c r="K1066" t="s">
        <v>180</v>
      </c>
      <c r="L1066">
        <v>42.687892391564098</v>
      </c>
      <c r="M1066" t="s">
        <v>60</v>
      </c>
      <c r="N1066" t="s">
        <v>60</v>
      </c>
    </row>
    <row r="1067" spans="1:14">
      <c r="A1067" t="str">
        <f t="shared" si="32"/>
        <v>5.재고과다/재고부족_재고일수PSTINV_DIO2012</v>
      </c>
      <c r="B1067" t="str">
        <f t="shared" si="33"/>
        <v>5.재고과다/재고부족_재고일수PSTINV_DIO201200</v>
      </c>
      <c r="F1067" t="s">
        <v>264</v>
      </c>
      <c r="G1067" t="s">
        <v>18</v>
      </c>
      <c r="H1067" t="s">
        <v>307</v>
      </c>
      <c r="I1067" t="s">
        <v>226</v>
      </c>
      <c r="J1067" t="s">
        <v>262</v>
      </c>
      <c r="K1067" t="s">
        <v>180</v>
      </c>
      <c r="M1067" t="s">
        <v>66</v>
      </c>
      <c r="N1067" t="s">
        <v>66</v>
      </c>
    </row>
    <row r="1068" spans="1:14">
      <c r="A1068" t="str">
        <f t="shared" si="32"/>
        <v>5.재고과다/재고부족_재고일수PSTINV_DIO2012</v>
      </c>
      <c r="B1068" t="str">
        <f t="shared" si="33"/>
        <v>5.재고과다/재고부족_재고일수PSTINV_DIO201201</v>
      </c>
      <c r="F1068" t="s">
        <v>264</v>
      </c>
      <c r="G1068" t="s">
        <v>18</v>
      </c>
      <c r="H1068" t="s">
        <v>307</v>
      </c>
      <c r="I1068" t="s">
        <v>226</v>
      </c>
      <c r="J1068" t="s">
        <v>227</v>
      </c>
      <c r="K1068" t="s">
        <v>180</v>
      </c>
      <c r="L1068">
        <v>95.754265132711893</v>
      </c>
      <c r="M1068" t="s">
        <v>66</v>
      </c>
      <c r="N1068" t="s">
        <v>66</v>
      </c>
    </row>
    <row r="1069" spans="1:14">
      <c r="A1069" t="str">
        <f t="shared" si="32"/>
        <v>5.재고과다/재고부족_재고일수PSTINV_DIO2012</v>
      </c>
      <c r="B1069" t="str">
        <f t="shared" si="33"/>
        <v>5.재고과다/재고부족_재고일수PSTINV_DIO201202</v>
      </c>
      <c r="F1069" t="s">
        <v>264</v>
      </c>
      <c r="G1069" t="s">
        <v>18</v>
      </c>
      <c r="H1069" t="s">
        <v>307</v>
      </c>
      <c r="I1069" t="s">
        <v>226</v>
      </c>
      <c r="J1069" t="s">
        <v>229</v>
      </c>
      <c r="K1069" t="s">
        <v>180</v>
      </c>
      <c r="L1069">
        <v>110.786260551327</v>
      </c>
      <c r="M1069" t="s">
        <v>66</v>
      </c>
      <c r="N1069" t="s">
        <v>66</v>
      </c>
    </row>
    <row r="1070" spans="1:14">
      <c r="A1070" t="str">
        <f t="shared" si="32"/>
        <v>5.재고과다/재고부족_재고일수PSTINV_DIO2012</v>
      </c>
      <c r="B1070" t="str">
        <f t="shared" si="33"/>
        <v>5.재고과다/재고부족_재고일수PSTINV_DIO201203</v>
      </c>
      <c r="F1070" t="s">
        <v>264</v>
      </c>
      <c r="G1070" t="s">
        <v>18</v>
      </c>
      <c r="H1070" t="s">
        <v>307</v>
      </c>
      <c r="I1070" t="s">
        <v>226</v>
      </c>
      <c r="J1070" t="s">
        <v>230</v>
      </c>
      <c r="K1070" t="s">
        <v>180</v>
      </c>
      <c r="L1070">
        <v>-178.80157995357399</v>
      </c>
      <c r="M1070" t="s">
        <v>66</v>
      </c>
      <c r="N1070" t="s">
        <v>66</v>
      </c>
    </row>
    <row r="1071" spans="1:14">
      <c r="A1071" t="str">
        <f t="shared" si="32"/>
        <v>5.재고과다/재고부족_재고일수PSTINV_DIO2012</v>
      </c>
      <c r="B1071" t="str">
        <f t="shared" si="33"/>
        <v>5.재고과다/재고부족_재고일수PSTINV_DIO201204</v>
      </c>
      <c r="F1071" t="s">
        <v>264</v>
      </c>
      <c r="G1071" t="s">
        <v>18</v>
      </c>
      <c r="H1071" t="s">
        <v>307</v>
      </c>
      <c r="I1071" t="s">
        <v>226</v>
      </c>
      <c r="J1071" t="s">
        <v>231</v>
      </c>
      <c r="K1071" t="s">
        <v>180</v>
      </c>
      <c r="L1071">
        <v>-214.512900672016</v>
      </c>
      <c r="M1071" t="s">
        <v>66</v>
      </c>
      <c r="N1071" t="s">
        <v>66</v>
      </c>
    </row>
    <row r="1072" spans="1:14">
      <c r="A1072" t="str">
        <f t="shared" si="32"/>
        <v>5.재고과다/재고부족_재고일수PSTINV_DIO2012</v>
      </c>
      <c r="B1072" t="str">
        <f t="shared" si="33"/>
        <v>5.재고과다/재고부족_재고일수PSTINV_DIO201205</v>
      </c>
      <c r="F1072" t="s">
        <v>264</v>
      </c>
      <c r="G1072" t="s">
        <v>18</v>
      </c>
      <c r="H1072" t="s">
        <v>307</v>
      </c>
      <c r="I1072" t="s">
        <v>226</v>
      </c>
      <c r="J1072" t="s">
        <v>232</v>
      </c>
      <c r="K1072" t="s">
        <v>180</v>
      </c>
      <c r="L1072">
        <v>-93.524410120526696</v>
      </c>
      <c r="M1072" t="s">
        <v>66</v>
      </c>
      <c r="N1072" t="s">
        <v>66</v>
      </c>
    </row>
    <row r="1073" spans="1:14">
      <c r="A1073" t="str">
        <f t="shared" si="32"/>
        <v>5.재고과다/재고부족_재고일수PSTINV_DIO2012</v>
      </c>
      <c r="B1073" t="str">
        <f t="shared" si="33"/>
        <v>5.재고과다/재고부족_재고일수PSTINV_DIO201206</v>
      </c>
      <c r="F1073" t="s">
        <v>264</v>
      </c>
      <c r="G1073" t="s">
        <v>18</v>
      </c>
      <c r="H1073" t="s">
        <v>307</v>
      </c>
      <c r="I1073" t="s">
        <v>226</v>
      </c>
      <c r="J1073" t="s">
        <v>233</v>
      </c>
      <c r="K1073" t="s">
        <v>180</v>
      </c>
      <c r="L1073">
        <v>-154.105934100779</v>
      </c>
      <c r="M1073" t="s">
        <v>66</v>
      </c>
      <c r="N1073" t="s">
        <v>66</v>
      </c>
    </row>
    <row r="1074" spans="1:14">
      <c r="A1074" t="str">
        <f t="shared" si="32"/>
        <v>5.재고과다/재고부족_재고일수PSTINV_DIO2012</v>
      </c>
      <c r="B1074" t="str">
        <f t="shared" si="33"/>
        <v>5.재고과다/재고부족_재고일수PSTINV_DIO201207</v>
      </c>
      <c r="F1074" t="s">
        <v>264</v>
      </c>
      <c r="G1074" t="s">
        <v>18</v>
      </c>
      <c r="H1074" t="s">
        <v>307</v>
      </c>
      <c r="I1074" t="s">
        <v>226</v>
      </c>
      <c r="J1074" t="s">
        <v>234</v>
      </c>
      <c r="K1074" t="s">
        <v>180</v>
      </c>
      <c r="L1074">
        <v>-170.38772791893101</v>
      </c>
      <c r="M1074" t="s">
        <v>66</v>
      </c>
      <c r="N1074" t="s">
        <v>66</v>
      </c>
    </row>
    <row r="1075" spans="1:14">
      <c r="A1075" t="str">
        <f t="shared" si="32"/>
        <v>5.재고과다/재고부족_재고일수PSTINV_DIO2012</v>
      </c>
      <c r="B1075" t="str">
        <f t="shared" si="33"/>
        <v>5.재고과다/재고부족_재고일수PSTINV_DIO201208</v>
      </c>
      <c r="F1075" t="s">
        <v>264</v>
      </c>
      <c r="G1075" t="s">
        <v>18</v>
      </c>
      <c r="H1075" t="s">
        <v>307</v>
      </c>
      <c r="I1075" t="s">
        <v>226</v>
      </c>
      <c r="J1075" t="s">
        <v>235</v>
      </c>
      <c r="K1075" t="s">
        <v>180</v>
      </c>
      <c r="L1075">
        <v>-252.801094644529</v>
      </c>
      <c r="M1075" t="s">
        <v>66</v>
      </c>
      <c r="N1075" t="s">
        <v>66</v>
      </c>
    </row>
    <row r="1076" spans="1:14">
      <c r="A1076" t="str">
        <f t="shared" si="32"/>
        <v>5.재고과다/재고부족_재고일수PSTINV_DIO2012</v>
      </c>
      <c r="B1076" t="str">
        <f t="shared" si="33"/>
        <v>5.재고과다/재고부족_재고일수PSTINV_DIO201209</v>
      </c>
      <c r="F1076" t="s">
        <v>264</v>
      </c>
      <c r="G1076" t="s">
        <v>18</v>
      </c>
      <c r="H1076" t="s">
        <v>307</v>
      </c>
      <c r="I1076" t="s">
        <v>226</v>
      </c>
      <c r="J1076" t="s">
        <v>236</v>
      </c>
      <c r="K1076" t="s">
        <v>180</v>
      </c>
      <c r="L1076">
        <v>-50.377848841322198</v>
      </c>
      <c r="M1076" t="s">
        <v>66</v>
      </c>
      <c r="N1076" t="s">
        <v>66</v>
      </c>
    </row>
    <row r="1077" spans="1:14">
      <c r="A1077" t="str">
        <f t="shared" si="32"/>
        <v>5.재고과다/재고부족_재고일수PSTINV_DIO2012</v>
      </c>
      <c r="B1077" t="str">
        <f t="shared" si="33"/>
        <v>5.재고과다/재고부족_재고일수PSTINV_DIO201210</v>
      </c>
      <c r="F1077" t="s">
        <v>264</v>
      </c>
      <c r="G1077" t="s">
        <v>18</v>
      </c>
      <c r="H1077" t="s">
        <v>307</v>
      </c>
      <c r="I1077" t="s">
        <v>226</v>
      </c>
      <c r="J1077" t="s">
        <v>237</v>
      </c>
      <c r="K1077" t="s">
        <v>180</v>
      </c>
      <c r="L1077">
        <v>-129.488714372819</v>
      </c>
      <c r="M1077" t="s">
        <v>66</v>
      </c>
      <c r="N1077" t="s">
        <v>66</v>
      </c>
    </row>
    <row r="1078" spans="1:14">
      <c r="A1078" t="str">
        <f t="shared" si="32"/>
        <v>5.재고과다/재고부족_재고일수PSTINV_DIO2012</v>
      </c>
      <c r="B1078" t="str">
        <f t="shared" si="33"/>
        <v>5.재고과다/재고부족_재고일수PSTINV_DIO201211</v>
      </c>
      <c r="F1078" t="s">
        <v>264</v>
      </c>
      <c r="G1078" t="s">
        <v>18</v>
      </c>
      <c r="H1078" t="s">
        <v>307</v>
      </c>
      <c r="I1078" t="s">
        <v>226</v>
      </c>
      <c r="J1078" t="s">
        <v>238</v>
      </c>
      <c r="K1078" t="s">
        <v>180</v>
      </c>
      <c r="L1078">
        <v>-230.54102066522799</v>
      </c>
      <c r="M1078" t="s">
        <v>66</v>
      </c>
      <c r="N1078" t="s">
        <v>66</v>
      </c>
    </row>
    <row r="1079" spans="1:14">
      <c r="A1079" t="str">
        <f t="shared" si="32"/>
        <v>5.재고과다/재고부족_재고일수PSTINV_DIO2012</v>
      </c>
      <c r="B1079" t="str">
        <f t="shared" si="33"/>
        <v>5.재고과다/재고부족_재고일수PSTINV_DIO201212</v>
      </c>
      <c r="F1079" t="s">
        <v>264</v>
      </c>
      <c r="G1079" t="s">
        <v>18</v>
      </c>
      <c r="H1079" t="s">
        <v>307</v>
      </c>
      <c r="I1079" t="s">
        <v>226</v>
      </c>
      <c r="J1079" t="s">
        <v>239</v>
      </c>
      <c r="K1079" t="s">
        <v>180</v>
      </c>
      <c r="L1079">
        <v>-208.34124302691799</v>
      </c>
      <c r="M1079" t="s">
        <v>66</v>
      </c>
      <c r="N1079" t="s">
        <v>66</v>
      </c>
    </row>
    <row r="1080" spans="1:14">
      <c r="A1080" t="str">
        <f t="shared" si="32"/>
        <v>5.재고과다/재고부족_재고일수PSTINV_DIO2013</v>
      </c>
      <c r="B1080" t="str">
        <f t="shared" si="33"/>
        <v>5.재고과다/재고부족_재고일수PSTINV_DIO201300</v>
      </c>
      <c r="F1080" t="s">
        <v>264</v>
      </c>
      <c r="G1080" t="s">
        <v>18</v>
      </c>
      <c r="H1080" t="s">
        <v>307</v>
      </c>
      <c r="I1080" t="s">
        <v>240</v>
      </c>
      <c r="J1080" t="s">
        <v>241</v>
      </c>
      <c r="K1080" t="s">
        <v>180</v>
      </c>
      <c r="M1080" t="s">
        <v>66</v>
      </c>
      <c r="N1080" t="s">
        <v>66</v>
      </c>
    </row>
    <row r="1081" spans="1:14">
      <c r="A1081" t="str">
        <f t="shared" si="32"/>
        <v>5.재고과다/재고부족_재고일수PSTINV_DIO2013</v>
      </c>
      <c r="B1081" t="str">
        <f t="shared" si="33"/>
        <v>5.재고과다/재고부족_재고일수PSTINV_DIO201301</v>
      </c>
      <c r="F1081" t="s">
        <v>264</v>
      </c>
      <c r="G1081" t="s">
        <v>18</v>
      </c>
      <c r="H1081" t="s">
        <v>307</v>
      </c>
      <c r="I1081" t="s">
        <v>240</v>
      </c>
      <c r="J1081" t="s">
        <v>242</v>
      </c>
      <c r="K1081" t="s">
        <v>180</v>
      </c>
      <c r="L1081">
        <v>-17.254449935008601</v>
      </c>
      <c r="M1081" t="s">
        <v>66</v>
      </c>
      <c r="N1081" t="s">
        <v>66</v>
      </c>
    </row>
    <row r="1082" spans="1:14">
      <c r="A1082" t="str">
        <f t="shared" si="32"/>
        <v>5.재고과다/재고부족_재고일수PSTINV_DIO2013</v>
      </c>
      <c r="B1082" t="str">
        <f t="shared" si="33"/>
        <v>5.재고과다/재고부족_재고일수PSTINV_DIO201302</v>
      </c>
      <c r="F1082" t="s">
        <v>264</v>
      </c>
      <c r="G1082" t="s">
        <v>18</v>
      </c>
      <c r="H1082" t="s">
        <v>307</v>
      </c>
      <c r="I1082" t="s">
        <v>240</v>
      </c>
      <c r="J1082" t="s">
        <v>243</v>
      </c>
      <c r="K1082" t="s">
        <v>180</v>
      </c>
      <c r="L1082">
        <v>-25.052978052868902</v>
      </c>
      <c r="M1082" t="s">
        <v>66</v>
      </c>
      <c r="N1082" t="s">
        <v>66</v>
      </c>
    </row>
    <row r="1083" spans="1:14">
      <c r="A1083" t="str">
        <f t="shared" si="32"/>
        <v>5.재고과다/재고부족_재고일수PSTINV_DIO2013</v>
      </c>
      <c r="B1083" t="str">
        <f t="shared" si="33"/>
        <v>5.재고과다/재고부족_재고일수PSTINV_DIO201303</v>
      </c>
      <c r="F1083" t="s">
        <v>264</v>
      </c>
      <c r="G1083" t="s">
        <v>18</v>
      </c>
      <c r="H1083" t="s">
        <v>307</v>
      </c>
      <c r="I1083" t="s">
        <v>240</v>
      </c>
      <c r="J1083" t="s">
        <v>244</v>
      </c>
      <c r="K1083" t="s">
        <v>180</v>
      </c>
      <c r="L1083">
        <v>-25.8455441976371</v>
      </c>
      <c r="M1083" t="s">
        <v>66</v>
      </c>
      <c r="N1083" t="s">
        <v>66</v>
      </c>
    </row>
    <row r="1084" spans="1:14">
      <c r="A1084" t="str">
        <f t="shared" si="32"/>
        <v>5.재고과다/재고부족_재고일수PSTINV_DIO2013</v>
      </c>
      <c r="B1084" t="str">
        <f t="shared" si="33"/>
        <v>5.재고과다/재고부족_재고일수PSTINV_DIO201304</v>
      </c>
      <c r="F1084" t="s">
        <v>264</v>
      </c>
      <c r="G1084" t="s">
        <v>18</v>
      </c>
      <c r="H1084" t="s">
        <v>307</v>
      </c>
      <c r="I1084" t="s">
        <v>240</v>
      </c>
      <c r="J1084" t="s">
        <v>245</v>
      </c>
      <c r="K1084" t="s">
        <v>180</v>
      </c>
      <c r="L1084">
        <v>-103.934452425834</v>
      </c>
      <c r="M1084" t="s">
        <v>66</v>
      </c>
      <c r="N1084" t="s">
        <v>66</v>
      </c>
    </row>
    <row r="1085" spans="1:14">
      <c r="A1085" t="str">
        <f t="shared" si="32"/>
        <v>5.재고과다/재고부족_재고일수PSTINV_DIO2013</v>
      </c>
      <c r="B1085" t="str">
        <f t="shared" si="33"/>
        <v>5.재고과다/재고부족_재고일수PSTINV_DIO201305</v>
      </c>
      <c r="F1085" t="s">
        <v>264</v>
      </c>
      <c r="G1085" t="s">
        <v>18</v>
      </c>
      <c r="H1085" t="s">
        <v>307</v>
      </c>
      <c r="I1085" t="s">
        <v>240</v>
      </c>
      <c r="J1085" t="s">
        <v>246</v>
      </c>
      <c r="K1085" t="s">
        <v>180</v>
      </c>
      <c r="L1085">
        <v>-456.03716604377701</v>
      </c>
      <c r="M1085" t="s">
        <v>66</v>
      </c>
      <c r="N1085" t="s">
        <v>66</v>
      </c>
    </row>
    <row r="1086" spans="1:14">
      <c r="A1086" t="str">
        <f t="shared" si="32"/>
        <v>5.재고과다/재고부족_재고일수PSTINV_DIO2013</v>
      </c>
      <c r="B1086" t="str">
        <f t="shared" si="33"/>
        <v>5.재고과다/재고부족_재고일수PSTINV_DIO201306</v>
      </c>
      <c r="F1086" t="s">
        <v>264</v>
      </c>
      <c r="G1086" t="s">
        <v>18</v>
      </c>
      <c r="H1086" t="s">
        <v>307</v>
      </c>
      <c r="I1086" t="s">
        <v>240</v>
      </c>
      <c r="J1086" t="s">
        <v>247</v>
      </c>
      <c r="K1086" t="s">
        <v>180</v>
      </c>
      <c r="L1086">
        <v>-519.78110622241604</v>
      </c>
      <c r="M1086" t="s">
        <v>66</v>
      </c>
      <c r="N1086" t="s">
        <v>66</v>
      </c>
    </row>
    <row r="1087" spans="1:14">
      <c r="A1087" t="str">
        <f t="shared" si="32"/>
        <v>5.재고과다/재고부족_재고일수PSTINV_DIO2013</v>
      </c>
      <c r="B1087" t="str">
        <f t="shared" si="33"/>
        <v>5.재고과다/재고부족_재고일수PSTINV_DIO201307</v>
      </c>
      <c r="F1087" t="s">
        <v>264</v>
      </c>
      <c r="G1087" t="s">
        <v>18</v>
      </c>
      <c r="H1087" t="s">
        <v>307</v>
      </c>
      <c r="I1087" t="s">
        <v>240</v>
      </c>
      <c r="J1087" t="s">
        <v>248</v>
      </c>
      <c r="K1087" t="s">
        <v>180</v>
      </c>
      <c r="L1087">
        <v>-363.21565972619101</v>
      </c>
      <c r="M1087" t="s">
        <v>66</v>
      </c>
      <c r="N1087" t="s">
        <v>66</v>
      </c>
    </row>
    <row r="1088" spans="1:14">
      <c r="A1088" t="str">
        <f t="shared" si="32"/>
        <v>5.재고과다/재고부족_재고일수PSTINV_DIO2013</v>
      </c>
      <c r="B1088" t="str">
        <f t="shared" si="33"/>
        <v>5.재고과다/재고부족_재고일수PSTINV_DIO201308</v>
      </c>
      <c r="F1088" t="s">
        <v>264</v>
      </c>
      <c r="G1088" t="s">
        <v>18</v>
      </c>
      <c r="H1088" t="s">
        <v>307</v>
      </c>
      <c r="I1088" t="s">
        <v>240</v>
      </c>
      <c r="J1088" t="s">
        <v>249</v>
      </c>
      <c r="K1088" t="s">
        <v>180</v>
      </c>
      <c r="L1088">
        <v>-1508.29249421902</v>
      </c>
      <c r="M1088" t="s">
        <v>66</v>
      </c>
      <c r="N1088" t="s">
        <v>66</v>
      </c>
    </row>
    <row r="1089" spans="1:14">
      <c r="A1089" t="str">
        <f t="shared" si="32"/>
        <v>5.재고과다/재고부족_재고일수PSTINV_DIO2013</v>
      </c>
      <c r="B1089" t="str">
        <f t="shared" si="33"/>
        <v>5.재고과다/재고부족_재고일수PSTINV_DIO201309</v>
      </c>
      <c r="F1089" t="s">
        <v>264</v>
      </c>
      <c r="G1089" t="s">
        <v>18</v>
      </c>
      <c r="H1089" t="s">
        <v>307</v>
      </c>
      <c r="I1089" t="s">
        <v>240</v>
      </c>
      <c r="J1089" t="s">
        <v>250</v>
      </c>
      <c r="K1089" t="s">
        <v>180</v>
      </c>
      <c r="L1089">
        <v>-1702.6476676791201</v>
      </c>
      <c r="M1089" t="s">
        <v>66</v>
      </c>
      <c r="N1089" t="s">
        <v>66</v>
      </c>
    </row>
    <row r="1090" spans="1:14">
      <c r="A1090" t="str">
        <f t="shared" si="32"/>
        <v>5.재고과다/재고부족_재고일수PSTINV_DIO2013</v>
      </c>
      <c r="B1090" t="str">
        <f t="shared" si="33"/>
        <v>5.재고과다/재고부족_재고일수PSTINV_DIO201310</v>
      </c>
      <c r="F1090" t="s">
        <v>264</v>
      </c>
      <c r="G1090" t="s">
        <v>18</v>
      </c>
      <c r="H1090" t="s">
        <v>307</v>
      </c>
      <c r="I1090" t="s">
        <v>240</v>
      </c>
      <c r="J1090" t="s">
        <v>251</v>
      </c>
      <c r="K1090" t="s">
        <v>180</v>
      </c>
      <c r="L1090">
        <v>2627.52805373295</v>
      </c>
      <c r="M1090" t="s">
        <v>66</v>
      </c>
      <c r="N1090" t="s">
        <v>66</v>
      </c>
    </row>
    <row r="1091" spans="1:14">
      <c r="A1091" t="str">
        <f t="shared" si="32"/>
        <v>5.재고과다/재고부족_재고일수PSTINV_DIO2013</v>
      </c>
      <c r="B1091" t="str">
        <f t="shared" si="33"/>
        <v>5.재고과다/재고부족_재고일수PSTINV_DIO201311</v>
      </c>
      <c r="F1091" t="s">
        <v>264</v>
      </c>
      <c r="G1091" t="s">
        <v>18</v>
      </c>
      <c r="H1091" t="s">
        <v>307</v>
      </c>
      <c r="I1091" t="s">
        <v>240</v>
      </c>
      <c r="J1091" t="s">
        <v>252</v>
      </c>
      <c r="K1091" t="s">
        <v>180</v>
      </c>
      <c r="L1091">
        <v>22836.772530907001</v>
      </c>
      <c r="M1091" t="s">
        <v>66</v>
      </c>
      <c r="N1091" t="s">
        <v>66</v>
      </c>
    </row>
    <row r="1092" spans="1:14">
      <c r="A1092" t="str">
        <f t="shared" si="32"/>
        <v>5.재고과다/재고부족_재고일수PSTINV_DIO2013</v>
      </c>
      <c r="B1092" t="str">
        <f t="shared" si="33"/>
        <v>5.재고과다/재고부족_재고일수PSTINV_DIO201312</v>
      </c>
      <c r="F1092" t="s">
        <v>264</v>
      </c>
      <c r="G1092" t="s">
        <v>18</v>
      </c>
      <c r="H1092" t="s">
        <v>307</v>
      </c>
      <c r="I1092" t="s">
        <v>240</v>
      </c>
      <c r="J1092" t="s">
        <v>253</v>
      </c>
      <c r="K1092" t="s">
        <v>180</v>
      </c>
      <c r="L1092">
        <v>-107083.988436969</v>
      </c>
      <c r="M1092" t="s">
        <v>66</v>
      </c>
      <c r="N1092" t="s">
        <v>66</v>
      </c>
    </row>
    <row r="1093" spans="1:14">
      <c r="A1093" t="str">
        <f t="shared" si="32"/>
        <v>5.재고과다/재고부족_재고일수PSTINV_DIO2014</v>
      </c>
      <c r="B1093" t="str">
        <f t="shared" si="33"/>
        <v>5.재고과다/재고부족_재고일수PSTINV_DIO201400</v>
      </c>
      <c r="F1093" t="s">
        <v>264</v>
      </c>
      <c r="G1093" t="s">
        <v>18</v>
      </c>
      <c r="H1093" t="s">
        <v>307</v>
      </c>
      <c r="I1093" t="s">
        <v>254</v>
      </c>
      <c r="J1093" t="s">
        <v>255</v>
      </c>
      <c r="K1093" t="s">
        <v>180</v>
      </c>
      <c r="M1093" t="s">
        <v>66</v>
      </c>
      <c r="N1093" t="s">
        <v>66</v>
      </c>
    </row>
    <row r="1094" spans="1:14">
      <c r="A1094" t="str">
        <f t="shared" si="32"/>
        <v>5.재고과다/재고부족_재고일수PSTINV_DIO2014</v>
      </c>
      <c r="B1094" t="str">
        <f t="shared" si="33"/>
        <v>5.재고과다/재고부족_재고일수PSTINV_DIO201401</v>
      </c>
      <c r="F1094" t="s">
        <v>264</v>
      </c>
      <c r="G1094" t="s">
        <v>18</v>
      </c>
      <c r="H1094" t="s">
        <v>307</v>
      </c>
      <c r="I1094" t="s">
        <v>254</v>
      </c>
      <c r="J1094" t="s">
        <v>22</v>
      </c>
      <c r="K1094" t="s">
        <v>180</v>
      </c>
      <c r="L1094">
        <v>109095.68444532499</v>
      </c>
      <c r="M1094" t="s">
        <v>66</v>
      </c>
      <c r="N1094" t="s">
        <v>66</v>
      </c>
    </row>
    <row r="1095" spans="1:14">
      <c r="A1095" t="str">
        <f t="shared" ref="A1095:A1158" si="34">F1095&amp;G1095&amp;K1095&amp;I1095</f>
        <v>5.재고과다/재고부족_재고일수PSTINV_DIO2014</v>
      </c>
      <c r="B1095" t="str">
        <f t="shared" ref="B1095:B1158" si="35">F1095&amp;G1095&amp;K1095&amp;J1095</f>
        <v>5.재고과다/재고부족_재고일수PSTINV_DIO201402</v>
      </c>
      <c r="F1095" t="s">
        <v>264</v>
      </c>
      <c r="G1095" t="s">
        <v>18</v>
      </c>
      <c r="H1095" t="s">
        <v>307</v>
      </c>
      <c r="I1095" t="s">
        <v>254</v>
      </c>
      <c r="J1095" t="s">
        <v>23</v>
      </c>
      <c r="K1095" t="s">
        <v>180</v>
      </c>
      <c r="L1095">
        <v>-69395.890003060296</v>
      </c>
      <c r="M1095" t="s">
        <v>66</v>
      </c>
      <c r="N1095" t="s">
        <v>66</v>
      </c>
    </row>
    <row r="1096" spans="1:14">
      <c r="A1096" t="str">
        <f t="shared" si="34"/>
        <v>5.재고과다/재고부족_재고일수PSTINV_DIO2014</v>
      </c>
      <c r="B1096" t="str">
        <f t="shared" si="35"/>
        <v>5.재고과다/재고부족_재고일수PSTINV_DIO201403</v>
      </c>
      <c r="F1096" t="s">
        <v>264</v>
      </c>
      <c r="G1096" t="s">
        <v>18</v>
      </c>
      <c r="H1096" t="s">
        <v>307</v>
      </c>
      <c r="I1096" t="s">
        <v>254</v>
      </c>
      <c r="J1096" t="s">
        <v>24</v>
      </c>
      <c r="K1096" t="s">
        <v>180</v>
      </c>
      <c r="L1096">
        <v>-207079.87944769999</v>
      </c>
      <c r="M1096" t="s">
        <v>66</v>
      </c>
      <c r="N1096" t="s">
        <v>66</v>
      </c>
    </row>
    <row r="1097" spans="1:14">
      <c r="A1097" t="str">
        <f t="shared" si="34"/>
        <v>5.재고과다/재고부족_재고일수PSTINV_DIO2014</v>
      </c>
      <c r="B1097" t="str">
        <f t="shared" si="35"/>
        <v>5.재고과다/재고부족_재고일수PSTINV_DIO201404</v>
      </c>
      <c r="F1097" t="s">
        <v>264</v>
      </c>
      <c r="G1097" t="s">
        <v>18</v>
      </c>
      <c r="H1097" t="s">
        <v>307</v>
      </c>
      <c r="I1097" t="s">
        <v>254</v>
      </c>
      <c r="J1097" t="s">
        <v>25</v>
      </c>
      <c r="K1097" t="s">
        <v>180</v>
      </c>
      <c r="L1097">
        <v>608.02952159478696</v>
      </c>
      <c r="M1097" t="s">
        <v>66</v>
      </c>
      <c r="N1097" t="s">
        <v>66</v>
      </c>
    </row>
    <row r="1098" spans="1:14">
      <c r="A1098" t="str">
        <f t="shared" si="34"/>
        <v>5.재고과다/재고부족_재고일수PSTINV_DIO2014</v>
      </c>
      <c r="B1098" t="str">
        <f t="shared" si="35"/>
        <v>5.재고과다/재고부족_재고일수PSTINV_DIO201405</v>
      </c>
      <c r="F1098" t="s">
        <v>264</v>
      </c>
      <c r="G1098" t="s">
        <v>18</v>
      </c>
      <c r="H1098" t="s">
        <v>307</v>
      </c>
      <c r="I1098" t="s">
        <v>254</v>
      </c>
      <c r="J1098" t="s">
        <v>26</v>
      </c>
      <c r="K1098" t="s">
        <v>180</v>
      </c>
      <c r="L1098">
        <v>605.38842081569805</v>
      </c>
      <c r="M1098" t="s">
        <v>66</v>
      </c>
      <c r="N1098" t="s">
        <v>66</v>
      </c>
    </row>
    <row r="1099" spans="1:14">
      <c r="A1099" t="str">
        <f t="shared" si="34"/>
        <v>5.재고과다/재고부족_재고일수PSTINV_DIO2014</v>
      </c>
      <c r="B1099" t="str">
        <f t="shared" si="35"/>
        <v>5.재고과다/재고부족_재고일수PSTINV_DIO201406</v>
      </c>
      <c r="F1099" t="s">
        <v>264</v>
      </c>
      <c r="G1099" t="s">
        <v>18</v>
      </c>
      <c r="H1099" t="s">
        <v>307</v>
      </c>
      <c r="I1099" t="s">
        <v>254</v>
      </c>
      <c r="J1099" t="s">
        <v>27</v>
      </c>
      <c r="K1099" t="s">
        <v>180</v>
      </c>
      <c r="L1099">
        <v>616.67023151339595</v>
      </c>
      <c r="M1099" t="s">
        <v>66</v>
      </c>
      <c r="N1099" t="s">
        <v>66</v>
      </c>
    </row>
    <row r="1100" spans="1:14">
      <c r="A1100" t="str">
        <f t="shared" si="34"/>
        <v>5.재고과다/재고부족_재고일수PSTINV_DIO2014</v>
      </c>
      <c r="B1100" t="str">
        <f t="shared" si="35"/>
        <v>5.재고과다/재고부족_재고일수PSTINV_DIO201407</v>
      </c>
      <c r="F1100" t="s">
        <v>264</v>
      </c>
      <c r="G1100" t="s">
        <v>18</v>
      </c>
      <c r="H1100" t="s">
        <v>307</v>
      </c>
      <c r="I1100" t="s">
        <v>254</v>
      </c>
      <c r="J1100" t="s">
        <v>28</v>
      </c>
      <c r="K1100" t="s">
        <v>180</v>
      </c>
      <c r="L1100">
        <v>-72483.926979573196</v>
      </c>
      <c r="M1100" t="s">
        <v>66</v>
      </c>
      <c r="N1100" t="s">
        <v>66</v>
      </c>
    </row>
    <row r="1101" spans="1:14">
      <c r="A1101" t="str">
        <f t="shared" si="34"/>
        <v>5.재고과다/재고부족_재고일수PSTINV_DIO2014</v>
      </c>
      <c r="B1101" t="str">
        <f t="shared" si="35"/>
        <v>5.재고과다/재고부족_재고일수PSTINV_DIO201408</v>
      </c>
      <c r="F1101" t="s">
        <v>264</v>
      </c>
      <c r="G1101" t="s">
        <v>18</v>
      </c>
      <c r="H1101" t="s">
        <v>307</v>
      </c>
      <c r="I1101" t="s">
        <v>254</v>
      </c>
      <c r="J1101" t="s">
        <v>29</v>
      </c>
      <c r="K1101" t="s">
        <v>180</v>
      </c>
      <c r="L1101">
        <v>49925.911853366</v>
      </c>
      <c r="M1101" t="s">
        <v>66</v>
      </c>
      <c r="N1101" t="s">
        <v>66</v>
      </c>
    </row>
    <row r="1102" spans="1:14">
      <c r="A1102" t="str">
        <f t="shared" si="34"/>
        <v>5.재고과다/재고부족_재고일수PSTINV_DIO2014</v>
      </c>
      <c r="B1102" t="str">
        <f t="shared" si="35"/>
        <v>5.재고과다/재고부족_재고일수PSTINV_DIO201409</v>
      </c>
      <c r="F1102" t="s">
        <v>264</v>
      </c>
      <c r="G1102" t="s">
        <v>18</v>
      </c>
      <c r="H1102" t="s">
        <v>307</v>
      </c>
      <c r="I1102" t="s">
        <v>254</v>
      </c>
      <c r="J1102" t="s">
        <v>30</v>
      </c>
      <c r="K1102" t="s">
        <v>180</v>
      </c>
      <c r="L1102">
        <v>3725047.0193934902</v>
      </c>
      <c r="M1102" t="s">
        <v>66</v>
      </c>
      <c r="N1102" t="s">
        <v>66</v>
      </c>
    </row>
    <row r="1103" spans="1:14">
      <c r="A1103" t="str">
        <f t="shared" si="34"/>
        <v>5.재고과다/재고부족_재고일수PSTINV_DIO2014</v>
      </c>
      <c r="B1103" t="str">
        <f t="shared" si="35"/>
        <v>5.재고과다/재고부족_재고일수PSTINV_DIO201410</v>
      </c>
      <c r="F1103" t="s">
        <v>264</v>
      </c>
      <c r="G1103" t="s">
        <v>18</v>
      </c>
      <c r="H1103" t="s">
        <v>307</v>
      </c>
      <c r="I1103" t="s">
        <v>254</v>
      </c>
      <c r="J1103" t="s">
        <v>31</v>
      </c>
      <c r="K1103" t="s">
        <v>180</v>
      </c>
      <c r="L1103">
        <v>3677395.4221531302</v>
      </c>
      <c r="M1103" t="s">
        <v>66</v>
      </c>
      <c r="N1103" t="s">
        <v>66</v>
      </c>
    </row>
    <row r="1104" spans="1:14">
      <c r="A1104" t="str">
        <f t="shared" si="34"/>
        <v>5.재고과다/재고부족_재고일수PSTINV_DIO2014</v>
      </c>
      <c r="B1104" t="str">
        <f t="shared" si="35"/>
        <v>5.재고과다/재고부족_재고일수PSTINV_DIO201411</v>
      </c>
      <c r="F1104" t="s">
        <v>264</v>
      </c>
      <c r="G1104" t="s">
        <v>18</v>
      </c>
      <c r="H1104" t="s">
        <v>307</v>
      </c>
      <c r="I1104" t="s">
        <v>254</v>
      </c>
      <c r="J1104" t="s">
        <v>32</v>
      </c>
      <c r="K1104" t="s">
        <v>180</v>
      </c>
      <c r="L1104">
        <v>-17723.654269855</v>
      </c>
      <c r="M1104" t="s">
        <v>66</v>
      </c>
      <c r="N1104" t="s">
        <v>66</v>
      </c>
    </row>
    <row r="1105" spans="1:14">
      <c r="A1105" t="str">
        <f t="shared" si="34"/>
        <v>5.재고과다/재고부족_재고일수PSTINV_DIO2014</v>
      </c>
      <c r="B1105" t="str">
        <f t="shared" si="35"/>
        <v>5.재고과다/재고부족_재고일수PSTINV_DIO201412</v>
      </c>
      <c r="F1105" t="s">
        <v>264</v>
      </c>
      <c r="G1105" t="s">
        <v>18</v>
      </c>
      <c r="H1105" t="s">
        <v>307</v>
      </c>
      <c r="I1105" t="s">
        <v>254</v>
      </c>
      <c r="J1105" t="s">
        <v>33</v>
      </c>
      <c r="K1105" t="s">
        <v>180</v>
      </c>
      <c r="M1105" t="s">
        <v>66</v>
      </c>
      <c r="N1105" t="s">
        <v>66</v>
      </c>
    </row>
    <row r="1106" spans="1:14">
      <c r="A1106" t="str">
        <f t="shared" si="34"/>
        <v>5.재고과다/재고부족_재고일수PSTINV_DIO2015</v>
      </c>
      <c r="B1106" t="str">
        <f t="shared" si="35"/>
        <v>5.재고과다/재고부족_재고일수PSTINV_DIO201500</v>
      </c>
      <c r="F1106" t="s">
        <v>264</v>
      </c>
      <c r="G1106" t="s">
        <v>18</v>
      </c>
      <c r="H1106" t="s">
        <v>307</v>
      </c>
      <c r="I1106" t="s">
        <v>260</v>
      </c>
      <c r="J1106" t="s">
        <v>261</v>
      </c>
      <c r="K1106" t="s">
        <v>180</v>
      </c>
      <c r="M1106" t="s">
        <v>66</v>
      </c>
      <c r="N1106" t="s">
        <v>66</v>
      </c>
    </row>
    <row r="1107" spans="1:14">
      <c r="A1107" t="str">
        <f t="shared" si="34"/>
        <v>5.재고과다/재고부족_재고일수PSTINV_DIO2015</v>
      </c>
      <c r="B1107" t="str">
        <f t="shared" si="35"/>
        <v>5.재고과다/재고부족_재고일수PSTINV_DIO201501</v>
      </c>
      <c r="F1107" t="s">
        <v>264</v>
      </c>
      <c r="G1107" t="s">
        <v>18</v>
      </c>
      <c r="H1107" t="s">
        <v>307</v>
      </c>
      <c r="I1107" t="s">
        <v>260</v>
      </c>
      <c r="J1107" t="s">
        <v>34</v>
      </c>
      <c r="K1107" t="s">
        <v>180</v>
      </c>
      <c r="M1107" t="s">
        <v>66</v>
      </c>
      <c r="N1107" t="s">
        <v>66</v>
      </c>
    </row>
    <row r="1108" spans="1:14">
      <c r="A1108" t="str">
        <f t="shared" si="34"/>
        <v>5.재고과다/재고부족_재고일수PSTINV_DIO2015</v>
      </c>
      <c r="B1108" t="str">
        <f t="shared" si="35"/>
        <v>5.재고과다/재고부족_재고일수PSTINV_DIO201502</v>
      </c>
      <c r="F1108" t="s">
        <v>264</v>
      </c>
      <c r="G1108" t="s">
        <v>18</v>
      </c>
      <c r="H1108" t="s">
        <v>307</v>
      </c>
      <c r="I1108" t="s">
        <v>260</v>
      </c>
      <c r="J1108" t="s">
        <v>35</v>
      </c>
      <c r="K1108" t="s">
        <v>180</v>
      </c>
      <c r="M1108" t="s">
        <v>66</v>
      </c>
      <c r="N1108" t="s">
        <v>66</v>
      </c>
    </row>
    <row r="1109" spans="1:14">
      <c r="A1109" t="str">
        <f t="shared" si="34"/>
        <v>5.재고과다/재고부족_재고일수PSTINV_DIO2015</v>
      </c>
      <c r="B1109" t="str">
        <f t="shared" si="35"/>
        <v>5.재고과다/재고부족_재고일수PSTINV_DIO201503</v>
      </c>
      <c r="F1109" t="s">
        <v>264</v>
      </c>
      <c r="G1109" t="s">
        <v>18</v>
      </c>
      <c r="H1109" t="s">
        <v>307</v>
      </c>
      <c r="I1109" t="s">
        <v>260</v>
      </c>
      <c r="J1109" t="s">
        <v>36</v>
      </c>
      <c r="K1109" t="s">
        <v>180</v>
      </c>
      <c r="M1109" t="s">
        <v>66</v>
      </c>
      <c r="N1109" t="s">
        <v>66</v>
      </c>
    </row>
    <row r="1110" spans="1:14">
      <c r="A1110" t="str">
        <f t="shared" si="34"/>
        <v>5.재고과다/재고부족_재고일수PSTINV_DIO2015</v>
      </c>
      <c r="B1110" t="str">
        <f t="shared" si="35"/>
        <v>5.재고과다/재고부족_재고일수PSTINV_DIO201504</v>
      </c>
      <c r="F1110" t="s">
        <v>264</v>
      </c>
      <c r="G1110" t="s">
        <v>18</v>
      </c>
      <c r="H1110" t="s">
        <v>307</v>
      </c>
      <c r="I1110" t="s">
        <v>260</v>
      </c>
      <c r="J1110" t="s">
        <v>37</v>
      </c>
      <c r="K1110" t="s">
        <v>180</v>
      </c>
      <c r="M1110" t="s">
        <v>66</v>
      </c>
      <c r="N1110" t="s">
        <v>66</v>
      </c>
    </row>
    <row r="1111" spans="1:14">
      <c r="A1111" t="str">
        <f t="shared" si="34"/>
        <v>5.재고과다/재고부족_재고일수PSTINV_DIO2015</v>
      </c>
      <c r="B1111" t="str">
        <f t="shared" si="35"/>
        <v>5.재고과다/재고부족_재고일수PSTINV_DIO201505</v>
      </c>
      <c r="F1111" t="s">
        <v>264</v>
      </c>
      <c r="G1111" t="s">
        <v>18</v>
      </c>
      <c r="H1111" t="s">
        <v>307</v>
      </c>
      <c r="I1111" t="s">
        <v>260</v>
      </c>
      <c r="J1111" t="s">
        <v>38</v>
      </c>
      <c r="K1111" t="s">
        <v>180</v>
      </c>
      <c r="M1111" t="s">
        <v>66</v>
      </c>
      <c r="N1111" t="s">
        <v>66</v>
      </c>
    </row>
    <row r="1112" spans="1:14">
      <c r="A1112" t="str">
        <f t="shared" si="34"/>
        <v>5.재고과다/재고부족_재고일수PSTINV_DIO2015</v>
      </c>
      <c r="B1112" t="str">
        <f t="shared" si="35"/>
        <v>5.재고과다/재고부족_재고일수PSTINV_DIO201506</v>
      </c>
      <c r="F1112" t="s">
        <v>264</v>
      </c>
      <c r="G1112" t="s">
        <v>18</v>
      </c>
      <c r="H1112" t="s">
        <v>307</v>
      </c>
      <c r="I1112" t="s">
        <v>260</v>
      </c>
      <c r="J1112" t="s">
        <v>39</v>
      </c>
      <c r="K1112" t="s">
        <v>180</v>
      </c>
      <c r="M1112" t="s">
        <v>66</v>
      </c>
      <c r="N1112" t="s">
        <v>66</v>
      </c>
    </row>
    <row r="1113" spans="1:14">
      <c r="A1113" t="str">
        <f t="shared" si="34"/>
        <v>5.재고과다/재고부족_재고일수PSTINV_DIO2015</v>
      </c>
      <c r="B1113" t="str">
        <f t="shared" si="35"/>
        <v>5.재고과다/재고부족_재고일수PSTINV_DIO201507</v>
      </c>
      <c r="F1113" t="s">
        <v>264</v>
      </c>
      <c r="G1113" t="s">
        <v>18</v>
      </c>
      <c r="H1113" t="s">
        <v>307</v>
      </c>
      <c r="I1113" t="s">
        <v>260</v>
      </c>
      <c r="J1113" t="s">
        <v>40</v>
      </c>
      <c r="K1113" t="s">
        <v>180</v>
      </c>
      <c r="L1113">
        <v>46.461525651746101</v>
      </c>
      <c r="M1113" t="s">
        <v>66</v>
      </c>
      <c r="N1113" t="s">
        <v>66</v>
      </c>
    </row>
    <row r="1114" spans="1:14">
      <c r="A1114" t="str">
        <f t="shared" si="34"/>
        <v>5.재고과다/재고부족_재고일수PSTINV_DIO2015</v>
      </c>
      <c r="B1114" t="str">
        <f t="shared" si="35"/>
        <v>5.재고과다/재고부족_재고일수PSTINV_DIO201508</v>
      </c>
      <c r="F1114" t="s">
        <v>264</v>
      </c>
      <c r="G1114" t="s">
        <v>18</v>
      </c>
      <c r="H1114" t="s">
        <v>307</v>
      </c>
      <c r="I1114" t="s">
        <v>260</v>
      </c>
      <c r="J1114" t="s">
        <v>41</v>
      </c>
      <c r="K1114" t="s">
        <v>180</v>
      </c>
      <c r="L1114">
        <v>182.37073996631599</v>
      </c>
      <c r="M1114" t="s">
        <v>66</v>
      </c>
      <c r="N1114" t="s">
        <v>66</v>
      </c>
    </row>
    <row r="1115" spans="1:14">
      <c r="A1115" t="str">
        <f t="shared" si="34"/>
        <v>5.재고과다/재고부족_재고일수PSTINV_DIO2015</v>
      </c>
      <c r="B1115" t="str">
        <f t="shared" si="35"/>
        <v>5.재고과다/재고부족_재고일수PSTINV_DIO201509</v>
      </c>
      <c r="F1115" t="s">
        <v>264</v>
      </c>
      <c r="G1115" t="s">
        <v>18</v>
      </c>
      <c r="H1115" t="s">
        <v>307</v>
      </c>
      <c r="I1115" t="s">
        <v>260</v>
      </c>
      <c r="J1115" t="s">
        <v>42</v>
      </c>
      <c r="K1115" t="s">
        <v>180</v>
      </c>
      <c r="L1115">
        <v>179.320647109731</v>
      </c>
      <c r="M1115" t="s">
        <v>66</v>
      </c>
      <c r="N1115" t="s">
        <v>66</v>
      </c>
    </row>
    <row r="1116" spans="1:14">
      <c r="A1116" t="str">
        <f t="shared" si="34"/>
        <v>5.재고과다/재고부족_재고일수PSTINV_DIO2015</v>
      </c>
      <c r="B1116" t="str">
        <f t="shared" si="35"/>
        <v>5.재고과다/재고부족_재고일수PSTINV_DIO201510</v>
      </c>
      <c r="F1116" t="s">
        <v>264</v>
      </c>
      <c r="G1116" t="s">
        <v>18</v>
      </c>
      <c r="H1116" t="s">
        <v>307</v>
      </c>
      <c r="I1116" t="s">
        <v>260</v>
      </c>
      <c r="J1116" t="s">
        <v>1</v>
      </c>
      <c r="K1116" t="s">
        <v>180</v>
      </c>
      <c r="L1116">
        <v>-61.243159261216398</v>
      </c>
      <c r="M1116" t="s">
        <v>66</v>
      </c>
      <c r="N1116" t="s">
        <v>66</v>
      </c>
    </row>
    <row r="1117" spans="1:14">
      <c r="A1117" t="str">
        <f t="shared" si="34"/>
        <v>6.재고과다/재고부족_재고금액CNTINV_LONG_TERM2014</v>
      </c>
      <c r="B1117" t="str">
        <f t="shared" si="35"/>
        <v>6.재고과다/재고부족_재고금액CNTINV_LONG_TERM201401</v>
      </c>
      <c r="F1117" t="s">
        <v>265</v>
      </c>
      <c r="G1117" t="s">
        <v>7</v>
      </c>
      <c r="H1117" t="s">
        <v>307</v>
      </c>
      <c r="I1117" t="s">
        <v>254</v>
      </c>
      <c r="J1117" t="s">
        <v>22</v>
      </c>
      <c r="K1117" t="s">
        <v>183</v>
      </c>
      <c r="L1117">
        <v>29011.299893810199</v>
      </c>
      <c r="M1117" t="s">
        <v>70</v>
      </c>
      <c r="N1117" t="s">
        <v>62</v>
      </c>
    </row>
    <row r="1118" spans="1:14">
      <c r="A1118" t="str">
        <f t="shared" si="34"/>
        <v>6.재고과다/재고부족_재고금액CNTINV_LONG_TERM2014</v>
      </c>
      <c r="B1118" t="str">
        <f t="shared" si="35"/>
        <v>6.재고과다/재고부족_재고금액CNTINV_LONG_TERM201402</v>
      </c>
      <c r="F1118" t="s">
        <v>265</v>
      </c>
      <c r="G1118" t="s">
        <v>7</v>
      </c>
      <c r="H1118" t="s">
        <v>307</v>
      </c>
      <c r="I1118" t="s">
        <v>254</v>
      </c>
      <c r="J1118" t="s">
        <v>23</v>
      </c>
      <c r="K1118" t="s">
        <v>183</v>
      </c>
      <c r="L1118">
        <v>137120.967747307</v>
      </c>
      <c r="M1118" t="s">
        <v>70</v>
      </c>
      <c r="N1118" t="s">
        <v>62</v>
      </c>
    </row>
    <row r="1119" spans="1:14">
      <c r="A1119" t="str">
        <f t="shared" si="34"/>
        <v>6.재고과다/재고부족_재고금액CNTINV_LONG_TERM2014</v>
      </c>
      <c r="B1119" t="str">
        <f t="shared" si="35"/>
        <v>6.재고과다/재고부족_재고금액CNTINV_LONG_TERM201403</v>
      </c>
      <c r="F1119" t="s">
        <v>265</v>
      </c>
      <c r="G1119" t="s">
        <v>7</v>
      </c>
      <c r="H1119" t="s">
        <v>307</v>
      </c>
      <c r="I1119" t="s">
        <v>254</v>
      </c>
      <c r="J1119" t="s">
        <v>24</v>
      </c>
      <c r="K1119" t="s">
        <v>183</v>
      </c>
      <c r="L1119">
        <v>67759.544054640704</v>
      </c>
      <c r="M1119" t="s">
        <v>70</v>
      </c>
      <c r="N1119" t="s">
        <v>62</v>
      </c>
    </row>
    <row r="1120" spans="1:14">
      <c r="A1120" t="str">
        <f t="shared" si="34"/>
        <v>6.재고과다/재고부족_재고금액CNTINV_LONG_TERM2014</v>
      </c>
      <c r="B1120" t="str">
        <f t="shared" si="35"/>
        <v>6.재고과다/재고부족_재고금액CNTINV_LONG_TERM201404</v>
      </c>
      <c r="F1120" t="s">
        <v>265</v>
      </c>
      <c r="G1120" t="s">
        <v>7</v>
      </c>
      <c r="H1120" t="s">
        <v>307</v>
      </c>
      <c r="I1120" t="s">
        <v>254</v>
      </c>
      <c r="J1120" t="s">
        <v>25</v>
      </c>
      <c r="K1120" t="s">
        <v>183</v>
      </c>
      <c r="L1120">
        <v>31159.944213434101</v>
      </c>
      <c r="M1120" t="s">
        <v>70</v>
      </c>
      <c r="N1120" t="s">
        <v>62</v>
      </c>
    </row>
    <row r="1121" spans="1:14">
      <c r="A1121" t="str">
        <f t="shared" si="34"/>
        <v>6.재고과다/재고부족_재고금액CNTINV_LONG_TERM2014</v>
      </c>
      <c r="B1121" t="str">
        <f t="shared" si="35"/>
        <v>6.재고과다/재고부족_재고금액CNTINV_LONG_TERM201405</v>
      </c>
      <c r="F1121" t="s">
        <v>265</v>
      </c>
      <c r="G1121" t="s">
        <v>7</v>
      </c>
      <c r="H1121" t="s">
        <v>307</v>
      </c>
      <c r="I1121" t="s">
        <v>254</v>
      </c>
      <c r="J1121" t="s">
        <v>26</v>
      </c>
      <c r="K1121" t="s">
        <v>183</v>
      </c>
      <c r="L1121">
        <v>6103.66549099452</v>
      </c>
      <c r="M1121" t="s">
        <v>70</v>
      </c>
      <c r="N1121" t="s">
        <v>62</v>
      </c>
    </row>
    <row r="1122" spans="1:14">
      <c r="A1122" t="str">
        <f t="shared" si="34"/>
        <v>6.재고과다/재고부족_재고금액CNTINV_LONG_TERM2014</v>
      </c>
      <c r="B1122" t="str">
        <f t="shared" si="35"/>
        <v>6.재고과다/재고부족_재고금액CNTINV_LONG_TERM201406</v>
      </c>
      <c r="F1122" t="s">
        <v>265</v>
      </c>
      <c r="G1122" t="s">
        <v>7</v>
      </c>
      <c r="H1122" t="s">
        <v>307</v>
      </c>
      <c r="I1122" t="s">
        <v>254</v>
      </c>
      <c r="J1122" t="s">
        <v>27</v>
      </c>
      <c r="K1122" t="s">
        <v>183</v>
      </c>
      <c r="L1122">
        <v>18286.895774447901</v>
      </c>
      <c r="M1122" t="s">
        <v>70</v>
      </c>
      <c r="N1122" t="s">
        <v>62</v>
      </c>
    </row>
    <row r="1123" spans="1:14">
      <c r="A1123" t="str">
        <f t="shared" si="34"/>
        <v>6.재고과다/재고부족_재고금액CNTINV_LONG_TERM2014</v>
      </c>
      <c r="B1123" t="str">
        <f t="shared" si="35"/>
        <v>6.재고과다/재고부족_재고금액CNTINV_LONG_TERM201407</v>
      </c>
      <c r="F1123" t="s">
        <v>265</v>
      </c>
      <c r="G1123" t="s">
        <v>7</v>
      </c>
      <c r="H1123" t="s">
        <v>307</v>
      </c>
      <c r="I1123" t="s">
        <v>254</v>
      </c>
      <c r="J1123" t="s">
        <v>28</v>
      </c>
      <c r="K1123" t="s">
        <v>183</v>
      </c>
      <c r="L1123">
        <v>5666.0466970614098</v>
      </c>
      <c r="M1123" t="s">
        <v>70</v>
      </c>
      <c r="N1123" t="s">
        <v>62</v>
      </c>
    </row>
    <row r="1124" spans="1:14">
      <c r="A1124" t="str">
        <f t="shared" si="34"/>
        <v>6.재고과다/재고부족_재고금액CNTINV_LONG_TERM2014</v>
      </c>
      <c r="B1124" t="str">
        <f t="shared" si="35"/>
        <v>6.재고과다/재고부족_재고금액CNTINV_LONG_TERM201408</v>
      </c>
      <c r="F1124" t="s">
        <v>265</v>
      </c>
      <c r="G1124" t="s">
        <v>7</v>
      </c>
      <c r="H1124" t="s">
        <v>307</v>
      </c>
      <c r="I1124" t="s">
        <v>254</v>
      </c>
      <c r="J1124" t="s">
        <v>29</v>
      </c>
      <c r="K1124" t="s">
        <v>183</v>
      </c>
      <c r="L1124">
        <v>431.98103601026003</v>
      </c>
      <c r="M1124" t="s">
        <v>70</v>
      </c>
      <c r="N1124" t="s">
        <v>62</v>
      </c>
    </row>
    <row r="1125" spans="1:14">
      <c r="A1125" t="str">
        <f t="shared" si="34"/>
        <v>6.재고과다/재고부족_재고금액CNTINV_LONG_TERM2014</v>
      </c>
      <c r="B1125" t="str">
        <f t="shared" si="35"/>
        <v>6.재고과다/재고부족_재고금액CNTINV_LONG_TERM201409</v>
      </c>
      <c r="F1125" t="s">
        <v>265</v>
      </c>
      <c r="G1125" t="s">
        <v>7</v>
      </c>
      <c r="H1125" t="s">
        <v>307</v>
      </c>
      <c r="I1125" t="s">
        <v>254</v>
      </c>
      <c r="J1125" t="s">
        <v>30</v>
      </c>
      <c r="K1125" t="s">
        <v>183</v>
      </c>
      <c r="L1125">
        <v>43234.149383875898</v>
      </c>
      <c r="M1125" t="s">
        <v>70</v>
      </c>
      <c r="N1125" t="s">
        <v>62</v>
      </c>
    </row>
    <row r="1126" spans="1:14">
      <c r="A1126" t="str">
        <f t="shared" si="34"/>
        <v>6.재고과다/재고부족_재고금액CNTINV_LONG_TERM2014</v>
      </c>
      <c r="B1126" t="str">
        <f t="shared" si="35"/>
        <v>6.재고과다/재고부족_재고금액CNTINV_LONG_TERM201410</v>
      </c>
      <c r="F1126" t="s">
        <v>265</v>
      </c>
      <c r="G1126" t="s">
        <v>7</v>
      </c>
      <c r="H1126" t="s">
        <v>307</v>
      </c>
      <c r="I1126" t="s">
        <v>254</v>
      </c>
      <c r="J1126" t="s">
        <v>31</v>
      </c>
      <c r="K1126" t="s">
        <v>183</v>
      </c>
      <c r="L1126">
        <v>29441.4612412713</v>
      </c>
      <c r="M1126" t="s">
        <v>70</v>
      </c>
      <c r="N1126" t="s">
        <v>62</v>
      </c>
    </row>
    <row r="1127" spans="1:14">
      <c r="A1127" t="str">
        <f t="shared" si="34"/>
        <v>6.재고과다/재고부족_재고금액CNTINV_LONG_TERM2014</v>
      </c>
      <c r="B1127" t="str">
        <f t="shared" si="35"/>
        <v>6.재고과다/재고부족_재고금액CNTINV_LONG_TERM201411</v>
      </c>
      <c r="F1127" t="s">
        <v>265</v>
      </c>
      <c r="G1127" t="s">
        <v>7</v>
      </c>
      <c r="H1127" t="s">
        <v>307</v>
      </c>
      <c r="I1127" t="s">
        <v>254</v>
      </c>
      <c r="J1127" t="s">
        <v>32</v>
      </c>
      <c r="K1127" t="s">
        <v>183</v>
      </c>
      <c r="L1127">
        <v>38548.451194078603</v>
      </c>
      <c r="M1127" t="s">
        <v>70</v>
      </c>
      <c r="N1127" t="s">
        <v>62</v>
      </c>
    </row>
    <row r="1128" spans="1:14">
      <c r="A1128" t="str">
        <f t="shared" si="34"/>
        <v>6.재고과다/재고부족_재고금액CNTINV_LONG_TERM2014</v>
      </c>
      <c r="B1128" t="str">
        <f t="shared" si="35"/>
        <v>6.재고과다/재고부족_재고금액CNTINV_LONG_TERM201412</v>
      </c>
      <c r="F1128" t="s">
        <v>265</v>
      </c>
      <c r="G1128" t="s">
        <v>7</v>
      </c>
      <c r="H1128" t="s">
        <v>307</v>
      </c>
      <c r="I1128" t="s">
        <v>254</v>
      </c>
      <c r="J1128" t="s">
        <v>33</v>
      </c>
      <c r="K1128" t="s">
        <v>183</v>
      </c>
      <c r="L1128">
        <v>41742.081443868301</v>
      </c>
      <c r="M1128" t="s">
        <v>70</v>
      </c>
      <c r="N1128" t="s">
        <v>62</v>
      </c>
    </row>
    <row r="1129" spans="1:14">
      <c r="A1129" t="str">
        <f t="shared" si="34"/>
        <v>6.재고과다/재고부족_재고금액CNTINV_LONG_TERM2015</v>
      </c>
      <c r="B1129" t="str">
        <f t="shared" si="35"/>
        <v>6.재고과다/재고부족_재고금액CNTINV_LONG_TERM201501</v>
      </c>
      <c r="F1129" t="s">
        <v>265</v>
      </c>
      <c r="G1129" t="s">
        <v>7</v>
      </c>
      <c r="H1129" t="s">
        <v>307</v>
      </c>
      <c r="I1129" t="s">
        <v>260</v>
      </c>
      <c r="J1129" t="s">
        <v>34</v>
      </c>
      <c r="K1129" t="s">
        <v>183</v>
      </c>
      <c r="L1129">
        <v>58074.528142830903</v>
      </c>
      <c r="M1129" t="s">
        <v>70</v>
      </c>
      <c r="N1129" t="s">
        <v>62</v>
      </c>
    </row>
    <row r="1130" spans="1:14">
      <c r="A1130" t="str">
        <f t="shared" si="34"/>
        <v>6.재고과다/재고부족_재고금액CNTINV_LONG_TERM2015</v>
      </c>
      <c r="B1130" t="str">
        <f t="shared" si="35"/>
        <v>6.재고과다/재고부족_재고금액CNTINV_LONG_TERM201502</v>
      </c>
      <c r="F1130" t="s">
        <v>265</v>
      </c>
      <c r="G1130" t="s">
        <v>7</v>
      </c>
      <c r="H1130" t="s">
        <v>307</v>
      </c>
      <c r="I1130" t="s">
        <v>260</v>
      </c>
      <c r="J1130" t="s">
        <v>35</v>
      </c>
      <c r="K1130" t="s">
        <v>183</v>
      </c>
      <c r="L1130">
        <v>131531.616606714</v>
      </c>
      <c r="M1130" t="s">
        <v>70</v>
      </c>
      <c r="N1130" t="s">
        <v>62</v>
      </c>
    </row>
    <row r="1131" spans="1:14">
      <c r="A1131" t="str">
        <f t="shared" si="34"/>
        <v>6.재고과다/재고부족_재고금액CNTINV_LONG_TERM2015</v>
      </c>
      <c r="B1131" t="str">
        <f t="shared" si="35"/>
        <v>6.재고과다/재고부족_재고금액CNTINV_LONG_TERM201503</v>
      </c>
      <c r="F1131" t="s">
        <v>265</v>
      </c>
      <c r="G1131" t="s">
        <v>7</v>
      </c>
      <c r="H1131" t="s">
        <v>307</v>
      </c>
      <c r="I1131" t="s">
        <v>260</v>
      </c>
      <c r="J1131" t="s">
        <v>36</v>
      </c>
      <c r="K1131" t="s">
        <v>183</v>
      </c>
      <c r="L1131">
        <v>135027.010237104</v>
      </c>
      <c r="M1131" t="s">
        <v>70</v>
      </c>
      <c r="N1131" t="s">
        <v>62</v>
      </c>
    </row>
    <row r="1132" spans="1:14">
      <c r="A1132" t="str">
        <f t="shared" si="34"/>
        <v>6.재고과다/재고부족_재고금액CNTINV_LONG_TERM2015</v>
      </c>
      <c r="B1132" t="str">
        <f t="shared" si="35"/>
        <v>6.재고과다/재고부족_재고금액CNTINV_LONG_TERM201504</v>
      </c>
      <c r="F1132" t="s">
        <v>265</v>
      </c>
      <c r="G1132" t="s">
        <v>7</v>
      </c>
      <c r="H1132" t="s">
        <v>307</v>
      </c>
      <c r="I1132" t="s">
        <v>260</v>
      </c>
      <c r="J1132" t="s">
        <v>37</v>
      </c>
      <c r="K1132" t="s">
        <v>183</v>
      </c>
      <c r="L1132">
        <v>189328.405611366</v>
      </c>
      <c r="M1132" t="s">
        <v>70</v>
      </c>
      <c r="N1132" t="s">
        <v>62</v>
      </c>
    </row>
    <row r="1133" spans="1:14">
      <c r="A1133" t="str">
        <f t="shared" si="34"/>
        <v>6.재고과다/재고부족_재고금액CNTINV_LONG_TERM2015</v>
      </c>
      <c r="B1133" t="str">
        <f t="shared" si="35"/>
        <v>6.재고과다/재고부족_재고금액CNTINV_LONG_TERM201505</v>
      </c>
      <c r="F1133" t="s">
        <v>265</v>
      </c>
      <c r="G1133" t="s">
        <v>7</v>
      </c>
      <c r="H1133" t="s">
        <v>307</v>
      </c>
      <c r="I1133" t="s">
        <v>260</v>
      </c>
      <c r="J1133" t="s">
        <v>38</v>
      </c>
      <c r="K1133" t="s">
        <v>183</v>
      </c>
      <c r="L1133">
        <v>113796.075921119</v>
      </c>
      <c r="M1133" t="s">
        <v>70</v>
      </c>
      <c r="N1133" t="s">
        <v>62</v>
      </c>
    </row>
    <row r="1134" spans="1:14">
      <c r="A1134" t="str">
        <f t="shared" si="34"/>
        <v>6.재고과다/재고부족_재고금액CNTINV_LONG_TERM2015</v>
      </c>
      <c r="B1134" t="str">
        <f t="shared" si="35"/>
        <v>6.재고과다/재고부족_재고금액CNTINV_LONG_TERM201506</v>
      </c>
      <c r="F1134" t="s">
        <v>265</v>
      </c>
      <c r="G1134" t="s">
        <v>7</v>
      </c>
      <c r="H1134" t="s">
        <v>307</v>
      </c>
      <c r="I1134" t="s">
        <v>260</v>
      </c>
      <c r="J1134" t="s">
        <v>39</v>
      </c>
      <c r="K1134" t="s">
        <v>183</v>
      </c>
      <c r="L1134">
        <v>295493.72819722397</v>
      </c>
      <c r="M1134" t="s">
        <v>70</v>
      </c>
      <c r="N1134" t="s">
        <v>62</v>
      </c>
    </row>
    <row r="1135" spans="1:14">
      <c r="A1135" t="str">
        <f t="shared" si="34"/>
        <v>6.재고과다/재고부족_재고금액CNTINV_LONG_TERM2015</v>
      </c>
      <c r="B1135" t="str">
        <f t="shared" si="35"/>
        <v>6.재고과다/재고부족_재고금액CNTINV_LONG_TERM201507</v>
      </c>
      <c r="F1135" t="s">
        <v>265</v>
      </c>
      <c r="G1135" t="s">
        <v>7</v>
      </c>
      <c r="H1135" t="s">
        <v>307</v>
      </c>
      <c r="I1135" t="s">
        <v>260</v>
      </c>
      <c r="J1135" t="s">
        <v>40</v>
      </c>
      <c r="K1135" t="s">
        <v>183</v>
      </c>
      <c r="L1135">
        <v>132729.23281454199</v>
      </c>
      <c r="M1135" t="s">
        <v>70</v>
      </c>
      <c r="N1135" t="s">
        <v>62</v>
      </c>
    </row>
    <row r="1136" spans="1:14">
      <c r="A1136" t="str">
        <f t="shared" si="34"/>
        <v>6.재고과다/재고부족_재고금액CNTINV_LONG_TERM2015</v>
      </c>
      <c r="B1136" t="str">
        <f t="shared" si="35"/>
        <v>6.재고과다/재고부족_재고금액CNTINV_LONG_TERM201508</v>
      </c>
      <c r="F1136" t="s">
        <v>265</v>
      </c>
      <c r="G1136" t="s">
        <v>7</v>
      </c>
      <c r="H1136" t="s">
        <v>307</v>
      </c>
      <c r="I1136" t="s">
        <v>260</v>
      </c>
      <c r="J1136" t="s">
        <v>41</v>
      </c>
      <c r="K1136" t="s">
        <v>183</v>
      </c>
      <c r="L1136">
        <v>28592.5790809317</v>
      </c>
      <c r="M1136" t="s">
        <v>70</v>
      </c>
      <c r="N1136" t="s">
        <v>62</v>
      </c>
    </row>
    <row r="1137" spans="1:14">
      <c r="A1137" t="str">
        <f t="shared" si="34"/>
        <v>6.재고과다/재고부족_재고금액CNTINV_LONG_TERM2015</v>
      </c>
      <c r="B1137" t="str">
        <f t="shared" si="35"/>
        <v>6.재고과다/재고부족_재고금액CNTINV_LONG_TERM201509</v>
      </c>
      <c r="F1137" t="s">
        <v>265</v>
      </c>
      <c r="G1137" t="s">
        <v>7</v>
      </c>
      <c r="H1137" t="s">
        <v>307</v>
      </c>
      <c r="I1137" t="s">
        <v>260</v>
      </c>
      <c r="J1137" t="s">
        <v>42</v>
      </c>
      <c r="K1137" t="s">
        <v>183</v>
      </c>
      <c r="L1137">
        <v>88691.827190958604</v>
      </c>
      <c r="M1137" t="s">
        <v>70</v>
      </c>
      <c r="N1137" t="s">
        <v>62</v>
      </c>
    </row>
    <row r="1138" spans="1:14">
      <c r="A1138" t="str">
        <f t="shared" si="34"/>
        <v>6.재고과다/재고부족_재고금액CNTINV_LONG_TERM2015</v>
      </c>
      <c r="B1138" t="str">
        <f t="shared" si="35"/>
        <v>6.재고과다/재고부족_재고금액CNTINV_LONG_TERM201510</v>
      </c>
      <c r="F1138" t="s">
        <v>265</v>
      </c>
      <c r="G1138" t="s">
        <v>7</v>
      </c>
      <c r="H1138" t="s">
        <v>307</v>
      </c>
      <c r="I1138" t="s">
        <v>260</v>
      </c>
      <c r="J1138" t="s">
        <v>1</v>
      </c>
      <c r="K1138" t="s">
        <v>183</v>
      </c>
      <c r="L1138">
        <v>40873.7303284601</v>
      </c>
      <c r="M1138" t="s">
        <v>70</v>
      </c>
      <c r="N1138" t="s">
        <v>62</v>
      </c>
    </row>
    <row r="1139" spans="1:14">
      <c r="A1139" t="str">
        <f t="shared" si="34"/>
        <v>6.재고과다/재고부족_재고금액CVTINV_LONG_TERM2014</v>
      </c>
      <c r="B1139" t="str">
        <f t="shared" si="35"/>
        <v>6.재고과다/재고부족_재고금액CVTINV_LONG_TERM201401</v>
      </c>
      <c r="F1139" t="s">
        <v>265</v>
      </c>
      <c r="G1139" t="s">
        <v>308</v>
      </c>
      <c r="H1139" t="s">
        <v>307</v>
      </c>
      <c r="I1139" t="s">
        <v>254</v>
      </c>
      <c r="J1139" t="s">
        <v>22</v>
      </c>
      <c r="K1139" t="s">
        <v>183</v>
      </c>
      <c r="L1139">
        <v>9413.8476585433691</v>
      </c>
      <c r="M1139" t="s">
        <v>316</v>
      </c>
      <c r="N1139" t="s">
        <v>317</v>
      </c>
    </row>
    <row r="1140" spans="1:14">
      <c r="A1140" t="str">
        <f t="shared" si="34"/>
        <v>6.재고과다/재고부족_재고금액CVTINV_LONG_TERM2014</v>
      </c>
      <c r="B1140" t="str">
        <f t="shared" si="35"/>
        <v>6.재고과다/재고부족_재고금액CVTINV_LONG_TERM201402</v>
      </c>
      <c r="F1140" t="s">
        <v>265</v>
      </c>
      <c r="G1140" t="s">
        <v>308</v>
      </c>
      <c r="H1140" t="s">
        <v>307</v>
      </c>
      <c r="I1140" t="s">
        <v>254</v>
      </c>
      <c r="J1140" t="s">
        <v>23</v>
      </c>
      <c r="K1140" t="s">
        <v>183</v>
      </c>
      <c r="L1140">
        <v>0</v>
      </c>
      <c r="M1140" t="s">
        <v>316</v>
      </c>
      <c r="N1140" t="s">
        <v>317</v>
      </c>
    </row>
    <row r="1141" spans="1:14">
      <c r="A1141" t="str">
        <f t="shared" si="34"/>
        <v>6.재고과다/재고부족_재고금액CVTINV_LONG_TERM2014</v>
      </c>
      <c r="B1141" t="str">
        <f t="shared" si="35"/>
        <v>6.재고과다/재고부족_재고금액CVTINV_LONG_TERM201403</v>
      </c>
      <c r="F1141" t="s">
        <v>265</v>
      </c>
      <c r="G1141" t="s">
        <v>308</v>
      </c>
      <c r="H1141" t="s">
        <v>307</v>
      </c>
      <c r="I1141" t="s">
        <v>254</v>
      </c>
      <c r="J1141" t="s">
        <v>24</v>
      </c>
      <c r="K1141" t="s">
        <v>183</v>
      </c>
      <c r="L1141">
        <v>0</v>
      </c>
      <c r="M1141" t="s">
        <v>316</v>
      </c>
      <c r="N1141" t="s">
        <v>317</v>
      </c>
    </row>
    <row r="1142" spans="1:14">
      <c r="A1142" t="str">
        <f t="shared" si="34"/>
        <v>6.재고과다/재고부족_재고금액CVTINV_LONG_TERM2014</v>
      </c>
      <c r="B1142" t="str">
        <f t="shared" si="35"/>
        <v>6.재고과다/재고부족_재고금액CVTINV_LONG_TERM201404</v>
      </c>
      <c r="F1142" t="s">
        <v>265</v>
      </c>
      <c r="G1142" t="s">
        <v>308</v>
      </c>
      <c r="H1142" t="s">
        <v>307</v>
      </c>
      <c r="I1142" t="s">
        <v>254</v>
      </c>
      <c r="J1142" t="s">
        <v>25</v>
      </c>
      <c r="K1142" t="s">
        <v>183</v>
      </c>
      <c r="L1142">
        <v>0</v>
      </c>
      <c r="M1142" t="s">
        <v>316</v>
      </c>
      <c r="N1142" t="s">
        <v>317</v>
      </c>
    </row>
    <row r="1143" spans="1:14">
      <c r="A1143" t="str">
        <f t="shared" si="34"/>
        <v>6.재고과다/재고부족_재고금액CVTINV_LONG_TERM2014</v>
      </c>
      <c r="B1143" t="str">
        <f t="shared" si="35"/>
        <v>6.재고과다/재고부족_재고금액CVTINV_LONG_TERM201405</v>
      </c>
      <c r="F1143" t="s">
        <v>265</v>
      </c>
      <c r="G1143" t="s">
        <v>308</v>
      </c>
      <c r="H1143" t="s">
        <v>307</v>
      </c>
      <c r="I1143" t="s">
        <v>254</v>
      </c>
      <c r="J1143" t="s">
        <v>26</v>
      </c>
      <c r="K1143" t="s">
        <v>183</v>
      </c>
      <c r="L1143">
        <v>0</v>
      </c>
      <c r="M1143" t="s">
        <v>316</v>
      </c>
      <c r="N1143" t="s">
        <v>317</v>
      </c>
    </row>
    <row r="1144" spans="1:14">
      <c r="A1144" t="str">
        <f t="shared" si="34"/>
        <v>6.재고과다/재고부족_재고금액CVTINV_LONG_TERM2014</v>
      </c>
      <c r="B1144" t="str">
        <f t="shared" si="35"/>
        <v>6.재고과다/재고부족_재고금액CVTINV_LONG_TERM201406</v>
      </c>
      <c r="F1144" t="s">
        <v>265</v>
      </c>
      <c r="G1144" t="s">
        <v>308</v>
      </c>
      <c r="H1144" t="s">
        <v>307</v>
      </c>
      <c r="I1144" t="s">
        <v>254</v>
      </c>
      <c r="J1144" t="s">
        <v>27</v>
      </c>
      <c r="K1144" t="s">
        <v>183</v>
      </c>
      <c r="L1144">
        <v>0</v>
      </c>
      <c r="M1144" t="s">
        <v>316</v>
      </c>
      <c r="N1144" t="s">
        <v>317</v>
      </c>
    </row>
    <row r="1145" spans="1:14">
      <c r="A1145" t="str">
        <f t="shared" si="34"/>
        <v>6.재고과다/재고부족_재고금액CVTINV_LONG_TERM2014</v>
      </c>
      <c r="B1145" t="str">
        <f t="shared" si="35"/>
        <v>6.재고과다/재고부족_재고금액CVTINV_LONG_TERM201407</v>
      </c>
      <c r="F1145" t="s">
        <v>265</v>
      </c>
      <c r="G1145" t="s">
        <v>308</v>
      </c>
      <c r="H1145" t="s">
        <v>307</v>
      </c>
      <c r="I1145" t="s">
        <v>254</v>
      </c>
      <c r="J1145" t="s">
        <v>28</v>
      </c>
      <c r="K1145" t="s">
        <v>183</v>
      </c>
      <c r="L1145">
        <v>0</v>
      </c>
      <c r="M1145" t="s">
        <v>316</v>
      </c>
      <c r="N1145" t="s">
        <v>317</v>
      </c>
    </row>
    <row r="1146" spans="1:14">
      <c r="A1146" t="str">
        <f t="shared" si="34"/>
        <v>6.재고과다/재고부족_재고금액CVTINV_LONG_TERM2014</v>
      </c>
      <c r="B1146" t="str">
        <f t="shared" si="35"/>
        <v>6.재고과다/재고부족_재고금액CVTINV_LONG_TERM201408</v>
      </c>
      <c r="F1146" t="s">
        <v>265</v>
      </c>
      <c r="G1146" t="s">
        <v>308</v>
      </c>
      <c r="H1146" t="s">
        <v>307</v>
      </c>
      <c r="I1146" t="s">
        <v>254</v>
      </c>
      <c r="J1146" t="s">
        <v>29</v>
      </c>
      <c r="K1146" t="s">
        <v>183</v>
      </c>
      <c r="L1146">
        <v>573.19890627466498</v>
      </c>
      <c r="M1146" t="s">
        <v>316</v>
      </c>
      <c r="N1146" t="s">
        <v>317</v>
      </c>
    </row>
    <row r="1147" spans="1:14">
      <c r="A1147" t="str">
        <f t="shared" si="34"/>
        <v>6.재고과다/재고부족_재고금액CVTINV_LONG_TERM2014</v>
      </c>
      <c r="B1147" t="str">
        <f t="shared" si="35"/>
        <v>6.재고과다/재고부족_재고금액CVTINV_LONG_TERM201409</v>
      </c>
      <c r="F1147" t="s">
        <v>265</v>
      </c>
      <c r="G1147" t="s">
        <v>308</v>
      </c>
      <c r="H1147" t="s">
        <v>307</v>
      </c>
      <c r="I1147" t="s">
        <v>254</v>
      </c>
      <c r="J1147" t="s">
        <v>30</v>
      </c>
      <c r="K1147" t="s">
        <v>183</v>
      </c>
      <c r="L1147">
        <v>0</v>
      </c>
      <c r="M1147" t="s">
        <v>316</v>
      </c>
      <c r="N1147" t="s">
        <v>317</v>
      </c>
    </row>
    <row r="1148" spans="1:14">
      <c r="A1148" t="str">
        <f t="shared" si="34"/>
        <v>6.재고과다/재고부족_재고금액CVTINV_LONG_TERM2014</v>
      </c>
      <c r="B1148" t="str">
        <f t="shared" si="35"/>
        <v>6.재고과다/재고부족_재고금액CVTINV_LONG_TERM201410</v>
      </c>
      <c r="F1148" t="s">
        <v>265</v>
      </c>
      <c r="G1148" t="s">
        <v>308</v>
      </c>
      <c r="H1148" t="s">
        <v>307</v>
      </c>
      <c r="I1148" t="s">
        <v>254</v>
      </c>
      <c r="J1148" t="s">
        <v>31</v>
      </c>
      <c r="K1148" t="s">
        <v>183</v>
      </c>
      <c r="L1148">
        <v>555.95223149905098</v>
      </c>
      <c r="M1148" t="s">
        <v>316</v>
      </c>
      <c r="N1148" t="s">
        <v>317</v>
      </c>
    </row>
    <row r="1149" spans="1:14">
      <c r="A1149" t="str">
        <f t="shared" si="34"/>
        <v>6.재고과다/재고부족_재고금액CVTINV_LONG_TERM2014</v>
      </c>
      <c r="B1149" t="str">
        <f t="shared" si="35"/>
        <v>6.재고과다/재고부족_재고금액CVTINV_LONG_TERM201411</v>
      </c>
      <c r="F1149" t="s">
        <v>265</v>
      </c>
      <c r="G1149" t="s">
        <v>308</v>
      </c>
      <c r="H1149" t="s">
        <v>307</v>
      </c>
      <c r="I1149" t="s">
        <v>254</v>
      </c>
      <c r="J1149" t="s">
        <v>32</v>
      </c>
      <c r="K1149" t="s">
        <v>183</v>
      </c>
      <c r="L1149">
        <v>0</v>
      </c>
      <c r="M1149" t="s">
        <v>316</v>
      </c>
      <c r="N1149" t="s">
        <v>317</v>
      </c>
    </row>
    <row r="1150" spans="1:14">
      <c r="A1150" t="str">
        <f t="shared" si="34"/>
        <v>6.재고과다/재고부족_재고금액CVTINV_LONG_TERM2014</v>
      </c>
      <c r="B1150" t="str">
        <f t="shared" si="35"/>
        <v>6.재고과다/재고부족_재고금액CVTINV_LONG_TERM201412</v>
      </c>
      <c r="F1150" t="s">
        <v>265</v>
      </c>
      <c r="G1150" t="s">
        <v>308</v>
      </c>
      <c r="H1150" t="s">
        <v>307</v>
      </c>
      <c r="I1150" t="s">
        <v>254</v>
      </c>
      <c r="J1150" t="s">
        <v>33</v>
      </c>
      <c r="K1150" t="s">
        <v>183</v>
      </c>
      <c r="L1150">
        <v>0</v>
      </c>
      <c r="M1150" t="s">
        <v>316</v>
      </c>
      <c r="N1150" t="s">
        <v>317</v>
      </c>
    </row>
    <row r="1151" spans="1:14">
      <c r="A1151" t="str">
        <f t="shared" si="34"/>
        <v>6.재고과다/재고부족_재고금액CVTINV_LONG_TERM2015</v>
      </c>
      <c r="B1151" t="str">
        <f t="shared" si="35"/>
        <v>6.재고과다/재고부족_재고금액CVTINV_LONG_TERM201501</v>
      </c>
      <c r="F1151" t="s">
        <v>265</v>
      </c>
      <c r="G1151" t="s">
        <v>308</v>
      </c>
      <c r="H1151" t="s">
        <v>307</v>
      </c>
      <c r="I1151" t="s">
        <v>260</v>
      </c>
      <c r="J1151" t="s">
        <v>34</v>
      </c>
      <c r="K1151" t="s">
        <v>183</v>
      </c>
      <c r="L1151">
        <v>0</v>
      </c>
      <c r="M1151" t="s">
        <v>316</v>
      </c>
      <c r="N1151" t="s">
        <v>317</v>
      </c>
    </row>
    <row r="1152" spans="1:14">
      <c r="A1152" t="str">
        <f t="shared" si="34"/>
        <v>6.재고과다/재고부족_재고금액CVTINV_LONG_TERM2015</v>
      </c>
      <c r="B1152" t="str">
        <f t="shared" si="35"/>
        <v>6.재고과다/재고부족_재고금액CVTINV_LONG_TERM201502</v>
      </c>
      <c r="F1152" t="s">
        <v>265</v>
      </c>
      <c r="G1152" t="s">
        <v>308</v>
      </c>
      <c r="H1152" t="s">
        <v>307</v>
      </c>
      <c r="I1152" t="s">
        <v>260</v>
      </c>
      <c r="J1152" t="s">
        <v>35</v>
      </c>
      <c r="K1152" t="s">
        <v>183</v>
      </c>
      <c r="L1152">
        <v>0</v>
      </c>
      <c r="M1152" t="s">
        <v>316</v>
      </c>
      <c r="N1152" t="s">
        <v>317</v>
      </c>
    </row>
    <row r="1153" spans="1:14">
      <c r="A1153" t="str">
        <f t="shared" si="34"/>
        <v>6.재고과다/재고부족_재고금액CVTINV_LONG_TERM2015</v>
      </c>
      <c r="B1153" t="str">
        <f t="shared" si="35"/>
        <v>6.재고과다/재고부족_재고금액CVTINV_LONG_TERM201503</v>
      </c>
      <c r="F1153" t="s">
        <v>265</v>
      </c>
      <c r="G1153" t="s">
        <v>308</v>
      </c>
      <c r="H1153" t="s">
        <v>307</v>
      </c>
      <c r="I1153" t="s">
        <v>260</v>
      </c>
      <c r="J1153" t="s">
        <v>36</v>
      </c>
      <c r="K1153" t="s">
        <v>183</v>
      </c>
      <c r="L1153">
        <v>0</v>
      </c>
      <c r="M1153" t="s">
        <v>316</v>
      </c>
      <c r="N1153" t="s">
        <v>317</v>
      </c>
    </row>
    <row r="1154" spans="1:14">
      <c r="A1154" t="str">
        <f t="shared" si="34"/>
        <v>6.재고과다/재고부족_재고금액CVTINV_LONG_TERM2015</v>
      </c>
      <c r="B1154" t="str">
        <f t="shared" si="35"/>
        <v>6.재고과다/재고부족_재고금액CVTINV_LONG_TERM201504</v>
      </c>
      <c r="F1154" t="s">
        <v>265</v>
      </c>
      <c r="G1154" t="s">
        <v>308</v>
      </c>
      <c r="H1154" t="s">
        <v>307</v>
      </c>
      <c r="I1154" t="s">
        <v>260</v>
      </c>
      <c r="J1154" t="s">
        <v>37</v>
      </c>
      <c r="K1154" t="s">
        <v>183</v>
      </c>
      <c r="L1154">
        <v>0</v>
      </c>
      <c r="M1154" t="s">
        <v>316</v>
      </c>
      <c r="N1154" t="s">
        <v>317</v>
      </c>
    </row>
    <row r="1155" spans="1:14">
      <c r="A1155" t="str">
        <f t="shared" si="34"/>
        <v>6.재고과다/재고부족_재고금액CVTINV_LONG_TERM2015</v>
      </c>
      <c r="B1155" t="str">
        <f t="shared" si="35"/>
        <v>6.재고과다/재고부족_재고금액CVTINV_LONG_TERM201505</v>
      </c>
      <c r="F1155" t="s">
        <v>265</v>
      </c>
      <c r="G1155" t="s">
        <v>308</v>
      </c>
      <c r="H1155" t="s">
        <v>307</v>
      </c>
      <c r="I1155" t="s">
        <v>260</v>
      </c>
      <c r="J1155" t="s">
        <v>38</v>
      </c>
      <c r="K1155" t="s">
        <v>183</v>
      </c>
      <c r="L1155">
        <v>606.185723555957</v>
      </c>
      <c r="M1155" t="s">
        <v>316</v>
      </c>
      <c r="N1155" t="s">
        <v>317</v>
      </c>
    </row>
    <row r="1156" spans="1:14">
      <c r="A1156" t="str">
        <f t="shared" si="34"/>
        <v>6.재고과다/재고부족_재고금액CVTINV_LONG_TERM2015</v>
      </c>
      <c r="B1156" t="str">
        <f t="shared" si="35"/>
        <v>6.재고과다/재고부족_재고금액CVTINV_LONG_TERM201506</v>
      </c>
      <c r="F1156" t="s">
        <v>265</v>
      </c>
      <c r="G1156" t="s">
        <v>308</v>
      </c>
      <c r="H1156" t="s">
        <v>307</v>
      </c>
      <c r="I1156" t="s">
        <v>260</v>
      </c>
      <c r="J1156" t="s">
        <v>39</v>
      </c>
      <c r="K1156" t="s">
        <v>183</v>
      </c>
      <c r="L1156">
        <v>0</v>
      </c>
      <c r="M1156" t="s">
        <v>316</v>
      </c>
      <c r="N1156" t="s">
        <v>317</v>
      </c>
    </row>
    <row r="1157" spans="1:14">
      <c r="A1157" t="str">
        <f t="shared" si="34"/>
        <v>6.재고과다/재고부족_재고금액CVTINV_LONG_TERM2015</v>
      </c>
      <c r="B1157" t="str">
        <f t="shared" si="35"/>
        <v>6.재고과다/재고부족_재고금액CVTINV_LONG_TERM201507</v>
      </c>
      <c r="F1157" t="s">
        <v>265</v>
      </c>
      <c r="G1157" t="s">
        <v>308</v>
      </c>
      <c r="H1157" t="s">
        <v>307</v>
      </c>
      <c r="I1157" t="s">
        <v>260</v>
      </c>
      <c r="J1157" t="s">
        <v>40</v>
      </c>
      <c r="K1157" t="s">
        <v>183</v>
      </c>
      <c r="L1157">
        <v>0</v>
      </c>
      <c r="M1157" t="s">
        <v>316</v>
      </c>
      <c r="N1157" t="s">
        <v>317</v>
      </c>
    </row>
    <row r="1158" spans="1:14">
      <c r="A1158" t="str">
        <f t="shared" si="34"/>
        <v>6.재고과다/재고부족_재고금액CVTINV_LONG_TERM2015</v>
      </c>
      <c r="B1158" t="str">
        <f t="shared" si="35"/>
        <v>6.재고과다/재고부족_재고금액CVTINV_LONG_TERM201508</v>
      </c>
      <c r="F1158" t="s">
        <v>265</v>
      </c>
      <c r="G1158" t="s">
        <v>308</v>
      </c>
      <c r="H1158" t="s">
        <v>307</v>
      </c>
      <c r="I1158" t="s">
        <v>260</v>
      </c>
      <c r="J1158" t="s">
        <v>41</v>
      </c>
      <c r="K1158" t="s">
        <v>183</v>
      </c>
      <c r="L1158">
        <v>0</v>
      </c>
      <c r="M1158" t="s">
        <v>316</v>
      </c>
      <c r="N1158" t="s">
        <v>317</v>
      </c>
    </row>
    <row r="1159" spans="1:14">
      <c r="A1159" t="str">
        <f t="shared" ref="A1159:A1222" si="36">F1159&amp;G1159&amp;K1159&amp;I1159</f>
        <v>6.재고과다/재고부족_재고금액CVTINV_LONG_TERM2015</v>
      </c>
      <c r="B1159" t="str">
        <f t="shared" ref="B1159:B1222" si="37">F1159&amp;G1159&amp;K1159&amp;J1159</f>
        <v>6.재고과다/재고부족_재고금액CVTINV_LONG_TERM201509</v>
      </c>
      <c r="F1159" t="s">
        <v>265</v>
      </c>
      <c r="G1159" t="s">
        <v>308</v>
      </c>
      <c r="H1159" t="s">
        <v>307</v>
      </c>
      <c r="I1159" t="s">
        <v>260</v>
      </c>
      <c r="J1159" t="s">
        <v>42</v>
      </c>
      <c r="K1159" t="s">
        <v>183</v>
      </c>
      <c r="L1159">
        <v>0</v>
      </c>
      <c r="M1159" t="s">
        <v>316</v>
      </c>
      <c r="N1159" t="s">
        <v>317</v>
      </c>
    </row>
    <row r="1160" spans="1:14">
      <c r="A1160" t="str">
        <f t="shared" si="36"/>
        <v>6.재고과다/재고부족_재고금액CVTINV_LONG_TERM2015</v>
      </c>
      <c r="B1160" t="str">
        <f t="shared" si="37"/>
        <v>6.재고과다/재고부족_재고금액CVTINV_LONG_TERM201510</v>
      </c>
      <c r="F1160" t="s">
        <v>265</v>
      </c>
      <c r="G1160" t="s">
        <v>308</v>
      </c>
      <c r="H1160" t="s">
        <v>307</v>
      </c>
      <c r="I1160" t="s">
        <v>260</v>
      </c>
      <c r="J1160" t="s">
        <v>1</v>
      </c>
      <c r="K1160" t="s">
        <v>183</v>
      </c>
      <c r="L1160">
        <v>0</v>
      </c>
      <c r="M1160" t="s">
        <v>316</v>
      </c>
      <c r="N1160" t="s">
        <v>317</v>
      </c>
    </row>
    <row r="1161" spans="1:14">
      <c r="A1161" t="str">
        <f t="shared" si="36"/>
        <v>6.재고과다/재고부족_재고금액DFTINV_LONG_TERM2014</v>
      </c>
      <c r="B1161" t="str">
        <f t="shared" si="37"/>
        <v>6.재고과다/재고부족_재고금액DFTINV_LONG_TERM201401</v>
      </c>
      <c r="F1161" t="s">
        <v>265</v>
      </c>
      <c r="G1161" t="s">
        <v>8</v>
      </c>
      <c r="H1161" t="s">
        <v>307</v>
      </c>
      <c r="I1161" t="s">
        <v>254</v>
      </c>
      <c r="J1161" t="s">
        <v>22</v>
      </c>
      <c r="K1161" t="s">
        <v>183</v>
      </c>
      <c r="L1161">
        <v>40020.104294848003</v>
      </c>
      <c r="M1161" t="s">
        <v>71</v>
      </c>
      <c r="N1161" t="s">
        <v>63</v>
      </c>
    </row>
    <row r="1162" spans="1:14">
      <c r="A1162" t="str">
        <f t="shared" si="36"/>
        <v>6.재고과다/재고부족_재고금액DFTINV_LONG_TERM2014</v>
      </c>
      <c r="B1162" t="str">
        <f t="shared" si="37"/>
        <v>6.재고과다/재고부족_재고금액DFTINV_LONG_TERM201402</v>
      </c>
      <c r="F1162" t="s">
        <v>265</v>
      </c>
      <c r="G1162" t="s">
        <v>8</v>
      </c>
      <c r="H1162" t="s">
        <v>307</v>
      </c>
      <c r="I1162" t="s">
        <v>254</v>
      </c>
      <c r="J1162" t="s">
        <v>23</v>
      </c>
      <c r="K1162" t="s">
        <v>183</v>
      </c>
      <c r="L1162">
        <v>94366.6098075302</v>
      </c>
      <c r="M1162" t="s">
        <v>71</v>
      </c>
      <c r="N1162" t="s">
        <v>63</v>
      </c>
    </row>
    <row r="1163" spans="1:14">
      <c r="A1163" t="str">
        <f t="shared" si="36"/>
        <v>6.재고과다/재고부족_재고금액DFTINV_LONG_TERM2014</v>
      </c>
      <c r="B1163" t="str">
        <f t="shared" si="37"/>
        <v>6.재고과다/재고부족_재고금액DFTINV_LONG_TERM201403</v>
      </c>
      <c r="F1163" t="s">
        <v>265</v>
      </c>
      <c r="G1163" t="s">
        <v>8</v>
      </c>
      <c r="H1163" t="s">
        <v>307</v>
      </c>
      <c r="I1163" t="s">
        <v>254</v>
      </c>
      <c r="J1163" t="s">
        <v>24</v>
      </c>
      <c r="K1163" t="s">
        <v>183</v>
      </c>
      <c r="L1163">
        <v>9081.3650681137697</v>
      </c>
      <c r="M1163" t="s">
        <v>71</v>
      </c>
      <c r="N1163" t="s">
        <v>63</v>
      </c>
    </row>
    <row r="1164" spans="1:14">
      <c r="A1164" t="str">
        <f t="shared" si="36"/>
        <v>6.재고과다/재고부족_재고금액DFTINV_LONG_TERM2014</v>
      </c>
      <c r="B1164" t="str">
        <f t="shared" si="37"/>
        <v>6.재고과다/재고부족_재고금액DFTINV_LONG_TERM201404</v>
      </c>
      <c r="F1164" t="s">
        <v>265</v>
      </c>
      <c r="G1164" t="s">
        <v>8</v>
      </c>
      <c r="H1164" t="s">
        <v>307</v>
      </c>
      <c r="I1164" t="s">
        <v>254</v>
      </c>
      <c r="J1164" t="s">
        <v>25</v>
      </c>
      <c r="K1164" t="s">
        <v>183</v>
      </c>
      <c r="L1164">
        <v>34751.2002260347</v>
      </c>
      <c r="M1164" t="s">
        <v>71</v>
      </c>
      <c r="N1164" t="s">
        <v>63</v>
      </c>
    </row>
    <row r="1165" spans="1:14">
      <c r="A1165" t="str">
        <f t="shared" si="36"/>
        <v>6.재고과다/재고부족_재고금액DFTINV_LONG_TERM2014</v>
      </c>
      <c r="B1165" t="str">
        <f t="shared" si="37"/>
        <v>6.재고과다/재고부족_재고금액DFTINV_LONG_TERM201405</v>
      </c>
      <c r="F1165" t="s">
        <v>265</v>
      </c>
      <c r="G1165" t="s">
        <v>8</v>
      </c>
      <c r="H1165" t="s">
        <v>307</v>
      </c>
      <c r="I1165" t="s">
        <v>254</v>
      </c>
      <c r="J1165" t="s">
        <v>26</v>
      </c>
      <c r="K1165" t="s">
        <v>183</v>
      </c>
      <c r="L1165">
        <v>21043.7399248238</v>
      </c>
      <c r="M1165" t="s">
        <v>71</v>
      </c>
      <c r="N1165" t="s">
        <v>63</v>
      </c>
    </row>
    <row r="1166" spans="1:14">
      <c r="A1166" t="str">
        <f t="shared" si="36"/>
        <v>6.재고과다/재고부족_재고금액DFTINV_LONG_TERM2014</v>
      </c>
      <c r="B1166" t="str">
        <f t="shared" si="37"/>
        <v>6.재고과다/재고부족_재고금액DFTINV_LONG_TERM201406</v>
      </c>
      <c r="F1166" t="s">
        <v>265</v>
      </c>
      <c r="G1166" t="s">
        <v>8</v>
      </c>
      <c r="H1166" t="s">
        <v>307</v>
      </c>
      <c r="I1166" t="s">
        <v>254</v>
      </c>
      <c r="J1166" t="s">
        <v>27</v>
      </c>
      <c r="K1166" t="s">
        <v>183</v>
      </c>
      <c r="L1166">
        <v>41232.491148856498</v>
      </c>
      <c r="M1166" t="s">
        <v>71</v>
      </c>
      <c r="N1166" t="s">
        <v>63</v>
      </c>
    </row>
    <row r="1167" spans="1:14">
      <c r="A1167" t="str">
        <f t="shared" si="36"/>
        <v>6.재고과다/재고부족_재고금액DFTINV_LONG_TERM2014</v>
      </c>
      <c r="B1167" t="str">
        <f t="shared" si="37"/>
        <v>6.재고과다/재고부족_재고금액DFTINV_LONG_TERM201407</v>
      </c>
      <c r="F1167" t="s">
        <v>265</v>
      </c>
      <c r="G1167" t="s">
        <v>8</v>
      </c>
      <c r="H1167" t="s">
        <v>307</v>
      </c>
      <c r="I1167" t="s">
        <v>254</v>
      </c>
      <c r="J1167" t="s">
        <v>28</v>
      </c>
      <c r="K1167" t="s">
        <v>183</v>
      </c>
      <c r="L1167">
        <v>23920.813560480299</v>
      </c>
      <c r="M1167" t="s">
        <v>71</v>
      </c>
      <c r="N1167" t="s">
        <v>63</v>
      </c>
    </row>
    <row r="1168" spans="1:14">
      <c r="A1168" t="str">
        <f t="shared" si="36"/>
        <v>6.재고과다/재고부족_재고금액DFTINV_LONG_TERM2014</v>
      </c>
      <c r="B1168" t="str">
        <f t="shared" si="37"/>
        <v>6.재고과다/재고부족_재고금액DFTINV_LONG_TERM201408</v>
      </c>
      <c r="F1168" t="s">
        <v>265</v>
      </c>
      <c r="G1168" t="s">
        <v>8</v>
      </c>
      <c r="H1168" t="s">
        <v>307</v>
      </c>
      <c r="I1168" t="s">
        <v>254</v>
      </c>
      <c r="J1168" t="s">
        <v>29</v>
      </c>
      <c r="K1168" t="s">
        <v>183</v>
      </c>
      <c r="L1168">
        <v>59391.777245363097</v>
      </c>
      <c r="M1168" t="s">
        <v>71</v>
      </c>
      <c r="N1168" t="s">
        <v>63</v>
      </c>
    </row>
    <row r="1169" spans="1:14">
      <c r="A1169" t="str">
        <f t="shared" si="36"/>
        <v>6.재고과다/재고부족_재고금액DFTINV_LONG_TERM2014</v>
      </c>
      <c r="B1169" t="str">
        <f t="shared" si="37"/>
        <v>6.재고과다/재고부족_재고금액DFTINV_LONG_TERM201409</v>
      </c>
      <c r="F1169" t="s">
        <v>265</v>
      </c>
      <c r="G1169" t="s">
        <v>8</v>
      </c>
      <c r="H1169" t="s">
        <v>307</v>
      </c>
      <c r="I1169" t="s">
        <v>254</v>
      </c>
      <c r="J1169" t="s">
        <v>30</v>
      </c>
      <c r="K1169" t="s">
        <v>183</v>
      </c>
      <c r="L1169">
        <v>60615.230858937699</v>
      </c>
      <c r="M1169" t="s">
        <v>71</v>
      </c>
      <c r="N1169" t="s">
        <v>63</v>
      </c>
    </row>
    <row r="1170" spans="1:14">
      <c r="A1170" t="str">
        <f t="shared" si="36"/>
        <v>6.재고과다/재고부족_재고금액DFTINV_LONG_TERM2014</v>
      </c>
      <c r="B1170" t="str">
        <f t="shared" si="37"/>
        <v>6.재고과다/재고부족_재고금액DFTINV_LONG_TERM201410</v>
      </c>
      <c r="F1170" t="s">
        <v>265</v>
      </c>
      <c r="G1170" t="s">
        <v>8</v>
      </c>
      <c r="H1170" t="s">
        <v>307</v>
      </c>
      <c r="I1170" t="s">
        <v>254</v>
      </c>
      <c r="J1170" t="s">
        <v>31</v>
      </c>
      <c r="K1170" t="s">
        <v>183</v>
      </c>
      <c r="L1170">
        <v>9181.2088311195403</v>
      </c>
      <c r="M1170" t="s">
        <v>71</v>
      </c>
      <c r="N1170" t="s">
        <v>63</v>
      </c>
    </row>
    <row r="1171" spans="1:14">
      <c r="A1171" t="str">
        <f t="shared" si="36"/>
        <v>6.재고과다/재고부족_재고금액DFTINV_LONG_TERM2014</v>
      </c>
      <c r="B1171" t="str">
        <f t="shared" si="37"/>
        <v>6.재고과다/재고부족_재고금액DFTINV_LONG_TERM201411</v>
      </c>
      <c r="F1171" t="s">
        <v>265</v>
      </c>
      <c r="G1171" t="s">
        <v>8</v>
      </c>
      <c r="H1171" t="s">
        <v>307</v>
      </c>
      <c r="I1171" t="s">
        <v>254</v>
      </c>
      <c r="J1171" t="s">
        <v>32</v>
      </c>
      <c r="K1171" t="s">
        <v>183</v>
      </c>
      <c r="L1171">
        <v>61299.182403414801</v>
      </c>
      <c r="M1171" t="s">
        <v>71</v>
      </c>
      <c r="N1171" t="s">
        <v>63</v>
      </c>
    </row>
    <row r="1172" spans="1:14">
      <c r="A1172" t="str">
        <f t="shared" si="36"/>
        <v>6.재고과다/재고부족_재고금액DFTINV_LONG_TERM2014</v>
      </c>
      <c r="B1172" t="str">
        <f t="shared" si="37"/>
        <v>6.재고과다/재고부족_재고금액DFTINV_LONG_TERM201412</v>
      </c>
      <c r="F1172" t="s">
        <v>265</v>
      </c>
      <c r="G1172" t="s">
        <v>8</v>
      </c>
      <c r="H1172" t="s">
        <v>307</v>
      </c>
      <c r="I1172" t="s">
        <v>254</v>
      </c>
      <c r="J1172" t="s">
        <v>33</v>
      </c>
      <c r="K1172" t="s">
        <v>183</v>
      </c>
      <c r="L1172">
        <v>321541.03480604099</v>
      </c>
      <c r="M1172" t="s">
        <v>71</v>
      </c>
      <c r="N1172" t="s">
        <v>63</v>
      </c>
    </row>
    <row r="1173" spans="1:14">
      <c r="A1173" t="str">
        <f t="shared" si="36"/>
        <v>6.재고과다/재고부족_재고금액DFTINV_LONG_TERM2015</v>
      </c>
      <c r="B1173" t="str">
        <f t="shared" si="37"/>
        <v>6.재고과다/재고부족_재고금액DFTINV_LONG_TERM201501</v>
      </c>
      <c r="F1173" t="s">
        <v>265</v>
      </c>
      <c r="G1173" t="s">
        <v>8</v>
      </c>
      <c r="H1173" t="s">
        <v>307</v>
      </c>
      <c r="I1173" t="s">
        <v>260</v>
      </c>
      <c r="J1173" t="s">
        <v>34</v>
      </c>
      <c r="K1173" t="s">
        <v>183</v>
      </c>
      <c r="L1173">
        <v>22830.761617345099</v>
      </c>
      <c r="M1173" t="s">
        <v>71</v>
      </c>
      <c r="N1173" t="s">
        <v>63</v>
      </c>
    </row>
    <row r="1174" spans="1:14">
      <c r="A1174" t="str">
        <f t="shared" si="36"/>
        <v>6.재고과다/재고부족_재고금액DFTINV_LONG_TERM2015</v>
      </c>
      <c r="B1174" t="str">
        <f t="shared" si="37"/>
        <v>6.재고과다/재고부족_재고금액DFTINV_LONG_TERM201502</v>
      </c>
      <c r="F1174" t="s">
        <v>265</v>
      </c>
      <c r="G1174" t="s">
        <v>8</v>
      </c>
      <c r="H1174" t="s">
        <v>307</v>
      </c>
      <c r="I1174" t="s">
        <v>260</v>
      </c>
      <c r="J1174" t="s">
        <v>35</v>
      </c>
      <c r="K1174" t="s">
        <v>183</v>
      </c>
      <c r="L1174">
        <v>11636.280687500001</v>
      </c>
      <c r="M1174" t="s">
        <v>71</v>
      </c>
      <c r="N1174" t="s">
        <v>63</v>
      </c>
    </row>
    <row r="1175" spans="1:14">
      <c r="A1175" t="str">
        <f t="shared" si="36"/>
        <v>6.재고과다/재고부족_재고금액DFTINV_LONG_TERM2015</v>
      </c>
      <c r="B1175" t="str">
        <f t="shared" si="37"/>
        <v>6.재고과다/재고부족_재고금액DFTINV_LONG_TERM201503</v>
      </c>
      <c r="F1175" t="s">
        <v>265</v>
      </c>
      <c r="G1175" t="s">
        <v>8</v>
      </c>
      <c r="H1175" t="s">
        <v>307</v>
      </c>
      <c r="I1175" t="s">
        <v>260</v>
      </c>
      <c r="J1175" t="s">
        <v>36</v>
      </c>
      <c r="K1175" t="s">
        <v>183</v>
      </c>
      <c r="L1175">
        <v>36132.942086515803</v>
      </c>
      <c r="M1175" t="s">
        <v>71</v>
      </c>
      <c r="N1175" t="s">
        <v>63</v>
      </c>
    </row>
    <row r="1176" spans="1:14">
      <c r="A1176" t="str">
        <f t="shared" si="36"/>
        <v>6.재고과다/재고부족_재고금액DFTINV_LONG_TERM2015</v>
      </c>
      <c r="B1176" t="str">
        <f t="shared" si="37"/>
        <v>6.재고과다/재고부족_재고금액DFTINV_LONG_TERM201504</v>
      </c>
      <c r="F1176" t="s">
        <v>265</v>
      </c>
      <c r="G1176" t="s">
        <v>8</v>
      </c>
      <c r="H1176" t="s">
        <v>307</v>
      </c>
      <c r="I1176" t="s">
        <v>260</v>
      </c>
      <c r="J1176" t="s">
        <v>37</v>
      </c>
      <c r="K1176" t="s">
        <v>183</v>
      </c>
      <c r="L1176">
        <v>111816.16834612899</v>
      </c>
      <c r="M1176" t="s">
        <v>71</v>
      </c>
      <c r="N1176" t="s">
        <v>63</v>
      </c>
    </row>
    <row r="1177" spans="1:14">
      <c r="A1177" t="str">
        <f t="shared" si="36"/>
        <v>6.재고과다/재고부족_재고금액DFTINV_LONG_TERM2015</v>
      </c>
      <c r="B1177" t="str">
        <f t="shared" si="37"/>
        <v>6.재고과다/재고부족_재고금액DFTINV_LONG_TERM201505</v>
      </c>
      <c r="F1177" t="s">
        <v>265</v>
      </c>
      <c r="G1177" t="s">
        <v>8</v>
      </c>
      <c r="H1177" t="s">
        <v>307</v>
      </c>
      <c r="I1177" t="s">
        <v>260</v>
      </c>
      <c r="J1177" t="s">
        <v>38</v>
      </c>
      <c r="K1177" t="s">
        <v>183</v>
      </c>
      <c r="L1177">
        <v>17715.4625518953</v>
      </c>
      <c r="M1177" t="s">
        <v>71</v>
      </c>
      <c r="N1177" t="s">
        <v>63</v>
      </c>
    </row>
    <row r="1178" spans="1:14">
      <c r="A1178" t="str">
        <f t="shared" si="36"/>
        <v>6.재고과다/재고부족_재고금액DFTINV_LONG_TERM2015</v>
      </c>
      <c r="B1178" t="str">
        <f t="shared" si="37"/>
        <v>6.재고과다/재고부족_재고금액DFTINV_LONG_TERM201506</v>
      </c>
      <c r="F1178" t="s">
        <v>265</v>
      </c>
      <c r="G1178" t="s">
        <v>8</v>
      </c>
      <c r="H1178" t="s">
        <v>307</v>
      </c>
      <c r="I1178" t="s">
        <v>260</v>
      </c>
      <c r="J1178" t="s">
        <v>39</v>
      </c>
      <c r="K1178" t="s">
        <v>183</v>
      </c>
      <c r="L1178">
        <v>30323.827553153598</v>
      </c>
      <c r="M1178" t="s">
        <v>71</v>
      </c>
      <c r="N1178" t="s">
        <v>63</v>
      </c>
    </row>
    <row r="1179" spans="1:14">
      <c r="A1179" t="str">
        <f t="shared" si="36"/>
        <v>6.재고과다/재고부족_재고금액DFTINV_LONG_TERM2015</v>
      </c>
      <c r="B1179" t="str">
        <f t="shared" si="37"/>
        <v>6.재고과다/재고부족_재고금액DFTINV_LONG_TERM201507</v>
      </c>
      <c r="F1179" t="s">
        <v>265</v>
      </c>
      <c r="G1179" t="s">
        <v>8</v>
      </c>
      <c r="H1179" t="s">
        <v>307</v>
      </c>
      <c r="I1179" t="s">
        <v>260</v>
      </c>
      <c r="J1179" t="s">
        <v>40</v>
      </c>
      <c r="K1179" t="s">
        <v>183</v>
      </c>
      <c r="L1179">
        <v>48125.858168653001</v>
      </c>
      <c r="M1179" t="s">
        <v>71</v>
      </c>
      <c r="N1179" t="s">
        <v>63</v>
      </c>
    </row>
    <row r="1180" spans="1:14">
      <c r="A1180" t="str">
        <f t="shared" si="36"/>
        <v>6.재고과다/재고부족_재고금액DFTINV_LONG_TERM2015</v>
      </c>
      <c r="B1180" t="str">
        <f t="shared" si="37"/>
        <v>6.재고과다/재고부족_재고금액DFTINV_LONG_TERM201508</v>
      </c>
      <c r="F1180" t="s">
        <v>265</v>
      </c>
      <c r="G1180" t="s">
        <v>8</v>
      </c>
      <c r="H1180" t="s">
        <v>307</v>
      </c>
      <c r="I1180" t="s">
        <v>260</v>
      </c>
      <c r="J1180" t="s">
        <v>41</v>
      </c>
      <c r="K1180" t="s">
        <v>183</v>
      </c>
      <c r="L1180">
        <v>45835.814472498503</v>
      </c>
      <c r="M1180" t="s">
        <v>71</v>
      </c>
      <c r="N1180" t="s">
        <v>63</v>
      </c>
    </row>
    <row r="1181" spans="1:14">
      <c r="A1181" t="str">
        <f t="shared" si="36"/>
        <v>6.재고과다/재고부족_재고금액DFTINV_LONG_TERM2015</v>
      </c>
      <c r="B1181" t="str">
        <f t="shared" si="37"/>
        <v>6.재고과다/재고부족_재고금액DFTINV_LONG_TERM201509</v>
      </c>
      <c r="F1181" t="s">
        <v>265</v>
      </c>
      <c r="G1181" t="s">
        <v>8</v>
      </c>
      <c r="H1181" t="s">
        <v>307</v>
      </c>
      <c r="I1181" t="s">
        <v>260</v>
      </c>
      <c r="J1181" t="s">
        <v>42</v>
      </c>
      <c r="K1181" t="s">
        <v>183</v>
      </c>
      <c r="L1181">
        <v>180297.767521306</v>
      </c>
      <c r="M1181" t="s">
        <v>71</v>
      </c>
      <c r="N1181" t="s">
        <v>63</v>
      </c>
    </row>
    <row r="1182" spans="1:14">
      <c r="A1182" t="str">
        <f t="shared" si="36"/>
        <v>6.재고과다/재고부족_재고금액DFTINV_LONG_TERM2015</v>
      </c>
      <c r="B1182" t="str">
        <f t="shared" si="37"/>
        <v>6.재고과다/재고부족_재고금액DFTINV_LONG_TERM201510</v>
      </c>
      <c r="F1182" t="s">
        <v>265</v>
      </c>
      <c r="G1182" t="s">
        <v>8</v>
      </c>
      <c r="H1182" t="s">
        <v>307</v>
      </c>
      <c r="I1182" t="s">
        <v>260</v>
      </c>
      <c r="J1182" t="s">
        <v>1</v>
      </c>
      <c r="K1182" t="s">
        <v>183</v>
      </c>
      <c r="L1182">
        <v>19572.031459161299</v>
      </c>
      <c r="M1182" t="s">
        <v>71</v>
      </c>
      <c r="N1182" t="s">
        <v>63</v>
      </c>
    </row>
    <row r="1183" spans="1:14">
      <c r="A1183" t="str">
        <f t="shared" si="36"/>
        <v>6.재고과다/재고부족_재고금액DGTINV_LONG_TERM2014</v>
      </c>
      <c r="B1183" t="str">
        <f t="shared" si="37"/>
        <v>6.재고과다/재고부족_재고금액DGTINV_LONG_TERM201401</v>
      </c>
      <c r="F1183" t="s">
        <v>265</v>
      </c>
      <c r="G1183" t="s">
        <v>9</v>
      </c>
      <c r="H1183" t="s">
        <v>307</v>
      </c>
      <c r="I1183" t="s">
        <v>254</v>
      </c>
      <c r="J1183" t="s">
        <v>22</v>
      </c>
      <c r="K1183" t="s">
        <v>183</v>
      </c>
      <c r="L1183">
        <v>255.46474406968099</v>
      </c>
      <c r="M1183" t="s">
        <v>64</v>
      </c>
      <c r="N1183" t="s">
        <v>64</v>
      </c>
    </row>
    <row r="1184" spans="1:14">
      <c r="A1184" t="str">
        <f t="shared" si="36"/>
        <v>6.재고과다/재고부족_재고금액DGTINV_LONG_TERM2014</v>
      </c>
      <c r="B1184" t="str">
        <f t="shared" si="37"/>
        <v>6.재고과다/재고부족_재고금액DGTINV_LONG_TERM201402</v>
      </c>
      <c r="F1184" t="s">
        <v>265</v>
      </c>
      <c r="G1184" t="s">
        <v>9</v>
      </c>
      <c r="H1184" t="s">
        <v>307</v>
      </c>
      <c r="I1184" t="s">
        <v>254</v>
      </c>
      <c r="J1184" t="s">
        <v>23</v>
      </c>
      <c r="K1184" t="s">
        <v>183</v>
      </c>
      <c r="L1184">
        <v>822.08204027348495</v>
      </c>
      <c r="M1184" t="s">
        <v>64</v>
      </c>
      <c r="N1184" t="s">
        <v>64</v>
      </c>
    </row>
    <row r="1185" spans="1:14">
      <c r="A1185" t="str">
        <f t="shared" si="36"/>
        <v>6.재고과다/재고부족_재고금액DGTINV_LONG_TERM2014</v>
      </c>
      <c r="B1185" t="str">
        <f t="shared" si="37"/>
        <v>6.재고과다/재고부족_재고금액DGTINV_LONG_TERM201403</v>
      </c>
      <c r="F1185" t="s">
        <v>265</v>
      </c>
      <c r="G1185" t="s">
        <v>9</v>
      </c>
      <c r="H1185" t="s">
        <v>307</v>
      </c>
      <c r="I1185" t="s">
        <v>254</v>
      </c>
      <c r="J1185" t="s">
        <v>24</v>
      </c>
      <c r="K1185" t="s">
        <v>183</v>
      </c>
      <c r="L1185">
        <v>1382.72285703593</v>
      </c>
      <c r="M1185" t="s">
        <v>64</v>
      </c>
      <c r="N1185" t="s">
        <v>64</v>
      </c>
    </row>
    <row r="1186" spans="1:14">
      <c r="A1186" t="str">
        <f t="shared" si="36"/>
        <v>6.재고과다/재고부족_재고금액DGTINV_LONG_TERM2014</v>
      </c>
      <c r="B1186" t="str">
        <f t="shared" si="37"/>
        <v>6.재고과다/재고부족_재고금액DGTINV_LONG_TERM201404</v>
      </c>
      <c r="F1186" t="s">
        <v>265</v>
      </c>
      <c r="G1186" t="s">
        <v>9</v>
      </c>
      <c r="H1186" t="s">
        <v>307</v>
      </c>
      <c r="I1186" t="s">
        <v>254</v>
      </c>
      <c r="J1186" t="s">
        <v>25</v>
      </c>
      <c r="K1186" t="s">
        <v>183</v>
      </c>
      <c r="L1186">
        <v>1619.2185881554699</v>
      </c>
      <c r="M1186" t="s">
        <v>64</v>
      </c>
      <c r="N1186" t="s">
        <v>64</v>
      </c>
    </row>
    <row r="1187" spans="1:14">
      <c r="A1187" t="str">
        <f t="shared" si="36"/>
        <v>6.재고과다/재고부족_재고금액DGTINV_LONG_TERM2014</v>
      </c>
      <c r="B1187" t="str">
        <f t="shared" si="37"/>
        <v>6.재고과다/재고부족_재고금액DGTINV_LONG_TERM201405</v>
      </c>
      <c r="F1187" t="s">
        <v>265</v>
      </c>
      <c r="G1187" t="s">
        <v>9</v>
      </c>
      <c r="H1187" t="s">
        <v>307</v>
      </c>
      <c r="I1187" t="s">
        <v>254</v>
      </c>
      <c r="J1187" t="s">
        <v>26</v>
      </c>
      <c r="K1187" t="s">
        <v>183</v>
      </c>
      <c r="L1187">
        <v>1609.5431182458899</v>
      </c>
      <c r="M1187" t="s">
        <v>64</v>
      </c>
      <c r="N1187" t="s">
        <v>64</v>
      </c>
    </row>
    <row r="1188" spans="1:14">
      <c r="A1188" t="str">
        <f t="shared" si="36"/>
        <v>6.재고과다/재고부족_재고금액DGTINV_LONG_TERM2014</v>
      </c>
      <c r="B1188" t="str">
        <f t="shared" si="37"/>
        <v>6.재고과다/재고부족_재고금액DGTINV_LONG_TERM201406</v>
      </c>
      <c r="F1188" t="s">
        <v>265</v>
      </c>
      <c r="G1188" t="s">
        <v>9</v>
      </c>
      <c r="H1188" t="s">
        <v>307</v>
      </c>
      <c r="I1188" t="s">
        <v>254</v>
      </c>
      <c r="J1188" t="s">
        <v>27</v>
      </c>
      <c r="K1188" t="s">
        <v>183</v>
      </c>
      <c r="L1188">
        <v>1376.87608270899</v>
      </c>
      <c r="M1188" t="s">
        <v>64</v>
      </c>
      <c r="N1188" t="s">
        <v>64</v>
      </c>
    </row>
    <row r="1189" spans="1:14">
      <c r="A1189" t="str">
        <f t="shared" si="36"/>
        <v>6.재고과다/재고부족_재고금액DGTINV_LONG_TERM2014</v>
      </c>
      <c r="B1189" t="str">
        <f t="shared" si="37"/>
        <v>6.재고과다/재고부족_재고금액DGTINV_LONG_TERM201407</v>
      </c>
      <c r="F1189" t="s">
        <v>265</v>
      </c>
      <c r="G1189" t="s">
        <v>9</v>
      </c>
      <c r="H1189" t="s">
        <v>307</v>
      </c>
      <c r="I1189" t="s">
        <v>254</v>
      </c>
      <c r="J1189" t="s">
        <v>28</v>
      </c>
      <c r="K1189" t="s">
        <v>183</v>
      </c>
      <c r="L1189">
        <v>1618.6217110221601</v>
      </c>
      <c r="M1189" t="s">
        <v>64</v>
      </c>
      <c r="N1189" t="s">
        <v>64</v>
      </c>
    </row>
    <row r="1190" spans="1:14">
      <c r="A1190" t="str">
        <f t="shared" si="36"/>
        <v>6.재고과다/재고부족_재고금액DGTINV_LONG_TERM2014</v>
      </c>
      <c r="B1190" t="str">
        <f t="shared" si="37"/>
        <v>6.재고과다/재고부족_재고금액DGTINV_LONG_TERM201408</v>
      </c>
      <c r="F1190" t="s">
        <v>265</v>
      </c>
      <c r="G1190" t="s">
        <v>9</v>
      </c>
      <c r="H1190" t="s">
        <v>307</v>
      </c>
      <c r="I1190" t="s">
        <v>254</v>
      </c>
      <c r="J1190" t="s">
        <v>29</v>
      </c>
      <c r="K1190" t="s">
        <v>183</v>
      </c>
      <c r="L1190">
        <v>1588.1494729676399</v>
      </c>
      <c r="M1190" t="s">
        <v>64</v>
      </c>
      <c r="N1190" t="s">
        <v>64</v>
      </c>
    </row>
    <row r="1191" spans="1:14">
      <c r="A1191" t="str">
        <f t="shared" si="36"/>
        <v>6.재고과다/재고부족_재고금액DGTINV_LONG_TERM2014</v>
      </c>
      <c r="B1191" t="str">
        <f t="shared" si="37"/>
        <v>6.재고과다/재고부족_재고금액DGTINV_LONG_TERM201409</v>
      </c>
      <c r="F1191" t="s">
        <v>265</v>
      </c>
      <c r="G1191" t="s">
        <v>9</v>
      </c>
      <c r="H1191" t="s">
        <v>307</v>
      </c>
      <c r="I1191" t="s">
        <v>254</v>
      </c>
      <c r="J1191" t="s">
        <v>30</v>
      </c>
      <c r="K1191" t="s">
        <v>183</v>
      </c>
      <c r="L1191">
        <v>1555.1475997525199</v>
      </c>
      <c r="M1191" t="s">
        <v>64</v>
      </c>
      <c r="N1191" t="s">
        <v>64</v>
      </c>
    </row>
    <row r="1192" spans="1:14">
      <c r="A1192" t="str">
        <f t="shared" si="36"/>
        <v>6.재고과다/재고부족_재고금액DGTINV_LONG_TERM2014</v>
      </c>
      <c r="B1192" t="str">
        <f t="shared" si="37"/>
        <v>6.재고과다/재고부족_재고금액DGTINV_LONG_TERM201410</v>
      </c>
      <c r="F1192" t="s">
        <v>265</v>
      </c>
      <c r="G1192" t="s">
        <v>9</v>
      </c>
      <c r="H1192" t="s">
        <v>307</v>
      </c>
      <c r="I1192" t="s">
        <v>254</v>
      </c>
      <c r="J1192" t="s">
        <v>31</v>
      </c>
      <c r="K1192" t="s">
        <v>183</v>
      </c>
      <c r="L1192">
        <v>0</v>
      </c>
      <c r="M1192" t="s">
        <v>64</v>
      </c>
      <c r="N1192" t="s">
        <v>64</v>
      </c>
    </row>
    <row r="1193" spans="1:14">
      <c r="A1193" t="str">
        <f t="shared" si="36"/>
        <v>6.재고과다/재고부족_재고금액DGTINV_LONG_TERM2014</v>
      </c>
      <c r="B1193" t="str">
        <f t="shared" si="37"/>
        <v>6.재고과다/재고부족_재고금액DGTINV_LONG_TERM201411</v>
      </c>
      <c r="F1193" t="s">
        <v>265</v>
      </c>
      <c r="G1193" t="s">
        <v>9</v>
      </c>
      <c r="H1193" t="s">
        <v>307</v>
      </c>
      <c r="I1193" t="s">
        <v>254</v>
      </c>
      <c r="J1193" t="s">
        <v>32</v>
      </c>
      <c r="K1193" t="s">
        <v>183</v>
      </c>
      <c r="L1193">
        <v>0</v>
      </c>
      <c r="M1193" t="s">
        <v>64</v>
      </c>
      <c r="N1193" t="s">
        <v>64</v>
      </c>
    </row>
    <row r="1194" spans="1:14">
      <c r="A1194" t="str">
        <f t="shared" si="36"/>
        <v>6.재고과다/재고부족_재고금액DGTINV_LONG_TERM2014</v>
      </c>
      <c r="B1194" t="str">
        <f t="shared" si="37"/>
        <v>6.재고과다/재고부족_재고금액DGTINV_LONG_TERM201412</v>
      </c>
      <c r="F1194" t="s">
        <v>265</v>
      </c>
      <c r="G1194" t="s">
        <v>9</v>
      </c>
      <c r="H1194" t="s">
        <v>307</v>
      </c>
      <c r="I1194" t="s">
        <v>254</v>
      </c>
      <c r="J1194" t="s">
        <v>33</v>
      </c>
      <c r="K1194" t="s">
        <v>183</v>
      </c>
      <c r="L1194">
        <v>0</v>
      </c>
      <c r="M1194" t="s">
        <v>64</v>
      </c>
      <c r="N1194" t="s">
        <v>64</v>
      </c>
    </row>
    <row r="1195" spans="1:14">
      <c r="A1195" t="str">
        <f t="shared" si="36"/>
        <v>6.재고과다/재고부족_재고금액DGTINV_LONG_TERM2015</v>
      </c>
      <c r="B1195" t="str">
        <f t="shared" si="37"/>
        <v>6.재고과다/재고부족_재고금액DGTINV_LONG_TERM201501</v>
      </c>
      <c r="F1195" t="s">
        <v>265</v>
      </c>
      <c r="G1195" t="s">
        <v>9</v>
      </c>
      <c r="H1195" t="s">
        <v>307</v>
      </c>
      <c r="I1195" t="s">
        <v>260</v>
      </c>
      <c r="J1195" t="s">
        <v>34</v>
      </c>
      <c r="K1195" t="s">
        <v>183</v>
      </c>
      <c r="L1195">
        <v>0</v>
      </c>
      <c r="M1195" t="s">
        <v>64</v>
      </c>
      <c r="N1195" t="s">
        <v>64</v>
      </c>
    </row>
    <row r="1196" spans="1:14">
      <c r="A1196" t="str">
        <f t="shared" si="36"/>
        <v>6.재고과다/재고부족_재고금액DGTINV_LONG_TERM2015</v>
      </c>
      <c r="B1196" t="str">
        <f t="shared" si="37"/>
        <v>6.재고과다/재고부족_재고금액DGTINV_LONG_TERM201502</v>
      </c>
      <c r="F1196" t="s">
        <v>265</v>
      </c>
      <c r="G1196" t="s">
        <v>9</v>
      </c>
      <c r="H1196" t="s">
        <v>307</v>
      </c>
      <c r="I1196" t="s">
        <v>260</v>
      </c>
      <c r="J1196" t="s">
        <v>35</v>
      </c>
      <c r="K1196" t="s">
        <v>183</v>
      </c>
      <c r="L1196">
        <v>2468.1590524927201</v>
      </c>
      <c r="M1196" t="s">
        <v>64</v>
      </c>
      <c r="N1196" t="s">
        <v>64</v>
      </c>
    </row>
    <row r="1197" spans="1:14">
      <c r="A1197" t="str">
        <f t="shared" si="36"/>
        <v>6.재고과다/재고부족_재고금액DGTINV_LONG_TERM2015</v>
      </c>
      <c r="B1197" t="str">
        <f t="shared" si="37"/>
        <v>6.재고과다/재고부족_재고금액DGTINV_LONG_TERM201503</v>
      </c>
      <c r="F1197" t="s">
        <v>265</v>
      </c>
      <c r="G1197" t="s">
        <v>9</v>
      </c>
      <c r="H1197" t="s">
        <v>307</v>
      </c>
      <c r="I1197" t="s">
        <v>260</v>
      </c>
      <c r="J1197" t="s">
        <v>36</v>
      </c>
      <c r="K1197" t="s">
        <v>183</v>
      </c>
      <c r="L1197">
        <v>2884.5913484162902</v>
      </c>
      <c r="M1197" t="s">
        <v>64</v>
      </c>
      <c r="N1197" t="s">
        <v>64</v>
      </c>
    </row>
    <row r="1198" spans="1:14">
      <c r="A1198" t="str">
        <f t="shared" si="36"/>
        <v>6.재고과다/재고부족_재고금액DGTINV_LONG_TERM2015</v>
      </c>
      <c r="B1198" t="str">
        <f t="shared" si="37"/>
        <v>6.재고과다/재고부족_재고금액DGTINV_LONG_TERM201504</v>
      </c>
      <c r="F1198" t="s">
        <v>265</v>
      </c>
      <c r="G1198" t="s">
        <v>9</v>
      </c>
      <c r="H1198" t="s">
        <v>307</v>
      </c>
      <c r="I1198" t="s">
        <v>260</v>
      </c>
      <c r="J1198" t="s">
        <v>37</v>
      </c>
      <c r="K1198" t="s">
        <v>183</v>
      </c>
      <c r="L1198">
        <v>3004.9828667727702</v>
      </c>
      <c r="M1198" t="s">
        <v>64</v>
      </c>
      <c r="N1198" t="s">
        <v>64</v>
      </c>
    </row>
    <row r="1199" spans="1:14">
      <c r="A1199" t="str">
        <f t="shared" si="36"/>
        <v>6.재고과다/재고부족_재고금액DGTINV_LONG_TERM2015</v>
      </c>
      <c r="B1199" t="str">
        <f t="shared" si="37"/>
        <v>6.재고과다/재고부족_재고금액DGTINV_LONG_TERM201505</v>
      </c>
      <c r="F1199" t="s">
        <v>265</v>
      </c>
      <c r="G1199" t="s">
        <v>9</v>
      </c>
      <c r="H1199" t="s">
        <v>307</v>
      </c>
      <c r="I1199" t="s">
        <v>260</v>
      </c>
      <c r="J1199" t="s">
        <v>38</v>
      </c>
      <c r="K1199" t="s">
        <v>183</v>
      </c>
      <c r="L1199">
        <v>2984.4309386281602</v>
      </c>
      <c r="M1199" t="s">
        <v>64</v>
      </c>
      <c r="N1199" t="s">
        <v>64</v>
      </c>
    </row>
    <row r="1200" spans="1:14">
      <c r="A1200" t="str">
        <f t="shared" si="36"/>
        <v>6.재고과다/재고부족_재고금액DGTINV_LONG_TERM2015</v>
      </c>
      <c r="B1200" t="str">
        <f t="shared" si="37"/>
        <v>6.재고과다/재고부족_재고금액DGTINV_LONG_TERM201506</v>
      </c>
      <c r="F1200" t="s">
        <v>265</v>
      </c>
      <c r="G1200" t="s">
        <v>9</v>
      </c>
      <c r="H1200" t="s">
        <v>307</v>
      </c>
      <c r="I1200" t="s">
        <v>260</v>
      </c>
      <c r="J1200" t="s">
        <v>39</v>
      </c>
      <c r="K1200" t="s">
        <v>183</v>
      </c>
      <c r="L1200">
        <v>0</v>
      </c>
      <c r="M1200" t="s">
        <v>64</v>
      </c>
      <c r="N1200" t="s">
        <v>64</v>
      </c>
    </row>
    <row r="1201" spans="1:14">
      <c r="A1201" t="str">
        <f t="shared" si="36"/>
        <v>6.재고과다/재고부족_재고금액DGTINV_LONG_TERM2015</v>
      </c>
      <c r="B1201" t="str">
        <f t="shared" si="37"/>
        <v>6.재고과다/재고부족_재고금액DGTINV_LONG_TERM201507</v>
      </c>
      <c r="F1201" t="s">
        <v>265</v>
      </c>
      <c r="G1201" t="s">
        <v>9</v>
      </c>
      <c r="H1201" t="s">
        <v>307</v>
      </c>
      <c r="I1201" t="s">
        <v>260</v>
      </c>
      <c r="J1201" t="s">
        <v>40</v>
      </c>
      <c r="K1201" t="s">
        <v>183</v>
      </c>
      <c r="L1201">
        <v>0</v>
      </c>
      <c r="M1201" t="s">
        <v>64</v>
      </c>
      <c r="N1201" t="s">
        <v>64</v>
      </c>
    </row>
    <row r="1202" spans="1:14">
      <c r="A1202" t="str">
        <f t="shared" si="36"/>
        <v>6.재고과다/재고부족_재고금액DGTINV_LONG_TERM2015</v>
      </c>
      <c r="B1202" t="str">
        <f t="shared" si="37"/>
        <v>6.재고과다/재고부족_재고금액DGTINV_LONG_TERM201508</v>
      </c>
      <c r="F1202" t="s">
        <v>265</v>
      </c>
      <c r="G1202" t="s">
        <v>9</v>
      </c>
      <c r="H1202" t="s">
        <v>307</v>
      </c>
      <c r="I1202" t="s">
        <v>260</v>
      </c>
      <c r="J1202" t="s">
        <v>41</v>
      </c>
      <c r="K1202" t="s">
        <v>183</v>
      </c>
      <c r="L1202">
        <v>584.79177964804899</v>
      </c>
      <c r="M1202" t="s">
        <v>64</v>
      </c>
      <c r="N1202" t="s">
        <v>64</v>
      </c>
    </row>
    <row r="1203" spans="1:14">
      <c r="A1203" t="str">
        <f t="shared" si="36"/>
        <v>6.재고과다/재고부족_재고금액DGTINV_LONG_TERM2015</v>
      </c>
      <c r="B1203" t="str">
        <f t="shared" si="37"/>
        <v>6.재고과다/재고부족_재고금액DGTINV_LONG_TERM201509</v>
      </c>
      <c r="F1203" t="s">
        <v>265</v>
      </c>
      <c r="G1203" t="s">
        <v>9</v>
      </c>
      <c r="H1203" t="s">
        <v>307</v>
      </c>
      <c r="I1203" t="s">
        <v>260</v>
      </c>
      <c r="J1203" t="s">
        <v>42</v>
      </c>
      <c r="K1203" t="s">
        <v>183</v>
      </c>
      <c r="L1203">
        <v>575.07792984512298</v>
      </c>
      <c r="M1203" t="s">
        <v>64</v>
      </c>
      <c r="N1203" t="s">
        <v>64</v>
      </c>
    </row>
    <row r="1204" spans="1:14">
      <c r="A1204" t="str">
        <f t="shared" si="36"/>
        <v>6.재고과다/재고부족_재고금액DGTINV_LONG_TERM2015</v>
      </c>
      <c r="B1204" t="str">
        <f t="shared" si="37"/>
        <v>6.재고과다/재고부족_재고금액DGTINV_LONG_TERM201510</v>
      </c>
      <c r="F1204" t="s">
        <v>265</v>
      </c>
      <c r="G1204" t="s">
        <v>9</v>
      </c>
      <c r="H1204" t="s">
        <v>307</v>
      </c>
      <c r="I1204" t="s">
        <v>260</v>
      </c>
      <c r="J1204" t="s">
        <v>1</v>
      </c>
      <c r="K1204" t="s">
        <v>183</v>
      </c>
      <c r="L1204">
        <v>581.22780635559798</v>
      </c>
      <c r="M1204" t="s">
        <v>64</v>
      </c>
      <c r="N1204" t="s">
        <v>64</v>
      </c>
    </row>
    <row r="1205" spans="1:14">
      <c r="A1205" t="str">
        <f t="shared" si="36"/>
        <v>6.재고과다/재고부족_재고금액DVTINV_LONG_TERM2014</v>
      </c>
      <c r="B1205" t="str">
        <f t="shared" si="37"/>
        <v>6.재고과다/재고부족_재고금액DVTINV_LONG_TERM201401</v>
      </c>
      <c r="F1205" t="s">
        <v>265</v>
      </c>
      <c r="G1205" t="s">
        <v>11</v>
      </c>
      <c r="H1205" t="s">
        <v>307</v>
      </c>
      <c r="I1205" t="s">
        <v>254</v>
      </c>
      <c r="J1205" t="s">
        <v>22</v>
      </c>
      <c r="K1205" t="s">
        <v>183</v>
      </c>
      <c r="L1205">
        <v>0</v>
      </c>
      <c r="M1205" t="s">
        <v>67</v>
      </c>
      <c r="N1205" t="s">
        <v>67</v>
      </c>
    </row>
    <row r="1206" spans="1:14">
      <c r="A1206" t="str">
        <f t="shared" si="36"/>
        <v>6.재고과다/재고부족_재고금액DVTINV_LONG_TERM2014</v>
      </c>
      <c r="B1206" t="str">
        <f t="shared" si="37"/>
        <v>6.재고과다/재고부족_재고금액DVTINV_LONG_TERM201402</v>
      </c>
      <c r="F1206" t="s">
        <v>265</v>
      </c>
      <c r="G1206" t="s">
        <v>11</v>
      </c>
      <c r="H1206" t="s">
        <v>307</v>
      </c>
      <c r="I1206" t="s">
        <v>254</v>
      </c>
      <c r="J1206" t="s">
        <v>23</v>
      </c>
      <c r="K1206" t="s">
        <v>183</v>
      </c>
      <c r="L1206">
        <v>10136.8310049639</v>
      </c>
      <c r="M1206" t="s">
        <v>67</v>
      </c>
      <c r="N1206" t="s">
        <v>67</v>
      </c>
    </row>
    <row r="1207" spans="1:14">
      <c r="A1207" t="str">
        <f t="shared" si="36"/>
        <v>6.재고과다/재고부족_재고금액DVTINV_LONG_TERM2014</v>
      </c>
      <c r="B1207" t="str">
        <f t="shared" si="37"/>
        <v>6.재고과다/재고부족_재고금액DVTINV_LONG_TERM201403</v>
      </c>
      <c r="F1207" t="s">
        <v>265</v>
      </c>
      <c r="G1207" t="s">
        <v>11</v>
      </c>
      <c r="H1207" t="s">
        <v>307</v>
      </c>
      <c r="I1207" t="s">
        <v>254</v>
      </c>
      <c r="J1207" t="s">
        <v>24</v>
      </c>
      <c r="K1207" t="s">
        <v>183</v>
      </c>
      <c r="L1207">
        <v>0</v>
      </c>
      <c r="M1207" t="s">
        <v>67</v>
      </c>
      <c r="N1207" t="s">
        <v>67</v>
      </c>
    </row>
    <row r="1208" spans="1:14">
      <c r="A1208" t="str">
        <f t="shared" si="36"/>
        <v>6.재고과다/재고부족_재고금액DVTINV_LONG_TERM2014</v>
      </c>
      <c r="B1208" t="str">
        <f t="shared" si="37"/>
        <v>6.재고과다/재고부족_재고금액DVTINV_LONG_TERM201404</v>
      </c>
      <c r="F1208" t="s">
        <v>265</v>
      </c>
      <c r="G1208" t="s">
        <v>11</v>
      </c>
      <c r="H1208" t="s">
        <v>307</v>
      </c>
      <c r="I1208" t="s">
        <v>254</v>
      </c>
      <c r="J1208" t="s">
        <v>25</v>
      </c>
      <c r="K1208" t="s">
        <v>183</v>
      </c>
      <c r="L1208">
        <v>0</v>
      </c>
      <c r="M1208" t="s">
        <v>67</v>
      </c>
      <c r="N1208" t="s">
        <v>67</v>
      </c>
    </row>
    <row r="1209" spans="1:14">
      <c r="A1209" t="str">
        <f t="shared" si="36"/>
        <v>6.재고과다/재고부족_재고금액DVTINV_LONG_TERM2014</v>
      </c>
      <c r="B1209" t="str">
        <f t="shared" si="37"/>
        <v>6.재고과다/재고부족_재고금액DVTINV_LONG_TERM201405</v>
      </c>
      <c r="F1209" t="s">
        <v>265</v>
      </c>
      <c r="G1209" t="s">
        <v>11</v>
      </c>
      <c r="H1209" t="s">
        <v>307</v>
      </c>
      <c r="I1209" t="s">
        <v>254</v>
      </c>
      <c r="J1209" t="s">
        <v>26</v>
      </c>
      <c r="K1209" t="s">
        <v>183</v>
      </c>
      <c r="L1209">
        <v>0</v>
      </c>
      <c r="M1209" t="s">
        <v>67</v>
      </c>
      <c r="N1209" t="s">
        <v>67</v>
      </c>
    </row>
    <row r="1210" spans="1:14">
      <c r="A1210" t="str">
        <f t="shared" si="36"/>
        <v>6.재고과다/재고부족_재고금액DVTINV_LONG_TERM2014</v>
      </c>
      <c r="B1210" t="str">
        <f t="shared" si="37"/>
        <v>6.재고과다/재고부족_재고금액DVTINV_LONG_TERM201406</v>
      </c>
      <c r="F1210" t="s">
        <v>265</v>
      </c>
      <c r="G1210" t="s">
        <v>11</v>
      </c>
      <c r="H1210" t="s">
        <v>307</v>
      </c>
      <c r="I1210" t="s">
        <v>254</v>
      </c>
      <c r="J1210" t="s">
        <v>27</v>
      </c>
      <c r="K1210" t="s">
        <v>183</v>
      </c>
      <c r="L1210">
        <v>0</v>
      </c>
      <c r="M1210" t="s">
        <v>67</v>
      </c>
      <c r="N1210" t="s">
        <v>67</v>
      </c>
    </row>
    <row r="1211" spans="1:14">
      <c r="A1211" t="str">
        <f t="shared" si="36"/>
        <v>6.재고과다/재고부족_재고금액DVTINV_LONG_TERM2014</v>
      </c>
      <c r="B1211" t="str">
        <f t="shared" si="37"/>
        <v>6.재고과다/재고부족_재고금액DVTINV_LONG_TERM201407</v>
      </c>
      <c r="F1211" t="s">
        <v>265</v>
      </c>
      <c r="G1211" t="s">
        <v>11</v>
      </c>
      <c r="H1211" t="s">
        <v>307</v>
      </c>
      <c r="I1211" t="s">
        <v>254</v>
      </c>
      <c r="J1211" t="s">
        <v>28</v>
      </c>
      <c r="K1211" t="s">
        <v>183</v>
      </c>
      <c r="L1211">
        <v>0</v>
      </c>
      <c r="M1211" t="s">
        <v>67</v>
      </c>
      <c r="N1211" t="s">
        <v>67</v>
      </c>
    </row>
    <row r="1212" spans="1:14">
      <c r="A1212" t="str">
        <f t="shared" si="36"/>
        <v>6.재고과다/재고부족_재고금액DVTINV_LONG_TERM2014</v>
      </c>
      <c r="B1212" t="str">
        <f t="shared" si="37"/>
        <v>6.재고과다/재고부족_재고금액DVTINV_LONG_TERM201408</v>
      </c>
      <c r="F1212" t="s">
        <v>265</v>
      </c>
      <c r="G1212" t="s">
        <v>11</v>
      </c>
      <c r="H1212" t="s">
        <v>307</v>
      </c>
      <c r="I1212" t="s">
        <v>254</v>
      </c>
      <c r="J1212" t="s">
        <v>29</v>
      </c>
      <c r="K1212" t="s">
        <v>183</v>
      </c>
      <c r="L1212">
        <v>0</v>
      </c>
      <c r="M1212" t="s">
        <v>67</v>
      </c>
      <c r="N1212" t="s">
        <v>67</v>
      </c>
    </row>
    <row r="1213" spans="1:14">
      <c r="A1213" t="str">
        <f t="shared" si="36"/>
        <v>6.재고과다/재고부족_재고금액DVTINV_LONG_TERM2014</v>
      </c>
      <c r="B1213" t="str">
        <f t="shared" si="37"/>
        <v>6.재고과다/재고부족_재고금액DVTINV_LONG_TERM201409</v>
      </c>
      <c r="F1213" t="s">
        <v>265</v>
      </c>
      <c r="G1213" t="s">
        <v>11</v>
      </c>
      <c r="H1213" t="s">
        <v>307</v>
      </c>
      <c r="I1213" t="s">
        <v>254</v>
      </c>
      <c r="J1213" t="s">
        <v>30</v>
      </c>
      <c r="K1213" t="s">
        <v>183</v>
      </c>
      <c r="L1213">
        <v>0</v>
      </c>
      <c r="M1213" t="s">
        <v>67</v>
      </c>
      <c r="N1213" t="s">
        <v>67</v>
      </c>
    </row>
    <row r="1214" spans="1:14">
      <c r="A1214" t="str">
        <f t="shared" si="36"/>
        <v>6.재고과다/재고부족_재고금액DVTINV_LONG_TERM2014</v>
      </c>
      <c r="B1214" t="str">
        <f t="shared" si="37"/>
        <v>6.재고과다/재고부족_재고금액DVTINV_LONG_TERM201410</v>
      </c>
      <c r="F1214" t="s">
        <v>265</v>
      </c>
      <c r="G1214" t="s">
        <v>11</v>
      </c>
      <c r="H1214" t="s">
        <v>307</v>
      </c>
      <c r="I1214" t="s">
        <v>254</v>
      </c>
      <c r="J1214" t="s">
        <v>31</v>
      </c>
      <c r="K1214" t="s">
        <v>183</v>
      </c>
      <c r="L1214">
        <v>0</v>
      </c>
      <c r="M1214" t="s">
        <v>67</v>
      </c>
      <c r="N1214" t="s">
        <v>67</v>
      </c>
    </row>
    <row r="1215" spans="1:14">
      <c r="A1215" t="str">
        <f t="shared" si="36"/>
        <v>6.재고과다/재고부족_재고금액DVTINV_LONG_TERM2014</v>
      </c>
      <c r="B1215" t="str">
        <f t="shared" si="37"/>
        <v>6.재고과다/재고부족_재고금액DVTINV_LONG_TERM201411</v>
      </c>
      <c r="F1215" t="s">
        <v>265</v>
      </c>
      <c r="G1215" t="s">
        <v>11</v>
      </c>
      <c r="H1215" t="s">
        <v>307</v>
      </c>
      <c r="I1215" t="s">
        <v>254</v>
      </c>
      <c r="J1215" t="s">
        <v>32</v>
      </c>
      <c r="K1215" t="s">
        <v>183</v>
      </c>
      <c r="L1215">
        <v>0</v>
      </c>
      <c r="M1215" t="s">
        <v>67</v>
      </c>
      <c r="N1215" t="s">
        <v>67</v>
      </c>
    </row>
    <row r="1216" spans="1:14">
      <c r="A1216" t="str">
        <f t="shared" si="36"/>
        <v>6.재고과다/재고부족_재고금액DVTINV_LONG_TERM2014</v>
      </c>
      <c r="B1216" t="str">
        <f t="shared" si="37"/>
        <v>6.재고과다/재고부족_재고금액DVTINV_LONG_TERM201412</v>
      </c>
      <c r="F1216" t="s">
        <v>265</v>
      </c>
      <c r="G1216" t="s">
        <v>11</v>
      </c>
      <c r="H1216" t="s">
        <v>307</v>
      </c>
      <c r="I1216" t="s">
        <v>254</v>
      </c>
      <c r="J1216" t="s">
        <v>33</v>
      </c>
      <c r="K1216" t="s">
        <v>183</v>
      </c>
      <c r="L1216">
        <v>0</v>
      </c>
      <c r="M1216" t="s">
        <v>67</v>
      </c>
      <c r="N1216" t="s">
        <v>67</v>
      </c>
    </row>
    <row r="1217" spans="1:14">
      <c r="A1217" t="str">
        <f t="shared" si="36"/>
        <v>6.재고과다/재고부족_재고금액DVTINV_LONG_TERM2015</v>
      </c>
      <c r="B1217" t="str">
        <f t="shared" si="37"/>
        <v>6.재고과다/재고부족_재고금액DVTINV_LONG_TERM201501</v>
      </c>
      <c r="F1217" t="s">
        <v>265</v>
      </c>
      <c r="G1217" t="s">
        <v>11</v>
      </c>
      <c r="H1217" t="s">
        <v>307</v>
      </c>
      <c r="I1217" t="s">
        <v>260</v>
      </c>
      <c r="J1217" t="s">
        <v>34</v>
      </c>
      <c r="K1217" t="s">
        <v>183</v>
      </c>
      <c r="L1217">
        <v>0</v>
      </c>
      <c r="M1217" t="s">
        <v>67</v>
      </c>
      <c r="N1217" t="s">
        <v>67</v>
      </c>
    </row>
    <row r="1218" spans="1:14">
      <c r="A1218" t="str">
        <f t="shared" si="36"/>
        <v>6.재고과다/재고부족_재고금액DVTINV_LONG_TERM2015</v>
      </c>
      <c r="B1218" t="str">
        <f t="shared" si="37"/>
        <v>6.재고과다/재고부족_재고금액DVTINV_LONG_TERM201502</v>
      </c>
      <c r="F1218" t="s">
        <v>265</v>
      </c>
      <c r="G1218" t="s">
        <v>11</v>
      </c>
      <c r="H1218" t="s">
        <v>307</v>
      </c>
      <c r="I1218" t="s">
        <v>260</v>
      </c>
      <c r="J1218" t="s">
        <v>35</v>
      </c>
      <c r="K1218" t="s">
        <v>183</v>
      </c>
      <c r="L1218">
        <v>0</v>
      </c>
      <c r="M1218" t="s">
        <v>67</v>
      </c>
      <c r="N1218" t="s">
        <v>67</v>
      </c>
    </row>
    <row r="1219" spans="1:14">
      <c r="A1219" t="str">
        <f t="shared" si="36"/>
        <v>6.재고과다/재고부족_재고금액DVTINV_LONG_TERM2015</v>
      </c>
      <c r="B1219" t="str">
        <f t="shared" si="37"/>
        <v>6.재고과다/재고부족_재고금액DVTINV_LONG_TERM201503</v>
      </c>
      <c r="F1219" t="s">
        <v>265</v>
      </c>
      <c r="G1219" t="s">
        <v>11</v>
      </c>
      <c r="H1219" t="s">
        <v>307</v>
      </c>
      <c r="I1219" t="s">
        <v>260</v>
      </c>
      <c r="J1219" t="s">
        <v>36</v>
      </c>
      <c r="K1219" t="s">
        <v>183</v>
      </c>
      <c r="L1219">
        <v>0</v>
      </c>
      <c r="M1219" t="s">
        <v>67</v>
      </c>
      <c r="N1219" t="s">
        <v>67</v>
      </c>
    </row>
    <row r="1220" spans="1:14">
      <c r="A1220" t="str">
        <f t="shared" si="36"/>
        <v>6.재고과다/재고부족_재고금액DVTINV_LONG_TERM2015</v>
      </c>
      <c r="B1220" t="str">
        <f t="shared" si="37"/>
        <v>6.재고과다/재고부족_재고금액DVTINV_LONG_TERM201504</v>
      </c>
      <c r="F1220" t="s">
        <v>265</v>
      </c>
      <c r="G1220" t="s">
        <v>11</v>
      </c>
      <c r="H1220" t="s">
        <v>307</v>
      </c>
      <c r="I1220" t="s">
        <v>260</v>
      </c>
      <c r="J1220" t="s">
        <v>37</v>
      </c>
      <c r="K1220" t="s">
        <v>183</v>
      </c>
      <c r="L1220">
        <v>0</v>
      </c>
      <c r="M1220" t="s">
        <v>67</v>
      </c>
      <c r="N1220" t="s">
        <v>67</v>
      </c>
    </row>
    <row r="1221" spans="1:14">
      <c r="A1221" t="str">
        <f t="shared" si="36"/>
        <v>6.재고과다/재고부족_재고금액DVTINV_LONG_TERM2015</v>
      </c>
      <c r="B1221" t="str">
        <f t="shared" si="37"/>
        <v>6.재고과다/재고부족_재고금액DVTINV_LONG_TERM201505</v>
      </c>
      <c r="F1221" t="s">
        <v>265</v>
      </c>
      <c r="G1221" t="s">
        <v>11</v>
      </c>
      <c r="H1221" t="s">
        <v>307</v>
      </c>
      <c r="I1221" t="s">
        <v>260</v>
      </c>
      <c r="J1221" t="s">
        <v>38</v>
      </c>
      <c r="K1221" t="s">
        <v>183</v>
      </c>
      <c r="L1221">
        <v>0</v>
      </c>
      <c r="M1221" t="s">
        <v>67</v>
      </c>
      <c r="N1221" t="s">
        <v>67</v>
      </c>
    </row>
    <row r="1222" spans="1:14">
      <c r="A1222" t="str">
        <f t="shared" si="36"/>
        <v>6.재고과다/재고부족_재고금액DVTINV_LONG_TERM2015</v>
      </c>
      <c r="B1222" t="str">
        <f t="shared" si="37"/>
        <v>6.재고과다/재고부족_재고금액DVTINV_LONG_TERM201506</v>
      </c>
      <c r="F1222" t="s">
        <v>265</v>
      </c>
      <c r="G1222" t="s">
        <v>11</v>
      </c>
      <c r="H1222" t="s">
        <v>307</v>
      </c>
      <c r="I1222" t="s">
        <v>260</v>
      </c>
      <c r="J1222" t="s">
        <v>39</v>
      </c>
      <c r="K1222" t="s">
        <v>183</v>
      </c>
      <c r="L1222">
        <v>0</v>
      </c>
      <c r="M1222" t="s">
        <v>67</v>
      </c>
      <c r="N1222" t="s">
        <v>67</v>
      </c>
    </row>
    <row r="1223" spans="1:14">
      <c r="A1223" t="str">
        <f t="shared" ref="A1223:A1286" si="38">F1223&amp;G1223&amp;K1223&amp;I1223</f>
        <v>6.재고과다/재고부족_재고금액DVTINV_LONG_TERM2015</v>
      </c>
      <c r="B1223" t="str">
        <f t="shared" ref="B1223:B1286" si="39">F1223&amp;G1223&amp;K1223&amp;J1223</f>
        <v>6.재고과다/재고부족_재고금액DVTINV_LONG_TERM201507</v>
      </c>
      <c r="F1223" t="s">
        <v>265</v>
      </c>
      <c r="G1223" t="s">
        <v>11</v>
      </c>
      <c r="H1223" t="s">
        <v>307</v>
      </c>
      <c r="I1223" t="s">
        <v>260</v>
      </c>
      <c r="J1223" t="s">
        <v>40</v>
      </c>
      <c r="K1223" t="s">
        <v>183</v>
      </c>
      <c r="L1223">
        <v>0</v>
      </c>
      <c r="M1223" t="s">
        <v>67</v>
      </c>
      <c r="N1223" t="s">
        <v>67</v>
      </c>
    </row>
    <row r="1224" spans="1:14">
      <c r="A1224" t="str">
        <f t="shared" si="38"/>
        <v>6.재고과다/재고부족_재고금액DVTINV_LONG_TERM2015</v>
      </c>
      <c r="B1224" t="str">
        <f t="shared" si="39"/>
        <v>6.재고과다/재고부족_재고금액DVTINV_LONG_TERM201508</v>
      </c>
      <c r="F1224" t="s">
        <v>265</v>
      </c>
      <c r="G1224" t="s">
        <v>11</v>
      </c>
      <c r="H1224" t="s">
        <v>307</v>
      </c>
      <c r="I1224" t="s">
        <v>260</v>
      </c>
      <c r="J1224" t="s">
        <v>41</v>
      </c>
      <c r="K1224" t="s">
        <v>183</v>
      </c>
      <c r="L1224">
        <v>0</v>
      </c>
      <c r="M1224" t="s">
        <v>67</v>
      </c>
      <c r="N1224" t="s">
        <v>67</v>
      </c>
    </row>
    <row r="1225" spans="1:14">
      <c r="A1225" t="str">
        <f t="shared" si="38"/>
        <v>6.재고과다/재고부족_재고금액DVTINV_LONG_TERM2015</v>
      </c>
      <c r="B1225" t="str">
        <f t="shared" si="39"/>
        <v>6.재고과다/재고부족_재고금액DVTINV_LONG_TERM201509</v>
      </c>
      <c r="F1225" t="s">
        <v>265</v>
      </c>
      <c r="G1225" t="s">
        <v>11</v>
      </c>
      <c r="H1225" t="s">
        <v>307</v>
      </c>
      <c r="I1225" t="s">
        <v>260</v>
      </c>
      <c r="J1225" t="s">
        <v>42</v>
      </c>
      <c r="K1225" t="s">
        <v>183</v>
      </c>
      <c r="L1225">
        <v>0</v>
      </c>
      <c r="M1225" t="s">
        <v>67</v>
      </c>
      <c r="N1225" t="s">
        <v>67</v>
      </c>
    </row>
    <row r="1226" spans="1:14">
      <c r="A1226" t="str">
        <f t="shared" si="38"/>
        <v>6.재고과다/재고부족_재고금액DVTINV_LONG_TERM2015</v>
      </c>
      <c r="B1226" t="str">
        <f t="shared" si="39"/>
        <v>6.재고과다/재고부족_재고금액DVTINV_LONG_TERM201510</v>
      </c>
      <c r="F1226" t="s">
        <v>265</v>
      </c>
      <c r="G1226" t="s">
        <v>11</v>
      </c>
      <c r="H1226" t="s">
        <v>307</v>
      </c>
      <c r="I1226" t="s">
        <v>260</v>
      </c>
      <c r="J1226" t="s">
        <v>1</v>
      </c>
      <c r="K1226" t="s">
        <v>183</v>
      </c>
      <c r="L1226">
        <v>0</v>
      </c>
      <c r="M1226" t="s">
        <v>67</v>
      </c>
      <c r="N1226" t="s">
        <v>67</v>
      </c>
    </row>
    <row r="1227" spans="1:14">
      <c r="A1227" t="str">
        <f t="shared" si="38"/>
        <v>6.재고과다/재고부족_재고금액GLTINV_LONG_TERM2014</v>
      </c>
      <c r="B1227" t="str">
        <f t="shared" si="39"/>
        <v>6.재고과다/재고부족_재고금액GLTINV_LONG_TERM201401</v>
      </c>
      <c r="F1227" t="s">
        <v>265</v>
      </c>
      <c r="G1227" t="s">
        <v>13</v>
      </c>
      <c r="H1227" t="s">
        <v>307</v>
      </c>
      <c r="I1227" t="s">
        <v>254</v>
      </c>
      <c r="J1227" t="s">
        <v>22</v>
      </c>
      <c r="K1227" t="s">
        <v>183</v>
      </c>
      <c r="L1227">
        <v>227905.54474193801</v>
      </c>
      <c r="M1227" t="s">
        <v>58</v>
      </c>
      <c r="N1227" t="s">
        <v>58</v>
      </c>
    </row>
    <row r="1228" spans="1:14">
      <c r="A1228" t="str">
        <f t="shared" si="38"/>
        <v>6.재고과다/재고부족_재고금액GLTINV_LONG_TERM2014</v>
      </c>
      <c r="B1228" t="str">
        <f t="shared" si="39"/>
        <v>6.재고과다/재고부족_재고금액GLTINV_LONG_TERM201402</v>
      </c>
      <c r="F1228" t="s">
        <v>265</v>
      </c>
      <c r="G1228" t="s">
        <v>13</v>
      </c>
      <c r="H1228" t="s">
        <v>307</v>
      </c>
      <c r="I1228" t="s">
        <v>254</v>
      </c>
      <c r="J1228" t="s">
        <v>23</v>
      </c>
      <c r="K1228" t="s">
        <v>183</v>
      </c>
      <c r="L1228">
        <v>275812.22968905099</v>
      </c>
      <c r="M1228" t="s">
        <v>58</v>
      </c>
      <c r="N1228" t="s">
        <v>58</v>
      </c>
    </row>
    <row r="1229" spans="1:14">
      <c r="A1229" t="str">
        <f t="shared" si="38"/>
        <v>6.재고과다/재고부족_재고금액GLTINV_LONG_TERM2014</v>
      </c>
      <c r="B1229" t="str">
        <f t="shared" si="39"/>
        <v>6.재고과다/재고부족_재고금액GLTINV_LONG_TERM201403</v>
      </c>
      <c r="F1229" t="s">
        <v>265</v>
      </c>
      <c r="G1229" t="s">
        <v>13</v>
      </c>
      <c r="H1229" t="s">
        <v>307</v>
      </c>
      <c r="I1229" t="s">
        <v>254</v>
      </c>
      <c r="J1229" t="s">
        <v>24</v>
      </c>
      <c r="K1229" t="s">
        <v>183</v>
      </c>
      <c r="L1229">
        <v>671746.34762649704</v>
      </c>
      <c r="M1229" t="s">
        <v>58</v>
      </c>
      <c r="N1229" t="s">
        <v>58</v>
      </c>
    </row>
    <row r="1230" spans="1:14">
      <c r="A1230" t="str">
        <f t="shared" si="38"/>
        <v>6.재고과다/재고부족_재고금액GLTINV_LONG_TERM2014</v>
      </c>
      <c r="B1230" t="str">
        <f t="shared" si="39"/>
        <v>6.재고과다/재고부족_재고금액GLTINV_LONG_TERM201404</v>
      </c>
      <c r="F1230" t="s">
        <v>265</v>
      </c>
      <c r="G1230" t="s">
        <v>13</v>
      </c>
      <c r="H1230" t="s">
        <v>307</v>
      </c>
      <c r="I1230" t="s">
        <v>254</v>
      </c>
      <c r="J1230" t="s">
        <v>25</v>
      </c>
      <c r="K1230" t="s">
        <v>183</v>
      </c>
      <c r="L1230">
        <v>299550.62756634702</v>
      </c>
      <c r="M1230" t="s">
        <v>58</v>
      </c>
      <c r="N1230" t="s">
        <v>58</v>
      </c>
    </row>
    <row r="1231" spans="1:14">
      <c r="A1231" t="str">
        <f t="shared" si="38"/>
        <v>6.재고과다/재고부족_재고금액GLTINV_LONG_TERM2014</v>
      </c>
      <c r="B1231" t="str">
        <f t="shared" si="39"/>
        <v>6.재고과다/재고부족_재고금액GLTINV_LONG_TERM201405</v>
      </c>
      <c r="F1231" t="s">
        <v>265</v>
      </c>
      <c r="G1231" t="s">
        <v>13</v>
      </c>
      <c r="H1231" t="s">
        <v>307</v>
      </c>
      <c r="I1231" t="s">
        <v>254</v>
      </c>
      <c r="J1231" t="s">
        <v>26</v>
      </c>
      <c r="K1231" t="s">
        <v>183</v>
      </c>
      <c r="L1231">
        <v>168022.82026468299</v>
      </c>
      <c r="M1231" t="s">
        <v>58</v>
      </c>
      <c r="N1231" t="s">
        <v>58</v>
      </c>
    </row>
    <row r="1232" spans="1:14">
      <c r="A1232" t="str">
        <f t="shared" si="38"/>
        <v>6.재고과다/재고부족_재고금액GLTINV_LONG_TERM2014</v>
      </c>
      <c r="B1232" t="str">
        <f t="shared" si="39"/>
        <v>6.재고과다/재고부족_재고금액GLTINV_LONG_TERM201406</v>
      </c>
      <c r="F1232" t="s">
        <v>265</v>
      </c>
      <c r="G1232" t="s">
        <v>13</v>
      </c>
      <c r="H1232" t="s">
        <v>307</v>
      </c>
      <c r="I1232" t="s">
        <v>254</v>
      </c>
      <c r="J1232" t="s">
        <v>27</v>
      </c>
      <c r="K1232" t="s">
        <v>183</v>
      </c>
      <c r="L1232">
        <v>537425.78297180601</v>
      </c>
      <c r="M1232" t="s">
        <v>58</v>
      </c>
      <c r="N1232" t="s">
        <v>58</v>
      </c>
    </row>
    <row r="1233" spans="1:14">
      <c r="A1233" t="str">
        <f t="shared" si="38"/>
        <v>6.재고과다/재고부족_재고금액GLTINV_LONG_TERM2014</v>
      </c>
      <c r="B1233" t="str">
        <f t="shared" si="39"/>
        <v>6.재고과다/재고부족_재고금액GLTINV_LONG_TERM201407</v>
      </c>
      <c r="F1233" t="s">
        <v>265</v>
      </c>
      <c r="G1233" t="s">
        <v>13</v>
      </c>
      <c r="H1233" t="s">
        <v>307</v>
      </c>
      <c r="I1233" t="s">
        <v>254</v>
      </c>
      <c r="J1233" t="s">
        <v>28</v>
      </c>
      <c r="K1233" t="s">
        <v>183</v>
      </c>
      <c r="L1233">
        <v>297464.83947027201</v>
      </c>
      <c r="M1233" t="s">
        <v>58</v>
      </c>
      <c r="N1233" t="s">
        <v>58</v>
      </c>
    </row>
    <row r="1234" spans="1:14">
      <c r="A1234" t="str">
        <f t="shared" si="38"/>
        <v>6.재고과다/재고부족_재고금액GLTINV_LONG_TERM2014</v>
      </c>
      <c r="B1234" t="str">
        <f t="shared" si="39"/>
        <v>6.재고과다/재고부족_재고금액GLTINV_LONG_TERM201408</v>
      </c>
      <c r="F1234" t="s">
        <v>265</v>
      </c>
      <c r="G1234" t="s">
        <v>13</v>
      </c>
      <c r="H1234" t="s">
        <v>307</v>
      </c>
      <c r="I1234" t="s">
        <v>254</v>
      </c>
      <c r="J1234" t="s">
        <v>29</v>
      </c>
      <c r="K1234" t="s">
        <v>183</v>
      </c>
      <c r="L1234">
        <v>729154.56079261994</v>
      </c>
      <c r="M1234" t="s">
        <v>58</v>
      </c>
      <c r="N1234" t="s">
        <v>58</v>
      </c>
    </row>
    <row r="1235" spans="1:14">
      <c r="A1235" t="str">
        <f t="shared" si="38"/>
        <v>6.재고과다/재고부족_재고금액GLTINV_LONG_TERM2014</v>
      </c>
      <c r="B1235" t="str">
        <f t="shared" si="39"/>
        <v>6.재고과다/재고부족_재고금액GLTINV_LONG_TERM201409</v>
      </c>
      <c r="F1235" t="s">
        <v>265</v>
      </c>
      <c r="G1235" t="s">
        <v>13</v>
      </c>
      <c r="H1235" t="s">
        <v>307</v>
      </c>
      <c r="I1235" t="s">
        <v>254</v>
      </c>
      <c r="J1235" t="s">
        <v>30</v>
      </c>
      <c r="K1235" t="s">
        <v>183</v>
      </c>
      <c r="L1235">
        <v>609143.22695745295</v>
      </c>
      <c r="M1235" t="s">
        <v>58</v>
      </c>
      <c r="N1235" t="s">
        <v>58</v>
      </c>
    </row>
    <row r="1236" spans="1:14">
      <c r="A1236" t="str">
        <f t="shared" si="38"/>
        <v>6.재고과다/재고부족_재고금액GLTINV_LONG_TERM2014</v>
      </c>
      <c r="B1236" t="str">
        <f t="shared" si="39"/>
        <v>6.재고과다/재고부족_재고금액GLTINV_LONG_TERM201410</v>
      </c>
      <c r="F1236" t="s">
        <v>265</v>
      </c>
      <c r="G1236" t="s">
        <v>13</v>
      </c>
      <c r="H1236" t="s">
        <v>307</v>
      </c>
      <c r="I1236" t="s">
        <v>254</v>
      </c>
      <c r="J1236" t="s">
        <v>31</v>
      </c>
      <c r="K1236" t="s">
        <v>183</v>
      </c>
      <c r="L1236">
        <v>392153.54176584398</v>
      </c>
      <c r="M1236" t="s">
        <v>58</v>
      </c>
      <c r="N1236" t="s">
        <v>58</v>
      </c>
    </row>
    <row r="1237" spans="1:14">
      <c r="A1237" t="str">
        <f t="shared" si="38"/>
        <v>6.재고과다/재고부족_재고금액GLTINV_LONG_TERM2014</v>
      </c>
      <c r="B1237" t="str">
        <f t="shared" si="39"/>
        <v>6.재고과다/재고부족_재고금액GLTINV_LONG_TERM201411</v>
      </c>
      <c r="F1237" t="s">
        <v>265</v>
      </c>
      <c r="G1237" t="s">
        <v>13</v>
      </c>
      <c r="H1237" t="s">
        <v>307</v>
      </c>
      <c r="I1237" t="s">
        <v>254</v>
      </c>
      <c r="J1237" t="s">
        <v>32</v>
      </c>
      <c r="K1237" t="s">
        <v>183</v>
      </c>
      <c r="L1237">
        <v>314962.85987666901</v>
      </c>
      <c r="M1237" t="s">
        <v>58</v>
      </c>
      <c r="N1237" t="s">
        <v>58</v>
      </c>
    </row>
    <row r="1238" spans="1:14">
      <c r="A1238" t="str">
        <f t="shared" si="38"/>
        <v>6.재고과다/재고부족_재고금액GLTINV_LONG_TERM2014</v>
      </c>
      <c r="B1238" t="str">
        <f t="shared" si="39"/>
        <v>6.재고과다/재고부족_재고금액GLTINV_LONG_TERM201412</v>
      </c>
      <c r="F1238" t="s">
        <v>265</v>
      </c>
      <c r="G1238" t="s">
        <v>13</v>
      </c>
      <c r="H1238" t="s">
        <v>307</v>
      </c>
      <c r="I1238" t="s">
        <v>254</v>
      </c>
      <c r="J1238" t="s">
        <v>33</v>
      </c>
      <c r="K1238" t="s">
        <v>183</v>
      </c>
      <c r="L1238">
        <v>90335.363953329696</v>
      </c>
      <c r="M1238" t="s">
        <v>58</v>
      </c>
      <c r="N1238" t="s">
        <v>58</v>
      </c>
    </row>
    <row r="1239" spans="1:14">
      <c r="A1239" t="str">
        <f t="shared" si="38"/>
        <v>6.재고과다/재고부족_재고금액GLTINV_LONG_TERM2015</v>
      </c>
      <c r="B1239" t="str">
        <f t="shared" si="39"/>
        <v>6.재고과다/재고부족_재고금액GLTINV_LONG_TERM201501</v>
      </c>
      <c r="F1239" t="s">
        <v>265</v>
      </c>
      <c r="G1239" t="s">
        <v>13</v>
      </c>
      <c r="H1239" t="s">
        <v>307</v>
      </c>
      <c r="I1239" t="s">
        <v>260</v>
      </c>
      <c r="J1239" t="s">
        <v>34</v>
      </c>
      <c r="K1239" t="s">
        <v>183</v>
      </c>
      <c r="L1239">
        <v>238251.06686972899</v>
      </c>
      <c r="M1239" t="s">
        <v>58</v>
      </c>
      <c r="N1239" t="s">
        <v>58</v>
      </c>
    </row>
    <row r="1240" spans="1:14">
      <c r="A1240" t="str">
        <f t="shared" si="38"/>
        <v>6.재고과다/재고부족_재고금액GLTINV_LONG_TERM2015</v>
      </c>
      <c r="B1240" t="str">
        <f t="shared" si="39"/>
        <v>6.재고과다/재고부족_재고금액GLTINV_LONG_TERM201502</v>
      </c>
      <c r="F1240" t="s">
        <v>265</v>
      </c>
      <c r="G1240" t="s">
        <v>13</v>
      </c>
      <c r="H1240" t="s">
        <v>307</v>
      </c>
      <c r="I1240" t="s">
        <v>260</v>
      </c>
      <c r="J1240" t="s">
        <v>35</v>
      </c>
      <c r="K1240" t="s">
        <v>183</v>
      </c>
      <c r="L1240">
        <v>413384.067973617</v>
      </c>
      <c r="M1240" t="s">
        <v>58</v>
      </c>
      <c r="N1240" t="s">
        <v>58</v>
      </c>
    </row>
    <row r="1241" spans="1:14">
      <c r="A1241" t="str">
        <f t="shared" si="38"/>
        <v>6.재고과다/재고부족_재고금액GLTINV_LONG_TERM2015</v>
      </c>
      <c r="B1241" t="str">
        <f t="shared" si="39"/>
        <v>6.재고과다/재고부족_재고금액GLTINV_LONG_TERM201503</v>
      </c>
      <c r="F1241" t="s">
        <v>265</v>
      </c>
      <c r="G1241" t="s">
        <v>13</v>
      </c>
      <c r="H1241" t="s">
        <v>307</v>
      </c>
      <c r="I1241" t="s">
        <v>260</v>
      </c>
      <c r="J1241" t="s">
        <v>36</v>
      </c>
      <c r="K1241" t="s">
        <v>183</v>
      </c>
      <c r="L1241">
        <v>116612.640892308</v>
      </c>
      <c r="M1241" t="s">
        <v>58</v>
      </c>
      <c r="N1241" t="s">
        <v>58</v>
      </c>
    </row>
    <row r="1242" spans="1:14">
      <c r="A1242" t="str">
        <f t="shared" si="38"/>
        <v>6.재고과다/재고부족_재고금액GLTINV_LONG_TERM2015</v>
      </c>
      <c r="B1242" t="str">
        <f t="shared" si="39"/>
        <v>6.재고과다/재고부족_재고금액GLTINV_LONG_TERM201504</v>
      </c>
      <c r="F1242" t="s">
        <v>265</v>
      </c>
      <c r="G1242" t="s">
        <v>13</v>
      </c>
      <c r="H1242" t="s">
        <v>307</v>
      </c>
      <c r="I1242" t="s">
        <v>260</v>
      </c>
      <c r="J1242" t="s">
        <v>37</v>
      </c>
      <c r="K1242" t="s">
        <v>183</v>
      </c>
      <c r="L1242">
        <v>245492.306690853</v>
      </c>
      <c r="M1242" t="s">
        <v>58</v>
      </c>
      <c r="N1242" t="s">
        <v>58</v>
      </c>
    </row>
    <row r="1243" spans="1:14">
      <c r="A1243" t="str">
        <f t="shared" si="38"/>
        <v>6.재고과다/재고부족_재고금액GLTINV_LONG_TERM2015</v>
      </c>
      <c r="B1243" t="str">
        <f t="shared" si="39"/>
        <v>6.재고과다/재고부족_재고금액GLTINV_LONG_TERM201505</v>
      </c>
      <c r="F1243" t="s">
        <v>265</v>
      </c>
      <c r="G1243" t="s">
        <v>13</v>
      </c>
      <c r="H1243" t="s">
        <v>307</v>
      </c>
      <c r="I1243" t="s">
        <v>260</v>
      </c>
      <c r="J1243" t="s">
        <v>38</v>
      </c>
      <c r="K1243" t="s">
        <v>183</v>
      </c>
      <c r="L1243">
        <v>675942.39976651606</v>
      </c>
      <c r="M1243" t="s">
        <v>58</v>
      </c>
      <c r="N1243" t="s">
        <v>58</v>
      </c>
    </row>
    <row r="1244" spans="1:14">
      <c r="A1244" t="str">
        <f t="shared" si="38"/>
        <v>6.재고과다/재고부족_재고금액GLTINV_LONG_TERM2015</v>
      </c>
      <c r="B1244" t="str">
        <f t="shared" si="39"/>
        <v>6.재고과다/재고부족_재고금액GLTINV_LONG_TERM201506</v>
      </c>
      <c r="F1244" t="s">
        <v>265</v>
      </c>
      <c r="G1244" t="s">
        <v>13</v>
      </c>
      <c r="H1244" t="s">
        <v>307</v>
      </c>
      <c r="I1244" t="s">
        <v>260</v>
      </c>
      <c r="J1244" t="s">
        <v>39</v>
      </c>
      <c r="K1244" t="s">
        <v>183</v>
      </c>
      <c r="L1244">
        <v>487013.03229605901</v>
      </c>
      <c r="M1244" t="s">
        <v>58</v>
      </c>
      <c r="N1244" t="s">
        <v>58</v>
      </c>
    </row>
    <row r="1245" spans="1:14">
      <c r="A1245" t="str">
        <f t="shared" si="38"/>
        <v>6.재고과다/재고부족_재고금액GLTINV_LONG_TERM2015</v>
      </c>
      <c r="B1245" t="str">
        <f t="shared" si="39"/>
        <v>6.재고과다/재고부족_재고금액GLTINV_LONG_TERM201507</v>
      </c>
      <c r="F1245" t="s">
        <v>265</v>
      </c>
      <c r="G1245" t="s">
        <v>13</v>
      </c>
      <c r="H1245" t="s">
        <v>307</v>
      </c>
      <c r="I1245" t="s">
        <v>260</v>
      </c>
      <c r="J1245" t="s">
        <v>40</v>
      </c>
      <c r="K1245" t="s">
        <v>183</v>
      </c>
      <c r="L1245">
        <v>607221.17618357204</v>
      </c>
      <c r="M1245" t="s">
        <v>58</v>
      </c>
      <c r="N1245" t="s">
        <v>58</v>
      </c>
    </row>
    <row r="1246" spans="1:14">
      <c r="A1246" t="str">
        <f t="shared" si="38"/>
        <v>6.재고과다/재고부족_재고금액GLTINV_LONG_TERM2015</v>
      </c>
      <c r="B1246" t="str">
        <f t="shared" si="39"/>
        <v>6.재고과다/재고부족_재고금액GLTINV_LONG_TERM201508</v>
      </c>
      <c r="F1246" t="s">
        <v>265</v>
      </c>
      <c r="G1246" t="s">
        <v>13</v>
      </c>
      <c r="H1246" t="s">
        <v>307</v>
      </c>
      <c r="I1246" t="s">
        <v>260</v>
      </c>
      <c r="J1246" t="s">
        <v>41</v>
      </c>
      <c r="K1246" t="s">
        <v>183</v>
      </c>
      <c r="L1246">
        <v>204613.54850165799</v>
      </c>
      <c r="M1246" t="s">
        <v>58</v>
      </c>
      <c r="N1246" t="s">
        <v>58</v>
      </c>
    </row>
    <row r="1247" spans="1:14">
      <c r="A1247" t="str">
        <f t="shared" si="38"/>
        <v>6.재고과다/재고부족_재고금액GLTINV_LONG_TERM2015</v>
      </c>
      <c r="B1247" t="str">
        <f t="shared" si="39"/>
        <v>6.재고과다/재고부족_재고금액GLTINV_LONG_TERM201509</v>
      </c>
      <c r="F1247" t="s">
        <v>265</v>
      </c>
      <c r="G1247" t="s">
        <v>13</v>
      </c>
      <c r="H1247" t="s">
        <v>307</v>
      </c>
      <c r="I1247" t="s">
        <v>260</v>
      </c>
      <c r="J1247" t="s">
        <v>42</v>
      </c>
      <c r="K1247" t="s">
        <v>183</v>
      </c>
      <c r="L1247">
        <v>569298.64217680995</v>
      </c>
      <c r="M1247" t="s">
        <v>58</v>
      </c>
      <c r="N1247" t="s">
        <v>58</v>
      </c>
    </row>
    <row r="1248" spans="1:14">
      <c r="A1248" t="str">
        <f t="shared" si="38"/>
        <v>6.재고과다/재고부족_재고금액GLTINV_LONG_TERM2015</v>
      </c>
      <c r="B1248" t="str">
        <f t="shared" si="39"/>
        <v>6.재고과다/재고부족_재고금액GLTINV_LONG_TERM201510</v>
      </c>
      <c r="F1248" t="s">
        <v>265</v>
      </c>
      <c r="G1248" t="s">
        <v>13</v>
      </c>
      <c r="H1248" t="s">
        <v>307</v>
      </c>
      <c r="I1248" t="s">
        <v>260</v>
      </c>
      <c r="J1248" t="s">
        <v>1</v>
      </c>
      <c r="K1248" t="s">
        <v>183</v>
      </c>
      <c r="L1248">
        <v>310817.650711547</v>
      </c>
      <c r="M1248" t="s">
        <v>58</v>
      </c>
      <c r="N1248" t="s">
        <v>58</v>
      </c>
    </row>
    <row r="1249" spans="1:14">
      <c r="A1249" t="str">
        <f t="shared" si="38"/>
        <v>6.재고과다/재고부족_재고금액GPTINV_LONG_TERM2014</v>
      </c>
      <c r="B1249" t="str">
        <f t="shared" si="39"/>
        <v>6.재고과다/재고부족_재고금액GPTINV_LONG_TERM201401</v>
      </c>
      <c r="F1249" t="s">
        <v>265</v>
      </c>
      <c r="G1249" t="s">
        <v>309</v>
      </c>
      <c r="H1249" t="s">
        <v>307</v>
      </c>
      <c r="I1249" t="s">
        <v>254</v>
      </c>
      <c r="J1249" t="s">
        <v>22</v>
      </c>
      <c r="K1249" t="s">
        <v>183</v>
      </c>
      <c r="L1249">
        <v>4461.7045101927397</v>
      </c>
      <c r="M1249" t="s">
        <v>318</v>
      </c>
      <c r="N1249" t="s">
        <v>318</v>
      </c>
    </row>
    <row r="1250" spans="1:14">
      <c r="A1250" t="str">
        <f t="shared" si="38"/>
        <v>6.재고과다/재고부족_재고금액GPTINV_LONG_TERM2014</v>
      </c>
      <c r="B1250" t="str">
        <f t="shared" si="39"/>
        <v>6.재고과다/재고부족_재고금액GPTINV_LONG_TERM201402</v>
      </c>
      <c r="F1250" t="s">
        <v>265</v>
      </c>
      <c r="G1250" t="s">
        <v>309</v>
      </c>
      <c r="H1250" t="s">
        <v>307</v>
      </c>
      <c r="I1250" t="s">
        <v>254</v>
      </c>
      <c r="J1250" t="s">
        <v>23</v>
      </c>
      <c r="K1250" t="s">
        <v>183</v>
      </c>
      <c r="L1250">
        <v>5662.1951993069197</v>
      </c>
      <c r="M1250" t="s">
        <v>318</v>
      </c>
      <c r="N1250" t="s">
        <v>318</v>
      </c>
    </row>
    <row r="1251" spans="1:14">
      <c r="A1251" t="str">
        <f t="shared" si="38"/>
        <v>6.재고과다/재고부족_재고금액GPTINV_LONG_TERM2014</v>
      </c>
      <c r="B1251" t="str">
        <f t="shared" si="39"/>
        <v>6.재고과다/재고부족_재고금액GPTINV_LONG_TERM201403</v>
      </c>
      <c r="F1251" t="s">
        <v>265</v>
      </c>
      <c r="G1251" t="s">
        <v>309</v>
      </c>
      <c r="H1251" t="s">
        <v>307</v>
      </c>
      <c r="I1251" t="s">
        <v>254</v>
      </c>
      <c r="J1251" t="s">
        <v>24</v>
      </c>
      <c r="K1251" t="s">
        <v>183</v>
      </c>
      <c r="L1251">
        <v>6244.46089446108</v>
      </c>
      <c r="M1251" t="s">
        <v>318</v>
      </c>
      <c r="N1251" t="s">
        <v>318</v>
      </c>
    </row>
    <row r="1252" spans="1:14">
      <c r="A1252" t="str">
        <f t="shared" si="38"/>
        <v>6.재고과다/재고부족_재고금액GPTINV_LONG_TERM2014</v>
      </c>
      <c r="B1252" t="str">
        <f t="shared" si="39"/>
        <v>6.재고과다/재고부족_재고금액GPTINV_LONG_TERM201404</v>
      </c>
      <c r="F1252" t="s">
        <v>265</v>
      </c>
      <c r="G1252" t="s">
        <v>309</v>
      </c>
      <c r="H1252" t="s">
        <v>307</v>
      </c>
      <c r="I1252" t="s">
        <v>254</v>
      </c>
      <c r="J1252" t="s">
        <v>25</v>
      </c>
      <c r="K1252" t="s">
        <v>183</v>
      </c>
      <c r="L1252">
        <v>7769.1303268392003</v>
      </c>
      <c r="M1252" t="s">
        <v>318</v>
      </c>
      <c r="N1252" t="s">
        <v>318</v>
      </c>
    </row>
    <row r="1253" spans="1:14">
      <c r="A1253" t="str">
        <f t="shared" si="38"/>
        <v>6.재고과다/재고부족_재고금액GPTINV_LONG_TERM2014</v>
      </c>
      <c r="B1253" t="str">
        <f t="shared" si="39"/>
        <v>6.재고과다/재고부족_재고금액GPTINV_LONG_TERM201405</v>
      </c>
      <c r="F1253" t="s">
        <v>265</v>
      </c>
      <c r="G1253" t="s">
        <v>309</v>
      </c>
      <c r="H1253" t="s">
        <v>307</v>
      </c>
      <c r="I1253" t="s">
        <v>254</v>
      </c>
      <c r="J1253" t="s">
        <v>26</v>
      </c>
      <c r="K1253" t="s">
        <v>183</v>
      </c>
      <c r="L1253">
        <v>9294.5249835552095</v>
      </c>
      <c r="M1253" t="s">
        <v>318</v>
      </c>
      <c r="N1253" t="s">
        <v>318</v>
      </c>
    </row>
    <row r="1254" spans="1:14">
      <c r="A1254" t="str">
        <f t="shared" si="38"/>
        <v>6.재고과다/재고부족_재고금액GPTINV_LONG_TERM2014</v>
      </c>
      <c r="B1254" t="str">
        <f t="shared" si="39"/>
        <v>6.재고과다/재고부족_재고금액GPTINV_LONG_TERM201406</v>
      </c>
      <c r="F1254" t="s">
        <v>265</v>
      </c>
      <c r="G1254" t="s">
        <v>309</v>
      </c>
      <c r="H1254" t="s">
        <v>307</v>
      </c>
      <c r="I1254" t="s">
        <v>254</v>
      </c>
      <c r="J1254" t="s">
        <v>27</v>
      </c>
      <c r="K1254" t="s">
        <v>183</v>
      </c>
      <c r="L1254">
        <v>6027.1779156151397</v>
      </c>
      <c r="M1254" t="s">
        <v>318</v>
      </c>
      <c r="N1254" t="s">
        <v>318</v>
      </c>
    </row>
    <row r="1255" spans="1:14">
      <c r="A1255" t="str">
        <f t="shared" si="38"/>
        <v>6.재고과다/재고부족_재고금액GPTINV_LONG_TERM2014</v>
      </c>
      <c r="B1255" t="str">
        <f t="shared" si="39"/>
        <v>6.재고과다/재고부족_재고금액GPTINV_LONG_TERM201407</v>
      </c>
      <c r="F1255" t="s">
        <v>265</v>
      </c>
      <c r="G1255" t="s">
        <v>309</v>
      </c>
      <c r="H1255" t="s">
        <v>307</v>
      </c>
      <c r="I1255" t="s">
        <v>254</v>
      </c>
      <c r="J1255" t="s">
        <v>28</v>
      </c>
      <c r="K1255" t="s">
        <v>183</v>
      </c>
      <c r="L1255">
        <v>15227.3557325002</v>
      </c>
      <c r="M1255" t="s">
        <v>318</v>
      </c>
      <c r="N1255" t="s">
        <v>318</v>
      </c>
    </row>
    <row r="1256" spans="1:14">
      <c r="A1256" t="str">
        <f t="shared" si="38"/>
        <v>6.재고과다/재고부족_재고금액GPTINV_LONG_TERM2014</v>
      </c>
      <c r="B1256" t="str">
        <f t="shared" si="39"/>
        <v>6.재고과다/재고부족_재고금액GPTINV_LONG_TERM201408</v>
      </c>
      <c r="F1256" t="s">
        <v>265</v>
      </c>
      <c r="G1256" t="s">
        <v>309</v>
      </c>
      <c r="H1256" t="s">
        <v>307</v>
      </c>
      <c r="I1256" t="s">
        <v>254</v>
      </c>
      <c r="J1256" t="s">
        <v>29</v>
      </c>
      <c r="K1256" t="s">
        <v>183</v>
      </c>
      <c r="L1256">
        <v>10543.299984116</v>
      </c>
      <c r="M1256" t="s">
        <v>318</v>
      </c>
      <c r="N1256" t="s">
        <v>318</v>
      </c>
    </row>
    <row r="1257" spans="1:14">
      <c r="A1257" t="str">
        <f t="shared" si="38"/>
        <v>6.재고과다/재고부족_재고금액GPTINV_LONG_TERM2014</v>
      </c>
      <c r="B1257" t="str">
        <f t="shared" si="39"/>
        <v>6.재고과다/재고부족_재고금액GPTINV_LONG_TERM201409</v>
      </c>
      <c r="F1257" t="s">
        <v>265</v>
      </c>
      <c r="G1257" t="s">
        <v>309</v>
      </c>
      <c r="H1257" t="s">
        <v>307</v>
      </c>
      <c r="I1257" t="s">
        <v>254</v>
      </c>
      <c r="J1257" t="s">
        <v>30</v>
      </c>
      <c r="K1257" t="s">
        <v>183</v>
      </c>
      <c r="L1257">
        <v>2060.9843844469801</v>
      </c>
      <c r="M1257" t="s">
        <v>318</v>
      </c>
      <c r="N1257" t="s">
        <v>318</v>
      </c>
    </row>
    <row r="1258" spans="1:14">
      <c r="A1258" t="str">
        <f t="shared" si="38"/>
        <v>6.재고과다/재고부족_재고금액GPTINV_LONG_TERM2014</v>
      </c>
      <c r="B1258" t="str">
        <f t="shared" si="39"/>
        <v>6.재고과다/재고부족_재고금액GPTINV_LONG_TERM201410</v>
      </c>
      <c r="F1258" t="s">
        <v>265</v>
      </c>
      <c r="G1258" t="s">
        <v>309</v>
      </c>
      <c r="H1258" t="s">
        <v>307</v>
      </c>
      <c r="I1258" t="s">
        <v>254</v>
      </c>
      <c r="J1258" t="s">
        <v>31</v>
      </c>
      <c r="K1258" t="s">
        <v>183</v>
      </c>
      <c r="L1258">
        <v>33413.720742504702</v>
      </c>
      <c r="M1258" t="s">
        <v>318</v>
      </c>
      <c r="N1258" t="s">
        <v>318</v>
      </c>
    </row>
    <row r="1259" spans="1:14">
      <c r="A1259" t="str">
        <f t="shared" si="38"/>
        <v>6.재고과다/재고부족_재고금액GPTINV_LONG_TERM2014</v>
      </c>
      <c r="B1259" t="str">
        <f t="shared" si="39"/>
        <v>6.재고과다/재고부족_재고금액GPTINV_LONG_TERM201411</v>
      </c>
      <c r="F1259" t="s">
        <v>265</v>
      </c>
      <c r="G1259" t="s">
        <v>309</v>
      </c>
      <c r="H1259" t="s">
        <v>307</v>
      </c>
      <c r="I1259" t="s">
        <v>254</v>
      </c>
      <c r="J1259" t="s">
        <v>32</v>
      </c>
      <c r="K1259" t="s">
        <v>183</v>
      </c>
      <c r="L1259">
        <v>40823.176836617902</v>
      </c>
      <c r="M1259" t="s">
        <v>318</v>
      </c>
      <c r="N1259" t="s">
        <v>318</v>
      </c>
    </row>
    <row r="1260" spans="1:14">
      <c r="A1260" t="str">
        <f t="shared" si="38"/>
        <v>6.재고과다/재고부족_재고금액GPTINV_LONG_TERM2014</v>
      </c>
      <c r="B1260" t="str">
        <f t="shared" si="39"/>
        <v>6.재고과다/재고부족_재고금액GPTINV_LONG_TERM201412</v>
      </c>
      <c r="F1260" t="s">
        <v>265</v>
      </c>
      <c r="G1260" t="s">
        <v>309</v>
      </c>
      <c r="H1260" t="s">
        <v>307</v>
      </c>
      <c r="I1260" t="s">
        <v>254</v>
      </c>
      <c r="J1260" t="s">
        <v>33</v>
      </c>
      <c r="K1260" t="s">
        <v>183</v>
      </c>
      <c r="L1260">
        <v>2349.1108230531299</v>
      </c>
      <c r="M1260" t="s">
        <v>318</v>
      </c>
      <c r="N1260" t="s">
        <v>318</v>
      </c>
    </row>
    <row r="1261" spans="1:14">
      <c r="A1261" t="str">
        <f t="shared" si="38"/>
        <v>6.재고과다/재고부족_재고금액GPTINV_LONG_TERM2015</v>
      </c>
      <c r="B1261" t="str">
        <f t="shared" si="39"/>
        <v>6.재고과다/재고부족_재고금액GPTINV_LONG_TERM201501</v>
      </c>
      <c r="F1261" t="s">
        <v>265</v>
      </c>
      <c r="G1261" t="s">
        <v>309</v>
      </c>
      <c r="H1261" t="s">
        <v>307</v>
      </c>
      <c r="I1261" t="s">
        <v>260</v>
      </c>
      <c r="J1261" t="s">
        <v>34</v>
      </c>
      <c r="K1261" t="s">
        <v>183</v>
      </c>
      <c r="L1261">
        <v>1129.72000504217</v>
      </c>
      <c r="M1261" t="s">
        <v>318</v>
      </c>
      <c r="N1261" t="s">
        <v>318</v>
      </c>
    </row>
    <row r="1262" spans="1:14">
      <c r="A1262" t="str">
        <f t="shared" si="38"/>
        <v>6.재고과다/재고부족_재고금액GPTINV_LONG_TERM2015</v>
      </c>
      <c r="B1262" t="str">
        <f t="shared" si="39"/>
        <v>6.재고과다/재고부족_재고금액GPTINV_LONG_TERM201502</v>
      </c>
      <c r="F1262" t="s">
        <v>265</v>
      </c>
      <c r="G1262" t="s">
        <v>309</v>
      </c>
      <c r="H1262" t="s">
        <v>307</v>
      </c>
      <c r="I1262" t="s">
        <v>260</v>
      </c>
      <c r="J1262" t="s">
        <v>35</v>
      </c>
      <c r="K1262" t="s">
        <v>183</v>
      </c>
      <c r="L1262">
        <v>7070.3906497452699</v>
      </c>
      <c r="M1262" t="s">
        <v>318</v>
      </c>
      <c r="N1262" t="s">
        <v>318</v>
      </c>
    </row>
    <row r="1263" spans="1:14">
      <c r="A1263" t="str">
        <f t="shared" si="38"/>
        <v>6.재고과다/재고부족_재고금액GPTINV_LONG_TERM2015</v>
      </c>
      <c r="B1263" t="str">
        <f t="shared" si="39"/>
        <v>6.재고과다/재고부족_재고금액GPTINV_LONG_TERM201503</v>
      </c>
      <c r="F1263" t="s">
        <v>265</v>
      </c>
      <c r="G1263" t="s">
        <v>309</v>
      </c>
      <c r="H1263" t="s">
        <v>307</v>
      </c>
      <c r="I1263" t="s">
        <v>260</v>
      </c>
      <c r="J1263" t="s">
        <v>36</v>
      </c>
      <c r="K1263" t="s">
        <v>183</v>
      </c>
      <c r="L1263">
        <v>1805.56464217195</v>
      </c>
      <c r="M1263" t="s">
        <v>318</v>
      </c>
      <c r="N1263" t="s">
        <v>318</v>
      </c>
    </row>
    <row r="1264" spans="1:14">
      <c r="A1264" t="str">
        <f t="shared" si="38"/>
        <v>6.재고과다/재고부족_재고금액GPTINV_LONG_TERM2015</v>
      </c>
      <c r="B1264" t="str">
        <f t="shared" si="39"/>
        <v>6.재고과다/재고부족_재고금액GPTINV_LONG_TERM201504</v>
      </c>
      <c r="F1264" t="s">
        <v>265</v>
      </c>
      <c r="G1264" t="s">
        <v>309</v>
      </c>
      <c r="H1264" t="s">
        <v>307</v>
      </c>
      <c r="I1264" t="s">
        <v>260</v>
      </c>
      <c r="J1264" t="s">
        <v>37</v>
      </c>
      <c r="K1264" t="s">
        <v>183</v>
      </c>
      <c r="L1264">
        <v>1379.28405065069</v>
      </c>
      <c r="M1264" t="s">
        <v>318</v>
      </c>
      <c r="N1264" t="s">
        <v>318</v>
      </c>
    </row>
    <row r="1265" spans="1:14">
      <c r="A1265" t="str">
        <f t="shared" si="38"/>
        <v>6.재고과다/재고부족_재고금액GPTINV_LONG_TERM2015</v>
      </c>
      <c r="B1265" t="str">
        <f t="shared" si="39"/>
        <v>6.재고과다/재고부족_재고금액GPTINV_LONG_TERM201505</v>
      </c>
      <c r="F1265" t="s">
        <v>265</v>
      </c>
      <c r="G1265" t="s">
        <v>309</v>
      </c>
      <c r="H1265" t="s">
        <v>307</v>
      </c>
      <c r="I1265" t="s">
        <v>260</v>
      </c>
      <c r="J1265" t="s">
        <v>38</v>
      </c>
      <c r="K1265" t="s">
        <v>183</v>
      </c>
      <c r="L1265">
        <v>1850.04077220217</v>
      </c>
      <c r="M1265" t="s">
        <v>318</v>
      </c>
      <c r="N1265" t="s">
        <v>318</v>
      </c>
    </row>
    <row r="1266" spans="1:14">
      <c r="A1266" t="str">
        <f t="shared" si="38"/>
        <v>6.재고과다/재고부족_재고금액GPTINV_LONG_TERM2015</v>
      </c>
      <c r="B1266" t="str">
        <f t="shared" si="39"/>
        <v>6.재고과다/재고부족_재고금액GPTINV_LONG_TERM201506</v>
      </c>
      <c r="F1266" t="s">
        <v>265</v>
      </c>
      <c r="G1266" t="s">
        <v>309</v>
      </c>
      <c r="H1266" t="s">
        <v>307</v>
      </c>
      <c r="I1266" t="s">
        <v>260</v>
      </c>
      <c r="J1266" t="s">
        <v>39</v>
      </c>
      <c r="K1266" t="s">
        <v>183</v>
      </c>
      <c r="L1266">
        <v>1899.42817720843</v>
      </c>
      <c r="M1266" t="s">
        <v>318</v>
      </c>
      <c r="N1266" t="s">
        <v>318</v>
      </c>
    </row>
    <row r="1267" spans="1:14">
      <c r="A1267" t="str">
        <f t="shared" si="38"/>
        <v>6.재고과다/재고부족_재고금액GPTINV_LONG_TERM2015</v>
      </c>
      <c r="B1267" t="str">
        <f t="shared" si="39"/>
        <v>6.재고과다/재고부족_재고금액GPTINV_LONG_TERM201507</v>
      </c>
      <c r="F1267" t="s">
        <v>265</v>
      </c>
      <c r="G1267" t="s">
        <v>309</v>
      </c>
      <c r="H1267" t="s">
        <v>307</v>
      </c>
      <c r="I1267" t="s">
        <v>260</v>
      </c>
      <c r="J1267" t="s">
        <v>40</v>
      </c>
      <c r="K1267" t="s">
        <v>183</v>
      </c>
      <c r="L1267">
        <v>1406.0148062248099</v>
      </c>
      <c r="M1267" t="s">
        <v>318</v>
      </c>
      <c r="N1267" t="s">
        <v>318</v>
      </c>
    </row>
    <row r="1268" spans="1:14">
      <c r="A1268" t="str">
        <f t="shared" si="38"/>
        <v>6.재고과다/재고부족_재고금액GPTINV_LONG_TERM2015</v>
      </c>
      <c r="B1268" t="str">
        <f t="shared" si="39"/>
        <v>6.재고과다/재고부족_재고금액GPTINV_LONG_TERM201508</v>
      </c>
      <c r="F1268" t="s">
        <v>265</v>
      </c>
      <c r="G1268" t="s">
        <v>309</v>
      </c>
      <c r="H1268" t="s">
        <v>307</v>
      </c>
      <c r="I1268" t="s">
        <v>260</v>
      </c>
      <c r="J1268" t="s">
        <v>41</v>
      </c>
      <c r="K1268" t="s">
        <v>183</v>
      </c>
      <c r="L1268">
        <v>906.10052469608104</v>
      </c>
      <c r="M1268" t="s">
        <v>318</v>
      </c>
      <c r="N1268" t="s">
        <v>318</v>
      </c>
    </row>
    <row r="1269" spans="1:14">
      <c r="A1269" t="str">
        <f t="shared" si="38"/>
        <v>6.재고과다/재고부족_재고금액GPTINV_LONG_TERM2015</v>
      </c>
      <c r="B1269" t="str">
        <f t="shared" si="39"/>
        <v>6.재고과다/재고부족_재고금액GPTINV_LONG_TERM201509</v>
      </c>
      <c r="F1269" t="s">
        <v>265</v>
      </c>
      <c r="G1269" t="s">
        <v>309</v>
      </c>
      <c r="H1269" t="s">
        <v>307</v>
      </c>
      <c r="I1269" t="s">
        <v>260</v>
      </c>
      <c r="J1269" t="s">
        <v>42</v>
      </c>
      <c r="K1269" t="s">
        <v>183</v>
      </c>
      <c r="L1269">
        <v>749.78073654248601</v>
      </c>
      <c r="M1269" t="s">
        <v>318</v>
      </c>
      <c r="N1269" t="s">
        <v>318</v>
      </c>
    </row>
    <row r="1270" spans="1:14">
      <c r="A1270" t="str">
        <f t="shared" si="38"/>
        <v>6.재고과다/재고부족_재고금액GPTINV_LONG_TERM2015</v>
      </c>
      <c r="B1270" t="str">
        <f t="shared" si="39"/>
        <v>6.재고과다/재고부족_재고금액GPTINV_LONG_TERM201510</v>
      </c>
      <c r="F1270" t="s">
        <v>265</v>
      </c>
      <c r="G1270" t="s">
        <v>309</v>
      </c>
      <c r="H1270" t="s">
        <v>307</v>
      </c>
      <c r="I1270" t="s">
        <v>260</v>
      </c>
      <c r="J1270" t="s">
        <v>1</v>
      </c>
      <c r="K1270" t="s">
        <v>183</v>
      </c>
      <c r="L1270">
        <v>662.59724835857503</v>
      </c>
      <c r="M1270" t="s">
        <v>318</v>
      </c>
      <c r="N1270" t="s">
        <v>318</v>
      </c>
    </row>
    <row r="1271" spans="1:14">
      <c r="A1271" t="str">
        <f t="shared" si="38"/>
        <v>6.재고과다/재고부족_재고금액GTTINV_LONG_TERM2014</v>
      </c>
      <c r="B1271" t="str">
        <f t="shared" si="39"/>
        <v>6.재고과다/재고부족_재고금액GTTINV_LONG_TERM201401</v>
      </c>
      <c r="F1271" t="s">
        <v>265</v>
      </c>
      <c r="G1271" t="s">
        <v>15</v>
      </c>
      <c r="H1271" t="s">
        <v>307</v>
      </c>
      <c r="I1271" t="s">
        <v>254</v>
      </c>
      <c r="J1271" t="s">
        <v>22</v>
      </c>
      <c r="K1271" t="s">
        <v>183</v>
      </c>
      <c r="L1271">
        <v>10745.2559586731</v>
      </c>
      <c r="M1271" t="s">
        <v>68</v>
      </c>
      <c r="N1271" t="s">
        <v>59</v>
      </c>
    </row>
    <row r="1272" spans="1:14">
      <c r="A1272" t="str">
        <f t="shared" si="38"/>
        <v>6.재고과다/재고부족_재고금액GTTINV_LONG_TERM2014</v>
      </c>
      <c r="B1272" t="str">
        <f t="shared" si="39"/>
        <v>6.재고과다/재고부족_재고금액GTTINV_LONG_TERM201402</v>
      </c>
      <c r="F1272" t="s">
        <v>265</v>
      </c>
      <c r="G1272" t="s">
        <v>15</v>
      </c>
      <c r="H1272" t="s">
        <v>307</v>
      </c>
      <c r="I1272" t="s">
        <v>254</v>
      </c>
      <c r="J1272" t="s">
        <v>23</v>
      </c>
      <c r="K1272" t="s">
        <v>183</v>
      </c>
      <c r="L1272">
        <v>2130.51032574693</v>
      </c>
      <c r="M1272" t="s">
        <v>68</v>
      </c>
      <c r="N1272" t="s">
        <v>59</v>
      </c>
    </row>
    <row r="1273" spans="1:14">
      <c r="A1273" t="str">
        <f t="shared" si="38"/>
        <v>6.재고과다/재고부족_재고금액GTTINV_LONG_TERM2014</v>
      </c>
      <c r="B1273" t="str">
        <f t="shared" si="39"/>
        <v>6.재고과다/재고부족_재고금액GTTINV_LONG_TERM201403</v>
      </c>
      <c r="F1273" t="s">
        <v>265</v>
      </c>
      <c r="G1273" t="s">
        <v>15</v>
      </c>
      <c r="H1273" t="s">
        <v>307</v>
      </c>
      <c r="I1273" t="s">
        <v>254</v>
      </c>
      <c r="J1273" t="s">
        <v>24</v>
      </c>
      <c r="K1273" t="s">
        <v>183</v>
      </c>
      <c r="L1273">
        <v>8071.66069535928</v>
      </c>
      <c r="M1273" t="s">
        <v>68</v>
      </c>
      <c r="N1273" t="s">
        <v>59</v>
      </c>
    </row>
    <row r="1274" spans="1:14">
      <c r="A1274" t="str">
        <f t="shared" si="38"/>
        <v>6.재고과다/재고부족_재고금액GTTINV_LONG_TERM2014</v>
      </c>
      <c r="B1274" t="str">
        <f t="shared" si="39"/>
        <v>6.재고과다/재고부족_재고금액GTTINV_LONG_TERM201404</v>
      </c>
      <c r="F1274" t="s">
        <v>265</v>
      </c>
      <c r="G1274" t="s">
        <v>15</v>
      </c>
      <c r="H1274" t="s">
        <v>307</v>
      </c>
      <c r="I1274" t="s">
        <v>254</v>
      </c>
      <c r="J1274" t="s">
        <v>25</v>
      </c>
      <c r="K1274" t="s">
        <v>183</v>
      </c>
      <c r="L1274">
        <v>29367.1676252787</v>
      </c>
      <c r="M1274" t="s">
        <v>68</v>
      </c>
      <c r="N1274" t="s">
        <v>59</v>
      </c>
    </row>
    <row r="1275" spans="1:14">
      <c r="A1275" t="str">
        <f t="shared" si="38"/>
        <v>6.재고과다/재고부족_재고금액GTTINV_LONG_TERM2014</v>
      </c>
      <c r="B1275" t="str">
        <f t="shared" si="39"/>
        <v>6.재고과다/재고부족_재고금액GTTINV_LONG_TERM201405</v>
      </c>
      <c r="F1275" t="s">
        <v>265</v>
      </c>
      <c r="G1275" t="s">
        <v>15</v>
      </c>
      <c r="H1275" t="s">
        <v>307</v>
      </c>
      <c r="I1275" t="s">
        <v>254</v>
      </c>
      <c r="J1275" t="s">
        <v>26</v>
      </c>
      <c r="K1275" t="s">
        <v>183</v>
      </c>
      <c r="L1275">
        <v>91495.652692247502</v>
      </c>
      <c r="M1275" t="s">
        <v>68</v>
      </c>
      <c r="N1275" t="s">
        <v>59</v>
      </c>
    </row>
    <row r="1276" spans="1:14">
      <c r="A1276" t="str">
        <f t="shared" si="38"/>
        <v>6.재고과다/재고부족_재고금액GTTINV_LONG_TERM2014</v>
      </c>
      <c r="B1276" t="str">
        <f t="shared" si="39"/>
        <v>6.재고과다/재고부족_재고금액GTTINV_LONG_TERM201406</v>
      </c>
      <c r="F1276" t="s">
        <v>265</v>
      </c>
      <c r="G1276" t="s">
        <v>15</v>
      </c>
      <c r="H1276" t="s">
        <v>307</v>
      </c>
      <c r="I1276" t="s">
        <v>254</v>
      </c>
      <c r="J1276" t="s">
        <v>27</v>
      </c>
      <c r="K1276" t="s">
        <v>183</v>
      </c>
      <c r="L1276">
        <v>64467.511391462896</v>
      </c>
      <c r="M1276" t="s">
        <v>68</v>
      </c>
      <c r="N1276" t="s">
        <v>59</v>
      </c>
    </row>
    <row r="1277" spans="1:14">
      <c r="A1277" t="str">
        <f t="shared" si="38"/>
        <v>6.재고과다/재고부족_재고금액GTTINV_LONG_TERM2014</v>
      </c>
      <c r="B1277" t="str">
        <f t="shared" si="39"/>
        <v>6.재고과다/재고부족_재고금액GTTINV_LONG_TERM201407</v>
      </c>
      <c r="F1277" t="s">
        <v>265</v>
      </c>
      <c r="G1277" t="s">
        <v>15</v>
      </c>
      <c r="H1277" t="s">
        <v>307</v>
      </c>
      <c r="I1277" t="s">
        <v>254</v>
      </c>
      <c r="J1277" t="s">
        <v>28</v>
      </c>
      <c r="K1277" t="s">
        <v>183</v>
      </c>
      <c r="L1277">
        <v>122297.786246998</v>
      </c>
      <c r="M1277" t="s">
        <v>68</v>
      </c>
      <c r="N1277" t="s">
        <v>59</v>
      </c>
    </row>
    <row r="1278" spans="1:14">
      <c r="A1278" t="str">
        <f t="shared" si="38"/>
        <v>6.재고과다/재고부족_재고금액GTTINV_LONG_TERM2014</v>
      </c>
      <c r="B1278" t="str">
        <f t="shared" si="39"/>
        <v>6.재고과다/재고부족_재고금액GTTINV_LONG_TERM201408</v>
      </c>
      <c r="F1278" t="s">
        <v>265</v>
      </c>
      <c r="G1278" t="s">
        <v>15</v>
      </c>
      <c r="H1278" t="s">
        <v>307</v>
      </c>
      <c r="I1278" t="s">
        <v>254</v>
      </c>
      <c r="J1278" t="s">
        <v>29</v>
      </c>
      <c r="K1278" t="s">
        <v>183</v>
      </c>
      <c r="L1278">
        <v>188862.072448994</v>
      </c>
      <c r="M1278" t="s">
        <v>68</v>
      </c>
      <c r="N1278" t="s">
        <v>59</v>
      </c>
    </row>
    <row r="1279" spans="1:14">
      <c r="A1279" t="str">
        <f t="shared" si="38"/>
        <v>6.재고과다/재고부족_재고금액GTTINV_LONG_TERM2014</v>
      </c>
      <c r="B1279" t="str">
        <f t="shared" si="39"/>
        <v>6.재고과다/재고부족_재고금액GTTINV_LONG_TERM201409</v>
      </c>
      <c r="F1279" t="s">
        <v>265</v>
      </c>
      <c r="G1279" t="s">
        <v>15</v>
      </c>
      <c r="H1279" t="s">
        <v>307</v>
      </c>
      <c r="I1279" t="s">
        <v>254</v>
      </c>
      <c r="J1279" t="s">
        <v>30</v>
      </c>
      <c r="K1279" t="s">
        <v>183</v>
      </c>
      <c r="L1279">
        <v>166796.154814582</v>
      </c>
      <c r="M1279" t="s">
        <v>68</v>
      </c>
      <c r="N1279" t="s">
        <v>59</v>
      </c>
    </row>
    <row r="1280" spans="1:14">
      <c r="A1280" t="str">
        <f t="shared" si="38"/>
        <v>6.재고과다/재고부족_재고금액GTTINV_LONG_TERM2014</v>
      </c>
      <c r="B1280" t="str">
        <f t="shared" si="39"/>
        <v>6.재고과다/재고부족_재고금액GTTINV_LONG_TERM201410</v>
      </c>
      <c r="F1280" t="s">
        <v>265</v>
      </c>
      <c r="G1280" t="s">
        <v>15</v>
      </c>
      <c r="H1280" t="s">
        <v>307</v>
      </c>
      <c r="I1280" t="s">
        <v>254</v>
      </c>
      <c r="J1280" t="s">
        <v>31</v>
      </c>
      <c r="K1280" t="s">
        <v>183</v>
      </c>
      <c r="L1280">
        <v>101449.238749431</v>
      </c>
      <c r="M1280" t="s">
        <v>68</v>
      </c>
      <c r="N1280" t="s">
        <v>59</v>
      </c>
    </row>
    <row r="1281" spans="1:14">
      <c r="A1281" t="str">
        <f t="shared" si="38"/>
        <v>6.재고과다/재고부족_재고금액GTTINV_LONG_TERM2014</v>
      </c>
      <c r="B1281" t="str">
        <f t="shared" si="39"/>
        <v>6.재고과다/재고부족_재고금액GTTINV_LONG_TERM201411</v>
      </c>
      <c r="F1281" t="s">
        <v>265</v>
      </c>
      <c r="G1281" t="s">
        <v>15</v>
      </c>
      <c r="H1281" t="s">
        <v>307</v>
      </c>
      <c r="I1281" t="s">
        <v>254</v>
      </c>
      <c r="J1281" t="s">
        <v>32</v>
      </c>
      <c r="K1281" t="s">
        <v>183</v>
      </c>
      <c r="L1281">
        <v>177351.88758023799</v>
      </c>
      <c r="M1281" t="s">
        <v>68</v>
      </c>
      <c r="N1281" t="s">
        <v>59</v>
      </c>
    </row>
    <row r="1282" spans="1:14">
      <c r="A1282" t="str">
        <f t="shared" si="38"/>
        <v>6.재고과다/재고부족_재고금액GTTINV_LONG_TERM2014</v>
      </c>
      <c r="B1282" t="str">
        <f t="shared" si="39"/>
        <v>6.재고과다/재고부족_재고금액GTTINV_LONG_TERM201412</v>
      </c>
      <c r="F1282" t="s">
        <v>265</v>
      </c>
      <c r="G1282" t="s">
        <v>15</v>
      </c>
      <c r="H1282" t="s">
        <v>307</v>
      </c>
      <c r="I1282" t="s">
        <v>254</v>
      </c>
      <c r="J1282" t="s">
        <v>33</v>
      </c>
      <c r="K1282" t="s">
        <v>183</v>
      </c>
      <c r="L1282">
        <v>253956.61800655001</v>
      </c>
      <c r="M1282" t="s">
        <v>68</v>
      </c>
      <c r="N1282" t="s">
        <v>59</v>
      </c>
    </row>
    <row r="1283" spans="1:14">
      <c r="A1283" t="str">
        <f t="shared" si="38"/>
        <v>6.재고과다/재고부족_재고금액GTTINV_LONG_TERM2015</v>
      </c>
      <c r="B1283" t="str">
        <f t="shared" si="39"/>
        <v>6.재고과다/재고부족_재고금액GTTINV_LONG_TERM201501</v>
      </c>
      <c r="F1283" t="s">
        <v>265</v>
      </c>
      <c r="G1283" t="s">
        <v>15</v>
      </c>
      <c r="H1283" t="s">
        <v>307</v>
      </c>
      <c r="I1283" t="s">
        <v>260</v>
      </c>
      <c r="J1283" t="s">
        <v>34</v>
      </c>
      <c r="K1283" t="s">
        <v>183</v>
      </c>
      <c r="L1283">
        <v>201071.79833039999</v>
      </c>
      <c r="M1283" t="s">
        <v>68</v>
      </c>
      <c r="N1283" t="s">
        <v>59</v>
      </c>
    </row>
    <row r="1284" spans="1:14">
      <c r="A1284" t="str">
        <f t="shared" si="38"/>
        <v>6.재고과다/재고부족_재고금액GTTINV_LONG_TERM2015</v>
      </c>
      <c r="B1284" t="str">
        <f t="shared" si="39"/>
        <v>6.재고과다/재고부족_재고금액GTTINV_LONG_TERM201502</v>
      </c>
      <c r="F1284" t="s">
        <v>265</v>
      </c>
      <c r="G1284" t="s">
        <v>15</v>
      </c>
      <c r="H1284" t="s">
        <v>307</v>
      </c>
      <c r="I1284" t="s">
        <v>260</v>
      </c>
      <c r="J1284" t="s">
        <v>35</v>
      </c>
      <c r="K1284" t="s">
        <v>183</v>
      </c>
      <c r="L1284">
        <v>240900.892610262</v>
      </c>
      <c r="M1284" t="s">
        <v>68</v>
      </c>
      <c r="N1284" t="s">
        <v>59</v>
      </c>
    </row>
    <row r="1285" spans="1:14">
      <c r="A1285" t="str">
        <f t="shared" si="38"/>
        <v>6.재고과다/재고부족_재고금액GTTINV_LONG_TERM2015</v>
      </c>
      <c r="B1285" t="str">
        <f t="shared" si="39"/>
        <v>6.재고과다/재고부족_재고금액GTTINV_LONG_TERM201503</v>
      </c>
      <c r="F1285" t="s">
        <v>265</v>
      </c>
      <c r="G1285" t="s">
        <v>15</v>
      </c>
      <c r="H1285" t="s">
        <v>307</v>
      </c>
      <c r="I1285" t="s">
        <v>260</v>
      </c>
      <c r="J1285" t="s">
        <v>36</v>
      </c>
      <c r="K1285" t="s">
        <v>183</v>
      </c>
      <c r="L1285">
        <v>273839.70603583701</v>
      </c>
      <c r="M1285" t="s">
        <v>68</v>
      </c>
      <c r="N1285" t="s">
        <v>59</v>
      </c>
    </row>
    <row r="1286" spans="1:14">
      <c r="A1286" t="str">
        <f t="shared" si="38"/>
        <v>6.재고과다/재고부족_재고금액GTTINV_LONG_TERM2015</v>
      </c>
      <c r="B1286" t="str">
        <f t="shared" si="39"/>
        <v>6.재고과다/재고부족_재고금액GTTINV_LONG_TERM201504</v>
      </c>
      <c r="F1286" t="s">
        <v>265</v>
      </c>
      <c r="G1286" t="s">
        <v>15</v>
      </c>
      <c r="H1286" t="s">
        <v>307</v>
      </c>
      <c r="I1286" t="s">
        <v>260</v>
      </c>
      <c r="J1286" t="s">
        <v>37</v>
      </c>
      <c r="K1286" t="s">
        <v>183</v>
      </c>
      <c r="L1286">
        <v>410578.35239631101</v>
      </c>
      <c r="M1286" t="s">
        <v>68</v>
      </c>
      <c r="N1286" t="s">
        <v>59</v>
      </c>
    </row>
    <row r="1287" spans="1:14">
      <c r="A1287" t="str">
        <f t="shared" ref="A1287:A1350" si="40">F1287&amp;G1287&amp;K1287&amp;I1287</f>
        <v>6.재고과다/재고부족_재고금액GTTINV_LONG_TERM2015</v>
      </c>
      <c r="B1287" t="str">
        <f t="shared" ref="B1287:B1350" si="41">F1287&amp;G1287&amp;K1287&amp;J1287</f>
        <v>6.재고과다/재고부족_재고금액GTTINV_LONG_TERM201505</v>
      </c>
      <c r="F1287" t="s">
        <v>265</v>
      </c>
      <c r="G1287" t="s">
        <v>15</v>
      </c>
      <c r="H1287" t="s">
        <v>307</v>
      </c>
      <c r="I1287" t="s">
        <v>260</v>
      </c>
      <c r="J1287" t="s">
        <v>38</v>
      </c>
      <c r="K1287" t="s">
        <v>183</v>
      </c>
      <c r="L1287">
        <v>204376.925415704</v>
      </c>
      <c r="M1287" t="s">
        <v>68</v>
      </c>
      <c r="N1287" t="s">
        <v>59</v>
      </c>
    </row>
    <row r="1288" spans="1:14">
      <c r="A1288" t="str">
        <f t="shared" si="40"/>
        <v>6.재고과다/재고부족_재고금액GTTINV_LONG_TERM2015</v>
      </c>
      <c r="B1288" t="str">
        <f t="shared" si="41"/>
        <v>6.재고과다/재고부족_재고금액GTTINV_LONG_TERM201506</v>
      </c>
      <c r="F1288" t="s">
        <v>265</v>
      </c>
      <c r="G1288" t="s">
        <v>15</v>
      </c>
      <c r="H1288" t="s">
        <v>307</v>
      </c>
      <c r="I1288" t="s">
        <v>260</v>
      </c>
      <c r="J1288" t="s">
        <v>39</v>
      </c>
      <c r="K1288" t="s">
        <v>183</v>
      </c>
      <c r="L1288">
        <v>258696.310414554</v>
      </c>
      <c r="M1288" t="s">
        <v>68</v>
      </c>
      <c r="N1288" t="s">
        <v>59</v>
      </c>
    </row>
    <row r="1289" spans="1:14">
      <c r="A1289" t="str">
        <f t="shared" si="40"/>
        <v>6.재고과다/재고부족_재고금액GTTINV_LONG_TERM2015</v>
      </c>
      <c r="B1289" t="str">
        <f t="shared" si="41"/>
        <v>6.재고과다/재고부족_재고금액GTTINV_LONG_TERM201507</v>
      </c>
      <c r="F1289" t="s">
        <v>265</v>
      </c>
      <c r="G1289" t="s">
        <v>15</v>
      </c>
      <c r="H1289" t="s">
        <v>307</v>
      </c>
      <c r="I1289" t="s">
        <v>260</v>
      </c>
      <c r="J1289" t="s">
        <v>40</v>
      </c>
      <c r="K1289" t="s">
        <v>183</v>
      </c>
      <c r="L1289">
        <v>74894.065189316607</v>
      </c>
      <c r="M1289" t="s">
        <v>68</v>
      </c>
      <c r="N1289" t="s">
        <v>59</v>
      </c>
    </row>
    <row r="1290" spans="1:14">
      <c r="A1290" t="str">
        <f t="shared" si="40"/>
        <v>6.재고과다/재고부족_재고금액GTTINV_LONG_TERM2015</v>
      </c>
      <c r="B1290" t="str">
        <f t="shared" si="41"/>
        <v>6.재고과다/재고부족_재고금액GTTINV_LONG_TERM201508</v>
      </c>
      <c r="F1290" t="s">
        <v>265</v>
      </c>
      <c r="G1290" t="s">
        <v>15</v>
      </c>
      <c r="H1290" t="s">
        <v>307</v>
      </c>
      <c r="I1290" t="s">
        <v>260</v>
      </c>
      <c r="J1290" t="s">
        <v>41</v>
      </c>
      <c r="K1290" t="s">
        <v>183</v>
      </c>
      <c r="L1290">
        <v>56977.466457706403</v>
      </c>
      <c r="M1290" t="s">
        <v>68</v>
      </c>
      <c r="N1290" t="s">
        <v>59</v>
      </c>
    </row>
    <row r="1291" spans="1:14">
      <c r="A1291" t="str">
        <f t="shared" si="40"/>
        <v>6.재고과다/재고부족_재고금액GTTINV_LONG_TERM2015</v>
      </c>
      <c r="B1291" t="str">
        <f t="shared" si="41"/>
        <v>6.재고과다/재고부족_재고금액GTTINV_LONG_TERM201509</v>
      </c>
      <c r="F1291" t="s">
        <v>265</v>
      </c>
      <c r="G1291" t="s">
        <v>15</v>
      </c>
      <c r="H1291" t="s">
        <v>307</v>
      </c>
      <c r="I1291" t="s">
        <v>260</v>
      </c>
      <c r="J1291" t="s">
        <v>42</v>
      </c>
      <c r="K1291" t="s">
        <v>183</v>
      </c>
      <c r="L1291">
        <v>21849.339058518199</v>
      </c>
      <c r="M1291" t="s">
        <v>68</v>
      </c>
      <c r="N1291" t="s">
        <v>59</v>
      </c>
    </row>
    <row r="1292" spans="1:14">
      <c r="A1292" t="str">
        <f t="shared" si="40"/>
        <v>6.재고과다/재고부족_재고금액GTTINV_LONG_TERM2015</v>
      </c>
      <c r="B1292" t="str">
        <f t="shared" si="41"/>
        <v>6.재고과다/재고부족_재고금액GTTINV_LONG_TERM201510</v>
      </c>
      <c r="F1292" t="s">
        <v>265</v>
      </c>
      <c r="G1292" t="s">
        <v>15</v>
      </c>
      <c r="H1292" t="s">
        <v>307</v>
      </c>
      <c r="I1292" t="s">
        <v>260</v>
      </c>
      <c r="J1292" t="s">
        <v>1</v>
      </c>
      <c r="K1292" t="s">
        <v>183</v>
      </c>
      <c r="L1292">
        <v>12070.6941162567</v>
      </c>
      <c r="M1292" t="s">
        <v>68</v>
      </c>
      <c r="N1292" t="s">
        <v>59</v>
      </c>
    </row>
    <row r="1293" spans="1:14">
      <c r="A1293" t="str">
        <f t="shared" si="40"/>
        <v>6.재고과다/재고부족_재고금액MSTINV_LONG_TERM2014</v>
      </c>
      <c r="B1293" t="str">
        <f t="shared" si="41"/>
        <v>6.재고과다/재고부족_재고금액MSTINV_LONG_TERM201401</v>
      </c>
      <c r="F1293" t="s">
        <v>265</v>
      </c>
      <c r="G1293" t="s">
        <v>16</v>
      </c>
      <c r="H1293" t="s">
        <v>307</v>
      </c>
      <c r="I1293" t="s">
        <v>254</v>
      </c>
      <c r="J1293" t="s">
        <v>22</v>
      </c>
      <c r="K1293" t="s">
        <v>183</v>
      </c>
      <c r="L1293">
        <v>119191.497532339</v>
      </c>
      <c r="M1293" t="s">
        <v>69</v>
      </c>
      <c r="N1293" t="s">
        <v>61</v>
      </c>
    </row>
    <row r="1294" spans="1:14">
      <c r="A1294" t="str">
        <f t="shared" si="40"/>
        <v>6.재고과다/재고부족_재고금액MSTINV_LONG_TERM2014</v>
      </c>
      <c r="B1294" t="str">
        <f t="shared" si="41"/>
        <v>6.재고과다/재고부족_재고금액MSTINV_LONG_TERM201402</v>
      </c>
      <c r="F1294" t="s">
        <v>265</v>
      </c>
      <c r="G1294" t="s">
        <v>16</v>
      </c>
      <c r="H1294" t="s">
        <v>307</v>
      </c>
      <c r="I1294" t="s">
        <v>254</v>
      </c>
      <c r="J1294" t="s">
        <v>23</v>
      </c>
      <c r="K1294" t="s">
        <v>183</v>
      </c>
      <c r="L1294">
        <v>85932.741710218193</v>
      </c>
      <c r="M1294" t="s">
        <v>69</v>
      </c>
      <c r="N1294" t="s">
        <v>61</v>
      </c>
    </row>
    <row r="1295" spans="1:14">
      <c r="A1295" t="str">
        <f t="shared" si="40"/>
        <v>6.재고과다/재고부족_재고금액MSTINV_LONG_TERM2014</v>
      </c>
      <c r="B1295" t="str">
        <f t="shared" si="41"/>
        <v>6.재고과다/재고부족_재고금액MSTINV_LONG_TERM201403</v>
      </c>
      <c r="F1295" t="s">
        <v>265</v>
      </c>
      <c r="G1295" t="s">
        <v>16</v>
      </c>
      <c r="H1295" t="s">
        <v>307</v>
      </c>
      <c r="I1295" t="s">
        <v>254</v>
      </c>
      <c r="J1295" t="s">
        <v>24</v>
      </c>
      <c r="K1295" t="s">
        <v>183</v>
      </c>
      <c r="L1295">
        <v>20652.393458083799</v>
      </c>
      <c r="M1295" t="s">
        <v>69</v>
      </c>
      <c r="N1295" t="s">
        <v>61</v>
      </c>
    </row>
    <row r="1296" spans="1:14">
      <c r="A1296" t="str">
        <f t="shared" si="40"/>
        <v>6.재고과다/재고부족_재고금액MSTINV_LONG_TERM2014</v>
      </c>
      <c r="B1296" t="str">
        <f t="shared" si="41"/>
        <v>6.재고과다/재고부족_재고금액MSTINV_LONG_TERM201404</v>
      </c>
      <c r="F1296" t="s">
        <v>265</v>
      </c>
      <c r="G1296" t="s">
        <v>16</v>
      </c>
      <c r="H1296" t="s">
        <v>307</v>
      </c>
      <c r="I1296" t="s">
        <v>254</v>
      </c>
      <c r="J1296" t="s">
        <v>25</v>
      </c>
      <c r="K1296" t="s">
        <v>183</v>
      </c>
      <c r="L1296">
        <v>12732.0951036154</v>
      </c>
      <c r="M1296" t="s">
        <v>69</v>
      </c>
      <c r="N1296" t="s">
        <v>61</v>
      </c>
    </row>
    <row r="1297" spans="1:14">
      <c r="A1297" t="str">
        <f t="shared" si="40"/>
        <v>6.재고과다/재고부족_재고금액MSTINV_LONG_TERM2014</v>
      </c>
      <c r="B1297" t="str">
        <f t="shared" si="41"/>
        <v>6.재고과다/재고부족_재고금액MSTINV_LONG_TERM201405</v>
      </c>
      <c r="F1297" t="s">
        <v>265</v>
      </c>
      <c r="G1297" t="s">
        <v>16</v>
      </c>
      <c r="H1297" t="s">
        <v>307</v>
      </c>
      <c r="I1297" t="s">
        <v>254</v>
      </c>
      <c r="J1297" t="s">
        <v>26</v>
      </c>
      <c r="K1297" t="s">
        <v>183</v>
      </c>
      <c r="L1297">
        <v>0</v>
      </c>
      <c r="M1297" t="s">
        <v>69</v>
      </c>
      <c r="N1297" t="s">
        <v>61</v>
      </c>
    </row>
    <row r="1298" spans="1:14">
      <c r="A1298" t="str">
        <f t="shared" si="40"/>
        <v>6.재고과다/재고부족_재고금액MSTINV_LONG_TERM2014</v>
      </c>
      <c r="B1298" t="str">
        <f t="shared" si="41"/>
        <v>6.재고과다/재고부족_재고금액MSTINV_LONG_TERM201406</v>
      </c>
      <c r="F1298" t="s">
        <v>265</v>
      </c>
      <c r="G1298" t="s">
        <v>16</v>
      </c>
      <c r="H1298" t="s">
        <v>307</v>
      </c>
      <c r="I1298" t="s">
        <v>254</v>
      </c>
      <c r="J1298" t="s">
        <v>27</v>
      </c>
      <c r="K1298" t="s">
        <v>183</v>
      </c>
      <c r="L1298">
        <v>102844.557333695</v>
      </c>
      <c r="M1298" t="s">
        <v>69</v>
      </c>
      <c r="N1298" t="s">
        <v>61</v>
      </c>
    </row>
    <row r="1299" spans="1:14">
      <c r="A1299" t="str">
        <f t="shared" si="40"/>
        <v>6.재고과다/재고부족_재고금액MSTINV_LONG_TERM2014</v>
      </c>
      <c r="B1299" t="str">
        <f t="shared" si="41"/>
        <v>6.재고과다/재고부족_재고금액MSTINV_LONG_TERM201407</v>
      </c>
      <c r="F1299" t="s">
        <v>265</v>
      </c>
      <c r="G1299" t="s">
        <v>16</v>
      </c>
      <c r="H1299" t="s">
        <v>307</v>
      </c>
      <c r="I1299" t="s">
        <v>254</v>
      </c>
      <c r="J1299" t="s">
        <v>28</v>
      </c>
      <c r="K1299" t="s">
        <v>183</v>
      </c>
      <c r="L1299">
        <v>93294.199231865699</v>
      </c>
      <c r="M1299" t="s">
        <v>69</v>
      </c>
      <c r="N1299" t="s">
        <v>61</v>
      </c>
    </row>
    <row r="1300" spans="1:14">
      <c r="A1300" t="str">
        <f t="shared" si="40"/>
        <v>6.재고과다/재고부족_재고금액MSTINV_LONG_TERM2014</v>
      </c>
      <c r="B1300" t="str">
        <f t="shared" si="41"/>
        <v>6.재고과다/재고부족_재고금액MSTINV_LONG_TERM201408</v>
      </c>
      <c r="F1300" t="s">
        <v>265</v>
      </c>
      <c r="G1300" t="s">
        <v>16</v>
      </c>
      <c r="H1300" t="s">
        <v>307</v>
      </c>
      <c r="I1300" t="s">
        <v>254</v>
      </c>
      <c r="J1300" t="s">
        <v>29</v>
      </c>
      <c r="K1300" t="s">
        <v>183</v>
      </c>
      <c r="L1300">
        <v>367968.20130929397</v>
      </c>
      <c r="M1300" t="s">
        <v>69</v>
      </c>
      <c r="N1300" t="s">
        <v>61</v>
      </c>
    </row>
    <row r="1301" spans="1:14">
      <c r="A1301" t="str">
        <f t="shared" si="40"/>
        <v>6.재고과다/재고부족_재고금액MSTINV_LONG_TERM2014</v>
      </c>
      <c r="B1301" t="str">
        <f t="shared" si="41"/>
        <v>6.재고과다/재고부족_재고금액MSTINV_LONG_TERM201409</v>
      </c>
      <c r="F1301" t="s">
        <v>265</v>
      </c>
      <c r="G1301" t="s">
        <v>16</v>
      </c>
      <c r="H1301" t="s">
        <v>307</v>
      </c>
      <c r="I1301" t="s">
        <v>254</v>
      </c>
      <c r="J1301" t="s">
        <v>30</v>
      </c>
      <c r="K1301" t="s">
        <v>183</v>
      </c>
      <c r="L1301">
        <v>84333.176968874905</v>
      </c>
      <c r="M1301" t="s">
        <v>69</v>
      </c>
      <c r="N1301" t="s">
        <v>61</v>
      </c>
    </row>
    <row r="1302" spans="1:14">
      <c r="A1302" t="str">
        <f t="shared" si="40"/>
        <v>6.재고과다/재고부족_재고금액MSTINV_LONG_TERM2014</v>
      </c>
      <c r="B1302" t="str">
        <f t="shared" si="41"/>
        <v>6.재고과다/재고부족_재고금액MSTINV_LONG_TERM201410</v>
      </c>
      <c r="F1302" t="s">
        <v>265</v>
      </c>
      <c r="G1302" t="s">
        <v>16</v>
      </c>
      <c r="H1302" t="s">
        <v>307</v>
      </c>
      <c r="I1302" t="s">
        <v>254</v>
      </c>
      <c r="J1302" t="s">
        <v>31</v>
      </c>
      <c r="K1302" t="s">
        <v>183</v>
      </c>
      <c r="L1302">
        <v>133805.51467647101</v>
      </c>
      <c r="M1302" t="s">
        <v>69</v>
      </c>
      <c r="N1302" t="s">
        <v>61</v>
      </c>
    </row>
    <row r="1303" spans="1:14">
      <c r="A1303" t="str">
        <f t="shared" si="40"/>
        <v>6.재고과다/재고부족_재고금액MSTINV_LONG_TERM2014</v>
      </c>
      <c r="B1303" t="str">
        <f t="shared" si="41"/>
        <v>6.재고과다/재고부족_재고금액MSTINV_LONG_TERM201411</v>
      </c>
      <c r="F1303" t="s">
        <v>265</v>
      </c>
      <c r="G1303" t="s">
        <v>16</v>
      </c>
      <c r="H1303" t="s">
        <v>307</v>
      </c>
      <c r="I1303" t="s">
        <v>254</v>
      </c>
      <c r="J1303" t="s">
        <v>32</v>
      </c>
      <c r="K1303" t="s">
        <v>183</v>
      </c>
      <c r="L1303">
        <v>18273.7786969394</v>
      </c>
      <c r="M1303" t="s">
        <v>69</v>
      </c>
      <c r="N1303" t="s">
        <v>61</v>
      </c>
    </row>
    <row r="1304" spans="1:14">
      <c r="A1304" t="str">
        <f t="shared" si="40"/>
        <v>6.재고과다/재고부족_재고금액MSTINV_LONG_TERM2014</v>
      </c>
      <c r="B1304" t="str">
        <f t="shared" si="41"/>
        <v>6.재고과다/재고부족_재고금액MSTINV_LONG_TERM201412</v>
      </c>
      <c r="F1304" t="s">
        <v>265</v>
      </c>
      <c r="G1304" t="s">
        <v>16</v>
      </c>
      <c r="H1304" t="s">
        <v>307</v>
      </c>
      <c r="I1304" t="s">
        <v>254</v>
      </c>
      <c r="J1304" t="s">
        <v>33</v>
      </c>
      <c r="K1304" t="s">
        <v>183</v>
      </c>
      <c r="L1304">
        <v>53987.191767376302</v>
      </c>
      <c r="M1304" t="s">
        <v>69</v>
      </c>
      <c r="N1304" t="s">
        <v>61</v>
      </c>
    </row>
    <row r="1305" spans="1:14">
      <c r="A1305" t="str">
        <f t="shared" si="40"/>
        <v>6.재고과다/재고부족_재고금액MSTINV_LONG_TERM2015</v>
      </c>
      <c r="B1305" t="str">
        <f t="shared" si="41"/>
        <v>6.재고과다/재고부족_재고금액MSTINV_LONG_TERM201501</v>
      </c>
      <c r="F1305" t="s">
        <v>265</v>
      </c>
      <c r="G1305" t="s">
        <v>16</v>
      </c>
      <c r="H1305" t="s">
        <v>307</v>
      </c>
      <c r="I1305" t="s">
        <v>260</v>
      </c>
      <c r="J1305" t="s">
        <v>34</v>
      </c>
      <c r="K1305" t="s">
        <v>183</v>
      </c>
      <c r="L1305">
        <v>25044.913325632599</v>
      </c>
      <c r="M1305" t="s">
        <v>69</v>
      </c>
      <c r="N1305" t="s">
        <v>61</v>
      </c>
    </row>
    <row r="1306" spans="1:14">
      <c r="A1306" t="str">
        <f t="shared" si="40"/>
        <v>6.재고과다/재고부족_재고금액MSTINV_LONG_TERM2015</v>
      </c>
      <c r="B1306" t="str">
        <f t="shared" si="41"/>
        <v>6.재고과다/재고부족_재고금액MSTINV_LONG_TERM201502</v>
      </c>
      <c r="F1306" t="s">
        <v>265</v>
      </c>
      <c r="G1306" t="s">
        <v>16</v>
      </c>
      <c r="H1306" t="s">
        <v>307</v>
      </c>
      <c r="I1306" t="s">
        <v>260</v>
      </c>
      <c r="J1306" t="s">
        <v>35</v>
      </c>
      <c r="K1306" t="s">
        <v>183</v>
      </c>
      <c r="L1306">
        <v>58203.689228438903</v>
      </c>
      <c r="M1306" t="s">
        <v>69</v>
      </c>
      <c r="N1306" t="s">
        <v>61</v>
      </c>
    </row>
    <row r="1307" spans="1:14">
      <c r="A1307" t="str">
        <f t="shared" si="40"/>
        <v>6.재고과다/재고부족_재고금액MSTINV_LONG_TERM2015</v>
      </c>
      <c r="B1307" t="str">
        <f t="shared" si="41"/>
        <v>6.재고과다/재고부족_재고금액MSTINV_LONG_TERM201503</v>
      </c>
      <c r="F1307" t="s">
        <v>265</v>
      </c>
      <c r="G1307" t="s">
        <v>16</v>
      </c>
      <c r="H1307" t="s">
        <v>307</v>
      </c>
      <c r="I1307" t="s">
        <v>260</v>
      </c>
      <c r="J1307" t="s">
        <v>36</v>
      </c>
      <c r="K1307" t="s">
        <v>183</v>
      </c>
      <c r="L1307">
        <v>16454.6093755656</v>
      </c>
      <c r="M1307" t="s">
        <v>69</v>
      </c>
      <c r="N1307" t="s">
        <v>61</v>
      </c>
    </row>
    <row r="1308" spans="1:14">
      <c r="A1308" t="str">
        <f t="shared" si="40"/>
        <v>6.재고과다/재고부족_재고금액MSTINV_LONG_TERM2015</v>
      </c>
      <c r="B1308" t="str">
        <f t="shared" si="41"/>
        <v>6.재고과다/재고부족_재고금액MSTINV_LONG_TERM201504</v>
      </c>
      <c r="F1308" t="s">
        <v>265</v>
      </c>
      <c r="G1308" t="s">
        <v>16</v>
      </c>
      <c r="H1308" t="s">
        <v>307</v>
      </c>
      <c r="I1308" t="s">
        <v>260</v>
      </c>
      <c r="J1308" t="s">
        <v>37</v>
      </c>
      <c r="K1308" t="s">
        <v>183</v>
      </c>
      <c r="L1308">
        <v>54766.537768467402</v>
      </c>
      <c r="M1308" t="s">
        <v>69</v>
      </c>
      <c r="N1308" t="s">
        <v>61</v>
      </c>
    </row>
    <row r="1309" spans="1:14">
      <c r="A1309" t="str">
        <f t="shared" si="40"/>
        <v>6.재고과다/재고부족_재고금액MSTINV_LONG_TERM2015</v>
      </c>
      <c r="B1309" t="str">
        <f t="shared" si="41"/>
        <v>6.재고과다/재고부족_재고금액MSTINV_LONG_TERM201505</v>
      </c>
      <c r="F1309" t="s">
        <v>265</v>
      </c>
      <c r="G1309" t="s">
        <v>16</v>
      </c>
      <c r="H1309" t="s">
        <v>307</v>
      </c>
      <c r="I1309" t="s">
        <v>260</v>
      </c>
      <c r="J1309" t="s">
        <v>38</v>
      </c>
      <c r="K1309" t="s">
        <v>183</v>
      </c>
      <c r="L1309">
        <v>76936.653254963894</v>
      </c>
      <c r="M1309" t="s">
        <v>69</v>
      </c>
      <c r="N1309" t="s">
        <v>61</v>
      </c>
    </row>
    <row r="1310" spans="1:14">
      <c r="A1310" t="str">
        <f t="shared" si="40"/>
        <v>6.재고과다/재고부족_재고금액MSTINV_LONG_TERM2015</v>
      </c>
      <c r="B1310" t="str">
        <f t="shared" si="41"/>
        <v>6.재고과다/재고부족_재고금액MSTINV_LONG_TERM201506</v>
      </c>
      <c r="F1310" t="s">
        <v>265</v>
      </c>
      <c r="G1310" t="s">
        <v>16</v>
      </c>
      <c r="H1310" t="s">
        <v>307</v>
      </c>
      <c r="I1310" t="s">
        <v>260</v>
      </c>
      <c r="J1310" t="s">
        <v>39</v>
      </c>
      <c r="K1310" t="s">
        <v>183</v>
      </c>
      <c r="L1310">
        <v>57948.2574183791</v>
      </c>
      <c r="M1310" t="s">
        <v>69</v>
      </c>
      <c r="N1310" t="s">
        <v>61</v>
      </c>
    </row>
    <row r="1311" spans="1:14">
      <c r="A1311" t="str">
        <f t="shared" si="40"/>
        <v>6.재고과다/재고부족_재고금액MSTINV_LONG_TERM2015</v>
      </c>
      <c r="B1311" t="str">
        <f t="shared" si="41"/>
        <v>6.재고과다/재고부족_재고금액MSTINV_LONG_TERM201507</v>
      </c>
      <c r="F1311" t="s">
        <v>265</v>
      </c>
      <c r="G1311" t="s">
        <v>16</v>
      </c>
      <c r="H1311" t="s">
        <v>307</v>
      </c>
      <c r="I1311" t="s">
        <v>260</v>
      </c>
      <c r="J1311" t="s">
        <v>40</v>
      </c>
      <c r="K1311" t="s">
        <v>183</v>
      </c>
      <c r="L1311">
        <v>140791.38270547899</v>
      </c>
      <c r="M1311" t="s">
        <v>69</v>
      </c>
      <c r="N1311" t="s">
        <v>61</v>
      </c>
    </row>
    <row r="1312" spans="1:14">
      <c r="A1312" t="str">
        <f t="shared" si="40"/>
        <v>6.재고과다/재고부족_재고금액MSTINV_LONG_TERM2015</v>
      </c>
      <c r="B1312" t="str">
        <f t="shared" si="41"/>
        <v>6.재고과다/재고부족_재고금액MSTINV_LONG_TERM201508</v>
      </c>
      <c r="F1312" t="s">
        <v>265</v>
      </c>
      <c r="G1312" t="s">
        <v>16</v>
      </c>
      <c r="H1312" t="s">
        <v>307</v>
      </c>
      <c r="I1312" t="s">
        <v>260</v>
      </c>
      <c r="J1312" t="s">
        <v>41</v>
      </c>
      <c r="K1312" t="s">
        <v>183</v>
      </c>
      <c r="L1312">
        <v>173538.64051525999</v>
      </c>
      <c r="M1312" t="s">
        <v>69</v>
      </c>
      <c r="N1312" t="s">
        <v>61</v>
      </c>
    </row>
    <row r="1313" spans="1:14">
      <c r="A1313" t="str">
        <f t="shared" si="40"/>
        <v>6.재고과다/재고부족_재고금액MSTINV_LONG_TERM2015</v>
      </c>
      <c r="B1313" t="str">
        <f t="shared" si="41"/>
        <v>6.재고과다/재고부족_재고금액MSTINV_LONG_TERM201509</v>
      </c>
      <c r="F1313" t="s">
        <v>265</v>
      </c>
      <c r="G1313" t="s">
        <v>16</v>
      </c>
      <c r="H1313" t="s">
        <v>307</v>
      </c>
      <c r="I1313" t="s">
        <v>260</v>
      </c>
      <c r="J1313" t="s">
        <v>42</v>
      </c>
      <c r="K1313" t="s">
        <v>183</v>
      </c>
      <c r="L1313">
        <v>85021.598121724601</v>
      </c>
      <c r="M1313" t="s">
        <v>69</v>
      </c>
      <c r="N1313" t="s">
        <v>61</v>
      </c>
    </row>
    <row r="1314" spans="1:14">
      <c r="A1314" t="str">
        <f t="shared" si="40"/>
        <v>6.재고과다/재고부족_재고금액MSTINV_LONG_TERM2015</v>
      </c>
      <c r="B1314" t="str">
        <f t="shared" si="41"/>
        <v>6.재고과다/재고부족_재고금액MSTINV_LONG_TERM201510</v>
      </c>
      <c r="F1314" t="s">
        <v>265</v>
      </c>
      <c r="G1314" t="s">
        <v>16</v>
      </c>
      <c r="H1314" t="s">
        <v>307</v>
      </c>
      <c r="I1314" t="s">
        <v>260</v>
      </c>
      <c r="J1314" t="s">
        <v>1</v>
      </c>
      <c r="K1314" t="s">
        <v>183</v>
      </c>
      <c r="L1314">
        <v>59808.378037293201</v>
      </c>
      <c r="M1314" t="s">
        <v>69</v>
      </c>
      <c r="N1314" t="s">
        <v>61</v>
      </c>
    </row>
    <row r="1315" spans="1:14">
      <c r="A1315" t="str">
        <f t="shared" si="40"/>
        <v>6.재고과다/재고부족_재고금액PCTINV_LONG_TERM2014</v>
      </c>
      <c r="B1315" t="str">
        <f t="shared" si="41"/>
        <v>6.재고과다/재고부족_재고금액PCTINV_LONG_TERM201401</v>
      </c>
      <c r="F1315" t="s">
        <v>265</v>
      </c>
      <c r="G1315" t="s">
        <v>20</v>
      </c>
      <c r="H1315" t="s">
        <v>307</v>
      </c>
      <c r="I1315" t="s">
        <v>254</v>
      </c>
      <c r="J1315" t="s">
        <v>22</v>
      </c>
      <c r="K1315" t="s">
        <v>183</v>
      </c>
      <c r="L1315">
        <v>0</v>
      </c>
      <c r="M1315" t="s">
        <v>65</v>
      </c>
      <c r="N1315" t="s">
        <v>65</v>
      </c>
    </row>
    <row r="1316" spans="1:14">
      <c r="A1316" t="str">
        <f t="shared" si="40"/>
        <v>6.재고과다/재고부족_재고금액PCTINV_LONG_TERM2014</v>
      </c>
      <c r="B1316" t="str">
        <f t="shared" si="41"/>
        <v>6.재고과다/재고부족_재고금액PCTINV_LONG_TERM201402</v>
      </c>
      <c r="F1316" t="s">
        <v>265</v>
      </c>
      <c r="G1316" t="s">
        <v>20</v>
      </c>
      <c r="H1316" t="s">
        <v>307</v>
      </c>
      <c r="I1316" t="s">
        <v>254</v>
      </c>
      <c r="J1316" t="s">
        <v>23</v>
      </c>
      <c r="K1316" t="s">
        <v>183</v>
      </c>
      <c r="L1316">
        <v>0</v>
      </c>
      <c r="M1316" t="s">
        <v>65</v>
      </c>
      <c r="N1316" t="s">
        <v>65</v>
      </c>
    </row>
    <row r="1317" spans="1:14">
      <c r="A1317" t="str">
        <f t="shared" si="40"/>
        <v>6.재고과다/재고부족_재고금액PCTINV_LONG_TERM2014</v>
      </c>
      <c r="B1317" t="str">
        <f t="shared" si="41"/>
        <v>6.재고과다/재고부족_재고금액PCTINV_LONG_TERM201406</v>
      </c>
      <c r="F1317" t="s">
        <v>265</v>
      </c>
      <c r="G1317" t="s">
        <v>20</v>
      </c>
      <c r="H1317" t="s">
        <v>307</v>
      </c>
      <c r="I1317" t="s">
        <v>254</v>
      </c>
      <c r="J1317" t="s">
        <v>27</v>
      </c>
      <c r="K1317" t="s">
        <v>183</v>
      </c>
      <c r="L1317">
        <v>0</v>
      </c>
      <c r="M1317" t="s">
        <v>65</v>
      </c>
      <c r="N1317" t="s">
        <v>65</v>
      </c>
    </row>
    <row r="1318" spans="1:14">
      <c r="A1318" t="str">
        <f t="shared" si="40"/>
        <v>6.재고과다/재고부족_재고금액PCTINV_LONG_TERM2014</v>
      </c>
      <c r="B1318" t="str">
        <f t="shared" si="41"/>
        <v>6.재고과다/재고부족_재고금액PCTINV_LONG_TERM201407</v>
      </c>
      <c r="F1318" t="s">
        <v>265</v>
      </c>
      <c r="G1318" t="s">
        <v>20</v>
      </c>
      <c r="H1318" t="s">
        <v>307</v>
      </c>
      <c r="I1318" t="s">
        <v>254</v>
      </c>
      <c r="J1318" t="s">
        <v>28</v>
      </c>
      <c r="K1318" t="s">
        <v>183</v>
      </c>
      <c r="L1318">
        <v>0</v>
      </c>
      <c r="M1318" t="s">
        <v>65</v>
      </c>
      <c r="N1318" t="s">
        <v>65</v>
      </c>
    </row>
    <row r="1319" spans="1:14">
      <c r="A1319" t="str">
        <f t="shared" si="40"/>
        <v>6.재고과다/재고부족_재고금액PCTINV_LONG_TERM2014</v>
      </c>
      <c r="B1319" t="str">
        <f t="shared" si="41"/>
        <v>6.재고과다/재고부족_재고금액PCTINV_LONG_TERM201408</v>
      </c>
      <c r="F1319" t="s">
        <v>265</v>
      </c>
      <c r="G1319" t="s">
        <v>20</v>
      </c>
      <c r="H1319" t="s">
        <v>307</v>
      </c>
      <c r="I1319" t="s">
        <v>254</v>
      </c>
      <c r="J1319" t="s">
        <v>29</v>
      </c>
      <c r="K1319" t="s">
        <v>183</v>
      </c>
      <c r="L1319">
        <v>0</v>
      </c>
      <c r="M1319" t="s">
        <v>65</v>
      </c>
      <c r="N1319" t="s">
        <v>65</v>
      </c>
    </row>
    <row r="1320" spans="1:14">
      <c r="A1320" t="str">
        <f t="shared" si="40"/>
        <v>6.재고과다/재고부족_재고금액PCTINV_LONG_TERM2014</v>
      </c>
      <c r="B1320" t="str">
        <f t="shared" si="41"/>
        <v>6.재고과다/재고부족_재고금액PCTINV_LONG_TERM201409</v>
      </c>
      <c r="F1320" t="s">
        <v>265</v>
      </c>
      <c r="G1320" t="s">
        <v>20</v>
      </c>
      <c r="H1320" t="s">
        <v>307</v>
      </c>
      <c r="I1320" t="s">
        <v>254</v>
      </c>
      <c r="J1320" t="s">
        <v>30</v>
      </c>
      <c r="K1320" t="s">
        <v>183</v>
      </c>
      <c r="L1320">
        <v>313.63829925756698</v>
      </c>
      <c r="M1320" t="s">
        <v>65</v>
      </c>
      <c r="N1320" t="s">
        <v>65</v>
      </c>
    </row>
    <row r="1321" spans="1:14">
      <c r="A1321" t="str">
        <f t="shared" si="40"/>
        <v>6.재고과다/재고부족_재고금액PCTINV_LONG_TERM2014</v>
      </c>
      <c r="B1321" t="str">
        <f t="shared" si="41"/>
        <v>6.재고과다/재고부족_재고금액PCTINV_LONG_TERM201410</v>
      </c>
      <c r="F1321" t="s">
        <v>265</v>
      </c>
      <c r="G1321" t="s">
        <v>20</v>
      </c>
      <c r="H1321" t="s">
        <v>307</v>
      </c>
      <c r="I1321" t="s">
        <v>254</v>
      </c>
      <c r="J1321" t="s">
        <v>31</v>
      </c>
      <c r="K1321" t="s">
        <v>183</v>
      </c>
      <c r="L1321">
        <v>308.81259165085402</v>
      </c>
      <c r="M1321" t="s">
        <v>65</v>
      </c>
      <c r="N1321" t="s">
        <v>65</v>
      </c>
    </row>
    <row r="1322" spans="1:14">
      <c r="A1322" t="str">
        <f t="shared" si="40"/>
        <v>6.재고과다/재고부족_재고금액PCTINV_LONG_TERM2014</v>
      </c>
      <c r="B1322" t="str">
        <f t="shared" si="41"/>
        <v>6.재고과다/재고부족_재고금액PCTINV_LONG_TERM201411</v>
      </c>
      <c r="F1322" t="s">
        <v>265</v>
      </c>
      <c r="G1322" t="s">
        <v>20</v>
      </c>
      <c r="H1322" t="s">
        <v>307</v>
      </c>
      <c r="I1322" t="s">
        <v>254</v>
      </c>
      <c r="J1322" t="s">
        <v>32</v>
      </c>
      <c r="K1322" t="s">
        <v>183</v>
      </c>
      <c r="L1322">
        <v>303.57976641540301</v>
      </c>
      <c r="M1322" t="s">
        <v>65</v>
      </c>
      <c r="N1322" t="s">
        <v>65</v>
      </c>
    </row>
    <row r="1323" spans="1:14">
      <c r="A1323" t="str">
        <f t="shared" si="40"/>
        <v>6.재고과다/재고부족_재고금액PCTINV_LONG_TERM2014</v>
      </c>
      <c r="B1323" t="str">
        <f t="shared" si="41"/>
        <v>6.재고과다/재고부족_재고금액PCTINV_LONG_TERM201412</v>
      </c>
      <c r="F1323" t="s">
        <v>265</v>
      </c>
      <c r="G1323" t="s">
        <v>20</v>
      </c>
      <c r="H1323" t="s">
        <v>307</v>
      </c>
      <c r="I1323" t="s">
        <v>254</v>
      </c>
      <c r="J1323" t="s">
        <v>33</v>
      </c>
      <c r="K1323" t="s">
        <v>183</v>
      </c>
      <c r="L1323">
        <v>300.45264519650698</v>
      </c>
      <c r="M1323" t="s">
        <v>65</v>
      </c>
      <c r="N1323" t="s">
        <v>65</v>
      </c>
    </row>
    <row r="1324" spans="1:14">
      <c r="A1324" t="str">
        <f t="shared" si="40"/>
        <v>6.재고과다/재고부족_재고금액PCTINV_LONG_TERM2015</v>
      </c>
      <c r="B1324" t="str">
        <f t="shared" si="41"/>
        <v>6.재고과다/재고부족_재고금액PCTINV_LONG_TERM201501</v>
      </c>
      <c r="F1324" t="s">
        <v>265</v>
      </c>
      <c r="G1324" t="s">
        <v>20</v>
      </c>
      <c r="H1324" t="s">
        <v>307</v>
      </c>
      <c r="I1324" t="s">
        <v>260</v>
      </c>
      <c r="J1324" t="s">
        <v>34</v>
      </c>
      <c r="K1324" t="s">
        <v>183</v>
      </c>
      <c r="L1324">
        <v>291.08739383938399</v>
      </c>
      <c r="M1324" t="s">
        <v>65</v>
      </c>
      <c r="N1324" t="s">
        <v>65</v>
      </c>
    </row>
    <row r="1325" spans="1:14">
      <c r="A1325" t="str">
        <f t="shared" si="40"/>
        <v>6.재고과다/재고부족_재고금액PCTINV_LONG_TERM2015</v>
      </c>
      <c r="B1325" t="str">
        <f t="shared" si="41"/>
        <v>6.재고과다/재고부족_재고금액PCTINV_LONG_TERM201503</v>
      </c>
      <c r="F1325" t="s">
        <v>265</v>
      </c>
      <c r="G1325" t="s">
        <v>20</v>
      </c>
      <c r="H1325" t="s">
        <v>307</v>
      </c>
      <c r="I1325" t="s">
        <v>260</v>
      </c>
      <c r="J1325" t="s">
        <v>36</v>
      </c>
      <c r="K1325" t="s">
        <v>183</v>
      </c>
      <c r="L1325">
        <v>0</v>
      </c>
      <c r="M1325" t="s">
        <v>65</v>
      </c>
      <c r="N1325" t="s">
        <v>65</v>
      </c>
    </row>
    <row r="1326" spans="1:14">
      <c r="A1326" t="str">
        <f t="shared" si="40"/>
        <v>6.재고과다/재고부족_재고금액PHTINV_LONG_TERM2014</v>
      </c>
      <c r="B1326" t="str">
        <f t="shared" si="41"/>
        <v>6.재고과다/재고부족_재고금액PHTINV_LONG_TERM201401</v>
      </c>
      <c r="F1326" t="s">
        <v>265</v>
      </c>
      <c r="G1326" t="s">
        <v>310</v>
      </c>
      <c r="H1326" t="s">
        <v>307</v>
      </c>
      <c r="I1326" t="s">
        <v>254</v>
      </c>
      <c r="J1326" t="s">
        <v>22</v>
      </c>
      <c r="K1326" t="s">
        <v>183</v>
      </c>
      <c r="L1326">
        <v>0</v>
      </c>
      <c r="M1326" t="s">
        <v>319</v>
      </c>
      <c r="N1326" t="s">
        <v>319</v>
      </c>
    </row>
    <row r="1327" spans="1:14">
      <c r="A1327" t="str">
        <f t="shared" si="40"/>
        <v>6.재고과다/재고부족_재고금액PHTINV_LONG_TERM2014</v>
      </c>
      <c r="B1327" t="str">
        <f t="shared" si="41"/>
        <v>6.재고과다/재고부족_재고금액PHTINV_LONG_TERM201402</v>
      </c>
      <c r="F1327" t="s">
        <v>265</v>
      </c>
      <c r="G1327" t="s">
        <v>310</v>
      </c>
      <c r="H1327" t="s">
        <v>307</v>
      </c>
      <c r="I1327" t="s">
        <v>254</v>
      </c>
      <c r="J1327" t="s">
        <v>23</v>
      </c>
      <c r="K1327" t="s">
        <v>183</v>
      </c>
      <c r="L1327">
        <v>0</v>
      </c>
      <c r="M1327" t="s">
        <v>319</v>
      </c>
      <c r="N1327" t="s">
        <v>319</v>
      </c>
    </row>
    <row r="1328" spans="1:14">
      <c r="A1328" t="str">
        <f t="shared" si="40"/>
        <v>6.재고과다/재고부족_재고금액PHTINV_LONG_TERM2014</v>
      </c>
      <c r="B1328" t="str">
        <f t="shared" si="41"/>
        <v>6.재고과다/재고부족_재고금액PHTINV_LONG_TERM201403</v>
      </c>
      <c r="F1328" t="s">
        <v>265</v>
      </c>
      <c r="G1328" t="s">
        <v>310</v>
      </c>
      <c r="H1328" t="s">
        <v>307</v>
      </c>
      <c r="I1328" t="s">
        <v>254</v>
      </c>
      <c r="J1328" t="s">
        <v>24</v>
      </c>
      <c r="K1328" t="s">
        <v>183</v>
      </c>
      <c r="L1328">
        <v>0</v>
      </c>
      <c r="M1328" t="s">
        <v>319</v>
      </c>
      <c r="N1328" t="s">
        <v>319</v>
      </c>
    </row>
    <row r="1329" spans="1:14">
      <c r="A1329" t="str">
        <f t="shared" si="40"/>
        <v>6.재고과다/재고부족_재고금액PHTINV_LONG_TERM2014</v>
      </c>
      <c r="B1329" t="str">
        <f t="shared" si="41"/>
        <v>6.재고과다/재고부족_재고금액PHTINV_LONG_TERM201404</v>
      </c>
      <c r="F1329" t="s">
        <v>265</v>
      </c>
      <c r="G1329" t="s">
        <v>310</v>
      </c>
      <c r="H1329" t="s">
        <v>307</v>
      </c>
      <c r="I1329" t="s">
        <v>254</v>
      </c>
      <c r="J1329" t="s">
        <v>25</v>
      </c>
      <c r="K1329" t="s">
        <v>183</v>
      </c>
      <c r="L1329">
        <v>13249.825161577999</v>
      </c>
      <c r="M1329" t="s">
        <v>319</v>
      </c>
      <c r="N1329" t="s">
        <v>319</v>
      </c>
    </row>
    <row r="1330" spans="1:14">
      <c r="A1330" t="str">
        <f t="shared" si="40"/>
        <v>6.재고과다/재고부족_재고금액PHTINV_LONG_TERM2014</v>
      </c>
      <c r="B1330" t="str">
        <f t="shared" si="41"/>
        <v>6.재고과다/재고부족_재고금액PHTINV_LONG_TERM201405</v>
      </c>
      <c r="F1330" t="s">
        <v>265</v>
      </c>
      <c r="G1330" t="s">
        <v>310</v>
      </c>
      <c r="H1330" t="s">
        <v>307</v>
      </c>
      <c r="I1330" t="s">
        <v>254</v>
      </c>
      <c r="J1330" t="s">
        <v>26</v>
      </c>
      <c r="K1330" t="s">
        <v>183</v>
      </c>
      <c r="L1330">
        <v>9137.80635552075</v>
      </c>
      <c r="M1330" t="s">
        <v>319</v>
      </c>
      <c r="N1330" t="s">
        <v>319</v>
      </c>
    </row>
    <row r="1331" spans="1:14">
      <c r="A1331" t="str">
        <f t="shared" si="40"/>
        <v>6.재고과다/재고부족_재고금액PHTINV_LONG_TERM2014</v>
      </c>
      <c r="B1331" t="str">
        <f t="shared" si="41"/>
        <v>6.재고과다/재고부족_재고금액PHTINV_LONG_TERM201406</v>
      </c>
      <c r="F1331" t="s">
        <v>265</v>
      </c>
      <c r="G1331" t="s">
        <v>310</v>
      </c>
      <c r="H1331" t="s">
        <v>307</v>
      </c>
      <c r="I1331" t="s">
        <v>254</v>
      </c>
      <c r="J1331" t="s">
        <v>27</v>
      </c>
      <c r="K1331" t="s">
        <v>183</v>
      </c>
      <c r="L1331">
        <v>218.17160331230301</v>
      </c>
      <c r="M1331" t="s">
        <v>319</v>
      </c>
      <c r="N1331" t="s">
        <v>319</v>
      </c>
    </row>
    <row r="1332" spans="1:14">
      <c r="A1332" t="str">
        <f t="shared" si="40"/>
        <v>6.재고과다/재고부족_재고금액PHTINV_LONG_TERM2014</v>
      </c>
      <c r="B1332" t="str">
        <f t="shared" si="41"/>
        <v>6.재고과다/재고부족_재고금액PHTINV_LONG_TERM201407</v>
      </c>
      <c r="F1332" t="s">
        <v>265</v>
      </c>
      <c r="G1332" t="s">
        <v>310</v>
      </c>
      <c r="H1332" t="s">
        <v>307</v>
      </c>
      <c r="I1332" t="s">
        <v>254</v>
      </c>
      <c r="J1332" t="s">
        <v>28</v>
      </c>
      <c r="K1332" t="s">
        <v>183</v>
      </c>
      <c r="L1332">
        <v>887.61544469393698</v>
      </c>
      <c r="M1332" t="s">
        <v>319</v>
      </c>
      <c r="N1332" t="s">
        <v>319</v>
      </c>
    </row>
    <row r="1333" spans="1:14">
      <c r="A1333" t="str">
        <f t="shared" si="40"/>
        <v>6.재고과다/재고부족_재고금액PHTINV_LONG_TERM2014</v>
      </c>
      <c r="B1333" t="str">
        <f t="shared" si="41"/>
        <v>6.재고과다/재고부족_재고금액PHTINV_LONG_TERM201408</v>
      </c>
      <c r="F1333" t="s">
        <v>265</v>
      </c>
      <c r="G1333" t="s">
        <v>310</v>
      </c>
      <c r="H1333" t="s">
        <v>307</v>
      </c>
      <c r="I1333" t="s">
        <v>254</v>
      </c>
      <c r="J1333" t="s">
        <v>29</v>
      </c>
      <c r="K1333" t="s">
        <v>183</v>
      </c>
      <c r="L1333">
        <v>174.17921270718199</v>
      </c>
      <c r="M1333" t="s">
        <v>319</v>
      </c>
      <c r="N1333" t="s">
        <v>319</v>
      </c>
    </row>
    <row r="1334" spans="1:14">
      <c r="A1334" t="str">
        <f t="shared" si="40"/>
        <v>6.재고과다/재고부족_재고금액PHTINV_LONG_TERM2014</v>
      </c>
      <c r="B1334" t="str">
        <f t="shared" si="41"/>
        <v>6.재고과다/재고부족_재고금액PHTINV_LONG_TERM201409</v>
      </c>
      <c r="F1334" t="s">
        <v>265</v>
      </c>
      <c r="G1334" t="s">
        <v>310</v>
      </c>
      <c r="H1334" t="s">
        <v>307</v>
      </c>
      <c r="I1334" t="s">
        <v>254</v>
      </c>
      <c r="J1334" t="s">
        <v>30</v>
      </c>
      <c r="K1334" t="s">
        <v>183</v>
      </c>
      <c r="L1334">
        <v>78.133427565200805</v>
      </c>
      <c r="M1334" t="s">
        <v>319</v>
      </c>
      <c r="N1334" t="s">
        <v>319</v>
      </c>
    </row>
    <row r="1335" spans="1:14">
      <c r="A1335" t="str">
        <f t="shared" si="40"/>
        <v>6.재고과다/재고부족_재고금액PHTINV_LONG_TERM2014</v>
      </c>
      <c r="B1335" t="str">
        <f t="shared" si="41"/>
        <v>6.재고과다/재고부족_재고금액PHTINV_LONG_TERM201410</v>
      </c>
      <c r="F1335" t="s">
        <v>265</v>
      </c>
      <c r="G1335" t="s">
        <v>310</v>
      </c>
      <c r="H1335" t="s">
        <v>307</v>
      </c>
      <c r="I1335" t="s">
        <v>254</v>
      </c>
      <c r="J1335" t="s">
        <v>31</v>
      </c>
      <c r="K1335" t="s">
        <v>183</v>
      </c>
      <c r="L1335">
        <v>16203.720402941201</v>
      </c>
      <c r="M1335" t="s">
        <v>319</v>
      </c>
      <c r="N1335" t="s">
        <v>319</v>
      </c>
    </row>
    <row r="1336" spans="1:14">
      <c r="A1336" t="str">
        <f t="shared" si="40"/>
        <v>6.재고과다/재고부족_재고금액PHTINV_LONG_TERM2014</v>
      </c>
      <c r="B1336" t="str">
        <f t="shared" si="41"/>
        <v>6.재고과다/재고부족_재고금액PHTINV_LONG_TERM201411</v>
      </c>
      <c r="F1336" t="s">
        <v>265</v>
      </c>
      <c r="G1336" t="s">
        <v>310</v>
      </c>
      <c r="H1336" t="s">
        <v>307</v>
      </c>
      <c r="I1336" t="s">
        <v>254</v>
      </c>
      <c r="J1336" t="s">
        <v>32</v>
      </c>
      <c r="K1336" t="s">
        <v>183</v>
      </c>
      <c r="L1336">
        <v>0</v>
      </c>
      <c r="M1336" t="s">
        <v>319</v>
      </c>
      <c r="N1336" t="s">
        <v>319</v>
      </c>
    </row>
    <row r="1337" spans="1:14">
      <c r="A1337" t="str">
        <f t="shared" si="40"/>
        <v>6.재고과다/재고부족_재고금액PHTINV_LONG_TERM2014</v>
      </c>
      <c r="B1337" t="str">
        <f t="shared" si="41"/>
        <v>6.재고과다/재고부족_재고금액PHTINV_LONG_TERM201412</v>
      </c>
      <c r="F1337" t="s">
        <v>265</v>
      </c>
      <c r="G1337" t="s">
        <v>310</v>
      </c>
      <c r="H1337" t="s">
        <v>307</v>
      </c>
      <c r="I1337" t="s">
        <v>254</v>
      </c>
      <c r="J1337" t="s">
        <v>33</v>
      </c>
      <c r="K1337" t="s">
        <v>183</v>
      </c>
      <c r="L1337">
        <v>0</v>
      </c>
      <c r="M1337" t="s">
        <v>319</v>
      </c>
      <c r="N1337" t="s">
        <v>319</v>
      </c>
    </row>
    <row r="1338" spans="1:14">
      <c r="A1338" t="str">
        <f t="shared" si="40"/>
        <v>6.재고과다/재고부족_재고금액PHTINV_LONG_TERM2015</v>
      </c>
      <c r="B1338" t="str">
        <f t="shared" si="41"/>
        <v>6.재고과다/재고부족_재고금액PHTINV_LONG_TERM201501</v>
      </c>
      <c r="F1338" t="s">
        <v>265</v>
      </c>
      <c r="G1338" t="s">
        <v>310</v>
      </c>
      <c r="H1338" t="s">
        <v>307</v>
      </c>
      <c r="I1338" t="s">
        <v>260</v>
      </c>
      <c r="J1338" t="s">
        <v>34</v>
      </c>
      <c r="K1338" t="s">
        <v>183</v>
      </c>
      <c r="L1338">
        <v>1927.6021902273601</v>
      </c>
      <c r="M1338" t="s">
        <v>319</v>
      </c>
      <c r="N1338" t="s">
        <v>319</v>
      </c>
    </row>
    <row r="1339" spans="1:14">
      <c r="A1339" t="str">
        <f t="shared" si="40"/>
        <v>6.재고과다/재고부족_재고금액PHTINV_LONG_TERM2015</v>
      </c>
      <c r="B1339" t="str">
        <f t="shared" si="41"/>
        <v>6.재고과다/재고부족_재고금액PHTINV_LONG_TERM201502</v>
      </c>
      <c r="F1339" t="s">
        <v>265</v>
      </c>
      <c r="G1339" t="s">
        <v>310</v>
      </c>
      <c r="H1339" t="s">
        <v>307</v>
      </c>
      <c r="I1339" t="s">
        <v>260</v>
      </c>
      <c r="J1339" t="s">
        <v>35</v>
      </c>
      <c r="K1339" t="s">
        <v>183</v>
      </c>
      <c r="L1339">
        <v>177.31536981440999</v>
      </c>
      <c r="M1339" t="s">
        <v>319</v>
      </c>
      <c r="N1339" t="s">
        <v>319</v>
      </c>
    </row>
    <row r="1340" spans="1:14">
      <c r="A1340" t="str">
        <f t="shared" si="40"/>
        <v>6.재고과다/재고부족_재고금액PHTINV_LONG_TERM2015</v>
      </c>
      <c r="B1340" t="str">
        <f t="shared" si="41"/>
        <v>6.재고과다/재고부족_재고금액PHTINV_LONG_TERM201503</v>
      </c>
      <c r="F1340" t="s">
        <v>265</v>
      </c>
      <c r="G1340" t="s">
        <v>310</v>
      </c>
      <c r="H1340" t="s">
        <v>307</v>
      </c>
      <c r="I1340" t="s">
        <v>260</v>
      </c>
      <c r="J1340" t="s">
        <v>36</v>
      </c>
      <c r="K1340" t="s">
        <v>183</v>
      </c>
      <c r="L1340">
        <v>0</v>
      </c>
      <c r="M1340" t="s">
        <v>319</v>
      </c>
      <c r="N1340" t="s">
        <v>319</v>
      </c>
    </row>
    <row r="1341" spans="1:14">
      <c r="A1341" t="str">
        <f t="shared" si="40"/>
        <v>6.재고과다/재고부족_재고금액PHTINV_LONG_TERM2015</v>
      </c>
      <c r="B1341" t="str">
        <f t="shared" si="41"/>
        <v>6.재고과다/재고부족_재고금액PHTINV_LONG_TERM201504</v>
      </c>
      <c r="F1341" t="s">
        <v>265</v>
      </c>
      <c r="G1341" t="s">
        <v>310</v>
      </c>
      <c r="H1341" t="s">
        <v>307</v>
      </c>
      <c r="I1341" t="s">
        <v>260</v>
      </c>
      <c r="J1341" t="s">
        <v>37</v>
      </c>
      <c r="K1341" t="s">
        <v>183</v>
      </c>
      <c r="L1341">
        <v>0</v>
      </c>
      <c r="M1341" t="s">
        <v>319</v>
      </c>
      <c r="N1341" t="s">
        <v>319</v>
      </c>
    </row>
    <row r="1342" spans="1:14">
      <c r="A1342" t="str">
        <f t="shared" si="40"/>
        <v>6.재고과다/재고부족_재고금액PHTINV_LONG_TERM2015</v>
      </c>
      <c r="B1342" t="str">
        <f t="shared" si="41"/>
        <v>6.재고과다/재고부족_재고금액PHTINV_LONG_TERM201505</v>
      </c>
      <c r="F1342" t="s">
        <v>265</v>
      </c>
      <c r="G1342" t="s">
        <v>310</v>
      </c>
      <c r="H1342" t="s">
        <v>307</v>
      </c>
      <c r="I1342" t="s">
        <v>260</v>
      </c>
      <c r="J1342" t="s">
        <v>38</v>
      </c>
      <c r="K1342" t="s">
        <v>183</v>
      </c>
      <c r="L1342">
        <v>0</v>
      </c>
      <c r="M1342" t="s">
        <v>319</v>
      </c>
      <c r="N1342" t="s">
        <v>319</v>
      </c>
    </row>
    <row r="1343" spans="1:14">
      <c r="A1343" t="str">
        <f t="shared" si="40"/>
        <v>6.재고과다/재고부족_재고금액PHTINV_LONG_TERM2015</v>
      </c>
      <c r="B1343" t="str">
        <f t="shared" si="41"/>
        <v>6.재고과다/재고부족_재고금액PHTINV_LONG_TERM201506</v>
      </c>
      <c r="F1343" t="s">
        <v>265</v>
      </c>
      <c r="G1343" t="s">
        <v>310</v>
      </c>
      <c r="H1343" t="s">
        <v>307</v>
      </c>
      <c r="I1343" t="s">
        <v>260</v>
      </c>
      <c r="J1343" t="s">
        <v>39</v>
      </c>
      <c r="K1343" t="s">
        <v>183</v>
      </c>
      <c r="L1343">
        <v>0</v>
      </c>
      <c r="M1343" t="s">
        <v>319</v>
      </c>
      <c r="N1343" t="s">
        <v>319</v>
      </c>
    </row>
    <row r="1344" spans="1:14">
      <c r="A1344" t="str">
        <f t="shared" si="40"/>
        <v>6.재고과다/재고부족_재고금액PHTINV_LONG_TERM2015</v>
      </c>
      <c r="B1344" t="str">
        <f t="shared" si="41"/>
        <v>6.재고과다/재고부족_재고금액PHTINV_LONG_TERM201507</v>
      </c>
      <c r="F1344" t="s">
        <v>265</v>
      </c>
      <c r="G1344" t="s">
        <v>310</v>
      </c>
      <c r="H1344" t="s">
        <v>307</v>
      </c>
      <c r="I1344" t="s">
        <v>260</v>
      </c>
      <c r="J1344" t="s">
        <v>40</v>
      </c>
      <c r="K1344" t="s">
        <v>183</v>
      </c>
      <c r="L1344">
        <v>0</v>
      </c>
      <c r="M1344" t="s">
        <v>319</v>
      </c>
      <c r="N1344" t="s">
        <v>319</v>
      </c>
    </row>
    <row r="1345" spans="1:14">
      <c r="A1345" t="str">
        <f t="shared" si="40"/>
        <v>6.재고과다/재고부족_재고금액PHTINV_LONG_TERM2015</v>
      </c>
      <c r="B1345" t="str">
        <f t="shared" si="41"/>
        <v>6.재고과다/재고부족_재고금액PHTINV_LONG_TERM201508</v>
      </c>
      <c r="F1345" t="s">
        <v>265</v>
      </c>
      <c r="G1345" t="s">
        <v>310</v>
      </c>
      <c r="H1345" t="s">
        <v>307</v>
      </c>
      <c r="I1345" t="s">
        <v>260</v>
      </c>
      <c r="J1345" t="s">
        <v>41</v>
      </c>
      <c r="K1345" t="s">
        <v>183</v>
      </c>
      <c r="L1345">
        <v>0</v>
      </c>
      <c r="M1345" t="s">
        <v>319</v>
      </c>
      <c r="N1345" t="s">
        <v>319</v>
      </c>
    </row>
    <row r="1346" spans="1:14">
      <c r="A1346" t="str">
        <f t="shared" si="40"/>
        <v>6.재고과다/재고부족_재고금액PHTINV_LONG_TERM2015</v>
      </c>
      <c r="B1346" t="str">
        <f t="shared" si="41"/>
        <v>6.재고과다/재고부족_재고금액PHTINV_LONG_TERM201509</v>
      </c>
      <c r="F1346" t="s">
        <v>265</v>
      </c>
      <c r="G1346" t="s">
        <v>310</v>
      </c>
      <c r="H1346" t="s">
        <v>307</v>
      </c>
      <c r="I1346" t="s">
        <v>260</v>
      </c>
      <c r="J1346" t="s">
        <v>42</v>
      </c>
      <c r="K1346" t="s">
        <v>183</v>
      </c>
      <c r="L1346">
        <v>143.32995948095399</v>
      </c>
      <c r="M1346" t="s">
        <v>319</v>
      </c>
      <c r="N1346" t="s">
        <v>319</v>
      </c>
    </row>
    <row r="1347" spans="1:14">
      <c r="A1347" t="str">
        <f t="shared" si="40"/>
        <v>6.재고과다/재고부족_재고금액PHTINV_LONG_TERM2015</v>
      </c>
      <c r="B1347" t="str">
        <f t="shared" si="41"/>
        <v>6.재고과다/재고부족_재고금액PHTINV_LONG_TERM201510</v>
      </c>
      <c r="F1347" t="s">
        <v>265</v>
      </c>
      <c r="G1347" t="s">
        <v>310</v>
      </c>
      <c r="H1347" t="s">
        <v>307</v>
      </c>
      <c r="I1347" t="s">
        <v>260</v>
      </c>
      <c r="J1347" t="s">
        <v>1</v>
      </c>
      <c r="K1347" t="s">
        <v>183</v>
      </c>
      <c r="L1347">
        <v>144.86272835507299</v>
      </c>
      <c r="M1347" t="s">
        <v>319</v>
      </c>
      <c r="N1347" t="s">
        <v>319</v>
      </c>
    </row>
    <row r="1348" spans="1:14">
      <c r="A1348" t="str">
        <f t="shared" si="40"/>
        <v>6.재고과다/재고부족_재고금액PJTINV_LONG_TERM2014</v>
      </c>
      <c r="B1348" t="str">
        <f t="shared" si="41"/>
        <v>6.재고과다/재고부족_재고금액PJTINV_LONG_TERM201401</v>
      </c>
      <c r="F1348" t="s">
        <v>265</v>
      </c>
      <c r="G1348" t="s">
        <v>311</v>
      </c>
      <c r="H1348" t="s">
        <v>307</v>
      </c>
      <c r="I1348" t="s">
        <v>254</v>
      </c>
      <c r="J1348" t="s">
        <v>22</v>
      </c>
      <c r="K1348" t="s">
        <v>183</v>
      </c>
      <c r="L1348">
        <v>0</v>
      </c>
      <c r="M1348" t="s">
        <v>320</v>
      </c>
      <c r="N1348" t="s">
        <v>320</v>
      </c>
    </row>
    <row r="1349" spans="1:14">
      <c r="A1349" t="str">
        <f t="shared" si="40"/>
        <v>6.재고과다/재고부족_재고금액PJTINV_LONG_TERM2014</v>
      </c>
      <c r="B1349" t="str">
        <f t="shared" si="41"/>
        <v>6.재고과다/재고부족_재고금액PJTINV_LONG_TERM201402</v>
      </c>
      <c r="F1349" t="s">
        <v>265</v>
      </c>
      <c r="G1349" t="s">
        <v>311</v>
      </c>
      <c r="H1349" t="s">
        <v>307</v>
      </c>
      <c r="I1349" t="s">
        <v>254</v>
      </c>
      <c r="J1349" t="s">
        <v>23</v>
      </c>
      <c r="K1349" t="s">
        <v>183</v>
      </c>
      <c r="L1349">
        <v>0</v>
      </c>
      <c r="M1349" t="s">
        <v>320</v>
      </c>
      <c r="N1349" t="s">
        <v>320</v>
      </c>
    </row>
    <row r="1350" spans="1:14">
      <c r="A1350" t="str">
        <f t="shared" si="40"/>
        <v>6.재고과다/재고부족_재고금액PJTINV_LONG_TERM2014</v>
      </c>
      <c r="B1350" t="str">
        <f t="shared" si="41"/>
        <v>6.재고과다/재고부족_재고금액PJTINV_LONG_TERM201403</v>
      </c>
      <c r="F1350" t="s">
        <v>265</v>
      </c>
      <c r="G1350" t="s">
        <v>311</v>
      </c>
      <c r="H1350" t="s">
        <v>307</v>
      </c>
      <c r="I1350" t="s">
        <v>254</v>
      </c>
      <c r="J1350" t="s">
        <v>24</v>
      </c>
      <c r="K1350" t="s">
        <v>183</v>
      </c>
      <c r="L1350">
        <v>0</v>
      </c>
      <c r="M1350" t="s">
        <v>320</v>
      </c>
      <c r="N1350" t="s">
        <v>320</v>
      </c>
    </row>
    <row r="1351" spans="1:14">
      <c r="A1351" t="str">
        <f t="shared" ref="A1351:A1414" si="42">F1351&amp;G1351&amp;K1351&amp;I1351</f>
        <v>6.재고과다/재고부족_재고금액PJTINV_LONG_TERM2014</v>
      </c>
      <c r="B1351" t="str">
        <f t="shared" ref="B1351:B1414" si="43">F1351&amp;G1351&amp;K1351&amp;J1351</f>
        <v>6.재고과다/재고부족_재고금액PJTINV_LONG_TERM201404</v>
      </c>
      <c r="F1351" t="s">
        <v>265</v>
      </c>
      <c r="G1351" t="s">
        <v>311</v>
      </c>
      <c r="H1351" t="s">
        <v>307</v>
      </c>
      <c r="I1351" t="s">
        <v>254</v>
      </c>
      <c r="J1351" t="s">
        <v>25</v>
      </c>
      <c r="K1351" t="s">
        <v>183</v>
      </c>
      <c r="L1351">
        <v>0</v>
      </c>
      <c r="M1351" t="s">
        <v>320</v>
      </c>
      <c r="N1351" t="s">
        <v>320</v>
      </c>
    </row>
    <row r="1352" spans="1:14">
      <c r="A1352" t="str">
        <f t="shared" si="42"/>
        <v>6.재고과다/재고부족_재고금액PJTINV_LONG_TERM2014</v>
      </c>
      <c r="B1352" t="str">
        <f t="shared" si="43"/>
        <v>6.재고과다/재고부족_재고금액PJTINV_LONG_TERM201405</v>
      </c>
      <c r="F1352" t="s">
        <v>265</v>
      </c>
      <c r="G1352" t="s">
        <v>311</v>
      </c>
      <c r="H1352" t="s">
        <v>307</v>
      </c>
      <c r="I1352" t="s">
        <v>254</v>
      </c>
      <c r="J1352" t="s">
        <v>26</v>
      </c>
      <c r="K1352" t="s">
        <v>183</v>
      </c>
      <c r="L1352">
        <v>0</v>
      </c>
      <c r="M1352" t="s">
        <v>320</v>
      </c>
      <c r="N1352" t="s">
        <v>320</v>
      </c>
    </row>
    <row r="1353" spans="1:14">
      <c r="A1353" t="str">
        <f t="shared" si="42"/>
        <v>6.재고과다/재고부족_재고금액PJTINV_LONG_TERM2014</v>
      </c>
      <c r="B1353" t="str">
        <f t="shared" si="43"/>
        <v>6.재고과다/재고부족_재고금액PJTINV_LONG_TERM201406</v>
      </c>
      <c r="F1353" t="s">
        <v>265</v>
      </c>
      <c r="G1353" t="s">
        <v>311</v>
      </c>
      <c r="H1353" t="s">
        <v>307</v>
      </c>
      <c r="I1353" t="s">
        <v>254</v>
      </c>
      <c r="J1353" t="s">
        <v>27</v>
      </c>
      <c r="K1353" t="s">
        <v>183</v>
      </c>
      <c r="L1353">
        <v>0</v>
      </c>
      <c r="M1353" t="s">
        <v>320</v>
      </c>
      <c r="N1353" t="s">
        <v>320</v>
      </c>
    </row>
    <row r="1354" spans="1:14">
      <c r="A1354" t="str">
        <f t="shared" si="42"/>
        <v>6.재고과다/재고부족_재고금액PJTINV_LONG_TERM2014</v>
      </c>
      <c r="B1354" t="str">
        <f t="shared" si="43"/>
        <v>6.재고과다/재고부족_재고금액PJTINV_LONG_TERM201407</v>
      </c>
      <c r="F1354" t="s">
        <v>265</v>
      </c>
      <c r="G1354" t="s">
        <v>311</v>
      </c>
      <c r="H1354" t="s">
        <v>307</v>
      </c>
      <c r="I1354" t="s">
        <v>254</v>
      </c>
      <c r="J1354" t="s">
        <v>28</v>
      </c>
      <c r="K1354" t="s">
        <v>183</v>
      </c>
      <c r="L1354">
        <v>0</v>
      </c>
      <c r="M1354" t="s">
        <v>320</v>
      </c>
      <c r="N1354" t="s">
        <v>320</v>
      </c>
    </row>
    <row r="1355" spans="1:14">
      <c r="A1355" t="str">
        <f t="shared" si="42"/>
        <v>6.재고과다/재고부족_재고금액PJTINV_LONG_TERM2014</v>
      </c>
      <c r="B1355" t="str">
        <f t="shared" si="43"/>
        <v>6.재고과다/재고부족_재고금액PJTINV_LONG_TERM201408</v>
      </c>
      <c r="F1355" t="s">
        <v>265</v>
      </c>
      <c r="G1355" t="s">
        <v>311</v>
      </c>
      <c r="H1355" t="s">
        <v>307</v>
      </c>
      <c r="I1355" t="s">
        <v>254</v>
      </c>
      <c r="J1355" t="s">
        <v>29</v>
      </c>
      <c r="K1355" t="s">
        <v>183</v>
      </c>
      <c r="L1355">
        <v>0</v>
      </c>
      <c r="M1355" t="s">
        <v>320</v>
      </c>
      <c r="N1355" t="s">
        <v>320</v>
      </c>
    </row>
    <row r="1356" spans="1:14">
      <c r="A1356" t="str">
        <f t="shared" si="42"/>
        <v>6.재고과다/재고부족_재고금액PJTINV_LONG_TERM2014</v>
      </c>
      <c r="B1356" t="str">
        <f t="shared" si="43"/>
        <v>6.재고과다/재고부족_재고금액PJTINV_LONG_TERM201409</v>
      </c>
      <c r="F1356" t="s">
        <v>265</v>
      </c>
      <c r="G1356" t="s">
        <v>311</v>
      </c>
      <c r="H1356" t="s">
        <v>307</v>
      </c>
      <c r="I1356" t="s">
        <v>254</v>
      </c>
      <c r="J1356" t="s">
        <v>30</v>
      </c>
      <c r="K1356" t="s">
        <v>183</v>
      </c>
      <c r="L1356">
        <v>0</v>
      </c>
      <c r="M1356" t="s">
        <v>320</v>
      </c>
      <c r="N1356" t="s">
        <v>320</v>
      </c>
    </row>
    <row r="1357" spans="1:14">
      <c r="A1357" t="str">
        <f t="shared" si="42"/>
        <v>6.재고과다/재고부족_재고금액PJTINV_LONG_TERM2014</v>
      </c>
      <c r="B1357" t="str">
        <f t="shared" si="43"/>
        <v>6.재고과다/재고부족_재고금액PJTINV_LONG_TERM201410</v>
      </c>
      <c r="F1357" t="s">
        <v>265</v>
      </c>
      <c r="G1357" t="s">
        <v>311</v>
      </c>
      <c r="H1357" t="s">
        <v>307</v>
      </c>
      <c r="I1357" t="s">
        <v>254</v>
      </c>
      <c r="J1357" t="s">
        <v>31</v>
      </c>
      <c r="K1357" t="s">
        <v>183</v>
      </c>
      <c r="L1357">
        <v>0</v>
      </c>
      <c r="M1357" t="s">
        <v>320</v>
      </c>
      <c r="N1357" t="s">
        <v>320</v>
      </c>
    </row>
    <row r="1358" spans="1:14">
      <c r="A1358" t="str">
        <f t="shared" si="42"/>
        <v>6.재고과다/재고부족_재고금액PJTINV_LONG_TERM2014</v>
      </c>
      <c r="B1358" t="str">
        <f t="shared" si="43"/>
        <v>6.재고과다/재고부족_재고금액PJTINV_LONG_TERM201411</v>
      </c>
      <c r="F1358" t="s">
        <v>265</v>
      </c>
      <c r="G1358" t="s">
        <v>311</v>
      </c>
      <c r="H1358" t="s">
        <v>307</v>
      </c>
      <c r="I1358" t="s">
        <v>254</v>
      </c>
      <c r="J1358" t="s">
        <v>32</v>
      </c>
      <c r="K1358" t="s">
        <v>183</v>
      </c>
      <c r="L1358">
        <v>0</v>
      </c>
      <c r="M1358" t="s">
        <v>320</v>
      </c>
      <c r="N1358" t="s">
        <v>320</v>
      </c>
    </row>
    <row r="1359" spans="1:14">
      <c r="A1359" t="str">
        <f t="shared" si="42"/>
        <v>6.재고과다/재고부족_재고금액PJTINV_LONG_TERM2014</v>
      </c>
      <c r="B1359" t="str">
        <f t="shared" si="43"/>
        <v>6.재고과다/재고부족_재고금액PJTINV_LONG_TERM201412</v>
      </c>
      <c r="F1359" t="s">
        <v>265</v>
      </c>
      <c r="G1359" t="s">
        <v>311</v>
      </c>
      <c r="H1359" t="s">
        <v>307</v>
      </c>
      <c r="I1359" t="s">
        <v>254</v>
      </c>
      <c r="J1359" t="s">
        <v>33</v>
      </c>
      <c r="K1359" t="s">
        <v>183</v>
      </c>
      <c r="L1359">
        <v>0</v>
      </c>
      <c r="M1359" t="s">
        <v>320</v>
      </c>
      <c r="N1359" t="s">
        <v>320</v>
      </c>
    </row>
    <row r="1360" spans="1:14">
      <c r="A1360" t="str">
        <f t="shared" si="42"/>
        <v>6.재고과다/재고부족_재고금액PJTINV_LONG_TERM2015</v>
      </c>
      <c r="B1360" t="str">
        <f t="shared" si="43"/>
        <v>6.재고과다/재고부족_재고금액PJTINV_LONG_TERM201501</v>
      </c>
      <c r="F1360" t="s">
        <v>265</v>
      </c>
      <c r="G1360" t="s">
        <v>311</v>
      </c>
      <c r="H1360" t="s">
        <v>307</v>
      </c>
      <c r="I1360" t="s">
        <v>260</v>
      </c>
      <c r="J1360" t="s">
        <v>34</v>
      </c>
      <c r="K1360" t="s">
        <v>183</v>
      </c>
      <c r="L1360">
        <v>0</v>
      </c>
      <c r="M1360" t="s">
        <v>320</v>
      </c>
      <c r="N1360" t="s">
        <v>320</v>
      </c>
    </row>
    <row r="1361" spans="1:14">
      <c r="A1361" t="str">
        <f t="shared" si="42"/>
        <v>6.재고과다/재고부족_재고금액PJTINV_LONG_TERM2015</v>
      </c>
      <c r="B1361" t="str">
        <f t="shared" si="43"/>
        <v>6.재고과다/재고부족_재고금액PJTINV_LONG_TERM201502</v>
      </c>
      <c r="F1361" t="s">
        <v>265</v>
      </c>
      <c r="G1361" t="s">
        <v>311</v>
      </c>
      <c r="H1361" t="s">
        <v>307</v>
      </c>
      <c r="I1361" t="s">
        <v>260</v>
      </c>
      <c r="J1361" t="s">
        <v>35</v>
      </c>
      <c r="K1361" t="s">
        <v>183</v>
      </c>
      <c r="L1361">
        <v>0</v>
      </c>
      <c r="M1361" t="s">
        <v>320</v>
      </c>
      <c r="N1361" t="s">
        <v>320</v>
      </c>
    </row>
    <row r="1362" spans="1:14">
      <c r="A1362" t="str">
        <f t="shared" si="42"/>
        <v>6.재고과다/재고부족_재고금액PJTINV_LONG_TERM2015</v>
      </c>
      <c r="B1362" t="str">
        <f t="shared" si="43"/>
        <v>6.재고과다/재고부족_재고금액PJTINV_LONG_TERM201503</v>
      </c>
      <c r="F1362" t="s">
        <v>265</v>
      </c>
      <c r="G1362" t="s">
        <v>311</v>
      </c>
      <c r="H1362" t="s">
        <v>307</v>
      </c>
      <c r="I1362" t="s">
        <v>260</v>
      </c>
      <c r="J1362" t="s">
        <v>36</v>
      </c>
      <c r="K1362" t="s">
        <v>183</v>
      </c>
      <c r="L1362">
        <v>0</v>
      </c>
      <c r="M1362" t="s">
        <v>320</v>
      </c>
      <c r="N1362" t="s">
        <v>320</v>
      </c>
    </row>
    <row r="1363" spans="1:14">
      <c r="A1363" t="str">
        <f t="shared" si="42"/>
        <v>6.재고과다/재고부족_재고금액PJTINV_LONG_TERM2015</v>
      </c>
      <c r="B1363" t="str">
        <f t="shared" si="43"/>
        <v>6.재고과다/재고부족_재고금액PJTINV_LONG_TERM201504</v>
      </c>
      <c r="F1363" t="s">
        <v>265</v>
      </c>
      <c r="G1363" t="s">
        <v>311</v>
      </c>
      <c r="H1363" t="s">
        <v>307</v>
      </c>
      <c r="I1363" t="s">
        <v>260</v>
      </c>
      <c r="J1363" t="s">
        <v>37</v>
      </c>
      <c r="K1363" t="s">
        <v>183</v>
      </c>
      <c r="L1363">
        <v>0</v>
      </c>
      <c r="M1363" t="s">
        <v>320</v>
      </c>
      <c r="N1363" t="s">
        <v>320</v>
      </c>
    </row>
    <row r="1364" spans="1:14">
      <c r="A1364" t="str">
        <f t="shared" si="42"/>
        <v>6.재고과다/재고부족_재고금액PJTINV_LONG_TERM2015</v>
      </c>
      <c r="B1364" t="str">
        <f t="shared" si="43"/>
        <v>6.재고과다/재고부족_재고금액PJTINV_LONG_TERM201505</v>
      </c>
      <c r="F1364" t="s">
        <v>265</v>
      </c>
      <c r="G1364" t="s">
        <v>311</v>
      </c>
      <c r="H1364" t="s">
        <v>307</v>
      </c>
      <c r="I1364" t="s">
        <v>260</v>
      </c>
      <c r="J1364" t="s">
        <v>38</v>
      </c>
      <c r="K1364" t="s">
        <v>183</v>
      </c>
      <c r="L1364">
        <v>0</v>
      </c>
      <c r="M1364" t="s">
        <v>320</v>
      </c>
      <c r="N1364" t="s">
        <v>320</v>
      </c>
    </row>
    <row r="1365" spans="1:14">
      <c r="A1365" t="str">
        <f t="shared" si="42"/>
        <v>6.재고과다/재고부족_재고금액PJTINV_LONG_TERM2015</v>
      </c>
      <c r="B1365" t="str">
        <f t="shared" si="43"/>
        <v>6.재고과다/재고부족_재고금액PJTINV_LONG_TERM201506</v>
      </c>
      <c r="F1365" t="s">
        <v>265</v>
      </c>
      <c r="G1365" t="s">
        <v>311</v>
      </c>
      <c r="H1365" t="s">
        <v>307</v>
      </c>
      <c r="I1365" t="s">
        <v>260</v>
      </c>
      <c r="J1365" t="s">
        <v>39</v>
      </c>
      <c r="K1365" t="s">
        <v>183</v>
      </c>
      <c r="L1365">
        <v>0</v>
      </c>
      <c r="M1365" t="s">
        <v>320</v>
      </c>
      <c r="N1365" t="s">
        <v>320</v>
      </c>
    </row>
    <row r="1366" spans="1:14">
      <c r="A1366" t="str">
        <f t="shared" si="42"/>
        <v>6.재고과다/재고부족_재고금액PJTINV_LONG_TERM2015</v>
      </c>
      <c r="B1366" t="str">
        <f t="shared" si="43"/>
        <v>6.재고과다/재고부족_재고금액PJTINV_LONG_TERM201507</v>
      </c>
      <c r="F1366" t="s">
        <v>265</v>
      </c>
      <c r="G1366" t="s">
        <v>311</v>
      </c>
      <c r="H1366" t="s">
        <v>307</v>
      </c>
      <c r="I1366" t="s">
        <v>260</v>
      </c>
      <c r="J1366" t="s">
        <v>40</v>
      </c>
      <c r="K1366" t="s">
        <v>183</v>
      </c>
      <c r="L1366">
        <v>0</v>
      </c>
      <c r="M1366" t="s">
        <v>320</v>
      </c>
      <c r="N1366" t="s">
        <v>320</v>
      </c>
    </row>
    <row r="1367" spans="1:14">
      <c r="A1367" t="str">
        <f t="shared" si="42"/>
        <v>6.재고과다/재고부족_재고금액PJTINV_LONG_TERM2015</v>
      </c>
      <c r="B1367" t="str">
        <f t="shared" si="43"/>
        <v>6.재고과다/재고부족_재고금액PJTINV_LONG_TERM201508</v>
      </c>
      <c r="F1367" t="s">
        <v>265</v>
      </c>
      <c r="G1367" t="s">
        <v>311</v>
      </c>
      <c r="H1367" t="s">
        <v>307</v>
      </c>
      <c r="I1367" t="s">
        <v>260</v>
      </c>
      <c r="J1367" t="s">
        <v>41</v>
      </c>
      <c r="K1367" t="s">
        <v>183</v>
      </c>
      <c r="L1367">
        <v>0</v>
      </c>
      <c r="M1367" t="s">
        <v>320</v>
      </c>
      <c r="N1367" t="s">
        <v>320</v>
      </c>
    </row>
    <row r="1368" spans="1:14">
      <c r="A1368" t="str">
        <f t="shared" si="42"/>
        <v>6.재고과다/재고부족_재고금액PJTINV_LONG_TERM2015</v>
      </c>
      <c r="B1368" t="str">
        <f t="shared" si="43"/>
        <v>6.재고과다/재고부족_재고금액PJTINV_LONG_TERM201509</v>
      </c>
      <c r="F1368" t="s">
        <v>265</v>
      </c>
      <c r="G1368" t="s">
        <v>311</v>
      </c>
      <c r="H1368" t="s">
        <v>307</v>
      </c>
      <c r="I1368" t="s">
        <v>260</v>
      </c>
      <c r="J1368" t="s">
        <v>42</v>
      </c>
      <c r="K1368" t="s">
        <v>183</v>
      </c>
      <c r="L1368">
        <v>0</v>
      </c>
      <c r="M1368" t="s">
        <v>320</v>
      </c>
      <c r="N1368" t="s">
        <v>320</v>
      </c>
    </row>
    <row r="1369" spans="1:14">
      <c r="A1369" t="str">
        <f t="shared" si="42"/>
        <v>6.재고과다/재고부족_재고금액PNTINV_LONG_TERM2014</v>
      </c>
      <c r="B1369" t="str">
        <f t="shared" si="43"/>
        <v>6.재고과다/재고부족_재고금액PNTINV_LONG_TERM201401</v>
      </c>
      <c r="F1369" t="s">
        <v>265</v>
      </c>
      <c r="G1369" t="s">
        <v>17</v>
      </c>
      <c r="H1369" t="s">
        <v>307</v>
      </c>
      <c r="I1369" t="s">
        <v>254</v>
      </c>
      <c r="J1369" t="s">
        <v>22</v>
      </c>
      <c r="K1369" t="s">
        <v>183</v>
      </c>
      <c r="L1369">
        <v>43214.8878767606</v>
      </c>
      <c r="M1369" t="s">
        <v>60</v>
      </c>
      <c r="N1369" t="s">
        <v>60</v>
      </c>
    </row>
    <row r="1370" spans="1:14">
      <c r="A1370" t="str">
        <f t="shared" si="42"/>
        <v>6.재고과다/재고부족_재고금액PNTINV_LONG_TERM2014</v>
      </c>
      <c r="B1370" t="str">
        <f t="shared" si="43"/>
        <v>6.재고과다/재고부족_재고금액PNTINV_LONG_TERM201402</v>
      </c>
      <c r="F1370" t="s">
        <v>265</v>
      </c>
      <c r="G1370" t="s">
        <v>17</v>
      </c>
      <c r="H1370" t="s">
        <v>307</v>
      </c>
      <c r="I1370" t="s">
        <v>254</v>
      </c>
      <c r="J1370" t="s">
        <v>23</v>
      </c>
      <c r="K1370" t="s">
        <v>183</v>
      </c>
      <c r="L1370">
        <v>9597.1268686897092</v>
      </c>
      <c r="M1370" t="s">
        <v>60</v>
      </c>
      <c r="N1370" t="s">
        <v>60</v>
      </c>
    </row>
    <row r="1371" spans="1:14">
      <c r="A1371" t="str">
        <f t="shared" si="42"/>
        <v>6.재고과다/재고부족_재고금액PNTINV_LONG_TERM2014</v>
      </c>
      <c r="B1371" t="str">
        <f t="shared" si="43"/>
        <v>6.재고과다/재고부족_재고금액PNTINV_LONG_TERM201403</v>
      </c>
      <c r="F1371" t="s">
        <v>265</v>
      </c>
      <c r="G1371" t="s">
        <v>17</v>
      </c>
      <c r="H1371" t="s">
        <v>307</v>
      </c>
      <c r="I1371" t="s">
        <v>254</v>
      </c>
      <c r="J1371" t="s">
        <v>24</v>
      </c>
      <c r="K1371" t="s">
        <v>183</v>
      </c>
      <c r="L1371">
        <v>6728.9272836826303</v>
      </c>
      <c r="M1371" t="s">
        <v>60</v>
      </c>
      <c r="N1371" t="s">
        <v>60</v>
      </c>
    </row>
    <row r="1372" spans="1:14">
      <c r="A1372" t="str">
        <f t="shared" si="42"/>
        <v>6.재고과다/재고부족_재고금액PNTINV_LONG_TERM2014</v>
      </c>
      <c r="B1372" t="str">
        <f t="shared" si="43"/>
        <v>6.재고과다/재고부족_재고금액PNTINV_LONG_TERM201404</v>
      </c>
      <c r="F1372" t="s">
        <v>265</v>
      </c>
      <c r="G1372" t="s">
        <v>17</v>
      </c>
      <c r="H1372" t="s">
        <v>307</v>
      </c>
      <c r="I1372" t="s">
        <v>254</v>
      </c>
      <c r="J1372" t="s">
        <v>25</v>
      </c>
      <c r="K1372" t="s">
        <v>183</v>
      </c>
      <c r="L1372">
        <v>16128.1088802947</v>
      </c>
      <c r="M1372" t="s">
        <v>60</v>
      </c>
      <c r="N1372" t="s">
        <v>60</v>
      </c>
    </row>
    <row r="1373" spans="1:14">
      <c r="A1373" t="str">
        <f t="shared" si="42"/>
        <v>6.재고과다/재고부족_재고금액PNTINV_LONG_TERM2014</v>
      </c>
      <c r="B1373" t="str">
        <f t="shared" si="43"/>
        <v>6.재고과다/재고부족_재고금액PNTINV_LONG_TERM201405</v>
      </c>
      <c r="F1373" t="s">
        <v>265</v>
      </c>
      <c r="G1373" t="s">
        <v>17</v>
      </c>
      <c r="H1373" t="s">
        <v>307</v>
      </c>
      <c r="I1373" t="s">
        <v>254</v>
      </c>
      <c r="J1373" t="s">
        <v>26</v>
      </c>
      <c r="K1373" t="s">
        <v>183</v>
      </c>
      <c r="L1373">
        <v>16529.283594361801</v>
      </c>
      <c r="M1373" t="s">
        <v>60</v>
      </c>
      <c r="N1373" t="s">
        <v>60</v>
      </c>
    </row>
    <row r="1374" spans="1:14">
      <c r="A1374" t="str">
        <f t="shared" si="42"/>
        <v>6.재고과다/재고부족_재고금액PNTINV_LONG_TERM2014</v>
      </c>
      <c r="B1374" t="str">
        <f t="shared" si="43"/>
        <v>6.재고과다/재고부족_재고금액PNTINV_LONG_TERM201406</v>
      </c>
      <c r="F1374" t="s">
        <v>265</v>
      </c>
      <c r="G1374" t="s">
        <v>17</v>
      </c>
      <c r="H1374" t="s">
        <v>307</v>
      </c>
      <c r="I1374" t="s">
        <v>254</v>
      </c>
      <c r="J1374" t="s">
        <v>27</v>
      </c>
      <c r="K1374" t="s">
        <v>183</v>
      </c>
      <c r="L1374">
        <v>9495.3024029968492</v>
      </c>
      <c r="M1374" t="s">
        <v>60</v>
      </c>
      <c r="N1374" t="s">
        <v>60</v>
      </c>
    </row>
    <row r="1375" spans="1:14">
      <c r="A1375" t="str">
        <f t="shared" si="42"/>
        <v>6.재고과다/재고부족_재고금액PNTINV_LONG_TERM2014</v>
      </c>
      <c r="B1375" t="str">
        <f t="shared" si="43"/>
        <v>6.재고과다/재고부족_재고금액PNTINV_LONG_TERM201407</v>
      </c>
      <c r="F1375" t="s">
        <v>265</v>
      </c>
      <c r="G1375" t="s">
        <v>17</v>
      </c>
      <c r="H1375" t="s">
        <v>307</v>
      </c>
      <c r="I1375" t="s">
        <v>254</v>
      </c>
      <c r="J1375" t="s">
        <v>28</v>
      </c>
      <c r="K1375" t="s">
        <v>183</v>
      </c>
      <c r="L1375">
        <v>45809.393519671998</v>
      </c>
      <c r="M1375" t="s">
        <v>60</v>
      </c>
      <c r="N1375" t="s">
        <v>60</v>
      </c>
    </row>
    <row r="1376" spans="1:14">
      <c r="A1376" t="str">
        <f t="shared" si="42"/>
        <v>6.재고과다/재고부족_재고금액PNTINV_LONG_TERM2014</v>
      </c>
      <c r="B1376" t="str">
        <f t="shared" si="43"/>
        <v>6.재고과다/재고부족_재고금액PNTINV_LONG_TERM201408</v>
      </c>
      <c r="F1376" t="s">
        <v>265</v>
      </c>
      <c r="G1376" t="s">
        <v>17</v>
      </c>
      <c r="H1376" t="s">
        <v>307</v>
      </c>
      <c r="I1376" t="s">
        <v>254</v>
      </c>
      <c r="J1376" t="s">
        <v>29</v>
      </c>
      <c r="K1376" t="s">
        <v>183</v>
      </c>
      <c r="L1376">
        <v>24394.3627485201</v>
      </c>
      <c r="M1376" t="s">
        <v>60</v>
      </c>
      <c r="N1376" t="s">
        <v>60</v>
      </c>
    </row>
    <row r="1377" spans="1:14">
      <c r="A1377" t="str">
        <f t="shared" si="42"/>
        <v>6.재고과다/재고부족_재고금액PNTINV_LONG_TERM2014</v>
      </c>
      <c r="B1377" t="str">
        <f t="shared" si="43"/>
        <v>6.재고과다/재고부족_재고금액PNTINV_LONG_TERM201409</v>
      </c>
      <c r="F1377" t="s">
        <v>265</v>
      </c>
      <c r="G1377" t="s">
        <v>17</v>
      </c>
      <c r="H1377" t="s">
        <v>307</v>
      </c>
      <c r="I1377" t="s">
        <v>254</v>
      </c>
      <c r="J1377" t="s">
        <v>30</v>
      </c>
      <c r="K1377" t="s">
        <v>183</v>
      </c>
      <c r="L1377">
        <v>115421.70433114401</v>
      </c>
      <c r="M1377" t="s">
        <v>60</v>
      </c>
      <c r="N1377" t="s">
        <v>60</v>
      </c>
    </row>
    <row r="1378" spans="1:14">
      <c r="A1378" t="str">
        <f t="shared" si="42"/>
        <v>6.재고과다/재고부족_재고금액PNTINV_LONG_TERM2014</v>
      </c>
      <c r="B1378" t="str">
        <f t="shared" si="43"/>
        <v>6.재고과다/재고부족_재고금액PNTINV_LONG_TERM201410</v>
      </c>
      <c r="F1378" t="s">
        <v>265</v>
      </c>
      <c r="G1378" t="s">
        <v>17</v>
      </c>
      <c r="H1378" t="s">
        <v>307</v>
      </c>
      <c r="I1378" t="s">
        <v>254</v>
      </c>
      <c r="J1378" t="s">
        <v>31</v>
      </c>
      <c r="K1378" t="s">
        <v>183</v>
      </c>
      <c r="L1378">
        <v>191424.685443833</v>
      </c>
      <c r="M1378" t="s">
        <v>60</v>
      </c>
      <c r="N1378" t="s">
        <v>60</v>
      </c>
    </row>
    <row r="1379" spans="1:14">
      <c r="A1379" t="str">
        <f t="shared" si="42"/>
        <v>6.재고과다/재고부족_재고금액PNTINV_LONG_TERM2014</v>
      </c>
      <c r="B1379" t="str">
        <f t="shared" si="43"/>
        <v>6.재고과다/재고부족_재고금액PNTINV_LONG_TERM201411</v>
      </c>
      <c r="F1379" t="s">
        <v>265</v>
      </c>
      <c r="G1379" t="s">
        <v>17</v>
      </c>
      <c r="H1379" t="s">
        <v>307</v>
      </c>
      <c r="I1379" t="s">
        <v>254</v>
      </c>
      <c r="J1379" t="s">
        <v>32</v>
      </c>
      <c r="K1379" t="s">
        <v>183</v>
      </c>
      <c r="L1379">
        <v>145865.408030333</v>
      </c>
      <c r="M1379" t="s">
        <v>60</v>
      </c>
      <c r="N1379" t="s">
        <v>60</v>
      </c>
    </row>
    <row r="1380" spans="1:14">
      <c r="A1380" t="str">
        <f t="shared" si="42"/>
        <v>6.재고과다/재고부족_재고금액PNTINV_LONG_TERM2014</v>
      </c>
      <c r="B1380" t="str">
        <f t="shared" si="43"/>
        <v>6.재고과다/재고부족_재고금액PNTINV_LONG_TERM201412</v>
      </c>
      <c r="F1380" t="s">
        <v>265</v>
      </c>
      <c r="G1380" t="s">
        <v>17</v>
      </c>
      <c r="H1380" t="s">
        <v>307</v>
      </c>
      <c r="I1380" t="s">
        <v>254</v>
      </c>
      <c r="J1380" t="s">
        <v>33</v>
      </c>
      <c r="K1380" t="s">
        <v>183</v>
      </c>
      <c r="L1380">
        <v>177347.573509643</v>
      </c>
      <c r="M1380" t="s">
        <v>60</v>
      </c>
      <c r="N1380" t="s">
        <v>60</v>
      </c>
    </row>
    <row r="1381" spans="1:14">
      <c r="A1381" t="str">
        <f t="shared" si="42"/>
        <v>6.재고과다/재고부족_재고금액PNTINV_LONG_TERM2015</v>
      </c>
      <c r="B1381" t="str">
        <f t="shared" si="43"/>
        <v>6.재고과다/재고부족_재고금액PNTINV_LONG_TERM201501</v>
      </c>
      <c r="F1381" t="s">
        <v>265</v>
      </c>
      <c r="G1381" t="s">
        <v>17</v>
      </c>
      <c r="H1381" t="s">
        <v>307</v>
      </c>
      <c r="I1381" t="s">
        <v>260</v>
      </c>
      <c r="J1381" t="s">
        <v>34</v>
      </c>
      <c r="K1381" t="s">
        <v>183</v>
      </c>
      <c r="L1381">
        <v>76712.051324165703</v>
      </c>
      <c r="M1381" t="s">
        <v>60</v>
      </c>
      <c r="N1381" t="s">
        <v>60</v>
      </c>
    </row>
    <row r="1382" spans="1:14">
      <c r="A1382" t="str">
        <f t="shared" si="42"/>
        <v>6.재고과다/재고부족_재고금액PNTINV_LONG_TERM2015</v>
      </c>
      <c r="B1382" t="str">
        <f t="shared" si="43"/>
        <v>6.재고과다/재고부족_재고금액PNTINV_LONG_TERM201502</v>
      </c>
      <c r="F1382" t="s">
        <v>265</v>
      </c>
      <c r="G1382" t="s">
        <v>17</v>
      </c>
      <c r="H1382" t="s">
        <v>307</v>
      </c>
      <c r="I1382" t="s">
        <v>260</v>
      </c>
      <c r="J1382" t="s">
        <v>35</v>
      </c>
      <c r="K1382" t="s">
        <v>183</v>
      </c>
      <c r="L1382">
        <v>42304.873429221298</v>
      </c>
      <c r="M1382" t="s">
        <v>60</v>
      </c>
      <c r="N1382" t="s">
        <v>60</v>
      </c>
    </row>
    <row r="1383" spans="1:14">
      <c r="A1383" t="str">
        <f t="shared" si="42"/>
        <v>6.재고과다/재고부족_재고금액PNTINV_LONG_TERM2015</v>
      </c>
      <c r="B1383" t="str">
        <f t="shared" si="43"/>
        <v>6.재고과다/재고부족_재고금액PNTINV_LONG_TERM201503</v>
      </c>
      <c r="F1383" t="s">
        <v>265</v>
      </c>
      <c r="G1383" t="s">
        <v>17</v>
      </c>
      <c r="H1383" t="s">
        <v>307</v>
      </c>
      <c r="I1383" t="s">
        <v>260</v>
      </c>
      <c r="J1383" t="s">
        <v>36</v>
      </c>
      <c r="K1383" t="s">
        <v>183</v>
      </c>
      <c r="L1383">
        <v>76812.091947511304</v>
      </c>
      <c r="M1383" t="s">
        <v>60</v>
      </c>
      <c r="N1383" t="s">
        <v>60</v>
      </c>
    </row>
    <row r="1384" spans="1:14">
      <c r="A1384" t="str">
        <f t="shared" si="42"/>
        <v>6.재고과다/재고부족_재고금액PNTINV_LONG_TERM2015</v>
      </c>
      <c r="B1384" t="str">
        <f t="shared" si="43"/>
        <v>6.재고과다/재고부족_재고금액PNTINV_LONG_TERM201504</v>
      </c>
      <c r="F1384" t="s">
        <v>265</v>
      </c>
      <c r="G1384" t="s">
        <v>17</v>
      </c>
      <c r="H1384" t="s">
        <v>307</v>
      </c>
      <c r="I1384" t="s">
        <v>260</v>
      </c>
      <c r="J1384" t="s">
        <v>37</v>
      </c>
      <c r="K1384" t="s">
        <v>183</v>
      </c>
      <c r="L1384">
        <v>57390.7609221983</v>
      </c>
      <c r="M1384" t="s">
        <v>60</v>
      </c>
      <c r="N1384" t="s">
        <v>60</v>
      </c>
    </row>
    <row r="1385" spans="1:14">
      <c r="A1385" t="str">
        <f t="shared" si="42"/>
        <v>6.재고과다/재고부족_재고금액PNTINV_LONG_TERM2015</v>
      </c>
      <c r="B1385" t="str">
        <f t="shared" si="43"/>
        <v>6.재고과다/재고부족_재고금액PNTINV_LONG_TERM201505</v>
      </c>
      <c r="F1385" t="s">
        <v>265</v>
      </c>
      <c r="G1385" t="s">
        <v>17</v>
      </c>
      <c r="H1385" t="s">
        <v>307</v>
      </c>
      <c r="I1385" t="s">
        <v>260</v>
      </c>
      <c r="J1385" t="s">
        <v>38</v>
      </c>
      <c r="K1385" t="s">
        <v>183</v>
      </c>
      <c r="L1385">
        <v>93230.497143321307</v>
      </c>
      <c r="M1385" t="s">
        <v>60</v>
      </c>
      <c r="N1385" t="s">
        <v>60</v>
      </c>
    </row>
    <row r="1386" spans="1:14">
      <c r="A1386" t="str">
        <f t="shared" si="42"/>
        <v>6.재고과다/재고부족_재고금액PNTINV_LONG_TERM2015</v>
      </c>
      <c r="B1386" t="str">
        <f t="shared" si="43"/>
        <v>6.재고과다/재고부족_재고금액PNTINV_LONG_TERM201506</v>
      </c>
      <c r="F1386" t="s">
        <v>265</v>
      </c>
      <c r="G1386" t="s">
        <v>17</v>
      </c>
      <c r="H1386" t="s">
        <v>307</v>
      </c>
      <c r="I1386" t="s">
        <v>260</v>
      </c>
      <c r="J1386" t="s">
        <v>39</v>
      </c>
      <c r="K1386" t="s">
        <v>183</v>
      </c>
      <c r="L1386">
        <v>263922.49055955902</v>
      </c>
      <c r="M1386" t="s">
        <v>60</v>
      </c>
      <c r="N1386" t="s">
        <v>60</v>
      </c>
    </row>
    <row r="1387" spans="1:14">
      <c r="A1387" t="str">
        <f t="shared" si="42"/>
        <v>6.재고과다/재고부족_재고금액PNTINV_LONG_TERM2015</v>
      </c>
      <c r="B1387" t="str">
        <f t="shared" si="43"/>
        <v>6.재고과다/재고부족_재고금액PNTINV_LONG_TERM201507</v>
      </c>
      <c r="F1387" t="s">
        <v>265</v>
      </c>
      <c r="G1387" t="s">
        <v>17</v>
      </c>
      <c r="H1387" t="s">
        <v>307</v>
      </c>
      <c r="I1387" t="s">
        <v>260</v>
      </c>
      <c r="J1387" t="s">
        <v>40</v>
      </c>
      <c r="K1387" t="s">
        <v>183</v>
      </c>
      <c r="L1387">
        <v>144421.18927711601</v>
      </c>
      <c r="M1387" t="s">
        <v>60</v>
      </c>
      <c r="N1387" t="s">
        <v>60</v>
      </c>
    </row>
    <row r="1388" spans="1:14">
      <c r="A1388" t="str">
        <f t="shared" si="42"/>
        <v>6.재고과다/재고부족_재고금액PNTINV_LONG_TERM2015</v>
      </c>
      <c r="B1388" t="str">
        <f t="shared" si="43"/>
        <v>6.재고과다/재고부족_재고금액PNTINV_LONG_TERM201508</v>
      </c>
      <c r="F1388" t="s">
        <v>265</v>
      </c>
      <c r="G1388" t="s">
        <v>17</v>
      </c>
      <c r="H1388" t="s">
        <v>307</v>
      </c>
      <c r="I1388" t="s">
        <v>260</v>
      </c>
      <c r="J1388" t="s">
        <v>41</v>
      </c>
      <c r="K1388" t="s">
        <v>183</v>
      </c>
      <c r="L1388">
        <v>101431.397487801</v>
      </c>
      <c r="M1388" t="s">
        <v>60</v>
      </c>
      <c r="N1388" t="s">
        <v>60</v>
      </c>
    </row>
    <row r="1389" spans="1:14">
      <c r="A1389" t="str">
        <f t="shared" si="42"/>
        <v>6.재고과다/재고부족_재고금액PNTINV_LONG_TERM2015</v>
      </c>
      <c r="B1389" t="str">
        <f t="shared" si="43"/>
        <v>6.재고과다/재고부족_재고금액PNTINV_LONG_TERM201509</v>
      </c>
      <c r="F1389" t="s">
        <v>265</v>
      </c>
      <c r="G1389" t="s">
        <v>17</v>
      </c>
      <c r="H1389" t="s">
        <v>307</v>
      </c>
      <c r="I1389" t="s">
        <v>260</v>
      </c>
      <c r="J1389" t="s">
        <v>42</v>
      </c>
      <c r="K1389" t="s">
        <v>183</v>
      </c>
      <c r="L1389">
        <v>104647.299486982</v>
      </c>
      <c r="M1389" t="s">
        <v>60</v>
      </c>
      <c r="N1389" t="s">
        <v>60</v>
      </c>
    </row>
    <row r="1390" spans="1:14">
      <c r="A1390" t="str">
        <f t="shared" si="42"/>
        <v>6.재고과다/재고부족_재고금액PNTINV_LONG_TERM2015</v>
      </c>
      <c r="B1390" t="str">
        <f t="shared" si="43"/>
        <v>6.재고과다/재고부족_재고금액PNTINV_LONG_TERM201510</v>
      </c>
      <c r="F1390" t="s">
        <v>265</v>
      </c>
      <c r="G1390" t="s">
        <v>17</v>
      </c>
      <c r="H1390" t="s">
        <v>307</v>
      </c>
      <c r="I1390" t="s">
        <v>260</v>
      </c>
      <c r="J1390" t="s">
        <v>1</v>
      </c>
      <c r="K1390" t="s">
        <v>183</v>
      </c>
      <c r="L1390">
        <v>20125.5182904666</v>
      </c>
      <c r="M1390" t="s">
        <v>60</v>
      </c>
      <c r="N1390" t="s">
        <v>60</v>
      </c>
    </row>
    <row r="1391" spans="1:14">
      <c r="A1391" t="str">
        <f t="shared" si="42"/>
        <v>6.재고과다/재고부족_재고금액PSTINV_LONG_TERM2014</v>
      </c>
      <c r="B1391" t="str">
        <f t="shared" si="43"/>
        <v>6.재고과다/재고부족_재고금액PSTINV_LONG_TERM201401</v>
      </c>
      <c r="F1391" t="s">
        <v>265</v>
      </c>
      <c r="G1391" t="s">
        <v>18</v>
      </c>
      <c r="H1391" t="s">
        <v>307</v>
      </c>
      <c r="I1391" t="s">
        <v>254</v>
      </c>
      <c r="J1391" t="s">
        <v>22</v>
      </c>
      <c r="K1391" t="s">
        <v>183</v>
      </c>
      <c r="L1391">
        <v>0</v>
      </c>
      <c r="M1391" t="s">
        <v>66</v>
      </c>
      <c r="N1391" t="s">
        <v>66</v>
      </c>
    </row>
    <row r="1392" spans="1:14">
      <c r="A1392" t="str">
        <f t="shared" si="42"/>
        <v>6.재고과다/재고부족_재고금액PSTINV_LONG_TERM2014</v>
      </c>
      <c r="B1392" t="str">
        <f t="shared" si="43"/>
        <v>6.재고과다/재고부족_재고금액PSTINV_LONG_TERM201402</v>
      </c>
      <c r="F1392" t="s">
        <v>265</v>
      </c>
      <c r="G1392" t="s">
        <v>18</v>
      </c>
      <c r="H1392" t="s">
        <v>307</v>
      </c>
      <c r="I1392" t="s">
        <v>254</v>
      </c>
      <c r="J1392" t="s">
        <v>23</v>
      </c>
      <c r="K1392" t="s">
        <v>183</v>
      </c>
      <c r="L1392">
        <v>0</v>
      </c>
      <c r="M1392" t="s">
        <v>66</v>
      </c>
      <c r="N1392" t="s">
        <v>66</v>
      </c>
    </row>
    <row r="1393" spans="1:14">
      <c r="A1393" t="str">
        <f t="shared" si="42"/>
        <v>6.재고과다/재고부족_재고금액PSTINV_LONG_TERM2014</v>
      </c>
      <c r="B1393" t="str">
        <f t="shared" si="43"/>
        <v>6.재고과다/재고부족_재고금액PSTINV_LONG_TERM201403</v>
      </c>
      <c r="F1393" t="s">
        <v>265</v>
      </c>
      <c r="G1393" t="s">
        <v>18</v>
      </c>
      <c r="H1393" t="s">
        <v>307</v>
      </c>
      <c r="I1393" t="s">
        <v>254</v>
      </c>
      <c r="J1393" t="s">
        <v>24</v>
      </c>
      <c r="K1393" t="s">
        <v>183</v>
      </c>
      <c r="L1393">
        <v>0</v>
      </c>
      <c r="M1393" t="s">
        <v>66</v>
      </c>
      <c r="N1393" t="s">
        <v>66</v>
      </c>
    </row>
    <row r="1394" spans="1:14">
      <c r="A1394" t="str">
        <f t="shared" si="42"/>
        <v>6.재고과다/재고부족_재고금액PSTINV_LONG_TERM2014</v>
      </c>
      <c r="B1394" t="str">
        <f t="shared" si="43"/>
        <v>6.재고과다/재고부족_재고금액PSTINV_LONG_TERM201404</v>
      </c>
      <c r="F1394" t="s">
        <v>265</v>
      </c>
      <c r="G1394" t="s">
        <v>18</v>
      </c>
      <c r="H1394" t="s">
        <v>307</v>
      </c>
      <c r="I1394" t="s">
        <v>254</v>
      </c>
      <c r="J1394" t="s">
        <v>25</v>
      </c>
      <c r="K1394" t="s">
        <v>183</v>
      </c>
      <c r="L1394">
        <v>0</v>
      </c>
      <c r="M1394" t="s">
        <v>66</v>
      </c>
      <c r="N1394" t="s">
        <v>66</v>
      </c>
    </row>
    <row r="1395" spans="1:14">
      <c r="A1395" t="str">
        <f t="shared" si="42"/>
        <v>6.재고과다/재고부족_재고금액PSTINV_LONG_TERM2014</v>
      </c>
      <c r="B1395" t="str">
        <f t="shared" si="43"/>
        <v>6.재고과다/재고부족_재고금액PSTINV_LONG_TERM201405</v>
      </c>
      <c r="F1395" t="s">
        <v>265</v>
      </c>
      <c r="G1395" t="s">
        <v>18</v>
      </c>
      <c r="H1395" t="s">
        <v>307</v>
      </c>
      <c r="I1395" t="s">
        <v>254</v>
      </c>
      <c r="J1395" t="s">
        <v>26</v>
      </c>
      <c r="K1395" t="s">
        <v>183</v>
      </c>
      <c r="L1395">
        <v>0</v>
      </c>
      <c r="M1395" t="s">
        <v>66</v>
      </c>
      <c r="N1395" t="s">
        <v>66</v>
      </c>
    </row>
    <row r="1396" spans="1:14">
      <c r="A1396" t="str">
        <f t="shared" si="42"/>
        <v>6.재고과다/재고부족_재고금액PSTINV_LONG_TERM2014</v>
      </c>
      <c r="B1396" t="str">
        <f t="shared" si="43"/>
        <v>6.재고과다/재고부족_재고금액PSTINV_LONG_TERM201406</v>
      </c>
      <c r="F1396" t="s">
        <v>265</v>
      </c>
      <c r="G1396" t="s">
        <v>18</v>
      </c>
      <c r="H1396" t="s">
        <v>307</v>
      </c>
      <c r="I1396" t="s">
        <v>254</v>
      </c>
      <c r="J1396" t="s">
        <v>27</v>
      </c>
      <c r="K1396" t="s">
        <v>183</v>
      </c>
      <c r="L1396">
        <v>0</v>
      </c>
      <c r="M1396" t="s">
        <v>66</v>
      </c>
      <c r="N1396" t="s">
        <v>66</v>
      </c>
    </row>
    <row r="1397" spans="1:14">
      <c r="A1397" t="str">
        <f t="shared" si="42"/>
        <v>6.재고과다/재고부족_재고금액PSTINV_LONG_TERM2014</v>
      </c>
      <c r="B1397" t="str">
        <f t="shared" si="43"/>
        <v>6.재고과다/재고부족_재고금액PSTINV_LONG_TERM201407</v>
      </c>
      <c r="F1397" t="s">
        <v>265</v>
      </c>
      <c r="G1397" t="s">
        <v>18</v>
      </c>
      <c r="H1397" t="s">
        <v>307</v>
      </c>
      <c r="I1397" t="s">
        <v>254</v>
      </c>
      <c r="J1397" t="s">
        <v>28</v>
      </c>
      <c r="K1397" t="s">
        <v>183</v>
      </c>
      <c r="L1397">
        <v>0</v>
      </c>
      <c r="M1397" t="s">
        <v>66</v>
      </c>
      <c r="N1397" t="s">
        <v>66</v>
      </c>
    </row>
    <row r="1398" spans="1:14">
      <c r="A1398" t="str">
        <f t="shared" si="42"/>
        <v>6.재고과다/재고부족_재고금액PSTINV_LONG_TERM2014</v>
      </c>
      <c r="B1398" t="str">
        <f t="shared" si="43"/>
        <v>6.재고과다/재고부족_재고금액PSTINV_LONG_TERM201408</v>
      </c>
      <c r="F1398" t="s">
        <v>265</v>
      </c>
      <c r="G1398" t="s">
        <v>18</v>
      </c>
      <c r="H1398" t="s">
        <v>307</v>
      </c>
      <c r="I1398" t="s">
        <v>254</v>
      </c>
      <c r="J1398" t="s">
        <v>29</v>
      </c>
      <c r="K1398" t="s">
        <v>183</v>
      </c>
      <c r="L1398">
        <v>0</v>
      </c>
      <c r="M1398" t="s">
        <v>66</v>
      </c>
      <c r="N1398" t="s">
        <v>66</v>
      </c>
    </row>
    <row r="1399" spans="1:14">
      <c r="A1399" t="str">
        <f t="shared" si="42"/>
        <v>6.재고과다/재고부족_재고금액PSTINV_LONG_TERM2014</v>
      </c>
      <c r="B1399" t="str">
        <f t="shared" si="43"/>
        <v>6.재고과다/재고부족_재고금액PSTINV_LONG_TERM201409</v>
      </c>
      <c r="F1399" t="s">
        <v>265</v>
      </c>
      <c r="G1399" t="s">
        <v>18</v>
      </c>
      <c r="H1399" t="s">
        <v>307</v>
      </c>
      <c r="I1399" t="s">
        <v>254</v>
      </c>
      <c r="J1399" t="s">
        <v>30</v>
      </c>
      <c r="K1399" t="s">
        <v>183</v>
      </c>
      <c r="L1399">
        <v>0</v>
      </c>
      <c r="M1399" t="s">
        <v>66</v>
      </c>
      <c r="N1399" t="s">
        <v>66</v>
      </c>
    </row>
    <row r="1400" spans="1:14">
      <c r="A1400" t="str">
        <f t="shared" si="42"/>
        <v>6.재고과다/재고부족_재고금액PSTINV_LONG_TERM2014</v>
      </c>
      <c r="B1400" t="str">
        <f t="shared" si="43"/>
        <v>6.재고과다/재고부족_재고금액PSTINV_LONG_TERM201410</v>
      </c>
      <c r="F1400" t="s">
        <v>265</v>
      </c>
      <c r="G1400" t="s">
        <v>18</v>
      </c>
      <c r="H1400" t="s">
        <v>307</v>
      </c>
      <c r="I1400" t="s">
        <v>254</v>
      </c>
      <c r="J1400" t="s">
        <v>31</v>
      </c>
      <c r="K1400" t="s">
        <v>183</v>
      </c>
      <c r="L1400">
        <v>0</v>
      </c>
      <c r="M1400" t="s">
        <v>66</v>
      </c>
      <c r="N1400" t="s">
        <v>66</v>
      </c>
    </row>
    <row r="1401" spans="1:14">
      <c r="A1401" t="str">
        <f t="shared" si="42"/>
        <v>6.재고과다/재고부족_재고금액PSTINV_LONG_TERM2014</v>
      </c>
      <c r="B1401" t="str">
        <f t="shared" si="43"/>
        <v>6.재고과다/재고부족_재고금액PSTINV_LONG_TERM201411</v>
      </c>
      <c r="F1401" t="s">
        <v>265</v>
      </c>
      <c r="G1401" t="s">
        <v>18</v>
      </c>
      <c r="H1401" t="s">
        <v>307</v>
      </c>
      <c r="I1401" t="s">
        <v>254</v>
      </c>
      <c r="J1401" t="s">
        <v>32</v>
      </c>
      <c r="K1401" t="s">
        <v>183</v>
      </c>
      <c r="L1401">
        <v>0</v>
      </c>
      <c r="M1401" t="s">
        <v>66</v>
      </c>
      <c r="N1401" t="s">
        <v>66</v>
      </c>
    </row>
    <row r="1402" spans="1:14">
      <c r="A1402" t="str">
        <f t="shared" si="42"/>
        <v>6.재고과다/재고부족_재고금액PSTINV_LONG_TERM2014</v>
      </c>
      <c r="B1402" t="str">
        <f t="shared" si="43"/>
        <v>6.재고과다/재고부족_재고금액PSTINV_LONG_TERM201412</v>
      </c>
      <c r="F1402" t="s">
        <v>265</v>
      </c>
      <c r="G1402" t="s">
        <v>18</v>
      </c>
      <c r="H1402" t="s">
        <v>307</v>
      </c>
      <c r="I1402" t="s">
        <v>254</v>
      </c>
      <c r="J1402" t="s">
        <v>33</v>
      </c>
      <c r="K1402" t="s">
        <v>183</v>
      </c>
      <c r="L1402">
        <v>0</v>
      </c>
      <c r="M1402" t="s">
        <v>66</v>
      </c>
      <c r="N1402" t="s">
        <v>66</v>
      </c>
    </row>
    <row r="1403" spans="1:14">
      <c r="A1403" t="str">
        <f t="shared" si="42"/>
        <v>6.재고과다/재고부족_재고금액PSTINV_LONG_TERM2015</v>
      </c>
      <c r="B1403" t="str">
        <f t="shared" si="43"/>
        <v>6.재고과다/재고부족_재고금액PSTINV_LONG_TERM201501</v>
      </c>
      <c r="F1403" t="s">
        <v>265</v>
      </c>
      <c r="G1403" t="s">
        <v>18</v>
      </c>
      <c r="H1403" t="s">
        <v>307</v>
      </c>
      <c r="I1403" t="s">
        <v>260</v>
      </c>
      <c r="J1403" t="s">
        <v>34</v>
      </c>
      <c r="K1403" t="s">
        <v>183</v>
      </c>
      <c r="L1403">
        <v>0</v>
      </c>
      <c r="M1403" t="s">
        <v>66</v>
      </c>
      <c r="N1403" t="s">
        <v>66</v>
      </c>
    </row>
    <row r="1404" spans="1:14">
      <c r="A1404" t="str">
        <f t="shared" si="42"/>
        <v>6.재고과다/재고부족_재고금액PSTINV_LONG_TERM2015</v>
      </c>
      <c r="B1404" t="str">
        <f t="shared" si="43"/>
        <v>6.재고과다/재고부족_재고금액PSTINV_LONG_TERM201502</v>
      </c>
      <c r="F1404" t="s">
        <v>265</v>
      </c>
      <c r="G1404" t="s">
        <v>18</v>
      </c>
      <c r="H1404" t="s">
        <v>307</v>
      </c>
      <c r="I1404" t="s">
        <v>260</v>
      </c>
      <c r="J1404" t="s">
        <v>35</v>
      </c>
      <c r="K1404" t="s">
        <v>183</v>
      </c>
      <c r="L1404">
        <v>0</v>
      </c>
      <c r="M1404" t="s">
        <v>66</v>
      </c>
      <c r="N1404" t="s">
        <v>66</v>
      </c>
    </row>
    <row r="1405" spans="1:14">
      <c r="A1405" t="str">
        <f t="shared" si="42"/>
        <v>6.재고과다/재고부족_재고금액PSTINV_LONG_TERM2015</v>
      </c>
      <c r="B1405" t="str">
        <f t="shared" si="43"/>
        <v>6.재고과다/재고부족_재고금액PSTINV_LONG_TERM201503</v>
      </c>
      <c r="F1405" t="s">
        <v>265</v>
      </c>
      <c r="G1405" t="s">
        <v>18</v>
      </c>
      <c r="H1405" t="s">
        <v>307</v>
      </c>
      <c r="I1405" t="s">
        <v>260</v>
      </c>
      <c r="J1405" t="s">
        <v>36</v>
      </c>
      <c r="K1405" t="s">
        <v>183</v>
      </c>
      <c r="L1405">
        <v>0</v>
      </c>
      <c r="M1405" t="s">
        <v>66</v>
      </c>
      <c r="N1405" t="s">
        <v>66</v>
      </c>
    </row>
    <row r="1406" spans="1:14">
      <c r="A1406" t="str">
        <f t="shared" si="42"/>
        <v>6.재고과다/재고부족_재고금액PSTINV_LONG_TERM2015</v>
      </c>
      <c r="B1406" t="str">
        <f t="shared" si="43"/>
        <v>6.재고과다/재고부족_재고금액PSTINV_LONG_TERM201504</v>
      </c>
      <c r="F1406" t="s">
        <v>265</v>
      </c>
      <c r="G1406" t="s">
        <v>18</v>
      </c>
      <c r="H1406" t="s">
        <v>307</v>
      </c>
      <c r="I1406" t="s">
        <v>260</v>
      </c>
      <c r="J1406" t="s">
        <v>37</v>
      </c>
      <c r="K1406" t="s">
        <v>183</v>
      </c>
      <c r="L1406">
        <v>0</v>
      </c>
      <c r="M1406" t="s">
        <v>66</v>
      </c>
      <c r="N1406" t="s">
        <v>66</v>
      </c>
    </row>
    <row r="1407" spans="1:14">
      <c r="A1407" t="str">
        <f t="shared" si="42"/>
        <v>6.재고과다/재고부족_재고금액PSTINV_LONG_TERM2015</v>
      </c>
      <c r="B1407" t="str">
        <f t="shared" si="43"/>
        <v>6.재고과다/재고부족_재고금액PSTINV_LONG_TERM201505</v>
      </c>
      <c r="F1407" t="s">
        <v>265</v>
      </c>
      <c r="G1407" t="s">
        <v>18</v>
      </c>
      <c r="H1407" t="s">
        <v>307</v>
      </c>
      <c r="I1407" t="s">
        <v>260</v>
      </c>
      <c r="J1407" t="s">
        <v>38</v>
      </c>
      <c r="K1407" t="s">
        <v>183</v>
      </c>
      <c r="L1407">
        <v>0</v>
      </c>
      <c r="M1407" t="s">
        <v>66</v>
      </c>
      <c r="N1407" t="s">
        <v>66</v>
      </c>
    </row>
    <row r="1408" spans="1:14">
      <c r="A1408" t="str">
        <f t="shared" si="42"/>
        <v>6.재고과다/재고부족_재고금액PSTINV_LONG_TERM2015</v>
      </c>
      <c r="B1408" t="str">
        <f t="shared" si="43"/>
        <v>6.재고과다/재고부족_재고금액PSTINV_LONG_TERM201506</v>
      </c>
      <c r="F1408" t="s">
        <v>265</v>
      </c>
      <c r="G1408" t="s">
        <v>18</v>
      </c>
      <c r="H1408" t="s">
        <v>307</v>
      </c>
      <c r="I1408" t="s">
        <v>260</v>
      </c>
      <c r="J1408" t="s">
        <v>39</v>
      </c>
      <c r="K1408" t="s">
        <v>183</v>
      </c>
      <c r="L1408">
        <v>0</v>
      </c>
      <c r="M1408" t="s">
        <v>66</v>
      </c>
      <c r="N1408" t="s">
        <v>66</v>
      </c>
    </row>
    <row r="1409" spans="1:14">
      <c r="A1409" t="str">
        <f t="shared" si="42"/>
        <v>6.재고과다/재고부족_재고금액PSTINV_LONG_TERM2015</v>
      </c>
      <c r="B1409" t="str">
        <f t="shared" si="43"/>
        <v>6.재고과다/재고부족_재고금액PSTINV_LONG_TERM201507</v>
      </c>
      <c r="F1409" t="s">
        <v>265</v>
      </c>
      <c r="G1409" t="s">
        <v>18</v>
      </c>
      <c r="H1409" t="s">
        <v>307</v>
      </c>
      <c r="I1409" t="s">
        <v>260</v>
      </c>
      <c r="J1409" t="s">
        <v>40</v>
      </c>
      <c r="K1409" t="s">
        <v>183</v>
      </c>
      <c r="L1409">
        <v>0</v>
      </c>
      <c r="M1409" t="s">
        <v>66</v>
      </c>
      <c r="N1409" t="s">
        <v>66</v>
      </c>
    </row>
    <row r="1410" spans="1:14">
      <c r="A1410" t="str">
        <f t="shared" si="42"/>
        <v>6.재고과다/재고부족_재고금액PSTINV_LONG_TERM2015</v>
      </c>
      <c r="B1410" t="str">
        <f t="shared" si="43"/>
        <v>6.재고과다/재고부족_재고금액PSTINV_LONG_TERM201508</v>
      </c>
      <c r="F1410" t="s">
        <v>265</v>
      </c>
      <c r="G1410" t="s">
        <v>18</v>
      </c>
      <c r="H1410" t="s">
        <v>307</v>
      </c>
      <c r="I1410" t="s">
        <v>260</v>
      </c>
      <c r="J1410" t="s">
        <v>41</v>
      </c>
      <c r="K1410" t="s">
        <v>183</v>
      </c>
      <c r="L1410">
        <v>0</v>
      </c>
      <c r="M1410" t="s">
        <v>66</v>
      </c>
      <c r="N1410" t="s">
        <v>66</v>
      </c>
    </row>
    <row r="1411" spans="1:14">
      <c r="A1411" t="str">
        <f t="shared" si="42"/>
        <v>6.재고과다/재고부족_재고금액PSTINV_LONG_TERM2015</v>
      </c>
      <c r="B1411" t="str">
        <f t="shared" si="43"/>
        <v>6.재고과다/재고부족_재고금액PSTINV_LONG_TERM201509</v>
      </c>
      <c r="F1411" t="s">
        <v>265</v>
      </c>
      <c r="G1411" t="s">
        <v>18</v>
      </c>
      <c r="H1411" t="s">
        <v>307</v>
      </c>
      <c r="I1411" t="s">
        <v>260</v>
      </c>
      <c r="J1411" t="s">
        <v>42</v>
      </c>
      <c r="K1411" t="s">
        <v>183</v>
      </c>
      <c r="L1411">
        <v>0</v>
      </c>
      <c r="M1411" t="s">
        <v>66</v>
      </c>
      <c r="N1411" t="s">
        <v>66</v>
      </c>
    </row>
    <row r="1412" spans="1:14">
      <c r="A1412" t="str">
        <f t="shared" si="42"/>
        <v>6.재고과다/재고부족_재고금액PSTINV_LONG_TERM2015</v>
      </c>
      <c r="B1412" t="str">
        <f t="shared" si="43"/>
        <v>6.재고과다/재고부족_재고금액PSTINV_LONG_TERM201510</v>
      </c>
      <c r="F1412" t="s">
        <v>265</v>
      </c>
      <c r="G1412" t="s">
        <v>18</v>
      </c>
      <c r="H1412" t="s">
        <v>307</v>
      </c>
      <c r="I1412" t="s">
        <v>260</v>
      </c>
      <c r="J1412" t="s">
        <v>1</v>
      </c>
      <c r="K1412" t="s">
        <v>183</v>
      </c>
      <c r="L1412">
        <v>0</v>
      </c>
      <c r="M1412" t="s">
        <v>66</v>
      </c>
      <c r="N1412" t="s">
        <v>66</v>
      </c>
    </row>
    <row r="1413" spans="1:14">
      <c r="A1413" t="str">
        <f t="shared" si="42"/>
        <v>7.장기재고율_매출CNTSALE2015</v>
      </c>
      <c r="B1413" t="str">
        <f t="shared" si="43"/>
        <v>7.장기재고율_매출CNTSALE201510</v>
      </c>
      <c r="F1413" t="s">
        <v>304</v>
      </c>
      <c r="G1413" t="s">
        <v>7</v>
      </c>
      <c r="H1413" t="s">
        <v>307</v>
      </c>
      <c r="I1413" t="s">
        <v>260</v>
      </c>
      <c r="J1413" t="s">
        <v>1</v>
      </c>
      <c r="K1413" t="s">
        <v>21</v>
      </c>
      <c r="L1413">
        <v>2163193.2136166738</v>
      </c>
      <c r="M1413" t="s">
        <v>70</v>
      </c>
      <c r="N1413" t="s">
        <v>62</v>
      </c>
    </row>
    <row r="1414" spans="1:14">
      <c r="A1414" t="str">
        <f t="shared" si="42"/>
        <v>7.장기재고율_매출CVTSALE2015</v>
      </c>
      <c r="B1414" t="str">
        <f t="shared" si="43"/>
        <v>7.장기재고율_매출CVTSALE201510</v>
      </c>
      <c r="F1414" t="s">
        <v>304</v>
      </c>
      <c r="G1414" t="s">
        <v>308</v>
      </c>
      <c r="H1414" t="s">
        <v>307</v>
      </c>
      <c r="I1414" t="s">
        <v>260</v>
      </c>
      <c r="J1414" t="s">
        <v>1</v>
      </c>
      <c r="K1414" t="s">
        <v>21</v>
      </c>
      <c r="L1414">
        <v>13931.73583513684</v>
      </c>
      <c r="M1414" t="s">
        <v>316</v>
      </c>
      <c r="N1414" t="s">
        <v>317</v>
      </c>
    </row>
    <row r="1415" spans="1:14">
      <c r="A1415" t="str">
        <f t="shared" ref="A1415:A1478" si="44">F1415&amp;G1415&amp;K1415&amp;I1415</f>
        <v>7.장기재고율_매출DFTSALE2015</v>
      </c>
      <c r="B1415" t="str">
        <f t="shared" ref="B1415:B1478" si="45">F1415&amp;G1415&amp;K1415&amp;J1415</f>
        <v>7.장기재고율_매출DFTSALE201510</v>
      </c>
      <c r="F1415" t="s">
        <v>304</v>
      </c>
      <c r="G1415" t="s">
        <v>8</v>
      </c>
      <c r="H1415" t="s">
        <v>307</v>
      </c>
      <c r="I1415" t="s">
        <v>260</v>
      </c>
      <c r="J1415" t="s">
        <v>1</v>
      </c>
      <c r="K1415" t="s">
        <v>21</v>
      </c>
      <c r="L1415">
        <v>3457547.3875234909</v>
      </c>
      <c r="M1415" t="s">
        <v>71</v>
      </c>
      <c r="N1415" t="s">
        <v>63</v>
      </c>
    </row>
    <row r="1416" spans="1:14">
      <c r="A1416" t="str">
        <f t="shared" si="44"/>
        <v>7.장기재고율_매출DGTSALE2015</v>
      </c>
      <c r="B1416" t="str">
        <f t="shared" si="45"/>
        <v>7.장기재고율_매출DGTSALE201510</v>
      </c>
      <c r="F1416" t="s">
        <v>304</v>
      </c>
      <c r="G1416" t="s">
        <v>9</v>
      </c>
      <c r="H1416" t="s">
        <v>307</v>
      </c>
      <c r="I1416" t="s">
        <v>260</v>
      </c>
      <c r="J1416" t="s">
        <v>1</v>
      </c>
      <c r="K1416" t="s">
        <v>21</v>
      </c>
      <c r="L1416">
        <v>89628.385028938152</v>
      </c>
      <c r="M1416" t="s">
        <v>64</v>
      </c>
      <c r="N1416" t="s">
        <v>64</v>
      </c>
    </row>
    <row r="1417" spans="1:14">
      <c r="A1417" t="str">
        <f t="shared" si="44"/>
        <v>7.장기재고율_매출DVTSALE2015</v>
      </c>
      <c r="B1417" t="str">
        <f t="shared" si="45"/>
        <v>7.장기재고율_매출DVTSALE201510</v>
      </c>
      <c r="F1417" t="s">
        <v>304</v>
      </c>
      <c r="G1417" t="s">
        <v>11</v>
      </c>
      <c r="H1417" t="s">
        <v>307</v>
      </c>
      <c r="I1417" t="s">
        <v>260</v>
      </c>
      <c r="J1417" t="s">
        <v>1</v>
      </c>
      <c r="K1417" t="s">
        <v>21</v>
      </c>
      <c r="L1417">
        <v>1967.7772664656466</v>
      </c>
      <c r="M1417" t="s">
        <v>67</v>
      </c>
      <c r="N1417" t="s">
        <v>67</v>
      </c>
    </row>
    <row r="1418" spans="1:14">
      <c r="A1418" t="str">
        <f t="shared" si="44"/>
        <v>7.장기재고율_매출GLTSALE2015</v>
      </c>
      <c r="B1418" t="str">
        <f t="shared" si="45"/>
        <v>7.장기재고율_매출GLTSALE201510</v>
      </c>
      <c r="F1418" t="s">
        <v>304</v>
      </c>
      <c r="G1418" t="s">
        <v>13</v>
      </c>
      <c r="H1418" t="s">
        <v>307</v>
      </c>
      <c r="I1418" t="s">
        <v>260</v>
      </c>
      <c r="J1418" t="s">
        <v>1</v>
      </c>
      <c r="K1418" t="s">
        <v>21</v>
      </c>
      <c r="L1418">
        <v>37100824.411994025</v>
      </c>
      <c r="M1418" t="s">
        <v>58</v>
      </c>
      <c r="N1418" t="s">
        <v>58</v>
      </c>
    </row>
    <row r="1419" spans="1:14">
      <c r="A1419" t="str">
        <f t="shared" si="44"/>
        <v>7.장기재고율_매출GTTSALE2015</v>
      </c>
      <c r="B1419" t="str">
        <f t="shared" si="45"/>
        <v>7.장기재고율_매출GTTSALE201510</v>
      </c>
      <c r="F1419" t="s">
        <v>304</v>
      </c>
      <c r="G1419" t="s">
        <v>15</v>
      </c>
      <c r="H1419" t="s">
        <v>307</v>
      </c>
      <c r="I1419" t="s">
        <v>260</v>
      </c>
      <c r="J1419" t="s">
        <v>1</v>
      </c>
      <c r="K1419" t="s">
        <v>21</v>
      </c>
      <c r="L1419">
        <v>2927061.8063072055</v>
      </c>
      <c r="M1419" t="s">
        <v>68</v>
      </c>
      <c r="N1419" t="s">
        <v>59</v>
      </c>
    </row>
    <row r="1420" spans="1:14">
      <c r="A1420" t="str">
        <f t="shared" si="44"/>
        <v>7.장기재고율_매출MSTSALE2015</v>
      </c>
      <c r="B1420" t="str">
        <f t="shared" si="45"/>
        <v>7.장기재고율_매출MSTSALE201510</v>
      </c>
      <c r="F1420" t="s">
        <v>304</v>
      </c>
      <c r="G1420" t="s">
        <v>16</v>
      </c>
      <c r="H1420" t="s">
        <v>307</v>
      </c>
      <c r="I1420" t="s">
        <v>260</v>
      </c>
      <c r="J1420" t="s">
        <v>1</v>
      </c>
      <c r="K1420" t="s">
        <v>21</v>
      </c>
      <c r="L1420">
        <v>21078151.577785008</v>
      </c>
      <c r="M1420" t="s">
        <v>69</v>
      </c>
      <c r="N1420" t="s">
        <v>61</v>
      </c>
    </row>
    <row r="1421" spans="1:14">
      <c r="A1421" t="str">
        <f t="shared" si="44"/>
        <v>7.장기재고율_매출PCTSALE2015</v>
      </c>
      <c r="B1421" t="str">
        <f t="shared" si="45"/>
        <v>7.장기재고율_매출PCTSALE201510</v>
      </c>
      <c r="F1421" t="s">
        <v>304</v>
      </c>
      <c r="G1421" t="s">
        <v>20</v>
      </c>
      <c r="H1421" t="s">
        <v>307</v>
      </c>
      <c r="I1421" t="s">
        <v>260</v>
      </c>
      <c r="J1421" t="s">
        <v>1</v>
      </c>
      <c r="K1421" t="s">
        <v>21</v>
      </c>
      <c r="L1421">
        <v>0</v>
      </c>
      <c r="M1421" t="s">
        <v>65</v>
      </c>
      <c r="N1421" t="s">
        <v>65</v>
      </c>
    </row>
    <row r="1422" spans="1:14">
      <c r="A1422" t="str">
        <f t="shared" si="44"/>
        <v>7.장기재고율_매출PHTSALE2015</v>
      </c>
      <c r="B1422" t="str">
        <f t="shared" si="45"/>
        <v>7.장기재고율_매출PHTSALE201510</v>
      </c>
      <c r="F1422" t="s">
        <v>304</v>
      </c>
      <c r="G1422" t="s">
        <v>310</v>
      </c>
      <c r="H1422" t="s">
        <v>307</v>
      </c>
      <c r="I1422" t="s">
        <v>260</v>
      </c>
      <c r="J1422" t="s">
        <v>1</v>
      </c>
      <c r="K1422" t="s">
        <v>21</v>
      </c>
      <c r="L1422">
        <v>16.240186247422969</v>
      </c>
      <c r="M1422" t="s">
        <v>319</v>
      </c>
      <c r="N1422" t="s">
        <v>319</v>
      </c>
    </row>
    <row r="1423" spans="1:14">
      <c r="A1423" t="str">
        <f t="shared" si="44"/>
        <v>7.장기재고율_매출PJTSALE2015</v>
      </c>
      <c r="B1423" t="str">
        <f t="shared" si="45"/>
        <v>7.장기재고율_매출PJTSALE201510</v>
      </c>
      <c r="F1423" t="s">
        <v>304</v>
      </c>
      <c r="G1423" t="s">
        <v>311</v>
      </c>
      <c r="H1423" t="s">
        <v>307</v>
      </c>
      <c r="I1423" t="s">
        <v>260</v>
      </c>
      <c r="J1423" t="s">
        <v>1</v>
      </c>
      <c r="K1423" t="s">
        <v>21</v>
      </c>
      <c r="L1423">
        <v>3226.0075286874326</v>
      </c>
      <c r="M1423" t="s">
        <v>320</v>
      </c>
      <c r="N1423" t="s">
        <v>320</v>
      </c>
    </row>
    <row r="1424" spans="1:14">
      <c r="A1424" t="str">
        <f t="shared" si="44"/>
        <v>7.장기재고율_매출PNTSALE2015</v>
      </c>
      <c r="B1424" t="str">
        <f t="shared" si="45"/>
        <v>7.장기재고율_매출PNTSALE201510</v>
      </c>
      <c r="F1424" t="s">
        <v>304</v>
      </c>
      <c r="G1424" t="s">
        <v>17</v>
      </c>
      <c r="H1424" t="s">
        <v>307</v>
      </c>
      <c r="I1424" t="s">
        <v>260</v>
      </c>
      <c r="J1424" t="s">
        <v>1</v>
      </c>
      <c r="K1424" t="s">
        <v>21</v>
      </c>
      <c r="L1424">
        <v>4180429.3240331807</v>
      </c>
      <c r="M1424" t="s">
        <v>60</v>
      </c>
      <c r="N1424" t="s">
        <v>60</v>
      </c>
    </row>
    <row r="1425" spans="1:14">
      <c r="A1425" t="str">
        <f t="shared" si="44"/>
        <v>7.장기재고율_매출PSTSALE2015</v>
      </c>
      <c r="B1425" t="str">
        <f t="shared" si="45"/>
        <v>7.장기재고율_매출PSTSALE201510</v>
      </c>
      <c r="F1425" t="s">
        <v>304</v>
      </c>
      <c r="G1425" t="s">
        <v>18</v>
      </c>
      <c r="H1425" t="s">
        <v>307</v>
      </c>
      <c r="I1425" t="s">
        <v>260</v>
      </c>
      <c r="J1425" t="s">
        <v>1</v>
      </c>
      <c r="K1425" t="s">
        <v>21</v>
      </c>
      <c r="L1425">
        <v>168.30943999551212</v>
      </c>
      <c r="M1425" t="s">
        <v>66</v>
      </c>
      <c r="N1425" t="s">
        <v>66</v>
      </c>
    </row>
    <row r="1426" spans="1:14">
      <c r="A1426" t="str">
        <f t="shared" si="44"/>
        <v>7.장기재고율_장기재고금액CNTINV_LONG_TERM2014</v>
      </c>
      <c r="B1426" t="str">
        <f t="shared" si="45"/>
        <v>7.장기재고율_장기재고금액CNTINV_LONG_TERM201401</v>
      </c>
      <c r="F1426" t="s">
        <v>299</v>
      </c>
      <c r="G1426" t="s">
        <v>7</v>
      </c>
      <c r="H1426" t="s">
        <v>307</v>
      </c>
      <c r="I1426" t="s">
        <v>254</v>
      </c>
      <c r="J1426" t="s">
        <v>22</v>
      </c>
      <c r="K1426" t="s">
        <v>183</v>
      </c>
      <c r="L1426">
        <v>29011.299893810199</v>
      </c>
      <c r="M1426" t="s">
        <v>70</v>
      </c>
      <c r="N1426" t="s">
        <v>62</v>
      </c>
    </row>
    <row r="1427" spans="1:14">
      <c r="A1427" t="str">
        <f t="shared" si="44"/>
        <v>7.장기재고율_장기재고금액CNTINV_LONG_TERM2014</v>
      </c>
      <c r="B1427" t="str">
        <f t="shared" si="45"/>
        <v>7.장기재고율_장기재고금액CNTINV_LONG_TERM201402</v>
      </c>
      <c r="F1427" t="s">
        <v>299</v>
      </c>
      <c r="G1427" t="s">
        <v>7</v>
      </c>
      <c r="H1427" t="s">
        <v>307</v>
      </c>
      <c r="I1427" t="s">
        <v>254</v>
      </c>
      <c r="J1427" t="s">
        <v>23</v>
      </c>
      <c r="K1427" t="s">
        <v>183</v>
      </c>
      <c r="L1427">
        <v>137120.967747307</v>
      </c>
      <c r="M1427" t="s">
        <v>70</v>
      </c>
      <c r="N1427" t="s">
        <v>62</v>
      </c>
    </row>
    <row r="1428" spans="1:14">
      <c r="A1428" t="str">
        <f t="shared" si="44"/>
        <v>7.장기재고율_장기재고금액CNTINV_LONG_TERM2014</v>
      </c>
      <c r="B1428" t="str">
        <f t="shared" si="45"/>
        <v>7.장기재고율_장기재고금액CNTINV_LONG_TERM201403</v>
      </c>
      <c r="F1428" t="s">
        <v>299</v>
      </c>
      <c r="G1428" t="s">
        <v>7</v>
      </c>
      <c r="H1428" t="s">
        <v>307</v>
      </c>
      <c r="I1428" t="s">
        <v>254</v>
      </c>
      <c r="J1428" t="s">
        <v>24</v>
      </c>
      <c r="K1428" t="s">
        <v>183</v>
      </c>
      <c r="L1428">
        <v>67759.544054640704</v>
      </c>
      <c r="M1428" t="s">
        <v>70</v>
      </c>
      <c r="N1428" t="s">
        <v>62</v>
      </c>
    </row>
    <row r="1429" spans="1:14">
      <c r="A1429" t="str">
        <f t="shared" si="44"/>
        <v>7.장기재고율_장기재고금액CNTINV_LONG_TERM2014</v>
      </c>
      <c r="B1429" t="str">
        <f t="shared" si="45"/>
        <v>7.장기재고율_장기재고금액CNTINV_LONG_TERM201404</v>
      </c>
      <c r="F1429" t="s">
        <v>299</v>
      </c>
      <c r="G1429" t="s">
        <v>7</v>
      </c>
      <c r="H1429" t="s">
        <v>307</v>
      </c>
      <c r="I1429" t="s">
        <v>254</v>
      </c>
      <c r="J1429" t="s">
        <v>25</v>
      </c>
      <c r="K1429" t="s">
        <v>183</v>
      </c>
      <c r="L1429">
        <v>31159.944213434101</v>
      </c>
      <c r="M1429" t="s">
        <v>70</v>
      </c>
      <c r="N1429" t="s">
        <v>62</v>
      </c>
    </row>
    <row r="1430" spans="1:14">
      <c r="A1430" t="str">
        <f t="shared" si="44"/>
        <v>7.장기재고율_장기재고금액CNTINV_LONG_TERM2014</v>
      </c>
      <c r="B1430" t="str">
        <f t="shared" si="45"/>
        <v>7.장기재고율_장기재고금액CNTINV_LONG_TERM201405</v>
      </c>
      <c r="F1430" t="s">
        <v>299</v>
      </c>
      <c r="G1430" t="s">
        <v>7</v>
      </c>
      <c r="H1430" t="s">
        <v>307</v>
      </c>
      <c r="I1430" t="s">
        <v>254</v>
      </c>
      <c r="J1430" t="s">
        <v>26</v>
      </c>
      <c r="K1430" t="s">
        <v>183</v>
      </c>
      <c r="L1430">
        <v>6103.66549099452</v>
      </c>
      <c r="M1430" t="s">
        <v>70</v>
      </c>
      <c r="N1430" t="s">
        <v>62</v>
      </c>
    </row>
    <row r="1431" spans="1:14">
      <c r="A1431" t="str">
        <f t="shared" si="44"/>
        <v>7.장기재고율_장기재고금액CNTINV_LONG_TERM2014</v>
      </c>
      <c r="B1431" t="str">
        <f t="shared" si="45"/>
        <v>7.장기재고율_장기재고금액CNTINV_LONG_TERM201406</v>
      </c>
      <c r="F1431" t="s">
        <v>299</v>
      </c>
      <c r="G1431" t="s">
        <v>7</v>
      </c>
      <c r="H1431" t="s">
        <v>307</v>
      </c>
      <c r="I1431" t="s">
        <v>254</v>
      </c>
      <c r="J1431" t="s">
        <v>27</v>
      </c>
      <c r="K1431" t="s">
        <v>183</v>
      </c>
      <c r="L1431">
        <v>18286.895774447901</v>
      </c>
      <c r="M1431" t="s">
        <v>70</v>
      </c>
      <c r="N1431" t="s">
        <v>62</v>
      </c>
    </row>
    <row r="1432" spans="1:14">
      <c r="A1432" t="str">
        <f t="shared" si="44"/>
        <v>7.장기재고율_장기재고금액CNTINV_LONG_TERM2014</v>
      </c>
      <c r="B1432" t="str">
        <f t="shared" si="45"/>
        <v>7.장기재고율_장기재고금액CNTINV_LONG_TERM201407</v>
      </c>
      <c r="F1432" t="s">
        <v>299</v>
      </c>
      <c r="G1432" t="s">
        <v>7</v>
      </c>
      <c r="H1432" t="s">
        <v>307</v>
      </c>
      <c r="I1432" t="s">
        <v>254</v>
      </c>
      <c r="J1432" t="s">
        <v>28</v>
      </c>
      <c r="K1432" t="s">
        <v>183</v>
      </c>
      <c r="L1432">
        <v>5666.0466970614098</v>
      </c>
      <c r="M1432" t="s">
        <v>70</v>
      </c>
      <c r="N1432" t="s">
        <v>62</v>
      </c>
    </row>
    <row r="1433" spans="1:14">
      <c r="A1433" t="str">
        <f t="shared" si="44"/>
        <v>7.장기재고율_장기재고금액CNTINV_LONG_TERM2014</v>
      </c>
      <c r="B1433" t="str">
        <f t="shared" si="45"/>
        <v>7.장기재고율_장기재고금액CNTINV_LONG_TERM201408</v>
      </c>
      <c r="F1433" t="s">
        <v>299</v>
      </c>
      <c r="G1433" t="s">
        <v>7</v>
      </c>
      <c r="H1433" t="s">
        <v>307</v>
      </c>
      <c r="I1433" t="s">
        <v>254</v>
      </c>
      <c r="J1433" t="s">
        <v>29</v>
      </c>
      <c r="K1433" t="s">
        <v>183</v>
      </c>
      <c r="L1433">
        <v>431.98103601026003</v>
      </c>
      <c r="M1433" t="s">
        <v>70</v>
      </c>
      <c r="N1433" t="s">
        <v>62</v>
      </c>
    </row>
    <row r="1434" spans="1:14">
      <c r="A1434" t="str">
        <f t="shared" si="44"/>
        <v>7.장기재고율_장기재고금액CNTINV_LONG_TERM2014</v>
      </c>
      <c r="B1434" t="str">
        <f t="shared" si="45"/>
        <v>7.장기재고율_장기재고금액CNTINV_LONG_TERM201409</v>
      </c>
      <c r="F1434" t="s">
        <v>299</v>
      </c>
      <c r="G1434" t="s">
        <v>7</v>
      </c>
      <c r="H1434" t="s">
        <v>307</v>
      </c>
      <c r="I1434" t="s">
        <v>254</v>
      </c>
      <c r="J1434" t="s">
        <v>30</v>
      </c>
      <c r="K1434" t="s">
        <v>183</v>
      </c>
      <c r="L1434">
        <v>43234.149383875898</v>
      </c>
      <c r="M1434" t="s">
        <v>70</v>
      </c>
      <c r="N1434" t="s">
        <v>62</v>
      </c>
    </row>
    <row r="1435" spans="1:14">
      <c r="A1435" t="str">
        <f t="shared" si="44"/>
        <v>7.장기재고율_장기재고금액CNTINV_LONG_TERM2014</v>
      </c>
      <c r="B1435" t="str">
        <f t="shared" si="45"/>
        <v>7.장기재고율_장기재고금액CNTINV_LONG_TERM201410</v>
      </c>
      <c r="F1435" t="s">
        <v>299</v>
      </c>
      <c r="G1435" t="s">
        <v>7</v>
      </c>
      <c r="H1435" t="s">
        <v>307</v>
      </c>
      <c r="I1435" t="s">
        <v>254</v>
      </c>
      <c r="J1435" t="s">
        <v>31</v>
      </c>
      <c r="K1435" t="s">
        <v>183</v>
      </c>
      <c r="L1435">
        <v>29441.4612412713</v>
      </c>
      <c r="M1435" t="s">
        <v>70</v>
      </c>
      <c r="N1435" t="s">
        <v>62</v>
      </c>
    </row>
    <row r="1436" spans="1:14">
      <c r="A1436" t="str">
        <f t="shared" si="44"/>
        <v>7.장기재고율_장기재고금액CNTINV_LONG_TERM2014</v>
      </c>
      <c r="B1436" t="str">
        <f t="shared" si="45"/>
        <v>7.장기재고율_장기재고금액CNTINV_LONG_TERM201411</v>
      </c>
      <c r="F1436" t="s">
        <v>299</v>
      </c>
      <c r="G1436" t="s">
        <v>7</v>
      </c>
      <c r="H1436" t="s">
        <v>307</v>
      </c>
      <c r="I1436" t="s">
        <v>254</v>
      </c>
      <c r="J1436" t="s">
        <v>32</v>
      </c>
      <c r="K1436" t="s">
        <v>183</v>
      </c>
      <c r="L1436">
        <v>38548.451194078603</v>
      </c>
      <c r="M1436" t="s">
        <v>70</v>
      </c>
      <c r="N1436" t="s">
        <v>62</v>
      </c>
    </row>
    <row r="1437" spans="1:14">
      <c r="A1437" t="str">
        <f t="shared" si="44"/>
        <v>7.장기재고율_장기재고금액CNTINV_LONG_TERM2014</v>
      </c>
      <c r="B1437" t="str">
        <f t="shared" si="45"/>
        <v>7.장기재고율_장기재고금액CNTINV_LONG_TERM201412</v>
      </c>
      <c r="F1437" t="s">
        <v>299</v>
      </c>
      <c r="G1437" t="s">
        <v>7</v>
      </c>
      <c r="H1437" t="s">
        <v>307</v>
      </c>
      <c r="I1437" t="s">
        <v>254</v>
      </c>
      <c r="J1437" t="s">
        <v>33</v>
      </c>
      <c r="K1437" t="s">
        <v>183</v>
      </c>
      <c r="L1437">
        <v>41742.081443868301</v>
      </c>
      <c r="M1437" t="s">
        <v>70</v>
      </c>
      <c r="N1437" t="s">
        <v>62</v>
      </c>
    </row>
    <row r="1438" spans="1:14">
      <c r="A1438" t="str">
        <f t="shared" si="44"/>
        <v>7.장기재고율_장기재고금액CNTINV_LONG_TERM2015</v>
      </c>
      <c r="B1438" t="str">
        <f t="shared" si="45"/>
        <v>7.장기재고율_장기재고금액CNTINV_LONG_TERM201501</v>
      </c>
      <c r="F1438" t="s">
        <v>299</v>
      </c>
      <c r="G1438" t="s">
        <v>7</v>
      </c>
      <c r="H1438" t="s">
        <v>307</v>
      </c>
      <c r="I1438" t="s">
        <v>260</v>
      </c>
      <c r="J1438" t="s">
        <v>34</v>
      </c>
      <c r="K1438" t="s">
        <v>183</v>
      </c>
      <c r="L1438">
        <v>58074.528142830903</v>
      </c>
      <c r="M1438" t="s">
        <v>70</v>
      </c>
      <c r="N1438" t="s">
        <v>62</v>
      </c>
    </row>
    <row r="1439" spans="1:14">
      <c r="A1439" t="str">
        <f t="shared" si="44"/>
        <v>7.장기재고율_장기재고금액CNTINV_LONG_TERM2015</v>
      </c>
      <c r="B1439" t="str">
        <f t="shared" si="45"/>
        <v>7.장기재고율_장기재고금액CNTINV_LONG_TERM201502</v>
      </c>
      <c r="F1439" t="s">
        <v>299</v>
      </c>
      <c r="G1439" t="s">
        <v>7</v>
      </c>
      <c r="H1439" t="s">
        <v>307</v>
      </c>
      <c r="I1439" t="s">
        <v>260</v>
      </c>
      <c r="J1439" t="s">
        <v>35</v>
      </c>
      <c r="K1439" t="s">
        <v>183</v>
      </c>
      <c r="L1439">
        <v>131531.616606714</v>
      </c>
      <c r="M1439" t="s">
        <v>70</v>
      </c>
      <c r="N1439" t="s">
        <v>62</v>
      </c>
    </row>
    <row r="1440" spans="1:14">
      <c r="A1440" t="str">
        <f t="shared" si="44"/>
        <v>7.장기재고율_장기재고금액CNTINV_LONG_TERM2015</v>
      </c>
      <c r="B1440" t="str">
        <f t="shared" si="45"/>
        <v>7.장기재고율_장기재고금액CNTINV_LONG_TERM201503</v>
      </c>
      <c r="F1440" t="s">
        <v>299</v>
      </c>
      <c r="G1440" t="s">
        <v>7</v>
      </c>
      <c r="H1440" t="s">
        <v>307</v>
      </c>
      <c r="I1440" t="s">
        <v>260</v>
      </c>
      <c r="J1440" t="s">
        <v>36</v>
      </c>
      <c r="K1440" t="s">
        <v>183</v>
      </c>
      <c r="L1440">
        <v>135027.010237104</v>
      </c>
      <c r="M1440" t="s">
        <v>70</v>
      </c>
      <c r="N1440" t="s">
        <v>62</v>
      </c>
    </row>
    <row r="1441" spans="1:14">
      <c r="A1441" t="str">
        <f t="shared" si="44"/>
        <v>7.장기재고율_장기재고금액CNTINV_LONG_TERM2015</v>
      </c>
      <c r="B1441" t="str">
        <f t="shared" si="45"/>
        <v>7.장기재고율_장기재고금액CNTINV_LONG_TERM201504</v>
      </c>
      <c r="F1441" t="s">
        <v>299</v>
      </c>
      <c r="G1441" t="s">
        <v>7</v>
      </c>
      <c r="H1441" t="s">
        <v>307</v>
      </c>
      <c r="I1441" t="s">
        <v>260</v>
      </c>
      <c r="J1441" t="s">
        <v>37</v>
      </c>
      <c r="K1441" t="s">
        <v>183</v>
      </c>
      <c r="L1441">
        <v>189328.405611366</v>
      </c>
      <c r="M1441" t="s">
        <v>70</v>
      </c>
      <c r="N1441" t="s">
        <v>62</v>
      </c>
    </row>
    <row r="1442" spans="1:14">
      <c r="A1442" t="str">
        <f t="shared" si="44"/>
        <v>7.장기재고율_장기재고금액CNTINV_LONG_TERM2015</v>
      </c>
      <c r="B1442" t="str">
        <f t="shared" si="45"/>
        <v>7.장기재고율_장기재고금액CNTINV_LONG_TERM201505</v>
      </c>
      <c r="F1442" t="s">
        <v>299</v>
      </c>
      <c r="G1442" t="s">
        <v>7</v>
      </c>
      <c r="H1442" t="s">
        <v>307</v>
      </c>
      <c r="I1442" t="s">
        <v>260</v>
      </c>
      <c r="J1442" t="s">
        <v>38</v>
      </c>
      <c r="K1442" t="s">
        <v>183</v>
      </c>
      <c r="L1442">
        <v>113796.075921119</v>
      </c>
      <c r="M1442" t="s">
        <v>70</v>
      </c>
      <c r="N1442" t="s">
        <v>62</v>
      </c>
    </row>
    <row r="1443" spans="1:14">
      <c r="A1443" t="str">
        <f t="shared" si="44"/>
        <v>7.장기재고율_장기재고금액CNTINV_LONG_TERM2015</v>
      </c>
      <c r="B1443" t="str">
        <f t="shared" si="45"/>
        <v>7.장기재고율_장기재고금액CNTINV_LONG_TERM201506</v>
      </c>
      <c r="F1443" t="s">
        <v>299</v>
      </c>
      <c r="G1443" t="s">
        <v>7</v>
      </c>
      <c r="H1443" t="s">
        <v>307</v>
      </c>
      <c r="I1443" t="s">
        <v>260</v>
      </c>
      <c r="J1443" t="s">
        <v>39</v>
      </c>
      <c r="K1443" t="s">
        <v>183</v>
      </c>
      <c r="L1443">
        <v>295493.72819722397</v>
      </c>
      <c r="M1443" t="s">
        <v>70</v>
      </c>
      <c r="N1443" t="s">
        <v>62</v>
      </c>
    </row>
    <row r="1444" spans="1:14">
      <c r="A1444" t="str">
        <f t="shared" si="44"/>
        <v>7.장기재고율_장기재고금액CNTINV_LONG_TERM2015</v>
      </c>
      <c r="B1444" t="str">
        <f t="shared" si="45"/>
        <v>7.장기재고율_장기재고금액CNTINV_LONG_TERM201507</v>
      </c>
      <c r="F1444" t="s">
        <v>299</v>
      </c>
      <c r="G1444" t="s">
        <v>7</v>
      </c>
      <c r="H1444" t="s">
        <v>307</v>
      </c>
      <c r="I1444" t="s">
        <v>260</v>
      </c>
      <c r="J1444" t="s">
        <v>40</v>
      </c>
      <c r="K1444" t="s">
        <v>183</v>
      </c>
      <c r="L1444">
        <v>132729.23281454199</v>
      </c>
      <c r="M1444" t="s">
        <v>70</v>
      </c>
      <c r="N1444" t="s">
        <v>62</v>
      </c>
    </row>
    <row r="1445" spans="1:14">
      <c r="A1445" t="str">
        <f t="shared" si="44"/>
        <v>7.장기재고율_장기재고금액CNTINV_LONG_TERM2015</v>
      </c>
      <c r="B1445" t="str">
        <f t="shared" si="45"/>
        <v>7.장기재고율_장기재고금액CNTINV_LONG_TERM201508</v>
      </c>
      <c r="F1445" t="s">
        <v>299</v>
      </c>
      <c r="G1445" t="s">
        <v>7</v>
      </c>
      <c r="H1445" t="s">
        <v>307</v>
      </c>
      <c r="I1445" t="s">
        <v>260</v>
      </c>
      <c r="J1445" t="s">
        <v>41</v>
      </c>
      <c r="K1445" t="s">
        <v>183</v>
      </c>
      <c r="L1445">
        <v>28592.5790809317</v>
      </c>
      <c r="M1445" t="s">
        <v>70</v>
      </c>
      <c r="N1445" t="s">
        <v>62</v>
      </c>
    </row>
    <row r="1446" spans="1:14">
      <c r="A1446" t="str">
        <f t="shared" si="44"/>
        <v>7.장기재고율_장기재고금액CNTINV_LONG_TERM2015</v>
      </c>
      <c r="B1446" t="str">
        <f t="shared" si="45"/>
        <v>7.장기재고율_장기재고금액CNTINV_LONG_TERM201509</v>
      </c>
      <c r="F1446" t="s">
        <v>299</v>
      </c>
      <c r="G1446" t="s">
        <v>7</v>
      </c>
      <c r="H1446" t="s">
        <v>307</v>
      </c>
      <c r="I1446" t="s">
        <v>260</v>
      </c>
      <c r="J1446" t="s">
        <v>42</v>
      </c>
      <c r="K1446" t="s">
        <v>183</v>
      </c>
      <c r="L1446">
        <v>88691.827190958604</v>
      </c>
      <c r="M1446" t="s">
        <v>70</v>
      </c>
      <c r="N1446" t="s">
        <v>62</v>
      </c>
    </row>
    <row r="1447" spans="1:14">
      <c r="A1447" t="str">
        <f t="shared" si="44"/>
        <v>7.장기재고율_장기재고금액CNTINV_LONG_TERM2015</v>
      </c>
      <c r="B1447" t="str">
        <f t="shared" si="45"/>
        <v>7.장기재고율_장기재고금액CNTINV_LONG_TERM201510</v>
      </c>
      <c r="F1447" t="s">
        <v>299</v>
      </c>
      <c r="G1447" t="s">
        <v>7</v>
      </c>
      <c r="H1447" t="s">
        <v>307</v>
      </c>
      <c r="I1447" t="s">
        <v>260</v>
      </c>
      <c r="J1447" t="s">
        <v>1</v>
      </c>
      <c r="K1447" t="s">
        <v>183</v>
      </c>
      <c r="L1447">
        <v>40873.7303284601</v>
      </c>
      <c r="M1447" t="s">
        <v>70</v>
      </c>
      <c r="N1447" t="s">
        <v>62</v>
      </c>
    </row>
    <row r="1448" spans="1:14">
      <c r="A1448" t="str">
        <f t="shared" si="44"/>
        <v>7.장기재고율_장기재고금액CVTINV_LONG_TERM2014</v>
      </c>
      <c r="B1448" t="str">
        <f t="shared" si="45"/>
        <v>7.장기재고율_장기재고금액CVTINV_LONG_TERM201401</v>
      </c>
      <c r="F1448" t="s">
        <v>299</v>
      </c>
      <c r="G1448" t="s">
        <v>308</v>
      </c>
      <c r="H1448" t="s">
        <v>307</v>
      </c>
      <c r="I1448" t="s">
        <v>254</v>
      </c>
      <c r="J1448" t="s">
        <v>22</v>
      </c>
      <c r="K1448" t="s">
        <v>183</v>
      </c>
      <c r="L1448">
        <v>9413.8476585433691</v>
      </c>
      <c r="M1448" t="s">
        <v>316</v>
      </c>
      <c r="N1448" t="s">
        <v>317</v>
      </c>
    </row>
    <row r="1449" spans="1:14">
      <c r="A1449" t="str">
        <f t="shared" si="44"/>
        <v>7.장기재고율_장기재고금액CVTINV_LONG_TERM2014</v>
      </c>
      <c r="B1449" t="str">
        <f t="shared" si="45"/>
        <v>7.장기재고율_장기재고금액CVTINV_LONG_TERM201402</v>
      </c>
      <c r="F1449" t="s">
        <v>299</v>
      </c>
      <c r="G1449" t="s">
        <v>308</v>
      </c>
      <c r="H1449" t="s">
        <v>307</v>
      </c>
      <c r="I1449" t="s">
        <v>254</v>
      </c>
      <c r="J1449" t="s">
        <v>23</v>
      </c>
      <c r="K1449" t="s">
        <v>183</v>
      </c>
      <c r="L1449">
        <v>0</v>
      </c>
      <c r="M1449" t="s">
        <v>316</v>
      </c>
      <c r="N1449" t="s">
        <v>317</v>
      </c>
    </row>
    <row r="1450" spans="1:14">
      <c r="A1450" t="str">
        <f t="shared" si="44"/>
        <v>7.장기재고율_장기재고금액CVTINV_LONG_TERM2014</v>
      </c>
      <c r="B1450" t="str">
        <f t="shared" si="45"/>
        <v>7.장기재고율_장기재고금액CVTINV_LONG_TERM201403</v>
      </c>
      <c r="F1450" t="s">
        <v>299</v>
      </c>
      <c r="G1450" t="s">
        <v>308</v>
      </c>
      <c r="H1450" t="s">
        <v>307</v>
      </c>
      <c r="I1450" t="s">
        <v>254</v>
      </c>
      <c r="J1450" t="s">
        <v>24</v>
      </c>
      <c r="K1450" t="s">
        <v>183</v>
      </c>
      <c r="L1450">
        <v>0</v>
      </c>
      <c r="M1450" t="s">
        <v>316</v>
      </c>
      <c r="N1450" t="s">
        <v>317</v>
      </c>
    </row>
    <row r="1451" spans="1:14">
      <c r="A1451" t="str">
        <f t="shared" si="44"/>
        <v>7.장기재고율_장기재고금액CVTINV_LONG_TERM2014</v>
      </c>
      <c r="B1451" t="str">
        <f t="shared" si="45"/>
        <v>7.장기재고율_장기재고금액CVTINV_LONG_TERM201404</v>
      </c>
      <c r="F1451" t="s">
        <v>299</v>
      </c>
      <c r="G1451" t="s">
        <v>308</v>
      </c>
      <c r="H1451" t="s">
        <v>307</v>
      </c>
      <c r="I1451" t="s">
        <v>254</v>
      </c>
      <c r="J1451" t="s">
        <v>25</v>
      </c>
      <c r="K1451" t="s">
        <v>183</v>
      </c>
      <c r="L1451">
        <v>0</v>
      </c>
      <c r="M1451" t="s">
        <v>316</v>
      </c>
      <c r="N1451" t="s">
        <v>317</v>
      </c>
    </row>
    <row r="1452" spans="1:14">
      <c r="A1452" t="str">
        <f t="shared" si="44"/>
        <v>7.장기재고율_장기재고금액CVTINV_LONG_TERM2014</v>
      </c>
      <c r="B1452" t="str">
        <f t="shared" si="45"/>
        <v>7.장기재고율_장기재고금액CVTINV_LONG_TERM201405</v>
      </c>
      <c r="F1452" t="s">
        <v>299</v>
      </c>
      <c r="G1452" t="s">
        <v>308</v>
      </c>
      <c r="H1452" t="s">
        <v>307</v>
      </c>
      <c r="I1452" t="s">
        <v>254</v>
      </c>
      <c r="J1452" t="s">
        <v>26</v>
      </c>
      <c r="K1452" t="s">
        <v>183</v>
      </c>
      <c r="L1452">
        <v>0</v>
      </c>
      <c r="M1452" t="s">
        <v>316</v>
      </c>
      <c r="N1452" t="s">
        <v>317</v>
      </c>
    </row>
    <row r="1453" spans="1:14">
      <c r="A1453" t="str">
        <f t="shared" si="44"/>
        <v>7.장기재고율_장기재고금액CVTINV_LONG_TERM2014</v>
      </c>
      <c r="B1453" t="str">
        <f t="shared" si="45"/>
        <v>7.장기재고율_장기재고금액CVTINV_LONG_TERM201406</v>
      </c>
      <c r="F1453" t="s">
        <v>299</v>
      </c>
      <c r="G1453" t="s">
        <v>308</v>
      </c>
      <c r="H1453" t="s">
        <v>307</v>
      </c>
      <c r="I1453" t="s">
        <v>254</v>
      </c>
      <c r="J1453" t="s">
        <v>27</v>
      </c>
      <c r="K1453" t="s">
        <v>183</v>
      </c>
      <c r="L1453">
        <v>0</v>
      </c>
      <c r="M1453" t="s">
        <v>316</v>
      </c>
      <c r="N1453" t="s">
        <v>317</v>
      </c>
    </row>
    <row r="1454" spans="1:14">
      <c r="A1454" t="str">
        <f t="shared" si="44"/>
        <v>7.장기재고율_장기재고금액CVTINV_LONG_TERM2014</v>
      </c>
      <c r="B1454" t="str">
        <f t="shared" si="45"/>
        <v>7.장기재고율_장기재고금액CVTINV_LONG_TERM201407</v>
      </c>
      <c r="F1454" t="s">
        <v>299</v>
      </c>
      <c r="G1454" t="s">
        <v>308</v>
      </c>
      <c r="H1454" t="s">
        <v>307</v>
      </c>
      <c r="I1454" t="s">
        <v>254</v>
      </c>
      <c r="J1454" t="s">
        <v>28</v>
      </c>
      <c r="K1454" t="s">
        <v>183</v>
      </c>
      <c r="L1454">
        <v>0</v>
      </c>
      <c r="M1454" t="s">
        <v>316</v>
      </c>
      <c r="N1454" t="s">
        <v>317</v>
      </c>
    </row>
    <row r="1455" spans="1:14">
      <c r="A1455" t="str">
        <f t="shared" si="44"/>
        <v>7.장기재고율_장기재고금액CVTINV_LONG_TERM2014</v>
      </c>
      <c r="B1455" t="str">
        <f t="shared" si="45"/>
        <v>7.장기재고율_장기재고금액CVTINV_LONG_TERM201408</v>
      </c>
      <c r="F1455" t="s">
        <v>299</v>
      </c>
      <c r="G1455" t="s">
        <v>308</v>
      </c>
      <c r="H1455" t="s">
        <v>307</v>
      </c>
      <c r="I1455" t="s">
        <v>254</v>
      </c>
      <c r="J1455" t="s">
        <v>29</v>
      </c>
      <c r="K1455" t="s">
        <v>183</v>
      </c>
      <c r="L1455">
        <v>573.19890627466498</v>
      </c>
      <c r="M1455" t="s">
        <v>316</v>
      </c>
      <c r="N1455" t="s">
        <v>317</v>
      </c>
    </row>
    <row r="1456" spans="1:14">
      <c r="A1456" t="str">
        <f t="shared" si="44"/>
        <v>7.장기재고율_장기재고금액CVTINV_LONG_TERM2014</v>
      </c>
      <c r="B1456" t="str">
        <f t="shared" si="45"/>
        <v>7.장기재고율_장기재고금액CVTINV_LONG_TERM201409</v>
      </c>
      <c r="F1456" t="s">
        <v>299</v>
      </c>
      <c r="G1456" t="s">
        <v>308</v>
      </c>
      <c r="H1456" t="s">
        <v>307</v>
      </c>
      <c r="I1456" t="s">
        <v>254</v>
      </c>
      <c r="J1456" t="s">
        <v>30</v>
      </c>
      <c r="K1456" t="s">
        <v>183</v>
      </c>
      <c r="L1456">
        <v>0</v>
      </c>
      <c r="M1456" t="s">
        <v>316</v>
      </c>
      <c r="N1456" t="s">
        <v>317</v>
      </c>
    </row>
    <row r="1457" spans="1:14">
      <c r="A1457" t="str">
        <f t="shared" si="44"/>
        <v>7.장기재고율_장기재고금액CVTINV_LONG_TERM2014</v>
      </c>
      <c r="B1457" t="str">
        <f t="shared" si="45"/>
        <v>7.장기재고율_장기재고금액CVTINV_LONG_TERM201410</v>
      </c>
      <c r="F1457" t="s">
        <v>299</v>
      </c>
      <c r="G1457" t="s">
        <v>308</v>
      </c>
      <c r="H1457" t="s">
        <v>307</v>
      </c>
      <c r="I1457" t="s">
        <v>254</v>
      </c>
      <c r="J1457" t="s">
        <v>31</v>
      </c>
      <c r="K1457" t="s">
        <v>183</v>
      </c>
      <c r="L1457">
        <v>555.95223149905098</v>
      </c>
      <c r="M1457" t="s">
        <v>316</v>
      </c>
      <c r="N1457" t="s">
        <v>317</v>
      </c>
    </row>
    <row r="1458" spans="1:14">
      <c r="A1458" t="str">
        <f t="shared" si="44"/>
        <v>7.장기재고율_장기재고금액CVTINV_LONG_TERM2014</v>
      </c>
      <c r="B1458" t="str">
        <f t="shared" si="45"/>
        <v>7.장기재고율_장기재고금액CVTINV_LONG_TERM201411</v>
      </c>
      <c r="F1458" t="s">
        <v>299</v>
      </c>
      <c r="G1458" t="s">
        <v>308</v>
      </c>
      <c r="H1458" t="s">
        <v>307</v>
      </c>
      <c r="I1458" t="s">
        <v>254</v>
      </c>
      <c r="J1458" t="s">
        <v>32</v>
      </c>
      <c r="K1458" t="s">
        <v>183</v>
      </c>
      <c r="L1458">
        <v>0</v>
      </c>
      <c r="M1458" t="s">
        <v>316</v>
      </c>
      <c r="N1458" t="s">
        <v>317</v>
      </c>
    </row>
    <row r="1459" spans="1:14">
      <c r="A1459" t="str">
        <f t="shared" si="44"/>
        <v>7.장기재고율_장기재고금액CVTINV_LONG_TERM2014</v>
      </c>
      <c r="B1459" t="str">
        <f t="shared" si="45"/>
        <v>7.장기재고율_장기재고금액CVTINV_LONG_TERM201412</v>
      </c>
      <c r="F1459" t="s">
        <v>299</v>
      </c>
      <c r="G1459" t="s">
        <v>308</v>
      </c>
      <c r="H1459" t="s">
        <v>307</v>
      </c>
      <c r="I1459" t="s">
        <v>254</v>
      </c>
      <c r="J1459" t="s">
        <v>33</v>
      </c>
      <c r="K1459" t="s">
        <v>183</v>
      </c>
      <c r="L1459">
        <v>0</v>
      </c>
      <c r="M1459" t="s">
        <v>316</v>
      </c>
      <c r="N1459" t="s">
        <v>317</v>
      </c>
    </row>
    <row r="1460" spans="1:14">
      <c r="A1460" t="str">
        <f t="shared" si="44"/>
        <v>7.장기재고율_장기재고금액CVTINV_LONG_TERM2015</v>
      </c>
      <c r="B1460" t="str">
        <f t="shared" si="45"/>
        <v>7.장기재고율_장기재고금액CVTINV_LONG_TERM201501</v>
      </c>
      <c r="F1460" t="s">
        <v>299</v>
      </c>
      <c r="G1460" t="s">
        <v>308</v>
      </c>
      <c r="H1460" t="s">
        <v>307</v>
      </c>
      <c r="I1460" t="s">
        <v>260</v>
      </c>
      <c r="J1460" t="s">
        <v>34</v>
      </c>
      <c r="K1460" t="s">
        <v>183</v>
      </c>
      <c r="L1460">
        <v>0</v>
      </c>
      <c r="M1460" t="s">
        <v>316</v>
      </c>
      <c r="N1460" t="s">
        <v>317</v>
      </c>
    </row>
    <row r="1461" spans="1:14">
      <c r="A1461" t="str">
        <f t="shared" si="44"/>
        <v>7.장기재고율_장기재고금액CVTINV_LONG_TERM2015</v>
      </c>
      <c r="B1461" t="str">
        <f t="shared" si="45"/>
        <v>7.장기재고율_장기재고금액CVTINV_LONG_TERM201502</v>
      </c>
      <c r="F1461" t="s">
        <v>299</v>
      </c>
      <c r="G1461" t="s">
        <v>308</v>
      </c>
      <c r="H1461" t="s">
        <v>307</v>
      </c>
      <c r="I1461" t="s">
        <v>260</v>
      </c>
      <c r="J1461" t="s">
        <v>35</v>
      </c>
      <c r="K1461" t="s">
        <v>183</v>
      </c>
      <c r="L1461">
        <v>0</v>
      </c>
      <c r="M1461" t="s">
        <v>316</v>
      </c>
      <c r="N1461" t="s">
        <v>317</v>
      </c>
    </row>
    <row r="1462" spans="1:14">
      <c r="A1462" t="str">
        <f t="shared" si="44"/>
        <v>7.장기재고율_장기재고금액CVTINV_LONG_TERM2015</v>
      </c>
      <c r="B1462" t="str">
        <f t="shared" si="45"/>
        <v>7.장기재고율_장기재고금액CVTINV_LONG_TERM201503</v>
      </c>
      <c r="F1462" t="s">
        <v>299</v>
      </c>
      <c r="G1462" t="s">
        <v>308</v>
      </c>
      <c r="H1462" t="s">
        <v>307</v>
      </c>
      <c r="I1462" t="s">
        <v>260</v>
      </c>
      <c r="J1462" t="s">
        <v>36</v>
      </c>
      <c r="K1462" t="s">
        <v>183</v>
      </c>
      <c r="L1462">
        <v>0</v>
      </c>
      <c r="M1462" t="s">
        <v>316</v>
      </c>
      <c r="N1462" t="s">
        <v>317</v>
      </c>
    </row>
    <row r="1463" spans="1:14">
      <c r="A1463" t="str">
        <f t="shared" si="44"/>
        <v>7.장기재고율_장기재고금액CVTINV_LONG_TERM2015</v>
      </c>
      <c r="B1463" t="str">
        <f t="shared" si="45"/>
        <v>7.장기재고율_장기재고금액CVTINV_LONG_TERM201504</v>
      </c>
      <c r="F1463" t="s">
        <v>299</v>
      </c>
      <c r="G1463" t="s">
        <v>308</v>
      </c>
      <c r="H1463" t="s">
        <v>307</v>
      </c>
      <c r="I1463" t="s">
        <v>260</v>
      </c>
      <c r="J1463" t="s">
        <v>37</v>
      </c>
      <c r="K1463" t="s">
        <v>183</v>
      </c>
      <c r="L1463">
        <v>0</v>
      </c>
      <c r="M1463" t="s">
        <v>316</v>
      </c>
      <c r="N1463" t="s">
        <v>317</v>
      </c>
    </row>
    <row r="1464" spans="1:14">
      <c r="A1464" t="str">
        <f t="shared" si="44"/>
        <v>7.장기재고율_장기재고금액CVTINV_LONG_TERM2015</v>
      </c>
      <c r="B1464" t="str">
        <f t="shared" si="45"/>
        <v>7.장기재고율_장기재고금액CVTINV_LONG_TERM201505</v>
      </c>
      <c r="F1464" t="s">
        <v>299</v>
      </c>
      <c r="G1464" t="s">
        <v>308</v>
      </c>
      <c r="H1464" t="s">
        <v>307</v>
      </c>
      <c r="I1464" t="s">
        <v>260</v>
      </c>
      <c r="J1464" t="s">
        <v>38</v>
      </c>
      <c r="K1464" t="s">
        <v>183</v>
      </c>
      <c r="L1464">
        <v>606.185723555957</v>
      </c>
      <c r="M1464" t="s">
        <v>316</v>
      </c>
      <c r="N1464" t="s">
        <v>317</v>
      </c>
    </row>
    <row r="1465" spans="1:14">
      <c r="A1465" t="str">
        <f t="shared" si="44"/>
        <v>7.장기재고율_장기재고금액CVTINV_LONG_TERM2015</v>
      </c>
      <c r="B1465" t="str">
        <f t="shared" si="45"/>
        <v>7.장기재고율_장기재고금액CVTINV_LONG_TERM201506</v>
      </c>
      <c r="F1465" t="s">
        <v>299</v>
      </c>
      <c r="G1465" t="s">
        <v>308</v>
      </c>
      <c r="H1465" t="s">
        <v>307</v>
      </c>
      <c r="I1465" t="s">
        <v>260</v>
      </c>
      <c r="J1465" t="s">
        <v>39</v>
      </c>
      <c r="K1465" t="s">
        <v>183</v>
      </c>
      <c r="L1465">
        <v>0</v>
      </c>
      <c r="M1465" t="s">
        <v>316</v>
      </c>
      <c r="N1465" t="s">
        <v>317</v>
      </c>
    </row>
    <row r="1466" spans="1:14">
      <c r="A1466" t="str">
        <f t="shared" si="44"/>
        <v>7.장기재고율_장기재고금액CVTINV_LONG_TERM2015</v>
      </c>
      <c r="B1466" t="str">
        <f t="shared" si="45"/>
        <v>7.장기재고율_장기재고금액CVTINV_LONG_TERM201507</v>
      </c>
      <c r="F1466" t="s">
        <v>299</v>
      </c>
      <c r="G1466" t="s">
        <v>308</v>
      </c>
      <c r="H1466" t="s">
        <v>307</v>
      </c>
      <c r="I1466" t="s">
        <v>260</v>
      </c>
      <c r="J1466" t="s">
        <v>40</v>
      </c>
      <c r="K1466" t="s">
        <v>183</v>
      </c>
      <c r="L1466">
        <v>0</v>
      </c>
      <c r="M1466" t="s">
        <v>316</v>
      </c>
      <c r="N1466" t="s">
        <v>317</v>
      </c>
    </row>
    <row r="1467" spans="1:14">
      <c r="A1467" t="str">
        <f t="shared" si="44"/>
        <v>7.장기재고율_장기재고금액CVTINV_LONG_TERM2015</v>
      </c>
      <c r="B1467" t="str">
        <f t="shared" si="45"/>
        <v>7.장기재고율_장기재고금액CVTINV_LONG_TERM201508</v>
      </c>
      <c r="F1467" t="s">
        <v>299</v>
      </c>
      <c r="G1467" t="s">
        <v>308</v>
      </c>
      <c r="H1467" t="s">
        <v>307</v>
      </c>
      <c r="I1467" t="s">
        <v>260</v>
      </c>
      <c r="J1467" t="s">
        <v>41</v>
      </c>
      <c r="K1467" t="s">
        <v>183</v>
      </c>
      <c r="L1467">
        <v>0</v>
      </c>
      <c r="M1467" t="s">
        <v>316</v>
      </c>
      <c r="N1467" t="s">
        <v>317</v>
      </c>
    </row>
    <row r="1468" spans="1:14">
      <c r="A1468" t="str">
        <f t="shared" si="44"/>
        <v>7.장기재고율_장기재고금액CVTINV_LONG_TERM2015</v>
      </c>
      <c r="B1468" t="str">
        <f t="shared" si="45"/>
        <v>7.장기재고율_장기재고금액CVTINV_LONG_TERM201509</v>
      </c>
      <c r="F1468" t="s">
        <v>299</v>
      </c>
      <c r="G1468" t="s">
        <v>308</v>
      </c>
      <c r="H1468" t="s">
        <v>307</v>
      </c>
      <c r="I1468" t="s">
        <v>260</v>
      </c>
      <c r="J1468" t="s">
        <v>42</v>
      </c>
      <c r="K1468" t="s">
        <v>183</v>
      </c>
      <c r="L1468">
        <v>0</v>
      </c>
      <c r="M1468" t="s">
        <v>316</v>
      </c>
      <c r="N1468" t="s">
        <v>317</v>
      </c>
    </row>
    <row r="1469" spans="1:14">
      <c r="A1469" t="str">
        <f t="shared" si="44"/>
        <v>7.장기재고율_장기재고금액CVTINV_LONG_TERM2015</v>
      </c>
      <c r="B1469" t="str">
        <f t="shared" si="45"/>
        <v>7.장기재고율_장기재고금액CVTINV_LONG_TERM201510</v>
      </c>
      <c r="F1469" t="s">
        <v>299</v>
      </c>
      <c r="G1469" t="s">
        <v>308</v>
      </c>
      <c r="H1469" t="s">
        <v>307</v>
      </c>
      <c r="I1469" t="s">
        <v>260</v>
      </c>
      <c r="J1469" t="s">
        <v>1</v>
      </c>
      <c r="K1469" t="s">
        <v>183</v>
      </c>
      <c r="L1469">
        <v>0</v>
      </c>
      <c r="M1469" t="s">
        <v>316</v>
      </c>
      <c r="N1469" t="s">
        <v>317</v>
      </c>
    </row>
    <row r="1470" spans="1:14">
      <c r="A1470" t="str">
        <f t="shared" si="44"/>
        <v>7.장기재고율_장기재고금액DFTINV_LONG_TERM2014</v>
      </c>
      <c r="B1470" t="str">
        <f t="shared" si="45"/>
        <v>7.장기재고율_장기재고금액DFTINV_LONG_TERM201401</v>
      </c>
      <c r="F1470" t="s">
        <v>299</v>
      </c>
      <c r="G1470" t="s">
        <v>8</v>
      </c>
      <c r="H1470" t="s">
        <v>307</v>
      </c>
      <c r="I1470" t="s">
        <v>254</v>
      </c>
      <c r="J1470" t="s">
        <v>22</v>
      </c>
      <c r="K1470" t="s">
        <v>183</v>
      </c>
      <c r="L1470">
        <v>40020.104294848003</v>
      </c>
      <c r="M1470" t="s">
        <v>71</v>
      </c>
      <c r="N1470" t="s">
        <v>63</v>
      </c>
    </row>
    <row r="1471" spans="1:14">
      <c r="A1471" t="str">
        <f t="shared" si="44"/>
        <v>7.장기재고율_장기재고금액DFTINV_LONG_TERM2014</v>
      </c>
      <c r="B1471" t="str">
        <f t="shared" si="45"/>
        <v>7.장기재고율_장기재고금액DFTINV_LONG_TERM201402</v>
      </c>
      <c r="F1471" t="s">
        <v>299</v>
      </c>
      <c r="G1471" t="s">
        <v>8</v>
      </c>
      <c r="H1471" t="s">
        <v>307</v>
      </c>
      <c r="I1471" t="s">
        <v>254</v>
      </c>
      <c r="J1471" t="s">
        <v>23</v>
      </c>
      <c r="K1471" t="s">
        <v>183</v>
      </c>
      <c r="L1471">
        <v>94366.6098075302</v>
      </c>
      <c r="M1471" t="s">
        <v>71</v>
      </c>
      <c r="N1471" t="s">
        <v>63</v>
      </c>
    </row>
    <row r="1472" spans="1:14">
      <c r="A1472" t="str">
        <f t="shared" si="44"/>
        <v>7.장기재고율_장기재고금액DFTINV_LONG_TERM2014</v>
      </c>
      <c r="B1472" t="str">
        <f t="shared" si="45"/>
        <v>7.장기재고율_장기재고금액DFTINV_LONG_TERM201403</v>
      </c>
      <c r="F1472" t="s">
        <v>299</v>
      </c>
      <c r="G1472" t="s">
        <v>8</v>
      </c>
      <c r="H1472" t="s">
        <v>307</v>
      </c>
      <c r="I1472" t="s">
        <v>254</v>
      </c>
      <c r="J1472" t="s">
        <v>24</v>
      </c>
      <c r="K1472" t="s">
        <v>183</v>
      </c>
      <c r="L1472">
        <v>9081.3650681137697</v>
      </c>
      <c r="M1472" t="s">
        <v>71</v>
      </c>
      <c r="N1472" t="s">
        <v>63</v>
      </c>
    </row>
    <row r="1473" spans="1:14">
      <c r="A1473" t="str">
        <f t="shared" si="44"/>
        <v>7.장기재고율_장기재고금액DFTINV_LONG_TERM2014</v>
      </c>
      <c r="B1473" t="str">
        <f t="shared" si="45"/>
        <v>7.장기재고율_장기재고금액DFTINV_LONG_TERM201404</v>
      </c>
      <c r="F1473" t="s">
        <v>299</v>
      </c>
      <c r="G1473" t="s">
        <v>8</v>
      </c>
      <c r="H1473" t="s">
        <v>307</v>
      </c>
      <c r="I1473" t="s">
        <v>254</v>
      </c>
      <c r="J1473" t="s">
        <v>25</v>
      </c>
      <c r="K1473" t="s">
        <v>183</v>
      </c>
      <c r="L1473">
        <v>34751.2002260347</v>
      </c>
      <c r="M1473" t="s">
        <v>71</v>
      </c>
      <c r="N1473" t="s">
        <v>63</v>
      </c>
    </row>
    <row r="1474" spans="1:14">
      <c r="A1474" t="str">
        <f t="shared" si="44"/>
        <v>7.장기재고율_장기재고금액DFTINV_LONG_TERM2014</v>
      </c>
      <c r="B1474" t="str">
        <f t="shared" si="45"/>
        <v>7.장기재고율_장기재고금액DFTINV_LONG_TERM201405</v>
      </c>
      <c r="F1474" t="s">
        <v>299</v>
      </c>
      <c r="G1474" t="s">
        <v>8</v>
      </c>
      <c r="H1474" t="s">
        <v>307</v>
      </c>
      <c r="I1474" t="s">
        <v>254</v>
      </c>
      <c r="J1474" t="s">
        <v>26</v>
      </c>
      <c r="K1474" t="s">
        <v>183</v>
      </c>
      <c r="L1474">
        <v>21043.7399248238</v>
      </c>
      <c r="M1474" t="s">
        <v>71</v>
      </c>
      <c r="N1474" t="s">
        <v>63</v>
      </c>
    </row>
    <row r="1475" spans="1:14">
      <c r="A1475" t="str">
        <f t="shared" si="44"/>
        <v>7.장기재고율_장기재고금액DFTINV_LONG_TERM2014</v>
      </c>
      <c r="B1475" t="str">
        <f t="shared" si="45"/>
        <v>7.장기재고율_장기재고금액DFTINV_LONG_TERM201406</v>
      </c>
      <c r="F1475" t="s">
        <v>299</v>
      </c>
      <c r="G1475" t="s">
        <v>8</v>
      </c>
      <c r="H1475" t="s">
        <v>307</v>
      </c>
      <c r="I1475" t="s">
        <v>254</v>
      </c>
      <c r="J1475" t="s">
        <v>27</v>
      </c>
      <c r="K1475" t="s">
        <v>183</v>
      </c>
      <c r="L1475">
        <v>41232.491148856498</v>
      </c>
      <c r="M1475" t="s">
        <v>71</v>
      </c>
      <c r="N1475" t="s">
        <v>63</v>
      </c>
    </row>
    <row r="1476" spans="1:14">
      <c r="A1476" t="str">
        <f t="shared" si="44"/>
        <v>7.장기재고율_장기재고금액DFTINV_LONG_TERM2014</v>
      </c>
      <c r="B1476" t="str">
        <f t="shared" si="45"/>
        <v>7.장기재고율_장기재고금액DFTINV_LONG_TERM201407</v>
      </c>
      <c r="F1476" t="s">
        <v>299</v>
      </c>
      <c r="G1476" t="s">
        <v>8</v>
      </c>
      <c r="H1476" t="s">
        <v>307</v>
      </c>
      <c r="I1476" t="s">
        <v>254</v>
      </c>
      <c r="J1476" t="s">
        <v>28</v>
      </c>
      <c r="K1476" t="s">
        <v>183</v>
      </c>
      <c r="L1476">
        <v>23920.813560480299</v>
      </c>
      <c r="M1476" t="s">
        <v>71</v>
      </c>
      <c r="N1476" t="s">
        <v>63</v>
      </c>
    </row>
    <row r="1477" spans="1:14">
      <c r="A1477" t="str">
        <f t="shared" si="44"/>
        <v>7.장기재고율_장기재고금액DFTINV_LONG_TERM2014</v>
      </c>
      <c r="B1477" t="str">
        <f t="shared" si="45"/>
        <v>7.장기재고율_장기재고금액DFTINV_LONG_TERM201408</v>
      </c>
      <c r="F1477" t="s">
        <v>299</v>
      </c>
      <c r="G1477" t="s">
        <v>8</v>
      </c>
      <c r="H1477" t="s">
        <v>307</v>
      </c>
      <c r="I1477" t="s">
        <v>254</v>
      </c>
      <c r="J1477" t="s">
        <v>29</v>
      </c>
      <c r="K1477" t="s">
        <v>183</v>
      </c>
      <c r="L1477">
        <v>59391.777245363097</v>
      </c>
      <c r="M1477" t="s">
        <v>71</v>
      </c>
      <c r="N1477" t="s">
        <v>63</v>
      </c>
    </row>
    <row r="1478" spans="1:14">
      <c r="A1478" t="str">
        <f t="shared" si="44"/>
        <v>7.장기재고율_장기재고금액DFTINV_LONG_TERM2014</v>
      </c>
      <c r="B1478" t="str">
        <f t="shared" si="45"/>
        <v>7.장기재고율_장기재고금액DFTINV_LONG_TERM201409</v>
      </c>
      <c r="F1478" t="s">
        <v>299</v>
      </c>
      <c r="G1478" t="s">
        <v>8</v>
      </c>
      <c r="H1478" t="s">
        <v>307</v>
      </c>
      <c r="I1478" t="s">
        <v>254</v>
      </c>
      <c r="J1478" t="s">
        <v>30</v>
      </c>
      <c r="K1478" t="s">
        <v>183</v>
      </c>
      <c r="L1478">
        <v>60615.230858937699</v>
      </c>
      <c r="M1478" t="s">
        <v>71</v>
      </c>
      <c r="N1478" t="s">
        <v>63</v>
      </c>
    </row>
    <row r="1479" spans="1:14">
      <c r="A1479" t="str">
        <f t="shared" ref="A1479:A1542" si="46">F1479&amp;G1479&amp;K1479&amp;I1479</f>
        <v>7.장기재고율_장기재고금액DFTINV_LONG_TERM2014</v>
      </c>
      <c r="B1479" t="str">
        <f t="shared" ref="B1479:B1542" si="47">F1479&amp;G1479&amp;K1479&amp;J1479</f>
        <v>7.장기재고율_장기재고금액DFTINV_LONG_TERM201410</v>
      </c>
      <c r="F1479" t="s">
        <v>299</v>
      </c>
      <c r="G1479" t="s">
        <v>8</v>
      </c>
      <c r="H1479" t="s">
        <v>307</v>
      </c>
      <c r="I1479" t="s">
        <v>254</v>
      </c>
      <c r="J1479" t="s">
        <v>31</v>
      </c>
      <c r="K1479" t="s">
        <v>183</v>
      </c>
      <c r="L1479">
        <v>9181.2088311195403</v>
      </c>
      <c r="M1479" t="s">
        <v>71</v>
      </c>
      <c r="N1479" t="s">
        <v>63</v>
      </c>
    </row>
    <row r="1480" spans="1:14">
      <c r="A1480" t="str">
        <f t="shared" si="46"/>
        <v>7.장기재고율_장기재고금액DFTINV_LONG_TERM2014</v>
      </c>
      <c r="B1480" t="str">
        <f t="shared" si="47"/>
        <v>7.장기재고율_장기재고금액DFTINV_LONG_TERM201411</v>
      </c>
      <c r="F1480" t="s">
        <v>299</v>
      </c>
      <c r="G1480" t="s">
        <v>8</v>
      </c>
      <c r="H1480" t="s">
        <v>307</v>
      </c>
      <c r="I1480" t="s">
        <v>254</v>
      </c>
      <c r="J1480" t="s">
        <v>32</v>
      </c>
      <c r="K1480" t="s">
        <v>183</v>
      </c>
      <c r="L1480">
        <v>61299.182403414801</v>
      </c>
      <c r="M1480" t="s">
        <v>71</v>
      </c>
      <c r="N1480" t="s">
        <v>63</v>
      </c>
    </row>
    <row r="1481" spans="1:14">
      <c r="A1481" t="str">
        <f t="shared" si="46"/>
        <v>7.장기재고율_장기재고금액DFTINV_LONG_TERM2014</v>
      </c>
      <c r="B1481" t="str">
        <f t="shared" si="47"/>
        <v>7.장기재고율_장기재고금액DFTINV_LONG_TERM201412</v>
      </c>
      <c r="F1481" t="s">
        <v>299</v>
      </c>
      <c r="G1481" t="s">
        <v>8</v>
      </c>
      <c r="H1481" t="s">
        <v>307</v>
      </c>
      <c r="I1481" t="s">
        <v>254</v>
      </c>
      <c r="J1481" t="s">
        <v>33</v>
      </c>
      <c r="K1481" t="s">
        <v>183</v>
      </c>
      <c r="L1481">
        <v>321541.03480604099</v>
      </c>
      <c r="M1481" t="s">
        <v>71</v>
      </c>
      <c r="N1481" t="s">
        <v>63</v>
      </c>
    </row>
    <row r="1482" spans="1:14">
      <c r="A1482" t="str">
        <f t="shared" si="46"/>
        <v>7.장기재고율_장기재고금액DFTINV_LONG_TERM2015</v>
      </c>
      <c r="B1482" t="str">
        <f t="shared" si="47"/>
        <v>7.장기재고율_장기재고금액DFTINV_LONG_TERM201501</v>
      </c>
      <c r="F1482" t="s">
        <v>299</v>
      </c>
      <c r="G1482" t="s">
        <v>8</v>
      </c>
      <c r="H1482" t="s">
        <v>307</v>
      </c>
      <c r="I1482" t="s">
        <v>260</v>
      </c>
      <c r="J1482" t="s">
        <v>34</v>
      </c>
      <c r="K1482" t="s">
        <v>183</v>
      </c>
      <c r="L1482">
        <v>22830.761617345099</v>
      </c>
      <c r="M1482" t="s">
        <v>71</v>
      </c>
      <c r="N1482" t="s">
        <v>63</v>
      </c>
    </row>
    <row r="1483" spans="1:14">
      <c r="A1483" t="str">
        <f t="shared" si="46"/>
        <v>7.장기재고율_장기재고금액DFTINV_LONG_TERM2015</v>
      </c>
      <c r="B1483" t="str">
        <f t="shared" si="47"/>
        <v>7.장기재고율_장기재고금액DFTINV_LONG_TERM201502</v>
      </c>
      <c r="F1483" t="s">
        <v>299</v>
      </c>
      <c r="G1483" t="s">
        <v>8</v>
      </c>
      <c r="H1483" t="s">
        <v>307</v>
      </c>
      <c r="I1483" t="s">
        <v>260</v>
      </c>
      <c r="J1483" t="s">
        <v>35</v>
      </c>
      <c r="K1483" t="s">
        <v>183</v>
      </c>
      <c r="L1483">
        <v>11636.280687500001</v>
      </c>
      <c r="M1483" t="s">
        <v>71</v>
      </c>
      <c r="N1483" t="s">
        <v>63</v>
      </c>
    </row>
    <row r="1484" spans="1:14">
      <c r="A1484" t="str">
        <f t="shared" si="46"/>
        <v>7.장기재고율_장기재고금액DFTINV_LONG_TERM2015</v>
      </c>
      <c r="B1484" t="str">
        <f t="shared" si="47"/>
        <v>7.장기재고율_장기재고금액DFTINV_LONG_TERM201503</v>
      </c>
      <c r="F1484" t="s">
        <v>299</v>
      </c>
      <c r="G1484" t="s">
        <v>8</v>
      </c>
      <c r="H1484" t="s">
        <v>307</v>
      </c>
      <c r="I1484" t="s">
        <v>260</v>
      </c>
      <c r="J1484" t="s">
        <v>36</v>
      </c>
      <c r="K1484" t="s">
        <v>183</v>
      </c>
      <c r="L1484">
        <v>36132.942086515803</v>
      </c>
      <c r="M1484" t="s">
        <v>71</v>
      </c>
      <c r="N1484" t="s">
        <v>63</v>
      </c>
    </row>
    <row r="1485" spans="1:14">
      <c r="A1485" t="str">
        <f t="shared" si="46"/>
        <v>7.장기재고율_장기재고금액DFTINV_LONG_TERM2015</v>
      </c>
      <c r="B1485" t="str">
        <f t="shared" si="47"/>
        <v>7.장기재고율_장기재고금액DFTINV_LONG_TERM201504</v>
      </c>
      <c r="F1485" t="s">
        <v>299</v>
      </c>
      <c r="G1485" t="s">
        <v>8</v>
      </c>
      <c r="H1485" t="s">
        <v>307</v>
      </c>
      <c r="I1485" t="s">
        <v>260</v>
      </c>
      <c r="J1485" t="s">
        <v>37</v>
      </c>
      <c r="K1485" t="s">
        <v>183</v>
      </c>
      <c r="L1485">
        <v>111816.16834612899</v>
      </c>
      <c r="M1485" t="s">
        <v>71</v>
      </c>
      <c r="N1485" t="s">
        <v>63</v>
      </c>
    </row>
    <row r="1486" spans="1:14">
      <c r="A1486" t="str">
        <f t="shared" si="46"/>
        <v>7.장기재고율_장기재고금액DFTINV_LONG_TERM2015</v>
      </c>
      <c r="B1486" t="str">
        <f t="shared" si="47"/>
        <v>7.장기재고율_장기재고금액DFTINV_LONG_TERM201505</v>
      </c>
      <c r="F1486" t="s">
        <v>299</v>
      </c>
      <c r="G1486" t="s">
        <v>8</v>
      </c>
      <c r="H1486" t="s">
        <v>307</v>
      </c>
      <c r="I1486" t="s">
        <v>260</v>
      </c>
      <c r="J1486" t="s">
        <v>38</v>
      </c>
      <c r="K1486" t="s">
        <v>183</v>
      </c>
      <c r="L1486">
        <v>17715.4625518953</v>
      </c>
      <c r="M1486" t="s">
        <v>71</v>
      </c>
      <c r="N1486" t="s">
        <v>63</v>
      </c>
    </row>
    <row r="1487" spans="1:14">
      <c r="A1487" t="str">
        <f t="shared" si="46"/>
        <v>7.장기재고율_장기재고금액DFTINV_LONG_TERM2015</v>
      </c>
      <c r="B1487" t="str">
        <f t="shared" si="47"/>
        <v>7.장기재고율_장기재고금액DFTINV_LONG_TERM201506</v>
      </c>
      <c r="F1487" t="s">
        <v>299</v>
      </c>
      <c r="G1487" t="s">
        <v>8</v>
      </c>
      <c r="H1487" t="s">
        <v>307</v>
      </c>
      <c r="I1487" t="s">
        <v>260</v>
      </c>
      <c r="J1487" t="s">
        <v>39</v>
      </c>
      <c r="K1487" t="s">
        <v>183</v>
      </c>
      <c r="L1487">
        <v>30323.827553153598</v>
      </c>
      <c r="M1487" t="s">
        <v>71</v>
      </c>
      <c r="N1487" t="s">
        <v>63</v>
      </c>
    </row>
    <row r="1488" spans="1:14">
      <c r="A1488" t="str">
        <f t="shared" si="46"/>
        <v>7.장기재고율_장기재고금액DFTINV_LONG_TERM2015</v>
      </c>
      <c r="B1488" t="str">
        <f t="shared" si="47"/>
        <v>7.장기재고율_장기재고금액DFTINV_LONG_TERM201507</v>
      </c>
      <c r="F1488" t="s">
        <v>299</v>
      </c>
      <c r="G1488" t="s">
        <v>8</v>
      </c>
      <c r="H1488" t="s">
        <v>307</v>
      </c>
      <c r="I1488" t="s">
        <v>260</v>
      </c>
      <c r="J1488" t="s">
        <v>40</v>
      </c>
      <c r="K1488" t="s">
        <v>183</v>
      </c>
      <c r="L1488">
        <v>48125.858168653001</v>
      </c>
      <c r="M1488" t="s">
        <v>71</v>
      </c>
      <c r="N1488" t="s">
        <v>63</v>
      </c>
    </row>
    <row r="1489" spans="1:14">
      <c r="A1489" t="str">
        <f t="shared" si="46"/>
        <v>7.장기재고율_장기재고금액DFTINV_LONG_TERM2015</v>
      </c>
      <c r="B1489" t="str">
        <f t="shared" si="47"/>
        <v>7.장기재고율_장기재고금액DFTINV_LONG_TERM201508</v>
      </c>
      <c r="F1489" t="s">
        <v>299</v>
      </c>
      <c r="G1489" t="s">
        <v>8</v>
      </c>
      <c r="H1489" t="s">
        <v>307</v>
      </c>
      <c r="I1489" t="s">
        <v>260</v>
      </c>
      <c r="J1489" t="s">
        <v>41</v>
      </c>
      <c r="K1489" t="s">
        <v>183</v>
      </c>
      <c r="L1489">
        <v>45835.814472498503</v>
      </c>
      <c r="M1489" t="s">
        <v>71</v>
      </c>
      <c r="N1489" t="s">
        <v>63</v>
      </c>
    </row>
    <row r="1490" spans="1:14">
      <c r="A1490" t="str">
        <f t="shared" si="46"/>
        <v>7.장기재고율_장기재고금액DFTINV_LONG_TERM2015</v>
      </c>
      <c r="B1490" t="str">
        <f t="shared" si="47"/>
        <v>7.장기재고율_장기재고금액DFTINV_LONG_TERM201509</v>
      </c>
      <c r="F1490" t="s">
        <v>299</v>
      </c>
      <c r="G1490" t="s">
        <v>8</v>
      </c>
      <c r="H1490" t="s">
        <v>307</v>
      </c>
      <c r="I1490" t="s">
        <v>260</v>
      </c>
      <c r="J1490" t="s">
        <v>42</v>
      </c>
      <c r="K1490" t="s">
        <v>183</v>
      </c>
      <c r="L1490">
        <v>180297.767521306</v>
      </c>
      <c r="M1490" t="s">
        <v>71</v>
      </c>
      <c r="N1490" t="s">
        <v>63</v>
      </c>
    </row>
    <row r="1491" spans="1:14">
      <c r="A1491" t="str">
        <f t="shared" si="46"/>
        <v>7.장기재고율_장기재고금액DFTINV_LONG_TERM2015</v>
      </c>
      <c r="B1491" t="str">
        <f t="shared" si="47"/>
        <v>7.장기재고율_장기재고금액DFTINV_LONG_TERM201510</v>
      </c>
      <c r="F1491" t="s">
        <v>299</v>
      </c>
      <c r="G1491" t="s">
        <v>8</v>
      </c>
      <c r="H1491" t="s">
        <v>307</v>
      </c>
      <c r="I1491" t="s">
        <v>260</v>
      </c>
      <c r="J1491" t="s">
        <v>1</v>
      </c>
      <c r="K1491" t="s">
        <v>183</v>
      </c>
      <c r="L1491">
        <v>19572.031459161299</v>
      </c>
      <c r="M1491" t="s">
        <v>71</v>
      </c>
      <c r="N1491" t="s">
        <v>63</v>
      </c>
    </row>
    <row r="1492" spans="1:14">
      <c r="A1492" t="str">
        <f t="shared" si="46"/>
        <v>7.장기재고율_장기재고금액DGTINV_LONG_TERM2014</v>
      </c>
      <c r="B1492" t="str">
        <f t="shared" si="47"/>
        <v>7.장기재고율_장기재고금액DGTINV_LONG_TERM201401</v>
      </c>
      <c r="F1492" t="s">
        <v>299</v>
      </c>
      <c r="G1492" t="s">
        <v>9</v>
      </c>
      <c r="H1492" t="s">
        <v>307</v>
      </c>
      <c r="I1492" t="s">
        <v>254</v>
      </c>
      <c r="J1492" t="s">
        <v>22</v>
      </c>
      <c r="K1492" t="s">
        <v>183</v>
      </c>
      <c r="L1492">
        <v>255.46474406968099</v>
      </c>
      <c r="M1492" t="s">
        <v>64</v>
      </c>
      <c r="N1492" t="s">
        <v>64</v>
      </c>
    </row>
    <row r="1493" spans="1:14">
      <c r="A1493" t="str">
        <f t="shared" si="46"/>
        <v>7.장기재고율_장기재고금액DGTINV_LONG_TERM2014</v>
      </c>
      <c r="B1493" t="str">
        <f t="shared" si="47"/>
        <v>7.장기재고율_장기재고금액DGTINV_LONG_TERM201402</v>
      </c>
      <c r="F1493" t="s">
        <v>299</v>
      </c>
      <c r="G1493" t="s">
        <v>9</v>
      </c>
      <c r="H1493" t="s">
        <v>307</v>
      </c>
      <c r="I1493" t="s">
        <v>254</v>
      </c>
      <c r="J1493" t="s">
        <v>23</v>
      </c>
      <c r="K1493" t="s">
        <v>183</v>
      </c>
      <c r="L1493">
        <v>822.08204027348495</v>
      </c>
      <c r="M1493" t="s">
        <v>64</v>
      </c>
      <c r="N1493" t="s">
        <v>64</v>
      </c>
    </row>
    <row r="1494" spans="1:14">
      <c r="A1494" t="str">
        <f t="shared" si="46"/>
        <v>7.장기재고율_장기재고금액DGTINV_LONG_TERM2014</v>
      </c>
      <c r="B1494" t="str">
        <f t="shared" si="47"/>
        <v>7.장기재고율_장기재고금액DGTINV_LONG_TERM201403</v>
      </c>
      <c r="F1494" t="s">
        <v>299</v>
      </c>
      <c r="G1494" t="s">
        <v>9</v>
      </c>
      <c r="H1494" t="s">
        <v>307</v>
      </c>
      <c r="I1494" t="s">
        <v>254</v>
      </c>
      <c r="J1494" t="s">
        <v>24</v>
      </c>
      <c r="K1494" t="s">
        <v>183</v>
      </c>
      <c r="L1494">
        <v>1382.72285703593</v>
      </c>
      <c r="M1494" t="s">
        <v>64</v>
      </c>
      <c r="N1494" t="s">
        <v>64</v>
      </c>
    </row>
    <row r="1495" spans="1:14">
      <c r="A1495" t="str">
        <f t="shared" si="46"/>
        <v>7.장기재고율_장기재고금액DGTINV_LONG_TERM2014</v>
      </c>
      <c r="B1495" t="str">
        <f t="shared" si="47"/>
        <v>7.장기재고율_장기재고금액DGTINV_LONG_TERM201404</v>
      </c>
      <c r="F1495" t="s">
        <v>299</v>
      </c>
      <c r="G1495" t="s">
        <v>9</v>
      </c>
      <c r="H1495" t="s">
        <v>307</v>
      </c>
      <c r="I1495" t="s">
        <v>254</v>
      </c>
      <c r="J1495" t="s">
        <v>25</v>
      </c>
      <c r="K1495" t="s">
        <v>183</v>
      </c>
      <c r="L1495">
        <v>1619.2185881554699</v>
      </c>
      <c r="M1495" t="s">
        <v>64</v>
      </c>
      <c r="N1495" t="s">
        <v>64</v>
      </c>
    </row>
    <row r="1496" spans="1:14">
      <c r="A1496" t="str">
        <f t="shared" si="46"/>
        <v>7.장기재고율_장기재고금액DGTINV_LONG_TERM2014</v>
      </c>
      <c r="B1496" t="str">
        <f t="shared" si="47"/>
        <v>7.장기재고율_장기재고금액DGTINV_LONG_TERM201405</v>
      </c>
      <c r="F1496" t="s">
        <v>299</v>
      </c>
      <c r="G1496" t="s">
        <v>9</v>
      </c>
      <c r="H1496" t="s">
        <v>307</v>
      </c>
      <c r="I1496" t="s">
        <v>254</v>
      </c>
      <c r="J1496" t="s">
        <v>26</v>
      </c>
      <c r="K1496" t="s">
        <v>183</v>
      </c>
      <c r="L1496">
        <v>1609.5431182458899</v>
      </c>
      <c r="M1496" t="s">
        <v>64</v>
      </c>
      <c r="N1496" t="s">
        <v>64</v>
      </c>
    </row>
    <row r="1497" spans="1:14">
      <c r="A1497" t="str">
        <f t="shared" si="46"/>
        <v>7.장기재고율_장기재고금액DGTINV_LONG_TERM2014</v>
      </c>
      <c r="B1497" t="str">
        <f t="shared" si="47"/>
        <v>7.장기재고율_장기재고금액DGTINV_LONG_TERM201406</v>
      </c>
      <c r="F1497" t="s">
        <v>299</v>
      </c>
      <c r="G1497" t="s">
        <v>9</v>
      </c>
      <c r="H1497" t="s">
        <v>307</v>
      </c>
      <c r="I1497" t="s">
        <v>254</v>
      </c>
      <c r="J1497" t="s">
        <v>27</v>
      </c>
      <c r="K1497" t="s">
        <v>183</v>
      </c>
      <c r="L1497">
        <v>1376.87608270899</v>
      </c>
      <c r="M1497" t="s">
        <v>64</v>
      </c>
      <c r="N1497" t="s">
        <v>64</v>
      </c>
    </row>
    <row r="1498" spans="1:14">
      <c r="A1498" t="str">
        <f t="shared" si="46"/>
        <v>7.장기재고율_장기재고금액DGTINV_LONG_TERM2014</v>
      </c>
      <c r="B1498" t="str">
        <f t="shared" si="47"/>
        <v>7.장기재고율_장기재고금액DGTINV_LONG_TERM201407</v>
      </c>
      <c r="F1498" t="s">
        <v>299</v>
      </c>
      <c r="G1498" t="s">
        <v>9</v>
      </c>
      <c r="H1498" t="s">
        <v>307</v>
      </c>
      <c r="I1498" t="s">
        <v>254</v>
      </c>
      <c r="J1498" t="s">
        <v>28</v>
      </c>
      <c r="K1498" t="s">
        <v>183</v>
      </c>
      <c r="L1498">
        <v>1618.6217110221601</v>
      </c>
      <c r="M1498" t="s">
        <v>64</v>
      </c>
      <c r="N1498" t="s">
        <v>64</v>
      </c>
    </row>
    <row r="1499" spans="1:14">
      <c r="A1499" t="str">
        <f t="shared" si="46"/>
        <v>7.장기재고율_장기재고금액DGTINV_LONG_TERM2014</v>
      </c>
      <c r="B1499" t="str">
        <f t="shared" si="47"/>
        <v>7.장기재고율_장기재고금액DGTINV_LONG_TERM201408</v>
      </c>
      <c r="F1499" t="s">
        <v>299</v>
      </c>
      <c r="G1499" t="s">
        <v>9</v>
      </c>
      <c r="H1499" t="s">
        <v>307</v>
      </c>
      <c r="I1499" t="s">
        <v>254</v>
      </c>
      <c r="J1499" t="s">
        <v>29</v>
      </c>
      <c r="K1499" t="s">
        <v>183</v>
      </c>
      <c r="L1499">
        <v>1588.1494729676399</v>
      </c>
      <c r="M1499" t="s">
        <v>64</v>
      </c>
      <c r="N1499" t="s">
        <v>64</v>
      </c>
    </row>
    <row r="1500" spans="1:14">
      <c r="A1500" t="str">
        <f t="shared" si="46"/>
        <v>7.장기재고율_장기재고금액DGTINV_LONG_TERM2014</v>
      </c>
      <c r="B1500" t="str">
        <f t="shared" si="47"/>
        <v>7.장기재고율_장기재고금액DGTINV_LONG_TERM201409</v>
      </c>
      <c r="F1500" t="s">
        <v>299</v>
      </c>
      <c r="G1500" t="s">
        <v>9</v>
      </c>
      <c r="H1500" t="s">
        <v>307</v>
      </c>
      <c r="I1500" t="s">
        <v>254</v>
      </c>
      <c r="J1500" t="s">
        <v>30</v>
      </c>
      <c r="K1500" t="s">
        <v>183</v>
      </c>
      <c r="L1500">
        <v>1555.1475997525199</v>
      </c>
      <c r="M1500" t="s">
        <v>64</v>
      </c>
      <c r="N1500" t="s">
        <v>64</v>
      </c>
    </row>
    <row r="1501" spans="1:14">
      <c r="A1501" t="str">
        <f t="shared" si="46"/>
        <v>7.장기재고율_장기재고금액DGTINV_LONG_TERM2014</v>
      </c>
      <c r="B1501" t="str">
        <f t="shared" si="47"/>
        <v>7.장기재고율_장기재고금액DGTINV_LONG_TERM201410</v>
      </c>
      <c r="F1501" t="s">
        <v>299</v>
      </c>
      <c r="G1501" t="s">
        <v>9</v>
      </c>
      <c r="H1501" t="s">
        <v>307</v>
      </c>
      <c r="I1501" t="s">
        <v>254</v>
      </c>
      <c r="J1501" t="s">
        <v>31</v>
      </c>
      <c r="K1501" t="s">
        <v>183</v>
      </c>
      <c r="L1501">
        <v>0</v>
      </c>
      <c r="M1501" t="s">
        <v>64</v>
      </c>
      <c r="N1501" t="s">
        <v>64</v>
      </c>
    </row>
    <row r="1502" spans="1:14">
      <c r="A1502" t="str">
        <f t="shared" si="46"/>
        <v>7.장기재고율_장기재고금액DGTINV_LONG_TERM2014</v>
      </c>
      <c r="B1502" t="str">
        <f t="shared" si="47"/>
        <v>7.장기재고율_장기재고금액DGTINV_LONG_TERM201411</v>
      </c>
      <c r="F1502" t="s">
        <v>299</v>
      </c>
      <c r="G1502" t="s">
        <v>9</v>
      </c>
      <c r="H1502" t="s">
        <v>307</v>
      </c>
      <c r="I1502" t="s">
        <v>254</v>
      </c>
      <c r="J1502" t="s">
        <v>32</v>
      </c>
      <c r="K1502" t="s">
        <v>183</v>
      </c>
      <c r="L1502">
        <v>0</v>
      </c>
      <c r="M1502" t="s">
        <v>64</v>
      </c>
      <c r="N1502" t="s">
        <v>64</v>
      </c>
    </row>
    <row r="1503" spans="1:14">
      <c r="A1503" t="str">
        <f t="shared" si="46"/>
        <v>7.장기재고율_장기재고금액DGTINV_LONG_TERM2014</v>
      </c>
      <c r="B1503" t="str">
        <f t="shared" si="47"/>
        <v>7.장기재고율_장기재고금액DGTINV_LONG_TERM201412</v>
      </c>
      <c r="F1503" t="s">
        <v>299</v>
      </c>
      <c r="G1503" t="s">
        <v>9</v>
      </c>
      <c r="H1503" t="s">
        <v>307</v>
      </c>
      <c r="I1503" t="s">
        <v>254</v>
      </c>
      <c r="J1503" t="s">
        <v>33</v>
      </c>
      <c r="K1503" t="s">
        <v>183</v>
      </c>
      <c r="L1503">
        <v>0</v>
      </c>
      <c r="M1503" t="s">
        <v>64</v>
      </c>
      <c r="N1503" t="s">
        <v>64</v>
      </c>
    </row>
    <row r="1504" spans="1:14">
      <c r="A1504" t="str">
        <f t="shared" si="46"/>
        <v>7.장기재고율_장기재고금액DGTINV_LONG_TERM2015</v>
      </c>
      <c r="B1504" t="str">
        <f t="shared" si="47"/>
        <v>7.장기재고율_장기재고금액DGTINV_LONG_TERM201501</v>
      </c>
      <c r="F1504" t="s">
        <v>299</v>
      </c>
      <c r="G1504" t="s">
        <v>9</v>
      </c>
      <c r="H1504" t="s">
        <v>307</v>
      </c>
      <c r="I1504" t="s">
        <v>260</v>
      </c>
      <c r="J1504" t="s">
        <v>34</v>
      </c>
      <c r="K1504" t="s">
        <v>183</v>
      </c>
      <c r="L1504">
        <v>0</v>
      </c>
      <c r="M1504" t="s">
        <v>64</v>
      </c>
      <c r="N1504" t="s">
        <v>64</v>
      </c>
    </row>
    <row r="1505" spans="1:14">
      <c r="A1505" t="str">
        <f t="shared" si="46"/>
        <v>7.장기재고율_장기재고금액DGTINV_LONG_TERM2015</v>
      </c>
      <c r="B1505" t="str">
        <f t="shared" si="47"/>
        <v>7.장기재고율_장기재고금액DGTINV_LONG_TERM201502</v>
      </c>
      <c r="F1505" t="s">
        <v>299</v>
      </c>
      <c r="G1505" t="s">
        <v>9</v>
      </c>
      <c r="H1505" t="s">
        <v>307</v>
      </c>
      <c r="I1505" t="s">
        <v>260</v>
      </c>
      <c r="J1505" t="s">
        <v>35</v>
      </c>
      <c r="K1505" t="s">
        <v>183</v>
      </c>
      <c r="L1505">
        <v>2468.1590524927201</v>
      </c>
      <c r="M1505" t="s">
        <v>64</v>
      </c>
      <c r="N1505" t="s">
        <v>64</v>
      </c>
    </row>
    <row r="1506" spans="1:14">
      <c r="A1506" t="str">
        <f t="shared" si="46"/>
        <v>7.장기재고율_장기재고금액DGTINV_LONG_TERM2015</v>
      </c>
      <c r="B1506" t="str">
        <f t="shared" si="47"/>
        <v>7.장기재고율_장기재고금액DGTINV_LONG_TERM201503</v>
      </c>
      <c r="F1506" t="s">
        <v>299</v>
      </c>
      <c r="G1506" t="s">
        <v>9</v>
      </c>
      <c r="H1506" t="s">
        <v>307</v>
      </c>
      <c r="I1506" t="s">
        <v>260</v>
      </c>
      <c r="J1506" t="s">
        <v>36</v>
      </c>
      <c r="K1506" t="s">
        <v>183</v>
      </c>
      <c r="L1506">
        <v>2884.5913484162902</v>
      </c>
      <c r="M1506" t="s">
        <v>64</v>
      </c>
      <c r="N1506" t="s">
        <v>64</v>
      </c>
    </row>
    <row r="1507" spans="1:14">
      <c r="A1507" t="str">
        <f t="shared" si="46"/>
        <v>7.장기재고율_장기재고금액DGTINV_LONG_TERM2015</v>
      </c>
      <c r="B1507" t="str">
        <f t="shared" si="47"/>
        <v>7.장기재고율_장기재고금액DGTINV_LONG_TERM201504</v>
      </c>
      <c r="F1507" t="s">
        <v>299</v>
      </c>
      <c r="G1507" t="s">
        <v>9</v>
      </c>
      <c r="H1507" t="s">
        <v>307</v>
      </c>
      <c r="I1507" t="s">
        <v>260</v>
      </c>
      <c r="J1507" t="s">
        <v>37</v>
      </c>
      <c r="K1507" t="s">
        <v>183</v>
      </c>
      <c r="L1507">
        <v>3004.9828667727702</v>
      </c>
      <c r="M1507" t="s">
        <v>64</v>
      </c>
      <c r="N1507" t="s">
        <v>64</v>
      </c>
    </row>
    <row r="1508" spans="1:14">
      <c r="A1508" t="str">
        <f t="shared" si="46"/>
        <v>7.장기재고율_장기재고금액DGTINV_LONG_TERM2015</v>
      </c>
      <c r="B1508" t="str">
        <f t="shared" si="47"/>
        <v>7.장기재고율_장기재고금액DGTINV_LONG_TERM201505</v>
      </c>
      <c r="F1508" t="s">
        <v>299</v>
      </c>
      <c r="G1508" t="s">
        <v>9</v>
      </c>
      <c r="H1508" t="s">
        <v>307</v>
      </c>
      <c r="I1508" t="s">
        <v>260</v>
      </c>
      <c r="J1508" t="s">
        <v>38</v>
      </c>
      <c r="K1508" t="s">
        <v>183</v>
      </c>
      <c r="L1508">
        <v>2984.4309386281602</v>
      </c>
      <c r="M1508" t="s">
        <v>64</v>
      </c>
      <c r="N1508" t="s">
        <v>64</v>
      </c>
    </row>
    <row r="1509" spans="1:14">
      <c r="A1509" t="str">
        <f t="shared" si="46"/>
        <v>7.장기재고율_장기재고금액DGTINV_LONG_TERM2015</v>
      </c>
      <c r="B1509" t="str">
        <f t="shared" si="47"/>
        <v>7.장기재고율_장기재고금액DGTINV_LONG_TERM201506</v>
      </c>
      <c r="F1509" t="s">
        <v>299</v>
      </c>
      <c r="G1509" t="s">
        <v>9</v>
      </c>
      <c r="H1509" t="s">
        <v>307</v>
      </c>
      <c r="I1509" t="s">
        <v>260</v>
      </c>
      <c r="J1509" t="s">
        <v>39</v>
      </c>
      <c r="K1509" t="s">
        <v>183</v>
      </c>
      <c r="L1509">
        <v>0</v>
      </c>
      <c r="M1509" t="s">
        <v>64</v>
      </c>
      <c r="N1509" t="s">
        <v>64</v>
      </c>
    </row>
    <row r="1510" spans="1:14">
      <c r="A1510" t="str">
        <f t="shared" si="46"/>
        <v>7.장기재고율_장기재고금액DGTINV_LONG_TERM2015</v>
      </c>
      <c r="B1510" t="str">
        <f t="shared" si="47"/>
        <v>7.장기재고율_장기재고금액DGTINV_LONG_TERM201507</v>
      </c>
      <c r="F1510" t="s">
        <v>299</v>
      </c>
      <c r="G1510" t="s">
        <v>9</v>
      </c>
      <c r="H1510" t="s">
        <v>307</v>
      </c>
      <c r="I1510" t="s">
        <v>260</v>
      </c>
      <c r="J1510" t="s">
        <v>40</v>
      </c>
      <c r="K1510" t="s">
        <v>183</v>
      </c>
      <c r="L1510">
        <v>0</v>
      </c>
      <c r="M1510" t="s">
        <v>64</v>
      </c>
      <c r="N1510" t="s">
        <v>64</v>
      </c>
    </row>
    <row r="1511" spans="1:14">
      <c r="A1511" t="str">
        <f t="shared" si="46"/>
        <v>7.장기재고율_장기재고금액DGTINV_LONG_TERM2015</v>
      </c>
      <c r="B1511" t="str">
        <f t="shared" si="47"/>
        <v>7.장기재고율_장기재고금액DGTINV_LONG_TERM201508</v>
      </c>
      <c r="F1511" t="s">
        <v>299</v>
      </c>
      <c r="G1511" t="s">
        <v>9</v>
      </c>
      <c r="H1511" t="s">
        <v>307</v>
      </c>
      <c r="I1511" t="s">
        <v>260</v>
      </c>
      <c r="J1511" t="s">
        <v>41</v>
      </c>
      <c r="K1511" t="s">
        <v>183</v>
      </c>
      <c r="L1511">
        <v>584.79177964804899</v>
      </c>
      <c r="M1511" t="s">
        <v>64</v>
      </c>
      <c r="N1511" t="s">
        <v>64</v>
      </c>
    </row>
    <row r="1512" spans="1:14">
      <c r="A1512" t="str">
        <f t="shared" si="46"/>
        <v>7.장기재고율_장기재고금액DGTINV_LONG_TERM2015</v>
      </c>
      <c r="B1512" t="str">
        <f t="shared" si="47"/>
        <v>7.장기재고율_장기재고금액DGTINV_LONG_TERM201509</v>
      </c>
      <c r="F1512" t="s">
        <v>299</v>
      </c>
      <c r="G1512" t="s">
        <v>9</v>
      </c>
      <c r="H1512" t="s">
        <v>307</v>
      </c>
      <c r="I1512" t="s">
        <v>260</v>
      </c>
      <c r="J1512" t="s">
        <v>42</v>
      </c>
      <c r="K1512" t="s">
        <v>183</v>
      </c>
      <c r="L1512">
        <v>575.07792984512298</v>
      </c>
      <c r="M1512" t="s">
        <v>64</v>
      </c>
      <c r="N1512" t="s">
        <v>64</v>
      </c>
    </row>
    <row r="1513" spans="1:14">
      <c r="A1513" t="str">
        <f t="shared" si="46"/>
        <v>7.장기재고율_장기재고금액DGTINV_LONG_TERM2015</v>
      </c>
      <c r="B1513" t="str">
        <f t="shared" si="47"/>
        <v>7.장기재고율_장기재고금액DGTINV_LONG_TERM201510</v>
      </c>
      <c r="F1513" t="s">
        <v>299</v>
      </c>
      <c r="G1513" t="s">
        <v>9</v>
      </c>
      <c r="H1513" t="s">
        <v>307</v>
      </c>
      <c r="I1513" t="s">
        <v>260</v>
      </c>
      <c r="J1513" t="s">
        <v>1</v>
      </c>
      <c r="K1513" t="s">
        <v>183</v>
      </c>
      <c r="L1513">
        <v>581.22780635559798</v>
      </c>
      <c r="M1513" t="s">
        <v>64</v>
      </c>
      <c r="N1513" t="s">
        <v>64</v>
      </c>
    </row>
    <row r="1514" spans="1:14">
      <c r="A1514" t="str">
        <f t="shared" si="46"/>
        <v>7.장기재고율_장기재고금액DVTINV_LONG_TERM2014</v>
      </c>
      <c r="B1514" t="str">
        <f t="shared" si="47"/>
        <v>7.장기재고율_장기재고금액DVTINV_LONG_TERM201401</v>
      </c>
      <c r="F1514" t="s">
        <v>299</v>
      </c>
      <c r="G1514" t="s">
        <v>11</v>
      </c>
      <c r="H1514" t="s">
        <v>307</v>
      </c>
      <c r="I1514" t="s">
        <v>254</v>
      </c>
      <c r="J1514" t="s">
        <v>22</v>
      </c>
      <c r="K1514" t="s">
        <v>183</v>
      </c>
      <c r="L1514">
        <v>0</v>
      </c>
      <c r="M1514" t="s">
        <v>67</v>
      </c>
      <c r="N1514" t="s">
        <v>67</v>
      </c>
    </row>
    <row r="1515" spans="1:14">
      <c r="A1515" t="str">
        <f t="shared" si="46"/>
        <v>7.장기재고율_장기재고금액DVTINV_LONG_TERM2014</v>
      </c>
      <c r="B1515" t="str">
        <f t="shared" si="47"/>
        <v>7.장기재고율_장기재고금액DVTINV_LONG_TERM201402</v>
      </c>
      <c r="F1515" t="s">
        <v>299</v>
      </c>
      <c r="G1515" t="s">
        <v>11</v>
      </c>
      <c r="H1515" t="s">
        <v>307</v>
      </c>
      <c r="I1515" t="s">
        <v>254</v>
      </c>
      <c r="J1515" t="s">
        <v>23</v>
      </c>
      <c r="K1515" t="s">
        <v>183</v>
      </c>
      <c r="L1515">
        <v>10136.8310049639</v>
      </c>
      <c r="M1515" t="s">
        <v>67</v>
      </c>
      <c r="N1515" t="s">
        <v>67</v>
      </c>
    </row>
    <row r="1516" spans="1:14">
      <c r="A1516" t="str">
        <f t="shared" si="46"/>
        <v>7.장기재고율_장기재고금액DVTINV_LONG_TERM2014</v>
      </c>
      <c r="B1516" t="str">
        <f t="shared" si="47"/>
        <v>7.장기재고율_장기재고금액DVTINV_LONG_TERM201403</v>
      </c>
      <c r="F1516" t="s">
        <v>299</v>
      </c>
      <c r="G1516" t="s">
        <v>11</v>
      </c>
      <c r="H1516" t="s">
        <v>307</v>
      </c>
      <c r="I1516" t="s">
        <v>254</v>
      </c>
      <c r="J1516" t="s">
        <v>24</v>
      </c>
      <c r="K1516" t="s">
        <v>183</v>
      </c>
      <c r="L1516">
        <v>0</v>
      </c>
      <c r="M1516" t="s">
        <v>67</v>
      </c>
      <c r="N1516" t="s">
        <v>67</v>
      </c>
    </row>
    <row r="1517" spans="1:14">
      <c r="A1517" t="str">
        <f t="shared" si="46"/>
        <v>7.장기재고율_장기재고금액DVTINV_LONG_TERM2014</v>
      </c>
      <c r="B1517" t="str">
        <f t="shared" si="47"/>
        <v>7.장기재고율_장기재고금액DVTINV_LONG_TERM201404</v>
      </c>
      <c r="F1517" t="s">
        <v>299</v>
      </c>
      <c r="G1517" t="s">
        <v>11</v>
      </c>
      <c r="H1517" t="s">
        <v>307</v>
      </c>
      <c r="I1517" t="s">
        <v>254</v>
      </c>
      <c r="J1517" t="s">
        <v>25</v>
      </c>
      <c r="K1517" t="s">
        <v>183</v>
      </c>
      <c r="L1517">
        <v>0</v>
      </c>
      <c r="M1517" t="s">
        <v>67</v>
      </c>
      <c r="N1517" t="s">
        <v>67</v>
      </c>
    </row>
    <row r="1518" spans="1:14">
      <c r="A1518" t="str">
        <f t="shared" si="46"/>
        <v>7.장기재고율_장기재고금액DVTINV_LONG_TERM2014</v>
      </c>
      <c r="B1518" t="str">
        <f t="shared" si="47"/>
        <v>7.장기재고율_장기재고금액DVTINV_LONG_TERM201405</v>
      </c>
      <c r="F1518" t="s">
        <v>299</v>
      </c>
      <c r="G1518" t="s">
        <v>11</v>
      </c>
      <c r="H1518" t="s">
        <v>307</v>
      </c>
      <c r="I1518" t="s">
        <v>254</v>
      </c>
      <c r="J1518" t="s">
        <v>26</v>
      </c>
      <c r="K1518" t="s">
        <v>183</v>
      </c>
      <c r="L1518">
        <v>0</v>
      </c>
      <c r="M1518" t="s">
        <v>67</v>
      </c>
      <c r="N1518" t="s">
        <v>67</v>
      </c>
    </row>
    <row r="1519" spans="1:14">
      <c r="A1519" t="str">
        <f t="shared" si="46"/>
        <v>7.장기재고율_장기재고금액DVTINV_LONG_TERM2014</v>
      </c>
      <c r="B1519" t="str">
        <f t="shared" si="47"/>
        <v>7.장기재고율_장기재고금액DVTINV_LONG_TERM201406</v>
      </c>
      <c r="F1519" t="s">
        <v>299</v>
      </c>
      <c r="G1519" t="s">
        <v>11</v>
      </c>
      <c r="H1519" t="s">
        <v>307</v>
      </c>
      <c r="I1519" t="s">
        <v>254</v>
      </c>
      <c r="J1519" t="s">
        <v>27</v>
      </c>
      <c r="K1519" t="s">
        <v>183</v>
      </c>
      <c r="L1519">
        <v>0</v>
      </c>
      <c r="M1519" t="s">
        <v>67</v>
      </c>
      <c r="N1519" t="s">
        <v>67</v>
      </c>
    </row>
    <row r="1520" spans="1:14">
      <c r="A1520" t="str">
        <f t="shared" si="46"/>
        <v>7.장기재고율_장기재고금액DVTINV_LONG_TERM2014</v>
      </c>
      <c r="B1520" t="str">
        <f t="shared" si="47"/>
        <v>7.장기재고율_장기재고금액DVTINV_LONG_TERM201407</v>
      </c>
      <c r="F1520" t="s">
        <v>299</v>
      </c>
      <c r="G1520" t="s">
        <v>11</v>
      </c>
      <c r="H1520" t="s">
        <v>307</v>
      </c>
      <c r="I1520" t="s">
        <v>254</v>
      </c>
      <c r="J1520" t="s">
        <v>28</v>
      </c>
      <c r="K1520" t="s">
        <v>183</v>
      </c>
      <c r="L1520">
        <v>0</v>
      </c>
      <c r="M1520" t="s">
        <v>67</v>
      </c>
      <c r="N1520" t="s">
        <v>67</v>
      </c>
    </row>
    <row r="1521" spans="1:14">
      <c r="A1521" t="str">
        <f t="shared" si="46"/>
        <v>7.장기재고율_장기재고금액DVTINV_LONG_TERM2014</v>
      </c>
      <c r="B1521" t="str">
        <f t="shared" si="47"/>
        <v>7.장기재고율_장기재고금액DVTINV_LONG_TERM201408</v>
      </c>
      <c r="F1521" t="s">
        <v>299</v>
      </c>
      <c r="G1521" t="s">
        <v>11</v>
      </c>
      <c r="H1521" t="s">
        <v>307</v>
      </c>
      <c r="I1521" t="s">
        <v>254</v>
      </c>
      <c r="J1521" t="s">
        <v>29</v>
      </c>
      <c r="K1521" t="s">
        <v>183</v>
      </c>
      <c r="L1521">
        <v>0</v>
      </c>
      <c r="M1521" t="s">
        <v>67</v>
      </c>
      <c r="N1521" t="s">
        <v>67</v>
      </c>
    </row>
    <row r="1522" spans="1:14">
      <c r="A1522" t="str">
        <f t="shared" si="46"/>
        <v>7.장기재고율_장기재고금액DVTINV_LONG_TERM2014</v>
      </c>
      <c r="B1522" t="str">
        <f t="shared" si="47"/>
        <v>7.장기재고율_장기재고금액DVTINV_LONG_TERM201409</v>
      </c>
      <c r="F1522" t="s">
        <v>299</v>
      </c>
      <c r="G1522" t="s">
        <v>11</v>
      </c>
      <c r="H1522" t="s">
        <v>307</v>
      </c>
      <c r="I1522" t="s">
        <v>254</v>
      </c>
      <c r="J1522" t="s">
        <v>30</v>
      </c>
      <c r="K1522" t="s">
        <v>183</v>
      </c>
      <c r="L1522">
        <v>0</v>
      </c>
      <c r="M1522" t="s">
        <v>67</v>
      </c>
      <c r="N1522" t="s">
        <v>67</v>
      </c>
    </row>
    <row r="1523" spans="1:14">
      <c r="A1523" t="str">
        <f t="shared" si="46"/>
        <v>7.장기재고율_장기재고금액DVTINV_LONG_TERM2014</v>
      </c>
      <c r="B1523" t="str">
        <f t="shared" si="47"/>
        <v>7.장기재고율_장기재고금액DVTINV_LONG_TERM201410</v>
      </c>
      <c r="F1523" t="s">
        <v>299</v>
      </c>
      <c r="G1523" t="s">
        <v>11</v>
      </c>
      <c r="H1523" t="s">
        <v>307</v>
      </c>
      <c r="I1523" t="s">
        <v>254</v>
      </c>
      <c r="J1523" t="s">
        <v>31</v>
      </c>
      <c r="K1523" t="s">
        <v>183</v>
      </c>
      <c r="L1523">
        <v>0</v>
      </c>
      <c r="M1523" t="s">
        <v>67</v>
      </c>
      <c r="N1523" t="s">
        <v>67</v>
      </c>
    </row>
    <row r="1524" spans="1:14">
      <c r="A1524" t="str">
        <f t="shared" si="46"/>
        <v>7.장기재고율_장기재고금액DVTINV_LONG_TERM2014</v>
      </c>
      <c r="B1524" t="str">
        <f t="shared" si="47"/>
        <v>7.장기재고율_장기재고금액DVTINV_LONG_TERM201411</v>
      </c>
      <c r="F1524" t="s">
        <v>299</v>
      </c>
      <c r="G1524" t="s">
        <v>11</v>
      </c>
      <c r="H1524" t="s">
        <v>307</v>
      </c>
      <c r="I1524" t="s">
        <v>254</v>
      </c>
      <c r="J1524" t="s">
        <v>32</v>
      </c>
      <c r="K1524" t="s">
        <v>183</v>
      </c>
      <c r="L1524">
        <v>0</v>
      </c>
      <c r="M1524" t="s">
        <v>67</v>
      </c>
      <c r="N1524" t="s">
        <v>67</v>
      </c>
    </row>
    <row r="1525" spans="1:14">
      <c r="A1525" t="str">
        <f t="shared" si="46"/>
        <v>7.장기재고율_장기재고금액DVTINV_LONG_TERM2014</v>
      </c>
      <c r="B1525" t="str">
        <f t="shared" si="47"/>
        <v>7.장기재고율_장기재고금액DVTINV_LONG_TERM201412</v>
      </c>
      <c r="F1525" t="s">
        <v>299</v>
      </c>
      <c r="G1525" t="s">
        <v>11</v>
      </c>
      <c r="H1525" t="s">
        <v>307</v>
      </c>
      <c r="I1525" t="s">
        <v>254</v>
      </c>
      <c r="J1525" t="s">
        <v>33</v>
      </c>
      <c r="K1525" t="s">
        <v>183</v>
      </c>
      <c r="L1525">
        <v>0</v>
      </c>
      <c r="M1525" t="s">
        <v>67</v>
      </c>
      <c r="N1525" t="s">
        <v>67</v>
      </c>
    </row>
    <row r="1526" spans="1:14">
      <c r="A1526" t="str">
        <f t="shared" si="46"/>
        <v>7.장기재고율_장기재고금액DVTINV_LONG_TERM2015</v>
      </c>
      <c r="B1526" t="str">
        <f t="shared" si="47"/>
        <v>7.장기재고율_장기재고금액DVTINV_LONG_TERM201501</v>
      </c>
      <c r="F1526" t="s">
        <v>299</v>
      </c>
      <c r="G1526" t="s">
        <v>11</v>
      </c>
      <c r="H1526" t="s">
        <v>307</v>
      </c>
      <c r="I1526" t="s">
        <v>260</v>
      </c>
      <c r="J1526" t="s">
        <v>34</v>
      </c>
      <c r="K1526" t="s">
        <v>183</v>
      </c>
      <c r="L1526">
        <v>0</v>
      </c>
      <c r="M1526" t="s">
        <v>67</v>
      </c>
      <c r="N1526" t="s">
        <v>67</v>
      </c>
    </row>
    <row r="1527" spans="1:14">
      <c r="A1527" t="str">
        <f t="shared" si="46"/>
        <v>7.장기재고율_장기재고금액DVTINV_LONG_TERM2015</v>
      </c>
      <c r="B1527" t="str">
        <f t="shared" si="47"/>
        <v>7.장기재고율_장기재고금액DVTINV_LONG_TERM201502</v>
      </c>
      <c r="F1527" t="s">
        <v>299</v>
      </c>
      <c r="G1527" t="s">
        <v>11</v>
      </c>
      <c r="H1527" t="s">
        <v>307</v>
      </c>
      <c r="I1527" t="s">
        <v>260</v>
      </c>
      <c r="J1527" t="s">
        <v>35</v>
      </c>
      <c r="K1527" t="s">
        <v>183</v>
      </c>
      <c r="L1527">
        <v>0</v>
      </c>
      <c r="M1527" t="s">
        <v>67</v>
      </c>
      <c r="N1527" t="s">
        <v>67</v>
      </c>
    </row>
    <row r="1528" spans="1:14">
      <c r="A1528" t="str">
        <f t="shared" si="46"/>
        <v>7.장기재고율_장기재고금액DVTINV_LONG_TERM2015</v>
      </c>
      <c r="B1528" t="str">
        <f t="shared" si="47"/>
        <v>7.장기재고율_장기재고금액DVTINV_LONG_TERM201503</v>
      </c>
      <c r="F1528" t="s">
        <v>299</v>
      </c>
      <c r="G1528" t="s">
        <v>11</v>
      </c>
      <c r="H1528" t="s">
        <v>307</v>
      </c>
      <c r="I1528" t="s">
        <v>260</v>
      </c>
      <c r="J1528" t="s">
        <v>36</v>
      </c>
      <c r="K1528" t="s">
        <v>183</v>
      </c>
      <c r="L1528">
        <v>0</v>
      </c>
      <c r="M1528" t="s">
        <v>67</v>
      </c>
      <c r="N1528" t="s">
        <v>67</v>
      </c>
    </row>
    <row r="1529" spans="1:14">
      <c r="A1529" t="str">
        <f t="shared" si="46"/>
        <v>7.장기재고율_장기재고금액DVTINV_LONG_TERM2015</v>
      </c>
      <c r="B1529" t="str">
        <f t="shared" si="47"/>
        <v>7.장기재고율_장기재고금액DVTINV_LONG_TERM201504</v>
      </c>
      <c r="F1529" t="s">
        <v>299</v>
      </c>
      <c r="G1529" t="s">
        <v>11</v>
      </c>
      <c r="H1529" t="s">
        <v>307</v>
      </c>
      <c r="I1529" t="s">
        <v>260</v>
      </c>
      <c r="J1529" t="s">
        <v>37</v>
      </c>
      <c r="K1529" t="s">
        <v>183</v>
      </c>
      <c r="L1529">
        <v>0</v>
      </c>
      <c r="M1529" t="s">
        <v>67</v>
      </c>
      <c r="N1529" t="s">
        <v>67</v>
      </c>
    </row>
    <row r="1530" spans="1:14">
      <c r="A1530" t="str">
        <f t="shared" si="46"/>
        <v>7.장기재고율_장기재고금액DVTINV_LONG_TERM2015</v>
      </c>
      <c r="B1530" t="str">
        <f t="shared" si="47"/>
        <v>7.장기재고율_장기재고금액DVTINV_LONG_TERM201505</v>
      </c>
      <c r="F1530" t="s">
        <v>299</v>
      </c>
      <c r="G1530" t="s">
        <v>11</v>
      </c>
      <c r="H1530" t="s">
        <v>307</v>
      </c>
      <c r="I1530" t="s">
        <v>260</v>
      </c>
      <c r="J1530" t="s">
        <v>38</v>
      </c>
      <c r="K1530" t="s">
        <v>183</v>
      </c>
      <c r="L1530">
        <v>0</v>
      </c>
      <c r="M1530" t="s">
        <v>67</v>
      </c>
      <c r="N1530" t="s">
        <v>67</v>
      </c>
    </row>
    <row r="1531" spans="1:14">
      <c r="A1531" t="str">
        <f t="shared" si="46"/>
        <v>7.장기재고율_장기재고금액DVTINV_LONG_TERM2015</v>
      </c>
      <c r="B1531" t="str">
        <f t="shared" si="47"/>
        <v>7.장기재고율_장기재고금액DVTINV_LONG_TERM201506</v>
      </c>
      <c r="F1531" t="s">
        <v>299</v>
      </c>
      <c r="G1531" t="s">
        <v>11</v>
      </c>
      <c r="H1531" t="s">
        <v>307</v>
      </c>
      <c r="I1531" t="s">
        <v>260</v>
      </c>
      <c r="J1531" t="s">
        <v>39</v>
      </c>
      <c r="K1531" t="s">
        <v>183</v>
      </c>
      <c r="L1531">
        <v>0</v>
      </c>
      <c r="M1531" t="s">
        <v>67</v>
      </c>
      <c r="N1531" t="s">
        <v>67</v>
      </c>
    </row>
    <row r="1532" spans="1:14">
      <c r="A1532" t="str">
        <f t="shared" si="46"/>
        <v>7.장기재고율_장기재고금액DVTINV_LONG_TERM2015</v>
      </c>
      <c r="B1532" t="str">
        <f t="shared" si="47"/>
        <v>7.장기재고율_장기재고금액DVTINV_LONG_TERM201507</v>
      </c>
      <c r="F1532" t="s">
        <v>299</v>
      </c>
      <c r="G1532" t="s">
        <v>11</v>
      </c>
      <c r="H1532" t="s">
        <v>307</v>
      </c>
      <c r="I1532" t="s">
        <v>260</v>
      </c>
      <c r="J1532" t="s">
        <v>40</v>
      </c>
      <c r="K1532" t="s">
        <v>183</v>
      </c>
      <c r="L1532">
        <v>0</v>
      </c>
      <c r="M1532" t="s">
        <v>67</v>
      </c>
      <c r="N1532" t="s">
        <v>67</v>
      </c>
    </row>
    <row r="1533" spans="1:14">
      <c r="A1533" t="str">
        <f t="shared" si="46"/>
        <v>7.장기재고율_장기재고금액DVTINV_LONG_TERM2015</v>
      </c>
      <c r="B1533" t="str">
        <f t="shared" si="47"/>
        <v>7.장기재고율_장기재고금액DVTINV_LONG_TERM201508</v>
      </c>
      <c r="F1533" t="s">
        <v>299</v>
      </c>
      <c r="G1533" t="s">
        <v>11</v>
      </c>
      <c r="H1533" t="s">
        <v>307</v>
      </c>
      <c r="I1533" t="s">
        <v>260</v>
      </c>
      <c r="J1533" t="s">
        <v>41</v>
      </c>
      <c r="K1533" t="s">
        <v>183</v>
      </c>
      <c r="L1533">
        <v>0</v>
      </c>
      <c r="M1533" t="s">
        <v>67</v>
      </c>
      <c r="N1533" t="s">
        <v>67</v>
      </c>
    </row>
    <row r="1534" spans="1:14">
      <c r="A1534" t="str">
        <f t="shared" si="46"/>
        <v>7.장기재고율_장기재고금액DVTINV_LONG_TERM2015</v>
      </c>
      <c r="B1534" t="str">
        <f t="shared" si="47"/>
        <v>7.장기재고율_장기재고금액DVTINV_LONG_TERM201509</v>
      </c>
      <c r="F1534" t="s">
        <v>299</v>
      </c>
      <c r="G1534" t="s">
        <v>11</v>
      </c>
      <c r="H1534" t="s">
        <v>307</v>
      </c>
      <c r="I1534" t="s">
        <v>260</v>
      </c>
      <c r="J1534" t="s">
        <v>42</v>
      </c>
      <c r="K1534" t="s">
        <v>183</v>
      </c>
      <c r="L1534">
        <v>0</v>
      </c>
      <c r="M1534" t="s">
        <v>67</v>
      </c>
      <c r="N1534" t="s">
        <v>67</v>
      </c>
    </row>
    <row r="1535" spans="1:14">
      <c r="A1535" t="str">
        <f t="shared" si="46"/>
        <v>7.장기재고율_장기재고금액DVTINV_LONG_TERM2015</v>
      </c>
      <c r="B1535" t="str">
        <f t="shared" si="47"/>
        <v>7.장기재고율_장기재고금액DVTINV_LONG_TERM201510</v>
      </c>
      <c r="F1535" t="s">
        <v>299</v>
      </c>
      <c r="G1535" t="s">
        <v>11</v>
      </c>
      <c r="H1535" t="s">
        <v>307</v>
      </c>
      <c r="I1535" t="s">
        <v>260</v>
      </c>
      <c r="J1535" t="s">
        <v>1</v>
      </c>
      <c r="K1535" t="s">
        <v>183</v>
      </c>
      <c r="L1535">
        <v>0</v>
      </c>
      <c r="M1535" t="s">
        <v>67</v>
      </c>
      <c r="N1535" t="s">
        <v>67</v>
      </c>
    </row>
    <row r="1536" spans="1:14">
      <c r="A1536" t="str">
        <f t="shared" si="46"/>
        <v>7.장기재고율_장기재고금액GLTINV_LONG_TERM2014</v>
      </c>
      <c r="B1536" t="str">
        <f t="shared" si="47"/>
        <v>7.장기재고율_장기재고금액GLTINV_LONG_TERM201401</v>
      </c>
      <c r="F1536" t="s">
        <v>299</v>
      </c>
      <c r="G1536" t="s">
        <v>13</v>
      </c>
      <c r="H1536" t="s">
        <v>307</v>
      </c>
      <c r="I1536" t="s">
        <v>254</v>
      </c>
      <c r="J1536" t="s">
        <v>22</v>
      </c>
      <c r="K1536" t="s">
        <v>183</v>
      </c>
      <c r="L1536">
        <v>227905.54474193801</v>
      </c>
      <c r="M1536" t="s">
        <v>58</v>
      </c>
      <c r="N1536" t="s">
        <v>58</v>
      </c>
    </row>
    <row r="1537" spans="1:14">
      <c r="A1537" t="str">
        <f t="shared" si="46"/>
        <v>7.장기재고율_장기재고금액GLTINV_LONG_TERM2014</v>
      </c>
      <c r="B1537" t="str">
        <f t="shared" si="47"/>
        <v>7.장기재고율_장기재고금액GLTINV_LONG_TERM201402</v>
      </c>
      <c r="F1537" t="s">
        <v>299</v>
      </c>
      <c r="G1537" t="s">
        <v>13</v>
      </c>
      <c r="H1537" t="s">
        <v>307</v>
      </c>
      <c r="I1537" t="s">
        <v>254</v>
      </c>
      <c r="J1537" t="s">
        <v>23</v>
      </c>
      <c r="K1537" t="s">
        <v>183</v>
      </c>
      <c r="L1537">
        <v>275812.22968905099</v>
      </c>
      <c r="M1537" t="s">
        <v>58</v>
      </c>
      <c r="N1537" t="s">
        <v>58</v>
      </c>
    </row>
    <row r="1538" spans="1:14">
      <c r="A1538" t="str">
        <f t="shared" si="46"/>
        <v>7.장기재고율_장기재고금액GLTINV_LONG_TERM2014</v>
      </c>
      <c r="B1538" t="str">
        <f t="shared" si="47"/>
        <v>7.장기재고율_장기재고금액GLTINV_LONG_TERM201403</v>
      </c>
      <c r="F1538" t="s">
        <v>299</v>
      </c>
      <c r="G1538" t="s">
        <v>13</v>
      </c>
      <c r="H1538" t="s">
        <v>307</v>
      </c>
      <c r="I1538" t="s">
        <v>254</v>
      </c>
      <c r="J1538" t="s">
        <v>24</v>
      </c>
      <c r="K1538" t="s">
        <v>183</v>
      </c>
      <c r="L1538">
        <v>671746.34762649704</v>
      </c>
      <c r="M1538" t="s">
        <v>58</v>
      </c>
      <c r="N1538" t="s">
        <v>58</v>
      </c>
    </row>
    <row r="1539" spans="1:14">
      <c r="A1539" t="str">
        <f t="shared" si="46"/>
        <v>7.장기재고율_장기재고금액GLTINV_LONG_TERM2014</v>
      </c>
      <c r="B1539" t="str">
        <f t="shared" si="47"/>
        <v>7.장기재고율_장기재고금액GLTINV_LONG_TERM201404</v>
      </c>
      <c r="F1539" t="s">
        <v>299</v>
      </c>
      <c r="G1539" t="s">
        <v>13</v>
      </c>
      <c r="H1539" t="s">
        <v>307</v>
      </c>
      <c r="I1539" t="s">
        <v>254</v>
      </c>
      <c r="J1539" t="s">
        <v>25</v>
      </c>
      <c r="K1539" t="s">
        <v>183</v>
      </c>
      <c r="L1539">
        <v>299550.62756634702</v>
      </c>
      <c r="M1539" t="s">
        <v>58</v>
      </c>
      <c r="N1539" t="s">
        <v>58</v>
      </c>
    </row>
    <row r="1540" spans="1:14">
      <c r="A1540" t="str">
        <f t="shared" si="46"/>
        <v>7.장기재고율_장기재고금액GLTINV_LONG_TERM2014</v>
      </c>
      <c r="B1540" t="str">
        <f t="shared" si="47"/>
        <v>7.장기재고율_장기재고금액GLTINV_LONG_TERM201405</v>
      </c>
      <c r="F1540" t="s">
        <v>299</v>
      </c>
      <c r="G1540" t="s">
        <v>13</v>
      </c>
      <c r="H1540" t="s">
        <v>307</v>
      </c>
      <c r="I1540" t="s">
        <v>254</v>
      </c>
      <c r="J1540" t="s">
        <v>26</v>
      </c>
      <c r="K1540" t="s">
        <v>183</v>
      </c>
      <c r="L1540">
        <v>168022.82026468299</v>
      </c>
      <c r="M1540" t="s">
        <v>58</v>
      </c>
      <c r="N1540" t="s">
        <v>58</v>
      </c>
    </row>
    <row r="1541" spans="1:14">
      <c r="A1541" t="str">
        <f t="shared" si="46"/>
        <v>7.장기재고율_장기재고금액GLTINV_LONG_TERM2014</v>
      </c>
      <c r="B1541" t="str">
        <f t="shared" si="47"/>
        <v>7.장기재고율_장기재고금액GLTINV_LONG_TERM201406</v>
      </c>
      <c r="F1541" t="s">
        <v>299</v>
      </c>
      <c r="G1541" t="s">
        <v>13</v>
      </c>
      <c r="H1541" t="s">
        <v>307</v>
      </c>
      <c r="I1541" t="s">
        <v>254</v>
      </c>
      <c r="J1541" t="s">
        <v>27</v>
      </c>
      <c r="K1541" t="s">
        <v>183</v>
      </c>
      <c r="L1541">
        <v>537425.78297180601</v>
      </c>
      <c r="M1541" t="s">
        <v>58</v>
      </c>
      <c r="N1541" t="s">
        <v>58</v>
      </c>
    </row>
    <row r="1542" spans="1:14">
      <c r="A1542" t="str">
        <f t="shared" si="46"/>
        <v>7.장기재고율_장기재고금액GLTINV_LONG_TERM2014</v>
      </c>
      <c r="B1542" t="str">
        <f t="shared" si="47"/>
        <v>7.장기재고율_장기재고금액GLTINV_LONG_TERM201407</v>
      </c>
      <c r="F1542" t="s">
        <v>299</v>
      </c>
      <c r="G1542" t="s">
        <v>13</v>
      </c>
      <c r="H1542" t="s">
        <v>307</v>
      </c>
      <c r="I1542" t="s">
        <v>254</v>
      </c>
      <c r="J1542" t="s">
        <v>28</v>
      </c>
      <c r="K1542" t="s">
        <v>183</v>
      </c>
      <c r="L1542">
        <v>297464.83947027201</v>
      </c>
      <c r="M1542" t="s">
        <v>58</v>
      </c>
      <c r="N1542" t="s">
        <v>58</v>
      </c>
    </row>
    <row r="1543" spans="1:14">
      <c r="A1543" t="str">
        <f t="shared" ref="A1543:A1606" si="48">F1543&amp;G1543&amp;K1543&amp;I1543</f>
        <v>7.장기재고율_장기재고금액GLTINV_LONG_TERM2014</v>
      </c>
      <c r="B1543" t="str">
        <f t="shared" ref="B1543:B1606" si="49">F1543&amp;G1543&amp;K1543&amp;J1543</f>
        <v>7.장기재고율_장기재고금액GLTINV_LONG_TERM201408</v>
      </c>
      <c r="F1543" t="s">
        <v>299</v>
      </c>
      <c r="G1543" t="s">
        <v>13</v>
      </c>
      <c r="H1543" t="s">
        <v>307</v>
      </c>
      <c r="I1543" t="s">
        <v>254</v>
      </c>
      <c r="J1543" t="s">
        <v>29</v>
      </c>
      <c r="K1543" t="s">
        <v>183</v>
      </c>
      <c r="L1543">
        <v>729154.56079261994</v>
      </c>
      <c r="M1543" t="s">
        <v>58</v>
      </c>
      <c r="N1543" t="s">
        <v>58</v>
      </c>
    </row>
    <row r="1544" spans="1:14">
      <c r="A1544" t="str">
        <f t="shared" si="48"/>
        <v>7.장기재고율_장기재고금액GLTINV_LONG_TERM2014</v>
      </c>
      <c r="B1544" t="str">
        <f t="shared" si="49"/>
        <v>7.장기재고율_장기재고금액GLTINV_LONG_TERM201409</v>
      </c>
      <c r="F1544" t="s">
        <v>299</v>
      </c>
      <c r="G1544" t="s">
        <v>13</v>
      </c>
      <c r="H1544" t="s">
        <v>307</v>
      </c>
      <c r="I1544" t="s">
        <v>254</v>
      </c>
      <c r="J1544" t="s">
        <v>30</v>
      </c>
      <c r="K1544" t="s">
        <v>183</v>
      </c>
      <c r="L1544">
        <v>609143.22695745295</v>
      </c>
      <c r="M1544" t="s">
        <v>58</v>
      </c>
      <c r="N1544" t="s">
        <v>58</v>
      </c>
    </row>
    <row r="1545" spans="1:14">
      <c r="A1545" t="str">
        <f t="shared" si="48"/>
        <v>7.장기재고율_장기재고금액GLTINV_LONG_TERM2014</v>
      </c>
      <c r="B1545" t="str">
        <f t="shared" si="49"/>
        <v>7.장기재고율_장기재고금액GLTINV_LONG_TERM201410</v>
      </c>
      <c r="F1545" t="s">
        <v>299</v>
      </c>
      <c r="G1545" t="s">
        <v>13</v>
      </c>
      <c r="H1545" t="s">
        <v>307</v>
      </c>
      <c r="I1545" t="s">
        <v>254</v>
      </c>
      <c r="J1545" t="s">
        <v>31</v>
      </c>
      <c r="K1545" t="s">
        <v>183</v>
      </c>
      <c r="L1545">
        <v>392153.54176584398</v>
      </c>
      <c r="M1545" t="s">
        <v>58</v>
      </c>
      <c r="N1545" t="s">
        <v>58</v>
      </c>
    </row>
    <row r="1546" spans="1:14">
      <c r="A1546" t="str">
        <f t="shared" si="48"/>
        <v>7.장기재고율_장기재고금액GLTINV_LONG_TERM2014</v>
      </c>
      <c r="B1546" t="str">
        <f t="shared" si="49"/>
        <v>7.장기재고율_장기재고금액GLTINV_LONG_TERM201411</v>
      </c>
      <c r="F1546" t="s">
        <v>299</v>
      </c>
      <c r="G1546" t="s">
        <v>13</v>
      </c>
      <c r="H1546" t="s">
        <v>307</v>
      </c>
      <c r="I1546" t="s">
        <v>254</v>
      </c>
      <c r="J1546" t="s">
        <v>32</v>
      </c>
      <c r="K1546" t="s">
        <v>183</v>
      </c>
      <c r="L1546">
        <v>314962.85987666901</v>
      </c>
      <c r="M1546" t="s">
        <v>58</v>
      </c>
      <c r="N1546" t="s">
        <v>58</v>
      </c>
    </row>
    <row r="1547" spans="1:14">
      <c r="A1547" t="str">
        <f t="shared" si="48"/>
        <v>7.장기재고율_장기재고금액GLTINV_LONG_TERM2014</v>
      </c>
      <c r="B1547" t="str">
        <f t="shared" si="49"/>
        <v>7.장기재고율_장기재고금액GLTINV_LONG_TERM201412</v>
      </c>
      <c r="F1547" t="s">
        <v>299</v>
      </c>
      <c r="G1547" t="s">
        <v>13</v>
      </c>
      <c r="H1547" t="s">
        <v>307</v>
      </c>
      <c r="I1547" t="s">
        <v>254</v>
      </c>
      <c r="J1547" t="s">
        <v>33</v>
      </c>
      <c r="K1547" t="s">
        <v>183</v>
      </c>
      <c r="L1547">
        <v>90335.363953329696</v>
      </c>
      <c r="M1547" t="s">
        <v>58</v>
      </c>
      <c r="N1547" t="s">
        <v>58</v>
      </c>
    </row>
    <row r="1548" spans="1:14">
      <c r="A1548" t="str">
        <f t="shared" si="48"/>
        <v>7.장기재고율_장기재고금액GLTINV_LONG_TERM2015</v>
      </c>
      <c r="B1548" t="str">
        <f t="shared" si="49"/>
        <v>7.장기재고율_장기재고금액GLTINV_LONG_TERM201501</v>
      </c>
      <c r="F1548" t="s">
        <v>299</v>
      </c>
      <c r="G1548" t="s">
        <v>13</v>
      </c>
      <c r="H1548" t="s">
        <v>307</v>
      </c>
      <c r="I1548" t="s">
        <v>260</v>
      </c>
      <c r="J1548" t="s">
        <v>34</v>
      </c>
      <c r="K1548" t="s">
        <v>183</v>
      </c>
      <c r="L1548">
        <v>238251.06686972899</v>
      </c>
      <c r="M1548" t="s">
        <v>58</v>
      </c>
      <c r="N1548" t="s">
        <v>58</v>
      </c>
    </row>
    <row r="1549" spans="1:14">
      <c r="A1549" t="str">
        <f t="shared" si="48"/>
        <v>7.장기재고율_장기재고금액GLTINV_LONG_TERM2015</v>
      </c>
      <c r="B1549" t="str">
        <f t="shared" si="49"/>
        <v>7.장기재고율_장기재고금액GLTINV_LONG_TERM201502</v>
      </c>
      <c r="F1549" t="s">
        <v>299</v>
      </c>
      <c r="G1549" t="s">
        <v>13</v>
      </c>
      <c r="H1549" t="s">
        <v>307</v>
      </c>
      <c r="I1549" t="s">
        <v>260</v>
      </c>
      <c r="J1549" t="s">
        <v>35</v>
      </c>
      <c r="K1549" t="s">
        <v>183</v>
      </c>
      <c r="L1549">
        <v>413384.067973617</v>
      </c>
      <c r="M1549" t="s">
        <v>58</v>
      </c>
      <c r="N1549" t="s">
        <v>58</v>
      </c>
    </row>
    <row r="1550" spans="1:14">
      <c r="A1550" t="str">
        <f t="shared" si="48"/>
        <v>7.장기재고율_장기재고금액GLTINV_LONG_TERM2015</v>
      </c>
      <c r="B1550" t="str">
        <f t="shared" si="49"/>
        <v>7.장기재고율_장기재고금액GLTINV_LONG_TERM201503</v>
      </c>
      <c r="F1550" t="s">
        <v>299</v>
      </c>
      <c r="G1550" t="s">
        <v>13</v>
      </c>
      <c r="H1550" t="s">
        <v>307</v>
      </c>
      <c r="I1550" t="s">
        <v>260</v>
      </c>
      <c r="J1550" t="s">
        <v>36</v>
      </c>
      <c r="K1550" t="s">
        <v>183</v>
      </c>
      <c r="L1550">
        <v>116612.640892308</v>
      </c>
      <c r="M1550" t="s">
        <v>58</v>
      </c>
      <c r="N1550" t="s">
        <v>58</v>
      </c>
    </row>
    <row r="1551" spans="1:14">
      <c r="A1551" t="str">
        <f t="shared" si="48"/>
        <v>7.장기재고율_장기재고금액GLTINV_LONG_TERM2015</v>
      </c>
      <c r="B1551" t="str">
        <f t="shared" si="49"/>
        <v>7.장기재고율_장기재고금액GLTINV_LONG_TERM201504</v>
      </c>
      <c r="F1551" t="s">
        <v>299</v>
      </c>
      <c r="G1551" t="s">
        <v>13</v>
      </c>
      <c r="H1551" t="s">
        <v>307</v>
      </c>
      <c r="I1551" t="s">
        <v>260</v>
      </c>
      <c r="J1551" t="s">
        <v>37</v>
      </c>
      <c r="K1551" t="s">
        <v>183</v>
      </c>
      <c r="L1551">
        <v>245492.306690853</v>
      </c>
      <c r="M1551" t="s">
        <v>58</v>
      </c>
      <c r="N1551" t="s">
        <v>58</v>
      </c>
    </row>
    <row r="1552" spans="1:14">
      <c r="A1552" t="str">
        <f t="shared" si="48"/>
        <v>7.장기재고율_장기재고금액GLTINV_LONG_TERM2015</v>
      </c>
      <c r="B1552" t="str">
        <f t="shared" si="49"/>
        <v>7.장기재고율_장기재고금액GLTINV_LONG_TERM201505</v>
      </c>
      <c r="F1552" t="s">
        <v>299</v>
      </c>
      <c r="G1552" t="s">
        <v>13</v>
      </c>
      <c r="H1552" t="s">
        <v>307</v>
      </c>
      <c r="I1552" t="s">
        <v>260</v>
      </c>
      <c r="J1552" t="s">
        <v>38</v>
      </c>
      <c r="K1552" t="s">
        <v>183</v>
      </c>
      <c r="L1552">
        <v>675942.39976651606</v>
      </c>
      <c r="M1552" t="s">
        <v>58</v>
      </c>
      <c r="N1552" t="s">
        <v>58</v>
      </c>
    </row>
    <row r="1553" spans="1:14">
      <c r="A1553" t="str">
        <f t="shared" si="48"/>
        <v>7.장기재고율_장기재고금액GLTINV_LONG_TERM2015</v>
      </c>
      <c r="B1553" t="str">
        <f t="shared" si="49"/>
        <v>7.장기재고율_장기재고금액GLTINV_LONG_TERM201506</v>
      </c>
      <c r="F1553" t="s">
        <v>299</v>
      </c>
      <c r="G1553" t="s">
        <v>13</v>
      </c>
      <c r="H1553" t="s">
        <v>307</v>
      </c>
      <c r="I1553" t="s">
        <v>260</v>
      </c>
      <c r="J1553" t="s">
        <v>39</v>
      </c>
      <c r="K1553" t="s">
        <v>183</v>
      </c>
      <c r="L1553">
        <v>487013.03229605901</v>
      </c>
      <c r="M1553" t="s">
        <v>58</v>
      </c>
      <c r="N1553" t="s">
        <v>58</v>
      </c>
    </row>
    <row r="1554" spans="1:14">
      <c r="A1554" t="str">
        <f t="shared" si="48"/>
        <v>7.장기재고율_장기재고금액GLTINV_LONG_TERM2015</v>
      </c>
      <c r="B1554" t="str">
        <f t="shared" si="49"/>
        <v>7.장기재고율_장기재고금액GLTINV_LONG_TERM201507</v>
      </c>
      <c r="F1554" t="s">
        <v>299</v>
      </c>
      <c r="G1554" t="s">
        <v>13</v>
      </c>
      <c r="H1554" t="s">
        <v>307</v>
      </c>
      <c r="I1554" t="s">
        <v>260</v>
      </c>
      <c r="J1554" t="s">
        <v>40</v>
      </c>
      <c r="K1554" t="s">
        <v>183</v>
      </c>
      <c r="L1554">
        <v>607221.17618357204</v>
      </c>
      <c r="M1554" t="s">
        <v>58</v>
      </c>
      <c r="N1554" t="s">
        <v>58</v>
      </c>
    </row>
    <row r="1555" spans="1:14">
      <c r="A1555" t="str">
        <f t="shared" si="48"/>
        <v>7.장기재고율_장기재고금액GLTINV_LONG_TERM2015</v>
      </c>
      <c r="B1555" t="str">
        <f t="shared" si="49"/>
        <v>7.장기재고율_장기재고금액GLTINV_LONG_TERM201508</v>
      </c>
      <c r="F1555" t="s">
        <v>299</v>
      </c>
      <c r="G1555" t="s">
        <v>13</v>
      </c>
      <c r="H1555" t="s">
        <v>307</v>
      </c>
      <c r="I1555" t="s">
        <v>260</v>
      </c>
      <c r="J1555" t="s">
        <v>41</v>
      </c>
      <c r="K1555" t="s">
        <v>183</v>
      </c>
      <c r="L1555">
        <v>204613.54850165799</v>
      </c>
      <c r="M1555" t="s">
        <v>58</v>
      </c>
      <c r="N1555" t="s">
        <v>58</v>
      </c>
    </row>
    <row r="1556" spans="1:14">
      <c r="A1556" t="str">
        <f t="shared" si="48"/>
        <v>7.장기재고율_장기재고금액GLTINV_LONG_TERM2015</v>
      </c>
      <c r="B1556" t="str">
        <f t="shared" si="49"/>
        <v>7.장기재고율_장기재고금액GLTINV_LONG_TERM201509</v>
      </c>
      <c r="F1556" t="s">
        <v>299</v>
      </c>
      <c r="G1556" t="s">
        <v>13</v>
      </c>
      <c r="H1556" t="s">
        <v>307</v>
      </c>
      <c r="I1556" t="s">
        <v>260</v>
      </c>
      <c r="J1556" t="s">
        <v>42</v>
      </c>
      <c r="K1556" t="s">
        <v>183</v>
      </c>
      <c r="L1556">
        <v>569298.64217680995</v>
      </c>
      <c r="M1556" t="s">
        <v>58</v>
      </c>
      <c r="N1556" t="s">
        <v>58</v>
      </c>
    </row>
    <row r="1557" spans="1:14">
      <c r="A1557" t="str">
        <f t="shared" si="48"/>
        <v>7.장기재고율_장기재고금액GLTINV_LONG_TERM2015</v>
      </c>
      <c r="B1557" t="str">
        <f t="shared" si="49"/>
        <v>7.장기재고율_장기재고금액GLTINV_LONG_TERM201510</v>
      </c>
      <c r="F1557" t="s">
        <v>299</v>
      </c>
      <c r="G1557" t="s">
        <v>13</v>
      </c>
      <c r="H1557" t="s">
        <v>307</v>
      </c>
      <c r="I1557" t="s">
        <v>260</v>
      </c>
      <c r="J1557" t="s">
        <v>1</v>
      </c>
      <c r="K1557" t="s">
        <v>183</v>
      </c>
      <c r="L1557">
        <v>310817.650711547</v>
      </c>
      <c r="M1557" t="s">
        <v>58</v>
      </c>
      <c r="N1557" t="s">
        <v>58</v>
      </c>
    </row>
    <row r="1558" spans="1:14">
      <c r="A1558" t="str">
        <f t="shared" si="48"/>
        <v>7.장기재고율_장기재고금액GPTINV_LONG_TERM2014</v>
      </c>
      <c r="B1558" t="str">
        <f t="shared" si="49"/>
        <v>7.장기재고율_장기재고금액GPTINV_LONG_TERM201401</v>
      </c>
      <c r="F1558" t="s">
        <v>299</v>
      </c>
      <c r="G1558" t="s">
        <v>309</v>
      </c>
      <c r="H1558" t="s">
        <v>307</v>
      </c>
      <c r="I1558" t="s">
        <v>254</v>
      </c>
      <c r="J1558" t="s">
        <v>22</v>
      </c>
      <c r="K1558" t="s">
        <v>183</v>
      </c>
      <c r="L1558">
        <v>4461.7045101927397</v>
      </c>
      <c r="M1558" t="s">
        <v>318</v>
      </c>
      <c r="N1558" t="s">
        <v>318</v>
      </c>
    </row>
    <row r="1559" spans="1:14">
      <c r="A1559" t="str">
        <f t="shared" si="48"/>
        <v>7.장기재고율_장기재고금액GPTINV_LONG_TERM2014</v>
      </c>
      <c r="B1559" t="str">
        <f t="shared" si="49"/>
        <v>7.장기재고율_장기재고금액GPTINV_LONG_TERM201402</v>
      </c>
      <c r="F1559" t="s">
        <v>299</v>
      </c>
      <c r="G1559" t="s">
        <v>309</v>
      </c>
      <c r="H1559" t="s">
        <v>307</v>
      </c>
      <c r="I1559" t="s">
        <v>254</v>
      </c>
      <c r="J1559" t="s">
        <v>23</v>
      </c>
      <c r="K1559" t="s">
        <v>183</v>
      </c>
      <c r="L1559">
        <v>5662.1951993069197</v>
      </c>
      <c r="M1559" t="s">
        <v>318</v>
      </c>
      <c r="N1559" t="s">
        <v>318</v>
      </c>
    </row>
    <row r="1560" spans="1:14">
      <c r="A1560" t="str">
        <f t="shared" si="48"/>
        <v>7.장기재고율_장기재고금액GPTINV_LONG_TERM2014</v>
      </c>
      <c r="B1560" t="str">
        <f t="shared" si="49"/>
        <v>7.장기재고율_장기재고금액GPTINV_LONG_TERM201403</v>
      </c>
      <c r="F1560" t="s">
        <v>299</v>
      </c>
      <c r="G1560" t="s">
        <v>309</v>
      </c>
      <c r="H1560" t="s">
        <v>307</v>
      </c>
      <c r="I1560" t="s">
        <v>254</v>
      </c>
      <c r="J1560" t="s">
        <v>24</v>
      </c>
      <c r="K1560" t="s">
        <v>183</v>
      </c>
      <c r="L1560">
        <v>6244.46089446108</v>
      </c>
      <c r="M1560" t="s">
        <v>318</v>
      </c>
      <c r="N1560" t="s">
        <v>318</v>
      </c>
    </row>
    <row r="1561" spans="1:14">
      <c r="A1561" t="str">
        <f t="shared" si="48"/>
        <v>7.장기재고율_장기재고금액GPTINV_LONG_TERM2014</v>
      </c>
      <c r="B1561" t="str">
        <f t="shared" si="49"/>
        <v>7.장기재고율_장기재고금액GPTINV_LONG_TERM201404</v>
      </c>
      <c r="F1561" t="s">
        <v>299</v>
      </c>
      <c r="G1561" t="s">
        <v>309</v>
      </c>
      <c r="H1561" t="s">
        <v>307</v>
      </c>
      <c r="I1561" t="s">
        <v>254</v>
      </c>
      <c r="J1561" t="s">
        <v>25</v>
      </c>
      <c r="K1561" t="s">
        <v>183</v>
      </c>
      <c r="L1561">
        <v>7769.1303268392003</v>
      </c>
      <c r="M1561" t="s">
        <v>318</v>
      </c>
      <c r="N1561" t="s">
        <v>318</v>
      </c>
    </row>
    <row r="1562" spans="1:14">
      <c r="A1562" t="str">
        <f t="shared" si="48"/>
        <v>7.장기재고율_장기재고금액GPTINV_LONG_TERM2014</v>
      </c>
      <c r="B1562" t="str">
        <f t="shared" si="49"/>
        <v>7.장기재고율_장기재고금액GPTINV_LONG_TERM201405</v>
      </c>
      <c r="F1562" t="s">
        <v>299</v>
      </c>
      <c r="G1562" t="s">
        <v>309</v>
      </c>
      <c r="H1562" t="s">
        <v>307</v>
      </c>
      <c r="I1562" t="s">
        <v>254</v>
      </c>
      <c r="J1562" t="s">
        <v>26</v>
      </c>
      <c r="K1562" t="s">
        <v>183</v>
      </c>
      <c r="L1562">
        <v>9294.5249835552095</v>
      </c>
      <c r="M1562" t="s">
        <v>318</v>
      </c>
      <c r="N1562" t="s">
        <v>318</v>
      </c>
    </row>
    <row r="1563" spans="1:14">
      <c r="A1563" t="str">
        <f t="shared" si="48"/>
        <v>7.장기재고율_장기재고금액GPTINV_LONG_TERM2014</v>
      </c>
      <c r="B1563" t="str">
        <f t="shared" si="49"/>
        <v>7.장기재고율_장기재고금액GPTINV_LONG_TERM201406</v>
      </c>
      <c r="F1563" t="s">
        <v>299</v>
      </c>
      <c r="G1563" t="s">
        <v>309</v>
      </c>
      <c r="H1563" t="s">
        <v>307</v>
      </c>
      <c r="I1563" t="s">
        <v>254</v>
      </c>
      <c r="J1563" t="s">
        <v>27</v>
      </c>
      <c r="K1563" t="s">
        <v>183</v>
      </c>
      <c r="L1563">
        <v>6027.1779156151397</v>
      </c>
      <c r="M1563" t="s">
        <v>318</v>
      </c>
      <c r="N1563" t="s">
        <v>318</v>
      </c>
    </row>
    <row r="1564" spans="1:14">
      <c r="A1564" t="str">
        <f t="shared" si="48"/>
        <v>7.장기재고율_장기재고금액GPTINV_LONG_TERM2014</v>
      </c>
      <c r="B1564" t="str">
        <f t="shared" si="49"/>
        <v>7.장기재고율_장기재고금액GPTINV_LONG_TERM201407</v>
      </c>
      <c r="F1564" t="s">
        <v>299</v>
      </c>
      <c r="G1564" t="s">
        <v>309</v>
      </c>
      <c r="H1564" t="s">
        <v>307</v>
      </c>
      <c r="I1564" t="s">
        <v>254</v>
      </c>
      <c r="J1564" t="s">
        <v>28</v>
      </c>
      <c r="K1564" t="s">
        <v>183</v>
      </c>
      <c r="L1564">
        <v>15227.3557325002</v>
      </c>
      <c r="M1564" t="s">
        <v>318</v>
      </c>
      <c r="N1564" t="s">
        <v>318</v>
      </c>
    </row>
    <row r="1565" spans="1:14">
      <c r="A1565" t="str">
        <f t="shared" si="48"/>
        <v>7.장기재고율_장기재고금액GPTINV_LONG_TERM2014</v>
      </c>
      <c r="B1565" t="str">
        <f t="shared" si="49"/>
        <v>7.장기재고율_장기재고금액GPTINV_LONG_TERM201408</v>
      </c>
      <c r="F1565" t="s">
        <v>299</v>
      </c>
      <c r="G1565" t="s">
        <v>309</v>
      </c>
      <c r="H1565" t="s">
        <v>307</v>
      </c>
      <c r="I1565" t="s">
        <v>254</v>
      </c>
      <c r="J1565" t="s">
        <v>29</v>
      </c>
      <c r="K1565" t="s">
        <v>183</v>
      </c>
      <c r="L1565">
        <v>10543.299984116</v>
      </c>
      <c r="M1565" t="s">
        <v>318</v>
      </c>
      <c r="N1565" t="s">
        <v>318</v>
      </c>
    </row>
    <row r="1566" spans="1:14">
      <c r="A1566" t="str">
        <f t="shared" si="48"/>
        <v>7.장기재고율_장기재고금액GPTINV_LONG_TERM2014</v>
      </c>
      <c r="B1566" t="str">
        <f t="shared" si="49"/>
        <v>7.장기재고율_장기재고금액GPTINV_LONG_TERM201409</v>
      </c>
      <c r="F1566" t="s">
        <v>299</v>
      </c>
      <c r="G1566" t="s">
        <v>309</v>
      </c>
      <c r="H1566" t="s">
        <v>307</v>
      </c>
      <c r="I1566" t="s">
        <v>254</v>
      </c>
      <c r="J1566" t="s">
        <v>30</v>
      </c>
      <c r="K1566" t="s">
        <v>183</v>
      </c>
      <c r="L1566">
        <v>2060.9843844469801</v>
      </c>
      <c r="M1566" t="s">
        <v>318</v>
      </c>
      <c r="N1566" t="s">
        <v>318</v>
      </c>
    </row>
    <row r="1567" spans="1:14">
      <c r="A1567" t="str">
        <f t="shared" si="48"/>
        <v>7.장기재고율_장기재고금액GPTINV_LONG_TERM2014</v>
      </c>
      <c r="B1567" t="str">
        <f t="shared" si="49"/>
        <v>7.장기재고율_장기재고금액GPTINV_LONG_TERM201410</v>
      </c>
      <c r="F1567" t="s">
        <v>299</v>
      </c>
      <c r="G1567" t="s">
        <v>309</v>
      </c>
      <c r="H1567" t="s">
        <v>307</v>
      </c>
      <c r="I1567" t="s">
        <v>254</v>
      </c>
      <c r="J1567" t="s">
        <v>31</v>
      </c>
      <c r="K1567" t="s">
        <v>183</v>
      </c>
      <c r="L1567">
        <v>33413.720742504702</v>
      </c>
      <c r="M1567" t="s">
        <v>318</v>
      </c>
      <c r="N1567" t="s">
        <v>318</v>
      </c>
    </row>
    <row r="1568" spans="1:14">
      <c r="A1568" t="str">
        <f t="shared" si="48"/>
        <v>7.장기재고율_장기재고금액GPTINV_LONG_TERM2014</v>
      </c>
      <c r="B1568" t="str">
        <f t="shared" si="49"/>
        <v>7.장기재고율_장기재고금액GPTINV_LONG_TERM201411</v>
      </c>
      <c r="F1568" t="s">
        <v>299</v>
      </c>
      <c r="G1568" t="s">
        <v>309</v>
      </c>
      <c r="H1568" t="s">
        <v>307</v>
      </c>
      <c r="I1568" t="s">
        <v>254</v>
      </c>
      <c r="J1568" t="s">
        <v>32</v>
      </c>
      <c r="K1568" t="s">
        <v>183</v>
      </c>
      <c r="L1568">
        <v>40823.176836617902</v>
      </c>
      <c r="M1568" t="s">
        <v>318</v>
      </c>
      <c r="N1568" t="s">
        <v>318</v>
      </c>
    </row>
    <row r="1569" spans="1:14">
      <c r="A1569" t="str">
        <f t="shared" si="48"/>
        <v>7.장기재고율_장기재고금액GPTINV_LONG_TERM2014</v>
      </c>
      <c r="B1569" t="str">
        <f t="shared" si="49"/>
        <v>7.장기재고율_장기재고금액GPTINV_LONG_TERM201412</v>
      </c>
      <c r="F1569" t="s">
        <v>299</v>
      </c>
      <c r="G1569" t="s">
        <v>309</v>
      </c>
      <c r="H1569" t="s">
        <v>307</v>
      </c>
      <c r="I1569" t="s">
        <v>254</v>
      </c>
      <c r="J1569" t="s">
        <v>33</v>
      </c>
      <c r="K1569" t="s">
        <v>183</v>
      </c>
      <c r="L1569">
        <v>2349.1108230531299</v>
      </c>
      <c r="M1569" t="s">
        <v>318</v>
      </c>
      <c r="N1569" t="s">
        <v>318</v>
      </c>
    </row>
    <row r="1570" spans="1:14">
      <c r="A1570" t="str">
        <f t="shared" si="48"/>
        <v>7.장기재고율_장기재고금액GPTINV_LONG_TERM2015</v>
      </c>
      <c r="B1570" t="str">
        <f t="shared" si="49"/>
        <v>7.장기재고율_장기재고금액GPTINV_LONG_TERM201501</v>
      </c>
      <c r="F1570" t="s">
        <v>299</v>
      </c>
      <c r="G1570" t="s">
        <v>309</v>
      </c>
      <c r="H1570" t="s">
        <v>307</v>
      </c>
      <c r="I1570" t="s">
        <v>260</v>
      </c>
      <c r="J1570" t="s">
        <v>34</v>
      </c>
      <c r="K1570" t="s">
        <v>183</v>
      </c>
      <c r="L1570">
        <v>1129.72000504217</v>
      </c>
      <c r="M1570" t="s">
        <v>318</v>
      </c>
      <c r="N1570" t="s">
        <v>318</v>
      </c>
    </row>
    <row r="1571" spans="1:14">
      <c r="A1571" t="str">
        <f t="shared" si="48"/>
        <v>7.장기재고율_장기재고금액GPTINV_LONG_TERM2015</v>
      </c>
      <c r="B1571" t="str">
        <f t="shared" si="49"/>
        <v>7.장기재고율_장기재고금액GPTINV_LONG_TERM201502</v>
      </c>
      <c r="F1571" t="s">
        <v>299</v>
      </c>
      <c r="G1571" t="s">
        <v>309</v>
      </c>
      <c r="H1571" t="s">
        <v>307</v>
      </c>
      <c r="I1571" t="s">
        <v>260</v>
      </c>
      <c r="J1571" t="s">
        <v>35</v>
      </c>
      <c r="K1571" t="s">
        <v>183</v>
      </c>
      <c r="L1571">
        <v>7070.3906497452699</v>
      </c>
      <c r="M1571" t="s">
        <v>318</v>
      </c>
      <c r="N1571" t="s">
        <v>318</v>
      </c>
    </row>
    <row r="1572" spans="1:14">
      <c r="A1572" t="str">
        <f t="shared" si="48"/>
        <v>7.장기재고율_장기재고금액GPTINV_LONG_TERM2015</v>
      </c>
      <c r="B1572" t="str">
        <f t="shared" si="49"/>
        <v>7.장기재고율_장기재고금액GPTINV_LONG_TERM201503</v>
      </c>
      <c r="F1572" t="s">
        <v>299</v>
      </c>
      <c r="G1572" t="s">
        <v>309</v>
      </c>
      <c r="H1572" t="s">
        <v>307</v>
      </c>
      <c r="I1572" t="s">
        <v>260</v>
      </c>
      <c r="J1572" t="s">
        <v>36</v>
      </c>
      <c r="K1572" t="s">
        <v>183</v>
      </c>
      <c r="L1572">
        <v>1805.56464217195</v>
      </c>
      <c r="M1572" t="s">
        <v>318</v>
      </c>
      <c r="N1572" t="s">
        <v>318</v>
      </c>
    </row>
    <row r="1573" spans="1:14">
      <c r="A1573" t="str">
        <f t="shared" si="48"/>
        <v>7.장기재고율_장기재고금액GPTINV_LONG_TERM2015</v>
      </c>
      <c r="B1573" t="str">
        <f t="shared" si="49"/>
        <v>7.장기재고율_장기재고금액GPTINV_LONG_TERM201504</v>
      </c>
      <c r="F1573" t="s">
        <v>299</v>
      </c>
      <c r="G1573" t="s">
        <v>309</v>
      </c>
      <c r="H1573" t="s">
        <v>307</v>
      </c>
      <c r="I1573" t="s">
        <v>260</v>
      </c>
      <c r="J1573" t="s">
        <v>37</v>
      </c>
      <c r="K1573" t="s">
        <v>183</v>
      </c>
      <c r="L1573">
        <v>1379.28405065069</v>
      </c>
      <c r="M1573" t="s">
        <v>318</v>
      </c>
      <c r="N1573" t="s">
        <v>318</v>
      </c>
    </row>
    <row r="1574" spans="1:14">
      <c r="A1574" t="str">
        <f t="shared" si="48"/>
        <v>7.장기재고율_장기재고금액GPTINV_LONG_TERM2015</v>
      </c>
      <c r="B1574" t="str">
        <f t="shared" si="49"/>
        <v>7.장기재고율_장기재고금액GPTINV_LONG_TERM201505</v>
      </c>
      <c r="F1574" t="s">
        <v>299</v>
      </c>
      <c r="G1574" t="s">
        <v>309</v>
      </c>
      <c r="H1574" t="s">
        <v>307</v>
      </c>
      <c r="I1574" t="s">
        <v>260</v>
      </c>
      <c r="J1574" t="s">
        <v>38</v>
      </c>
      <c r="K1574" t="s">
        <v>183</v>
      </c>
      <c r="L1574">
        <v>1850.04077220217</v>
      </c>
      <c r="M1574" t="s">
        <v>318</v>
      </c>
      <c r="N1574" t="s">
        <v>318</v>
      </c>
    </row>
    <row r="1575" spans="1:14">
      <c r="A1575" t="str">
        <f t="shared" si="48"/>
        <v>7.장기재고율_장기재고금액GPTINV_LONG_TERM2015</v>
      </c>
      <c r="B1575" t="str">
        <f t="shared" si="49"/>
        <v>7.장기재고율_장기재고금액GPTINV_LONG_TERM201506</v>
      </c>
      <c r="F1575" t="s">
        <v>299</v>
      </c>
      <c r="G1575" t="s">
        <v>309</v>
      </c>
      <c r="H1575" t="s">
        <v>307</v>
      </c>
      <c r="I1575" t="s">
        <v>260</v>
      </c>
      <c r="J1575" t="s">
        <v>39</v>
      </c>
      <c r="K1575" t="s">
        <v>183</v>
      </c>
      <c r="L1575">
        <v>1899.42817720843</v>
      </c>
      <c r="M1575" t="s">
        <v>318</v>
      </c>
      <c r="N1575" t="s">
        <v>318</v>
      </c>
    </row>
    <row r="1576" spans="1:14">
      <c r="A1576" t="str">
        <f t="shared" si="48"/>
        <v>7.장기재고율_장기재고금액GPTINV_LONG_TERM2015</v>
      </c>
      <c r="B1576" t="str">
        <f t="shared" si="49"/>
        <v>7.장기재고율_장기재고금액GPTINV_LONG_TERM201507</v>
      </c>
      <c r="F1576" t="s">
        <v>299</v>
      </c>
      <c r="G1576" t="s">
        <v>309</v>
      </c>
      <c r="H1576" t="s">
        <v>307</v>
      </c>
      <c r="I1576" t="s">
        <v>260</v>
      </c>
      <c r="J1576" t="s">
        <v>40</v>
      </c>
      <c r="K1576" t="s">
        <v>183</v>
      </c>
      <c r="L1576">
        <v>1406.0148062248099</v>
      </c>
      <c r="M1576" t="s">
        <v>318</v>
      </c>
      <c r="N1576" t="s">
        <v>318</v>
      </c>
    </row>
    <row r="1577" spans="1:14">
      <c r="A1577" t="str">
        <f t="shared" si="48"/>
        <v>7.장기재고율_장기재고금액GPTINV_LONG_TERM2015</v>
      </c>
      <c r="B1577" t="str">
        <f t="shared" si="49"/>
        <v>7.장기재고율_장기재고금액GPTINV_LONG_TERM201508</v>
      </c>
      <c r="F1577" t="s">
        <v>299</v>
      </c>
      <c r="G1577" t="s">
        <v>309</v>
      </c>
      <c r="H1577" t="s">
        <v>307</v>
      </c>
      <c r="I1577" t="s">
        <v>260</v>
      </c>
      <c r="J1577" t="s">
        <v>41</v>
      </c>
      <c r="K1577" t="s">
        <v>183</v>
      </c>
      <c r="L1577">
        <v>906.10052469608104</v>
      </c>
      <c r="M1577" t="s">
        <v>318</v>
      </c>
      <c r="N1577" t="s">
        <v>318</v>
      </c>
    </row>
    <row r="1578" spans="1:14">
      <c r="A1578" t="str">
        <f t="shared" si="48"/>
        <v>7.장기재고율_장기재고금액GPTINV_LONG_TERM2015</v>
      </c>
      <c r="B1578" t="str">
        <f t="shared" si="49"/>
        <v>7.장기재고율_장기재고금액GPTINV_LONG_TERM201509</v>
      </c>
      <c r="F1578" t="s">
        <v>299</v>
      </c>
      <c r="G1578" t="s">
        <v>309</v>
      </c>
      <c r="H1578" t="s">
        <v>307</v>
      </c>
      <c r="I1578" t="s">
        <v>260</v>
      </c>
      <c r="J1578" t="s">
        <v>42</v>
      </c>
      <c r="K1578" t="s">
        <v>183</v>
      </c>
      <c r="L1578">
        <v>749.78073654248601</v>
      </c>
      <c r="M1578" t="s">
        <v>318</v>
      </c>
      <c r="N1578" t="s">
        <v>318</v>
      </c>
    </row>
    <row r="1579" spans="1:14">
      <c r="A1579" t="str">
        <f t="shared" si="48"/>
        <v>7.장기재고율_장기재고금액GPTINV_LONG_TERM2015</v>
      </c>
      <c r="B1579" t="str">
        <f t="shared" si="49"/>
        <v>7.장기재고율_장기재고금액GPTINV_LONG_TERM201510</v>
      </c>
      <c r="F1579" t="s">
        <v>299</v>
      </c>
      <c r="G1579" t="s">
        <v>309</v>
      </c>
      <c r="H1579" t="s">
        <v>307</v>
      </c>
      <c r="I1579" t="s">
        <v>260</v>
      </c>
      <c r="J1579" t="s">
        <v>1</v>
      </c>
      <c r="K1579" t="s">
        <v>183</v>
      </c>
      <c r="L1579">
        <v>662.59724835857503</v>
      </c>
      <c r="M1579" t="s">
        <v>318</v>
      </c>
      <c r="N1579" t="s">
        <v>318</v>
      </c>
    </row>
    <row r="1580" spans="1:14">
      <c r="A1580" t="str">
        <f t="shared" si="48"/>
        <v>7.장기재고율_장기재고금액GTTINV_LONG_TERM2014</v>
      </c>
      <c r="B1580" t="str">
        <f t="shared" si="49"/>
        <v>7.장기재고율_장기재고금액GTTINV_LONG_TERM201401</v>
      </c>
      <c r="F1580" t="s">
        <v>299</v>
      </c>
      <c r="G1580" t="s">
        <v>15</v>
      </c>
      <c r="H1580" t="s">
        <v>307</v>
      </c>
      <c r="I1580" t="s">
        <v>254</v>
      </c>
      <c r="J1580" t="s">
        <v>22</v>
      </c>
      <c r="K1580" t="s">
        <v>183</v>
      </c>
      <c r="L1580">
        <v>10745.2559586731</v>
      </c>
      <c r="M1580" t="s">
        <v>68</v>
      </c>
      <c r="N1580" t="s">
        <v>59</v>
      </c>
    </row>
    <row r="1581" spans="1:14">
      <c r="A1581" t="str">
        <f t="shared" si="48"/>
        <v>7.장기재고율_장기재고금액GTTINV_LONG_TERM2014</v>
      </c>
      <c r="B1581" t="str">
        <f t="shared" si="49"/>
        <v>7.장기재고율_장기재고금액GTTINV_LONG_TERM201402</v>
      </c>
      <c r="F1581" t="s">
        <v>299</v>
      </c>
      <c r="G1581" t="s">
        <v>15</v>
      </c>
      <c r="H1581" t="s">
        <v>307</v>
      </c>
      <c r="I1581" t="s">
        <v>254</v>
      </c>
      <c r="J1581" t="s">
        <v>23</v>
      </c>
      <c r="K1581" t="s">
        <v>183</v>
      </c>
      <c r="L1581">
        <v>2130.51032574693</v>
      </c>
      <c r="M1581" t="s">
        <v>68</v>
      </c>
      <c r="N1581" t="s">
        <v>59</v>
      </c>
    </row>
    <row r="1582" spans="1:14">
      <c r="A1582" t="str">
        <f t="shared" si="48"/>
        <v>7.장기재고율_장기재고금액GTTINV_LONG_TERM2014</v>
      </c>
      <c r="B1582" t="str">
        <f t="shared" si="49"/>
        <v>7.장기재고율_장기재고금액GTTINV_LONG_TERM201403</v>
      </c>
      <c r="F1582" t="s">
        <v>299</v>
      </c>
      <c r="G1582" t="s">
        <v>15</v>
      </c>
      <c r="H1582" t="s">
        <v>307</v>
      </c>
      <c r="I1582" t="s">
        <v>254</v>
      </c>
      <c r="J1582" t="s">
        <v>24</v>
      </c>
      <c r="K1582" t="s">
        <v>183</v>
      </c>
      <c r="L1582">
        <v>8071.66069535928</v>
      </c>
      <c r="M1582" t="s">
        <v>68</v>
      </c>
      <c r="N1582" t="s">
        <v>59</v>
      </c>
    </row>
    <row r="1583" spans="1:14">
      <c r="A1583" t="str">
        <f t="shared" si="48"/>
        <v>7.장기재고율_장기재고금액GTTINV_LONG_TERM2014</v>
      </c>
      <c r="B1583" t="str">
        <f t="shared" si="49"/>
        <v>7.장기재고율_장기재고금액GTTINV_LONG_TERM201404</v>
      </c>
      <c r="F1583" t="s">
        <v>299</v>
      </c>
      <c r="G1583" t="s">
        <v>15</v>
      </c>
      <c r="H1583" t="s">
        <v>307</v>
      </c>
      <c r="I1583" t="s">
        <v>254</v>
      </c>
      <c r="J1583" t="s">
        <v>25</v>
      </c>
      <c r="K1583" t="s">
        <v>183</v>
      </c>
      <c r="L1583">
        <v>29367.1676252787</v>
      </c>
      <c r="M1583" t="s">
        <v>68</v>
      </c>
      <c r="N1583" t="s">
        <v>59</v>
      </c>
    </row>
    <row r="1584" spans="1:14">
      <c r="A1584" t="str">
        <f t="shared" si="48"/>
        <v>7.장기재고율_장기재고금액GTTINV_LONG_TERM2014</v>
      </c>
      <c r="B1584" t="str">
        <f t="shared" si="49"/>
        <v>7.장기재고율_장기재고금액GTTINV_LONG_TERM201405</v>
      </c>
      <c r="F1584" t="s">
        <v>299</v>
      </c>
      <c r="G1584" t="s">
        <v>15</v>
      </c>
      <c r="H1584" t="s">
        <v>307</v>
      </c>
      <c r="I1584" t="s">
        <v>254</v>
      </c>
      <c r="J1584" t="s">
        <v>26</v>
      </c>
      <c r="K1584" t="s">
        <v>183</v>
      </c>
      <c r="L1584">
        <v>91495.652692247502</v>
      </c>
      <c r="M1584" t="s">
        <v>68</v>
      </c>
      <c r="N1584" t="s">
        <v>59</v>
      </c>
    </row>
    <row r="1585" spans="1:14">
      <c r="A1585" t="str">
        <f t="shared" si="48"/>
        <v>7.장기재고율_장기재고금액GTTINV_LONG_TERM2014</v>
      </c>
      <c r="B1585" t="str">
        <f t="shared" si="49"/>
        <v>7.장기재고율_장기재고금액GTTINV_LONG_TERM201406</v>
      </c>
      <c r="F1585" t="s">
        <v>299</v>
      </c>
      <c r="G1585" t="s">
        <v>15</v>
      </c>
      <c r="H1585" t="s">
        <v>307</v>
      </c>
      <c r="I1585" t="s">
        <v>254</v>
      </c>
      <c r="J1585" t="s">
        <v>27</v>
      </c>
      <c r="K1585" t="s">
        <v>183</v>
      </c>
      <c r="L1585">
        <v>64467.511391462896</v>
      </c>
      <c r="M1585" t="s">
        <v>68</v>
      </c>
      <c r="N1585" t="s">
        <v>59</v>
      </c>
    </row>
    <row r="1586" spans="1:14">
      <c r="A1586" t="str">
        <f t="shared" si="48"/>
        <v>7.장기재고율_장기재고금액GTTINV_LONG_TERM2014</v>
      </c>
      <c r="B1586" t="str">
        <f t="shared" si="49"/>
        <v>7.장기재고율_장기재고금액GTTINV_LONG_TERM201407</v>
      </c>
      <c r="F1586" t="s">
        <v>299</v>
      </c>
      <c r="G1586" t="s">
        <v>15</v>
      </c>
      <c r="H1586" t="s">
        <v>307</v>
      </c>
      <c r="I1586" t="s">
        <v>254</v>
      </c>
      <c r="J1586" t="s">
        <v>28</v>
      </c>
      <c r="K1586" t="s">
        <v>183</v>
      </c>
      <c r="L1586">
        <v>122297.786246998</v>
      </c>
      <c r="M1586" t="s">
        <v>68</v>
      </c>
      <c r="N1586" t="s">
        <v>59</v>
      </c>
    </row>
    <row r="1587" spans="1:14">
      <c r="A1587" t="str">
        <f t="shared" si="48"/>
        <v>7.장기재고율_장기재고금액GTTINV_LONG_TERM2014</v>
      </c>
      <c r="B1587" t="str">
        <f t="shared" si="49"/>
        <v>7.장기재고율_장기재고금액GTTINV_LONG_TERM201408</v>
      </c>
      <c r="F1587" t="s">
        <v>299</v>
      </c>
      <c r="G1587" t="s">
        <v>15</v>
      </c>
      <c r="H1587" t="s">
        <v>307</v>
      </c>
      <c r="I1587" t="s">
        <v>254</v>
      </c>
      <c r="J1587" t="s">
        <v>29</v>
      </c>
      <c r="K1587" t="s">
        <v>183</v>
      </c>
      <c r="L1587">
        <v>188862.072448994</v>
      </c>
      <c r="M1587" t="s">
        <v>68</v>
      </c>
      <c r="N1587" t="s">
        <v>59</v>
      </c>
    </row>
    <row r="1588" spans="1:14">
      <c r="A1588" t="str">
        <f t="shared" si="48"/>
        <v>7.장기재고율_장기재고금액GTTINV_LONG_TERM2014</v>
      </c>
      <c r="B1588" t="str">
        <f t="shared" si="49"/>
        <v>7.장기재고율_장기재고금액GTTINV_LONG_TERM201409</v>
      </c>
      <c r="F1588" t="s">
        <v>299</v>
      </c>
      <c r="G1588" t="s">
        <v>15</v>
      </c>
      <c r="H1588" t="s">
        <v>307</v>
      </c>
      <c r="I1588" t="s">
        <v>254</v>
      </c>
      <c r="J1588" t="s">
        <v>30</v>
      </c>
      <c r="K1588" t="s">
        <v>183</v>
      </c>
      <c r="L1588">
        <v>166796.154814582</v>
      </c>
      <c r="M1588" t="s">
        <v>68</v>
      </c>
      <c r="N1588" t="s">
        <v>59</v>
      </c>
    </row>
    <row r="1589" spans="1:14">
      <c r="A1589" t="str">
        <f t="shared" si="48"/>
        <v>7.장기재고율_장기재고금액GTTINV_LONG_TERM2014</v>
      </c>
      <c r="B1589" t="str">
        <f t="shared" si="49"/>
        <v>7.장기재고율_장기재고금액GTTINV_LONG_TERM201410</v>
      </c>
      <c r="F1589" t="s">
        <v>299</v>
      </c>
      <c r="G1589" t="s">
        <v>15</v>
      </c>
      <c r="H1589" t="s">
        <v>307</v>
      </c>
      <c r="I1589" t="s">
        <v>254</v>
      </c>
      <c r="J1589" t="s">
        <v>31</v>
      </c>
      <c r="K1589" t="s">
        <v>183</v>
      </c>
      <c r="L1589">
        <v>101449.238749431</v>
      </c>
      <c r="M1589" t="s">
        <v>68</v>
      </c>
      <c r="N1589" t="s">
        <v>59</v>
      </c>
    </row>
    <row r="1590" spans="1:14">
      <c r="A1590" t="str">
        <f t="shared" si="48"/>
        <v>7.장기재고율_장기재고금액GTTINV_LONG_TERM2014</v>
      </c>
      <c r="B1590" t="str">
        <f t="shared" si="49"/>
        <v>7.장기재고율_장기재고금액GTTINV_LONG_TERM201411</v>
      </c>
      <c r="F1590" t="s">
        <v>299</v>
      </c>
      <c r="G1590" t="s">
        <v>15</v>
      </c>
      <c r="H1590" t="s">
        <v>307</v>
      </c>
      <c r="I1590" t="s">
        <v>254</v>
      </c>
      <c r="J1590" t="s">
        <v>32</v>
      </c>
      <c r="K1590" t="s">
        <v>183</v>
      </c>
      <c r="L1590">
        <v>177351.88758023799</v>
      </c>
      <c r="M1590" t="s">
        <v>68</v>
      </c>
      <c r="N1590" t="s">
        <v>59</v>
      </c>
    </row>
    <row r="1591" spans="1:14">
      <c r="A1591" t="str">
        <f t="shared" si="48"/>
        <v>7.장기재고율_장기재고금액GTTINV_LONG_TERM2014</v>
      </c>
      <c r="B1591" t="str">
        <f t="shared" si="49"/>
        <v>7.장기재고율_장기재고금액GTTINV_LONG_TERM201412</v>
      </c>
      <c r="F1591" t="s">
        <v>299</v>
      </c>
      <c r="G1591" t="s">
        <v>15</v>
      </c>
      <c r="H1591" t="s">
        <v>307</v>
      </c>
      <c r="I1591" t="s">
        <v>254</v>
      </c>
      <c r="J1591" t="s">
        <v>33</v>
      </c>
      <c r="K1591" t="s">
        <v>183</v>
      </c>
      <c r="L1591">
        <v>253956.61800655001</v>
      </c>
      <c r="M1591" t="s">
        <v>68</v>
      </c>
      <c r="N1591" t="s">
        <v>59</v>
      </c>
    </row>
    <row r="1592" spans="1:14">
      <c r="A1592" t="str">
        <f t="shared" si="48"/>
        <v>7.장기재고율_장기재고금액GTTINV_LONG_TERM2015</v>
      </c>
      <c r="B1592" t="str">
        <f t="shared" si="49"/>
        <v>7.장기재고율_장기재고금액GTTINV_LONG_TERM201501</v>
      </c>
      <c r="F1592" t="s">
        <v>299</v>
      </c>
      <c r="G1592" t="s">
        <v>15</v>
      </c>
      <c r="H1592" t="s">
        <v>307</v>
      </c>
      <c r="I1592" t="s">
        <v>260</v>
      </c>
      <c r="J1592" t="s">
        <v>34</v>
      </c>
      <c r="K1592" t="s">
        <v>183</v>
      </c>
      <c r="L1592">
        <v>201071.79833039999</v>
      </c>
      <c r="M1592" t="s">
        <v>68</v>
      </c>
      <c r="N1592" t="s">
        <v>59</v>
      </c>
    </row>
    <row r="1593" spans="1:14">
      <c r="A1593" t="str">
        <f t="shared" si="48"/>
        <v>7.장기재고율_장기재고금액GTTINV_LONG_TERM2015</v>
      </c>
      <c r="B1593" t="str">
        <f t="shared" si="49"/>
        <v>7.장기재고율_장기재고금액GTTINV_LONG_TERM201502</v>
      </c>
      <c r="F1593" t="s">
        <v>299</v>
      </c>
      <c r="G1593" t="s">
        <v>15</v>
      </c>
      <c r="H1593" t="s">
        <v>307</v>
      </c>
      <c r="I1593" t="s">
        <v>260</v>
      </c>
      <c r="J1593" t="s">
        <v>35</v>
      </c>
      <c r="K1593" t="s">
        <v>183</v>
      </c>
      <c r="L1593">
        <v>240900.892610262</v>
      </c>
      <c r="M1593" t="s">
        <v>68</v>
      </c>
      <c r="N1593" t="s">
        <v>59</v>
      </c>
    </row>
    <row r="1594" spans="1:14">
      <c r="A1594" t="str">
        <f t="shared" si="48"/>
        <v>7.장기재고율_장기재고금액GTTINV_LONG_TERM2015</v>
      </c>
      <c r="B1594" t="str">
        <f t="shared" si="49"/>
        <v>7.장기재고율_장기재고금액GTTINV_LONG_TERM201503</v>
      </c>
      <c r="F1594" t="s">
        <v>299</v>
      </c>
      <c r="G1594" t="s">
        <v>15</v>
      </c>
      <c r="H1594" t="s">
        <v>307</v>
      </c>
      <c r="I1594" t="s">
        <v>260</v>
      </c>
      <c r="J1594" t="s">
        <v>36</v>
      </c>
      <c r="K1594" t="s">
        <v>183</v>
      </c>
      <c r="L1594">
        <v>273839.70603583701</v>
      </c>
      <c r="M1594" t="s">
        <v>68</v>
      </c>
      <c r="N1594" t="s">
        <v>59</v>
      </c>
    </row>
    <row r="1595" spans="1:14">
      <c r="A1595" t="str">
        <f t="shared" si="48"/>
        <v>7.장기재고율_장기재고금액GTTINV_LONG_TERM2015</v>
      </c>
      <c r="B1595" t="str">
        <f t="shared" si="49"/>
        <v>7.장기재고율_장기재고금액GTTINV_LONG_TERM201504</v>
      </c>
      <c r="F1595" t="s">
        <v>299</v>
      </c>
      <c r="G1595" t="s">
        <v>15</v>
      </c>
      <c r="H1595" t="s">
        <v>307</v>
      </c>
      <c r="I1595" t="s">
        <v>260</v>
      </c>
      <c r="J1595" t="s">
        <v>37</v>
      </c>
      <c r="K1595" t="s">
        <v>183</v>
      </c>
      <c r="L1595">
        <v>410578.35239631101</v>
      </c>
      <c r="M1595" t="s">
        <v>68</v>
      </c>
      <c r="N1595" t="s">
        <v>59</v>
      </c>
    </row>
    <row r="1596" spans="1:14">
      <c r="A1596" t="str">
        <f t="shared" si="48"/>
        <v>7.장기재고율_장기재고금액GTTINV_LONG_TERM2015</v>
      </c>
      <c r="B1596" t="str">
        <f t="shared" si="49"/>
        <v>7.장기재고율_장기재고금액GTTINV_LONG_TERM201505</v>
      </c>
      <c r="F1596" t="s">
        <v>299</v>
      </c>
      <c r="G1596" t="s">
        <v>15</v>
      </c>
      <c r="H1596" t="s">
        <v>307</v>
      </c>
      <c r="I1596" t="s">
        <v>260</v>
      </c>
      <c r="J1596" t="s">
        <v>38</v>
      </c>
      <c r="K1596" t="s">
        <v>183</v>
      </c>
      <c r="L1596">
        <v>204376.925415704</v>
      </c>
      <c r="M1596" t="s">
        <v>68</v>
      </c>
      <c r="N1596" t="s">
        <v>59</v>
      </c>
    </row>
    <row r="1597" spans="1:14">
      <c r="A1597" t="str">
        <f t="shared" si="48"/>
        <v>7.장기재고율_장기재고금액GTTINV_LONG_TERM2015</v>
      </c>
      <c r="B1597" t="str">
        <f t="shared" si="49"/>
        <v>7.장기재고율_장기재고금액GTTINV_LONG_TERM201506</v>
      </c>
      <c r="F1597" t="s">
        <v>299</v>
      </c>
      <c r="G1597" t="s">
        <v>15</v>
      </c>
      <c r="H1597" t="s">
        <v>307</v>
      </c>
      <c r="I1597" t="s">
        <v>260</v>
      </c>
      <c r="J1597" t="s">
        <v>39</v>
      </c>
      <c r="K1597" t="s">
        <v>183</v>
      </c>
      <c r="L1597">
        <v>258696.310414554</v>
      </c>
      <c r="M1597" t="s">
        <v>68</v>
      </c>
      <c r="N1597" t="s">
        <v>59</v>
      </c>
    </row>
    <row r="1598" spans="1:14">
      <c r="A1598" t="str">
        <f t="shared" si="48"/>
        <v>7.장기재고율_장기재고금액GTTINV_LONG_TERM2015</v>
      </c>
      <c r="B1598" t="str">
        <f t="shared" si="49"/>
        <v>7.장기재고율_장기재고금액GTTINV_LONG_TERM201507</v>
      </c>
      <c r="F1598" t="s">
        <v>299</v>
      </c>
      <c r="G1598" t="s">
        <v>15</v>
      </c>
      <c r="H1598" t="s">
        <v>307</v>
      </c>
      <c r="I1598" t="s">
        <v>260</v>
      </c>
      <c r="J1598" t="s">
        <v>40</v>
      </c>
      <c r="K1598" t="s">
        <v>183</v>
      </c>
      <c r="L1598">
        <v>74894.065189316607</v>
      </c>
      <c r="M1598" t="s">
        <v>68</v>
      </c>
      <c r="N1598" t="s">
        <v>59</v>
      </c>
    </row>
    <row r="1599" spans="1:14">
      <c r="A1599" t="str">
        <f t="shared" si="48"/>
        <v>7.장기재고율_장기재고금액GTTINV_LONG_TERM2015</v>
      </c>
      <c r="B1599" t="str">
        <f t="shared" si="49"/>
        <v>7.장기재고율_장기재고금액GTTINV_LONG_TERM201508</v>
      </c>
      <c r="F1599" t="s">
        <v>299</v>
      </c>
      <c r="G1599" t="s">
        <v>15</v>
      </c>
      <c r="H1599" t="s">
        <v>307</v>
      </c>
      <c r="I1599" t="s">
        <v>260</v>
      </c>
      <c r="J1599" t="s">
        <v>41</v>
      </c>
      <c r="K1599" t="s">
        <v>183</v>
      </c>
      <c r="L1599">
        <v>56977.466457706403</v>
      </c>
      <c r="M1599" t="s">
        <v>68</v>
      </c>
      <c r="N1599" t="s">
        <v>59</v>
      </c>
    </row>
    <row r="1600" spans="1:14">
      <c r="A1600" t="str">
        <f t="shared" si="48"/>
        <v>7.장기재고율_장기재고금액GTTINV_LONG_TERM2015</v>
      </c>
      <c r="B1600" t="str">
        <f t="shared" si="49"/>
        <v>7.장기재고율_장기재고금액GTTINV_LONG_TERM201509</v>
      </c>
      <c r="F1600" t="s">
        <v>299</v>
      </c>
      <c r="G1600" t="s">
        <v>15</v>
      </c>
      <c r="H1600" t="s">
        <v>307</v>
      </c>
      <c r="I1600" t="s">
        <v>260</v>
      </c>
      <c r="J1600" t="s">
        <v>42</v>
      </c>
      <c r="K1600" t="s">
        <v>183</v>
      </c>
      <c r="L1600">
        <v>21849.339058518199</v>
      </c>
      <c r="M1600" t="s">
        <v>68</v>
      </c>
      <c r="N1600" t="s">
        <v>59</v>
      </c>
    </row>
    <row r="1601" spans="1:14">
      <c r="A1601" t="str">
        <f t="shared" si="48"/>
        <v>7.장기재고율_장기재고금액GTTINV_LONG_TERM2015</v>
      </c>
      <c r="B1601" t="str">
        <f t="shared" si="49"/>
        <v>7.장기재고율_장기재고금액GTTINV_LONG_TERM201510</v>
      </c>
      <c r="F1601" t="s">
        <v>299</v>
      </c>
      <c r="G1601" t="s">
        <v>15</v>
      </c>
      <c r="H1601" t="s">
        <v>307</v>
      </c>
      <c r="I1601" t="s">
        <v>260</v>
      </c>
      <c r="J1601" t="s">
        <v>1</v>
      </c>
      <c r="K1601" t="s">
        <v>183</v>
      </c>
      <c r="L1601">
        <v>12070.6941162567</v>
      </c>
      <c r="M1601" t="s">
        <v>68</v>
      </c>
      <c r="N1601" t="s">
        <v>59</v>
      </c>
    </row>
    <row r="1602" spans="1:14">
      <c r="A1602" t="str">
        <f t="shared" si="48"/>
        <v>7.장기재고율_장기재고금액MSTINV_LONG_TERM2014</v>
      </c>
      <c r="B1602" t="str">
        <f t="shared" si="49"/>
        <v>7.장기재고율_장기재고금액MSTINV_LONG_TERM201401</v>
      </c>
      <c r="F1602" t="s">
        <v>299</v>
      </c>
      <c r="G1602" t="s">
        <v>16</v>
      </c>
      <c r="H1602" t="s">
        <v>307</v>
      </c>
      <c r="I1602" t="s">
        <v>254</v>
      </c>
      <c r="J1602" t="s">
        <v>22</v>
      </c>
      <c r="K1602" t="s">
        <v>183</v>
      </c>
      <c r="L1602">
        <v>119191.497532339</v>
      </c>
      <c r="M1602" t="s">
        <v>69</v>
      </c>
      <c r="N1602" t="s">
        <v>61</v>
      </c>
    </row>
    <row r="1603" spans="1:14">
      <c r="A1603" t="str">
        <f t="shared" si="48"/>
        <v>7.장기재고율_장기재고금액MSTINV_LONG_TERM2014</v>
      </c>
      <c r="B1603" t="str">
        <f t="shared" si="49"/>
        <v>7.장기재고율_장기재고금액MSTINV_LONG_TERM201402</v>
      </c>
      <c r="F1603" t="s">
        <v>299</v>
      </c>
      <c r="G1603" t="s">
        <v>16</v>
      </c>
      <c r="H1603" t="s">
        <v>307</v>
      </c>
      <c r="I1603" t="s">
        <v>254</v>
      </c>
      <c r="J1603" t="s">
        <v>23</v>
      </c>
      <c r="K1603" t="s">
        <v>183</v>
      </c>
      <c r="L1603">
        <v>85932.741710218193</v>
      </c>
      <c r="M1603" t="s">
        <v>69</v>
      </c>
      <c r="N1603" t="s">
        <v>61</v>
      </c>
    </row>
    <row r="1604" spans="1:14">
      <c r="A1604" t="str">
        <f t="shared" si="48"/>
        <v>7.장기재고율_장기재고금액MSTINV_LONG_TERM2014</v>
      </c>
      <c r="B1604" t="str">
        <f t="shared" si="49"/>
        <v>7.장기재고율_장기재고금액MSTINV_LONG_TERM201403</v>
      </c>
      <c r="F1604" t="s">
        <v>299</v>
      </c>
      <c r="G1604" t="s">
        <v>16</v>
      </c>
      <c r="H1604" t="s">
        <v>307</v>
      </c>
      <c r="I1604" t="s">
        <v>254</v>
      </c>
      <c r="J1604" t="s">
        <v>24</v>
      </c>
      <c r="K1604" t="s">
        <v>183</v>
      </c>
      <c r="L1604">
        <v>20652.393458083799</v>
      </c>
      <c r="M1604" t="s">
        <v>69</v>
      </c>
      <c r="N1604" t="s">
        <v>61</v>
      </c>
    </row>
    <row r="1605" spans="1:14">
      <c r="A1605" t="str">
        <f t="shared" si="48"/>
        <v>7.장기재고율_장기재고금액MSTINV_LONG_TERM2014</v>
      </c>
      <c r="B1605" t="str">
        <f t="shared" si="49"/>
        <v>7.장기재고율_장기재고금액MSTINV_LONG_TERM201404</v>
      </c>
      <c r="F1605" t="s">
        <v>299</v>
      </c>
      <c r="G1605" t="s">
        <v>16</v>
      </c>
      <c r="H1605" t="s">
        <v>307</v>
      </c>
      <c r="I1605" t="s">
        <v>254</v>
      </c>
      <c r="J1605" t="s">
        <v>25</v>
      </c>
      <c r="K1605" t="s">
        <v>183</v>
      </c>
      <c r="L1605">
        <v>12732.0951036154</v>
      </c>
      <c r="M1605" t="s">
        <v>69</v>
      </c>
      <c r="N1605" t="s">
        <v>61</v>
      </c>
    </row>
    <row r="1606" spans="1:14">
      <c r="A1606" t="str">
        <f t="shared" si="48"/>
        <v>7.장기재고율_장기재고금액MSTINV_LONG_TERM2014</v>
      </c>
      <c r="B1606" t="str">
        <f t="shared" si="49"/>
        <v>7.장기재고율_장기재고금액MSTINV_LONG_TERM201405</v>
      </c>
      <c r="F1606" t="s">
        <v>299</v>
      </c>
      <c r="G1606" t="s">
        <v>16</v>
      </c>
      <c r="H1606" t="s">
        <v>307</v>
      </c>
      <c r="I1606" t="s">
        <v>254</v>
      </c>
      <c r="J1606" t="s">
        <v>26</v>
      </c>
      <c r="K1606" t="s">
        <v>183</v>
      </c>
      <c r="L1606">
        <v>0</v>
      </c>
      <c r="M1606" t="s">
        <v>69</v>
      </c>
      <c r="N1606" t="s">
        <v>61</v>
      </c>
    </row>
    <row r="1607" spans="1:14">
      <c r="A1607" t="str">
        <f t="shared" ref="A1607:A1670" si="50">F1607&amp;G1607&amp;K1607&amp;I1607</f>
        <v>7.장기재고율_장기재고금액MSTINV_LONG_TERM2014</v>
      </c>
      <c r="B1607" t="str">
        <f t="shared" ref="B1607:B1670" si="51">F1607&amp;G1607&amp;K1607&amp;J1607</f>
        <v>7.장기재고율_장기재고금액MSTINV_LONG_TERM201406</v>
      </c>
      <c r="F1607" t="s">
        <v>299</v>
      </c>
      <c r="G1607" t="s">
        <v>16</v>
      </c>
      <c r="H1607" t="s">
        <v>307</v>
      </c>
      <c r="I1607" t="s">
        <v>254</v>
      </c>
      <c r="J1607" t="s">
        <v>27</v>
      </c>
      <c r="K1607" t="s">
        <v>183</v>
      </c>
      <c r="L1607">
        <v>102844.557333695</v>
      </c>
      <c r="M1607" t="s">
        <v>69</v>
      </c>
      <c r="N1607" t="s">
        <v>61</v>
      </c>
    </row>
    <row r="1608" spans="1:14">
      <c r="A1608" t="str">
        <f t="shared" si="50"/>
        <v>7.장기재고율_장기재고금액MSTINV_LONG_TERM2014</v>
      </c>
      <c r="B1608" t="str">
        <f t="shared" si="51"/>
        <v>7.장기재고율_장기재고금액MSTINV_LONG_TERM201407</v>
      </c>
      <c r="F1608" t="s">
        <v>299</v>
      </c>
      <c r="G1608" t="s">
        <v>16</v>
      </c>
      <c r="H1608" t="s">
        <v>307</v>
      </c>
      <c r="I1608" t="s">
        <v>254</v>
      </c>
      <c r="J1608" t="s">
        <v>28</v>
      </c>
      <c r="K1608" t="s">
        <v>183</v>
      </c>
      <c r="L1608">
        <v>93294.199231865699</v>
      </c>
      <c r="M1608" t="s">
        <v>69</v>
      </c>
      <c r="N1608" t="s">
        <v>61</v>
      </c>
    </row>
    <row r="1609" spans="1:14">
      <c r="A1609" t="str">
        <f t="shared" si="50"/>
        <v>7.장기재고율_장기재고금액MSTINV_LONG_TERM2014</v>
      </c>
      <c r="B1609" t="str">
        <f t="shared" si="51"/>
        <v>7.장기재고율_장기재고금액MSTINV_LONG_TERM201408</v>
      </c>
      <c r="F1609" t="s">
        <v>299</v>
      </c>
      <c r="G1609" t="s">
        <v>16</v>
      </c>
      <c r="H1609" t="s">
        <v>307</v>
      </c>
      <c r="I1609" t="s">
        <v>254</v>
      </c>
      <c r="J1609" t="s">
        <v>29</v>
      </c>
      <c r="K1609" t="s">
        <v>183</v>
      </c>
      <c r="L1609">
        <v>367968.20130929397</v>
      </c>
      <c r="M1609" t="s">
        <v>69</v>
      </c>
      <c r="N1609" t="s">
        <v>61</v>
      </c>
    </row>
    <row r="1610" spans="1:14">
      <c r="A1610" t="str">
        <f t="shared" si="50"/>
        <v>7.장기재고율_장기재고금액MSTINV_LONG_TERM2014</v>
      </c>
      <c r="B1610" t="str">
        <f t="shared" si="51"/>
        <v>7.장기재고율_장기재고금액MSTINV_LONG_TERM201409</v>
      </c>
      <c r="F1610" t="s">
        <v>299</v>
      </c>
      <c r="G1610" t="s">
        <v>16</v>
      </c>
      <c r="H1610" t="s">
        <v>307</v>
      </c>
      <c r="I1610" t="s">
        <v>254</v>
      </c>
      <c r="J1610" t="s">
        <v>30</v>
      </c>
      <c r="K1610" t="s">
        <v>183</v>
      </c>
      <c r="L1610">
        <v>84333.176968874905</v>
      </c>
      <c r="M1610" t="s">
        <v>69</v>
      </c>
      <c r="N1610" t="s">
        <v>61</v>
      </c>
    </row>
    <row r="1611" spans="1:14">
      <c r="A1611" t="str">
        <f t="shared" si="50"/>
        <v>7.장기재고율_장기재고금액MSTINV_LONG_TERM2014</v>
      </c>
      <c r="B1611" t="str">
        <f t="shared" si="51"/>
        <v>7.장기재고율_장기재고금액MSTINV_LONG_TERM201410</v>
      </c>
      <c r="F1611" t="s">
        <v>299</v>
      </c>
      <c r="G1611" t="s">
        <v>16</v>
      </c>
      <c r="H1611" t="s">
        <v>307</v>
      </c>
      <c r="I1611" t="s">
        <v>254</v>
      </c>
      <c r="J1611" t="s">
        <v>31</v>
      </c>
      <c r="K1611" t="s">
        <v>183</v>
      </c>
      <c r="L1611">
        <v>133805.51467647101</v>
      </c>
      <c r="M1611" t="s">
        <v>69</v>
      </c>
      <c r="N1611" t="s">
        <v>61</v>
      </c>
    </row>
    <row r="1612" spans="1:14">
      <c r="A1612" t="str">
        <f t="shared" si="50"/>
        <v>7.장기재고율_장기재고금액MSTINV_LONG_TERM2014</v>
      </c>
      <c r="B1612" t="str">
        <f t="shared" si="51"/>
        <v>7.장기재고율_장기재고금액MSTINV_LONG_TERM201411</v>
      </c>
      <c r="F1612" t="s">
        <v>299</v>
      </c>
      <c r="G1612" t="s">
        <v>16</v>
      </c>
      <c r="H1612" t="s">
        <v>307</v>
      </c>
      <c r="I1612" t="s">
        <v>254</v>
      </c>
      <c r="J1612" t="s">
        <v>32</v>
      </c>
      <c r="K1612" t="s">
        <v>183</v>
      </c>
      <c r="L1612">
        <v>18273.7786969394</v>
      </c>
      <c r="M1612" t="s">
        <v>69</v>
      </c>
      <c r="N1612" t="s">
        <v>61</v>
      </c>
    </row>
    <row r="1613" spans="1:14">
      <c r="A1613" t="str">
        <f t="shared" si="50"/>
        <v>7.장기재고율_장기재고금액MSTINV_LONG_TERM2014</v>
      </c>
      <c r="B1613" t="str">
        <f t="shared" si="51"/>
        <v>7.장기재고율_장기재고금액MSTINV_LONG_TERM201412</v>
      </c>
      <c r="F1613" t="s">
        <v>299</v>
      </c>
      <c r="G1613" t="s">
        <v>16</v>
      </c>
      <c r="H1613" t="s">
        <v>307</v>
      </c>
      <c r="I1613" t="s">
        <v>254</v>
      </c>
      <c r="J1613" t="s">
        <v>33</v>
      </c>
      <c r="K1613" t="s">
        <v>183</v>
      </c>
      <c r="L1613">
        <v>53987.191767376302</v>
      </c>
      <c r="M1613" t="s">
        <v>69</v>
      </c>
      <c r="N1613" t="s">
        <v>61</v>
      </c>
    </row>
    <row r="1614" spans="1:14">
      <c r="A1614" t="str">
        <f t="shared" si="50"/>
        <v>7.장기재고율_장기재고금액MSTINV_LONG_TERM2015</v>
      </c>
      <c r="B1614" t="str">
        <f t="shared" si="51"/>
        <v>7.장기재고율_장기재고금액MSTINV_LONG_TERM201501</v>
      </c>
      <c r="F1614" t="s">
        <v>299</v>
      </c>
      <c r="G1614" t="s">
        <v>16</v>
      </c>
      <c r="H1614" t="s">
        <v>307</v>
      </c>
      <c r="I1614" t="s">
        <v>260</v>
      </c>
      <c r="J1614" t="s">
        <v>34</v>
      </c>
      <c r="K1614" t="s">
        <v>183</v>
      </c>
      <c r="L1614">
        <v>25044.913325632599</v>
      </c>
      <c r="M1614" t="s">
        <v>69</v>
      </c>
      <c r="N1614" t="s">
        <v>61</v>
      </c>
    </row>
    <row r="1615" spans="1:14">
      <c r="A1615" t="str">
        <f t="shared" si="50"/>
        <v>7.장기재고율_장기재고금액MSTINV_LONG_TERM2015</v>
      </c>
      <c r="B1615" t="str">
        <f t="shared" si="51"/>
        <v>7.장기재고율_장기재고금액MSTINV_LONG_TERM201502</v>
      </c>
      <c r="F1615" t="s">
        <v>299</v>
      </c>
      <c r="G1615" t="s">
        <v>16</v>
      </c>
      <c r="H1615" t="s">
        <v>307</v>
      </c>
      <c r="I1615" t="s">
        <v>260</v>
      </c>
      <c r="J1615" t="s">
        <v>35</v>
      </c>
      <c r="K1615" t="s">
        <v>183</v>
      </c>
      <c r="L1615">
        <v>58203.689228438903</v>
      </c>
      <c r="M1615" t="s">
        <v>69</v>
      </c>
      <c r="N1615" t="s">
        <v>61</v>
      </c>
    </row>
    <row r="1616" spans="1:14">
      <c r="A1616" t="str">
        <f t="shared" si="50"/>
        <v>7.장기재고율_장기재고금액MSTINV_LONG_TERM2015</v>
      </c>
      <c r="B1616" t="str">
        <f t="shared" si="51"/>
        <v>7.장기재고율_장기재고금액MSTINV_LONG_TERM201503</v>
      </c>
      <c r="F1616" t="s">
        <v>299</v>
      </c>
      <c r="G1616" t="s">
        <v>16</v>
      </c>
      <c r="H1616" t="s">
        <v>307</v>
      </c>
      <c r="I1616" t="s">
        <v>260</v>
      </c>
      <c r="J1616" t="s">
        <v>36</v>
      </c>
      <c r="K1616" t="s">
        <v>183</v>
      </c>
      <c r="L1616">
        <v>16454.6093755656</v>
      </c>
      <c r="M1616" t="s">
        <v>69</v>
      </c>
      <c r="N1616" t="s">
        <v>61</v>
      </c>
    </row>
    <row r="1617" spans="1:14">
      <c r="A1617" t="str">
        <f t="shared" si="50"/>
        <v>7.장기재고율_장기재고금액MSTINV_LONG_TERM2015</v>
      </c>
      <c r="B1617" t="str">
        <f t="shared" si="51"/>
        <v>7.장기재고율_장기재고금액MSTINV_LONG_TERM201504</v>
      </c>
      <c r="F1617" t="s">
        <v>299</v>
      </c>
      <c r="G1617" t="s">
        <v>16</v>
      </c>
      <c r="H1617" t="s">
        <v>307</v>
      </c>
      <c r="I1617" t="s">
        <v>260</v>
      </c>
      <c r="J1617" t="s">
        <v>37</v>
      </c>
      <c r="K1617" t="s">
        <v>183</v>
      </c>
      <c r="L1617">
        <v>54766.537768467402</v>
      </c>
      <c r="M1617" t="s">
        <v>69</v>
      </c>
      <c r="N1617" t="s">
        <v>61</v>
      </c>
    </row>
    <row r="1618" spans="1:14">
      <c r="A1618" t="str">
        <f t="shared" si="50"/>
        <v>7.장기재고율_장기재고금액MSTINV_LONG_TERM2015</v>
      </c>
      <c r="B1618" t="str">
        <f t="shared" si="51"/>
        <v>7.장기재고율_장기재고금액MSTINV_LONG_TERM201505</v>
      </c>
      <c r="F1618" t="s">
        <v>299</v>
      </c>
      <c r="G1618" t="s">
        <v>16</v>
      </c>
      <c r="H1618" t="s">
        <v>307</v>
      </c>
      <c r="I1618" t="s">
        <v>260</v>
      </c>
      <c r="J1618" t="s">
        <v>38</v>
      </c>
      <c r="K1618" t="s">
        <v>183</v>
      </c>
      <c r="L1618">
        <v>76936.653254963894</v>
      </c>
      <c r="M1618" t="s">
        <v>69</v>
      </c>
      <c r="N1618" t="s">
        <v>61</v>
      </c>
    </row>
    <row r="1619" spans="1:14">
      <c r="A1619" t="str">
        <f t="shared" si="50"/>
        <v>7.장기재고율_장기재고금액MSTINV_LONG_TERM2015</v>
      </c>
      <c r="B1619" t="str">
        <f t="shared" si="51"/>
        <v>7.장기재고율_장기재고금액MSTINV_LONG_TERM201506</v>
      </c>
      <c r="F1619" t="s">
        <v>299</v>
      </c>
      <c r="G1619" t="s">
        <v>16</v>
      </c>
      <c r="H1619" t="s">
        <v>307</v>
      </c>
      <c r="I1619" t="s">
        <v>260</v>
      </c>
      <c r="J1619" t="s">
        <v>39</v>
      </c>
      <c r="K1619" t="s">
        <v>183</v>
      </c>
      <c r="L1619">
        <v>57948.2574183791</v>
      </c>
      <c r="M1619" t="s">
        <v>69</v>
      </c>
      <c r="N1619" t="s">
        <v>61</v>
      </c>
    </row>
    <row r="1620" spans="1:14">
      <c r="A1620" t="str">
        <f t="shared" si="50"/>
        <v>7.장기재고율_장기재고금액MSTINV_LONG_TERM2015</v>
      </c>
      <c r="B1620" t="str">
        <f t="shared" si="51"/>
        <v>7.장기재고율_장기재고금액MSTINV_LONG_TERM201507</v>
      </c>
      <c r="F1620" t="s">
        <v>299</v>
      </c>
      <c r="G1620" t="s">
        <v>16</v>
      </c>
      <c r="H1620" t="s">
        <v>307</v>
      </c>
      <c r="I1620" t="s">
        <v>260</v>
      </c>
      <c r="J1620" t="s">
        <v>40</v>
      </c>
      <c r="K1620" t="s">
        <v>183</v>
      </c>
      <c r="L1620">
        <v>140791.38270547899</v>
      </c>
      <c r="M1620" t="s">
        <v>69</v>
      </c>
      <c r="N1620" t="s">
        <v>61</v>
      </c>
    </row>
    <row r="1621" spans="1:14">
      <c r="A1621" t="str">
        <f t="shared" si="50"/>
        <v>7.장기재고율_장기재고금액MSTINV_LONG_TERM2015</v>
      </c>
      <c r="B1621" t="str">
        <f t="shared" si="51"/>
        <v>7.장기재고율_장기재고금액MSTINV_LONG_TERM201508</v>
      </c>
      <c r="F1621" t="s">
        <v>299</v>
      </c>
      <c r="G1621" t="s">
        <v>16</v>
      </c>
      <c r="H1621" t="s">
        <v>307</v>
      </c>
      <c r="I1621" t="s">
        <v>260</v>
      </c>
      <c r="J1621" t="s">
        <v>41</v>
      </c>
      <c r="K1621" t="s">
        <v>183</v>
      </c>
      <c r="L1621">
        <v>173538.64051525999</v>
      </c>
      <c r="M1621" t="s">
        <v>69</v>
      </c>
      <c r="N1621" t="s">
        <v>61</v>
      </c>
    </row>
    <row r="1622" spans="1:14">
      <c r="A1622" t="str">
        <f t="shared" si="50"/>
        <v>7.장기재고율_장기재고금액MSTINV_LONG_TERM2015</v>
      </c>
      <c r="B1622" t="str">
        <f t="shared" si="51"/>
        <v>7.장기재고율_장기재고금액MSTINV_LONG_TERM201509</v>
      </c>
      <c r="F1622" t="s">
        <v>299</v>
      </c>
      <c r="G1622" t="s">
        <v>16</v>
      </c>
      <c r="H1622" t="s">
        <v>307</v>
      </c>
      <c r="I1622" t="s">
        <v>260</v>
      </c>
      <c r="J1622" t="s">
        <v>42</v>
      </c>
      <c r="K1622" t="s">
        <v>183</v>
      </c>
      <c r="L1622">
        <v>85021.598121724601</v>
      </c>
      <c r="M1622" t="s">
        <v>69</v>
      </c>
      <c r="N1622" t="s">
        <v>61</v>
      </c>
    </row>
    <row r="1623" spans="1:14">
      <c r="A1623" t="str">
        <f t="shared" si="50"/>
        <v>7.장기재고율_장기재고금액MSTINV_LONG_TERM2015</v>
      </c>
      <c r="B1623" t="str">
        <f t="shared" si="51"/>
        <v>7.장기재고율_장기재고금액MSTINV_LONG_TERM201510</v>
      </c>
      <c r="F1623" t="s">
        <v>299</v>
      </c>
      <c r="G1623" t="s">
        <v>16</v>
      </c>
      <c r="H1623" t="s">
        <v>307</v>
      </c>
      <c r="I1623" t="s">
        <v>260</v>
      </c>
      <c r="J1623" t="s">
        <v>1</v>
      </c>
      <c r="K1623" t="s">
        <v>183</v>
      </c>
      <c r="L1623">
        <v>59808.378037293201</v>
      </c>
      <c r="M1623" t="s">
        <v>69</v>
      </c>
      <c r="N1623" t="s">
        <v>61</v>
      </c>
    </row>
    <row r="1624" spans="1:14">
      <c r="A1624" t="str">
        <f t="shared" si="50"/>
        <v>7.장기재고율_장기재고금액PCTINV_LONG_TERM2014</v>
      </c>
      <c r="B1624" t="str">
        <f t="shared" si="51"/>
        <v>7.장기재고율_장기재고금액PCTINV_LONG_TERM201401</v>
      </c>
      <c r="F1624" t="s">
        <v>299</v>
      </c>
      <c r="G1624" t="s">
        <v>20</v>
      </c>
      <c r="H1624" t="s">
        <v>307</v>
      </c>
      <c r="I1624" t="s">
        <v>254</v>
      </c>
      <c r="J1624" t="s">
        <v>22</v>
      </c>
      <c r="K1624" t="s">
        <v>183</v>
      </c>
      <c r="L1624">
        <v>0</v>
      </c>
      <c r="M1624" t="s">
        <v>65</v>
      </c>
      <c r="N1624" t="s">
        <v>65</v>
      </c>
    </row>
    <row r="1625" spans="1:14">
      <c r="A1625" t="str">
        <f t="shared" si="50"/>
        <v>7.장기재고율_장기재고금액PCTINV_LONG_TERM2014</v>
      </c>
      <c r="B1625" t="str">
        <f t="shared" si="51"/>
        <v>7.장기재고율_장기재고금액PCTINV_LONG_TERM201402</v>
      </c>
      <c r="F1625" t="s">
        <v>299</v>
      </c>
      <c r="G1625" t="s">
        <v>20</v>
      </c>
      <c r="H1625" t="s">
        <v>307</v>
      </c>
      <c r="I1625" t="s">
        <v>254</v>
      </c>
      <c r="J1625" t="s">
        <v>23</v>
      </c>
      <c r="K1625" t="s">
        <v>183</v>
      </c>
      <c r="L1625">
        <v>0</v>
      </c>
      <c r="M1625" t="s">
        <v>65</v>
      </c>
      <c r="N1625" t="s">
        <v>65</v>
      </c>
    </row>
    <row r="1626" spans="1:14">
      <c r="A1626" t="str">
        <f t="shared" si="50"/>
        <v>7.장기재고율_장기재고금액PCTINV_LONG_TERM2014</v>
      </c>
      <c r="B1626" t="str">
        <f t="shared" si="51"/>
        <v>7.장기재고율_장기재고금액PCTINV_LONG_TERM201406</v>
      </c>
      <c r="F1626" t="s">
        <v>299</v>
      </c>
      <c r="G1626" t="s">
        <v>20</v>
      </c>
      <c r="H1626" t="s">
        <v>307</v>
      </c>
      <c r="I1626" t="s">
        <v>254</v>
      </c>
      <c r="J1626" t="s">
        <v>27</v>
      </c>
      <c r="K1626" t="s">
        <v>183</v>
      </c>
      <c r="L1626">
        <v>0</v>
      </c>
      <c r="M1626" t="s">
        <v>65</v>
      </c>
      <c r="N1626" t="s">
        <v>65</v>
      </c>
    </row>
    <row r="1627" spans="1:14">
      <c r="A1627" t="str">
        <f t="shared" si="50"/>
        <v>7.장기재고율_장기재고금액PCTINV_LONG_TERM2014</v>
      </c>
      <c r="B1627" t="str">
        <f t="shared" si="51"/>
        <v>7.장기재고율_장기재고금액PCTINV_LONG_TERM201407</v>
      </c>
      <c r="F1627" t="s">
        <v>299</v>
      </c>
      <c r="G1627" t="s">
        <v>20</v>
      </c>
      <c r="H1627" t="s">
        <v>307</v>
      </c>
      <c r="I1627" t="s">
        <v>254</v>
      </c>
      <c r="J1627" t="s">
        <v>28</v>
      </c>
      <c r="K1627" t="s">
        <v>183</v>
      </c>
      <c r="L1627">
        <v>0</v>
      </c>
      <c r="M1627" t="s">
        <v>65</v>
      </c>
      <c r="N1627" t="s">
        <v>65</v>
      </c>
    </row>
    <row r="1628" spans="1:14">
      <c r="A1628" t="str">
        <f t="shared" si="50"/>
        <v>7.장기재고율_장기재고금액PCTINV_LONG_TERM2014</v>
      </c>
      <c r="B1628" t="str">
        <f t="shared" si="51"/>
        <v>7.장기재고율_장기재고금액PCTINV_LONG_TERM201408</v>
      </c>
      <c r="F1628" t="s">
        <v>299</v>
      </c>
      <c r="G1628" t="s">
        <v>20</v>
      </c>
      <c r="H1628" t="s">
        <v>307</v>
      </c>
      <c r="I1628" t="s">
        <v>254</v>
      </c>
      <c r="J1628" t="s">
        <v>29</v>
      </c>
      <c r="K1628" t="s">
        <v>183</v>
      </c>
      <c r="L1628">
        <v>0</v>
      </c>
      <c r="M1628" t="s">
        <v>65</v>
      </c>
      <c r="N1628" t="s">
        <v>65</v>
      </c>
    </row>
    <row r="1629" spans="1:14">
      <c r="A1629" t="str">
        <f t="shared" si="50"/>
        <v>7.장기재고율_장기재고금액PCTINV_LONG_TERM2014</v>
      </c>
      <c r="B1629" t="str">
        <f t="shared" si="51"/>
        <v>7.장기재고율_장기재고금액PCTINV_LONG_TERM201409</v>
      </c>
      <c r="F1629" t="s">
        <v>299</v>
      </c>
      <c r="G1629" t="s">
        <v>20</v>
      </c>
      <c r="H1629" t="s">
        <v>307</v>
      </c>
      <c r="I1629" t="s">
        <v>254</v>
      </c>
      <c r="J1629" t="s">
        <v>30</v>
      </c>
      <c r="K1629" t="s">
        <v>183</v>
      </c>
      <c r="L1629">
        <v>313.63829925756698</v>
      </c>
      <c r="M1629" t="s">
        <v>65</v>
      </c>
      <c r="N1629" t="s">
        <v>65</v>
      </c>
    </row>
    <row r="1630" spans="1:14">
      <c r="A1630" t="str">
        <f t="shared" si="50"/>
        <v>7.장기재고율_장기재고금액PCTINV_LONG_TERM2014</v>
      </c>
      <c r="B1630" t="str">
        <f t="shared" si="51"/>
        <v>7.장기재고율_장기재고금액PCTINV_LONG_TERM201410</v>
      </c>
      <c r="F1630" t="s">
        <v>299</v>
      </c>
      <c r="G1630" t="s">
        <v>20</v>
      </c>
      <c r="H1630" t="s">
        <v>307</v>
      </c>
      <c r="I1630" t="s">
        <v>254</v>
      </c>
      <c r="J1630" t="s">
        <v>31</v>
      </c>
      <c r="K1630" t="s">
        <v>183</v>
      </c>
      <c r="L1630">
        <v>308.81259165085402</v>
      </c>
      <c r="M1630" t="s">
        <v>65</v>
      </c>
      <c r="N1630" t="s">
        <v>65</v>
      </c>
    </row>
    <row r="1631" spans="1:14">
      <c r="A1631" t="str">
        <f t="shared" si="50"/>
        <v>7.장기재고율_장기재고금액PCTINV_LONG_TERM2014</v>
      </c>
      <c r="B1631" t="str">
        <f t="shared" si="51"/>
        <v>7.장기재고율_장기재고금액PCTINV_LONG_TERM201411</v>
      </c>
      <c r="F1631" t="s">
        <v>299</v>
      </c>
      <c r="G1631" t="s">
        <v>20</v>
      </c>
      <c r="H1631" t="s">
        <v>307</v>
      </c>
      <c r="I1631" t="s">
        <v>254</v>
      </c>
      <c r="J1631" t="s">
        <v>32</v>
      </c>
      <c r="K1631" t="s">
        <v>183</v>
      </c>
      <c r="L1631">
        <v>303.57976641540301</v>
      </c>
      <c r="M1631" t="s">
        <v>65</v>
      </c>
      <c r="N1631" t="s">
        <v>65</v>
      </c>
    </row>
    <row r="1632" spans="1:14">
      <c r="A1632" t="str">
        <f t="shared" si="50"/>
        <v>7.장기재고율_장기재고금액PCTINV_LONG_TERM2014</v>
      </c>
      <c r="B1632" t="str">
        <f t="shared" si="51"/>
        <v>7.장기재고율_장기재고금액PCTINV_LONG_TERM201412</v>
      </c>
      <c r="F1632" t="s">
        <v>299</v>
      </c>
      <c r="G1632" t="s">
        <v>20</v>
      </c>
      <c r="H1632" t="s">
        <v>307</v>
      </c>
      <c r="I1632" t="s">
        <v>254</v>
      </c>
      <c r="J1632" t="s">
        <v>33</v>
      </c>
      <c r="K1632" t="s">
        <v>183</v>
      </c>
      <c r="L1632">
        <v>300.45264519650698</v>
      </c>
      <c r="M1632" t="s">
        <v>65</v>
      </c>
      <c r="N1632" t="s">
        <v>65</v>
      </c>
    </row>
    <row r="1633" spans="1:14">
      <c r="A1633" t="str">
        <f t="shared" si="50"/>
        <v>7.장기재고율_장기재고금액PCTINV_LONG_TERM2015</v>
      </c>
      <c r="B1633" t="str">
        <f t="shared" si="51"/>
        <v>7.장기재고율_장기재고금액PCTINV_LONG_TERM201501</v>
      </c>
      <c r="F1633" t="s">
        <v>299</v>
      </c>
      <c r="G1633" t="s">
        <v>20</v>
      </c>
      <c r="H1633" t="s">
        <v>307</v>
      </c>
      <c r="I1633" t="s">
        <v>260</v>
      </c>
      <c r="J1633" t="s">
        <v>34</v>
      </c>
      <c r="K1633" t="s">
        <v>183</v>
      </c>
      <c r="L1633">
        <v>291.08739383938399</v>
      </c>
      <c r="M1633" t="s">
        <v>65</v>
      </c>
      <c r="N1633" t="s">
        <v>65</v>
      </c>
    </row>
    <row r="1634" spans="1:14">
      <c r="A1634" t="str">
        <f t="shared" si="50"/>
        <v>7.장기재고율_장기재고금액PCTINV_LONG_TERM2015</v>
      </c>
      <c r="B1634" t="str">
        <f t="shared" si="51"/>
        <v>7.장기재고율_장기재고금액PCTINV_LONG_TERM201503</v>
      </c>
      <c r="F1634" t="s">
        <v>299</v>
      </c>
      <c r="G1634" t="s">
        <v>20</v>
      </c>
      <c r="H1634" t="s">
        <v>307</v>
      </c>
      <c r="I1634" t="s">
        <v>260</v>
      </c>
      <c r="J1634" t="s">
        <v>36</v>
      </c>
      <c r="K1634" t="s">
        <v>183</v>
      </c>
      <c r="L1634">
        <v>0</v>
      </c>
      <c r="M1634" t="s">
        <v>65</v>
      </c>
      <c r="N1634" t="s">
        <v>65</v>
      </c>
    </row>
    <row r="1635" spans="1:14">
      <c r="A1635" t="str">
        <f t="shared" si="50"/>
        <v>7.장기재고율_장기재고금액PHTINV_LONG_TERM2014</v>
      </c>
      <c r="B1635" t="str">
        <f t="shared" si="51"/>
        <v>7.장기재고율_장기재고금액PHTINV_LONG_TERM201401</v>
      </c>
      <c r="F1635" t="s">
        <v>299</v>
      </c>
      <c r="G1635" t="s">
        <v>310</v>
      </c>
      <c r="H1635" t="s">
        <v>307</v>
      </c>
      <c r="I1635" t="s">
        <v>254</v>
      </c>
      <c r="J1635" t="s">
        <v>22</v>
      </c>
      <c r="K1635" t="s">
        <v>183</v>
      </c>
      <c r="L1635">
        <v>0</v>
      </c>
      <c r="M1635" t="s">
        <v>319</v>
      </c>
      <c r="N1635" t="s">
        <v>319</v>
      </c>
    </row>
    <row r="1636" spans="1:14">
      <c r="A1636" t="str">
        <f t="shared" si="50"/>
        <v>7.장기재고율_장기재고금액PHTINV_LONG_TERM2014</v>
      </c>
      <c r="B1636" t="str">
        <f t="shared" si="51"/>
        <v>7.장기재고율_장기재고금액PHTINV_LONG_TERM201402</v>
      </c>
      <c r="F1636" t="s">
        <v>299</v>
      </c>
      <c r="G1636" t="s">
        <v>310</v>
      </c>
      <c r="H1636" t="s">
        <v>307</v>
      </c>
      <c r="I1636" t="s">
        <v>254</v>
      </c>
      <c r="J1636" t="s">
        <v>23</v>
      </c>
      <c r="K1636" t="s">
        <v>183</v>
      </c>
      <c r="L1636">
        <v>0</v>
      </c>
      <c r="M1636" t="s">
        <v>319</v>
      </c>
      <c r="N1636" t="s">
        <v>319</v>
      </c>
    </row>
    <row r="1637" spans="1:14">
      <c r="A1637" t="str">
        <f t="shared" si="50"/>
        <v>7.장기재고율_장기재고금액PHTINV_LONG_TERM2014</v>
      </c>
      <c r="B1637" t="str">
        <f t="shared" si="51"/>
        <v>7.장기재고율_장기재고금액PHTINV_LONG_TERM201403</v>
      </c>
      <c r="F1637" t="s">
        <v>299</v>
      </c>
      <c r="G1637" t="s">
        <v>310</v>
      </c>
      <c r="H1637" t="s">
        <v>307</v>
      </c>
      <c r="I1637" t="s">
        <v>254</v>
      </c>
      <c r="J1637" t="s">
        <v>24</v>
      </c>
      <c r="K1637" t="s">
        <v>183</v>
      </c>
      <c r="L1637">
        <v>0</v>
      </c>
      <c r="M1637" t="s">
        <v>319</v>
      </c>
      <c r="N1637" t="s">
        <v>319</v>
      </c>
    </row>
    <row r="1638" spans="1:14">
      <c r="A1638" t="str">
        <f t="shared" si="50"/>
        <v>7.장기재고율_장기재고금액PHTINV_LONG_TERM2014</v>
      </c>
      <c r="B1638" t="str">
        <f t="shared" si="51"/>
        <v>7.장기재고율_장기재고금액PHTINV_LONG_TERM201404</v>
      </c>
      <c r="F1638" t="s">
        <v>299</v>
      </c>
      <c r="G1638" t="s">
        <v>310</v>
      </c>
      <c r="H1638" t="s">
        <v>307</v>
      </c>
      <c r="I1638" t="s">
        <v>254</v>
      </c>
      <c r="J1638" t="s">
        <v>25</v>
      </c>
      <c r="K1638" t="s">
        <v>183</v>
      </c>
      <c r="L1638">
        <v>13249.825161577999</v>
      </c>
      <c r="M1638" t="s">
        <v>319</v>
      </c>
      <c r="N1638" t="s">
        <v>319</v>
      </c>
    </row>
    <row r="1639" spans="1:14">
      <c r="A1639" t="str">
        <f t="shared" si="50"/>
        <v>7.장기재고율_장기재고금액PHTINV_LONG_TERM2014</v>
      </c>
      <c r="B1639" t="str">
        <f t="shared" si="51"/>
        <v>7.장기재고율_장기재고금액PHTINV_LONG_TERM201405</v>
      </c>
      <c r="F1639" t="s">
        <v>299</v>
      </c>
      <c r="G1639" t="s">
        <v>310</v>
      </c>
      <c r="H1639" t="s">
        <v>307</v>
      </c>
      <c r="I1639" t="s">
        <v>254</v>
      </c>
      <c r="J1639" t="s">
        <v>26</v>
      </c>
      <c r="K1639" t="s">
        <v>183</v>
      </c>
      <c r="L1639">
        <v>9137.80635552075</v>
      </c>
      <c r="M1639" t="s">
        <v>319</v>
      </c>
      <c r="N1639" t="s">
        <v>319</v>
      </c>
    </row>
    <row r="1640" spans="1:14">
      <c r="A1640" t="str">
        <f t="shared" si="50"/>
        <v>7.장기재고율_장기재고금액PHTINV_LONG_TERM2014</v>
      </c>
      <c r="B1640" t="str">
        <f t="shared" si="51"/>
        <v>7.장기재고율_장기재고금액PHTINV_LONG_TERM201406</v>
      </c>
      <c r="F1640" t="s">
        <v>299</v>
      </c>
      <c r="G1640" t="s">
        <v>310</v>
      </c>
      <c r="H1640" t="s">
        <v>307</v>
      </c>
      <c r="I1640" t="s">
        <v>254</v>
      </c>
      <c r="J1640" t="s">
        <v>27</v>
      </c>
      <c r="K1640" t="s">
        <v>183</v>
      </c>
      <c r="L1640">
        <v>218.17160331230301</v>
      </c>
      <c r="M1640" t="s">
        <v>319</v>
      </c>
      <c r="N1640" t="s">
        <v>319</v>
      </c>
    </row>
    <row r="1641" spans="1:14">
      <c r="A1641" t="str">
        <f t="shared" si="50"/>
        <v>7.장기재고율_장기재고금액PHTINV_LONG_TERM2014</v>
      </c>
      <c r="B1641" t="str">
        <f t="shared" si="51"/>
        <v>7.장기재고율_장기재고금액PHTINV_LONG_TERM201407</v>
      </c>
      <c r="F1641" t="s">
        <v>299</v>
      </c>
      <c r="G1641" t="s">
        <v>310</v>
      </c>
      <c r="H1641" t="s">
        <v>307</v>
      </c>
      <c r="I1641" t="s">
        <v>254</v>
      </c>
      <c r="J1641" t="s">
        <v>28</v>
      </c>
      <c r="K1641" t="s">
        <v>183</v>
      </c>
      <c r="L1641">
        <v>887.61544469393698</v>
      </c>
      <c r="M1641" t="s">
        <v>319</v>
      </c>
      <c r="N1641" t="s">
        <v>319</v>
      </c>
    </row>
    <row r="1642" spans="1:14">
      <c r="A1642" t="str">
        <f t="shared" si="50"/>
        <v>7.장기재고율_장기재고금액PHTINV_LONG_TERM2014</v>
      </c>
      <c r="B1642" t="str">
        <f t="shared" si="51"/>
        <v>7.장기재고율_장기재고금액PHTINV_LONG_TERM201408</v>
      </c>
      <c r="F1642" t="s">
        <v>299</v>
      </c>
      <c r="G1642" t="s">
        <v>310</v>
      </c>
      <c r="H1642" t="s">
        <v>307</v>
      </c>
      <c r="I1642" t="s">
        <v>254</v>
      </c>
      <c r="J1642" t="s">
        <v>29</v>
      </c>
      <c r="K1642" t="s">
        <v>183</v>
      </c>
      <c r="L1642">
        <v>174.17921270718199</v>
      </c>
      <c r="M1642" t="s">
        <v>319</v>
      </c>
      <c r="N1642" t="s">
        <v>319</v>
      </c>
    </row>
    <row r="1643" spans="1:14">
      <c r="A1643" t="str">
        <f t="shared" si="50"/>
        <v>7.장기재고율_장기재고금액PHTINV_LONG_TERM2014</v>
      </c>
      <c r="B1643" t="str">
        <f t="shared" si="51"/>
        <v>7.장기재고율_장기재고금액PHTINV_LONG_TERM201409</v>
      </c>
      <c r="F1643" t="s">
        <v>299</v>
      </c>
      <c r="G1643" t="s">
        <v>310</v>
      </c>
      <c r="H1643" t="s">
        <v>307</v>
      </c>
      <c r="I1643" t="s">
        <v>254</v>
      </c>
      <c r="J1643" t="s">
        <v>30</v>
      </c>
      <c r="K1643" t="s">
        <v>183</v>
      </c>
      <c r="L1643">
        <v>78.133427565200805</v>
      </c>
      <c r="M1643" t="s">
        <v>319</v>
      </c>
      <c r="N1643" t="s">
        <v>319</v>
      </c>
    </row>
    <row r="1644" spans="1:14">
      <c r="A1644" t="str">
        <f t="shared" si="50"/>
        <v>7.장기재고율_장기재고금액PHTINV_LONG_TERM2014</v>
      </c>
      <c r="B1644" t="str">
        <f t="shared" si="51"/>
        <v>7.장기재고율_장기재고금액PHTINV_LONG_TERM201410</v>
      </c>
      <c r="F1644" t="s">
        <v>299</v>
      </c>
      <c r="G1644" t="s">
        <v>310</v>
      </c>
      <c r="H1644" t="s">
        <v>307</v>
      </c>
      <c r="I1644" t="s">
        <v>254</v>
      </c>
      <c r="J1644" t="s">
        <v>31</v>
      </c>
      <c r="K1644" t="s">
        <v>183</v>
      </c>
      <c r="L1644">
        <v>16203.720402941201</v>
      </c>
      <c r="M1644" t="s">
        <v>319</v>
      </c>
      <c r="N1644" t="s">
        <v>319</v>
      </c>
    </row>
    <row r="1645" spans="1:14">
      <c r="A1645" t="str">
        <f t="shared" si="50"/>
        <v>7.장기재고율_장기재고금액PHTINV_LONG_TERM2014</v>
      </c>
      <c r="B1645" t="str">
        <f t="shared" si="51"/>
        <v>7.장기재고율_장기재고금액PHTINV_LONG_TERM201411</v>
      </c>
      <c r="F1645" t="s">
        <v>299</v>
      </c>
      <c r="G1645" t="s">
        <v>310</v>
      </c>
      <c r="H1645" t="s">
        <v>307</v>
      </c>
      <c r="I1645" t="s">
        <v>254</v>
      </c>
      <c r="J1645" t="s">
        <v>32</v>
      </c>
      <c r="K1645" t="s">
        <v>183</v>
      </c>
      <c r="L1645">
        <v>0</v>
      </c>
      <c r="M1645" t="s">
        <v>319</v>
      </c>
      <c r="N1645" t="s">
        <v>319</v>
      </c>
    </row>
    <row r="1646" spans="1:14">
      <c r="A1646" t="str">
        <f t="shared" si="50"/>
        <v>7.장기재고율_장기재고금액PHTINV_LONG_TERM2014</v>
      </c>
      <c r="B1646" t="str">
        <f t="shared" si="51"/>
        <v>7.장기재고율_장기재고금액PHTINV_LONG_TERM201412</v>
      </c>
      <c r="F1646" t="s">
        <v>299</v>
      </c>
      <c r="G1646" t="s">
        <v>310</v>
      </c>
      <c r="H1646" t="s">
        <v>307</v>
      </c>
      <c r="I1646" t="s">
        <v>254</v>
      </c>
      <c r="J1646" t="s">
        <v>33</v>
      </c>
      <c r="K1646" t="s">
        <v>183</v>
      </c>
      <c r="L1646">
        <v>0</v>
      </c>
      <c r="M1646" t="s">
        <v>319</v>
      </c>
      <c r="N1646" t="s">
        <v>319</v>
      </c>
    </row>
    <row r="1647" spans="1:14">
      <c r="A1647" t="str">
        <f t="shared" si="50"/>
        <v>7.장기재고율_장기재고금액PHTINV_LONG_TERM2015</v>
      </c>
      <c r="B1647" t="str">
        <f t="shared" si="51"/>
        <v>7.장기재고율_장기재고금액PHTINV_LONG_TERM201501</v>
      </c>
      <c r="F1647" t="s">
        <v>299</v>
      </c>
      <c r="G1647" t="s">
        <v>310</v>
      </c>
      <c r="H1647" t="s">
        <v>307</v>
      </c>
      <c r="I1647" t="s">
        <v>260</v>
      </c>
      <c r="J1647" t="s">
        <v>34</v>
      </c>
      <c r="K1647" t="s">
        <v>183</v>
      </c>
      <c r="L1647">
        <v>1927.6021902273601</v>
      </c>
      <c r="M1647" t="s">
        <v>319</v>
      </c>
      <c r="N1647" t="s">
        <v>319</v>
      </c>
    </row>
    <row r="1648" spans="1:14">
      <c r="A1648" t="str">
        <f t="shared" si="50"/>
        <v>7.장기재고율_장기재고금액PHTINV_LONG_TERM2015</v>
      </c>
      <c r="B1648" t="str">
        <f t="shared" si="51"/>
        <v>7.장기재고율_장기재고금액PHTINV_LONG_TERM201502</v>
      </c>
      <c r="F1648" t="s">
        <v>299</v>
      </c>
      <c r="G1648" t="s">
        <v>310</v>
      </c>
      <c r="H1648" t="s">
        <v>307</v>
      </c>
      <c r="I1648" t="s">
        <v>260</v>
      </c>
      <c r="J1648" t="s">
        <v>35</v>
      </c>
      <c r="K1648" t="s">
        <v>183</v>
      </c>
      <c r="L1648">
        <v>177.31536981440999</v>
      </c>
      <c r="M1648" t="s">
        <v>319</v>
      </c>
      <c r="N1648" t="s">
        <v>319</v>
      </c>
    </row>
    <row r="1649" spans="1:14">
      <c r="A1649" t="str">
        <f t="shared" si="50"/>
        <v>7.장기재고율_장기재고금액PHTINV_LONG_TERM2015</v>
      </c>
      <c r="B1649" t="str">
        <f t="shared" si="51"/>
        <v>7.장기재고율_장기재고금액PHTINV_LONG_TERM201503</v>
      </c>
      <c r="F1649" t="s">
        <v>299</v>
      </c>
      <c r="G1649" t="s">
        <v>310</v>
      </c>
      <c r="H1649" t="s">
        <v>307</v>
      </c>
      <c r="I1649" t="s">
        <v>260</v>
      </c>
      <c r="J1649" t="s">
        <v>36</v>
      </c>
      <c r="K1649" t="s">
        <v>183</v>
      </c>
      <c r="L1649">
        <v>0</v>
      </c>
      <c r="M1649" t="s">
        <v>319</v>
      </c>
      <c r="N1649" t="s">
        <v>319</v>
      </c>
    </row>
    <row r="1650" spans="1:14">
      <c r="A1650" t="str">
        <f t="shared" si="50"/>
        <v>7.장기재고율_장기재고금액PHTINV_LONG_TERM2015</v>
      </c>
      <c r="B1650" t="str">
        <f t="shared" si="51"/>
        <v>7.장기재고율_장기재고금액PHTINV_LONG_TERM201504</v>
      </c>
      <c r="F1650" t="s">
        <v>299</v>
      </c>
      <c r="G1650" t="s">
        <v>310</v>
      </c>
      <c r="H1650" t="s">
        <v>307</v>
      </c>
      <c r="I1650" t="s">
        <v>260</v>
      </c>
      <c r="J1650" t="s">
        <v>37</v>
      </c>
      <c r="K1650" t="s">
        <v>183</v>
      </c>
      <c r="L1650">
        <v>0</v>
      </c>
      <c r="M1650" t="s">
        <v>319</v>
      </c>
      <c r="N1650" t="s">
        <v>319</v>
      </c>
    </row>
    <row r="1651" spans="1:14">
      <c r="A1651" t="str">
        <f t="shared" si="50"/>
        <v>7.장기재고율_장기재고금액PHTINV_LONG_TERM2015</v>
      </c>
      <c r="B1651" t="str">
        <f t="shared" si="51"/>
        <v>7.장기재고율_장기재고금액PHTINV_LONG_TERM201505</v>
      </c>
      <c r="F1651" t="s">
        <v>299</v>
      </c>
      <c r="G1651" t="s">
        <v>310</v>
      </c>
      <c r="H1651" t="s">
        <v>307</v>
      </c>
      <c r="I1651" t="s">
        <v>260</v>
      </c>
      <c r="J1651" t="s">
        <v>38</v>
      </c>
      <c r="K1651" t="s">
        <v>183</v>
      </c>
      <c r="L1651">
        <v>0</v>
      </c>
      <c r="M1651" t="s">
        <v>319</v>
      </c>
      <c r="N1651" t="s">
        <v>319</v>
      </c>
    </row>
    <row r="1652" spans="1:14">
      <c r="A1652" t="str">
        <f t="shared" si="50"/>
        <v>7.장기재고율_장기재고금액PHTINV_LONG_TERM2015</v>
      </c>
      <c r="B1652" t="str">
        <f t="shared" si="51"/>
        <v>7.장기재고율_장기재고금액PHTINV_LONG_TERM201506</v>
      </c>
      <c r="F1652" t="s">
        <v>299</v>
      </c>
      <c r="G1652" t="s">
        <v>310</v>
      </c>
      <c r="H1652" t="s">
        <v>307</v>
      </c>
      <c r="I1652" t="s">
        <v>260</v>
      </c>
      <c r="J1652" t="s">
        <v>39</v>
      </c>
      <c r="K1652" t="s">
        <v>183</v>
      </c>
      <c r="L1652">
        <v>0</v>
      </c>
      <c r="M1652" t="s">
        <v>319</v>
      </c>
      <c r="N1652" t="s">
        <v>319</v>
      </c>
    </row>
    <row r="1653" spans="1:14">
      <c r="A1653" t="str">
        <f t="shared" si="50"/>
        <v>7.장기재고율_장기재고금액PHTINV_LONG_TERM2015</v>
      </c>
      <c r="B1653" t="str">
        <f t="shared" si="51"/>
        <v>7.장기재고율_장기재고금액PHTINV_LONG_TERM201507</v>
      </c>
      <c r="F1653" t="s">
        <v>299</v>
      </c>
      <c r="G1653" t="s">
        <v>310</v>
      </c>
      <c r="H1653" t="s">
        <v>307</v>
      </c>
      <c r="I1653" t="s">
        <v>260</v>
      </c>
      <c r="J1653" t="s">
        <v>40</v>
      </c>
      <c r="K1653" t="s">
        <v>183</v>
      </c>
      <c r="L1653">
        <v>0</v>
      </c>
      <c r="M1653" t="s">
        <v>319</v>
      </c>
      <c r="N1653" t="s">
        <v>319</v>
      </c>
    </row>
    <row r="1654" spans="1:14">
      <c r="A1654" t="str">
        <f t="shared" si="50"/>
        <v>7.장기재고율_장기재고금액PHTINV_LONG_TERM2015</v>
      </c>
      <c r="B1654" t="str">
        <f t="shared" si="51"/>
        <v>7.장기재고율_장기재고금액PHTINV_LONG_TERM201508</v>
      </c>
      <c r="F1654" t="s">
        <v>299</v>
      </c>
      <c r="G1654" t="s">
        <v>310</v>
      </c>
      <c r="H1654" t="s">
        <v>307</v>
      </c>
      <c r="I1654" t="s">
        <v>260</v>
      </c>
      <c r="J1654" t="s">
        <v>41</v>
      </c>
      <c r="K1654" t="s">
        <v>183</v>
      </c>
      <c r="L1654">
        <v>0</v>
      </c>
      <c r="M1654" t="s">
        <v>319</v>
      </c>
      <c r="N1654" t="s">
        <v>319</v>
      </c>
    </row>
    <row r="1655" spans="1:14">
      <c r="A1655" t="str">
        <f t="shared" si="50"/>
        <v>7.장기재고율_장기재고금액PHTINV_LONG_TERM2015</v>
      </c>
      <c r="B1655" t="str">
        <f t="shared" si="51"/>
        <v>7.장기재고율_장기재고금액PHTINV_LONG_TERM201509</v>
      </c>
      <c r="F1655" t="s">
        <v>299</v>
      </c>
      <c r="G1655" t="s">
        <v>310</v>
      </c>
      <c r="H1655" t="s">
        <v>307</v>
      </c>
      <c r="I1655" t="s">
        <v>260</v>
      </c>
      <c r="J1655" t="s">
        <v>42</v>
      </c>
      <c r="K1655" t="s">
        <v>183</v>
      </c>
      <c r="L1655">
        <v>143.32995948095399</v>
      </c>
      <c r="M1655" t="s">
        <v>319</v>
      </c>
      <c r="N1655" t="s">
        <v>319</v>
      </c>
    </row>
    <row r="1656" spans="1:14">
      <c r="A1656" t="str">
        <f t="shared" si="50"/>
        <v>7.장기재고율_장기재고금액PHTINV_LONG_TERM2015</v>
      </c>
      <c r="B1656" t="str">
        <f t="shared" si="51"/>
        <v>7.장기재고율_장기재고금액PHTINV_LONG_TERM201510</v>
      </c>
      <c r="F1656" t="s">
        <v>299</v>
      </c>
      <c r="G1656" t="s">
        <v>310</v>
      </c>
      <c r="H1656" t="s">
        <v>307</v>
      </c>
      <c r="I1656" t="s">
        <v>260</v>
      </c>
      <c r="J1656" t="s">
        <v>1</v>
      </c>
      <c r="K1656" t="s">
        <v>183</v>
      </c>
      <c r="L1656">
        <v>144.86272835507299</v>
      </c>
      <c r="M1656" t="s">
        <v>319</v>
      </c>
      <c r="N1656" t="s">
        <v>319</v>
      </c>
    </row>
    <row r="1657" spans="1:14">
      <c r="A1657" t="str">
        <f t="shared" si="50"/>
        <v>7.장기재고율_장기재고금액PJTINV_LONG_TERM2014</v>
      </c>
      <c r="B1657" t="str">
        <f t="shared" si="51"/>
        <v>7.장기재고율_장기재고금액PJTINV_LONG_TERM201401</v>
      </c>
      <c r="F1657" t="s">
        <v>299</v>
      </c>
      <c r="G1657" t="s">
        <v>311</v>
      </c>
      <c r="H1657" t="s">
        <v>307</v>
      </c>
      <c r="I1657" t="s">
        <v>254</v>
      </c>
      <c r="J1657" t="s">
        <v>22</v>
      </c>
      <c r="K1657" t="s">
        <v>183</v>
      </c>
      <c r="L1657">
        <v>0</v>
      </c>
      <c r="M1657" t="s">
        <v>320</v>
      </c>
      <c r="N1657" t="s">
        <v>320</v>
      </c>
    </row>
    <row r="1658" spans="1:14">
      <c r="A1658" t="str">
        <f t="shared" si="50"/>
        <v>7.장기재고율_장기재고금액PJTINV_LONG_TERM2014</v>
      </c>
      <c r="B1658" t="str">
        <f t="shared" si="51"/>
        <v>7.장기재고율_장기재고금액PJTINV_LONG_TERM201402</v>
      </c>
      <c r="F1658" t="s">
        <v>299</v>
      </c>
      <c r="G1658" t="s">
        <v>311</v>
      </c>
      <c r="H1658" t="s">
        <v>307</v>
      </c>
      <c r="I1658" t="s">
        <v>254</v>
      </c>
      <c r="J1658" t="s">
        <v>23</v>
      </c>
      <c r="K1658" t="s">
        <v>183</v>
      </c>
      <c r="L1658">
        <v>0</v>
      </c>
      <c r="M1658" t="s">
        <v>320</v>
      </c>
      <c r="N1658" t="s">
        <v>320</v>
      </c>
    </row>
    <row r="1659" spans="1:14">
      <c r="A1659" t="str">
        <f t="shared" si="50"/>
        <v>7.장기재고율_장기재고금액PJTINV_LONG_TERM2014</v>
      </c>
      <c r="B1659" t="str">
        <f t="shared" si="51"/>
        <v>7.장기재고율_장기재고금액PJTINV_LONG_TERM201403</v>
      </c>
      <c r="F1659" t="s">
        <v>299</v>
      </c>
      <c r="G1659" t="s">
        <v>311</v>
      </c>
      <c r="H1659" t="s">
        <v>307</v>
      </c>
      <c r="I1659" t="s">
        <v>254</v>
      </c>
      <c r="J1659" t="s">
        <v>24</v>
      </c>
      <c r="K1659" t="s">
        <v>183</v>
      </c>
      <c r="L1659">
        <v>0</v>
      </c>
      <c r="M1659" t="s">
        <v>320</v>
      </c>
      <c r="N1659" t="s">
        <v>320</v>
      </c>
    </row>
    <row r="1660" spans="1:14">
      <c r="A1660" t="str">
        <f t="shared" si="50"/>
        <v>7.장기재고율_장기재고금액PJTINV_LONG_TERM2014</v>
      </c>
      <c r="B1660" t="str">
        <f t="shared" si="51"/>
        <v>7.장기재고율_장기재고금액PJTINV_LONG_TERM201404</v>
      </c>
      <c r="F1660" t="s">
        <v>299</v>
      </c>
      <c r="G1660" t="s">
        <v>311</v>
      </c>
      <c r="H1660" t="s">
        <v>307</v>
      </c>
      <c r="I1660" t="s">
        <v>254</v>
      </c>
      <c r="J1660" t="s">
        <v>25</v>
      </c>
      <c r="K1660" t="s">
        <v>183</v>
      </c>
      <c r="L1660">
        <v>0</v>
      </c>
      <c r="M1660" t="s">
        <v>320</v>
      </c>
      <c r="N1660" t="s">
        <v>320</v>
      </c>
    </row>
    <row r="1661" spans="1:14">
      <c r="A1661" t="str">
        <f t="shared" si="50"/>
        <v>7.장기재고율_장기재고금액PJTINV_LONG_TERM2014</v>
      </c>
      <c r="B1661" t="str">
        <f t="shared" si="51"/>
        <v>7.장기재고율_장기재고금액PJTINV_LONG_TERM201405</v>
      </c>
      <c r="F1661" t="s">
        <v>299</v>
      </c>
      <c r="G1661" t="s">
        <v>311</v>
      </c>
      <c r="H1661" t="s">
        <v>307</v>
      </c>
      <c r="I1661" t="s">
        <v>254</v>
      </c>
      <c r="J1661" t="s">
        <v>26</v>
      </c>
      <c r="K1661" t="s">
        <v>183</v>
      </c>
      <c r="L1661">
        <v>0</v>
      </c>
      <c r="M1661" t="s">
        <v>320</v>
      </c>
      <c r="N1661" t="s">
        <v>320</v>
      </c>
    </row>
    <row r="1662" spans="1:14">
      <c r="A1662" t="str">
        <f t="shared" si="50"/>
        <v>7.장기재고율_장기재고금액PJTINV_LONG_TERM2014</v>
      </c>
      <c r="B1662" t="str">
        <f t="shared" si="51"/>
        <v>7.장기재고율_장기재고금액PJTINV_LONG_TERM201406</v>
      </c>
      <c r="F1662" t="s">
        <v>299</v>
      </c>
      <c r="G1662" t="s">
        <v>311</v>
      </c>
      <c r="H1662" t="s">
        <v>307</v>
      </c>
      <c r="I1662" t="s">
        <v>254</v>
      </c>
      <c r="J1662" t="s">
        <v>27</v>
      </c>
      <c r="K1662" t="s">
        <v>183</v>
      </c>
      <c r="L1662">
        <v>0</v>
      </c>
      <c r="M1662" t="s">
        <v>320</v>
      </c>
      <c r="N1662" t="s">
        <v>320</v>
      </c>
    </row>
    <row r="1663" spans="1:14">
      <c r="A1663" t="str">
        <f t="shared" si="50"/>
        <v>7.장기재고율_장기재고금액PJTINV_LONG_TERM2014</v>
      </c>
      <c r="B1663" t="str">
        <f t="shared" si="51"/>
        <v>7.장기재고율_장기재고금액PJTINV_LONG_TERM201407</v>
      </c>
      <c r="F1663" t="s">
        <v>299</v>
      </c>
      <c r="G1663" t="s">
        <v>311</v>
      </c>
      <c r="H1663" t="s">
        <v>307</v>
      </c>
      <c r="I1663" t="s">
        <v>254</v>
      </c>
      <c r="J1663" t="s">
        <v>28</v>
      </c>
      <c r="K1663" t="s">
        <v>183</v>
      </c>
      <c r="L1663">
        <v>0</v>
      </c>
      <c r="M1663" t="s">
        <v>320</v>
      </c>
      <c r="N1663" t="s">
        <v>320</v>
      </c>
    </row>
    <row r="1664" spans="1:14">
      <c r="A1664" t="str">
        <f t="shared" si="50"/>
        <v>7.장기재고율_장기재고금액PJTINV_LONG_TERM2014</v>
      </c>
      <c r="B1664" t="str">
        <f t="shared" si="51"/>
        <v>7.장기재고율_장기재고금액PJTINV_LONG_TERM201408</v>
      </c>
      <c r="F1664" t="s">
        <v>299</v>
      </c>
      <c r="G1664" t="s">
        <v>311</v>
      </c>
      <c r="H1664" t="s">
        <v>307</v>
      </c>
      <c r="I1664" t="s">
        <v>254</v>
      </c>
      <c r="J1664" t="s">
        <v>29</v>
      </c>
      <c r="K1664" t="s">
        <v>183</v>
      </c>
      <c r="L1664">
        <v>0</v>
      </c>
      <c r="M1664" t="s">
        <v>320</v>
      </c>
      <c r="N1664" t="s">
        <v>320</v>
      </c>
    </row>
    <row r="1665" spans="1:14">
      <c r="A1665" t="str">
        <f t="shared" si="50"/>
        <v>7.장기재고율_장기재고금액PJTINV_LONG_TERM2014</v>
      </c>
      <c r="B1665" t="str">
        <f t="shared" si="51"/>
        <v>7.장기재고율_장기재고금액PJTINV_LONG_TERM201409</v>
      </c>
      <c r="F1665" t="s">
        <v>299</v>
      </c>
      <c r="G1665" t="s">
        <v>311</v>
      </c>
      <c r="H1665" t="s">
        <v>307</v>
      </c>
      <c r="I1665" t="s">
        <v>254</v>
      </c>
      <c r="J1665" t="s">
        <v>30</v>
      </c>
      <c r="K1665" t="s">
        <v>183</v>
      </c>
      <c r="L1665">
        <v>0</v>
      </c>
      <c r="M1665" t="s">
        <v>320</v>
      </c>
      <c r="N1665" t="s">
        <v>320</v>
      </c>
    </row>
    <row r="1666" spans="1:14">
      <c r="A1666" t="str">
        <f t="shared" si="50"/>
        <v>7.장기재고율_장기재고금액PJTINV_LONG_TERM2014</v>
      </c>
      <c r="B1666" t="str">
        <f t="shared" si="51"/>
        <v>7.장기재고율_장기재고금액PJTINV_LONG_TERM201410</v>
      </c>
      <c r="F1666" t="s">
        <v>299</v>
      </c>
      <c r="G1666" t="s">
        <v>311</v>
      </c>
      <c r="H1666" t="s">
        <v>307</v>
      </c>
      <c r="I1666" t="s">
        <v>254</v>
      </c>
      <c r="J1666" t="s">
        <v>31</v>
      </c>
      <c r="K1666" t="s">
        <v>183</v>
      </c>
      <c r="L1666">
        <v>0</v>
      </c>
      <c r="M1666" t="s">
        <v>320</v>
      </c>
      <c r="N1666" t="s">
        <v>320</v>
      </c>
    </row>
    <row r="1667" spans="1:14">
      <c r="A1667" t="str">
        <f t="shared" si="50"/>
        <v>7.장기재고율_장기재고금액PJTINV_LONG_TERM2014</v>
      </c>
      <c r="B1667" t="str">
        <f t="shared" si="51"/>
        <v>7.장기재고율_장기재고금액PJTINV_LONG_TERM201411</v>
      </c>
      <c r="F1667" t="s">
        <v>299</v>
      </c>
      <c r="G1667" t="s">
        <v>311</v>
      </c>
      <c r="H1667" t="s">
        <v>307</v>
      </c>
      <c r="I1667" t="s">
        <v>254</v>
      </c>
      <c r="J1667" t="s">
        <v>32</v>
      </c>
      <c r="K1667" t="s">
        <v>183</v>
      </c>
      <c r="L1667">
        <v>0</v>
      </c>
      <c r="M1667" t="s">
        <v>320</v>
      </c>
      <c r="N1667" t="s">
        <v>320</v>
      </c>
    </row>
    <row r="1668" spans="1:14">
      <c r="A1668" t="str">
        <f t="shared" si="50"/>
        <v>7.장기재고율_장기재고금액PJTINV_LONG_TERM2014</v>
      </c>
      <c r="B1668" t="str">
        <f t="shared" si="51"/>
        <v>7.장기재고율_장기재고금액PJTINV_LONG_TERM201412</v>
      </c>
      <c r="F1668" t="s">
        <v>299</v>
      </c>
      <c r="G1668" t="s">
        <v>311</v>
      </c>
      <c r="H1668" t="s">
        <v>307</v>
      </c>
      <c r="I1668" t="s">
        <v>254</v>
      </c>
      <c r="J1668" t="s">
        <v>33</v>
      </c>
      <c r="K1668" t="s">
        <v>183</v>
      </c>
      <c r="L1668">
        <v>0</v>
      </c>
      <c r="M1668" t="s">
        <v>320</v>
      </c>
      <c r="N1668" t="s">
        <v>320</v>
      </c>
    </row>
    <row r="1669" spans="1:14">
      <c r="A1669" t="str">
        <f t="shared" si="50"/>
        <v>7.장기재고율_장기재고금액PJTINV_LONG_TERM2015</v>
      </c>
      <c r="B1669" t="str">
        <f t="shared" si="51"/>
        <v>7.장기재고율_장기재고금액PJTINV_LONG_TERM201501</v>
      </c>
      <c r="F1669" t="s">
        <v>299</v>
      </c>
      <c r="G1669" t="s">
        <v>311</v>
      </c>
      <c r="H1669" t="s">
        <v>307</v>
      </c>
      <c r="I1669" t="s">
        <v>260</v>
      </c>
      <c r="J1669" t="s">
        <v>34</v>
      </c>
      <c r="K1669" t="s">
        <v>183</v>
      </c>
      <c r="L1669">
        <v>0</v>
      </c>
      <c r="M1669" t="s">
        <v>320</v>
      </c>
      <c r="N1669" t="s">
        <v>320</v>
      </c>
    </row>
    <row r="1670" spans="1:14">
      <c r="A1670" t="str">
        <f t="shared" si="50"/>
        <v>7.장기재고율_장기재고금액PJTINV_LONG_TERM2015</v>
      </c>
      <c r="B1670" t="str">
        <f t="shared" si="51"/>
        <v>7.장기재고율_장기재고금액PJTINV_LONG_TERM201502</v>
      </c>
      <c r="F1670" t="s">
        <v>299</v>
      </c>
      <c r="G1670" t="s">
        <v>311</v>
      </c>
      <c r="H1670" t="s">
        <v>307</v>
      </c>
      <c r="I1670" t="s">
        <v>260</v>
      </c>
      <c r="J1670" t="s">
        <v>35</v>
      </c>
      <c r="K1670" t="s">
        <v>183</v>
      </c>
      <c r="L1670">
        <v>0</v>
      </c>
      <c r="M1670" t="s">
        <v>320</v>
      </c>
      <c r="N1670" t="s">
        <v>320</v>
      </c>
    </row>
    <row r="1671" spans="1:14">
      <c r="A1671" t="str">
        <f t="shared" ref="A1671:A1721" si="52">F1671&amp;G1671&amp;K1671&amp;I1671</f>
        <v>7.장기재고율_장기재고금액PJTINV_LONG_TERM2015</v>
      </c>
      <c r="B1671" t="str">
        <f t="shared" ref="B1671:B1721" si="53">F1671&amp;G1671&amp;K1671&amp;J1671</f>
        <v>7.장기재고율_장기재고금액PJTINV_LONG_TERM201503</v>
      </c>
      <c r="F1671" t="s">
        <v>299</v>
      </c>
      <c r="G1671" t="s">
        <v>311</v>
      </c>
      <c r="H1671" t="s">
        <v>307</v>
      </c>
      <c r="I1671" t="s">
        <v>260</v>
      </c>
      <c r="J1671" t="s">
        <v>36</v>
      </c>
      <c r="K1671" t="s">
        <v>183</v>
      </c>
      <c r="L1671">
        <v>0</v>
      </c>
      <c r="M1671" t="s">
        <v>320</v>
      </c>
      <c r="N1671" t="s">
        <v>320</v>
      </c>
    </row>
    <row r="1672" spans="1:14">
      <c r="A1672" t="str">
        <f t="shared" si="52"/>
        <v>7.장기재고율_장기재고금액PJTINV_LONG_TERM2015</v>
      </c>
      <c r="B1672" t="str">
        <f t="shared" si="53"/>
        <v>7.장기재고율_장기재고금액PJTINV_LONG_TERM201504</v>
      </c>
      <c r="F1672" t="s">
        <v>299</v>
      </c>
      <c r="G1672" t="s">
        <v>311</v>
      </c>
      <c r="H1672" t="s">
        <v>307</v>
      </c>
      <c r="I1672" t="s">
        <v>260</v>
      </c>
      <c r="J1672" t="s">
        <v>37</v>
      </c>
      <c r="K1672" t="s">
        <v>183</v>
      </c>
      <c r="L1672">
        <v>0</v>
      </c>
      <c r="M1672" t="s">
        <v>320</v>
      </c>
      <c r="N1672" t="s">
        <v>320</v>
      </c>
    </row>
    <row r="1673" spans="1:14">
      <c r="A1673" t="str">
        <f t="shared" si="52"/>
        <v>7.장기재고율_장기재고금액PJTINV_LONG_TERM2015</v>
      </c>
      <c r="B1673" t="str">
        <f t="shared" si="53"/>
        <v>7.장기재고율_장기재고금액PJTINV_LONG_TERM201505</v>
      </c>
      <c r="F1673" t="s">
        <v>299</v>
      </c>
      <c r="G1673" t="s">
        <v>311</v>
      </c>
      <c r="H1673" t="s">
        <v>307</v>
      </c>
      <c r="I1673" t="s">
        <v>260</v>
      </c>
      <c r="J1673" t="s">
        <v>38</v>
      </c>
      <c r="K1673" t="s">
        <v>183</v>
      </c>
      <c r="L1673">
        <v>0</v>
      </c>
      <c r="M1673" t="s">
        <v>320</v>
      </c>
      <c r="N1673" t="s">
        <v>320</v>
      </c>
    </row>
    <row r="1674" spans="1:14">
      <c r="A1674" t="str">
        <f t="shared" si="52"/>
        <v>7.장기재고율_장기재고금액PJTINV_LONG_TERM2015</v>
      </c>
      <c r="B1674" t="str">
        <f t="shared" si="53"/>
        <v>7.장기재고율_장기재고금액PJTINV_LONG_TERM201506</v>
      </c>
      <c r="F1674" t="s">
        <v>299</v>
      </c>
      <c r="G1674" t="s">
        <v>311</v>
      </c>
      <c r="H1674" t="s">
        <v>307</v>
      </c>
      <c r="I1674" t="s">
        <v>260</v>
      </c>
      <c r="J1674" t="s">
        <v>39</v>
      </c>
      <c r="K1674" t="s">
        <v>183</v>
      </c>
      <c r="L1674">
        <v>0</v>
      </c>
      <c r="M1674" t="s">
        <v>320</v>
      </c>
      <c r="N1674" t="s">
        <v>320</v>
      </c>
    </row>
    <row r="1675" spans="1:14">
      <c r="A1675" t="str">
        <f t="shared" si="52"/>
        <v>7.장기재고율_장기재고금액PJTINV_LONG_TERM2015</v>
      </c>
      <c r="B1675" t="str">
        <f t="shared" si="53"/>
        <v>7.장기재고율_장기재고금액PJTINV_LONG_TERM201507</v>
      </c>
      <c r="F1675" t="s">
        <v>299</v>
      </c>
      <c r="G1675" t="s">
        <v>311</v>
      </c>
      <c r="H1675" t="s">
        <v>307</v>
      </c>
      <c r="I1675" t="s">
        <v>260</v>
      </c>
      <c r="J1675" t="s">
        <v>40</v>
      </c>
      <c r="K1675" t="s">
        <v>183</v>
      </c>
      <c r="L1675">
        <v>0</v>
      </c>
      <c r="M1675" t="s">
        <v>320</v>
      </c>
      <c r="N1675" t="s">
        <v>320</v>
      </c>
    </row>
    <row r="1676" spans="1:14">
      <c r="A1676" t="str">
        <f t="shared" si="52"/>
        <v>7.장기재고율_장기재고금액PJTINV_LONG_TERM2015</v>
      </c>
      <c r="B1676" t="str">
        <f t="shared" si="53"/>
        <v>7.장기재고율_장기재고금액PJTINV_LONG_TERM201508</v>
      </c>
      <c r="F1676" t="s">
        <v>299</v>
      </c>
      <c r="G1676" t="s">
        <v>311</v>
      </c>
      <c r="H1676" t="s">
        <v>307</v>
      </c>
      <c r="I1676" t="s">
        <v>260</v>
      </c>
      <c r="J1676" t="s">
        <v>41</v>
      </c>
      <c r="K1676" t="s">
        <v>183</v>
      </c>
      <c r="L1676">
        <v>0</v>
      </c>
      <c r="M1676" t="s">
        <v>320</v>
      </c>
      <c r="N1676" t="s">
        <v>320</v>
      </c>
    </row>
    <row r="1677" spans="1:14">
      <c r="A1677" t="str">
        <f t="shared" si="52"/>
        <v>7.장기재고율_장기재고금액PJTINV_LONG_TERM2015</v>
      </c>
      <c r="B1677" t="str">
        <f t="shared" si="53"/>
        <v>7.장기재고율_장기재고금액PJTINV_LONG_TERM201509</v>
      </c>
      <c r="F1677" t="s">
        <v>299</v>
      </c>
      <c r="G1677" t="s">
        <v>311</v>
      </c>
      <c r="H1677" t="s">
        <v>307</v>
      </c>
      <c r="I1677" t="s">
        <v>260</v>
      </c>
      <c r="J1677" t="s">
        <v>42</v>
      </c>
      <c r="K1677" t="s">
        <v>183</v>
      </c>
      <c r="L1677">
        <v>0</v>
      </c>
      <c r="M1677" t="s">
        <v>320</v>
      </c>
      <c r="N1677" t="s">
        <v>320</v>
      </c>
    </row>
    <row r="1678" spans="1:14">
      <c r="A1678" t="str">
        <f t="shared" si="52"/>
        <v>7.장기재고율_장기재고금액PNTINV_LONG_TERM2014</v>
      </c>
      <c r="B1678" t="str">
        <f t="shared" si="53"/>
        <v>7.장기재고율_장기재고금액PNTINV_LONG_TERM201401</v>
      </c>
      <c r="F1678" t="s">
        <v>299</v>
      </c>
      <c r="G1678" t="s">
        <v>17</v>
      </c>
      <c r="H1678" t="s">
        <v>307</v>
      </c>
      <c r="I1678" t="s">
        <v>254</v>
      </c>
      <c r="J1678" t="s">
        <v>22</v>
      </c>
      <c r="K1678" t="s">
        <v>183</v>
      </c>
      <c r="L1678">
        <v>43214.8878767606</v>
      </c>
      <c r="M1678" t="s">
        <v>60</v>
      </c>
      <c r="N1678" t="s">
        <v>60</v>
      </c>
    </row>
    <row r="1679" spans="1:14">
      <c r="A1679" t="str">
        <f t="shared" si="52"/>
        <v>7.장기재고율_장기재고금액PNTINV_LONG_TERM2014</v>
      </c>
      <c r="B1679" t="str">
        <f t="shared" si="53"/>
        <v>7.장기재고율_장기재고금액PNTINV_LONG_TERM201402</v>
      </c>
      <c r="F1679" t="s">
        <v>299</v>
      </c>
      <c r="G1679" t="s">
        <v>17</v>
      </c>
      <c r="H1679" t="s">
        <v>307</v>
      </c>
      <c r="I1679" t="s">
        <v>254</v>
      </c>
      <c r="J1679" t="s">
        <v>23</v>
      </c>
      <c r="K1679" t="s">
        <v>183</v>
      </c>
      <c r="L1679">
        <v>9597.1268686897092</v>
      </c>
      <c r="M1679" t="s">
        <v>60</v>
      </c>
      <c r="N1679" t="s">
        <v>60</v>
      </c>
    </row>
    <row r="1680" spans="1:14">
      <c r="A1680" t="str">
        <f t="shared" si="52"/>
        <v>7.장기재고율_장기재고금액PNTINV_LONG_TERM2014</v>
      </c>
      <c r="B1680" t="str">
        <f t="shared" si="53"/>
        <v>7.장기재고율_장기재고금액PNTINV_LONG_TERM201403</v>
      </c>
      <c r="F1680" t="s">
        <v>299</v>
      </c>
      <c r="G1680" t="s">
        <v>17</v>
      </c>
      <c r="H1680" t="s">
        <v>307</v>
      </c>
      <c r="I1680" t="s">
        <v>254</v>
      </c>
      <c r="J1680" t="s">
        <v>24</v>
      </c>
      <c r="K1680" t="s">
        <v>183</v>
      </c>
      <c r="L1680">
        <v>6728.9272836826303</v>
      </c>
      <c r="M1680" t="s">
        <v>60</v>
      </c>
      <c r="N1680" t="s">
        <v>60</v>
      </c>
    </row>
    <row r="1681" spans="1:14">
      <c r="A1681" t="str">
        <f t="shared" si="52"/>
        <v>7.장기재고율_장기재고금액PNTINV_LONG_TERM2014</v>
      </c>
      <c r="B1681" t="str">
        <f t="shared" si="53"/>
        <v>7.장기재고율_장기재고금액PNTINV_LONG_TERM201404</v>
      </c>
      <c r="F1681" t="s">
        <v>299</v>
      </c>
      <c r="G1681" t="s">
        <v>17</v>
      </c>
      <c r="H1681" t="s">
        <v>307</v>
      </c>
      <c r="I1681" t="s">
        <v>254</v>
      </c>
      <c r="J1681" t="s">
        <v>25</v>
      </c>
      <c r="K1681" t="s">
        <v>183</v>
      </c>
      <c r="L1681">
        <v>16128.1088802947</v>
      </c>
      <c r="M1681" t="s">
        <v>60</v>
      </c>
      <c r="N1681" t="s">
        <v>60</v>
      </c>
    </row>
    <row r="1682" spans="1:14">
      <c r="A1682" t="str">
        <f t="shared" si="52"/>
        <v>7.장기재고율_장기재고금액PNTINV_LONG_TERM2014</v>
      </c>
      <c r="B1682" t="str">
        <f t="shared" si="53"/>
        <v>7.장기재고율_장기재고금액PNTINV_LONG_TERM201405</v>
      </c>
      <c r="F1682" t="s">
        <v>299</v>
      </c>
      <c r="G1682" t="s">
        <v>17</v>
      </c>
      <c r="H1682" t="s">
        <v>307</v>
      </c>
      <c r="I1682" t="s">
        <v>254</v>
      </c>
      <c r="J1682" t="s">
        <v>26</v>
      </c>
      <c r="K1682" t="s">
        <v>183</v>
      </c>
      <c r="L1682">
        <v>16529.283594361801</v>
      </c>
      <c r="M1682" t="s">
        <v>60</v>
      </c>
      <c r="N1682" t="s">
        <v>60</v>
      </c>
    </row>
    <row r="1683" spans="1:14">
      <c r="A1683" t="str">
        <f t="shared" si="52"/>
        <v>7.장기재고율_장기재고금액PNTINV_LONG_TERM2014</v>
      </c>
      <c r="B1683" t="str">
        <f t="shared" si="53"/>
        <v>7.장기재고율_장기재고금액PNTINV_LONG_TERM201406</v>
      </c>
      <c r="F1683" t="s">
        <v>299</v>
      </c>
      <c r="G1683" t="s">
        <v>17</v>
      </c>
      <c r="H1683" t="s">
        <v>307</v>
      </c>
      <c r="I1683" t="s">
        <v>254</v>
      </c>
      <c r="J1683" t="s">
        <v>27</v>
      </c>
      <c r="K1683" t="s">
        <v>183</v>
      </c>
      <c r="L1683">
        <v>9495.3024029968492</v>
      </c>
      <c r="M1683" t="s">
        <v>60</v>
      </c>
      <c r="N1683" t="s">
        <v>60</v>
      </c>
    </row>
    <row r="1684" spans="1:14">
      <c r="A1684" t="str">
        <f t="shared" si="52"/>
        <v>7.장기재고율_장기재고금액PNTINV_LONG_TERM2014</v>
      </c>
      <c r="B1684" t="str">
        <f t="shared" si="53"/>
        <v>7.장기재고율_장기재고금액PNTINV_LONG_TERM201407</v>
      </c>
      <c r="F1684" t="s">
        <v>299</v>
      </c>
      <c r="G1684" t="s">
        <v>17</v>
      </c>
      <c r="H1684" t="s">
        <v>307</v>
      </c>
      <c r="I1684" t="s">
        <v>254</v>
      </c>
      <c r="J1684" t="s">
        <v>28</v>
      </c>
      <c r="K1684" t="s">
        <v>183</v>
      </c>
      <c r="L1684">
        <v>45809.393519671998</v>
      </c>
      <c r="M1684" t="s">
        <v>60</v>
      </c>
      <c r="N1684" t="s">
        <v>60</v>
      </c>
    </row>
    <row r="1685" spans="1:14">
      <c r="A1685" t="str">
        <f t="shared" si="52"/>
        <v>7.장기재고율_장기재고금액PNTINV_LONG_TERM2014</v>
      </c>
      <c r="B1685" t="str">
        <f t="shared" si="53"/>
        <v>7.장기재고율_장기재고금액PNTINV_LONG_TERM201408</v>
      </c>
      <c r="F1685" t="s">
        <v>299</v>
      </c>
      <c r="G1685" t="s">
        <v>17</v>
      </c>
      <c r="H1685" t="s">
        <v>307</v>
      </c>
      <c r="I1685" t="s">
        <v>254</v>
      </c>
      <c r="J1685" t="s">
        <v>29</v>
      </c>
      <c r="K1685" t="s">
        <v>183</v>
      </c>
      <c r="L1685">
        <v>24394.3627485201</v>
      </c>
      <c r="M1685" t="s">
        <v>60</v>
      </c>
      <c r="N1685" t="s">
        <v>60</v>
      </c>
    </row>
    <row r="1686" spans="1:14">
      <c r="A1686" t="str">
        <f t="shared" si="52"/>
        <v>7.장기재고율_장기재고금액PNTINV_LONG_TERM2014</v>
      </c>
      <c r="B1686" t="str">
        <f t="shared" si="53"/>
        <v>7.장기재고율_장기재고금액PNTINV_LONG_TERM201409</v>
      </c>
      <c r="F1686" t="s">
        <v>299</v>
      </c>
      <c r="G1686" t="s">
        <v>17</v>
      </c>
      <c r="H1686" t="s">
        <v>307</v>
      </c>
      <c r="I1686" t="s">
        <v>254</v>
      </c>
      <c r="J1686" t="s">
        <v>30</v>
      </c>
      <c r="K1686" t="s">
        <v>183</v>
      </c>
      <c r="L1686">
        <v>115421.70433114401</v>
      </c>
      <c r="M1686" t="s">
        <v>60</v>
      </c>
      <c r="N1686" t="s">
        <v>60</v>
      </c>
    </row>
    <row r="1687" spans="1:14">
      <c r="A1687" t="str">
        <f t="shared" si="52"/>
        <v>7.장기재고율_장기재고금액PNTINV_LONG_TERM2014</v>
      </c>
      <c r="B1687" t="str">
        <f t="shared" si="53"/>
        <v>7.장기재고율_장기재고금액PNTINV_LONG_TERM201410</v>
      </c>
      <c r="F1687" t="s">
        <v>299</v>
      </c>
      <c r="G1687" t="s">
        <v>17</v>
      </c>
      <c r="H1687" t="s">
        <v>307</v>
      </c>
      <c r="I1687" t="s">
        <v>254</v>
      </c>
      <c r="J1687" t="s">
        <v>31</v>
      </c>
      <c r="K1687" t="s">
        <v>183</v>
      </c>
      <c r="L1687">
        <v>191424.685443833</v>
      </c>
      <c r="M1687" t="s">
        <v>60</v>
      </c>
      <c r="N1687" t="s">
        <v>60</v>
      </c>
    </row>
    <row r="1688" spans="1:14">
      <c r="A1688" t="str">
        <f t="shared" si="52"/>
        <v>7.장기재고율_장기재고금액PNTINV_LONG_TERM2014</v>
      </c>
      <c r="B1688" t="str">
        <f t="shared" si="53"/>
        <v>7.장기재고율_장기재고금액PNTINV_LONG_TERM201411</v>
      </c>
      <c r="F1688" t="s">
        <v>299</v>
      </c>
      <c r="G1688" t="s">
        <v>17</v>
      </c>
      <c r="H1688" t="s">
        <v>307</v>
      </c>
      <c r="I1688" t="s">
        <v>254</v>
      </c>
      <c r="J1688" t="s">
        <v>32</v>
      </c>
      <c r="K1688" t="s">
        <v>183</v>
      </c>
      <c r="L1688">
        <v>145865.408030333</v>
      </c>
      <c r="M1688" t="s">
        <v>60</v>
      </c>
      <c r="N1688" t="s">
        <v>60</v>
      </c>
    </row>
    <row r="1689" spans="1:14">
      <c r="A1689" t="str">
        <f t="shared" si="52"/>
        <v>7.장기재고율_장기재고금액PNTINV_LONG_TERM2014</v>
      </c>
      <c r="B1689" t="str">
        <f t="shared" si="53"/>
        <v>7.장기재고율_장기재고금액PNTINV_LONG_TERM201412</v>
      </c>
      <c r="F1689" t="s">
        <v>299</v>
      </c>
      <c r="G1689" t="s">
        <v>17</v>
      </c>
      <c r="H1689" t="s">
        <v>307</v>
      </c>
      <c r="I1689" t="s">
        <v>254</v>
      </c>
      <c r="J1689" t="s">
        <v>33</v>
      </c>
      <c r="K1689" t="s">
        <v>183</v>
      </c>
      <c r="L1689">
        <v>177347.573509643</v>
      </c>
      <c r="M1689" t="s">
        <v>60</v>
      </c>
      <c r="N1689" t="s">
        <v>60</v>
      </c>
    </row>
    <row r="1690" spans="1:14">
      <c r="A1690" t="str">
        <f t="shared" si="52"/>
        <v>7.장기재고율_장기재고금액PNTINV_LONG_TERM2015</v>
      </c>
      <c r="B1690" t="str">
        <f t="shared" si="53"/>
        <v>7.장기재고율_장기재고금액PNTINV_LONG_TERM201501</v>
      </c>
      <c r="F1690" t="s">
        <v>299</v>
      </c>
      <c r="G1690" t="s">
        <v>17</v>
      </c>
      <c r="H1690" t="s">
        <v>307</v>
      </c>
      <c r="I1690" t="s">
        <v>260</v>
      </c>
      <c r="J1690" t="s">
        <v>34</v>
      </c>
      <c r="K1690" t="s">
        <v>183</v>
      </c>
      <c r="L1690">
        <v>76712.051324165703</v>
      </c>
      <c r="M1690" t="s">
        <v>60</v>
      </c>
      <c r="N1690" t="s">
        <v>60</v>
      </c>
    </row>
    <row r="1691" spans="1:14">
      <c r="A1691" t="str">
        <f t="shared" si="52"/>
        <v>7.장기재고율_장기재고금액PNTINV_LONG_TERM2015</v>
      </c>
      <c r="B1691" t="str">
        <f t="shared" si="53"/>
        <v>7.장기재고율_장기재고금액PNTINV_LONG_TERM201502</v>
      </c>
      <c r="F1691" t="s">
        <v>299</v>
      </c>
      <c r="G1691" t="s">
        <v>17</v>
      </c>
      <c r="H1691" t="s">
        <v>307</v>
      </c>
      <c r="I1691" t="s">
        <v>260</v>
      </c>
      <c r="J1691" t="s">
        <v>35</v>
      </c>
      <c r="K1691" t="s">
        <v>183</v>
      </c>
      <c r="L1691">
        <v>42304.873429221298</v>
      </c>
      <c r="M1691" t="s">
        <v>60</v>
      </c>
      <c r="N1691" t="s">
        <v>60</v>
      </c>
    </row>
    <row r="1692" spans="1:14">
      <c r="A1692" t="str">
        <f t="shared" si="52"/>
        <v>7.장기재고율_장기재고금액PNTINV_LONG_TERM2015</v>
      </c>
      <c r="B1692" t="str">
        <f t="shared" si="53"/>
        <v>7.장기재고율_장기재고금액PNTINV_LONG_TERM201503</v>
      </c>
      <c r="F1692" t="s">
        <v>299</v>
      </c>
      <c r="G1692" t="s">
        <v>17</v>
      </c>
      <c r="H1692" t="s">
        <v>307</v>
      </c>
      <c r="I1692" t="s">
        <v>260</v>
      </c>
      <c r="J1692" t="s">
        <v>36</v>
      </c>
      <c r="K1692" t="s">
        <v>183</v>
      </c>
      <c r="L1692">
        <v>76812.091947511304</v>
      </c>
      <c r="M1692" t="s">
        <v>60</v>
      </c>
      <c r="N1692" t="s">
        <v>60</v>
      </c>
    </row>
    <row r="1693" spans="1:14">
      <c r="A1693" t="str">
        <f t="shared" si="52"/>
        <v>7.장기재고율_장기재고금액PNTINV_LONG_TERM2015</v>
      </c>
      <c r="B1693" t="str">
        <f t="shared" si="53"/>
        <v>7.장기재고율_장기재고금액PNTINV_LONG_TERM201504</v>
      </c>
      <c r="F1693" t="s">
        <v>299</v>
      </c>
      <c r="G1693" t="s">
        <v>17</v>
      </c>
      <c r="H1693" t="s">
        <v>307</v>
      </c>
      <c r="I1693" t="s">
        <v>260</v>
      </c>
      <c r="J1693" t="s">
        <v>37</v>
      </c>
      <c r="K1693" t="s">
        <v>183</v>
      </c>
      <c r="L1693">
        <v>57390.7609221983</v>
      </c>
      <c r="M1693" t="s">
        <v>60</v>
      </c>
      <c r="N1693" t="s">
        <v>60</v>
      </c>
    </row>
    <row r="1694" spans="1:14">
      <c r="A1694" t="str">
        <f t="shared" si="52"/>
        <v>7.장기재고율_장기재고금액PNTINV_LONG_TERM2015</v>
      </c>
      <c r="B1694" t="str">
        <f t="shared" si="53"/>
        <v>7.장기재고율_장기재고금액PNTINV_LONG_TERM201505</v>
      </c>
      <c r="F1694" t="s">
        <v>299</v>
      </c>
      <c r="G1694" t="s">
        <v>17</v>
      </c>
      <c r="H1694" t="s">
        <v>307</v>
      </c>
      <c r="I1694" t="s">
        <v>260</v>
      </c>
      <c r="J1694" t="s">
        <v>38</v>
      </c>
      <c r="K1694" t="s">
        <v>183</v>
      </c>
      <c r="L1694">
        <v>93230.497143321307</v>
      </c>
      <c r="M1694" t="s">
        <v>60</v>
      </c>
      <c r="N1694" t="s">
        <v>60</v>
      </c>
    </row>
    <row r="1695" spans="1:14">
      <c r="A1695" t="str">
        <f t="shared" si="52"/>
        <v>7.장기재고율_장기재고금액PNTINV_LONG_TERM2015</v>
      </c>
      <c r="B1695" t="str">
        <f t="shared" si="53"/>
        <v>7.장기재고율_장기재고금액PNTINV_LONG_TERM201506</v>
      </c>
      <c r="F1695" t="s">
        <v>299</v>
      </c>
      <c r="G1695" t="s">
        <v>17</v>
      </c>
      <c r="H1695" t="s">
        <v>307</v>
      </c>
      <c r="I1695" t="s">
        <v>260</v>
      </c>
      <c r="J1695" t="s">
        <v>39</v>
      </c>
      <c r="K1695" t="s">
        <v>183</v>
      </c>
      <c r="L1695">
        <v>263922.49055955902</v>
      </c>
      <c r="M1695" t="s">
        <v>60</v>
      </c>
      <c r="N1695" t="s">
        <v>60</v>
      </c>
    </row>
    <row r="1696" spans="1:14">
      <c r="A1696" t="str">
        <f t="shared" si="52"/>
        <v>7.장기재고율_장기재고금액PNTINV_LONG_TERM2015</v>
      </c>
      <c r="B1696" t="str">
        <f t="shared" si="53"/>
        <v>7.장기재고율_장기재고금액PNTINV_LONG_TERM201507</v>
      </c>
      <c r="F1696" t="s">
        <v>299</v>
      </c>
      <c r="G1696" t="s">
        <v>17</v>
      </c>
      <c r="H1696" t="s">
        <v>307</v>
      </c>
      <c r="I1696" t="s">
        <v>260</v>
      </c>
      <c r="J1696" t="s">
        <v>40</v>
      </c>
      <c r="K1696" t="s">
        <v>183</v>
      </c>
      <c r="L1696">
        <v>144421.18927711601</v>
      </c>
      <c r="M1696" t="s">
        <v>60</v>
      </c>
      <c r="N1696" t="s">
        <v>60</v>
      </c>
    </row>
    <row r="1697" spans="1:14">
      <c r="A1697" t="str">
        <f t="shared" si="52"/>
        <v>7.장기재고율_장기재고금액PNTINV_LONG_TERM2015</v>
      </c>
      <c r="B1697" t="str">
        <f t="shared" si="53"/>
        <v>7.장기재고율_장기재고금액PNTINV_LONG_TERM201508</v>
      </c>
      <c r="F1697" t="s">
        <v>299</v>
      </c>
      <c r="G1697" t="s">
        <v>17</v>
      </c>
      <c r="H1697" t="s">
        <v>307</v>
      </c>
      <c r="I1697" t="s">
        <v>260</v>
      </c>
      <c r="J1697" t="s">
        <v>41</v>
      </c>
      <c r="K1697" t="s">
        <v>183</v>
      </c>
      <c r="L1697">
        <v>101431.397487801</v>
      </c>
      <c r="M1697" t="s">
        <v>60</v>
      </c>
      <c r="N1697" t="s">
        <v>60</v>
      </c>
    </row>
    <row r="1698" spans="1:14">
      <c r="A1698" t="str">
        <f t="shared" si="52"/>
        <v>7.장기재고율_장기재고금액PNTINV_LONG_TERM2015</v>
      </c>
      <c r="B1698" t="str">
        <f t="shared" si="53"/>
        <v>7.장기재고율_장기재고금액PNTINV_LONG_TERM201509</v>
      </c>
      <c r="F1698" t="s">
        <v>299</v>
      </c>
      <c r="G1698" t="s">
        <v>17</v>
      </c>
      <c r="H1698" t="s">
        <v>307</v>
      </c>
      <c r="I1698" t="s">
        <v>260</v>
      </c>
      <c r="J1698" t="s">
        <v>42</v>
      </c>
      <c r="K1698" t="s">
        <v>183</v>
      </c>
      <c r="L1698">
        <v>104647.299486982</v>
      </c>
      <c r="M1698" t="s">
        <v>60</v>
      </c>
      <c r="N1698" t="s">
        <v>60</v>
      </c>
    </row>
    <row r="1699" spans="1:14">
      <c r="A1699" t="str">
        <f t="shared" si="52"/>
        <v>7.장기재고율_장기재고금액PNTINV_LONG_TERM2015</v>
      </c>
      <c r="B1699" t="str">
        <f t="shared" si="53"/>
        <v>7.장기재고율_장기재고금액PNTINV_LONG_TERM201510</v>
      </c>
      <c r="F1699" t="s">
        <v>299</v>
      </c>
      <c r="G1699" t="s">
        <v>17</v>
      </c>
      <c r="H1699" t="s">
        <v>307</v>
      </c>
      <c r="I1699" t="s">
        <v>260</v>
      </c>
      <c r="J1699" t="s">
        <v>1</v>
      </c>
      <c r="K1699" t="s">
        <v>183</v>
      </c>
      <c r="L1699">
        <v>20125.5182904666</v>
      </c>
      <c r="M1699" t="s">
        <v>60</v>
      </c>
      <c r="N1699" t="s">
        <v>60</v>
      </c>
    </row>
    <row r="1700" spans="1:14">
      <c r="A1700" t="str">
        <f t="shared" si="52"/>
        <v>7.장기재고율_장기재고금액PSTINV_LONG_TERM2014</v>
      </c>
      <c r="B1700" t="str">
        <f t="shared" si="53"/>
        <v>7.장기재고율_장기재고금액PSTINV_LONG_TERM201401</v>
      </c>
      <c r="F1700" t="s">
        <v>299</v>
      </c>
      <c r="G1700" t="s">
        <v>18</v>
      </c>
      <c r="H1700" t="s">
        <v>307</v>
      </c>
      <c r="I1700" t="s">
        <v>254</v>
      </c>
      <c r="J1700" t="s">
        <v>22</v>
      </c>
      <c r="K1700" t="s">
        <v>183</v>
      </c>
      <c r="L1700">
        <v>0</v>
      </c>
      <c r="M1700" t="s">
        <v>66</v>
      </c>
      <c r="N1700" t="s">
        <v>66</v>
      </c>
    </row>
    <row r="1701" spans="1:14">
      <c r="A1701" t="str">
        <f t="shared" si="52"/>
        <v>7.장기재고율_장기재고금액PSTINV_LONG_TERM2014</v>
      </c>
      <c r="B1701" t="str">
        <f t="shared" si="53"/>
        <v>7.장기재고율_장기재고금액PSTINV_LONG_TERM201402</v>
      </c>
      <c r="F1701" t="s">
        <v>299</v>
      </c>
      <c r="G1701" t="s">
        <v>18</v>
      </c>
      <c r="H1701" t="s">
        <v>307</v>
      </c>
      <c r="I1701" t="s">
        <v>254</v>
      </c>
      <c r="J1701" t="s">
        <v>23</v>
      </c>
      <c r="K1701" t="s">
        <v>183</v>
      </c>
      <c r="L1701">
        <v>0</v>
      </c>
      <c r="M1701" t="s">
        <v>66</v>
      </c>
      <c r="N1701" t="s">
        <v>66</v>
      </c>
    </row>
    <row r="1702" spans="1:14">
      <c r="A1702" t="str">
        <f t="shared" si="52"/>
        <v>7.장기재고율_장기재고금액PSTINV_LONG_TERM2014</v>
      </c>
      <c r="B1702" t="str">
        <f t="shared" si="53"/>
        <v>7.장기재고율_장기재고금액PSTINV_LONG_TERM201403</v>
      </c>
      <c r="F1702" t="s">
        <v>299</v>
      </c>
      <c r="G1702" t="s">
        <v>18</v>
      </c>
      <c r="H1702" t="s">
        <v>307</v>
      </c>
      <c r="I1702" t="s">
        <v>254</v>
      </c>
      <c r="J1702" t="s">
        <v>24</v>
      </c>
      <c r="K1702" t="s">
        <v>183</v>
      </c>
      <c r="L1702">
        <v>0</v>
      </c>
      <c r="M1702" t="s">
        <v>66</v>
      </c>
      <c r="N1702" t="s">
        <v>66</v>
      </c>
    </row>
    <row r="1703" spans="1:14">
      <c r="A1703" t="str">
        <f t="shared" si="52"/>
        <v>7.장기재고율_장기재고금액PSTINV_LONG_TERM2014</v>
      </c>
      <c r="B1703" t="str">
        <f t="shared" si="53"/>
        <v>7.장기재고율_장기재고금액PSTINV_LONG_TERM201404</v>
      </c>
      <c r="F1703" t="s">
        <v>299</v>
      </c>
      <c r="G1703" t="s">
        <v>18</v>
      </c>
      <c r="H1703" t="s">
        <v>307</v>
      </c>
      <c r="I1703" t="s">
        <v>254</v>
      </c>
      <c r="J1703" t="s">
        <v>25</v>
      </c>
      <c r="K1703" t="s">
        <v>183</v>
      </c>
      <c r="L1703">
        <v>0</v>
      </c>
      <c r="M1703" t="s">
        <v>66</v>
      </c>
      <c r="N1703" t="s">
        <v>66</v>
      </c>
    </row>
    <row r="1704" spans="1:14">
      <c r="A1704" t="str">
        <f t="shared" si="52"/>
        <v>7.장기재고율_장기재고금액PSTINV_LONG_TERM2014</v>
      </c>
      <c r="B1704" t="str">
        <f t="shared" si="53"/>
        <v>7.장기재고율_장기재고금액PSTINV_LONG_TERM201405</v>
      </c>
      <c r="F1704" t="s">
        <v>299</v>
      </c>
      <c r="G1704" t="s">
        <v>18</v>
      </c>
      <c r="H1704" t="s">
        <v>307</v>
      </c>
      <c r="I1704" t="s">
        <v>254</v>
      </c>
      <c r="J1704" t="s">
        <v>26</v>
      </c>
      <c r="K1704" t="s">
        <v>183</v>
      </c>
      <c r="L1704">
        <v>0</v>
      </c>
      <c r="M1704" t="s">
        <v>66</v>
      </c>
      <c r="N1704" t="s">
        <v>66</v>
      </c>
    </row>
    <row r="1705" spans="1:14">
      <c r="A1705" t="str">
        <f t="shared" si="52"/>
        <v>7.장기재고율_장기재고금액PSTINV_LONG_TERM2014</v>
      </c>
      <c r="B1705" t="str">
        <f t="shared" si="53"/>
        <v>7.장기재고율_장기재고금액PSTINV_LONG_TERM201406</v>
      </c>
      <c r="F1705" t="s">
        <v>299</v>
      </c>
      <c r="G1705" t="s">
        <v>18</v>
      </c>
      <c r="H1705" t="s">
        <v>307</v>
      </c>
      <c r="I1705" t="s">
        <v>254</v>
      </c>
      <c r="J1705" t="s">
        <v>27</v>
      </c>
      <c r="K1705" t="s">
        <v>183</v>
      </c>
      <c r="L1705">
        <v>0</v>
      </c>
      <c r="M1705" t="s">
        <v>66</v>
      </c>
      <c r="N1705" t="s">
        <v>66</v>
      </c>
    </row>
    <row r="1706" spans="1:14">
      <c r="A1706" t="str">
        <f t="shared" si="52"/>
        <v>7.장기재고율_장기재고금액PSTINV_LONG_TERM2014</v>
      </c>
      <c r="B1706" t="str">
        <f t="shared" si="53"/>
        <v>7.장기재고율_장기재고금액PSTINV_LONG_TERM201407</v>
      </c>
      <c r="F1706" t="s">
        <v>299</v>
      </c>
      <c r="G1706" t="s">
        <v>18</v>
      </c>
      <c r="H1706" t="s">
        <v>307</v>
      </c>
      <c r="I1706" t="s">
        <v>254</v>
      </c>
      <c r="J1706" t="s">
        <v>28</v>
      </c>
      <c r="K1706" t="s">
        <v>183</v>
      </c>
      <c r="L1706">
        <v>0</v>
      </c>
      <c r="M1706" t="s">
        <v>66</v>
      </c>
      <c r="N1706" t="s">
        <v>66</v>
      </c>
    </row>
    <row r="1707" spans="1:14">
      <c r="A1707" t="str">
        <f t="shared" si="52"/>
        <v>7.장기재고율_장기재고금액PSTINV_LONG_TERM2014</v>
      </c>
      <c r="B1707" t="str">
        <f t="shared" si="53"/>
        <v>7.장기재고율_장기재고금액PSTINV_LONG_TERM201408</v>
      </c>
      <c r="F1707" t="s">
        <v>299</v>
      </c>
      <c r="G1707" t="s">
        <v>18</v>
      </c>
      <c r="H1707" t="s">
        <v>307</v>
      </c>
      <c r="I1707" t="s">
        <v>254</v>
      </c>
      <c r="J1707" t="s">
        <v>29</v>
      </c>
      <c r="K1707" t="s">
        <v>183</v>
      </c>
      <c r="L1707">
        <v>0</v>
      </c>
      <c r="M1707" t="s">
        <v>66</v>
      </c>
      <c r="N1707" t="s">
        <v>66</v>
      </c>
    </row>
    <row r="1708" spans="1:14">
      <c r="A1708" t="str">
        <f t="shared" si="52"/>
        <v>7.장기재고율_장기재고금액PSTINV_LONG_TERM2014</v>
      </c>
      <c r="B1708" t="str">
        <f t="shared" si="53"/>
        <v>7.장기재고율_장기재고금액PSTINV_LONG_TERM201409</v>
      </c>
      <c r="F1708" t="s">
        <v>299</v>
      </c>
      <c r="G1708" t="s">
        <v>18</v>
      </c>
      <c r="H1708" t="s">
        <v>307</v>
      </c>
      <c r="I1708" t="s">
        <v>254</v>
      </c>
      <c r="J1708" t="s">
        <v>30</v>
      </c>
      <c r="K1708" t="s">
        <v>183</v>
      </c>
      <c r="L1708">
        <v>0</v>
      </c>
      <c r="M1708" t="s">
        <v>66</v>
      </c>
      <c r="N1708" t="s">
        <v>66</v>
      </c>
    </row>
    <row r="1709" spans="1:14">
      <c r="A1709" t="str">
        <f t="shared" si="52"/>
        <v>7.장기재고율_장기재고금액PSTINV_LONG_TERM2014</v>
      </c>
      <c r="B1709" t="str">
        <f t="shared" si="53"/>
        <v>7.장기재고율_장기재고금액PSTINV_LONG_TERM201410</v>
      </c>
      <c r="F1709" t="s">
        <v>299</v>
      </c>
      <c r="G1709" t="s">
        <v>18</v>
      </c>
      <c r="H1709" t="s">
        <v>307</v>
      </c>
      <c r="I1709" t="s">
        <v>254</v>
      </c>
      <c r="J1709" t="s">
        <v>31</v>
      </c>
      <c r="K1709" t="s">
        <v>183</v>
      </c>
      <c r="L1709">
        <v>0</v>
      </c>
      <c r="M1709" t="s">
        <v>66</v>
      </c>
      <c r="N1709" t="s">
        <v>66</v>
      </c>
    </row>
    <row r="1710" spans="1:14">
      <c r="A1710" t="str">
        <f t="shared" si="52"/>
        <v>7.장기재고율_장기재고금액PSTINV_LONG_TERM2014</v>
      </c>
      <c r="B1710" t="str">
        <f t="shared" si="53"/>
        <v>7.장기재고율_장기재고금액PSTINV_LONG_TERM201411</v>
      </c>
      <c r="F1710" t="s">
        <v>299</v>
      </c>
      <c r="G1710" t="s">
        <v>18</v>
      </c>
      <c r="H1710" t="s">
        <v>307</v>
      </c>
      <c r="I1710" t="s">
        <v>254</v>
      </c>
      <c r="J1710" t="s">
        <v>32</v>
      </c>
      <c r="K1710" t="s">
        <v>183</v>
      </c>
      <c r="L1710">
        <v>0</v>
      </c>
      <c r="M1710" t="s">
        <v>66</v>
      </c>
      <c r="N1710" t="s">
        <v>66</v>
      </c>
    </row>
    <row r="1711" spans="1:14">
      <c r="A1711" t="str">
        <f t="shared" si="52"/>
        <v>7.장기재고율_장기재고금액PSTINV_LONG_TERM2014</v>
      </c>
      <c r="B1711" t="str">
        <f t="shared" si="53"/>
        <v>7.장기재고율_장기재고금액PSTINV_LONG_TERM201412</v>
      </c>
      <c r="F1711" t="s">
        <v>299</v>
      </c>
      <c r="G1711" t="s">
        <v>18</v>
      </c>
      <c r="H1711" t="s">
        <v>307</v>
      </c>
      <c r="I1711" t="s">
        <v>254</v>
      </c>
      <c r="J1711" t="s">
        <v>33</v>
      </c>
      <c r="K1711" t="s">
        <v>183</v>
      </c>
      <c r="L1711">
        <v>0</v>
      </c>
      <c r="M1711" t="s">
        <v>66</v>
      </c>
      <c r="N1711" t="s">
        <v>66</v>
      </c>
    </row>
    <row r="1712" spans="1:14">
      <c r="A1712" t="str">
        <f t="shared" si="52"/>
        <v>7.장기재고율_장기재고금액PSTINV_LONG_TERM2015</v>
      </c>
      <c r="B1712" t="str">
        <f t="shared" si="53"/>
        <v>7.장기재고율_장기재고금액PSTINV_LONG_TERM201501</v>
      </c>
      <c r="F1712" t="s">
        <v>299</v>
      </c>
      <c r="G1712" t="s">
        <v>18</v>
      </c>
      <c r="H1712" t="s">
        <v>307</v>
      </c>
      <c r="I1712" t="s">
        <v>260</v>
      </c>
      <c r="J1712" t="s">
        <v>34</v>
      </c>
      <c r="K1712" t="s">
        <v>183</v>
      </c>
      <c r="L1712">
        <v>0</v>
      </c>
      <c r="M1712" t="s">
        <v>66</v>
      </c>
      <c r="N1712" t="s">
        <v>66</v>
      </c>
    </row>
    <row r="1713" spans="1:14">
      <c r="A1713" t="str">
        <f t="shared" si="52"/>
        <v>7.장기재고율_장기재고금액PSTINV_LONG_TERM2015</v>
      </c>
      <c r="B1713" t="str">
        <f t="shared" si="53"/>
        <v>7.장기재고율_장기재고금액PSTINV_LONG_TERM201502</v>
      </c>
      <c r="F1713" t="s">
        <v>299</v>
      </c>
      <c r="G1713" t="s">
        <v>18</v>
      </c>
      <c r="H1713" t="s">
        <v>307</v>
      </c>
      <c r="I1713" t="s">
        <v>260</v>
      </c>
      <c r="J1713" t="s">
        <v>35</v>
      </c>
      <c r="K1713" t="s">
        <v>183</v>
      </c>
      <c r="L1713">
        <v>0</v>
      </c>
      <c r="M1713" t="s">
        <v>66</v>
      </c>
      <c r="N1713" t="s">
        <v>66</v>
      </c>
    </row>
    <row r="1714" spans="1:14">
      <c r="A1714" t="str">
        <f t="shared" si="52"/>
        <v>7.장기재고율_장기재고금액PSTINV_LONG_TERM2015</v>
      </c>
      <c r="B1714" t="str">
        <f t="shared" si="53"/>
        <v>7.장기재고율_장기재고금액PSTINV_LONG_TERM201503</v>
      </c>
      <c r="F1714" t="s">
        <v>299</v>
      </c>
      <c r="G1714" t="s">
        <v>18</v>
      </c>
      <c r="H1714" t="s">
        <v>307</v>
      </c>
      <c r="I1714" t="s">
        <v>260</v>
      </c>
      <c r="J1714" t="s">
        <v>36</v>
      </c>
      <c r="K1714" t="s">
        <v>183</v>
      </c>
      <c r="L1714">
        <v>0</v>
      </c>
      <c r="M1714" t="s">
        <v>66</v>
      </c>
      <c r="N1714" t="s">
        <v>66</v>
      </c>
    </row>
    <row r="1715" spans="1:14">
      <c r="A1715" t="str">
        <f t="shared" si="52"/>
        <v>7.장기재고율_장기재고금액PSTINV_LONG_TERM2015</v>
      </c>
      <c r="B1715" t="str">
        <f t="shared" si="53"/>
        <v>7.장기재고율_장기재고금액PSTINV_LONG_TERM201504</v>
      </c>
      <c r="F1715" t="s">
        <v>299</v>
      </c>
      <c r="G1715" t="s">
        <v>18</v>
      </c>
      <c r="H1715" t="s">
        <v>307</v>
      </c>
      <c r="I1715" t="s">
        <v>260</v>
      </c>
      <c r="J1715" t="s">
        <v>37</v>
      </c>
      <c r="K1715" t="s">
        <v>183</v>
      </c>
      <c r="L1715">
        <v>0</v>
      </c>
      <c r="M1715" t="s">
        <v>66</v>
      </c>
      <c r="N1715" t="s">
        <v>66</v>
      </c>
    </row>
    <row r="1716" spans="1:14">
      <c r="A1716" t="str">
        <f t="shared" si="52"/>
        <v>7.장기재고율_장기재고금액PSTINV_LONG_TERM2015</v>
      </c>
      <c r="B1716" t="str">
        <f t="shared" si="53"/>
        <v>7.장기재고율_장기재고금액PSTINV_LONG_TERM201505</v>
      </c>
      <c r="F1716" t="s">
        <v>299</v>
      </c>
      <c r="G1716" t="s">
        <v>18</v>
      </c>
      <c r="H1716" t="s">
        <v>307</v>
      </c>
      <c r="I1716" t="s">
        <v>260</v>
      </c>
      <c r="J1716" t="s">
        <v>38</v>
      </c>
      <c r="K1716" t="s">
        <v>183</v>
      </c>
      <c r="L1716">
        <v>0</v>
      </c>
      <c r="M1716" t="s">
        <v>66</v>
      </c>
      <c r="N1716" t="s">
        <v>66</v>
      </c>
    </row>
    <row r="1717" spans="1:14">
      <c r="A1717" t="str">
        <f t="shared" si="52"/>
        <v>7.장기재고율_장기재고금액PSTINV_LONG_TERM2015</v>
      </c>
      <c r="B1717" t="str">
        <f t="shared" si="53"/>
        <v>7.장기재고율_장기재고금액PSTINV_LONG_TERM201506</v>
      </c>
      <c r="F1717" t="s">
        <v>299</v>
      </c>
      <c r="G1717" t="s">
        <v>18</v>
      </c>
      <c r="H1717" t="s">
        <v>307</v>
      </c>
      <c r="I1717" t="s">
        <v>260</v>
      </c>
      <c r="J1717" t="s">
        <v>39</v>
      </c>
      <c r="K1717" t="s">
        <v>183</v>
      </c>
      <c r="L1717">
        <v>0</v>
      </c>
      <c r="M1717" t="s">
        <v>66</v>
      </c>
      <c r="N1717" t="s">
        <v>66</v>
      </c>
    </row>
    <row r="1718" spans="1:14">
      <c r="A1718" t="str">
        <f t="shared" si="52"/>
        <v>7.장기재고율_장기재고금액PSTINV_LONG_TERM2015</v>
      </c>
      <c r="B1718" t="str">
        <f t="shared" si="53"/>
        <v>7.장기재고율_장기재고금액PSTINV_LONG_TERM201507</v>
      </c>
      <c r="F1718" t="s">
        <v>299</v>
      </c>
      <c r="G1718" t="s">
        <v>18</v>
      </c>
      <c r="H1718" t="s">
        <v>307</v>
      </c>
      <c r="I1718" t="s">
        <v>260</v>
      </c>
      <c r="J1718" t="s">
        <v>40</v>
      </c>
      <c r="K1718" t="s">
        <v>183</v>
      </c>
      <c r="L1718">
        <v>0</v>
      </c>
      <c r="M1718" t="s">
        <v>66</v>
      </c>
      <c r="N1718" t="s">
        <v>66</v>
      </c>
    </row>
    <row r="1719" spans="1:14">
      <c r="A1719" t="str">
        <f t="shared" si="52"/>
        <v>7.장기재고율_장기재고금액PSTINV_LONG_TERM2015</v>
      </c>
      <c r="B1719" t="str">
        <f t="shared" si="53"/>
        <v>7.장기재고율_장기재고금액PSTINV_LONG_TERM201508</v>
      </c>
      <c r="F1719" t="s">
        <v>299</v>
      </c>
      <c r="G1719" t="s">
        <v>18</v>
      </c>
      <c r="H1719" t="s">
        <v>307</v>
      </c>
      <c r="I1719" t="s">
        <v>260</v>
      </c>
      <c r="J1719" t="s">
        <v>41</v>
      </c>
      <c r="K1719" t="s">
        <v>183</v>
      </c>
      <c r="L1719">
        <v>0</v>
      </c>
      <c r="M1719" t="s">
        <v>66</v>
      </c>
      <c r="N1719" t="s">
        <v>66</v>
      </c>
    </row>
    <row r="1720" spans="1:14">
      <c r="A1720" t="str">
        <f t="shared" si="52"/>
        <v>7.장기재고율_장기재고금액PSTINV_LONG_TERM2015</v>
      </c>
      <c r="B1720" t="str">
        <f t="shared" si="53"/>
        <v>7.장기재고율_장기재고금액PSTINV_LONG_TERM201509</v>
      </c>
      <c r="F1720" t="s">
        <v>299</v>
      </c>
      <c r="G1720" t="s">
        <v>18</v>
      </c>
      <c r="H1720" t="s">
        <v>307</v>
      </c>
      <c r="I1720" t="s">
        <v>260</v>
      </c>
      <c r="J1720" t="s">
        <v>42</v>
      </c>
      <c r="K1720" t="s">
        <v>183</v>
      </c>
      <c r="L1720">
        <v>0</v>
      </c>
      <c r="M1720" t="s">
        <v>66</v>
      </c>
      <c r="N1720" t="s">
        <v>66</v>
      </c>
    </row>
    <row r="1721" spans="1:14">
      <c r="A1721" t="str">
        <f t="shared" si="52"/>
        <v>7.장기재고율_장기재고금액PSTINV_LONG_TERM2015</v>
      </c>
      <c r="B1721" t="str">
        <f t="shared" si="53"/>
        <v>7.장기재고율_장기재고금액PSTINV_LONG_TERM201510</v>
      </c>
      <c r="F1721" t="s">
        <v>299</v>
      </c>
      <c r="G1721" t="s">
        <v>18</v>
      </c>
      <c r="H1721" t="s">
        <v>307</v>
      </c>
      <c r="I1721" t="s">
        <v>260</v>
      </c>
      <c r="J1721" t="s">
        <v>1</v>
      </c>
      <c r="K1721" t="s">
        <v>183</v>
      </c>
      <c r="L1721">
        <v>0</v>
      </c>
      <c r="M1721" t="s">
        <v>66</v>
      </c>
      <c r="N1721" t="s">
        <v>66</v>
      </c>
    </row>
    <row r="1722" spans="1:14">
      <c r="A1722" t="str">
        <f t="shared" ref="A1722:A1734" si="54">F1722&amp;G1722&amp;K1722&amp;I1722</f>
        <v/>
      </c>
      <c r="B1722" t="str">
        <f t="shared" ref="B1722:B1734" si="55">F1722&amp;G1722&amp;K1722&amp;J1722</f>
        <v/>
      </c>
    </row>
    <row r="1723" spans="1:14">
      <c r="A1723" t="str">
        <f t="shared" si="54"/>
        <v/>
      </c>
      <c r="B1723" t="str">
        <f t="shared" si="55"/>
        <v/>
      </c>
    </row>
    <row r="1724" spans="1:14">
      <c r="A1724" t="str">
        <f t="shared" si="54"/>
        <v/>
      </c>
      <c r="B1724" t="str">
        <f t="shared" si="55"/>
        <v/>
      </c>
    </row>
    <row r="1725" spans="1:14">
      <c r="A1725" t="str">
        <f t="shared" si="54"/>
        <v/>
      </c>
      <c r="B1725" t="str">
        <f t="shared" si="55"/>
        <v/>
      </c>
    </row>
    <row r="1726" spans="1:14">
      <c r="A1726" t="str">
        <f t="shared" si="54"/>
        <v/>
      </c>
      <c r="B1726" t="str">
        <f t="shared" si="55"/>
        <v/>
      </c>
    </row>
    <row r="1727" spans="1:14">
      <c r="A1727" t="str">
        <f t="shared" si="54"/>
        <v/>
      </c>
      <c r="B1727" t="str">
        <f t="shared" si="55"/>
        <v/>
      </c>
    </row>
    <row r="1728" spans="1:14">
      <c r="A1728" t="str">
        <f t="shared" si="54"/>
        <v/>
      </c>
      <c r="B1728" t="str">
        <f t="shared" si="55"/>
        <v/>
      </c>
    </row>
    <row r="1729" spans="1:2">
      <c r="A1729" t="str">
        <f t="shared" si="54"/>
        <v/>
      </c>
      <c r="B1729" t="str">
        <f t="shared" si="55"/>
        <v/>
      </c>
    </row>
    <row r="1730" spans="1:2">
      <c r="A1730" t="str">
        <f t="shared" si="54"/>
        <v/>
      </c>
      <c r="B1730" t="str">
        <f t="shared" si="55"/>
        <v/>
      </c>
    </row>
    <row r="1731" spans="1:2">
      <c r="A1731" t="str">
        <f t="shared" si="54"/>
        <v/>
      </c>
      <c r="B1731" t="str">
        <f t="shared" si="55"/>
        <v/>
      </c>
    </row>
    <row r="1732" spans="1:2">
      <c r="A1732" t="str">
        <f t="shared" si="54"/>
        <v/>
      </c>
      <c r="B1732" t="str">
        <f t="shared" si="55"/>
        <v/>
      </c>
    </row>
    <row r="1733" spans="1:2">
      <c r="A1733" t="str">
        <f t="shared" si="54"/>
        <v/>
      </c>
      <c r="B1733" t="str">
        <f t="shared" si="55"/>
        <v/>
      </c>
    </row>
    <row r="1734" spans="1:2">
      <c r="A1734" t="str">
        <f t="shared" si="54"/>
        <v/>
      </c>
      <c r="B1734" t="str">
        <f t="shared" si="55"/>
        <v/>
      </c>
    </row>
    <row r="1735" spans="1:2">
      <c r="A1735" t="str">
        <f t="shared" ref="A1735:A1798" si="56">F1735&amp;G1735&amp;K1735&amp;I1735</f>
        <v/>
      </c>
      <c r="B1735" t="str">
        <f t="shared" ref="B1735:B1798" si="57">F1735&amp;G1735&amp;K1735&amp;J1735</f>
        <v/>
      </c>
    </row>
    <row r="1736" spans="1:2">
      <c r="A1736" t="str">
        <f t="shared" si="56"/>
        <v/>
      </c>
      <c r="B1736" t="str">
        <f t="shared" si="57"/>
        <v/>
      </c>
    </row>
    <row r="1737" spans="1:2">
      <c r="A1737" t="str">
        <f t="shared" si="56"/>
        <v/>
      </c>
      <c r="B1737" t="str">
        <f t="shared" si="57"/>
        <v/>
      </c>
    </row>
    <row r="1738" spans="1:2">
      <c r="A1738" t="str">
        <f t="shared" si="56"/>
        <v/>
      </c>
      <c r="B1738" t="str">
        <f t="shared" si="57"/>
        <v/>
      </c>
    </row>
    <row r="1739" spans="1:2">
      <c r="A1739" t="str">
        <f t="shared" si="56"/>
        <v/>
      </c>
      <c r="B1739" t="str">
        <f t="shared" si="57"/>
        <v/>
      </c>
    </row>
    <row r="1740" spans="1:2">
      <c r="A1740" t="str">
        <f t="shared" si="56"/>
        <v/>
      </c>
      <c r="B1740" t="str">
        <f t="shared" si="57"/>
        <v/>
      </c>
    </row>
    <row r="1741" spans="1:2">
      <c r="A1741" t="str">
        <f t="shared" si="56"/>
        <v/>
      </c>
      <c r="B1741" t="str">
        <f t="shared" si="57"/>
        <v/>
      </c>
    </row>
    <row r="1742" spans="1:2">
      <c r="A1742" t="str">
        <f t="shared" si="56"/>
        <v/>
      </c>
      <c r="B1742" t="str">
        <f t="shared" si="57"/>
        <v/>
      </c>
    </row>
    <row r="1743" spans="1:2">
      <c r="A1743" t="str">
        <f t="shared" si="56"/>
        <v/>
      </c>
      <c r="B1743" t="str">
        <f t="shared" si="57"/>
        <v/>
      </c>
    </row>
    <row r="1744" spans="1:2">
      <c r="A1744" t="str">
        <f t="shared" si="56"/>
        <v/>
      </c>
      <c r="B1744" t="str">
        <f t="shared" si="57"/>
        <v/>
      </c>
    </row>
    <row r="1745" spans="1:2">
      <c r="A1745" t="str">
        <f t="shared" si="56"/>
        <v/>
      </c>
      <c r="B1745" t="str">
        <f t="shared" si="57"/>
        <v/>
      </c>
    </row>
    <row r="1746" spans="1:2">
      <c r="A1746" t="str">
        <f t="shared" si="56"/>
        <v/>
      </c>
      <c r="B1746" t="str">
        <f t="shared" si="57"/>
        <v/>
      </c>
    </row>
    <row r="1747" spans="1:2">
      <c r="A1747" t="str">
        <f t="shared" si="56"/>
        <v/>
      </c>
      <c r="B1747" t="str">
        <f t="shared" si="57"/>
        <v/>
      </c>
    </row>
    <row r="1748" spans="1:2">
      <c r="A1748" t="str">
        <f t="shared" si="56"/>
        <v/>
      </c>
      <c r="B1748" t="str">
        <f t="shared" si="57"/>
        <v/>
      </c>
    </row>
    <row r="1749" spans="1:2">
      <c r="A1749" t="str">
        <f t="shared" si="56"/>
        <v/>
      </c>
      <c r="B1749" t="str">
        <f t="shared" si="57"/>
        <v/>
      </c>
    </row>
    <row r="1750" spans="1:2">
      <c r="A1750" t="str">
        <f t="shared" si="56"/>
        <v/>
      </c>
      <c r="B1750" t="str">
        <f t="shared" si="57"/>
        <v/>
      </c>
    </row>
    <row r="1751" spans="1:2">
      <c r="A1751" t="str">
        <f t="shared" si="56"/>
        <v/>
      </c>
      <c r="B1751" t="str">
        <f t="shared" si="57"/>
        <v/>
      </c>
    </row>
    <row r="1752" spans="1:2">
      <c r="A1752" t="str">
        <f t="shared" si="56"/>
        <v/>
      </c>
      <c r="B1752" t="str">
        <f t="shared" si="57"/>
        <v/>
      </c>
    </row>
    <row r="1753" spans="1:2">
      <c r="A1753" t="str">
        <f t="shared" si="56"/>
        <v/>
      </c>
      <c r="B1753" t="str">
        <f t="shared" si="57"/>
        <v/>
      </c>
    </row>
    <row r="1754" spans="1:2">
      <c r="A1754" t="str">
        <f t="shared" si="56"/>
        <v/>
      </c>
      <c r="B1754" t="str">
        <f t="shared" si="57"/>
        <v/>
      </c>
    </row>
    <row r="1755" spans="1:2">
      <c r="A1755" t="str">
        <f t="shared" si="56"/>
        <v/>
      </c>
      <c r="B1755" t="str">
        <f t="shared" si="57"/>
        <v/>
      </c>
    </row>
    <row r="1756" spans="1:2">
      <c r="A1756" t="str">
        <f t="shared" si="56"/>
        <v/>
      </c>
      <c r="B1756" t="str">
        <f t="shared" si="57"/>
        <v/>
      </c>
    </row>
    <row r="1757" spans="1:2">
      <c r="A1757" t="str">
        <f t="shared" si="56"/>
        <v/>
      </c>
      <c r="B1757" t="str">
        <f t="shared" si="57"/>
        <v/>
      </c>
    </row>
    <row r="1758" spans="1:2">
      <c r="A1758" t="str">
        <f t="shared" si="56"/>
        <v/>
      </c>
      <c r="B1758" t="str">
        <f t="shared" si="57"/>
        <v/>
      </c>
    </row>
    <row r="1759" spans="1:2">
      <c r="A1759" t="str">
        <f t="shared" si="56"/>
        <v/>
      </c>
      <c r="B1759" t="str">
        <f t="shared" si="57"/>
        <v/>
      </c>
    </row>
    <row r="1760" spans="1:2">
      <c r="A1760" t="str">
        <f t="shared" si="56"/>
        <v/>
      </c>
      <c r="B1760" t="str">
        <f t="shared" si="57"/>
        <v/>
      </c>
    </row>
    <row r="1761" spans="1:2">
      <c r="A1761" t="str">
        <f t="shared" si="56"/>
        <v/>
      </c>
      <c r="B1761" t="str">
        <f t="shared" si="57"/>
        <v/>
      </c>
    </row>
    <row r="1762" spans="1:2">
      <c r="A1762" t="str">
        <f t="shared" si="56"/>
        <v/>
      </c>
      <c r="B1762" t="str">
        <f t="shared" si="57"/>
        <v/>
      </c>
    </row>
    <row r="1763" spans="1:2">
      <c r="A1763" t="str">
        <f t="shared" si="56"/>
        <v/>
      </c>
      <c r="B1763" t="str">
        <f t="shared" si="57"/>
        <v/>
      </c>
    </row>
    <row r="1764" spans="1:2">
      <c r="A1764" t="str">
        <f t="shared" si="56"/>
        <v/>
      </c>
      <c r="B1764" t="str">
        <f t="shared" si="57"/>
        <v/>
      </c>
    </row>
    <row r="1765" spans="1:2">
      <c r="A1765" t="str">
        <f t="shared" si="56"/>
        <v/>
      </c>
      <c r="B1765" t="str">
        <f t="shared" si="57"/>
        <v/>
      </c>
    </row>
    <row r="1766" spans="1:2">
      <c r="A1766" t="str">
        <f t="shared" si="56"/>
        <v/>
      </c>
      <c r="B1766" t="str">
        <f t="shared" si="57"/>
        <v/>
      </c>
    </row>
    <row r="1767" spans="1:2">
      <c r="A1767" t="str">
        <f t="shared" si="56"/>
        <v/>
      </c>
      <c r="B1767" t="str">
        <f t="shared" si="57"/>
        <v/>
      </c>
    </row>
    <row r="1768" spans="1:2">
      <c r="A1768" t="str">
        <f t="shared" si="56"/>
        <v/>
      </c>
      <c r="B1768" t="str">
        <f t="shared" si="57"/>
        <v/>
      </c>
    </row>
    <row r="1769" spans="1:2">
      <c r="A1769" t="str">
        <f t="shared" si="56"/>
        <v/>
      </c>
      <c r="B1769" t="str">
        <f t="shared" si="57"/>
        <v/>
      </c>
    </row>
    <row r="1770" spans="1:2">
      <c r="A1770" t="str">
        <f t="shared" si="56"/>
        <v/>
      </c>
      <c r="B1770" t="str">
        <f t="shared" si="57"/>
        <v/>
      </c>
    </row>
    <row r="1771" spans="1:2">
      <c r="A1771" t="str">
        <f t="shared" si="56"/>
        <v/>
      </c>
      <c r="B1771" t="str">
        <f t="shared" si="57"/>
        <v/>
      </c>
    </row>
    <row r="1772" spans="1:2">
      <c r="A1772" t="str">
        <f t="shared" si="56"/>
        <v/>
      </c>
      <c r="B1772" t="str">
        <f t="shared" si="57"/>
        <v/>
      </c>
    </row>
    <row r="1773" spans="1:2">
      <c r="A1773" t="str">
        <f t="shared" si="56"/>
        <v/>
      </c>
      <c r="B1773" t="str">
        <f t="shared" si="57"/>
        <v/>
      </c>
    </row>
    <row r="1774" spans="1:2">
      <c r="A1774" t="str">
        <f t="shared" si="56"/>
        <v/>
      </c>
      <c r="B1774" t="str">
        <f t="shared" si="57"/>
        <v/>
      </c>
    </row>
    <row r="1775" spans="1:2">
      <c r="A1775" t="str">
        <f t="shared" si="56"/>
        <v/>
      </c>
      <c r="B1775" t="str">
        <f t="shared" si="57"/>
        <v/>
      </c>
    </row>
    <row r="1776" spans="1:2">
      <c r="A1776" t="str">
        <f t="shared" si="56"/>
        <v/>
      </c>
      <c r="B1776" t="str">
        <f t="shared" si="57"/>
        <v/>
      </c>
    </row>
    <row r="1777" spans="1:2">
      <c r="A1777" t="str">
        <f t="shared" si="56"/>
        <v/>
      </c>
      <c r="B1777" t="str">
        <f t="shared" si="57"/>
        <v/>
      </c>
    </row>
    <row r="1778" spans="1:2">
      <c r="A1778" t="str">
        <f t="shared" si="56"/>
        <v/>
      </c>
      <c r="B1778" t="str">
        <f t="shared" si="57"/>
        <v/>
      </c>
    </row>
    <row r="1779" spans="1:2">
      <c r="A1779" t="str">
        <f t="shared" si="56"/>
        <v/>
      </c>
      <c r="B1779" t="str">
        <f t="shared" si="57"/>
        <v/>
      </c>
    </row>
    <row r="1780" spans="1:2">
      <c r="A1780" t="str">
        <f t="shared" si="56"/>
        <v/>
      </c>
      <c r="B1780" t="str">
        <f t="shared" si="57"/>
        <v/>
      </c>
    </row>
    <row r="1781" spans="1:2">
      <c r="A1781" t="str">
        <f t="shared" si="56"/>
        <v/>
      </c>
      <c r="B1781" t="str">
        <f t="shared" si="57"/>
        <v/>
      </c>
    </row>
    <row r="1782" spans="1:2">
      <c r="A1782" t="str">
        <f t="shared" si="56"/>
        <v/>
      </c>
      <c r="B1782" t="str">
        <f t="shared" si="57"/>
        <v/>
      </c>
    </row>
    <row r="1783" spans="1:2">
      <c r="A1783" t="str">
        <f t="shared" si="56"/>
        <v/>
      </c>
      <c r="B1783" t="str">
        <f t="shared" si="57"/>
        <v/>
      </c>
    </row>
    <row r="1784" spans="1:2">
      <c r="A1784" t="str">
        <f t="shared" si="56"/>
        <v/>
      </c>
      <c r="B1784" t="str">
        <f t="shared" si="57"/>
        <v/>
      </c>
    </row>
    <row r="1785" spans="1:2">
      <c r="A1785" t="str">
        <f t="shared" si="56"/>
        <v/>
      </c>
      <c r="B1785" t="str">
        <f t="shared" si="57"/>
        <v/>
      </c>
    </row>
    <row r="1786" spans="1:2">
      <c r="A1786" t="str">
        <f t="shared" si="56"/>
        <v/>
      </c>
      <c r="B1786" t="str">
        <f t="shared" si="57"/>
        <v/>
      </c>
    </row>
    <row r="1787" spans="1:2">
      <c r="A1787" t="str">
        <f t="shared" si="56"/>
        <v/>
      </c>
      <c r="B1787" t="str">
        <f t="shared" si="57"/>
        <v/>
      </c>
    </row>
    <row r="1788" spans="1:2">
      <c r="A1788" t="str">
        <f t="shared" si="56"/>
        <v/>
      </c>
      <c r="B1788" t="str">
        <f t="shared" si="57"/>
        <v/>
      </c>
    </row>
    <row r="1789" spans="1:2">
      <c r="A1789" t="str">
        <f t="shared" si="56"/>
        <v/>
      </c>
      <c r="B1789" t="str">
        <f t="shared" si="57"/>
        <v/>
      </c>
    </row>
    <row r="1790" spans="1:2">
      <c r="A1790" t="str">
        <f t="shared" si="56"/>
        <v/>
      </c>
      <c r="B1790" t="str">
        <f t="shared" si="57"/>
        <v/>
      </c>
    </row>
    <row r="1791" spans="1:2">
      <c r="A1791" t="str">
        <f t="shared" si="56"/>
        <v/>
      </c>
      <c r="B1791" t="str">
        <f t="shared" si="57"/>
        <v/>
      </c>
    </row>
    <row r="1792" spans="1:2">
      <c r="A1792" t="str">
        <f t="shared" si="56"/>
        <v/>
      </c>
      <c r="B1792" t="str">
        <f t="shared" si="57"/>
        <v/>
      </c>
    </row>
    <row r="1793" spans="1:2">
      <c r="A1793" t="str">
        <f t="shared" si="56"/>
        <v/>
      </c>
      <c r="B1793" t="str">
        <f t="shared" si="57"/>
        <v/>
      </c>
    </row>
    <row r="1794" spans="1:2">
      <c r="A1794" t="str">
        <f t="shared" si="56"/>
        <v/>
      </c>
      <c r="B1794" t="str">
        <f t="shared" si="57"/>
        <v/>
      </c>
    </row>
    <row r="1795" spans="1:2">
      <c r="A1795" t="str">
        <f t="shared" si="56"/>
        <v/>
      </c>
      <c r="B1795" t="str">
        <f t="shared" si="57"/>
        <v/>
      </c>
    </row>
    <row r="1796" spans="1:2">
      <c r="A1796" t="str">
        <f t="shared" si="56"/>
        <v/>
      </c>
      <c r="B1796" t="str">
        <f t="shared" si="57"/>
        <v/>
      </c>
    </row>
    <row r="1797" spans="1:2">
      <c r="A1797" t="str">
        <f t="shared" si="56"/>
        <v/>
      </c>
      <c r="B1797" t="str">
        <f t="shared" si="57"/>
        <v/>
      </c>
    </row>
    <row r="1798" spans="1:2">
      <c r="A1798" t="str">
        <f t="shared" si="56"/>
        <v/>
      </c>
      <c r="B1798" t="str">
        <f t="shared" si="57"/>
        <v/>
      </c>
    </row>
    <row r="1799" spans="1:2">
      <c r="A1799" t="str">
        <f t="shared" ref="A1799:A1862" si="58">F1799&amp;G1799&amp;K1799&amp;I1799</f>
        <v/>
      </c>
      <c r="B1799" t="str">
        <f t="shared" ref="B1799:B1862" si="59">F1799&amp;G1799&amp;K1799&amp;J1799</f>
        <v/>
      </c>
    </row>
    <row r="1800" spans="1:2">
      <c r="A1800" t="str">
        <f t="shared" si="58"/>
        <v/>
      </c>
      <c r="B1800" t="str">
        <f t="shared" si="59"/>
        <v/>
      </c>
    </row>
    <row r="1801" spans="1:2">
      <c r="A1801" t="str">
        <f t="shared" si="58"/>
        <v/>
      </c>
      <c r="B1801" t="str">
        <f t="shared" si="59"/>
        <v/>
      </c>
    </row>
    <row r="1802" spans="1:2">
      <c r="A1802" t="str">
        <f t="shared" si="58"/>
        <v/>
      </c>
      <c r="B1802" t="str">
        <f t="shared" si="59"/>
        <v/>
      </c>
    </row>
    <row r="1803" spans="1:2">
      <c r="A1803" t="str">
        <f t="shared" si="58"/>
        <v/>
      </c>
      <c r="B1803" t="str">
        <f t="shared" si="59"/>
        <v/>
      </c>
    </row>
    <row r="1804" spans="1:2">
      <c r="A1804" t="str">
        <f t="shared" si="58"/>
        <v/>
      </c>
      <c r="B1804" t="str">
        <f t="shared" si="59"/>
        <v/>
      </c>
    </row>
    <row r="1805" spans="1:2">
      <c r="A1805" t="str">
        <f t="shared" si="58"/>
        <v/>
      </c>
      <c r="B1805" t="str">
        <f t="shared" si="59"/>
        <v/>
      </c>
    </row>
    <row r="1806" spans="1:2">
      <c r="A1806" t="str">
        <f t="shared" si="58"/>
        <v/>
      </c>
      <c r="B1806" t="str">
        <f t="shared" si="59"/>
        <v/>
      </c>
    </row>
    <row r="1807" spans="1:2">
      <c r="A1807" t="str">
        <f t="shared" si="58"/>
        <v/>
      </c>
      <c r="B1807" t="str">
        <f t="shared" si="59"/>
        <v/>
      </c>
    </row>
    <row r="1808" spans="1:2">
      <c r="A1808" t="str">
        <f t="shared" si="58"/>
        <v/>
      </c>
      <c r="B1808" t="str">
        <f t="shared" si="59"/>
        <v/>
      </c>
    </row>
    <row r="1809" spans="1:2">
      <c r="A1809" t="str">
        <f t="shared" si="58"/>
        <v/>
      </c>
      <c r="B1809" t="str">
        <f t="shared" si="59"/>
        <v/>
      </c>
    </row>
    <row r="1810" spans="1:2">
      <c r="A1810" t="str">
        <f t="shared" si="58"/>
        <v/>
      </c>
      <c r="B1810" t="str">
        <f t="shared" si="59"/>
        <v/>
      </c>
    </row>
    <row r="1811" spans="1:2">
      <c r="A1811" t="str">
        <f t="shared" si="58"/>
        <v/>
      </c>
      <c r="B1811" t="str">
        <f t="shared" si="59"/>
        <v/>
      </c>
    </row>
    <row r="1812" spans="1:2">
      <c r="A1812" t="str">
        <f t="shared" si="58"/>
        <v/>
      </c>
      <c r="B1812" t="str">
        <f t="shared" si="59"/>
        <v/>
      </c>
    </row>
    <row r="1813" spans="1:2">
      <c r="A1813" t="str">
        <f t="shared" si="58"/>
        <v/>
      </c>
      <c r="B1813" t="str">
        <f t="shared" si="59"/>
        <v/>
      </c>
    </row>
    <row r="1814" spans="1:2">
      <c r="A1814" t="str">
        <f t="shared" si="58"/>
        <v/>
      </c>
      <c r="B1814" t="str">
        <f t="shared" si="59"/>
        <v/>
      </c>
    </row>
    <row r="1815" spans="1:2">
      <c r="A1815" t="str">
        <f t="shared" si="58"/>
        <v/>
      </c>
      <c r="B1815" t="str">
        <f t="shared" si="59"/>
        <v/>
      </c>
    </row>
    <row r="1816" spans="1:2">
      <c r="A1816" t="str">
        <f t="shared" si="58"/>
        <v/>
      </c>
      <c r="B1816" t="str">
        <f t="shared" si="59"/>
        <v/>
      </c>
    </row>
    <row r="1817" spans="1:2">
      <c r="A1817" t="str">
        <f t="shared" si="58"/>
        <v/>
      </c>
      <c r="B1817" t="str">
        <f t="shared" si="59"/>
        <v/>
      </c>
    </row>
    <row r="1818" spans="1:2">
      <c r="A1818" t="str">
        <f t="shared" si="58"/>
        <v/>
      </c>
      <c r="B1818" t="str">
        <f t="shared" si="59"/>
        <v/>
      </c>
    </row>
    <row r="1819" spans="1:2">
      <c r="A1819" t="str">
        <f t="shared" si="58"/>
        <v/>
      </c>
      <c r="B1819" t="str">
        <f t="shared" si="59"/>
        <v/>
      </c>
    </row>
    <row r="1820" spans="1:2">
      <c r="A1820" t="str">
        <f t="shared" si="58"/>
        <v/>
      </c>
      <c r="B1820" t="str">
        <f t="shared" si="59"/>
        <v/>
      </c>
    </row>
    <row r="1821" spans="1:2">
      <c r="A1821" t="str">
        <f t="shared" si="58"/>
        <v/>
      </c>
      <c r="B1821" t="str">
        <f t="shared" si="59"/>
        <v/>
      </c>
    </row>
    <row r="1822" spans="1:2">
      <c r="A1822" t="str">
        <f t="shared" si="58"/>
        <v/>
      </c>
      <c r="B1822" t="str">
        <f t="shared" si="59"/>
        <v/>
      </c>
    </row>
    <row r="1823" spans="1:2">
      <c r="A1823" t="str">
        <f t="shared" si="58"/>
        <v/>
      </c>
      <c r="B1823" t="str">
        <f t="shared" si="59"/>
        <v/>
      </c>
    </row>
    <row r="1824" spans="1:2">
      <c r="A1824" t="str">
        <f t="shared" si="58"/>
        <v/>
      </c>
      <c r="B1824" t="str">
        <f t="shared" si="59"/>
        <v/>
      </c>
    </row>
    <row r="1825" spans="1:2">
      <c r="A1825" t="str">
        <f t="shared" si="58"/>
        <v/>
      </c>
      <c r="B1825" t="str">
        <f t="shared" si="59"/>
        <v/>
      </c>
    </row>
    <row r="1826" spans="1:2">
      <c r="A1826" t="str">
        <f t="shared" si="58"/>
        <v/>
      </c>
      <c r="B1826" t="str">
        <f t="shared" si="59"/>
        <v/>
      </c>
    </row>
    <row r="1827" spans="1:2">
      <c r="A1827" t="str">
        <f t="shared" si="58"/>
        <v/>
      </c>
      <c r="B1827" t="str">
        <f t="shared" si="59"/>
        <v/>
      </c>
    </row>
    <row r="1828" spans="1:2">
      <c r="A1828" t="str">
        <f t="shared" si="58"/>
        <v/>
      </c>
      <c r="B1828" t="str">
        <f t="shared" si="59"/>
        <v/>
      </c>
    </row>
    <row r="1829" spans="1:2">
      <c r="A1829" t="str">
        <f t="shared" si="58"/>
        <v/>
      </c>
      <c r="B1829" t="str">
        <f t="shared" si="59"/>
        <v/>
      </c>
    </row>
    <row r="1830" spans="1:2">
      <c r="A1830" t="str">
        <f t="shared" si="58"/>
        <v/>
      </c>
      <c r="B1830" t="str">
        <f t="shared" si="59"/>
        <v/>
      </c>
    </row>
    <row r="1831" spans="1:2">
      <c r="A1831" t="str">
        <f t="shared" si="58"/>
        <v/>
      </c>
      <c r="B1831" t="str">
        <f t="shared" si="59"/>
        <v/>
      </c>
    </row>
    <row r="1832" spans="1:2">
      <c r="A1832" t="str">
        <f t="shared" si="58"/>
        <v/>
      </c>
      <c r="B1832" t="str">
        <f t="shared" si="59"/>
        <v/>
      </c>
    </row>
    <row r="1833" spans="1:2">
      <c r="A1833" t="str">
        <f t="shared" si="58"/>
        <v/>
      </c>
      <c r="B1833" t="str">
        <f t="shared" si="59"/>
        <v/>
      </c>
    </row>
    <row r="1834" spans="1:2">
      <c r="A1834" t="str">
        <f t="shared" si="58"/>
        <v/>
      </c>
      <c r="B1834" t="str">
        <f t="shared" si="59"/>
        <v/>
      </c>
    </row>
    <row r="1835" spans="1:2">
      <c r="A1835" t="str">
        <f t="shared" si="58"/>
        <v/>
      </c>
      <c r="B1835" t="str">
        <f t="shared" si="59"/>
        <v/>
      </c>
    </row>
    <row r="1836" spans="1:2">
      <c r="A1836" t="str">
        <f t="shared" si="58"/>
        <v/>
      </c>
      <c r="B1836" t="str">
        <f t="shared" si="59"/>
        <v/>
      </c>
    </row>
    <row r="1837" spans="1:2">
      <c r="A1837" t="str">
        <f t="shared" si="58"/>
        <v/>
      </c>
      <c r="B1837" t="str">
        <f t="shared" si="59"/>
        <v/>
      </c>
    </row>
    <row r="1838" spans="1:2">
      <c r="A1838" t="str">
        <f t="shared" si="58"/>
        <v/>
      </c>
      <c r="B1838" t="str">
        <f t="shared" si="59"/>
        <v/>
      </c>
    </row>
    <row r="1839" spans="1:2">
      <c r="A1839" t="str">
        <f t="shared" si="58"/>
        <v/>
      </c>
      <c r="B1839" t="str">
        <f t="shared" si="59"/>
        <v/>
      </c>
    </row>
    <row r="1840" spans="1:2">
      <c r="A1840" t="str">
        <f t="shared" si="58"/>
        <v/>
      </c>
      <c r="B1840" t="str">
        <f t="shared" si="59"/>
        <v/>
      </c>
    </row>
    <row r="1841" spans="1:2">
      <c r="A1841" t="str">
        <f t="shared" si="58"/>
        <v/>
      </c>
      <c r="B1841" t="str">
        <f t="shared" si="59"/>
        <v/>
      </c>
    </row>
    <row r="1842" spans="1:2">
      <c r="A1842" t="str">
        <f t="shared" si="58"/>
        <v/>
      </c>
      <c r="B1842" t="str">
        <f t="shared" si="59"/>
        <v/>
      </c>
    </row>
    <row r="1843" spans="1:2">
      <c r="A1843" t="str">
        <f t="shared" si="58"/>
        <v/>
      </c>
      <c r="B1843" t="str">
        <f t="shared" si="59"/>
        <v/>
      </c>
    </row>
    <row r="1844" spans="1:2">
      <c r="A1844" t="str">
        <f t="shared" si="58"/>
        <v/>
      </c>
      <c r="B1844" t="str">
        <f t="shared" si="59"/>
        <v/>
      </c>
    </row>
    <row r="1845" spans="1:2">
      <c r="A1845" t="str">
        <f t="shared" si="58"/>
        <v/>
      </c>
      <c r="B1845" t="str">
        <f t="shared" si="59"/>
        <v/>
      </c>
    </row>
    <row r="1846" spans="1:2">
      <c r="A1846" t="str">
        <f t="shared" si="58"/>
        <v/>
      </c>
      <c r="B1846" t="str">
        <f t="shared" si="59"/>
        <v/>
      </c>
    </row>
    <row r="1847" spans="1:2">
      <c r="A1847" t="str">
        <f t="shared" si="58"/>
        <v/>
      </c>
      <c r="B1847" t="str">
        <f t="shared" si="59"/>
        <v/>
      </c>
    </row>
    <row r="1848" spans="1:2">
      <c r="A1848" t="str">
        <f t="shared" si="58"/>
        <v/>
      </c>
      <c r="B1848" t="str">
        <f t="shared" si="59"/>
        <v/>
      </c>
    </row>
    <row r="1849" spans="1:2">
      <c r="A1849" t="str">
        <f t="shared" si="58"/>
        <v/>
      </c>
      <c r="B1849" t="str">
        <f t="shared" si="59"/>
        <v/>
      </c>
    </row>
    <row r="1850" spans="1:2">
      <c r="A1850" t="str">
        <f t="shared" si="58"/>
        <v/>
      </c>
      <c r="B1850" t="str">
        <f t="shared" si="59"/>
        <v/>
      </c>
    </row>
    <row r="1851" spans="1:2">
      <c r="A1851" t="str">
        <f t="shared" si="58"/>
        <v/>
      </c>
      <c r="B1851" t="str">
        <f t="shared" si="59"/>
        <v/>
      </c>
    </row>
    <row r="1852" spans="1:2">
      <c r="A1852" t="str">
        <f t="shared" si="58"/>
        <v/>
      </c>
      <c r="B1852" t="str">
        <f t="shared" si="59"/>
        <v/>
      </c>
    </row>
    <row r="1853" spans="1:2">
      <c r="A1853" t="str">
        <f t="shared" si="58"/>
        <v/>
      </c>
      <c r="B1853" t="str">
        <f t="shared" si="59"/>
        <v/>
      </c>
    </row>
    <row r="1854" spans="1:2">
      <c r="A1854" t="str">
        <f t="shared" si="58"/>
        <v/>
      </c>
      <c r="B1854" t="str">
        <f t="shared" si="59"/>
        <v/>
      </c>
    </row>
    <row r="1855" spans="1:2">
      <c r="A1855" t="str">
        <f t="shared" si="58"/>
        <v/>
      </c>
      <c r="B1855" t="str">
        <f t="shared" si="59"/>
        <v/>
      </c>
    </row>
    <row r="1856" spans="1:2">
      <c r="A1856" t="str">
        <f t="shared" si="58"/>
        <v/>
      </c>
      <c r="B1856" t="str">
        <f t="shared" si="59"/>
        <v/>
      </c>
    </row>
    <row r="1857" spans="1:2">
      <c r="A1857" t="str">
        <f t="shared" si="58"/>
        <v/>
      </c>
      <c r="B1857" t="str">
        <f t="shared" si="59"/>
        <v/>
      </c>
    </row>
    <row r="1858" spans="1:2">
      <c r="A1858" t="str">
        <f t="shared" si="58"/>
        <v/>
      </c>
      <c r="B1858" t="str">
        <f t="shared" si="59"/>
        <v/>
      </c>
    </row>
    <row r="1859" spans="1:2">
      <c r="A1859" t="str">
        <f t="shared" si="58"/>
        <v/>
      </c>
      <c r="B1859" t="str">
        <f t="shared" si="59"/>
        <v/>
      </c>
    </row>
    <row r="1860" spans="1:2">
      <c r="A1860" t="str">
        <f t="shared" si="58"/>
        <v/>
      </c>
      <c r="B1860" t="str">
        <f t="shared" si="59"/>
        <v/>
      </c>
    </row>
    <row r="1861" spans="1:2">
      <c r="A1861" t="str">
        <f t="shared" si="58"/>
        <v/>
      </c>
      <c r="B1861" t="str">
        <f t="shared" si="59"/>
        <v/>
      </c>
    </row>
    <row r="1862" spans="1:2">
      <c r="A1862" t="str">
        <f t="shared" si="58"/>
        <v/>
      </c>
      <c r="B1862" t="str">
        <f t="shared" si="59"/>
        <v/>
      </c>
    </row>
    <row r="1863" spans="1:2">
      <c r="A1863" t="str">
        <f t="shared" ref="A1863:A1926" si="60">F1863&amp;G1863&amp;K1863&amp;I1863</f>
        <v/>
      </c>
      <c r="B1863" t="str">
        <f t="shared" ref="B1863:B1926" si="61">F1863&amp;G1863&amp;K1863&amp;J1863</f>
        <v/>
      </c>
    </row>
    <row r="1864" spans="1:2">
      <c r="A1864" t="str">
        <f t="shared" si="60"/>
        <v/>
      </c>
      <c r="B1864" t="str">
        <f t="shared" si="61"/>
        <v/>
      </c>
    </row>
    <row r="1865" spans="1:2">
      <c r="A1865" t="str">
        <f t="shared" si="60"/>
        <v/>
      </c>
      <c r="B1865" t="str">
        <f t="shared" si="61"/>
        <v/>
      </c>
    </row>
    <row r="1866" spans="1:2">
      <c r="A1866" t="str">
        <f t="shared" si="60"/>
        <v/>
      </c>
      <c r="B1866" t="str">
        <f t="shared" si="61"/>
        <v/>
      </c>
    </row>
    <row r="1867" spans="1:2">
      <c r="A1867" t="str">
        <f t="shared" si="60"/>
        <v/>
      </c>
      <c r="B1867" t="str">
        <f t="shared" si="61"/>
        <v/>
      </c>
    </row>
    <row r="1868" spans="1:2">
      <c r="A1868" t="str">
        <f t="shared" si="60"/>
        <v/>
      </c>
      <c r="B1868" t="str">
        <f t="shared" si="61"/>
        <v/>
      </c>
    </row>
    <row r="1869" spans="1:2">
      <c r="A1869" t="str">
        <f t="shared" si="60"/>
        <v/>
      </c>
      <c r="B1869" t="str">
        <f t="shared" si="61"/>
        <v/>
      </c>
    </row>
    <row r="1870" spans="1:2">
      <c r="A1870" t="str">
        <f t="shared" si="60"/>
        <v/>
      </c>
      <c r="B1870" t="str">
        <f t="shared" si="61"/>
        <v/>
      </c>
    </row>
    <row r="1871" spans="1:2">
      <c r="A1871" t="str">
        <f t="shared" si="60"/>
        <v/>
      </c>
      <c r="B1871" t="str">
        <f t="shared" si="61"/>
        <v/>
      </c>
    </row>
    <row r="1872" spans="1:2">
      <c r="A1872" t="str">
        <f t="shared" si="60"/>
        <v/>
      </c>
      <c r="B1872" t="str">
        <f t="shared" si="61"/>
        <v/>
      </c>
    </row>
    <row r="1873" spans="1:2">
      <c r="A1873" t="str">
        <f t="shared" si="60"/>
        <v/>
      </c>
      <c r="B1873" t="str">
        <f t="shared" si="61"/>
        <v/>
      </c>
    </row>
    <row r="1874" spans="1:2">
      <c r="A1874" t="str">
        <f t="shared" si="60"/>
        <v/>
      </c>
      <c r="B1874" t="str">
        <f t="shared" si="61"/>
        <v/>
      </c>
    </row>
    <row r="1875" spans="1:2">
      <c r="A1875" t="str">
        <f t="shared" si="60"/>
        <v/>
      </c>
      <c r="B1875" t="str">
        <f t="shared" si="61"/>
        <v/>
      </c>
    </row>
    <row r="1876" spans="1:2">
      <c r="A1876" t="str">
        <f t="shared" si="60"/>
        <v/>
      </c>
      <c r="B1876" t="str">
        <f t="shared" si="61"/>
        <v/>
      </c>
    </row>
    <row r="1877" spans="1:2">
      <c r="A1877" t="str">
        <f t="shared" si="60"/>
        <v/>
      </c>
      <c r="B1877" t="str">
        <f t="shared" si="61"/>
        <v/>
      </c>
    </row>
    <row r="1878" spans="1:2">
      <c r="A1878" t="str">
        <f t="shared" si="60"/>
        <v/>
      </c>
      <c r="B1878" t="str">
        <f t="shared" si="61"/>
        <v/>
      </c>
    </row>
    <row r="1879" spans="1:2">
      <c r="A1879" t="str">
        <f t="shared" si="60"/>
        <v/>
      </c>
      <c r="B1879" t="str">
        <f t="shared" si="61"/>
        <v/>
      </c>
    </row>
    <row r="1880" spans="1:2">
      <c r="A1880" t="str">
        <f t="shared" si="60"/>
        <v/>
      </c>
      <c r="B1880" t="str">
        <f t="shared" si="61"/>
        <v/>
      </c>
    </row>
    <row r="1881" spans="1:2">
      <c r="A1881" t="str">
        <f t="shared" si="60"/>
        <v/>
      </c>
      <c r="B1881" t="str">
        <f t="shared" si="61"/>
        <v/>
      </c>
    </row>
    <row r="1882" spans="1:2">
      <c r="A1882" t="str">
        <f t="shared" si="60"/>
        <v/>
      </c>
      <c r="B1882" t="str">
        <f t="shared" si="61"/>
        <v/>
      </c>
    </row>
    <row r="1883" spans="1:2">
      <c r="A1883" t="str">
        <f t="shared" si="60"/>
        <v/>
      </c>
      <c r="B1883" t="str">
        <f t="shared" si="61"/>
        <v/>
      </c>
    </row>
    <row r="1884" spans="1:2">
      <c r="A1884" t="str">
        <f t="shared" si="60"/>
        <v/>
      </c>
      <c r="B1884" t="str">
        <f t="shared" si="61"/>
        <v/>
      </c>
    </row>
    <row r="1885" spans="1:2">
      <c r="A1885" t="str">
        <f t="shared" si="60"/>
        <v/>
      </c>
      <c r="B1885" t="str">
        <f t="shared" si="61"/>
        <v/>
      </c>
    </row>
    <row r="1886" spans="1:2">
      <c r="A1886" t="str">
        <f t="shared" si="60"/>
        <v/>
      </c>
      <c r="B1886" t="str">
        <f t="shared" si="61"/>
        <v/>
      </c>
    </row>
    <row r="1887" spans="1:2">
      <c r="A1887" t="str">
        <f t="shared" si="60"/>
        <v/>
      </c>
      <c r="B1887" t="str">
        <f t="shared" si="61"/>
        <v/>
      </c>
    </row>
    <row r="1888" spans="1:2">
      <c r="A1888" t="str">
        <f t="shared" si="60"/>
        <v/>
      </c>
      <c r="B1888" t="str">
        <f t="shared" si="61"/>
        <v/>
      </c>
    </row>
    <row r="1889" spans="1:2">
      <c r="A1889" t="str">
        <f t="shared" si="60"/>
        <v/>
      </c>
      <c r="B1889" t="str">
        <f t="shared" si="61"/>
        <v/>
      </c>
    </row>
    <row r="1890" spans="1:2">
      <c r="A1890" t="str">
        <f t="shared" si="60"/>
        <v/>
      </c>
      <c r="B1890" t="str">
        <f t="shared" si="61"/>
        <v/>
      </c>
    </row>
    <row r="1891" spans="1:2">
      <c r="A1891" t="str">
        <f t="shared" si="60"/>
        <v/>
      </c>
      <c r="B1891" t="str">
        <f t="shared" si="61"/>
        <v/>
      </c>
    </row>
    <row r="1892" spans="1:2">
      <c r="A1892" t="str">
        <f t="shared" si="60"/>
        <v/>
      </c>
      <c r="B1892" t="str">
        <f t="shared" si="61"/>
        <v/>
      </c>
    </row>
    <row r="1893" spans="1:2">
      <c r="A1893" t="str">
        <f t="shared" si="60"/>
        <v/>
      </c>
      <c r="B1893" t="str">
        <f t="shared" si="61"/>
        <v/>
      </c>
    </row>
    <row r="1894" spans="1:2">
      <c r="A1894" t="str">
        <f t="shared" si="60"/>
        <v/>
      </c>
      <c r="B1894" t="str">
        <f t="shared" si="61"/>
        <v/>
      </c>
    </row>
    <row r="1895" spans="1:2">
      <c r="A1895" t="str">
        <f t="shared" si="60"/>
        <v/>
      </c>
      <c r="B1895" t="str">
        <f t="shared" si="61"/>
        <v/>
      </c>
    </row>
    <row r="1896" spans="1:2">
      <c r="A1896" t="str">
        <f t="shared" si="60"/>
        <v/>
      </c>
      <c r="B1896" t="str">
        <f t="shared" si="61"/>
        <v/>
      </c>
    </row>
    <row r="1897" spans="1:2">
      <c r="A1897" t="str">
        <f t="shared" si="60"/>
        <v/>
      </c>
      <c r="B1897" t="str">
        <f t="shared" si="61"/>
        <v/>
      </c>
    </row>
    <row r="1898" spans="1:2">
      <c r="A1898" t="str">
        <f t="shared" si="60"/>
        <v/>
      </c>
      <c r="B1898" t="str">
        <f t="shared" si="61"/>
        <v/>
      </c>
    </row>
    <row r="1899" spans="1:2">
      <c r="A1899" t="str">
        <f t="shared" si="60"/>
        <v/>
      </c>
      <c r="B1899" t="str">
        <f t="shared" si="61"/>
        <v/>
      </c>
    </row>
    <row r="1900" spans="1:2">
      <c r="A1900" t="str">
        <f t="shared" si="60"/>
        <v/>
      </c>
      <c r="B1900" t="str">
        <f t="shared" si="61"/>
        <v/>
      </c>
    </row>
    <row r="1901" spans="1:2">
      <c r="A1901" t="str">
        <f t="shared" si="60"/>
        <v/>
      </c>
      <c r="B1901" t="str">
        <f t="shared" si="61"/>
        <v/>
      </c>
    </row>
    <row r="1902" spans="1:2">
      <c r="A1902" t="str">
        <f t="shared" si="60"/>
        <v/>
      </c>
      <c r="B1902" t="str">
        <f t="shared" si="61"/>
        <v/>
      </c>
    </row>
    <row r="1903" spans="1:2">
      <c r="A1903" t="str">
        <f t="shared" si="60"/>
        <v/>
      </c>
      <c r="B1903" t="str">
        <f t="shared" si="61"/>
        <v/>
      </c>
    </row>
    <row r="1904" spans="1:2">
      <c r="A1904" t="str">
        <f t="shared" si="60"/>
        <v/>
      </c>
      <c r="B1904" t="str">
        <f t="shared" si="61"/>
        <v/>
      </c>
    </row>
    <row r="1905" spans="1:2">
      <c r="A1905" t="str">
        <f t="shared" si="60"/>
        <v/>
      </c>
      <c r="B1905" t="str">
        <f t="shared" si="61"/>
        <v/>
      </c>
    </row>
    <row r="1906" spans="1:2">
      <c r="A1906" t="str">
        <f t="shared" si="60"/>
        <v/>
      </c>
      <c r="B1906" t="str">
        <f t="shared" si="61"/>
        <v/>
      </c>
    </row>
    <row r="1907" spans="1:2">
      <c r="A1907" t="str">
        <f t="shared" si="60"/>
        <v/>
      </c>
      <c r="B1907" t="str">
        <f t="shared" si="61"/>
        <v/>
      </c>
    </row>
    <row r="1908" spans="1:2">
      <c r="A1908" t="str">
        <f t="shared" si="60"/>
        <v/>
      </c>
      <c r="B1908" t="str">
        <f t="shared" si="61"/>
        <v/>
      </c>
    </row>
    <row r="1909" spans="1:2">
      <c r="A1909" t="str">
        <f t="shared" si="60"/>
        <v/>
      </c>
      <c r="B1909" t="str">
        <f t="shared" si="61"/>
        <v/>
      </c>
    </row>
    <row r="1910" spans="1:2">
      <c r="A1910" t="str">
        <f t="shared" si="60"/>
        <v/>
      </c>
      <c r="B1910" t="str">
        <f t="shared" si="61"/>
        <v/>
      </c>
    </row>
    <row r="1911" spans="1:2">
      <c r="A1911" t="str">
        <f t="shared" si="60"/>
        <v/>
      </c>
      <c r="B1911" t="str">
        <f t="shared" si="61"/>
        <v/>
      </c>
    </row>
    <row r="1912" spans="1:2">
      <c r="A1912" t="str">
        <f t="shared" si="60"/>
        <v/>
      </c>
      <c r="B1912" t="str">
        <f t="shared" si="61"/>
        <v/>
      </c>
    </row>
    <row r="1913" spans="1:2">
      <c r="A1913" t="str">
        <f t="shared" si="60"/>
        <v/>
      </c>
      <c r="B1913" t="str">
        <f t="shared" si="61"/>
        <v/>
      </c>
    </row>
    <row r="1914" spans="1:2">
      <c r="A1914" t="str">
        <f t="shared" si="60"/>
        <v/>
      </c>
      <c r="B1914" t="str">
        <f t="shared" si="61"/>
        <v/>
      </c>
    </row>
    <row r="1915" spans="1:2">
      <c r="A1915" t="str">
        <f t="shared" si="60"/>
        <v/>
      </c>
      <c r="B1915" t="str">
        <f t="shared" si="61"/>
        <v/>
      </c>
    </row>
    <row r="1916" spans="1:2">
      <c r="A1916" t="str">
        <f t="shared" si="60"/>
        <v/>
      </c>
      <c r="B1916" t="str">
        <f t="shared" si="61"/>
        <v/>
      </c>
    </row>
    <row r="1917" spans="1:2">
      <c r="A1917" t="str">
        <f t="shared" si="60"/>
        <v/>
      </c>
      <c r="B1917" t="str">
        <f t="shared" si="61"/>
        <v/>
      </c>
    </row>
    <row r="1918" spans="1:2">
      <c r="A1918" t="str">
        <f t="shared" si="60"/>
        <v/>
      </c>
      <c r="B1918" t="str">
        <f t="shared" si="61"/>
        <v/>
      </c>
    </row>
    <row r="1919" spans="1:2">
      <c r="A1919" t="str">
        <f t="shared" si="60"/>
        <v/>
      </c>
      <c r="B1919" t="str">
        <f t="shared" si="61"/>
        <v/>
      </c>
    </row>
    <row r="1920" spans="1:2">
      <c r="A1920" t="str">
        <f t="shared" si="60"/>
        <v/>
      </c>
      <c r="B1920" t="str">
        <f t="shared" si="61"/>
        <v/>
      </c>
    </row>
    <row r="1921" spans="1:2">
      <c r="A1921" t="str">
        <f t="shared" si="60"/>
        <v/>
      </c>
      <c r="B1921" t="str">
        <f t="shared" si="61"/>
        <v/>
      </c>
    </row>
    <row r="1922" spans="1:2">
      <c r="A1922" t="str">
        <f t="shared" si="60"/>
        <v/>
      </c>
      <c r="B1922" t="str">
        <f t="shared" si="61"/>
        <v/>
      </c>
    </row>
    <row r="1923" spans="1:2">
      <c r="A1923" t="str">
        <f t="shared" si="60"/>
        <v/>
      </c>
      <c r="B1923" t="str">
        <f t="shared" si="61"/>
        <v/>
      </c>
    </row>
    <row r="1924" spans="1:2">
      <c r="A1924" t="str">
        <f t="shared" si="60"/>
        <v/>
      </c>
      <c r="B1924" t="str">
        <f t="shared" si="61"/>
        <v/>
      </c>
    </row>
    <row r="1925" spans="1:2">
      <c r="A1925" t="str">
        <f t="shared" si="60"/>
        <v/>
      </c>
      <c r="B1925" t="str">
        <f t="shared" si="61"/>
        <v/>
      </c>
    </row>
    <row r="1926" spans="1:2">
      <c r="A1926" t="str">
        <f t="shared" si="60"/>
        <v/>
      </c>
      <c r="B1926" t="str">
        <f t="shared" si="61"/>
        <v/>
      </c>
    </row>
    <row r="1927" spans="1:2">
      <c r="A1927" t="str">
        <f t="shared" ref="A1927:A1990" si="62">F1927&amp;G1927&amp;K1927&amp;I1927</f>
        <v/>
      </c>
      <c r="B1927" t="str">
        <f t="shared" ref="B1927:B1990" si="63">F1927&amp;G1927&amp;K1927&amp;J1927</f>
        <v/>
      </c>
    </row>
    <row r="1928" spans="1:2">
      <c r="A1928" t="str">
        <f t="shared" si="62"/>
        <v/>
      </c>
      <c r="B1928" t="str">
        <f t="shared" si="63"/>
        <v/>
      </c>
    </row>
    <row r="1929" spans="1:2">
      <c r="A1929" t="str">
        <f t="shared" si="62"/>
        <v/>
      </c>
      <c r="B1929" t="str">
        <f t="shared" si="63"/>
        <v/>
      </c>
    </row>
    <row r="1930" spans="1:2">
      <c r="A1930" t="str">
        <f t="shared" si="62"/>
        <v/>
      </c>
      <c r="B1930" t="str">
        <f t="shared" si="63"/>
        <v/>
      </c>
    </row>
    <row r="1931" spans="1:2">
      <c r="A1931" t="str">
        <f t="shared" si="62"/>
        <v/>
      </c>
      <c r="B1931" t="str">
        <f t="shared" si="63"/>
        <v/>
      </c>
    </row>
    <row r="1932" spans="1:2">
      <c r="A1932" t="str">
        <f t="shared" si="62"/>
        <v/>
      </c>
      <c r="B1932" t="str">
        <f t="shared" si="63"/>
        <v/>
      </c>
    </row>
    <row r="1933" spans="1:2">
      <c r="A1933" t="str">
        <f t="shared" si="62"/>
        <v/>
      </c>
      <c r="B1933" t="str">
        <f t="shared" si="63"/>
        <v/>
      </c>
    </row>
    <row r="1934" spans="1:2">
      <c r="A1934" t="str">
        <f t="shared" si="62"/>
        <v/>
      </c>
      <c r="B1934" t="str">
        <f t="shared" si="63"/>
        <v/>
      </c>
    </row>
    <row r="1935" spans="1:2">
      <c r="A1935" t="str">
        <f t="shared" si="62"/>
        <v/>
      </c>
      <c r="B1935" t="str">
        <f t="shared" si="63"/>
        <v/>
      </c>
    </row>
    <row r="1936" spans="1:2">
      <c r="A1936" t="str">
        <f t="shared" si="62"/>
        <v/>
      </c>
      <c r="B1936" t="str">
        <f t="shared" si="63"/>
        <v/>
      </c>
    </row>
    <row r="1937" spans="1:2">
      <c r="A1937" t="str">
        <f t="shared" si="62"/>
        <v/>
      </c>
      <c r="B1937" t="str">
        <f t="shared" si="63"/>
        <v/>
      </c>
    </row>
    <row r="1938" spans="1:2">
      <c r="A1938" t="str">
        <f t="shared" si="62"/>
        <v/>
      </c>
      <c r="B1938" t="str">
        <f t="shared" si="63"/>
        <v/>
      </c>
    </row>
    <row r="1939" spans="1:2">
      <c r="A1939" t="str">
        <f t="shared" si="62"/>
        <v/>
      </c>
      <c r="B1939" t="str">
        <f t="shared" si="63"/>
        <v/>
      </c>
    </row>
    <row r="1940" spans="1:2">
      <c r="A1940" t="str">
        <f t="shared" si="62"/>
        <v/>
      </c>
      <c r="B1940" t="str">
        <f t="shared" si="63"/>
        <v/>
      </c>
    </row>
    <row r="1941" spans="1:2">
      <c r="A1941" t="str">
        <f t="shared" si="62"/>
        <v/>
      </c>
      <c r="B1941" t="str">
        <f t="shared" si="63"/>
        <v/>
      </c>
    </row>
    <row r="1942" spans="1:2">
      <c r="A1942" t="str">
        <f t="shared" si="62"/>
        <v/>
      </c>
      <c r="B1942" t="str">
        <f t="shared" si="63"/>
        <v/>
      </c>
    </row>
    <row r="1943" spans="1:2">
      <c r="A1943" t="str">
        <f t="shared" si="62"/>
        <v/>
      </c>
      <c r="B1943" t="str">
        <f t="shared" si="63"/>
        <v/>
      </c>
    </row>
    <row r="1944" spans="1:2">
      <c r="A1944" t="str">
        <f t="shared" si="62"/>
        <v/>
      </c>
      <c r="B1944" t="str">
        <f t="shared" si="63"/>
        <v/>
      </c>
    </row>
    <row r="1945" spans="1:2">
      <c r="A1945" t="str">
        <f t="shared" si="62"/>
        <v/>
      </c>
      <c r="B1945" t="str">
        <f t="shared" si="63"/>
        <v/>
      </c>
    </row>
    <row r="1946" spans="1:2">
      <c r="A1946" t="str">
        <f t="shared" si="62"/>
        <v/>
      </c>
      <c r="B1946" t="str">
        <f t="shared" si="63"/>
        <v/>
      </c>
    </row>
    <row r="1947" spans="1:2">
      <c r="A1947" t="str">
        <f t="shared" si="62"/>
        <v/>
      </c>
      <c r="B1947" t="str">
        <f t="shared" si="63"/>
        <v/>
      </c>
    </row>
    <row r="1948" spans="1:2">
      <c r="A1948" t="str">
        <f t="shared" si="62"/>
        <v/>
      </c>
      <c r="B1948" t="str">
        <f t="shared" si="63"/>
        <v/>
      </c>
    </row>
    <row r="1949" spans="1:2">
      <c r="A1949" t="str">
        <f t="shared" si="62"/>
        <v/>
      </c>
      <c r="B1949" t="str">
        <f t="shared" si="63"/>
        <v/>
      </c>
    </row>
    <row r="1950" spans="1:2">
      <c r="A1950" t="str">
        <f t="shared" si="62"/>
        <v/>
      </c>
      <c r="B1950" t="str">
        <f t="shared" si="63"/>
        <v/>
      </c>
    </row>
    <row r="1951" spans="1:2">
      <c r="A1951" t="str">
        <f t="shared" si="62"/>
        <v/>
      </c>
      <c r="B1951" t="str">
        <f t="shared" si="63"/>
        <v/>
      </c>
    </row>
    <row r="1952" spans="1:2">
      <c r="A1952" t="str">
        <f t="shared" si="62"/>
        <v/>
      </c>
      <c r="B1952" t="str">
        <f t="shared" si="63"/>
        <v/>
      </c>
    </row>
    <row r="1953" spans="1:2">
      <c r="A1953" t="str">
        <f t="shared" si="62"/>
        <v/>
      </c>
      <c r="B1953" t="str">
        <f t="shared" si="63"/>
        <v/>
      </c>
    </row>
    <row r="1954" spans="1:2">
      <c r="A1954" t="str">
        <f t="shared" si="62"/>
        <v/>
      </c>
      <c r="B1954" t="str">
        <f t="shared" si="63"/>
        <v/>
      </c>
    </row>
    <row r="1955" spans="1:2">
      <c r="A1955" t="str">
        <f t="shared" si="62"/>
        <v/>
      </c>
      <c r="B1955" t="str">
        <f t="shared" si="63"/>
        <v/>
      </c>
    </row>
    <row r="1956" spans="1:2">
      <c r="A1956" t="str">
        <f t="shared" si="62"/>
        <v/>
      </c>
      <c r="B1956" t="str">
        <f t="shared" si="63"/>
        <v/>
      </c>
    </row>
    <row r="1957" spans="1:2">
      <c r="A1957" t="str">
        <f t="shared" si="62"/>
        <v/>
      </c>
      <c r="B1957" t="str">
        <f t="shared" si="63"/>
        <v/>
      </c>
    </row>
    <row r="1958" spans="1:2">
      <c r="A1958" t="str">
        <f t="shared" si="62"/>
        <v/>
      </c>
      <c r="B1958" t="str">
        <f t="shared" si="63"/>
        <v/>
      </c>
    </row>
    <row r="1959" spans="1:2">
      <c r="A1959" t="str">
        <f t="shared" si="62"/>
        <v/>
      </c>
      <c r="B1959" t="str">
        <f t="shared" si="63"/>
        <v/>
      </c>
    </row>
    <row r="1960" spans="1:2">
      <c r="A1960" t="str">
        <f t="shared" si="62"/>
        <v/>
      </c>
      <c r="B1960" t="str">
        <f t="shared" si="63"/>
        <v/>
      </c>
    </row>
    <row r="1961" spans="1:2">
      <c r="A1961" t="str">
        <f t="shared" si="62"/>
        <v/>
      </c>
      <c r="B1961" t="str">
        <f t="shared" si="63"/>
        <v/>
      </c>
    </row>
    <row r="1962" spans="1:2">
      <c r="A1962" t="str">
        <f t="shared" si="62"/>
        <v/>
      </c>
      <c r="B1962" t="str">
        <f t="shared" si="63"/>
        <v/>
      </c>
    </row>
    <row r="1963" spans="1:2">
      <c r="A1963" t="str">
        <f t="shared" si="62"/>
        <v/>
      </c>
      <c r="B1963" t="str">
        <f t="shared" si="63"/>
        <v/>
      </c>
    </row>
    <row r="1964" spans="1:2">
      <c r="A1964" t="str">
        <f t="shared" si="62"/>
        <v/>
      </c>
      <c r="B1964" t="str">
        <f t="shared" si="63"/>
        <v/>
      </c>
    </row>
    <row r="1965" spans="1:2">
      <c r="A1965" t="str">
        <f t="shared" si="62"/>
        <v/>
      </c>
      <c r="B1965" t="str">
        <f t="shared" si="63"/>
        <v/>
      </c>
    </row>
    <row r="1966" spans="1:2">
      <c r="A1966" t="str">
        <f t="shared" si="62"/>
        <v/>
      </c>
      <c r="B1966" t="str">
        <f t="shared" si="63"/>
        <v/>
      </c>
    </row>
    <row r="1967" spans="1:2">
      <c r="A1967" t="str">
        <f t="shared" si="62"/>
        <v/>
      </c>
      <c r="B1967" t="str">
        <f t="shared" si="63"/>
        <v/>
      </c>
    </row>
    <row r="1968" spans="1:2">
      <c r="A1968" t="str">
        <f t="shared" si="62"/>
        <v/>
      </c>
      <c r="B1968" t="str">
        <f t="shared" si="63"/>
        <v/>
      </c>
    </row>
    <row r="1969" spans="1:2">
      <c r="A1969" t="str">
        <f t="shared" si="62"/>
        <v/>
      </c>
      <c r="B1969" t="str">
        <f t="shared" si="63"/>
        <v/>
      </c>
    </row>
    <row r="1970" spans="1:2">
      <c r="A1970" t="str">
        <f t="shared" si="62"/>
        <v/>
      </c>
      <c r="B1970" t="str">
        <f t="shared" si="63"/>
        <v/>
      </c>
    </row>
    <row r="1971" spans="1:2">
      <c r="A1971" t="str">
        <f t="shared" si="62"/>
        <v/>
      </c>
      <c r="B1971" t="str">
        <f t="shared" si="63"/>
        <v/>
      </c>
    </row>
    <row r="1972" spans="1:2">
      <c r="A1972" t="str">
        <f t="shared" si="62"/>
        <v/>
      </c>
      <c r="B1972" t="str">
        <f t="shared" si="63"/>
        <v/>
      </c>
    </row>
    <row r="1973" spans="1:2">
      <c r="A1973" t="str">
        <f t="shared" si="62"/>
        <v/>
      </c>
      <c r="B1973" t="str">
        <f t="shared" si="63"/>
        <v/>
      </c>
    </row>
    <row r="1974" spans="1:2">
      <c r="A1974" t="str">
        <f t="shared" si="62"/>
        <v/>
      </c>
      <c r="B1974" t="str">
        <f t="shared" si="63"/>
        <v/>
      </c>
    </row>
    <row r="1975" spans="1:2">
      <c r="A1975" t="str">
        <f t="shared" si="62"/>
        <v/>
      </c>
      <c r="B1975" t="str">
        <f t="shared" si="63"/>
        <v/>
      </c>
    </row>
    <row r="1976" spans="1:2">
      <c r="A1976" t="str">
        <f t="shared" si="62"/>
        <v/>
      </c>
      <c r="B1976" t="str">
        <f t="shared" si="63"/>
        <v/>
      </c>
    </row>
    <row r="1977" spans="1:2">
      <c r="A1977" t="str">
        <f t="shared" si="62"/>
        <v/>
      </c>
      <c r="B1977" t="str">
        <f t="shared" si="63"/>
        <v/>
      </c>
    </row>
    <row r="1978" spans="1:2">
      <c r="A1978" t="str">
        <f t="shared" si="62"/>
        <v/>
      </c>
      <c r="B1978" t="str">
        <f t="shared" si="63"/>
        <v/>
      </c>
    </row>
    <row r="1979" spans="1:2">
      <c r="A1979" t="str">
        <f t="shared" si="62"/>
        <v/>
      </c>
      <c r="B1979" t="str">
        <f t="shared" si="63"/>
        <v/>
      </c>
    </row>
    <row r="1980" spans="1:2">
      <c r="A1980" t="str">
        <f t="shared" si="62"/>
        <v/>
      </c>
      <c r="B1980" t="str">
        <f t="shared" si="63"/>
        <v/>
      </c>
    </row>
    <row r="1981" spans="1:2">
      <c r="A1981" t="str">
        <f t="shared" si="62"/>
        <v/>
      </c>
      <c r="B1981" t="str">
        <f t="shared" si="63"/>
        <v/>
      </c>
    </row>
    <row r="1982" spans="1:2">
      <c r="A1982" t="str">
        <f t="shared" si="62"/>
        <v/>
      </c>
      <c r="B1982" t="str">
        <f t="shared" si="63"/>
        <v/>
      </c>
    </row>
    <row r="1983" spans="1:2">
      <c r="A1983" t="str">
        <f t="shared" si="62"/>
        <v/>
      </c>
      <c r="B1983" t="str">
        <f t="shared" si="63"/>
        <v/>
      </c>
    </row>
    <row r="1984" spans="1:2">
      <c r="A1984" t="str">
        <f t="shared" si="62"/>
        <v/>
      </c>
      <c r="B1984" t="str">
        <f t="shared" si="63"/>
        <v/>
      </c>
    </row>
    <row r="1985" spans="1:2">
      <c r="A1985" t="str">
        <f t="shared" si="62"/>
        <v/>
      </c>
      <c r="B1985" t="str">
        <f t="shared" si="63"/>
        <v/>
      </c>
    </row>
    <row r="1986" spans="1:2">
      <c r="A1986" t="str">
        <f t="shared" si="62"/>
        <v/>
      </c>
      <c r="B1986" t="str">
        <f t="shared" si="63"/>
        <v/>
      </c>
    </row>
    <row r="1987" spans="1:2">
      <c r="A1987" t="str">
        <f t="shared" si="62"/>
        <v/>
      </c>
      <c r="B1987" t="str">
        <f t="shared" si="63"/>
        <v/>
      </c>
    </row>
    <row r="1988" spans="1:2">
      <c r="A1988" t="str">
        <f t="shared" si="62"/>
        <v/>
      </c>
      <c r="B1988" t="str">
        <f t="shared" si="63"/>
        <v/>
      </c>
    </row>
    <row r="1989" spans="1:2">
      <c r="A1989" t="str">
        <f t="shared" si="62"/>
        <v/>
      </c>
      <c r="B1989" t="str">
        <f t="shared" si="63"/>
        <v/>
      </c>
    </row>
    <row r="1990" spans="1:2">
      <c r="A1990" t="str">
        <f t="shared" si="62"/>
        <v/>
      </c>
      <c r="B1990" t="str">
        <f t="shared" si="63"/>
        <v/>
      </c>
    </row>
    <row r="1991" spans="1:2">
      <c r="A1991" t="str">
        <f t="shared" ref="A1991:A2054" si="64">F1991&amp;G1991&amp;K1991&amp;I1991</f>
        <v/>
      </c>
      <c r="B1991" t="str">
        <f t="shared" ref="B1991:B2054" si="65">F1991&amp;G1991&amp;K1991&amp;J1991</f>
        <v/>
      </c>
    </row>
    <row r="1992" spans="1:2">
      <c r="A1992" t="str">
        <f t="shared" si="64"/>
        <v/>
      </c>
      <c r="B1992" t="str">
        <f t="shared" si="65"/>
        <v/>
      </c>
    </row>
    <row r="1993" spans="1:2">
      <c r="A1993" t="str">
        <f t="shared" si="64"/>
        <v/>
      </c>
      <c r="B1993" t="str">
        <f t="shared" si="65"/>
        <v/>
      </c>
    </row>
    <row r="1994" spans="1:2">
      <c r="A1994" t="str">
        <f t="shared" si="64"/>
        <v/>
      </c>
      <c r="B1994" t="str">
        <f t="shared" si="65"/>
        <v/>
      </c>
    </row>
    <row r="1995" spans="1:2">
      <c r="A1995" t="str">
        <f t="shared" si="64"/>
        <v/>
      </c>
      <c r="B1995" t="str">
        <f t="shared" si="65"/>
        <v/>
      </c>
    </row>
    <row r="1996" spans="1:2">
      <c r="A1996" t="str">
        <f t="shared" si="64"/>
        <v/>
      </c>
      <c r="B1996" t="str">
        <f t="shared" si="65"/>
        <v/>
      </c>
    </row>
    <row r="1997" spans="1:2">
      <c r="A1997" t="str">
        <f t="shared" si="64"/>
        <v/>
      </c>
      <c r="B1997" t="str">
        <f t="shared" si="65"/>
        <v/>
      </c>
    </row>
    <row r="1998" spans="1:2">
      <c r="A1998" t="str">
        <f t="shared" si="64"/>
        <v/>
      </c>
      <c r="B1998" t="str">
        <f t="shared" si="65"/>
        <v/>
      </c>
    </row>
    <row r="1999" spans="1:2">
      <c r="A1999" t="str">
        <f t="shared" si="64"/>
        <v/>
      </c>
      <c r="B1999" t="str">
        <f t="shared" si="65"/>
        <v/>
      </c>
    </row>
    <row r="2000" spans="1:2">
      <c r="A2000" t="str">
        <f t="shared" si="64"/>
        <v/>
      </c>
      <c r="B2000" t="str">
        <f t="shared" si="65"/>
        <v/>
      </c>
    </row>
    <row r="2001" spans="1:2">
      <c r="A2001" t="str">
        <f t="shared" si="64"/>
        <v/>
      </c>
      <c r="B2001" t="str">
        <f t="shared" si="65"/>
        <v/>
      </c>
    </row>
    <row r="2002" spans="1:2">
      <c r="A2002" t="str">
        <f t="shared" si="64"/>
        <v/>
      </c>
      <c r="B2002" t="str">
        <f t="shared" si="65"/>
        <v/>
      </c>
    </row>
    <row r="2003" spans="1:2">
      <c r="A2003" t="str">
        <f t="shared" si="64"/>
        <v/>
      </c>
      <c r="B2003" t="str">
        <f t="shared" si="65"/>
        <v/>
      </c>
    </row>
    <row r="2004" spans="1:2">
      <c r="A2004" t="str">
        <f t="shared" si="64"/>
        <v/>
      </c>
      <c r="B2004" t="str">
        <f t="shared" si="65"/>
        <v/>
      </c>
    </row>
    <row r="2005" spans="1:2">
      <c r="A2005" t="str">
        <f t="shared" si="64"/>
        <v/>
      </c>
      <c r="B2005" t="str">
        <f t="shared" si="65"/>
        <v/>
      </c>
    </row>
    <row r="2006" spans="1:2">
      <c r="A2006" t="str">
        <f t="shared" si="64"/>
        <v/>
      </c>
      <c r="B2006" t="str">
        <f t="shared" si="65"/>
        <v/>
      </c>
    </row>
    <row r="2007" spans="1:2">
      <c r="A2007" t="str">
        <f t="shared" si="64"/>
        <v/>
      </c>
      <c r="B2007" t="str">
        <f t="shared" si="65"/>
        <v/>
      </c>
    </row>
    <row r="2008" spans="1:2">
      <c r="A2008" t="str">
        <f t="shared" si="64"/>
        <v/>
      </c>
      <c r="B2008" t="str">
        <f t="shared" si="65"/>
        <v/>
      </c>
    </row>
    <row r="2009" spans="1:2">
      <c r="A2009" t="str">
        <f t="shared" si="64"/>
        <v/>
      </c>
      <c r="B2009" t="str">
        <f t="shared" si="65"/>
        <v/>
      </c>
    </row>
    <row r="2010" spans="1:2">
      <c r="A2010" t="str">
        <f t="shared" si="64"/>
        <v/>
      </c>
      <c r="B2010" t="str">
        <f t="shared" si="65"/>
        <v/>
      </c>
    </row>
    <row r="2011" spans="1:2">
      <c r="A2011" t="str">
        <f t="shared" si="64"/>
        <v/>
      </c>
      <c r="B2011" t="str">
        <f t="shared" si="65"/>
        <v/>
      </c>
    </row>
    <row r="2012" spans="1:2">
      <c r="A2012" t="str">
        <f t="shared" si="64"/>
        <v/>
      </c>
      <c r="B2012" t="str">
        <f t="shared" si="65"/>
        <v/>
      </c>
    </row>
    <row r="2013" spans="1:2">
      <c r="A2013" t="str">
        <f t="shared" si="64"/>
        <v/>
      </c>
      <c r="B2013" t="str">
        <f t="shared" si="65"/>
        <v/>
      </c>
    </row>
    <row r="2014" spans="1:2">
      <c r="A2014" t="str">
        <f t="shared" si="64"/>
        <v/>
      </c>
      <c r="B2014" t="str">
        <f t="shared" si="65"/>
        <v/>
      </c>
    </row>
    <row r="2015" spans="1:2">
      <c r="A2015" t="str">
        <f t="shared" si="64"/>
        <v/>
      </c>
      <c r="B2015" t="str">
        <f t="shared" si="65"/>
        <v/>
      </c>
    </row>
    <row r="2016" spans="1:2">
      <c r="A2016" t="str">
        <f t="shared" si="64"/>
        <v/>
      </c>
      <c r="B2016" t="str">
        <f t="shared" si="65"/>
        <v/>
      </c>
    </row>
    <row r="2017" spans="1:2">
      <c r="A2017" t="str">
        <f t="shared" si="64"/>
        <v/>
      </c>
      <c r="B2017" t="str">
        <f t="shared" si="65"/>
        <v/>
      </c>
    </row>
    <row r="2018" spans="1:2">
      <c r="A2018" t="str">
        <f t="shared" si="64"/>
        <v/>
      </c>
      <c r="B2018" t="str">
        <f t="shared" si="65"/>
        <v/>
      </c>
    </row>
    <row r="2019" spans="1:2">
      <c r="A2019" t="str">
        <f t="shared" si="64"/>
        <v/>
      </c>
      <c r="B2019" t="str">
        <f t="shared" si="65"/>
        <v/>
      </c>
    </row>
    <row r="2020" spans="1:2">
      <c r="A2020" t="str">
        <f t="shared" si="64"/>
        <v/>
      </c>
      <c r="B2020" t="str">
        <f t="shared" si="65"/>
        <v/>
      </c>
    </row>
    <row r="2021" spans="1:2">
      <c r="A2021" t="str">
        <f t="shared" si="64"/>
        <v/>
      </c>
      <c r="B2021" t="str">
        <f t="shared" si="65"/>
        <v/>
      </c>
    </row>
    <row r="2022" spans="1:2">
      <c r="A2022" t="str">
        <f t="shared" si="64"/>
        <v/>
      </c>
      <c r="B2022" t="str">
        <f t="shared" si="65"/>
        <v/>
      </c>
    </row>
    <row r="2023" spans="1:2">
      <c r="A2023" t="str">
        <f t="shared" si="64"/>
        <v/>
      </c>
      <c r="B2023" t="str">
        <f t="shared" si="65"/>
        <v/>
      </c>
    </row>
    <row r="2024" spans="1:2">
      <c r="A2024" t="str">
        <f t="shared" si="64"/>
        <v/>
      </c>
      <c r="B2024" t="str">
        <f t="shared" si="65"/>
        <v/>
      </c>
    </row>
    <row r="2025" spans="1:2">
      <c r="A2025" t="str">
        <f t="shared" si="64"/>
        <v/>
      </c>
      <c r="B2025" t="str">
        <f t="shared" si="65"/>
        <v/>
      </c>
    </row>
    <row r="2026" spans="1:2">
      <c r="A2026" t="str">
        <f t="shared" si="64"/>
        <v/>
      </c>
      <c r="B2026" t="str">
        <f t="shared" si="65"/>
        <v/>
      </c>
    </row>
    <row r="2027" spans="1:2">
      <c r="A2027" t="str">
        <f t="shared" si="64"/>
        <v/>
      </c>
      <c r="B2027" t="str">
        <f t="shared" si="65"/>
        <v/>
      </c>
    </row>
    <row r="2028" spans="1:2">
      <c r="A2028" t="str">
        <f t="shared" si="64"/>
        <v/>
      </c>
      <c r="B2028" t="str">
        <f t="shared" si="65"/>
        <v/>
      </c>
    </row>
    <row r="2029" spans="1:2">
      <c r="A2029" t="str">
        <f t="shared" si="64"/>
        <v/>
      </c>
      <c r="B2029" t="str">
        <f t="shared" si="65"/>
        <v/>
      </c>
    </row>
    <row r="2030" spans="1:2">
      <c r="A2030" t="str">
        <f t="shared" si="64"/>
        <v/>
      </c>
      <c r="B2030" t="str">
        <f t="shared" si="65"/>
        <v/>
      </c>
    </row>
    <row r="2031" spans="1:2">
      <c r="A2031" t="str">
        <f t="shared" si="64"/>
        <v/>
      </c>
      <c r="B2031" t="str">
        <f t="shared" si="65"/>
        <v/>
      </c>
    </row>
    <row r="2032" spans="1:2">
      <c r="A2032" t="str">
        <f t="shared" si="64"/>
        <v/>
      </c>
      <c r="B2032" t="str">
        <f t="shared" si="65"/>
        <v/>
      </c>
    </row>
    <row r="2033" spans="1:2">
      <c r="A2033" t="str">
        <f t="shared" si="64"/>
        <v/>
      </c>
      <c r="B2033" t="str">
        <f t="shared" si="65"/>
        <v/>
      </c>
    </row>
    <row r="2034" spans="1:2">
      <c r="A2034" t="str">
        <f t="shared" si="64"/>
        <v/>
      </c>
      <c r="B2034" t="str">
        <f t="shared" si="65"/>
        <v/>
      </c>
    </row>
    <row r="2035" spans="1:2">
      <c r="A2035" t="str">
        <f t="shared" si="64"/>
        <v/>
      </c>
      <c r="B2035" t="str">
        <f t="shared" si="65"/>
        <v/>
      </c>
    </row>
    <row r="2036" spans="1:2">
      <c r="A2036" t="str">
        <f t="shared" si="64"/>
        <v/>
      </c>
      <c r="B2036" t="str">
        <f t="shared" si="65"/>
        <v/>
      </c>
    </row>
    <row r="2037" spans="1:2">
      <c r="A2037" t="str">
        <f t="shared" si="64"/>
        <v/>
      </c>
      <c r="B2037" t="str">
        <f t="shared" si="65"/>
        <v/>
      </c>
    </row>
    <row r="2038" spans="1:2">
      <c r="A2038" t="str">
        <f t="shared" si="64"/>
        <v/>
      </c>
      <c r="B2038" t="str">
        <f t="shared" si="65"/>
        <v/>
      </c>
    </row>
    <row r="2039" spans="1:2">
      <c r="A2039" t="str">
        <f t="shared" si="64"/>
        <v/>
      </c>
      <c r="B2039" t="str">
        <f t="shared" si="65"/>
        <v/>
      </c>
    </row>
    <row r="2040" spans="1:2">
      <c r="A2040" t="str">
        <f t="shared" si="64"/>
        <v/>
      </c>
      <c r="B2040" t="str">
        <f t="shared" si="65"/>
        <v/>
      </c>
    </row>
    <row r="2041" spans="1:2">
      <c r="A2041" t="str">
        <f t="shared" si="64"/>
        <v/>
      </c>
      <c r="B2041" t="str">
        <f t="shared" si="65"/>
        <v/>
      </c>
    </row>
    <row r="2042" spans="1:2">
      <c r="A2042" t="str">
        <f t="shared" si="64"/>
        <v/>
      </c>
      <c r="B2042" t="str">
        <f t="shared" si="65"/>
        <v/>
      </c>
    </row>
    <row r="2043" spans="1:2">
      <c r="A2043" t="str">
        <f t="shared" si="64"/>
        <v/>
      </c>
      <c r="B2043" t="str">
        <f t="shared" si="65"/>
        <v/>
      </c>
    </row>
    <row r="2044" spans="1:2">
      <c r="A2044" t="str">
        <f t="shared" si="64"/>
        <v/>
      </c>
      <c r="B2044" t="str">
        <f t="shared" si="65"/>
        <v/>
      </c>
    </row>
    <row r="2045" spans="1:2">
      <c r="A2045" t="str">
        <f t="shared" si="64"/>
        <v/>
      </c>
      <c r="B2045" t="str">
        <f t="shared" si="65"/>
        <v/>
      </c>
    </row>
    <row r="2046" spans="1:2">
      <c r="A2046" t="str">
        <f t="shared" si="64"/>
        <v/>
      </c>
      <c r="B2046" t="str">
        <f t="shared" si="65"/>
        <v/>
      </c>
    </row>
    <row r="2047" spans="1:2">
      <c r="A2047" t="str">
        <f t="shared" si="64"/>
        <v/>
      </c>
      <c r="B2047" t="str">
        <f t="shared" si="65"/>
        <v/>
      </c>
    </row>
    <row r="2048" spans="1:2">
      <c r="A2048" t="str">
        <f t="shared" si="64"/>
        <v/>
      </c>
      <c r="B2048" t="str">
        <f t="shared" si="65"/>
        <v/>
      </c>
    </row>
    <row r="2049" spans="1:2">
      <c r="A2049" t="str">
        <f t="shared" si="64"/>
        <v/>
      </c>
      <c r="B2049" t="str">
        <f t="shared" si="65"/>
        <v/>
      </c>
    </row>
    <row r="2050" spans="1:2">
      <c r="A2050" t="str">
        <f t="shared" si="64"/>
        <v/>
      </c>
      <c r="B2050" t="str">
        <f t="shared" si="65"/>
        <v/>
      </c>
    </row>
    <row r="2051" spans="1:2">
      <c r="A2051" t="str">
        <f t="shared" si="64"/>
        <v/>
      </c>
      <c r="B2051" t="str">
        <f t="shared" si="65"/>
        <v/>
      </c>
    </row>
    <row r="2052" spans="1:2">
      <c r="A2052" t="str">
        <f t="shared" si="64"/>
        <v/>
      </c>
      <c r="B2052" t="str">
        <f t="shared" si="65"/>
        <v/>
      </c>
    </row>
    <row r="2053" spans="1:2">
      <c r="A2053" t="str">
        <f t="shared" si="64"/>
        <v/>
      </c>
      <c r="B2053" t="str">
        <f t="shared" si="65"/>
        <v/>
      </c>
    </row>
    <row r="2054" spans="1:2">
      <c r="A2054" t="str">
        <f t="shared" si="64"/>
        <v/>
      </c>
      <c r="B2054" t="str">
        <f t="shared" si="65"/>
        <v/>
      </c>
    </row>
    <row r="2055" spans="1:2">
      <c r="A2055" t="str">
        <f t="shared" ref="A2055:A2118" si="66">F2055&amp;G2055&amp;K2055&amp;I2055</f>
        <v/>
      </c>
      <c r="B2055" t="str">
        <f t="shared" ref="B2055:B2118" si="67">F2055&amp;G2055&amp;K2055&amp;J2055</f>
        <v/>
      </c>
    </row>
    <row r="2056" spans="1:2">
      <c r="A2056" t="str">
        <f t="shared" si="66"/>
        <v/>
      </c>
      <c r="B2056" t="str">
        <f t="shared" si="67"/>
        <v/>
      </c>
    </row>
    <row r="2057" spans="1:2">
      <c r="A2057" t="str">
        <f t="shared" si="66"/>
        <v/>
      </c>
      <c r="B2057" t="str">
        <f t="shared" si="67"/>
        <v/>
      </c>
    </row>
    <row r="2058" spans="1:2">
      <c r="A2058" t="str">
        <f t="shared" si="66"/>
        <v/>
      </c>
      <c r="B2058" t="str">
        <f t="shared" si="67"/>
        <v/>
      </c>
    </row>
    <row r="2059" spans="1:2">
      <c r="A2059" t="str">
        <f t="shared" si="66"/>
        <v/>
      </c>
      <c r="B2059" t="str">
        <f t="shared" si="67"/>
        <v/>
      </c>
    </row>
    <row r="2060" spans="1:2">
      <c r="A2060" t="str">
        <f t="shared" si="66"/>
        <v/>
      </c>
      <c r="B2060" t="str">
        <f t="shared" si="67"/>
        <v/>
      </c>
    </row>
    <row r="2061" spans="1:2">
      <c r="A2061" t="str">
        <f t="shared" si="66"/>
        <v/>
      </c>
      <c r="B2061" t="str">
        <f t="shared" si="67"/>
        <v/>
      </c>
    </row>
    <row r="2062" spans="1:2">
      <c r="A2062" t="str">
        <f t="shared" si="66"/>
        <v/>
      </c>
      <c r="B2062" t="str">
        <f t="shared" si="67"/>
        <v/>
      </c>
    </row>
    <row r="2063" spans="1:2">
      <c r="A2063" t="str">
        <f t="shared" si="66"/>
        <v/>
      </c>
      <c r="B2063" t="str">
        <f t="shared" si="67"/>
        <v/>
      </c>
    </row>
    <row r="2064" spans="1:2">
      <c r="A2064" t="str">
        <f t="shared" si="66"/>
        <v/>
      </c>
      <c r="B2064" t="str">
        <f t="shared" si="67"/>
        <v/>
      </c>
    </row>
    <row r="2065" spans="1:2">
      <c r="A2065" t="str">
        <f t="shared" si="66"/>
        <v/>
      </c>
      <c r="B2065" t="str">
        <f t="shared" si="67"/>
        <v/>
      </c>
    </row>
    <row r="2066" spans="1:2">
      <c r="A2066" t="str">
        <f t="shared" si="66"/>
        <v/>
      </c>
      <c r="B2066" t="str">
        <f t="shared" si="67"/>
        <v/>
      </c>
    </row>
    <row r="2067" spans="1:2">
      <c r="A2067" t="str">
        <f t="shared" si="66"/>
        <v/>
      </c>
      <c r="B2067" t="str">
        <f t="shared" si="67"/>
        <v/>
      </c>
    </row>
    <row r="2068" spans="1:2">
      <c r="A2068" t="str">
        <f t="shared" si="66"/>
        <v/>
      </c>
      <c r="B2068" t="str">
        <f t="shared" si="67"/>
        <v/>
      </c>
    </row>
    <row r="2069" spans="1:2">
      <c r="A2069" t="str">
        <f t="shared" si="66"/>
        <v/>
      </c>
      <c r="B2069" t="str">
        <f t="shared" si="67"/>
        <v/>
      </c>
    </row>
    <row r="2070" spans="1:2">
      <c r="A2070" t="str">
        <f t="shared" si="66"/>
        <v/>
      </c>
      <c r="B2070" t="str">
        <f t="shared" si="67"/>
        <v/>
      </c>
    </row>
    <row r="2071" spans="1:2">
      <c r="A2071" t="str">
        <f t="shared" si="66"/>
        <v/>
      </c>
      <c r="B2071" t="str">
        <f t="shared" si="67"/>
        <v/>
      </c>
    </row>
    <row r="2072" spans="1:2">
      <c r="A2072" t="str">
        <f t="shared" si="66"/>
        <v/>
      </c>
      <c r="B2072" t="str">
        <f t="shared" si="67"/>
        <v/>
      </c>
    </row>
    <row r="2073" spans="1:2">
      <c r="A2073" t="str">
        <f t="shared" si="66"/>
        <v/>
      </c>
      <c r="B2073" t="str">
        <f t="shared" si="67"/>
        <v/>
      </c>
    </row>
    <row r="2074" spans="1:2">
      <c r="A2074" t="str">
        <f t="shared" si="66"/>
        <v/>
      </c>
      <c r="B2074" t="str">
        <f t="shared" si="67"/>
        <v/>
      </c>
    </row>
    <row r="2075" spans="1:2">
      <c r="A2075" t="str">
        <f t="shared" si="66"/>
        <v/>
      </c>
      <c r="B2075" t="str">
        <f t="shared" si="67"/>
        <v/>
      </c>
    </row>
    <row r="2076" spans="1:2">
      <c r="A2076" t="str">
        <f t="shared" si="66"/>
        <v/>
      </c>
      <c r="B2076" t="str">
        <f t="shared" si="67"/>
        <v/>
      </c>
    </row>
    <row r="2077" spans="1:2">
      <c r="A2077" t="str">
        <f t="shared" si="66"/>
        <v/>
      </c>
      <c r="B2077" t="str">
        <f t="shared" si="67"/>
        <v/>
      </c>
    </row>
    <row r="2078" spans="1:2">
      <c r="A2078" t="str">
        <f t="shared" si="66"/>
        <v/>
      </c>
      <c r="B2078" t="str">
        <f t="shared" si="67"/>
        <v/>
      </c>
    </row>
    <row r="2079" spans="1:2">
      <c r="A2079" t="str">
        <f t="shared" si="66"/>
        <v/>
      </c>
      <c r="B2079" t="str">
        <f t="shared" si="67"/>
        <v/>
      </c>
    </row>
    <row r="2080" spans="1:2">
      <c r="A2080" t="str">
        <f t="shared" si="66"/>
        <v/>
      </c>
      <c r="B2080" t="str">
        <f t="shared" si="67"/>
        <v/>
      </c>
    </row>
    <row r="2081" spans="1:2">
      <c r="A2081" t="str">
        <f t="shared" si="66"/>
        <v/>
      </c>
      <c r="B2081" t="str">
        <f t="shared" si="67"/>
        <v/>
      </c>
    </row>
    <row r="2082" spans="1:2">
      <c r="A2082" t="str">
        <f t="shared" si="66"/>
        <v/>
      </c>
      <c r="B2082" t="str">
        <f t="shared" si="67"/>
        <v/>
      </c>
    </row>
    <row r="2083" spans="1:2">
      <c r="A2083" t="str">
        <f t="shared" si="66"/>
        <v/>
      </c>
      <c r="B2083" t="str">
        <f t="shared" si="67"/>
        <v/>
      </c>
    </row>
    <row r="2084" spans="1:2">
      <c r="A2084" t="str">
        <f t="shared" si="66"/>
        <v/>
      </c>
      <c r="B2084" t="str">
        <f t="shared" si="67"/>
        <v/>
      </c>
    </row>
    <row r="2085" spans="1:2">
      <c r="A2085" t="str">
        <f t="shared" si="66"/>
        <v/>
      </c>
      <c r="B2085" t="str">
        <f t="shared" si="67"/>
        <v/>
      </c>
    </row>
    <row r="2086" spans="1:2">
      <c r="A2086" t="str">
        <f t="shared" si="66"/>
        <v/>
      </c>
      <c r="B2086" t="str">
        <f t="shared" si="67"/>
        <v/>
      </c>
    </row>
    <row r="2087" spans="1:2">
      <c r="A2087" t="str">
        <f t="shared" si="66"/>
        <v/>
      </c>
      <c r="B2087" t="str">
        <f t="shared" si="67"/>
        <v/>
      </c>
    </row>
    <row r="2088" spans="1:2">
      <c r="A2088" t="str">
        <f t="shared" si="66"/>
        <v/>
      </c>
      <c r="B2088" t="str">
        <f t="shared" si="67"/>
        <v/>
      </c>
    </row>
    <row r="2089" spans="1:2">
      <c r="A2089" t="str">
        <f t="shared" si="66"/>
        <v/>
      </c>
      <c r="B2089" t="str">
        <f t="shared" si="67"/>
        <v/>
      </c>
    </row>
    <row r="2090" spans="1:2">
      <c r="A2090" t="str">
        <f t="shared" si="66"/>
        <v/>
      </c>
      <c r="B2090" t="str">
        <f t="shared" si="67"/>
        <v/>
      </c>
    </row>
    <row r="2091" spans="1:2">
      <c r="A2091" t="str">
        <f t="shared" si="66"/>
        <v/>
      </c>
      <c r="B2091" t="str">
        <f t="shared" si="67"/>
        <v/>
      </c>
    </row>
    <row r="2092" spans="1:2">
      <c r="A2092" t="str">
        <f t="shared" si="66"/>
        <v/>
      </c>
      <c r="B2092" t="str">
        <f t="shared" si="67"/>
        <v/>
      </c>
    </row>
    <row r="2093" spans="1:2">
      <c r="A2093" t="str">
        <f t="shared" si="66"/>
        <v/>
      </c>
      <c r="B2093" t="str">
        <f t="shared" si="67"/>
        <v/>
      </c>
    </row>
    <row r="2094" spans="1:2">
      <c r="A2094" t="str">
        <f t="shared" si="66"/>
        <v/>
      </c>
      <c r="B2094" t="str">
        <f t="shared" si="67"/>
        <v/>
      </c>
    </row>
    <row r="2095" spans="1:2">
      <c r="A2095" t="str">
        <f t="shared" si="66"/>
        <v/>
      </c>
      <c r="B2095" t="str">
        <f t="shared" si="67"/>
        <v/>
      </c>
    </row>
    <row r="2096" spans="1:2">
      <c r="A2096" t="str">
        <f t="shared" si="66"/>
        <v/>
      </c>
      <c r="B2096" t="str">
        <f t="shared" si="67"/>
        <v/>
      </c>
    </row>
    <row r="2097" spans="1:2">
      <c r="A2097" t="str">
        <f t="shared" si="66"/>
        <v/>
      </c>
      <c r="B2097" t="str">
        <f t="shared" si="67"/>
        <v/>
      </c>
    </row>
    <row r="2098" spans="1:2">
      <c r="A2098" t="str">
        <f t="shared" si="66"/>
        <v/>
      </c>
      <c r="B2098" t="str">
        <f t="shared" si="67"/>
        <v/>
      </c>
    </row>
    <row r="2099" spans="1:2">
      <c r="A2099" t="str">
        <f t="shared" si="66"/>
        <v/>
      </c>
      <c r="B2099" t="str">
        <f t="shared" si="67"/>
        <v/>
      </c>
    </row>
    <row r="2100" spans="1:2">
      <c r="A2100" t="str">
        <f t="shared" si="66"/>
        <v/>
      </c>
      <c r="B2100" t="str">
        <f t="shared" si="67"/>
        <v/>
      </c>
    </row>
    <row r="2101" spans="1:2">
      <c r="A2101" t="str">
        <f t="shared" si="66"/>
        <v/>
      </c>
      <c r="B2101" t="str">
        <f t="shared" si="67"/>
        <v/>
      </c>
    </row>
    <row r="2102" spans="1:2">
      <c r="A2102" t="str">
        <f t="shared" si="66"/>
        <v/>
      </c>
      <c r="B2102" t="str">
        <f t="shared" si="67"/>
        <v/>
      </c>
    </row>
    <row r="2103" spans="1:2">
      <c r="A2103" t="str">
        <f t="shared" si="66"/>
        <v/>
      </c>
      <c r="B2103" t="str">
        <f t="shared" si="67"/>
        <v/>
      </c>
    </row>
    <row r="2104" spans="1:2">
      <c r="A2104" t="str">
        <f t="shared" si="66"/>
        <v/>
      </c>
      <c r="B2104" t="str">
        <f t="shared" si="67"/>
        <v/>
      </c>
    </row>
    <row r="2105" spans="1:2">
      <c r="A2105" t="str">
        <f t="shared" si="66"/>
        <v/>
      </c>
      <c r="B2105" t="str">
        <f t="shared" si="67"/>
        <v/>
      </c>
    </row>
    <row r="2106" spans="1:2">
      <c r="A2106" t="str">
        <f t="shared" si="66"/>
        <v/>
      </c>
      <c r="B2106" t="str">
        <f t="shared" si="67"/>
        <v/>
      </c>
    </row>
    <row r="2107" spans="1:2">
      <c r="A2107" t="str">
        <f t="shared" si="66"/>
        <v/>
      </c>
      <c r="B2107" t="str">
        <f t="shared" si="67"/>
        <v/>
      </c>
    </row>
    <row r="2108" spans="1:2">
      <c r="A2108" t="str">
        <f t="shared" si="66"/>
        <v/>
      </c>
      <c r="B2108" t="str">
        <f t="shared" si="67"/>
        <v/>
      </c>
    </row>
    <row r="2109" spans="1:2">
      <c r="A2109" t="str">
        <f t="shared" si="66"/>
        <v/>
      </c>
      <c r="B2109" t="str">
        <f t="shared" si="67"/>
        <v/>
      </c>
    </row>
    <row r="2110" spans="1:2">
      <c r="A2110" t="str">
        <f t="shared" si="66"/>
        <v/>
      </c>
      <c r="B2110" t="str">
        <f t="shared" si="67"/>
        <v/>
      </c>
    </row>
    <row r="2111" spans="1:2">
      <c r="A2111" t="str">
        <f t="shared" si="66"/>
        <v/>
      </c>
      <c r="B2111" t="str">
        <f t="shared" si="67"/>
        <v/>
      </c>
    </row>
    <row r="2112" spans="1:2">
      <c r="A2112" t="str">
        <f t="shared" si="66"/>
        <v/>
      </c>
      <c r="B2112" t="str">
        <f t="shared" si="67"/>
        <v/>
      </c>
    </row>
    <row r="2113" spans="1:2">
      <c r="A2113" t="str">
        <f t="shared" si="66"/>
        <v/>
      </c>
      <c r="B2113" t="str">
        <f t="shared" si="67"/>
        <v/>
      </c>
    </row>
    <row r="2114" spans="1:2">
      <c r="A2114" t="str">
        <f t="shared" si="66"/>
        <v/>
      </c>
      <c r="B2114" t="str">
        <f t="shared" si="67"/>
        <v/>
      </c>
    </row>
    <row r="2115" spans="1:2">
      <c r="A2115" t="str">
        <f t="shared" si="66"/>
        <v/>
      </c>
      <c r="B2115" t="str">
        <f t="shared" si="67"/>
        <v/>
      </c>
    </row>
    <row r="2116" spans="1:2">
      <c r="A2116" t="str">
        <f t="shared" si="66"/>
        <v/>
      </c>
      <c r="B2116" t="str">
        <f t="shared" si="67"/>
        <v/>
      </c>
    </row>
    <row r="2117" spans="1:2">
      <c r="A2117" t="str">
        <f t="shared" si="66"/>
        <v/>
      </c>
      <c r="B2117" t="str">
        <f t="shared" si="67"/>
        <v/>
      </c>
    </row>
    <row r="2118" spans="1:2">
      <c r="A2118" t="str">
        <f t="shared" si="66"/>
        <v/>
      </c>
      <c r="B2118" t="str">
        <f t="shared" si="67"/>
        <v/>
      </c>
    </row>
    <row r="2119" spans="1:2">
      <c r="A2119" t="str">
        <f t="shared" ref="A2119:A2182" si="68">F2119&amp;G2119&amp;K2119&amp;I2119</f>
        <v/>
      </c>
      <c r="B2119" t="str">
        <f t="shared" ref="B2119:B2182" si="69">F2119&amp;G2119&amp;K2119&amp;J2119</f>
        <v/>
      </c>
    </row>
    <row r="2120" spans="1:2">
      <c r="A2120" t="str">
        <f t="shared" si="68"/>
        <v/>
      </c>
      <c r="B2120" t="str">
        <f t="shared" si="69"/>
        <v/>
      </c>
    </row>
    <row r="2121" spans="1:2">
      <c r="A2121" t="str">
        <f t="shared" si="68"/>
        <v/>
      </c>
      <c r="B2121" t="str">
        <f t="shared" si="69"/>
        <v/>
      </c>
    </row>
    <row r="2122" spans="1:2">
      <c r="A2122" t="str">
        <f t="shared" si="68"/>
        <v/>
      </c>
      <c r="B2122" t="str">
        <f t="shared" si="69"/>
        <v/>
      </c>
    </row>
    <row r="2123" spans="1:2">
      <c r="A2123" t="str">
        <f t="shared" si="68"/>
        <v/>
      </c>
      <c r="B2123" t="str">
        <f t="shared" si="69"/>
        <v/>
      </c>
    </row>
    <row r="2124" spans="1:2">
      <c r="A2124" t="str">
        <f t="shared" si="68"/>
        <v/>
      </c>
      <c r="B2124" t="str">
        <f t="shared" si="69"/>
        <v/>
      </c>
    </row>
    <row r="2125" spans="1:2">
      <c r="A2125" t="str">
        <f t="shared" si="68"/>
        <v/>
      </c>
      <c r="B2125" t="str">
        <f t="shared" si="69"/>
        <v/>
      </c>
    </row>
    <row r="2126" spans="1:2">
      <c r="A2126" t="str">
        <f t="shared" si="68"/>
        <v/>
      </c>
      <c r="B2126" t="str">
        <f t="shared" si="69"/>
        <v/>
      </c>
    </row>
    <row r="2127" spans="1:2">
      <c r="A2127" t="str">
        <f t="shared" si="68"/>
        <v/>
      </c>
      <c r="B2127" t="str">
        <f t="shared" si="69"/>
        <v/>
      </c>
    </row>
    <row r="2128" spans="1:2">
      <c r="A2128" t="str">
        <f t="shared" si="68"/>
        <v/>
      </c>
      <c r="B2128" t="str">
        <f t="shared" si="69"/>
        <v/>
      </c>
    </row>
    <row r="2129" spans="1:2">
      <c r="A2129" t="str">
        <f t="shared" si="68"/>
        <v/>
      </c>
      <c r="B2129" t="str">
        <f t="shared" si="69"/>
        <v/>
      </c>
    </row>
    <row r="2130" spans="1:2">
      <c r="A2130" t="str">
        <f t="shared" si="68"/>
        <v/>
      </c>
      <c r="B2130" t="str">
        <f t="shared" si="69"/>
        <v/>
      </c>
    </row>
    <row r="2131" spans="1:2">
      <c r="A2131" t="str">
        <f t="shared" si="68"/>
        <v/>
      </c>
      <c r="B2131" t="str">
        <f t="shared" si="69"/>
        <v/>
      </c>
    </row>
    <row r="2132" spans="1:2">
      <c r="A2132" t="str">
        <f t="shared" si="68"/>
        <v/>
      </c>
      <c r="B2132" t="str">
        <f t="shared" si="69"/>
        <v/>
      </c>
    </row>
    <row r="2133" spans="1:2">
      <c r="A2133" t="str">
        <f t="shared" si="68"/>
        <v/>
      </c>
      <c r="B2133" t="str">
        <f t="shared" si="69"/>
        <v/>
      </c>
    </row>
    <row r="2134" spans="1:2">
      <c r="A2134" t="str">
        <f t="shared" si="68"/>
        <v/>
      </c>
      <c r="B2134" t="str">
        <f t="shared" si="69"/>
        <v/>
      </c>
    </row>
    <row r="2135" spans="1:2">
      <c r="A2135" t="str">
        <f t="shared" si="68"/>
        <v/>
      </c>
      <c r="B2135" t="str">
        <f t="shared" si="69"/>
        <v/>
      </c>
    </row>
    <row r="2136" spans="1:2">
      <c r="A2136" t="str">
        <f t="shared" si="68"/>
        <v/>
      </c>
      <c r="B2136" t="str">
        <f t="shared" si="69"/>
        <v/>
      </c>
    </row>
    <row r="2137" spans="1:2">
      <c r="A2137" t="str">
        <f t="shared" si="68"/>
        <v/>
      </c>
      <c r="B2137" t="str">
        <f t="shared" si="69"/>
        <v/>
      </c>
    </row>
    <row r="2138" spans="1:2">
      <c r="A2138" t="str">
        <f t="shared" si="68"/>
        <v/>
      </c>
      <c r="B2138" t="str">
        <f t="shared" si="69"/>
        <v/>
      </c>
    </row>
    <row r="2139" spans="1:2">
      <c r="A2139" t="str">
        <f t="shared" si="68"/>
        <v/>
      </c>
      <c r="B2139" t="str">
        <f t="shared" si="69"/>
        <v/>
      </c>
    </row>
    <row r="2140" spans="1:2">
      <c r="A2140" t="str">
        <f t="shared" si="68"/>
        <v/>
      </c>
      <c r="B2140" t="str">
        <f t="shared" si="69"/>
        <v/>
      </c>
    </row>
    <row r="2141" spans="1:2">
      <c r="A2141" t="str">
        <f t="shared" si="68"/>
        <v/>
      </c>
      <c r="B2141" t="str">
        <f t="shared" si="69"/>
        <v/>
      </c>
    </row>
    <row r="2142" spans="1:2">
      <c r="A2142" t="str">
        <f t="shared" si="68"/>
        <v/>
      </c>
      <c r="B2142" t="str">
        <f t="shared" si="69"/>
        <v/>
      </c>
    </row>
    <row r="2143" spans="1:2">
      <c r="A2143" t="str">
        <f t="shared" si="68"/>
        <v/>
      </c>
      <c r="B2143" t="str">
        <f t="shared" si="69"/>
        <v/>
      </c>
    </row>
    <row r="2144" spans="1:2">
      <c r="A2144" t="str">
        <f t="shared" si="68"/>
        <v/>
      </c>
      <c r="B2144" t="str">
        <f t="shared" si="69"/>
        <v/>
      </c>
    </row>
    <row r="2145" spans="1:2">
      <c r="A2145" t="str">
        <f t="shared" si="68"/>
        <v/>
      </c>
      <c r="B2145" t="str">
        <f t="shared" si="69"/>
        <v/>
      </c>
    </row>
    <row r="2146" spans="1:2">
      <c r="A2146" t="str">
        <f t="shared" si="68"/>
        <v/>
      </c>
      <c r="B2146" t="str">
        <f t="shared" si="69"/>
        <v/>
      </c>
    </row>
    <row r="2147" spans="1:2">
      <c r="A2147" t="str">
        <f t="shared" si="68"/>
        <v/>
      </c>
      <c r="B2147" t="str">
        <f t="shared" si="69"/>
        <v/>
      </c>
    </row>
    <row r="2148" spans="1:2">
      <c r="A2148" t="str">
        <f t="shared" si="68"/>
        <v/>
      </c>
      <c r="B2148" t="str">
        <f t="shared" si="69"/>
        <v/>
      </c>
    </row>
    <row r="2149" spans="1:2">
      <c r="A2149" t="str">
        <f t="shared" si="68"/>
        <v/>
      </c>
      <c r="B2149" t="str">
        <f t="shared" si="69"/>
        <v/>
      </c>
    </row>
    <row r="2150" spans="1:2">
      <c r="A2150" t="str">
        <f t="shared" si="68"/>
        <v/>
      </c>
      <c r="B2150" t="str">
        <f t="shared" si="69"/>
        <v/>
      </c>
    </row>
    <row r="2151" spans="1:2">
      <c r="A2151" t="str">
        <f t="shared" si="68"/>
        <v/>
      </c>
      <c r="B2151" t="str">
        <f t="shared" si="69"/>
        <v/>
      </c>
    </row>
    <row r="2152" spans="1:2">
      <c r="A2152" t="str">
        <f t="shared" si="68"/>
        <v/>
      </c>
      <c r="B2152" t="str">
        <f t="shared" si="69"/>
        <v/>
      </c>
    </row>
    <row r="2153" spans="1:2">
      <c r="A2153" t="str">
        <f t="shared" si="68"/>
        <v/>
      </c>
      <c r="B2153" t="str">
        <f t="shared" si="69"/>
        <v/>
      </c>
    </row>
    <row r="2154" spans="1:2">
      <c r="A2154" t="str">
        <f t="shared" si="68"/>
        <v/>
      </c>
      <c r="B2154" t="str">
        <f t="shared" si="69"/>
        <v/>
      </c>
    </row>
    <row r="2155" spans="1:2">
      <c r="A2155" t="str">
        <f t="shared" si="68"/>
        <v/>
      </c>
      <c r="B2155" t="str">
        <f t="shared" si="69"/>
        <v/>
      </c>
    </row>
    <row r="2156" spans="1:2">
      <c r="A2156" t="str">
        <f t="shared" si="68"/>
        <v/>
      </c>
      <c r="B2156" t="str">
        <f t="shared" si="69"/>
        <v/>
      </c>
    </row>
    <row r="2157" spans="1:2">
      <c r="A2157" t="str">
        <f t="shared" si="68"/>
        <v/>
      </c>
      <c r="B2157" t="str">
        <f t="shared" si="69"/>
        <v/>
      </c>
    </row>
    <row r="2158" spans="1:2">
      <c r="A2158" t="str">
        <f t="shared" si="68"/>
        <v/>
      </c>
      <c r="B2158" t="str">
        <f t="shared" si="69"/>
        <v/>
      </c>
    </row>
    <row r="2159" spans="1:2">
      <c r="A2159" t="str">
        <f t="shared" si="68"/>
        <v/>
      </c>
      <c r="B2159" t="str">
        <f t="shared" si="69"/>
        <v/>
      </c>
    </row>
    <row r="2160" spans="1:2">
      <c r="A2160" t="str">
        <f t="shared" si="68"/>
        <v/>
      </c>
      <c r="B2160" t="str">
        <f t="shared" si="69"/>
        <v/>
      </c>
    </row>
    <row r="2161" spans="1:2">
      <c r="A2161" t="str">
        <f t="shared" si="68"/>
        <v/>
      </c>
      <c r="B2161" t="str">
        <f t="shared" si="69"/>
        <v/>
      </c>
    </row>
    <row r="2162" spans="1:2">
      <c r="A2162" t="str">
        <f t="shared" si="68"/>
        <v/>
      </c>
      <c r="B2162" t="str">
        <f t="shared" si="69"/>
        <v/>
      </c>
    </row>
    <row r="2163" spans="1:2">
      <c r="A2163" t="str">
        <f t="shared" si="68"/>
        <v/>
      </c>
      <c r="B2163" t="str">
        <f t="shared" si="69"/>
        <v/>
      </c>
    </row>
    <row r="2164" spans="1:2">
      <c r="A2164" t="str">
        <f t="shared" si="68"/>
        <v/>
      </c>
      <c r="B2164" t="str">
        <f t="shared" si="69"/>
        <v/>
      </c>
    </row>
    <row r="2165" spans="1:2">
      <c r="A2165" t="str">
        <f t="shared" si="68"/>
        <v/>
      </c>
      <c r="B2165" t="str">
        <f t="shared" si="69"/>
        <v/>
      </c>
    </row>
    <row r="2166" spans="1:2">
      <c r="A2166" t="str">
        <f t="shared" si="68"/>
        <v/>
      </c>
      <c r="B2166" t="str">
        <f t="shared" si="69"/>
        <v/>
      </c>
    </row>
    <row r="2167" spans="1:2">
      <c r="A2167" t="str">
        <f t="shared" si="68"/>
        <v/>
      </c>
      <c r="B2167" t="str">
        <f t="shared" si="69"/>
        <v/>
      </c>
    </row>
    <row r="2168" spans="1:2">
      <c r="A2168" t="str">
        <f t="shared" si="68"/>
        <v/>
      </c>
      <c r="B2168" t="str">
        <f t="shared" si="69"/>
        <v/>
      </c>
    </row>
    <row r="2169" spans="1:2">
      <c r="A2169" t="str">
        <f t="shared" si="68"/>
        <v/>
      </c>
      <c r="B2169" t="str">
        <f t="shared" si="69"/>
        <v/>
      </c>
    </row>
    <row r="2170" spans="1:2">
      <c r="A2170" t="str">
        <f t="shared" si="68"/>
        <v/>
      </c>
      <c r="B2170" t="str">
        <f t="shared" si="69"/>
        <v/>
      </c>
    </row>
    <row r="2171" spans="1:2">
      <c r="A2171" t="str">
        <f t="shared" si="68"/>
        <v/>
      </c>
      <c r="B2171" t="str">
        <f t="shared" si="69"/>
        <v/>
      </c>
    </row>
    <row r="2172" spans="1:2">
      <c r="A2172" t="str">
        <f t="shared" si="68"/>
        <v/>
      </c>
      <c r="B2172" t="str">
        <f t="shared" si="69"/>
        <v/>
      </c>
    </row>
    <row r="2173" spans="1:2">
      <c r="A2173" t="str">
        <f t="shared" si="68"/>
        <v/>
      </c>
      <c r="B2173" t="str">
        <f t="shared" si="69"/>
        <v/>
      </c>
    </row>
    <row r="2174" spans="1:2">
      <c r="A2174" t="str">
        <f t="shared" si="68"/>
        <v/>
      </c>
      <c r="B2174" t="str">
        <f t="shared" si="69"/>
        <v/>
      </c>
    </row>
    <row r="2175" spans="1:2">
      <c r="A2175" t="str">
        <f t="shared" si="68"/>
        <v/>
      </c>
      <c r="B2175" t="str">
        <f t="shared" si="69"/>
        <v/>
      </c>
    </row>
    <row r="2176" spans="1:2">
      <c r="A2176" t="str">
        <f t="shared" si="68"/>
        <v/>
      </c>
      <c r="B2176" t="str">
        <f t="shared" si="69"/>
        <v/>
      </c>
    </row>
    <row r="2177" spans="1:2">
      <c r="A2177" t="str">
        <f t="shared" si="68"/>
        <v/>
      </c>
      <c r="B2177" t="str">
        <f t="shared" si="69"/>
        <v/>
      </c>
    </row>
    <row r="2178" spans="1:2">
      <c r="A2178" t="str">
        <f t="shared" si="68"/>
        <v/>
      </c>
      <c r="B2178" t="str">
        <f t="shared" si="69"/>
        <v/>
      </c>
    </row>
    <row r="2179" spans="1:2">
      <c r="A2179" t="str">
        <f t="shared" si="68"/>
        <v/>
      </c>
      <c r="B2179" t="str">
        <f t="shared" si="69"/>
        <v/>
      </c>
    </row>
    <row r="2180" spans="1:2">
      <c r="A2180" t="str">
        <f t="shared" si="68"/>
        <v/>
      </c>
      <c r="B2180" t="str">
        <f t="shared" si="69"/>
        <v/>
      </c>
    </row>
    <row r="2181" spans="1:2">
      <c r="A2181" t="str">
        <f t="shared" si="68"/>
        <v/>
      </c>
      <c r="B2181" t="str">
        <f t="shared" si="69"/>
        <v/>
      </c>
    </row>
    <row r="2182" spans="1:2">
      <c r="A2182" t="str">
        <f t="shared" si="68"/>
        <v/>
      </c>
      <c r="B2182" t="str">
        <f t="shared" si="69"/>
        <v/>
      </c>
    </row>
    <row r="2183" spans="1:2">
      <c r="A2183" t="str">
        <f t="shared" ref="A2183:A2202" si="70">F2183&amp;G2183&amp;K2183&amp;I2183</f>
        <v/>
      </c>
      <c r="B2183" t="str">
        <f t="shared" ref="B2183:B2202" si="71">F2183&amp;G2183&amp;K2183&amp;J2183</f>
        <v/>
      </c>
    </row>
    <row r="2184" spans="1:2">
      <c r="A2184" t="str">
        <f t="shared" si="70"/>
        <v/>
      </c>
      <c r="B2184" t="str">
        <f t="shared" si="71"/>
        <v/>
      </c>
    </row>
    <row r="2185" spans="1:2">
      <c r="A2185" t="str">
        <f t="shared" si="70"/>
        <v/>
      </c>
      <c r="B2185" t="str">
        <f t="shared" si="71"/>
        <v/>
      </c>
    </row>
    <row r="2186" spans="1:2">
      <c r="A2186" t="str">
        <f t="shared" si="70"/>
        <v/>
      </c>
      <c r="B2186" t="str">
        <f t="shared" si="71"/>
        <v/>
      </c>
    </row>
    <row r="2187" spans="1:2">
      <c r="A2187" t="str">
        <f t="shared" si="70"/>
        <v/>
      </c>
      <c r="B2187" t="str">
        <f t="shared" si="71"/>
        <v/>
      </c>
    </row>
    <row r="2188" spans="1:2">
      <c r="A2188" t="str">
        <f t="shared" si="70"/>
        <v/>
      </c>
      <c r="B2188" t="str">
        <f t="shared" si="71"/>
        <v/>
      </c>
    </row>
    <row r="2189" spans="1:2">
      <c r="A2189" t="str">
        <f t="shared" si="70"/>
        <v/>
      </c>
      <c r="B2189" t="str">
        <f t="shared" si="71"/>
        <v/>
      </c>
    </row>
    <row r="2190" spans="1:2">
      <c r="A2190" t="str">
        <f t="shared" si="70"/>
        <v/>
      </c>
      <c r="B2190" t="str">
        <f t="shared" si="71"/>
        <v/>
      </c>
    </row>
    <row r="2191" spans="1:2">
      <c r="A2191" t="str">
        <f t="shared" si="70"/>
        <v/>
      </c>
      <c r="B2191" t="str">
        <f t="shared" si="71"/>
        <v/>
      </c>
    </row>
    <row r="2192" spans="1:2">
      <c r="A2192" t="str">
        <f t="shared" si="70"/>
        <v/>
      </c>
      <c r="B2192" t="str">
        <f t="shared" si="71"/>
        <v/>
      </c>
    </row>
    <row r="2193" spans="1:2">
      <c r="A2193" t="str">
        <f t="shared" si="70"/>
        <v/>
      </c>
      <c r="B2193" t="str">
        <f t="shared" si="71"/>
        <v/>
      </c>
    </row>
    <row r="2194" spans="1:2">
      <c r="A2194" t="str">
        <f t="shared" si="70"/>
        <v/>
      </c>
      <c r="B2194" t="str">
        <f t="shared" si="71"/>
        <v/>
      </c>
    </row>
    <row r="2195" spans="1:2">
      <c r="A2195" t="str">
        <f t="shared" si="70"/>
        <v/>
      </c>
      <c r="B2195" t="str">
        <f t="shared" si="71"/>
        <v/>
      </c>
    </row>
    <row r="2196" spans="1:2">
      <c r="A2196" t="str">
        <f t="shared" si="70"/>
        <v/>
      </c>
      <c r="B2196" t="str">
        <f t="shared" si="71"/>
        <v/>
      </c>
    </row>
    <row r="2197" spans="1:2">
      <c r="A2197" t="str">
        <f t="shared" si="70"/>
        <v/>
      </c>
      <c r="B2197" t="str">
        <f t="shared" si="71"/>
        <v/>
      </c>
    </row>
    <row r="2198" spans="1:2">
      <c r="A2198" t="str">
        <f t="shared" si="70"/>
        <v/>
      </c>
      <c r="B2198" t="str">
        <f t="shared" si="71"/>
        <v/>
      </c>
    </row>
    <row r="2199" spans="1:2">
      <c r="A2199" t="str">
        <f t="shared" si="70"/>
        <v/>
      </c>
      <c r="B2199" t="str">
        <f t="shared" si="71"/>
        <v/>
      </c>
    </row>
    <row r="2200" spans="1:2">
      <c r="A2200" t="str">
        <f t="shared" si="70"/>
        <v/>
      </c>
      <c r="B2200" t="str">
        <f t="shared" si="71"/>
        <v/>
      </c>
    </row>
    <row r="2201" spans="1:2">
      <c r="A2201" t="str">
        <f t="shared" si="70"/>
        <v/>
      </c>
      <c r="B2201" t="str">
        <f t="shared" si="71"/>
        <v/>
      </c>
    </row>
    <row r="2202" spans="1:2">
      <c r="A2202" t="str">
        <f t="shared" si="70"/>
        <v/>
      </c>
      <c r="B2202" t="str">
        <f t="shared" si="71"/>
        <v/>
      </c>
    </row>
    <row r="2203" spans="1:2">
      <c r="B2203" t="str">
        <f t="shared" ref="B2203:B2246" si="72">F2203&amp;G2203&amp;K2203&amp;J2203</f>
        <v/>
      </c>
    </row>
    <row r="2204" spans="1:2">
      <c r="B2204" t="str">
        <f t="shared" si="72"/>
        <v/>
      </c>
    </row>
    <row r="2205" spans="1:2">
      <c r="B2205" t="str">
        <f t="shared" si="72"/>
        <v/>
      </c>
    </row>
    <row r="2206" spans="1:2">
      <c r="B2206" t="str">
        <f t="shared" si="72"/>
        <v/>
      </c>
    </row>
    <row r="2207" spans="1:2">
      <c r="B2207" t="str">
        <f t="shared" si="72"/>
        <v/>
      </c>
    </row>
    <row r="2208" spans="1:2">
      <c r="B2208" t="str">
        <f t="shared" si="72"/>
        <v/>
      </c>
    </row>
    <row r="2209" spans="2:2">
      <c r="B2209" t="str">
        <f t="shared" si="72"/>
        <v/>
      </c>
    </row>
    <row r="2210" spans="2:2">
      <c r="B2210" t="str">
        <f t="shared" si="72"/>
        <v/>
      </c>
    </row>
    <row r="2211" spans="2:2">
      <c r="B2211" t="str">
        <f t="shared" si="72"/>
        <v/>
      </c>
    </row>
    <row r="2212" spans="2:2">
      <c r="B2212" t="str">
        <f t="shared" si="72"/>
        <v/>
      </c>
    </row>
    <row r="2213" spans="2:2">
      <c r="B2213" t="str">
        <f t="shared" si="72"/>
        <v/>
      </c>
    </row>
    <row r="2214" spans="2:2">
      <c r="B2214" t="str">
        <f t="shared" si="72"/>
        <v/>
      </c>
    </row>
    <row r="2215" spans="2:2">
      <c r="B2215" t="str">
        <f t="shared" si="72"/>
        <v/>
      </c>
    </row>
    <row r="2216" spans="2:2">
      <c r="B2216" t="str">
        <f t="shared" si="72"/>
        <v/>
      </c>
    </row>
    <row r="2217" spans="2:2">
      <c r="B2217" t="str">
        <f t="shared" si="72"/>
        <v/>
      </c>
    </row>
    <row r="2218" spans="2:2">
      <c r="B2218" t="str">
        <f t="shared" si="72"/>
        <v/>
      </c>
    </row>
    <row r="2219" spans="2:2">
      <c r="B2219" t="str">
        <f t="shared" si="72"/>
        <v/>
      </c>
    </row>
    <row r="2220" spans="2:2">
      <c r="B2220" t="str">
        <f t="shared" si="72"/>
        <v/>
      </c>
    </row>
    <row r="2221" spans="2:2">
      <c r="B2221" t="str">
        <f t="shared" si="72"/>
        <v/>
      </c>
    </row>
    <row r="2222" spans="2:2">
      <c r="B2222" t="str">
        <f t="shared" si="72"/>
        <v/>
      </c>
    </row>
    <row r="2223" spans="2:2">
      <c r="B2223" t="str">
        <f t="shared" si="72"/>
        <v/>
      </c>
    </row>
    <row r="2224" spans="2:2">
      <c r="B2224" t="str">
        <f t="shared" si="72"/>
        <v/>
      </c>
    </row>
    <row r="2225" spans="2:2">
      <c r="B2225" t="str">
        <f t="shared" si="72"/>
        <v/>
      </c>
    </row>
    <row r="2226" spans="2:2">
      <c r="B2226" t="str">
        <f t="shared" si="72"/>
        <v/>
      </c>
    </row>
    <row r="2227" spans="2:2">
      <c r="B2227" t="str">
        <f t="shared" si="72"/>
        <v/>
      </c>
    </row>
    <row r="2228" spans="2:2">
      <c r="B2228" t="str">
        <f t="shared" si="72"/>
        <v/>
      </c>
    </row>
    <row r="2229" spans="2:2">
      <c r="B2229" t="str">
        <f t="shared" si="72"/>
        <v/>
      </c>
    </row>
    <row r="2230" spans="2:2">
      <c r="B2230" t="str">
        <f t="shared" si="72"/>
        <v/>
      </c>
    </row>
    <row r="2231" spans="2:2">
      <c r="B2231" t="str">
        <f t="shared" si="72"/>
        <v/>
      </c>
    </row>
    <row r="2232" spans="2:2">
      <c r="B2232" t="str">
        <f t="shared" si="72"/>
        <v/>
      </c>
    </row>
    <row r="2233" spans="2:2">
      <c r="B2233" t="str">
        <f t="shared" si="72"/>
        <v/>
      </c>
    </row>
    <row r="2234" spans="2:2">
      <c r="B2234" t="str">
        <f t="shared" si="72"/>
        <v/>
      </c>
    </row>
    <row r="2235" spans="2:2">
      <c r="B2235" t="str">
        <f t="shared" si="72"/>
        <v/>
      </c>
    </row>
    <row r="2236" spans="2:2">
      <c r="B2236" t="str">
        <f t="shared" si="72"/>
        <v/>
      </c>
    </row>
    <row r="2237" spans="2:2">
      <c r="B2237" t="str">
        <f t="shared" si="72"/>
        <v/>
      </c>
    </row>
    <row r="2238" spans="2:2">
      <c r="B2238" t="str">
        <f t="shared" si="72"/>
        <v/>
      </c>
    </row>
    <row r="2239" spans="2:2">
      <c r="B2239" t="str">
        <f t="shared" si="72"/>
        <v/>
      </c>
    </row>
    <row r="2240" spans="2:2">
      <c r="B2240" t="str">
        <f t="shared" si="72"/>
        <v/>
      </c>
    </row>
    <row r="2241" spans="2:2">
      <c r="B2241" t="str">
        <f t="shared" si="72"/>
        <v/>
      </c>
    </row>
    <row r="2242" spans="2:2">
      <c r="B2242" t="str">
        <f t="shared" si="72"/>
        <v/>
      </c>
    </row>
    <row r="2243" spans="2:2">
      <c r="B2243" t="str">
        <f t="shared" si="72"/>
        <v/>
      </c>
    </row>
    <row r="2244" spans="2:2">
      <c r="B2244" t="str">
        <f t="shared" si="72"/>
        <v/>
      </c>
    </row>
    <row r="2245" spans="2:2">
      <c r="B2245" t="str">
        <f t="shared" si="72"/>
        <v/>
      </c>
    </row>
    <row r="2246" spans="2:2">
      <c r="B2246" t="str">
        <f t="shared" si="72"/>
        <v/>
      </c>
    </row>
    <row r="2247" spans="2:2">
      <c r="B2247" t="str">
        <f t="shared" ref="B2247:B2310" si="73">F2247&amp;G2247&amp;K2247&amp;J2247</f>
        <v/>
      </c>
    </row>
    <row r="2248" spans="2:2">
      <c r="B2248" t="str">
        <f t="shared" si="73"/>
        <v/>
      </c>
    </row>
    <row r="2249" spans="2:2">
      <c r="B2249" t="str">
        <f t="shared" si="73"/>
        <v/>
      </c>
    </row>
    <row r="2250" spans="2:2">
      <c r="B2250" t="str">
        <f t="shared" si="73"/>
        <v/>
      </c>
    </row>
    <row r="2251" spans="2:2">
      <c r="B2251" t="str">
        <f t="shared" si="73"/>
        <v/>
      </c>
    </row>
    <row r="2252" spans="2:2">
      <c r="B2252" t="str">
        <f t="shared" si="73"/>
        <v/>
      </c>
    </row>
    <row r="2253" spans="2:2">
      <c r="B2253" t="str">
        <f t="shared" si="73"/>
        <v/>
      </c>
    </row>
    <row r="2254" spans="2:2">
      <c r="B2254" t="str">
        <f t="shared" si="73"/>
        <v/>
      </c>
    </row>
    <row r="2255" spans="2:2">
      <c r="B2255" t="str">
        <f t="shared" si="73"/>
        <v/>
      </c>
    </row>
    <row r="2256" spans="2:2">
      <c r="B2256" t="str">
        <f t="shared" si="73"/>
        <v/>
      </c>
    </row>
    <row r="2257" spans="2:2">
      <c r="B2257" t="str">
        <f t="shared" si="73"/>
        <v/>
      </c>
    </row>
    <row r="2258" spans="2:2">
      <c r="B2258" t="str">
        <f t="shared" si="73"/>
        <v/>
      </c>
    </row>
    <row r="2259" spans="2:2">
      <c r="B2259" t="str">
        <f t="shared" si="73"/>
        <v/>
      </c>
    </row>
    <row r="2260" spans="2:2">
      <c r="B2260" t="str">
        <f t="shared" si="73"/>
        <v/>
      </c>
    </row>
    <row r="2261" spans="2:2">
      <c r="B2261" t="str">
        <f t="shared" si="73"/>
        <v/>
      </c>
    </row>
    <row r="2262" spans="2:2">
      <c r="B2262" t="str">
        <f t="shared" si="73"/>
        <v/>
      </c>
    </row>
    <row r="2263" spans="2:2">
      <c r="B2263" t="str">
        <f t="shared" si="73"/>
        <v/>
      </c>
    </row>
    <row r="2264" spans="2:2">
      <c r="B2264" t="str">
        <f t="shared" si="73"/>
        <v/>
      </c>
    </row>
    <row r="2265" spans="2:2">
      <c r="B2265" t="str">
        <f t="shared" si="73"/>
        <v/>
      </c>
    </row>
    <row r="2266" spans="2:2">
      <c r="B2266" t="str">
        <f t="shared" si="73"/>
        <v/>
      </c>
    </row>
    <row r="2267" spans="2:2">
      <c r="B2267" t="str">
        <f t="shared" si="73"/>
        <v/>
      </c>
    </row>
    <row r="2268" spans="2:2">
      <c r="B2268" t="str">
        <f t="shared" si="73"/>
        <v/>
      </c>
    </row>
    <row r="2269" spans="2:2">
      <c r="B2269" t="str">
        <f t="shared" si="73"/>
        <v/>
      </c>
    </row>
    <row r="2270" spans="2:2">
      <c r="B2270" t="str">
        <f t="shared" si="73"/>
        <v/>
      </c>
    </row>
    <row r="2271" spans="2:2">
      <c r="B2271" t="str">
        <f t="shared" si="73"/>
        <v/>
      </c>
    </row>
    <row r="2272" spans="2:2">
      <c r="B2272" t="str">
        <f t="shared" si="73"/>
        <v/>
      </c>
    </row>
    <row r="2273" spans="2:2">
      <c r="B2273" t="str">
        <f t="shared" si="73"/>
        <v/>
      </c>
    </row>
    <row r="2274" spans="2:2">
      <c r="B2274" t="str">
        <f t="shared" si="73"/>
        <v/>
      </c>
    </row>
    <row r="2275" spans="2:2">
      <c r="B2275" t="str">
        <f t="shared" si="73"/>
        <v/>
      </c>
    </row>
    <row r="2276" spans="2:2">
      <c r="B2276" t="str">
        <f t="shared" si="73"/>
        <v/>
      </c>
    </row>
    <row r="2277" spans="2:2">
      <c r="B2277" t="str">
        <f t="shared" si="73"/>
        <v/>
      </c>
    </row>
    <row r="2278" spans="2:2">
      <c r="B2278" t="str">
        <f t="shared" si="73"/>
        <v/>
      </c>
    </row>
    <row r="2279" spans="2:2">
      <c r="B2279" t="str">
        <f t="shared" si="73"/>
        <v/>
      </c>
    </row>
    <row r="2280" spans="2:2">
      <c r="B2280" t="str">
        <f t="shared" si="73"/>
        <v/>
      </c>
    </row>
    <row r="2281" spans="2:2">
      <c r="B2281" t="str">
        <f t="shared" si="73"/>
        <v/>
      </c>
    </row>
    <row r="2282" spans="2:2">
      <c r="B2282" t="str">
        <f t="shared" si="73"/>
        <v/>
      </c>
    </row>
    <row r="2283" spans="2:2">
      <c r="B2283" t="str">
        <f t="shared" si="73"/>
        <v/>
      </c>
    </row>
    <row r="2284" spans="2:2">
      <c r="B2284" t="str">
        <f t="shared" si="73"/>
        <v/>
      </c>
    </row>
    <row r="2285" spans="2:2">
      <c r="B2285" t="str">
        <f t="shared" si="73"/>
        <v/>
      </c>
    </row>
    <row r="2286" spans="2:2">
      <c r="B2286" t="str">
        <f t="shared" si="73"/>
        <v/>
      </c>
    </row>
    <row r="2287" spans="2:2">
      <c r="B2287" t="str">
        <f t="shared" si="73"/>
        <v/>
      </c>
    </row>
    <row r="2288" spans="2:2">
      <c r="B2288" t="str">
        <f t="shared" si="73"/>
        <v/>
      </c>
    </row>
    <row r="2289" spans="2:2">
      <c r="B2289" t="str">
        <f t="shared" si="73"/>
        <v/>
      </c>
    </row>
    <row r="2290" spans="2:2">
      <c r="B2290" t="str">
        <f t="shared" si="73"/>
        <v/>
      </c>
    </row>
    <row r="2291" spans="2:2">
      <c r="B2291" t="str">
        <f t="shared" si="73"/>
        <v/>
      </c>
    </row>
    <row r="2292" spans="2:2">
      <c r="B2292" t="str">
        <f t="shared" si="73"/>
        <v/>
      </c>
    </row>
    <row r="2293" spans="2:2">
      <c r="B2293" t="str">
        <f t="shared" si="73"/>
        <v/>
      </c>
    </row>
    <row r="2294" spans="2:2">
      <c r="B2294" t="str">
        <f t="shared" si="73"/>
        <v/>
      </c>
    </row>
    <row r="2295" spans="2:2">
      <c r="B2295" t="str">
        <f t="shared" si="73"/>
        <v/>
      </c>
    </row>
    <row r="2296" spans="2:2">
      <c r="B2296" t="str">
        <f t="shared" si="73"/>
        <v/>
      </c>
    </row>
    <row r="2297" spans="2:2">
      <c r="B2297" t="str">
        <f t="shared" si="73"/>
        <v/>
      </c>
    </row>
    <row r="2298" spans="2:2">
      <c r="B2298" t="str">
        <f t="shared" si="73"/>
        <v/>
      </c>
    </row>
    <row r="2299" spans="2:2">
      <c r="B2299" t="str">
        <f t="shared" si="73"/>
        <v/>
      </c>
    </row>
    <row r="2300" spans="2:2">
      <c r="B2300" t="str">
        <f t="shared" si="73"/>
        <v/>
      </c>
    </row>
    <row r="2301" spans="2:2">
      <c r="B2301" t="str">
        <f t="shared" si="73"/>
        <v/>
      </c>
    </row>
    <row r="2302" spans="2:2">
      <c r="B2302" t="str">
        <f t="shared" si="73"/>
        <v/>
      </c>
    </row>
    <row r="2303" spans="2:2">
      <c r="B2303" t="str">
        <f t="shared" si="73"/>
        <v/>
      </c>
    </row>
    <row r="2304" spans="2:2">
      <c r="B2304" t="str">
        <f t="shared" si="73"/>
        <v/>
      </c>
    </row>
    <row r="2305" spans="2:2">
      <c r="B2305" t="str">
        <f t="shared" si="73"/>
        <v/>
      </c>
    </row>
    <row r="2306" spans="2:2">
      <c r="B2306" t="str">
        <f t="shared" si="73"/>
        <v/>
      </c>
    </row>
    <row r="2307" spans="2:2">
      <c r="B2307" t="str">
        <f t="shared" si="73"/>
        <v/>
      </c>
    </row>
    <row r="2308" spans="2:2">
      <c r="B2308" t="str">
        <f t="shared" si="73"/>
        <v/>
      </c>
    </row>
    <row r="2309" spans="2:2">
      <c r="B2309" t="str">
        <f t="shared" si="73"/>
        <v/>
      </c>
    </row>
    <row r="2310" spans="2:2">
      <c r="B2310" t="str">
        <f t="shared" si="73"/>
        <v/>
      </c>
    </row>
    <row r="2311" spans="2:2">
      <c r="B2311" t="str">
        <f t="shared" ref="B2311:B2374" si="74">F2311&amp;G2311&amp;K2311&amp;J2311</f>
        <v/>
      </c>
    </row>
    <row r="2312" spans="2:2">
      <c r="B2312" t="str">
        <f t="shared" si="74"/>
        <v/>
      </c>
    </row>
    <row r="2313" spans="2:2">
      <c r="B2313" t="str">
        <f t="shared" si="74"/>
        <v/>
      </c>
    </row>
    <row r="2314" spans="2:2">
      <c r="B2314" t="str">
        <f t="shared" si="74"/>
        <v/>
      </c>
    </row>
    <row r="2315" spans="2:2">
      <c r="B2315" t="str">
        <f t="shared" si="74"/>
        <v/>
      </c>
    </row>
    <row r="2316" spans="2:2">
      <c r="B2316" t="str">
        <f t="shared" si="74"/>
        <v/>
      </c>
    </row>
    <row r="2317" spans="2:2">
      <c r="B2317" t="str">
        <f t="shared" si="74"/>
        <v/>
      </c>
    </row>
    <row r="2318" spans="2:2">
      <c r="B2318" t="str">
        <f t="shared" si="74"/>
        <v/>
      </c>
    </row>
    <row r="2319" spans="2:2">
      <c r="B2319" t="str">
        <f t="shared" si="74"/>
        <v/>
      </c>
    </row>
    <row r="2320" spans="2:2">
      <c r="B2320" t="str">
        <f t="shared" si="74"/>
        <v/>
      </c>
    </row>
    <row r="2321" spans="2:2">
      <c r="B2321" t="str">
        <f t="shared" si="74"/>
        <v/>
      </c>
    </row>
    <row r="2322" spans="2:2">
      <c r="B2322" t="str">
        <f t="shared" si="74"/>
        <v/>
      </c>
    </row>
    <row r="2323" spans="2:2">
      <c r="B2323" t="str">
        <f t="shared" si="74"/>
        <v/>
      </c>
    </row>
    <row r="2324" spans="2:2">
      <c r="B2324" t="str">
        <f t="shared" si="74"/>
        <v/>
      </c>
    </row>
    <row r="2325" spans="2:2">
      <c r="B2325" t="str">
        <f t="shared" si="74"/>
        <v/>
      </c>
    </row>
    <row r="2326" spans="2:2">
      <c r="B2326" t="str">
        <f t="shared" si="74"/>
        <v/>
      </c>
    </row>
    <row r="2327" spans="2:2">
      <c r="B2327" t="str">
        <f t="shared" si="74"/>
        <v/>
      </c>
    </row>
    <row r="2328" spans="2:2">
      <c r="B2328" t="str">
        <f t="shared" si="74"/>
        <v/>
      </c>
    </row>
    <row r="2329" spans="2:2">
      <c r="B2329" t="str">
        <f t="shared" si="74"/>
        <v/>
      </c>
    </row>
    <row r="2330" spans="2:2">
      <c r="B2330" t="str">
        <f t="shared" si="74"/>
        <v/>
      </c>
    </row>
    <row r="2331" spans="2:2">
      <c r="B2331" t="str">
        <f t="shared" si="74"/>
        <v/>
      </c>
    </row>
    <row r="2332" spans="2:2">
      <c r="B2332" t="str">
        <f t="shared" si="74"/>
        <v/>
      </c>
    </row>
    <row r="2333" spans="2:2">
      <c r="B2333" t="str">
        <f t="shared" si="74"/>
        <v/>
      </c>
    </row>
    <row r="2334" spans="2:2">
      <c r="B2334" t="str">
        <f t="shared" si="74"/>
        <v/>
      </c>
    </row>
    <row r="2335" spans="2:2">
      <c r="B2335" t="str">
        <f t="shared" si="74"/>
        <v/>
      </c>
    </row>
    <row r="2336" spans="2:2">
      <c r="B2336" t="str">
        <f t="shared" si="74"/>
        <v/>
      </c>
    </row>
    <row r="2337" spans="2:2">
      <c r="B2337" t="str">
        <f t="shared" si="74"/>
        <v/>
      </c>
    </row>
    <row r="2338" spans="2:2">
      <c r="B2338" t="str">
        <f t="shared" si="74"/>
        <v/>
      </c>
    </row>
    <row r="2339" spans="2:2">
      <c r="B2339" t="str">
        <f t="shared" si="74"/>
        <v/>
      </c>
    </row>
    <row r="2340" spans="2:2">
      <c r="B2340" t="str">
        <f t="shared" si="74"/>
        <v/>
      </c>
    </row>
    <row r="2341" spans="2:2">
      <c r="B2341" t="str">
        <f t="shared" si="74"/>
        <v/>
      </c>
    </row>
    <row r="2342" spans="2:2">
      <c r="B2342" t="str">
        <f t="shared" si="74"/>
        <v/>
      </c>
    </row>
    <row r="2343" spans="2:2">
      <c r="B2343" t="str">
        <f t="shared" si="74"/>
        <v/>
      </c>
    </row>
    <row r="2344" spans="2:2">
      <c r="B2344" t="str">
        <f t="shared" si="74"/>
        <v/>
      </c>
    </row>
    <row r="2345" spans="2:2">
      <c r="B2345" t="str">
        <f t="shared" si="74"/>
        <v/>
      </c>
    </row>
    <row r="2346" spans="2:2">
      <c r="B2346" t="str">
        <f t="shared" si="74"/>
        <v/>
      </c>
    </row>
    <row r="2347" spans="2:2">
      <c r="B2347" t="str">
        <f t="shared" si="74"/>
        <v/>
      </c>
    </row>
    <row r="2348" spans="2:2">
      <c r="B2348" t="str">
        <f t="shared" si="74"/>
        <v/>
      </c>
    </row>
    <row r="2349" spans="2:2">
      <c r="B2349" t="str">
        <f t="shared" si="74"/>
        <v/>
      </c>
    </row>
    <row r="2350" spans="2:2">
      <c r="B2350" t="str">
        <f t="shared" si="74"/>
        <v/>
      </c>
    </row>
    <row r="2351" spans="2:2">
      <c r="B2351" t="str">
        <f t="shared" si="74"/>
        <v/>
      </c>
    </row>
    <row r="2352" spans="2:2">
      <c r="B2352" t="str">
        <f t="shared" si="74"/>
        <v/>
      </c>
    </row>
    <row r="2353" spans="2:2">
      <c r="B2353" t="str">
        <f t="shared" si="74"/>
        <v/>
      </c>
    </row>
    <row r="2354" spans="2:2">
      <c r="B2354" t="str">
        <f t="shared" si="74"/>
        <v/>
      </c>
    </row>
    <row r="2355" spans="2:2">
      <c r="B2355" t="str">
        <f t="shared" si="74"/>
        <v/>
      </c>
    </row>
    <row r="2356" spans="2:2">
      <c r="B2356" t="str">
        <f t="shared" si="74"/>
        <v/>
      </c>
    </row>
    <row r="2357" spans="2:2">
      <c r="B2357" t="str">
        <f t="shared" si="74"/>
        <v/>
      </c>
    </row>
    <row r="2358" spans="2:2">
      <c r="B2358" t="str">
        <f t="shared" si="74"/>
        <v/>
      </c>
    </row>
    <row r="2359" spans="2:2">
      <c r="B2359" t="str">
        <f t="shared" si="74"/>
        <v/>
      </c>
    </row>
    <row r="2360" spans="2:2">
      <c r="B2360" t="str">
        <f t="shared" si="74"/>
        <v/>
      </c>
    </row>
    <row r="2361" spans="2:2">
      <c r="B2361" t="str">
        <f t="shared" si="74"/>
        <v/>
      </c>
    </row>
    <row r="2362" spans="2:2">
      <c r="B2362" t="str">
        <f t="shared" si="74"/>
        <v/>
      </c>
    </row>
    <row r="2363" spans="2:2">
      <c r="B2363" t="str">
        <f t="shared" si="74"/>
        <v/>
      </c>
    </row>
    <row r="2364" spans="2:2">
      <c r="B2364" t="str">
        <f t="shared" si="74"/>
        <v/>
      </c>
    </row>
    <row r="2365" spans="2:2">
      <c r="B2365" t="str">
        <f t="shared" si="74"/>
        <v/>
      </c>
    </row>
    <row r="2366" spans="2:2">
      <c r="B2366" t="str">
        <f t="shared" si="74"/>
        <v/>
      </c>
    </row>
    <row r="2367" spans="2:2">
      <c r="B2367" t="str">
        <f t="shared" si="74"/>
        <v/>
      </c>
    </row>
    <row r="2368" spans="2:2">
      <c r="B2368" t="str">
        <f t="shared" si="74"/>
        <v/>
      </c>
    </row>
    <row r="2369" spans="2:2">
      <c r="B2369" t="str">
        <f t="shared" si="74"/>
        <v/>
      </c>
    </row>
    <row r="2370" spans="2:2">
      <c r="B2370" t="str">
        <f t="shared" si="74"/>
        <v/>
      </c>
    </row>
    <row r="2371" spans="2:2">
      <c r="B2371" t="str">
        <f t="shared" si="74"/>
        <v/>
      </c>
    </row>
    <row r="2372" spans="2:2">
      <c r="B2372" t="str">
        <f t="shared" si="74"/>
        <v/>
      </c>
    </row>
    <row r="2373" spans="2:2">
      <c r="B2373" t="str">
        <f t="shared" si="74"/>
        <v/>
      </c>
    </row>
    <row r="2374" spans="2:2">
      <c r="B2374" t="str">
        <f t="shared" si="74"/>
        <v/>
      </c>
    </row>
    <row r="2375" spans="2:2">
      <c r="B2375" t="str">
        <f t="shared" ref="B2375:B2407" si="75">F2375&amp;G2375&amp;K2375&amp;J2375</f>
        <v/>
      </c>
    </row>
    <row r="2376" spans="2:2">
      <c r="B2376" t="str">
        <f t="shared" si="75"/>
        <v/>
      </c>
    </row>
    <row r="2377" spans="2:2">
      <c r="B2377" t="str">
        <f t="shared" si="75"/>
        <v/>
      </c>
    </row>
    <row r="2378" spans="2:2">
      <c r="B2378" t="str">
        <f t="shared" si="75"/>
        <v/>
      </c>
    </row>
    <row r="2379" spans="2:2">
      <c r="B2379" t="str">
        <f t="shared" si="75"/>
        <v/>
      </c>
    </row>
    <row r="2380" spans="2:2">
      <c r="B2380" t="str">
        <f t="shared" si="75"/>
        <v/>
      </c>
    </row>
    <row r="2381" spans="2:2">
      <c r="B2381" t="str">
        <f t="shared" si="75"/>
        <v/>
      </c>
    </row>
    <row r="2382" spans="2:2">
      <c r="B2382" t="str">
        <f t="shared" si="75"/>
        <v/>
      </c>
    </row>
    <row r="2383" spans="2:2">
      <c r="B2383" t="str">
        <f t="shared" si="75"/>
        <v/>
      </c>
    </row>
    <row r="2384" spans="2:2">
      <c r="B2384" t="str">
        <f t="shared" si="75"/>
        <v/>
      </c>
    </row>
    <row r="2385" spans="2:2">
      <c r="B2385" t="str">
        <f t="shared" si="75"/>
        <v/>
      </c>
    </row>
    <row r="2386" spans="2:2">
      <c r="B2386" t="str">
        <f t="shared" si="75"/>
        <v/>
      </c>
    </row>
    <row r="2387" spans="2:2">
      <c r="B2387" t="str">
        <f t="shared" si="75"/>
        <v/>
      </c>
    </row>
    <row r="2388" spans="2:2">
      <c r="B2388" t="str">
        <f t="shared" si="75"/>
        <v/>
      </c>
    </row>
    <row r="2389" spans="2:2">
      <c r="B2389" t="str">
        <f t="shared" si="75"/>
        <v/>
      </c>
    </row>
    <row r="2390" spans="2:2">
      <c r="B2390" t="str">
        <f t="shared" si="75"/>
        <v/>
      </c>
    </row>
    <row r="2391" spans="2:2">
      <c r="B2391" t="str">
        <f t="shared" si="75"/>
        <v/>
      </c>
    </row>
    <row r="2392" spans="2:2">
      <c r="B2392" t="str">
        <f t="shared" si="75"/>
        <v/>
      </c>
    </row>
    <row r="2393" spans="2:2">
      <c r="B2393" t="str">
        <f t="shared" si="75"/>
        <v/>
      </c>
    </row>
    <row r="2394" spans="2:2">
      <c r="B2394" t="str">
        <f t="shared" si="75"/>
        <v/>
      </c>
    </row>
    <row r="2395" spans="2:2">
      <c r="B2395" t="str">
        <f t="shared" si="75"/>
        <v/>
      </c>
    </row>
    <row r="2396" spans="2:2">
      <c r="B2396" t="str">
        <f t="shared" si="75"/>
        <v/>
      </c>
    </row>
    <row r="2397" spans="2:2">
      <c r="B2397" t="str">
        <f t="shared" si="75"/>
        <v/>
      </c>
    </row>
    <row r="2398" spans="2:2">
      <c r="B2398" t="str">
        <f t="shared" si="75"/>
        <v/>
      </c>
    </row>
    <row r="2399" spans="2:2">
      <c r="B2399" t="str">
        <f t="shared" si="75"/>
        <v/>
      </c>
    </row>
    <row r="2400" spans="2:2">
      <c r="B2400" t="str">
        <f t="shared" si="75"/>
        <v/>
      </c>
    </row>
    <row r="2401" spans="2:2">
      <c r="B2401" t="str">
        <f t="shared" si="75"/>
        <v/>
      </c>
    </row>
    <row r="2402" spans="2:2">
      <c r="B2402" t="str">
        <f t="shared" si="75"/>
        <v/>
      </c>
    </row>
    <row r="2403" spans="2:2">
      <c r="B2403" t="str">
        <f t="shared" si="75"/>
        <v/>
      </c>
    </row>
    <row r="2404" spans="2:2">
      <c r="B2404" t="str">
        <f t="shared" si="75"/>
        <v/>
      </c>
    </row>
    <row r="2405" spans="2:2">
      <c r="B2405" t="str">
        <f t="shared" si="75"/>
        <v/>
      </c>
    </row>
    <row r="2406" spans="2:2">
      <c r="B2406" t="str">
        <f t="shared" si="75"/>
        <v/>
      </c>
    </row>
    <row r="2407" spans="2:2">
      <c r="B2407" t="str">
        <f t="shared" si="75"/>
        <v/>
      </c>
    </row>
  </sheetData>
  <autoFilter ref="F6:N6"/>
  <phoneticPr fontId="2" type="noConversion"/>
  <pageMargins left="0.7" right="0.7" top="0.75" bottom="0.75" header="0.3" footer="0.3"/>
  <customProperties>
    <customPr name="MatrixProperty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8"/>
  <dimension ref="C4:BE76"/>
  <sheetViews>
    <sheetView zoomScale="70" zoomScaleNormal="70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H16" sqref="H16"/>
    </sheetView>
  </sheetViews>
  <sheetFormatPr defaultRowHeight="16.5"/>
  <cols>
    <col min="3" max="3" width="27" customWidth="1"/>
    <col min="4" max="4" width="17.875" customWidth="1"/>
    <col min="5" max="6" width="30" bestFit="1" customWidth="1"/>
    <col min="7" max="7" width="18.375" customWidth="1"/>
    <col min="8" max="56" width="18.375" bestFit="1" customWidth="1"/>
    <col min="57" max="58" width="14.25" bestFit="1" customWidth="1"/>
  </cols>
  <sheetData>
    <row r="4" spans="3:57">
      <c r="C4" s="5" t="s">
        <v>0</v>
      </c>
      <c r="D4" s="2"/>
      <c r="E4" s="2"/>
      <c r="F4" s="2"/>
      <c r="G4" s="5" t="s">
        <v>175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3"/>
    </row>
    <row r="5" spans="3:57">
      <c r="C5" s="5" t="s">
        <v>6</v>
      </c>
      <c r="D5" s="5" t="s">
        <v>305</v>
      </c>
      <c r="E5" s="5" t="s">
        <v>306</v>
      </c>
      <c r="F5" s="5" t="s">
        <v>5</v>
      </c>
      <c r="G5" s="1" t="s">
        <v>22</v>
      </c>
      <c r="H5" s="6" t="s">
        <v>23</v>
      </c>
      <c r="I5" s="6" t="s">
        <v>24</v>
      </c>
      <c r="J5" s="6" t="s">
        <v>25</v>
      </c>
      <c r="K5" s="6" t="s">
        <v>26</v>
      </c>
      <c r="L5" s="6" t="s">
        <v>27</v>
      </c>
      <c r="M5" s="6" t="s">
        <v>28</v>
      </c>
      <c r="N5" s="6" t="s">
        <v>29</v>
      </c>
      <c r="O5" s="6" t="s">
        <v>30</v>
      </c>
      <c r="P5" s="6" t="s">
        <v>31</v>
      </c>
      <c r="Q5" s="6" t="s">
        <v>32</v>
      </c>
      <c r="R5" s="6" t="s">
        <v>33</v>
      </c>
      <c r="S5" s="6" t="s">
        <v>34</v>
      </c>
      <c r="T5" s="6" t="s">
        <v>35</v>
      </c>
      <c r="U5" s="6" t="s">
        <v>36</v>
      </c>
      <c r="V5" s="6" t="s">
        <v>37</v>
      </c>
      <c r="W5" s="6" t="s">
        <v>38</v>
      </c>
      <c r="X5" s="6" t="s">
        <v>39</v>
      </c>
      <c r="Y5" s="6" t="s">
        <v>40</v>
      </c>
      <c r="Z5" s="6" t="s">
        <v>41</v>
      </c>
      <c r="AA5" s="6" t="s">
        <v>42</v>
      </c>
      <c r="AB5" s="6" t="s">
        <v>1</v>
      </c>
      <c r="AC5" s="6" t="s">
        <v>227</v>
      </c>
      <c r="AD5" s="6" t="s">
        <v>229</v>
      </c>
      <c r="AE5" s="6" t="s">
        <v>230</v>
      </c>
      <c r="AF5" s="6" t="s">
        <v>231</v>
      </c>
      <c r="AG5" s="6" t="s">
        <v>232</v>
      </c>
      <c r="AH5" s="6" t="s">
        <v>233</v>
      </c>
      <c r="AI5" s="6" t="s">
        <v>234</v>
      </c>
      <c r="AJ5" s="6" t="s">
        <v>235</v>
      </c>
      <c r="AK5" s="6" t="s">
        <v>236</v>
      </c>
      <c r="AL5" s="6" t="s">
        <v>237</v>
      </c>
      <c r="AM5" s="6" t="s">
        <v>238</v>
      </c>
      <c r="AN5" s="6" t="s">
        <v>239</v>
      </c>
      <c r="AO5" s="6" t="s">
        <v>241</v>
      </c>
      <c r="AP5" s="6" t="s">
        <v>242</v>
      </c>
      <c r="AQ5" s="6" t="s">
        <v>243</v>
      </c>
      <c r="AR5" s="6" t="s">
        <v>244</v>
      </c>
      <c r="AS5" s="6" t="s">
        <v>245</v>
      </c>
      <c r="AT5" s="6" t="s">
        <v>246</v>
      </c>
      <c r="AU5" s="6" t="s">
        <v>247</v>
      </c>
      <c r="AV5" s="6" t="s">
        <v>248</v>
      </c>
      <c r="AW5" s="6" t="s">
        <v>249</v>
      </c>
      <c r="AX5" s="6" t="s">
        <v>250</v>
      </c>
      <c r="AY5" s="6" t="s">
        <v>251</v>
      </c>
      <c r="AZ5" s="6" t="s">
        <v>252</v>
      </c>
      <c r="BA5" s="6" t="s">
        <v>253</v>
      </c>
      <c r="BB5" s="6" t="s">
        <v>255</v>
      </c>
      <c r="BC5" s="6" t="s">
        <v>261</v>
      </c>
      <c r="BD5" s="6" t="s">
        <v>262</v>
      </c>
      <c r="BE5" s="79" t="s">
        <v>166</v>
      </c>
    </row>
    <row r="6" spans="3:57">
      <c r="C6" s="1" t="s">
        <v>190</v>
      </c>
      <c r="D6" s="1" t="s">
        <v>190</v>
      </c>
      <c r="E6" s="1" t="s">
        <v>307</v>
      </c>
      <c r="F6" s="1" t="s">
        <v>21</v>
      </c>
      <c r="G6" s="7">
        <v>52173258.053572021</v>
      </c>
      <c r="H6" s="8">
        <v>43467049.089931123</v>
      </c>
      <c r="I6" s="8">
        <v>51263096.732115597</v>
      </c>
      <c r="J6" s="8">
        <v>48807835.953079037</v>
      </c>
      <c r="K6" s="8">
        <v>59477594.828803658</v>
      </c>
      <c r="L6" s="8">
        <v>46422138.060603626</v>
      </c>
      <c r="M6" s="8">
        <v>49640517.963160403</v>
      </c>
      <c r="N6" s="8">
        <v>56796346.646599747</v>
      </c>
      <c r="O6" s="8">
        <v>55165009.11535047</v>
      </c>
      <c r="P6" s="8">
        <v>70948357.404854104</v>
      </c>
      <c r="Q6" s="8">
        <v>109961443.03820056</v>
      </c>
      <c r="R6" s="8">
        <v>74908098.346164793</v>
      </c>
      <c r="S6" s="8">
        <v>55737821.749156326</v>
      </c>
      <c r="T6" s="8">
        <v>44385008.017537586</v>
      </c>
      <c r="U6" s="8">
        <v>50866293.573938221</v>
      </c>
      <c r="V6" s="8">
        <v>45090354.045579493</v>
      </c>
      <c r="W6" s="8">
        <v>51761214.970111169</v>
      </c>
      <c r="X6" s="8">
        <v>51899054.886559092</v>
      </c>
      <c r="Y6" s="8">
        <v>50654875.733508959</v>
      </c>
      <c r="Z6" s="8">
        <v>44283784.795194708</v>
      </c>
      <c r="AA6" s="8">
        <v>48281209.135355242</v>
      </c>
      <c r="AB6" s="8">
        <v>71016146.176545054</v>
      </c>
      <c r="AC6" s="8">
        <v>34755510.048274986</v>
      </c>
      <c r="AD6" s="8">
        <v>26980075.100886896</v>
      </c>
      <c r="AE6" s="8">
        <v>41098345.830866389</v>
      </c>
      <c r="AF6" s="8">
        <v>42602852.957146451</v>
      </c>
      <c r="AG6" s="8">
        <v>38317137.724943541</v>
      </c>
      <c r="AH6" s="8">
        <v>33561399.118237019</v>
      </c>
      <c r="AI6" s="8">
        <v>41821643.139291748</v>
      </c>
      <c r="AJ6" s="8">
        <v>44700165.581131332</v>
      </c>
      <c r="AK6" s="8">
        <v>49084027.609429508</v>
      </c>
      <c r="AL6" s="8">
        <v>62471646.981993802</v>
      </c>
      <c r="AM6" s="8">
        <v>82091256.051491126</v>
      </c>
      <c r="AN6" s="8">
        <v>67253999.209048644</v>
      </c>
      <c r="AO6" s="8"/>
      <c r="AP6" s="8">
        <v>47263458.629857279</v>
      </c>
      <c r="AQ6" s="8">
        <v>36229165.145843104</v>
      </c>
      <c r="AR6" s="8">
        <v>44314063.512949854</v>
      </c>
      <c r="AS6" s="8">
        <v>44331267.411026798</v>
      </c>
      <c r="AT6" s="8">
        <v>48559047.897662386</v>
      </c>
      <c r="AU6" s="8">
        <v>35343175.136061266</v>
      </c>
      <c r="AV6" s="8">
        <v>37258310.485042639</v>
      </c>
      <c r="AW6" s="8">
        <v>41123916.02179765</v>
      </c>
      <c r="AX6" s="8">
        <v>42850264.146215402</v>
      </c>
      <c r="AY6" s="8">
        <v>70538719.076631755</v>
      </c>
      <c r="AZ6" s="8">
        <v>99555752.053670287</v>
      </c>
      <c r="BA6" s="8">
        <v>71649943.859514296</v>
      </c>
      <c r="BB6" s="8"/>
      <c r="BC6" s="8"/>
      <c r="BD6" s="8"/>
      <c r="BE6" s="83">
        <v>2416761651.0449347</v>
      </c>
    </row>
    <row r="7" spans="3:57">
      <c r="C7" s="1" t="s">
        <v>179</v>
      </c>
      <c r="D7" s="1" t="s">
        <v>179</v>
      </c>
      <c r="E7" s="1" t="s">
        <v>307</v>
      </c>
      <c r="F7" s="1" t="s">
        <v>180</v>
      </c>
      <c r="G7" s="7">
        <v>20.602732054547701</v>
      </c>
      <c r="H7" s="8">
        <v>16.531756696428701</v>
      </c>
      <c r="I7" s="8">
        <v>18.184187164690599</v>
      </c>
      <c r="J7" s="8">
        <v>18.980480374941099</v>
      </c>
      <c r="K7" s="8">
        <v>26.456850240945499</v>
      </c>
      <c r="L7" s="8">
        <v>30.7445856811682</v>
      </c>
      <c r="M7" s="8">
        <v>26.067957323046301</v>
      </c>
      <c r="N7" s="8">
        <v>29.282016947518599</v>
      </c>
      <c r="O7" s="8">
        <v>21.8630487194668</v>
      </c>
      <c r="P7" s="8">
        <v>18.50576677502</v>
      </c>
      <c r="Q7" s="8">
        <v>26.513890682617099</v>
      </c>
      <c r="R7" s="8">
        <v>25.223590550447401</v>
      </c>
      <c r="S7" s="8">
        <v>25.367383430182102</v>
      </c>
      <c r="T7" s="8">
        <v>24.1995956004071</v>
      </c>
      <c r="U7" s="8">
        <v>27.645396675878398</v>
      </c>
      <c r="V7" s="8">
        <v>23.674114672821801</v>
      </c>
      <c r="W7" s="8">
        <v>24.762827494484299</v>
      </c>
      <c r="X7" s="8">
        <v>26.3084475499682</v>
      </c>
      <c r="Y7" s="8">
        <v>29.082494362560901</v>
      </c>
      <c r="Z7" s="8">
        <v>21.639231938626899</v>
      </c>
      <c r="AA7" s="8">
        <v>16.237209657365099</v>
      </c>
      <c r="AB7" s="8">
        <v>15.8528922770282</v>
      </c>
      <c r="AC7" s="8">
        <v>32.713842198711198</v>
      </c>
      <c r="AD7" s="8">
        <v>26.003002548225801</v>
      </c>
      <c r="AE7" s="8">
        <v>23.971153941572599</v>
      </c>
      <c r="AF7" s="8">
        <v>31.071772637332302</v>
      </c>
      <c r="AG7" s="8">
        <v>44.5657441867492</v>
      </c>
      <c r="AH7" s="8">
        <v>28.585274495354799</v>
      </c>
      <c r="AI7" s="8">
        <v>24.169518715382001</v>
      </c>
      <c r="AJ7" s="8">
        <v>22.831990279773301</v>
      </c>
      <c r="AK7" s="8">
        <v>17.619763090658701</v>
      </c>
      <c r="AL7" s="8">
        <v>14.7825751843513</v>
      </c>
      <c r="AM7" s="8">
        <v>20.2930947512376</v>
      </c>
      <c r="AN7" s="8">
        <v>16.4509829906522</v>
      </c>
      <c r="AO7" s="8"/>
      <c r="AP7" s="8">
        <v>21.885086868784601</v>
      </c>
      <c r="AQ7" s="8">
        <v>16.000330815646901</v>
      </c>
      <c r="AR7" s="8">
        <v>15.364172823471399</v>
      </c>
      <c r="AS7" s="8">
        <v>24.774427416349099</v>
      </c>
      <c r="AT7" s="8">
        <v>36.1512436042768</v>
      </c>
      <c r="AU7" s="8">
        <v>32.171915970830902</v>
      </c>
      <c r="AV7" s="8">
        <v>30.289839330658701</v>
      </c>
      <c r="AW7" s="8">
        <v>23.4006100469262</v>
      </c>
      <c r="AX7" s="8">
        <v>16.2691026226369</v>
      </c>
      <c r="AY7" s="8">
        <v>19.195801867121201</v>
      </c>
      <c r="AZ7" s="8">
        <v>23.707551868018001</v>
      </c>
      <c r="BA7" s="8">
        <v>18.352576233175199</v>
      </c>
      <c r="BB7" s="8"/>
      <c r="BC7" s="8"/>
      <c r="BD7" s="8"/>
      <c r="BE7" s="83">
        <v>1094.3478313580579</v>
      </c>
    </row>
    <row r="8" spans="3:57">
      <c r="C8" s="4"/>
      <c r="D8" s="4"/>
      <c r="E8" s="4"/>
      <c r="F8" s="10" t="s">
        <v>181</v>
      </c>
      <c r="G8" s="11">
        <v>17.6932178367699</v>
      </c>
      <c r="H8" s="12">
        <v>18.733074540472298</v>
      </c>
      <c r="I8" s="12">
        <v>18.368115983686</v>
      </c>
      <c r="J8" s="12">
        <v>19.368550311367201</v>
      </c>
      <c r="K8" s="12">
        <v>19.818014292434398</v>
      </c>
      <c r="L8" s="12">
        <v>21.410022739218299</v>
      </c>
      <c r="M8" s="12">
        <v>22.0261430480728</v>
      </c>
      <c r="N8" s="12">
        <v>23.008370572052801</v>
      </c>
      <c r="O8" s="12">
        <v>23.555273895326899</v>
      </c>
      <c r="P8" s="12">
        <v>24.0560012900464</v>
      </c>
      <c r="Q8" s="12">
        <v>23.096707738466399</v>
      </c>
      <c r="R8" s="12">
        <v>22.5641118428154</v>
      </c>
      <c r="S8" s="12">
        <v>23.237935916326201</v>
      </c>
      <c r="T8" s="12">
        <v>24.869196213955</v>
      </c>
      <c r="U8" s="12">
        <v>24.4834028806583</v>
      </c>
      <c r="V8" s="12">
        <v>25.350627863073399</v>
      </c>
      <c r="W8" s="12">
        <v>25.247587430683101</v>
      </c>
      <c r="X8" s="12">
        <v>25.225930740239399</v>
      </c>
      <c r="Y8" s="12">
        <v>25.435238108020801</v>
      </c>
      <c r="Z8" s="12">
        <v>25.1819004893418</v>
      </c>
      <c r="AA8" s="12">
        <v>25.080463174234499</v>
      </c>
      <c r="AB8" s="12">
        <v>24.929161977187199</v>
      </c>
      <c r="AC8" s="12">
        <v>28.548698982512601</v>
      </c>
      <c r="AD8" s="12">
        <v>31.221668378925301</v>
      </c>
      <c r="AE8" s="12">
        <v>28.968888634558201</v>
      </c>
      <c r="AF8" s="12">
        <v>28.501135959838599</v>
      </c>
      <c r="AG8" s="12">
        <v>30.991004188203199</v>
      </c>
      <c r="AH8" s="12">
        <v>31.4494080994859</v>
      </c>
      <c r="AI8" s="12">
        <v>30.3748077285005</v>
      </c>
      <c r="AJ8" s="12">
        <v>29.332205092442301</v>
      </c>
      <c r="AK8" s="12">
        <v>28.7534533134016</v>
      </c>
      <c r="AL8" s="12">
        <v>27.8136834296246</v>
      </c>
      <c r="AM8" s="12">
        <v>25.9344223635192</v>
      </c>
      <c r="AN8" s="12">
        <v>24.208427234039799</v>
      </c>
      <c r="AO8" s="12">
        <v>0</v>
      </c>
      <c r="AP8" s="12">
        <v>16.493718288177401</v>
      </c>
      <c r="AQ8" s="12">
        <v>18.036754430140199</v>
      </c>
      <c r="AR8" s="12">
        <v>18.033229853184601</v>
      </c>
      <c r="AS8" s="12">
        <v>18.2379786225323</v>
      </c>
      <c r="AT8" s="12">
        <v>19.724516246621501</v>
      </c>
      <c r="AU8" s="12">
        <v>21.5232428798002</v>
      </c>
      <c r="AV8" s="12">
        <v>22.827324459238099</v>
      </c>
      <c r="AW8" s="12">
        <v>23.129511327056399</v>
      </c>
      <c r="AX8" s="12">
        <v>24.072773374218102</v>
      </c>
      <c r="AY8" s="12">
        <v>23.933367546338101</v>
      </c>
      <c r="AZ8" s="12">
        <v>22.309378195011899</v>
      </c>
      <c r="BA8" s="12">
        <v>21.2145589508211</v>
      </c>
      <c r="BB8" s="12">
        <v>0</v>
      </c>
      <c r="BC8" s="12">
        <v>0</v>
      </c>
      <c r="BD8" s="12">
        <v>0</v>
      </c>
      <c r="BE8" s="84">
        <v>1098.3732064626404</v>
      </c>
    </row>
    <row r="9" spans="3:57">
      <c r="C9" s="4"/>
      <c r="D9" s="4"/>
      <c r="E9" s="4"/>
      <c r="F9" s="10" t="s">
        <v>228</v>
      </c>
      <c r="G9" s="11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84"/>
    </row>
    <row r="10" spans="3:57">
      <c r="C10" s="1" t="s">
        <v>177</v>
      </c>
      <c r="D10" s="1" t="s">
        <v>177</v>
      </c>
      <c r="E10" s="1" t="s">
        <v>307</v>
      </c>
      <c r="F10" s="1" t="s">
        <v>178</v>
      </c>
      <c r="G10" s="7">
        <v>25050332.189584509</v>
      </c>
      <c r="H10" s="8">
        <v>23449377.682655051</v>
      </c>
      <c r="I10" s="8">
        <v>25043999.050888468</v>
      </c>
      <c r="J10" s="8">
        <v>32194452.830470316</v>
      </c>
      <c r="K10" s="8">
        <v>37987040.08845108</v>
      </c>
      <c r="L10" s="8">
        <v>44455369.206092156</v>
      </c>
      <c r="M10" s="8">
        <v>37137316.792314202</v>
      </c>
      <c r="N10" s="8">
        <v>44410250.350549161</v>
      </c>
      <c r="O10" s="8">
        <v>43506405.523398273</v>
      </c>
      <c r="P10" s="8">
        <v>56431582.748554982</v>
      </c>
      <c r="Q10" s="8">
        <v>57797581.209667064</v>
      </c>
      <c r="R10" s="8">
        <v>39679259.836818151</v>
      </c>
      <c r="S10" s="8">
        <v>33431993.101939753</v>
      </c>
      <c r="T10" s="8">
        <v>34734507.486577749</v>
      </c>
      <c r="U10" s="8">
        <v>33386159.142985381</v>
      </c>
      <c r="V10" s="8">
        <v>34131151.183801621</v>
      </c>
      <c r="W10" s="8">
        <v>35980789.804901585</v>
      </c>
      <c r="X10" s="8">
        <v>36715932.398807481</v>
      </c>
      <c r="Y10" s="8">
        <v>37512058.256309867</v>
      </c>
      <c r="Z10" s="8">
        <v>29286236.206257559</v>
      </c>
      <c r="AA10" s="8">
        <v>32247586.473248847</v>
      </c>
      <c r="AB10" s="8">
        <v>49135445.637650497</v>
      </c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3">
        <v>823704827.20192385</v>
      </c>
    </row>
    <row r="11" spans="3:57">
      <c r="C11" s="4"/>
      <c r="D11" s="4"/>
      <c r="E11" s="4"/>
      <c r="F11" s="10" t="s">
        <v>188</v>
      </c>
      <c r="G11" s="11">
        <v>7440428.0476677995</v>
      </c>
      <c r="H11" s="12">
        <v>10363694.18745238</v>
      </c>
      <c r="I11" s="12">
        <v>11481202.626698349</v>
      </c>
      <c r="J11" s="12">
        <v>15192205.364405736</v>
      </c>
      <c r="K11" s="12">
        <v>14707354.996764297</v>
      </c>
      <c r="L11" s="12">
        <v>10692288.503810326</v>
      </c>
      <c r="M11" s="12">
        <v>8581532.5636571348</v>
      </c>
      <c r="N11" s="12">
        <v>17798451.326613456</v>
      </c>
      <c r="O11" s="12">
        <v>19113468.988641731</v>
      </c>
      <c r="P11" s="12">
        <v>23057535.851281226</v>
      </c>
      <c r="Q11" s="12">
        <v>30161820.811282154</v>
      </c>
      <c r="R11" s="12">
        <v>10391465.37925045</v>
      </c>
      <c r="S11" s="12">
        <v>12348430.302610185</v>
      </c>
      <c r="T11" s="12">
        <v>12504810.761991823</v>
      </c>
      <c r="U11" s="12">
        <v>12031532.781683248</v>
      </c>
      <c r="V11" s="12">
        <v>11265649.869273011</v>
      </c>
      <c r="W11" s="12">
        <v>13483767.664259383</v>
      </c>
      <c r="X11" s="12">
        <v>8122996.5857868437</v>
      </c>
      <c r="Y11" s="12">
        <v>5488196.9664919898</v>
      </c>
      <c r="Z11" s="12">
        <v>10867086.526822329</v>
      </c>
      <c r="AA11" s="12">
        <v>10528294.095544247</v>
      </c>
      <c r="AB11" s="12">
        <v>27667972.506989036</v>
      </c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84">
        <v>303290186.7089771</v>
      </c>
    </row>
    <row r="12" spans="3:57">
      <c r="C12" s="4"/>
      <c r="D12" s="4"/>
      <c r="E12" s="4"/>
      <c r="F12" s="10" t="s">
        <v>189</v>
      </c>
      <c r="G12" s="11">
        <v>17609904.141916703</v>
      </c>
      <c r="H12" s="12">
        <v>13085683.495202677</v>
      </c>
      <c r="I12" s="12">
        <v>13562796.424190117</v>
      </c>
      <c r="J12" s="12">
        <v>17002247.466064528</v>
      </c>
      <c r="K12" s="12">
        <v>23279685.091686733</v>
      </c>
      <c r="L12" s="12">
        <v>33763080.702281885</v>
      </c>
      <c r="M12" s="12">
        <v>28555784.228657071</v>
      </c>
      <c r="N12" s="12">
        <v>26611799.023935631</v>
      </c>
      <c r="O12" s="12">
        <v>24392936.534756538</v>
      </c>
      <c r="P12" s="12">
        <v>33374046.897273805</v>
      </c>
      <c r="Q12" s="12">
        <v>27635760.398384895</v>
      </c>
      <c r="R12" s="12">
        <v>29287794.457567725</v>
      </c>
      <c r="S12" s="12">
        <v>21083562.799329542</v>
      </c>
      <c r="T12" s="12">
        <v>22229696.724585969</v>
      </c>
      <c r="U12" s="12">
        <v>21354626.361302122</v>
      </c>
      <c r="V12" s="12">
        <v>22865501.314528573</v>
      </c>
      <c r="W12" s="12">
        <v>22497022.140642237</v>
      </c>
      <c r="X12" s="12">
        <v>28592935.813020594</v>
      </c>
      <c r="Y12" s="12">
        <v>32023861.289817877</v>
      </c>
      <c r="Z12" s="12">
        <v>18419149.679435264</v>
      </c>
      <c r="AA12" s="12">
        <v>21719292.377704654</v>
      </c>
      <c r="AB12" s="12">
        <v>21467473.130661458</v>
      </c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84">
        <v>520414640.49294662</v>
      </c>
    </row>
    <row r="13" spans="3:57">
      <c r="C13" s="1" t="s">
        <v>182</v>
      </c>
      <c r="D13" s="1" t="s">
        <v>182</v>
      </c>
      <c r="E13" s="1" t="s">
        <v>307</v>
      </c>
      <c r="F13" s="1" t="s">
        <v>183</v>
      </c>
      <c r="G13" s="7">
        <v>484219.60721117473</v>
      </c>
      <c r="H13" s="8">
        <v>621581.29439308727</v>
      </c>
      <c r="I13" s="8">
        <v>791667.42193787417</v>
      </c>
      <c r="J13" s="8">
        <v>446327.31769157737</v>
      </c>
      <c r="K13" s="8">
        <v>323237.03642443247</v>
      </c>
      <c r="L13" s="8">
        <v>781374.76662490144</v>
      </c>
      <c r="M13" s="8">
        <v>606186.67161456577</v>
      </c>
      <c r="N13" s="8">
        <v>1383081.7831568667</v>
      </c>
      <c r="O13" s="8">
        <v>1083551.5470258899</v>
      </c>
      <c r="P13" s="8">
        <v>907937.85667656572</v>
      </c>
      <c r="Q13" s="8">
        <v>797428.32438470598</v>
      </c>
      <c r="R13" s="8">
        <v>941559.42695505777</v>
      </c>
      <c r="S13" s="8">
        <v>625333.52919921209</v>
      </c>
      <c r="T13" s="8">
        <v>907677.28560780559</v>
      </c>
      <c r="U13" s="8">
        <v>659569.15656542988</v>
      </c>
      <c r="V13" s="8">
        <v>1073756.7986527481</v>
      </c>
      <c r="W13" s="8">
        <v>1187438.6714879058</v>
      </c>
      <c r="X13" s="8">
        <v>1395297.0746161374</v>
      </c>
      <c r="Y13" s="8">
        <v>1149588.9191449035</v>
      </c>
      <c r="Z13" s="8">
        <v>612480.33882019971</v>
      </c>
      <c r="AA13" s="8">
        <v>1051274.6621821679</v>
      </c>
      <c r="AB13" s="8">
        <v>464656.69072625414</v>
      </c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3">
        <v>18295226.181099463</v>
      </c>
    </row>
    <row r="14" spans="3:57">
      <c r="C14" s="4"/>
      <c r="D14" s="4"/>
      <c r="E14" s="4"/>
      <c r="F14" s="10" t="s">
        <v>184</v>
      </c>
      <c r="G14" s="11">
        <v>12835.57113111563</v>
      </c>
      <c r="H14" s="12">
        <v>13043.425764540631</v>
      </c>
      <c r="I14" s="12">
        <v>9291.4968727544892</v>
      </c>
      <c r="J14" s="12">
        <v>9392.588191528539</v>
      </c>
      <c r="K14" s="12">
        <v>11129.280061080657</v>
      </c>
      <c r="L14" s="12">
        <v>19351.964299487408</v>
      </c>
      <c r="M14" s="12">
        <v>20132.589191252602</v>
      </c>
      <c r="N14" s="12">
        <v>9410.6540351223357</v>
      </c>
      <c r="O14" s="12">
        <v>10810.726219017708</v>
      </c>
      <c r="P14" s="12">
        <v>13485.76014943074</v>
      </c>
      <c r="Q14" s="12">
        <v>13257.244124057781</v>
      </c>
      <c r="R14" s="12">
        <v>20669.143951419202</v>
      </c>
      <c r="S14" s="12">
        <v>18925.504919325307</v>
      </c>
      <c r="T14" s="12">
        <v>19229.817179312216</v>
      </c>
      <c r="U14" s="12">
        <v>17919.650082171989</v>
      </c>
      <c r="V14" s="12">
        <v>18667.545926411341</v>
      </c>
      <c r="W14" s="12">
        <v>8382.7578664259872</v>
      </c>
      <c r="X14" s="12">
        <v>6043.0431091539858</v>
      </c>
      <c r="Y14" s="12">
        <v>7570.1422024350522</v>
      </c>
      <c r="Z14" s="12">
        <v>4331.3645625265635</v>
      </c>
      <c r="AA14" s="12">
        <v>2931.5121870238581</v>
      </c>
      <c r="AB14" s="12">
        <v>2867.6601089030864</v>
      </c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84">
        <v>269679.44213449716</v>
      </c>
    </row>
    <row r="15" spans="3:57">
      <c r="C15" s="4"/>
      <c r="D15" s="4"/>
      <c r="E15" s="4"/>
      <c r="F15" s="10" t="s">
        <v>185</v>
      </c>
      <c r="G15" s="11">
        <v>460269.58039269887</v>
      </c>
      <c r="H15" s="12">
        <v>600074.37580284686</v>
      </c>
      <c r="I15" s="12">
        <v>754125.88645958097</v>
      </c>
      <c r="J15" s="12">
        <v>404387.532508481</v>
      </c>
      <c r="K15" s="12">
        <v>278863.22376037587</v>
      </c>
      <c r="L15" s="12">
        <v>721575.95379741699</v>
      </c>
      <c r="M15" s="12">
        <v>550256.75442233682</v>
      </c>
      <c r="N15" s="12">
        <v>1342016.081008781</v>
      </c>
      <c r="O15" s="12">
        <v>1040002.8171933184</v>
      </c>
      <c r="P15" s="12">
        <v>862404.96906622453</v>
      </c>
      <c r="Q15" s="12">
        <v>752844.92818526935</v>
      </c>
      <c r="R15" s="12">
        <v>910128.54479821632</v>
      </c>
      <c r="S15" s="12">
        <v>596171.52630986413</v>
      </c>
      <c r="T15" s="12">
        <v>885671.80861471931</v>
      </c>
      <c r="U15" s="12">
        <v>638142.49199239782</v>
      </c>
      <c r="V15" s="12">
        <v>1051795.1405275722</v>
      </c>
      <c r="W15" s="12">
        <v>1170968.0444958473</v>
      </c>
      <c r="X15" s="12">
        <v>1348078.142038964</v>
      </c>
      <c r="Y15" s="12">
        <v>1134175.1688769616</v>
      </c>
      <c r="Z15" s="12">
        <v>573826.79507192085</v>
      </c>
      <c r="AA15" s="12">
        <v>1013932.8200855592</v>
      </c>
      <c r="AB15" s="12">
        <v>430386.78299185779</v>
      </c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84">
        <v>17520099.368401207</v>
      </c>
    </row>
    <row r="16" spans="3:57">
      <c r="C16" s="4"/>
      <c r="D16" s="4"/>
      <c r="E16" s="4"/>
      <c r="F16" s="10" t="s">
        <v>186</v>
      </c>
      <c r="G16" s="11">
        <v>12453.417607209036</v>
      </c>
      <c r="H16" s="12">
        <v>9247.8721834785028</v>
      </c>
      <c r="I16" s="12">
        <v>28717.131303143764</v>
      </c>
      <c r="J16" s="12">
        <v>32797.93674052538</v>
      </c>
      <c r="K16" s="12">
        <v>33493.757361002339</v>
      </c>
      <c r="L16" s="12">
        <v>40700.740450808371</v>
      </c>
      <c r="M16" s="12">
        <v>35797.29418705462</v>
      </c>
      <c r="N16" s="12">
        <v>31655.048112963697</v>
      </c>
      <c r="O16" s="12">
        <v>32738.019857509964</v>
      </c>
      <c r="P16" s="12">
        <v>32306.726444497112</v>
      </c>
      <c r="Q16" s="12">
        <v>31870.985619289768</v>
      </c>
      <c r="R16" s="12">
        <v>11300.975076874092</v>
      </c>
      <c r="S16" s="12">
        <v>10829.904377154382</v>
      </c>
      <c r="T16" s="12">
        <v>3934.3668223253262</v>
      </c>
      <c r="U16" s="12">
        <v>3715.2885017194485</v>
      </c>
      <c r="V16" s="12">
        <v>4199.4789823050296</v>
      </c>
      <c r="W16" s="12">
        <v>9975.2306050541556</v>
      </c>
      <c r="X16" s="12">
        <v>55392.13949515175</v>
      </c>
      <c r="Y16" s="12">
        <v>21597.391998456656</v>
      </c>
      <c r="Z16" s="12">
        <v>34468.438778542928</v>
      </c>
      <c r="AA16" s="12">
        <v>38232.527838258706</v>
      </c>
      <c r="AB16" s="12">
        <v>39671.570349470341</v>
      </c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84">
        <v>555096.24269279535</v>
      </c>
    </row>
    <row r="17" spans="3:57">
      <c r="C17" s="4"/>
      <c r="D17" s="4"/>
      <c r="E17" s="4"/>
      <c r="F17" s="10" t="s">
        <v>187</v>
      </c>
      <c r="G17" s="11">
        <v>3668662.7475480908</v>
      </c>
      <c r="H17" s="12">
        <v>4016565.136989418</v>
      </c>
      <c r="I17" s="12">
        <v>3261499.8230748484</v>
      </c>
      <c r="J17" s="12">
        <v>3826607.3727884102</v>
      </c>
      <c r="K17" s="12">
        <v>4056186.2968003131</v>
      </c>
      <c r="L17" s="12">
        <v>7929191.974354201</v>
      </c>
      <c r="M17" s="12">
        <v>6060518.2000412047</v>
      </c>
      <c r="N17" s="12">
        <v>7429147.683619773</v>
      </c>
      <c r="O17" s="12">
        <v>7670410.7921498278</v>
      </c>
      <c r="P17" s="12">
        <v>5008720.7825904209</v>
      </c>
      <c r="Q17" s="12">
        <v>5043998.0073293988</v>
      </c>
      <c r="R17" s="12">
        <v>4563324.1037552832</v>
      </c>
      <c r="S17" s="12">
        <v>8128666.9876542883</v>
      </c>
      <c r="T17" s="12">
        <v>5492287.603519558</v>
      </c>
      <c r="U17" s="12">
        <v>4773327.4514378309</v>
      </c>
      <c r="V17" s="12">
        <v>3506553.0259343684</v>
      </c>
      <c r="W17" s="12">
        <v>6761403.9714906951</v>
      </c>
      <c r="X17" s="12">
        <v>6957154.7637283178</v>
      </c>
      <c r="Y17" s="12">
        <v>7206753.9593072943</v>
      </c>
      <c r="Z17" s="12">
        <v>7958151.0317367204</v>
      </c>
      <c r="AA17" s="12">
        <v>3752965.6176929255</v>
      </c>
      <c r="AB17" s="12">
        <v>3039362.2229603422</v>
      </c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84">
        <v>120111459.55650353</v>
      </c>
    </row>
    <row r="18" spans="3:57">
      <c r="C18" s="4"/>
      <c r="D18" s="4"/>
      <c r="E18" s="4"/>
      <c r="F18" s="10" t="s">
        <v>256</v>
      </c>
      <c r="G18" s="11">
        <v>23323768.449133702</v>
      </c>
      <c r="H18" s="12">
        <v>21820805.872743182</v>
      </c>
      <c r="I18" s="12">
        <v>23415346.995972313</v>
      </c>
      <c r="J18" s="12">
        <v>30416203.856078289</v>
      </c>
      <c r="K18" s="12">
        <v>36114718.375212185</v>
      </c>
      <c r="L18" s="12">
        <v>42745150.48859217</v>
      </c>
      <c r="M18" s="12">
        <v>35705521.580485456</v>
      </c>
      <c r="N18" s="12">
        <v>43282956.464284003</v>
      </c>
      <c r="O18" s="12">
        <v>42466879.076453738</v>
      </c>
      <c r="P18" s="12">
        <v>55370617.60069637</v>
      </c>
      <c r="Q18" s="12">
        <v>56681807.598389439</v>
      </c>
      <c r="R18" s="12">
        <v>38553120.514188483</v>
      </c>
      <c r="S18" s="12">
        <v>32368415.530971896</v>
      </c>
      <c r="T18" s="12">
        <v>33384696.291371144</v>
      </c>
      <c r="U18" s="12">
        <v>32111342.842466298</v>
      </c>
      <c r="V18" s="12">
        <v>32104666.449209385</v>
      </c>
      <c r="W18" s="12">
        <v>33927097.762167789</v>
      </c>
      <c r="X18" s="12">
        <v>35603075.981120914</v>
      </c>
      <c r="Y18" s="12">
        <v>36169613.538944744</v>
      </c>
      <c r="Z18" s="12">
        <v>28097700.208714318</v>
      </c>
      <c r="AA18" s="12">
        <v>31063399.000898484</v>
      </c>
      <c r="AB18" s="12">
        <v>47970297.633873239</v>
      </c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84">
        <v>792697202.11196756</v>
      </c>
    </row>
    <row r="19" spans="3:57">
      <c r="C19" s="4"/>
      <c r="D19" s="4"/>
      <c r="E19" s="4"/>
      <c r="F19" s="10" t="s">
        <v>257</v>
      </c>
      <c r="G19" s="11">
        <v>0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12">
        <v>0</v>
      </c>
      <c r="W19" s="12">
        <v>0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84">
        <v>0</v>
      </c>
    </row>
    <row r="20" spans="3:57">
      <c r="C20" s="4"/>
      <c r="D20" s="4"/>
      <c r="E20" s="4"/>
      <c r="F20" s="10" t="s">
        <v>258</v>
      </c>
      <c r="G20" s="11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2">
        <v>0</v>
      </c>
      <c r="P20" s="12">
        <v>0</v>
      </c>
      <c r="Q20" s="12">
        <v>0</v>
      </c>
      <c r="R20" s="12">
        <v>0</v>
      </c>
      <c r="S20" s="12">
        <v>0</v>
      </c>
      <c r="T20" s="12">
        <v>0</v>
      </c>
      <c r="U20" s="12">
        <v>0</v>
      </c>
      <c r="V20" s="12">
        <v>0</v>
      </c>
      <c r="W20" s="12">
        <v>0</v>
      </c>
      <c r="X20" s="12">
        <v>0</v>
      </c>
      <c r="Y20" s="12">
        <v>0</v>
      </c>
      <c r="Z20" s="12">
        <v>0</v>
      </c>
      <c r="AA20" s="12">
        <v>0</v>
      </c>
      <c r="AB20" s="12">
        <v>0</v>
      </c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84">
        <v>0</v>
      </c>
    </row>
    <row r="21" spans="3:57">
      <c r="C21" s="4"/>
      <c r="D21" s="4"/>
      <c r="E21" s="4"/>
      <c r="F21" s="10" t="s">
        <v>259</v>
      </c>
      <c r="G21" s="11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2">
        <v>0</v>
      </c>
      <c r="T21" s="12">
        <v>0</v>
      </c>
      <c r="U21" s="12">
        <v>0</v>
      </c>
      <c r="V21" s="12">
        <v>0</v>
      </c>
      <c r="W21" s="12">
        <v>0</v>
      </c>
      <c r="X21" s="12">
        <v>0</v>
      </c>
      <c r="Y21" s="12">
        <v>0</v>
      </c>
      <c r="Z21" s="12">
        <v>0</v>
      </c>
      <c r="AA21" s="12">
        <v>0</v>
      </c>
      <c r="AB21" s="12">
        <v>0</v>
      </c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84">
        <v>0</v>
      </c>
    </row>
    <row r="22" spans="3:57">
      <c r="C22" s="1" t="s">
        <v>299</v>
      </c>
      <c r="D22" s="1" t="s">
        <v>7</v>
      </c>
      <c r="E22" s="1" t="s">
        <v>307</v>
      </c>
      <c r="F22" s="1" t="s">
        <v>183</v>
      </c>
      <c r="G22" s="7">
        <v>29011.299893810199</v>
      </c>
      <c r="H22" s="8">
        <v>137120.967747307</v>
      </c>
      <c r="I22" s="8">
        <v>67759.544054640704</v>
      </c>
      <c r="J22" s="8">
        <v>31159.944213434101</v>
      </c>
      <c r="K22" s="8">
        <v>6103.66549099452</v>
      </c>
      <c r="L22" s="8">
        <v>18286.895774447901</v>
      </c>
      <c r="M22" s="8">
        <v>5666.0466970614098</v>
      </c>
      <c r="N22" s="8">
        <v>431.98103601026003</v>
      </c>
      <c r="O22" s="8">
        <v>43234.149383875898</v>
      </c>
      <c r="P22" s="8">
        <v>29441.4612412713</v>
      </c>
      <c r="Q22" s="8">
        <v>38548.451194078603</v>
      </c>
      <c r="R22" s="8">
        <v>41742.081443868301</v>
      </c>
      <c r="S22" s="8">
        <v>58074.528142830903</v>
      </c>
      <c r="T22" s="8">
        <v>131531.616606714</v>
      </c>
      <c r="U22" s="8">
        <v>135027.010237104</v>
      </c>
      <c r="V22" s="8">
        <v>189328.405611366</v>
      </c>
      <c r="W22" s="8">
        <v>113796.075921119</v>
      </c>
      <c r="X22" s="8">
        <v>295493.72819722397</v>
      </c>
      <c r="Y22" s="8">
        <v>132729.23281454199</v>
      </c>
      <c r="Z22" s="8">
        <v>28592.5790809317</v>
      </c>
      <c r="AA22" s="8">
        <v>88691.827190958604</v>
      </c>
      <c r="AB22" s="8">
        <v>40873.7303284601</v>
      </c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3">
        <v>1662645.2223020503</v>
      </c>
    </row>
    <row r="23" spans="3:57">
      <c r="C23" s="4"/>
      <c r="D23" s="1" t="s">
        <v>308</v>
      </c>
      <c r="E23" s="1" t="s">
        <v>307</v>
      </c>
      <c r="F23" s="1" t="s">
        <v>183</v>
      </c>
      <c r="G23" s="7">
        <v>9413.8476585433691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573.19890627466498</v>
      </c>
      <c r="O23" s="8">
        <v>0</v>
      </c>
      <c r="P23" s="8">
        <v>555.95223149905098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606.185723555957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3">
        <v>11149.184519873043</v>
      </c>
    </row>
    <row r="24" spans="3:57">
      <c r="C24" s="4"/>
      <c r="D24" s="1" t="s">
        <v>8</v>
      </c>
      <c r="E24" s="1" t="s">
        <v>307</v>
      </c>
      <c r="F24" s="1" t="s">
        <v>183</v>
      </c>
      <c r="G24" s="7">
        <v>40020.104294848003</v>
      </c>
      <c r="H24" s="8">
        <v>94366.6098075302</v>
      </c>
      <c r="I24" s="8">
        <v>9081.3650681137697</v>
      </c>
      <c r="J24" s="8">
        <v>34751.2002260347</v>
      </c>
      <c r="K24" s="8">
        <v>21043.7399248238</v>
      </c>
      <c r="L24" s="8">
        <v>41232.491148856498</v>
      </c>
      <c r="M24" s="8">
        <v>23920.813560480299</v>
      </c>
      <c r="N24" s="8">
        <v>59391.777245363097</v>
      </c>
      <c r="O24" s="8">
        <v>60615.230858937699</v>
      </c>
      <c r="P24" s="8">
        <v>9181.2088311195403</v>
      </c>
      <c r="Q24" s="8">
        <v>61299.182403414801</v>
      </c>
      <c r="R24" s="8">
        <v>321541.03480604099</v>
      </c>
      <c r="S24" s="8">
        <v>22830.761617345099</v>
      </c>
      <c r="T24" s="8">
        <v>11636.280687500001</v>
      </c>
      <c r="U24" s="8">
        <v>36132.942086515803</v>
      </c>
      <c r="V24" s="8">
        <v>111816.16834612899</v>
      </c>
      <c r="W24" s="8">
        <v>17715.4625518953</v>
      </c>
      <c r="X24" s="8">
        <v>30323.827553153598</v>
      </c>
      <c r="Y24" s="8">
        <v>48125.858168653001</v>
      </c>
      <c r="Z24" s="8">
        <v>45835.814472498503</v>
      </c>
      <c r="AA24" s="8">
        <v>180297.767521306</v>
      </c>
      <c r="AB24" s="8">
        <v>19572.031459161299</v>
      </c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3">
        <v>1300731.6726397213</v>
      </c>
    </row>
    <row r="25" spans="3:57">
      <c r="C25" s="4"/>
      <c r="D25" s="1" t="s">
        <v>9</v>
      </c>
      <c r="E25" s="1" t="s">
        <v>307</v>
      </c>
      <c r="F25" s="1" t="s">
        <v>183</v>
      </c>
      <c r="G25" s="7">
        <v>255.46474406968099</v>
      </c>
      <c r="H25" s="8">
        <v>822.08204027348495</v>
      </c>
      <c r="I25" s="8">
        <v>1382.72285703593</v>
      </c>
      <c r="J25" s="8">
        <v>1619.2185881554699</v>
      </c>
      <c r="K25" s="8">
        <v>1609.5431182458899</v>
      </c>
      <c r="L25" s="8">
        <v>1376.87608270899</v>
      </c>
      <c r="M25" s="8">
        <v>1618.6217110221601</v>
      </c>
      <c r="N25" s="8">
        <v>1588.1494729676399</v>
      </c>
      <c r="O25" s="8">
        <v>1555.1475997525199</v>
      </c>
      <c r="P25" s="8">
        <v>0</v>
      </c>
      <c r="Q25" s="8">
        <v>0</v>
      </c>
      <c r="R25" s="8">
        <v>0</v>
      </c>
      <c r="S25" s="8">
        <v>0</v>
      </c>
      <c r="T25" s="8">
        <v>2468.1590524927201</v>
      </c>
      <c r="U25" s="8">
        <v>2884.5913484162902</v>
      </c>
      <c r="V25" s="8">
        <v>3004.9828667727702</v>
      </c>
      <c r="W25" s="8">
        <v>2984.4309386281602</v>
      </c>
      <c r="X25" s="8">
        <v>0</v>
      </c>
      <c r="Y25" s="8">
        <v>0</v>
      </c>
      <c r="Z25" s="8">
        <v>584.79177964804899</v>
      </c>
      <c r="AA25" s="8">
        <v>575.07792984512298</v>
      </c>
      <c r="AB25" s="8">
        <v>581.22780635559798</v>
      </c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3">
        <v>24911.087936390475</v>
      </c>
    </row>
    <row r="26" spans="3:57">
      <c r="C26" s="4"/>
      <c r="D26" s="1" t="s">
        <v>11</v>
      </c>
      <c r="E26" s="1" t="s">
        <v>307</v>
      </c>
      <c r="F26" s="1" t="s">
        <v>183</v>
      </c>
      <c r="G26" s="7">
        <v>0</v>
      </c>
      <c r="H26" s="8">
        <v>10136.8310049639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3">
        <v>10136.8310049639</v>
      </c>
    </row>
    <row r="27" spans="3:57">
      <c r="C27" s="4"/>
      <c r="D27" s="1" t="s">
        <v>13</v>
      </c>
      <c r="E27" s="1" t="s">
        <v>307</v>
      </c>
      <c r="F27" s="1" t="s">
        <v>183</v>
      </c>
      <c r="G27" s="7">
        <v>227905.54474193801</v>
      </c>
      <c r="H27" s="8">
        <v>275812.22968905099</v>
      </c>
      <c r="I27" s="8">
        <v>671746.34762649704</v>
      </c>
      <c r="J27" s="8">
        <v>299550.62756634702</v>
      </c>
      <c r="K27" s="8">
        <v>168022.82026468299</v>
      </c>
      <c r="L27" s="8">
        <v>537425.78297180601</v>
      </c>
      <c r="M27" s="8">
        <v>297464.83947027201</v>
      </c>
      <c r="N27" s="8">
        <v>729154.56079261994</v>
      </c>
      <c r="O27" s="8">
        <v>609143.22695745295</v>
      </c>
      <c r="P27" s="8">
        <v>392153.54176584398</v>
      </c>
      <c r="Q27" s="8">
        <v>314962.85987666901</v>
      </c>
      <c r="R27" s="8">
        <v>90335.363953329696</v>
      </c>
      <c r="S27" s="8">
        <v>238251.06686972899</v>
      </c>
      <c r="T27" s="8">
        <v>413384.067973617</v>
      </c>
      <c r="U27" s="8">
        <v>116612.640892308</v>
      </c>
      <c r="V27" s="8">
        <v>245492.306690853</v>
      </c>
      <c r="W27" s="8">
        <v>675942.39976651606</v>
      </c>
      <c r="X27" s="8">
        <v>487013.03229605901</v>
      </c>
      <c r="Y27" s="8">
        <v>607221.17618357204</v>
      </c>
      <c r="Z27" s="8">
        <v>204613.54850165799</v>
      </c>
      <c r="AA27" s="8">
        <v>569298.64217680995</v>
      </c>
      <c r="AB27" s="8">
        <v>310817.650711547</v>
      </c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3">
        <v>8482324.2777391784</v>
      </c>
    </row>
    <row r="28" spans="3:57">
      <c r="C28" s="4"/>
      <c r="D28" s="1" t="s">
        <v>309</v>
      </c>
      <c r="E28" s="1" t="s">
        <v>307</v>
      </c>
      <c r="F28" s="1" t="s">
        <v>183</v>
      </c>
      <c r="G28" s="7">
        <v>4461.7045101927397</v>
      </c>
      <c r="H28" s="8">
        <v>5662.1951993069197</v>
      </c>
      <c r="I28" s="8">
        <v>6244.46089446108</v>
      </c>
      <c r="J28" s="8">
        <v>7769.1303268392003</v>
      </c>
      <c r="K28" s="8">
        <v>9294.5249835552095</v>
      </c>
      <c r="L28" s="8">
        <v>6027.1779156151397</v>
      </c>
      <c r="M28" s="8">
        <v>15227.3557325002</v>
      </c>
      <c r="N28" s="8">
        <v>10543.299984116</v>
      </c>
      <c r="O28" s="8">
        <v>2060.9843844469801</v>
      </c>
      <c r="P28" s="8">
        <v>33413.720742504702</v>
      </c>
      <c r="Q28" s="8">
        <v>40823.176836617902</v>
      </c>
      <c r="R28" s="8">
        <v>2349.1108230531299</v>
      </c>
      <c r="S28" s="8">
        <v>1129.72000504217</v>
      </c>
      <c r="T28" s="8">
        <v>7070.3906497452699</v>
      </c>
      <c r="U28" s="8">
        <v>1805.56464217195</v>
      </c>
      <c r="V28" s="8">
        <v>1379.28405065069</v>
      </c>
      <c r="W28" s="8">
        <v>1850.04077220217</v>
      </c>
      <c r="X28" s="8">
        <v>1899.42817720843</v>
      </c>
      <c r="Y28" s="8">
        <v>1406.0148062248099</v>
      </c>
      <c r="Z28" s="8">
        <v>906.10052469608104</v>
      </c>
      <c r="AA28" s="8">
        <v>749.78073654248601</v>
      </c>
      <c r="AB28" s="8">
        <v>662.59724835857503</v>
      </c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3">
        <v>162735.76394605185</v>
      </c>
    </row>
    <row r="29" spans="3:57">
      <c r="C29" s="4"/>
      <c r="D29" s="1" t="s">
        <v>15</v>
      </c>
      <c r="E29" s="1" t="s">
        <v>307</v>
      </c>
      <c r="F29" s="1" t="s">
        <v>183</v>
      </c>
      <c r="G29" s="7">
        <v>10745.2559586731</v>
      </c>
      <c r="H29" s="8">
        <v>2130.51032574693</v>
      </c>
      <c r="I29" s="8">
        <v>8071.66069535928</v>
      </c>
      <c r="J29" s="8">
        <v>29367.1676252787</v>
      </c>
      <c r="K29" s="8">
        <v>91495.652692247502</v>
      </c>
      <c r="L29" s="8">
        <v>64467.511391462896</v>
      </c>
      <c r="M29" s="8">
        <v>122297.786246998</v>
      </c>
      <c r="N29" s="8">
        <v>188862.072448994</v>
      </c>
      <c r="O29" s="8">
        <v>166796.154814582</v>
      </c>
      <c r="P29" s="8">
        <v>101449.238749431</v>
      </c>
      <c r="Q29" s="8">
        <v>177351.88758023799</v>
      </c>
      <c r="R29" s="8">
        <v>253956.61800655001</v>
      </c>
      <c r="S29" s="8">
        <v>201071.79833039999</v>
      </c>
      <c r="T29" s="8">
        <v>240900.892610262</v>
      </c>
      <c r="U29" s="8">
        <v>273839.70603583701</v>
      </c>
      <c r="V29" s="8">
        <v>410578.35239631101</v>
      </c>
      <c r="W29" s="8">
        <v>204376.925415704</v>
      </c>
      <c r="X29" s="8">
        <v>258696.310414554</v>
      </c>
      <c r="Y29" s="8">
        <v>74894.065189316607</v>
      </c>
      <c r="Z29" s="8">
        <v>56977.466457706403</v>
      </c>
      <c r="AA29" s="8">
        <v>21849.339058518199</v>
      </c>
      <c r="AB29" s="8">
        <v>12070.6941162567</v>
      </c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3">
        <v>2972247.0665604272</v>
      </c>
    </row>
    <row r="30" spans="3:57">
      <c r="C30" s="4"/>
      <c r="D30" s="1" t="s">
        <v>16</v>
      </c>
      <c r="E30" s="1" t="s">
        <v>307</v>
      </c>
      <c r="F30" s="1" t="s">
        <v>183</v>
      </c>
      <c r="G30" s="7">
        <v>119191.497532339</v>
      </c>
      <c r="H30" s="8">
        <v>85932.741710218193</v>
      </c>
      <c r="I30" s="8">
        <v>20652.393458083799</v>
      </c>
      <c r="J30" s="8">
        <v>12732.0951036154</v>
      </c>
      <c r="K30" s="8">
        <v>0</v>
      </c>
      <c r="L30" s="8">
        <v>102844.557333695</v>
      </c>
      <c r="M30" s="8">
        <v>93294.199231865699</v>
      </c>
      <c r="N30" s="8">
        <v>367968.20130929397</v>
      </c>
      <c r="O30" s="8">
        <v>84333.176968874905</v>
      </c>
      <c r="P30" s="8">
        <v>133805.51467647101</v>
      </c>
      <c r="Q30" s="8">
        <v>18273.7786969394</v>
      </c>
      <c r="R30" s="8">
        <v>53987.191767376302</v>
      </c>
      <c r="S30" s="8">
        <v>25044.913325632599</v>
      </c>
      <c r="T30" s="8">
        <v>58203.689228438903</v>
      </c>
      <c r="U30" s="8">
        <v>16454.6093755656</v>
      </c>
      <c r="V30" s="8">
        <v>54766.537768467402</v>
      </c>
      <c r="W30" s="8">
        <v>76936.653254963894</v>
      </c>
      <c r="X30" s="8">
        <v>57948.2574183791</v>
      </c>
      <c r="Y30" s="8">
        <v>140791.38270547899</v>
      </c>
      <c r="Z30" s="8">
        <v>173538.64051525999</v>
      </c>
      <c r="AA30" s="8">
        <v>85021.598121724601</v>
      </c>
      <c r="AB30" s="8">
        <v>59808.378037293201</v>
      </c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3">
        <v>1841530.0075399769</v>
      </c>
    </row>
    <row r="31" spans="3:57">
      <c r="C31" s="4"/>
      <c r="D31" s="1" t="s">
        <v>20</v>
      </c>
      <c r="E31" s="1" t="s">
        <v>307</v>
      </c>
      <c r="F31" s="1" t="s">
        <v>183</v>
      </c>
      <c r="G31" s="7">
        <v>0</v>
      </c>
      <c r="H31" s="8">
        <v>0</v>
      </c>
      <c r="I31" s="8"/>
      <c r="J31" s="8"/>
      <c r="K31" s="8"/>
      <c r="L31" s="8">
        <v>0</v>
      </c>
      <c r="M31" s="8">
        <v>0</v>
      </c>
      <c r="N31" s="8">
        <v>0</v>
      </c>
      <c r="O31" s="8">
        <v>313.63829925756698</v>
      </c>
      <c r="P31" s="8">
        <v>308.81259165085402</v>
      </c>
      <c r="Q31" s="8">
        <v>303.57976641540301</v>
      </c>
      <c r="R31" s="8">
        <v>300.45264519650698</v>
      </c>
      <c r="S31" s="8">
        <v>291.08739383938399</v>
      </c>
      <c r="T31" s="8"/>
      <c r="U31" s="8">
        <v>0</v>
      </c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3">
        <v>1517.5706963597152</v>
      </c>
    </row>
    <row r="32" spans="3:57">
      <c r="C32" s="4"/>
      <c r="D32" s="1" t="s">
        <v>310</v>
      </c>
      <c r="E32" s="1" t="s">
        <v>307</v>
      </c>
      <c r="F32" s="1" t="s">
        <v>183</v>
      </c>
      <c r="G32" s="7">
        <v>0</v>
      </c>
      <c r="H32" s="8">
        <v>0</v>
      </c>
      <c r="I32" s="8">
        <v>0</v>
      </c>
      <c r="J32" s="8">
        <v>13249.825161577999</v>
      </c>
      <c r="K32" s="8">
        <v>9137.80635552075</v>
      </c>
      <c r="L32" s="8">
        <v>218.17160331230301</v>
      </c>
      <c r="M32" s="8">
        <v>887.61544469393698</v>
      </c>
      <c r="N32" s="8">
        <v>174.17921270718199</v>
      </c>
      <c r="O32" s="8">
        <v>78.133427565200805</v>
      </c>
      <c r="P32" s="8">
        <v>16203.720402941201</v>
      </c>
      <c r="Q32" s="8">
        <v>0</v>
      </c>
      <c r="R32" s="8">
        <v>0</v>
      </c>
      <c r="S32" s="8">
        <v>1927.6021902273601</v>
      </c>
      <c r="T32" s="8">
        <v>177.31536981440999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143.32995948095399</v>
      </c>
      <c r="AB32" s="8">
        <v>144.86272835507299</v>
      </c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3">
        <v>42342.561856196364</v>
      </c>
    </row>
    <row r="33" spans="3:57">
      <c r="C33" s="4"/>
      <c r="D33" s="1" t="s">
        <v>311</v>
      </c>
      <c r="E33" s="1" t="s">
        <v>307</v>
      </c>
      <c r="F33" s="1" t="s">
        <v>183</v>
      </c>
      <c r="G33" s="7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3">
        <v>0</v>
      </c>
    </row>
    <row r="34" spans="3:57">
      <c r="C34" s="4"/>
      <c r="D34" s="1" t="s">
        <v>17</v>
      </c>
      <c r="E34" s="1" t="s">
        <v>307</v>
      </c>
      <c r="F34" s="1" t="s">
        <v>183</v>
      </c>
      <c r="G34" s="7">
        <v>43214.8878767606</v>
      </c>
      <c r="H34" s="8">
        <v>9597.1268686897092</v>
      </c>
      <c r="I34" s="8">
        <v>6728.9272836826303</v>
      </c>
      <c r="J34" s="8">
        <v>16128.1088802947</v>
      </c>
      <c r="K34" s="8">
        <v>16529.283594361801</v>
      </c>
      <c r="L34" s="8">
        <v>9495.3024029968492</v>
      </c>
      <c r="M34" s="8">
        <v>45809.393519671998</v>
      </c>
      <c r="N34" s="8">
        <v>24394.3627485201</v>
      </c>
      <c r="O34" s="8">
        <v>115421.70433114401</v>
      </c>
      <c r="P34" s="8">
        <v>191424.685443833</v>
      </c>
      <c r="Q34" s="8">
        <v>145865.408030333</v>
      </c>
      <c r="R34" s="8">
        <v>177347.573509643</v>
      </c>
      <c r="S34" s="8">
        <v>76712.051324165703</v>
      </c>
      <c r="T34" s="8">
        <v>42304.873429221298</v>
      </c>
      <c r="U34" s="8">
        <v>76812.091947511304</v>
      </c>
      <c r="V34" s="8">
        <v>57390.7609221983</v>
      </c>
      <c r="W34" s="8">
        <v>93230.497143321307</v>
      </c>
      <c r="X34" s="8">
        <v>263922.49055955902</v>
      </c>
      <c r="Y34" s="8">
        <v>144421.18927711601</v>
      </c>
      <c r="Z34" s="8">
        <v>101431.397487801</v>
      </c>
      <c r="AA34" s="8">
        <v>104647.299486982</v>
      </c>
      <c r="AB34" s="8">
        <v>20125.5182904666</v>
      </c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3">
        <v>1782954.9343582739</v>
      </c>
    </row>
    <row r="35" spans="3:57">
      <c r="C35" s="4"/>
      <c r="D35" s="1" t="s">
        <v>18</v>
      </c>
      <c r="E35" s="1" t="s">
        <v>307</v>
      </c>
      <c r="F35" s="1" t="s">
        <v>183</v>
      </c>
      <c r="G35" s="7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3">
        <v>0</v>
      </c>
    </row>
    <row r="36" spans="3:57">
      <c r="C36" s="1" t="s">
        <v>304</v>
      </c>
      <c r="D36" s="1" t="s">
        <v>7</v>
      </c>
      <c r="E36" s="1" t="s">
        <v>307</v>
      </c>
      <c r="F36" s="1" t="s">
        <v>21</v>
      </c>
      <c r="G36" s="7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>
        <v>2163193.2136166738</v>
      </c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3">
        <v>2163193.2136166738</v>
      </c>
    </row>
    <row r="37" spans="3:57">
      <c r="C37" s="4"/>
      <c r="D37" s="1" t="s">
        <v>308</v>
      </c>
      <c r="E37" s="1" t="s">
        <v>307</v>
      </c>
      <c r="F37" s="1" t="s">
        <v>21</v>
      </c>
      <c r="G37" s="7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>
        <v>13931.73583513684</v>
      </c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3">
        <v>13931.73583513684</v>
      </c>
    </row>
    <row r="38" spans="3:57">
      <c r="C38" s="4"/>
      <c r="D38" s="1" t="s">
        <v>8</v>
      </c>
      <c r="E38" s="1" t="s">
        <v>307</v>
      </c>
      <c r="F38" s="1" t="s">
        <v>21</v>
      </c>
      <c r="G38" s="7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>
        <v>3457547.3875234909</v>
      </c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3">
        <v>3457547.3875234909</v>
      </c>
    </row>
    <row r="39" spans="3:57">
      <c r="C39" s="4"/>
      <c r="D39" s="1" t="s">
        <v>9</v>
      </c>
      <c r="E39" s="1" t="s">
        <v>307</v>
      </c>
      <c r="F39" s="1" t="s">
        <v>21</v>
      </c>
      <c r="G39" s="7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>
        <v>89628.385028938152</v>
      </c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3">
        <v>89628.385028938152</v>
      </c>
    </row>
    <row r="40" spans="3:57">
      <c r="C40" s="4"/>
      <c r="D40" s="1" t="s">
        <v>11</v>
      </c>
      <c r="E40" s="1" t="s">
        <v>307</v>
      </c>
      <c r="F40" s="1" t="s">
        <v>21</v>
      </c>
      <c r="G40" s="7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>
        <v>1967.7772664656466</v>
      </c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3">
        <v>1967.7772664656466</v>
      </c>
    </row>
    <row r="41" spans="3:57">
      <c r="C41" s="4"/>
      <c r="D41" s="1" t="s">
        <v>13</v>
      </c>
      <c r="E41" s="1" t="s">
        <v>307</v>
      </c>
      <c r="F41" s="1" t="s">
        <v>21</v>
      </c>
      <c r="G41" s="7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>
        <v>37100824.411994025</v>
      </c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3">
        <v>37100824.411994025</v>
      </c>
    </row>
    <row r="42" spans="3:57">
      <c r="C42" s="4"/>
      <c r="D42" s="1" t="s">
        <v>15</v>
      </c>
      <c r="E42" s="1" t="s">
        <v>307</v>
      </c>
      <c r="F42" s="1" t="s">
        <v>21</v>
      </c>
      <c r="G42" s="7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>
        <v>2927061.8063072055</v>
      </c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3">
        <v>2927061.8063072055</v>
      </c>
    </row>
    <row r="43" spans="3:57">
      <c r="C43" s="4"/>
      <c r="D43" s="1" t="s">
        <v>16</v>
      </c>
      <c r="E43" s="1" t="s">
        <v>307</v>
      </c>
      <c r="F43" s="1" t="s">
        <v>21</v>
      </c>
      <c r="G43" s="7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>
        <v>21078151.577785008</v>
      </c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3">
        <v>21078151.577785008</v>
      </c>
    </row>
    <row r="44" spans="3:57">
      <c r="C44" s="4"/>
      <c r="D44" s="1" t="s">
        <v>20</v>
      </c>
      <c r="E44" s="1" t="s">
        <v>307</v>
      </c>
      <c r="F44" s="1" t="s">
        <v>21</v>
      </c>
      <c r="G44" s="7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>
        <v>0</v>
      </c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3">
        <v>0</v>
      </c>
    </row>
    <row r="45" spans="3:57">
      <c r="C45" s="4"/>
      <c r="D45" s="1" t="s">
        <v>310</v>
      </c>
      <c r="E45" s="1" t="s">
        <v>307</v>
      </c>
      <c r="F45" s="1" t="s">
        <v>21</v>
      </c>
      <c r="G45" s="7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>
        <v>16.240186247422969</v>
      </c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3">
        <v>16.240186247422969</v>
      </c>
    </row>
    <row r="46" spans="3:57">
      <c r="C46" s="4"/>
      <c r="D46" s="1" t="s">
        <v>311</v>
      </c>
      <c r="E46" s="1" t="s">
        <v>307</v>
      </c>
      <c r="F46" s="1" t="s">
        <v>21</v>
      </c>
      <c r="G46" s="7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>
        <v>3226.0075286874326</v>
      </c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3">
        <v>3226.0075286874326</v>
      </c>
    </row>
    <row r="47" spans="3:57">
      <c r="C47" s="4"/>
      <c r="D47" s="1" t="s">
        <v>17</v>
      </c>
      <c r="E47" s="1" t="s">
        <v>307</v>
      </c>
      <c r="F47" s="1" t="s">
        <v>21</v>
      </c>
      <c r="G47" s="7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>
        <v>4180429.3240331807</v>
      </c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3">
        <v>4180429.3240331807</v>
      </c>
    </row>
    <row r="48" spans="3:57">
      <c r="C48" s="4"/>
      <c r="D48" s="1" t="s">
        <v>18</v>
      </c>
      <c r="E48" s="1" t="s">
        <v>307</v>
      </c>
      <c r="F48" s="1" t="s">
        <v>21</v>
      </c>
      <c r="G48" s="7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>
        <v>168.30943999551212</v>
      </c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3">
        <v>168.30943999551212</v>
      </c>
    </row>
    <row r="49" spans="3:57">
      <c r="C49" s="1" t="s">
        <v>264</v>
      </c>
      <c r="D49" s="1" t="s">
        <v>7</v>
      </c>
      <c r="E49" s="1" t="s">
        <v>307</v>
      </c>
      <c r="F49" s="1" t="s">
        <v>180</v>
      </c>
      <c r="G49" s="7">
        <v>44.125250692414603</v>
      </c>
      <c r="H49" s="8">
        <v>45.074890490885203</v>
      </c>
      <c r="I49" s="8">
        <v>44.341413292752797</v>
      </c>
      <c r="J49" s="8">
        <v>37.758021834288897</v>
      </c>
      <c r="K49" s="8">
        <v>36.989963044075601</v>
      </c>
      <c r="L49" s="8">
        <v>33.963003038487102</v>
      </c>
      <c r="M49" s="8">
        <v>38.444659754494801</v>
      </c>
      <c r="N49" s="8">
        <v>54.0171368095125</v>
      </c>
      <c r="O49" s="8">
        <v>48.691638271243903</v>
      </c>
      <c r="P49" s="8">
        <v>47.274851376537498</v>
      </c>
      <c r="Q49" s="8">
        <v>44.4745954742842</v>
      </c>
      <c r="R49" s="8">
        <v>59.4609657798635</v>
      </c>
      <c r="S49" s="8">
        <v>55.985864611796899</v>
      </c>
      <c r="T49" s="8">
        <v>54.755502512280202</v>
      </c>
      <c r="U49" s="8">
        <v>55.449977622903901</v>
      </c>
      <c r="V49" s="8">
        <v>41.239403870873403</v>
      </c>
      <c r="W49" s="8">
        <v>45.1799331262904</v>
      </c>
      <c r="X49" s="8">
        <v>28.632326518010299</v>
      </c>
      <c r="Y49" s="8">
        <v>37.665972248825902</v>
      </c>
      <c r="Z49" s="8">
        <v>31.4931318942314</v>
      </c>
      <c r="AA49" s="8">
        <v>31.7756025194095</v>
      </c>
      <c r="AB49" s="8">
        <v>24.9967159941591</v>
      </c>
      <c r="AC49" s="8">
        <v>52.277520843201003</v>
      </c>
      <c r="AD49" s="8">
        <v>40.108272876899399</v>
      </c>
      <c r="AE49" s="8">
        <v>35.178407133616702</v>
      </c>
      <c r="AF49" s="8">
        <v>18.4677184041769</v>
      </c>
      <c r="AG49" s="8">
        <v>19.017370241940899</v>
      </c>
      <c r="AH49" s="8">
        <v>25.613190273750799</v>
      </c>
      <c r="AI49" s="8">
        <v>23.173469067318798</v>
      </c>
      <c r="AJ49" s="8">
        <v>26.116687534134201</v>
      </c>
      <c r="AK49" s="8">
        <v>20.296165522689599</v>
      </c>
      <c r="AL49" s="8">
        <v>23.246715898782501</v>
      </c>
      <c r="AM49" s="8">
        <v>48.118751433197801</v>
      </c>
      <c r="AN49" s="8">
        <v>46.623932104948203</v>
      </c>
      <c r="AO49" s="8"/>
      <c r="AP49" s="8">
        <v>60.405006499682997</v>
      </c>
      <c r="AQ49" s="8">
        <v>49.764406092048198</v>
      </c>
      <c r="AR49" s="8">
        <v>37.279671713349899</v>
      </c>
      <c r="AS49" s="8">
        <v>21.346845416234199</v>
      </c>
      <c r="AT49" s="8">
        <v>14.986057177663501</v>
      </c>
      <c r="AU49" s="8">
        <v>23.976022501437999</v>
      </c>
      <c r="AV49" s="8">
        <v>18.967126466690601</v>
      </c>
      <c r="AW49" s="8">
        <v>15.199134034136099</v>
      </c>
      <c r="AX49" s="8">
        <v>24.883303510717301</v>
      </c>
      <c r="AY49" s="8">
        <v>47.910032604487697</v>
      </c>
      <c r="AZ49" s="8">
        <v>51.793236426166402</v>
      </c>
      <c r="BA49" s="8">
        <v>56.140190140797998</v>
      </c>
      <c r="BB49" s="8"/>
      <c r="BC49" s="8"/>
      <c r="BD49" s="8"/>
      <c r="BE49" s="83">
        <v>1742.6800546956908</v>
      </c>
    </row>
    <row r="50" spans="3:57">
      <c r="C50" s="4"/>
      <c r="D50" s="1" t="s">
        <v>308</v>
      </c>
      <c r="E50" s="1" t="s">
        <v>307</v>
      </c>
      <c r="F50" s="1" t="s">
        <v>180</v>
      </c>
      <c r="G50" s="7">
        <v>57.8071440469271</v>
      </c>
      <c r="H50" s="8">
        <v>31.4994795383313</v>
      </c>
      <c r="I50" s="8">
        <v>58.005926480414203</v>
      </c>
      <c r="J50" s="8">
        <v>43.441195301259</v>
      </c>
      <c r="K50" s="8">
        <v>52.8751471942889</v>
      </c>
      <c r="L50" s="8">
        <v>71.824258226287398</v>
      </c>
      <c r="M50" s="8">
        <v>88.882364896061404</v>
      </c>
      <c r="N50" s="8">
        <v>52.225851509447999</v>
      </c>
      <c r="O50" s="8">
        <v>61.178971874607797</v>
      </c>
      <c r="P50" s="8">
        <v>31.333921573744298</v>
      </c>
      <c r="Q50" s="8">
        <v>48.459749695253997</v>
      </c>
      <c r="R50" s="8">
        <v>63.520627387951301</v>
      </c>
      <c r="S50" s="8">
        <v>110.02891367944299</v>
      </c>
      <c r="T50" s="8">
        <v>104.386532118441</v>
      </c>
      <c r="U50" s="8">
        <v>108.16879501572799</v>
      </c>
      <c r="V50" s="8">
        <v>66.176198666960303</v>
      </c>
      <c r="W50" s="8">
        <v>68.384509739859695</v>
      </c>
      <c r="X50" s="8">
        <v>68.258623947115098</v>
      </c>
      <c r="Y50" s="8">
        <v>113.22815162585201</v>
      </c>
      <c r="Z50" s="8">
        <v>130.04059831039899</v>
      </c>
      <c r="AA50" s="8">
        <v>73.227307890405299</v>
      </c>
      <c r="AB50" s="8">
        <v>64.431306704837993</v>
      </c>
      <c r="AC50" s="8">
        <v>31.805906524368002</v>
      </c>
      <c r="AD50" s="8">
        <v>57.769308941748797</v>
      </c>
      <c r="AE50" s="8">
        <v>63.194955996294702</v>
      </c>
      <c r="AF50" s="8">
        <v>70.087617236834305</v>
      </c>
      <c r="AG50" s="8">
        <v>61.782694997457803</v>
      </c>
      <c r="AH50" s="8">
        <v>79.297923324705494</v>
      </c>
      <c r="AI50" s="8">
        <v>103.524468915472</v>
      </c>
      <c r="AJ50" s="8">
        <v>87.062099380280898</v>
      </c>
      <c r="AK50" s="8">
        <v>104.563054023384</v>
      </c>
      <c r="AL50" s="8">
        <v>1.156955891919E-5</v>
      </c>
      <c r="AM50" s="8">
        <v>67.688178803733607</v>
      </c>
      <c r="AN50" s="8">
        <v>29.291345977189199</v>
      </c>
      <c r="AO50" s="8"/>
      <c r="AP50" s="8">
        <v>58.131273994129799</v>
      </c>
      <c r="AQ50" s="8">
        <v>36.643997962838</v>
      </c>
      <c r="AR50" s="8">
        <v>43.310254790471099</v>
      </c>
      <c r="AS50" s="8">
        <v>49.926093708264098</v>
      </c>
      <c r="AT50" s="8">
        <v>94.059042768303001</v>
      </c>
      <c r="AU50" s="8">
        <v>385.49839824838199</v>
      </c>
      <c r="AV50" s="8">
        <v>276.12348553227298</v>
      </c>
      <c r="AW50" s="8">
        <v>25.6164261358755</v>
      </c>
      <c r="AX50" s="8">
        <v>207.70513973071601</v>
      </c>
      <c r="AY50" s="8">
        <v>75.865751790822102</v>
      </c>
      <c r="AZ50" s="8">
        <v>141.634806636523</v>
      </c>
      <c r="BA50" s="8">
        <v>25.245577434760101</v>
      </c>
      <c r="BB50" s="8"/>
      <c r="BC50" s="8"/>
      <c r="BD50" s="8"/>
      <c r="BE50" s="83">
        <v>3743.213389848001</v>
      </c>
    </row>
    <row r="51" spans="3:57">
      <c r="C51" s="4"/>
      <c r="D51" s="1" t="s">
        <v>8</v>
      </c>
      <c r="E51" s="1" t="s">
        <v>307</v>
      </c>
      <c r="F51" s="1" t="s">
        <v>180</v>
      </c>
      <c r="G51" s="7">
        <v>44.967123438977197</v>
      </c>
      <c r="H51" s="8">
        <v>41.694753846706298</v>
      </c>
      <c r="I51" s="8">
        <v>46.583485185246403</v>
      </c>
      <c r="J51" s="8">
        <v>33.452153369282399</v>
      </c>
      <c r="K51" s="8">
        <v>27.019283388563501</v>
      </c>
      <c r="L51" s="8">
        <v>48.500094259277098</v>
      </c>
      <c r="M51" s="8">
        <v>43.654779610955103</v>
      </c>
      <c r="N51" s="8">
        <v>39.023584273754402</v>
      </c>
      <c r="O51" s="8">
        <v>47.187869886882602</v>
      </c>
      <c r="P51" s="8">
        <v>57.051764575051898</v>
      </c>
      <c r="Q51" s="8">
        <v>46.832570860053501</v>
      </c>
      <c r="R51" s="8">
        <v>42.0802519912775</v>
      </c>
      <c r="S51" s="8">
        <v>38.7888936124982</v>
      </c>
      <c r="T51" s="8">
        <v>48.728479435507701</v>
      </c>
      <c r="U51" s="8">
        <v>38.123822929722202</v>
      </c>
      <c r="V51" s="8">
        <v>23.585734824539401</v>
      </c>
      <c r="W51" s="8">
        <v>45.180664761548201</v>
      </c>
      <c r="X51" s="8">
        <v>48.618141365278497</v>
      </c>
      <c r="Y51" s="8">
        <v>53.3403706518909</v>
      </c>
      <c r="Z51" s="8">
        <v>42.386179991427603</v>
      </c>
      <c r="AA51" s="8">
        <v>33.490864733185802</v>
      </c>
      <c r="AB51" s="8">
        <v>41.838364720246098</v>
      </c>
      <c r="AC51" s="8">
        <v>62.468700305827603</v>
      </c>
      <c r="AD51" s="8">
        <v>49.981907985034603</v>
      </c>
      <c r="AE51" s="8">
        <v>44.747402787623898</v>
      </c>
      <c r="AF51" s="8">
        <v>40.558727574437597</v>
      </c>
      <c r="AG51" s="8">
        <v>45.993910371387997</v>
      </c>
      <c r="AH51" s="8">
        <v>40.917470253097001</v>
      </c>
      <c r="AI51" s="8">
        <v>45.3905366850245</v>
      </c>
      <c r="AJ51" s="8">
        <v>53.473309804518699</v>
      </c>
      <c r="AK51" s="8">
        <v>56.250710988734198</v>
      </c>
      <c r="AL51" s="8">
        <v>57.806897455565199</v>
      </c>
      <c r="AM51" s="8">
        <v>63.122818482767798</v>
      </c>
      <c r="AN51" s="8">
        <v>50.980223975384902</v>
      </c>
      <c r="AO51" s="8"/>
      <c r="AP51" s="8">
        <v>48.576356155435398</v>
      </c>
      <c r="AQ51" s="8">
        <v>41.517157036649699</v>
      </c>
      <c r="AR51" s="8">
        <v>47.232237777406702</v>
      </c>
      <c r="AS51" s="8">
        <v>59.399204717157403</v>
      </c>
      <c r="AT51" s="8">
        <v>54.027523186619398</v>
      </c>
      <c r="AU51" s="8">
        <v>51.9509373781924</v>
      </c>
      <c r="AV51" s="8">
        <v>49.5091579130155</v>
      </c>
      <c r="AW51" s="8">
        <v>52.275134284407898</v>
      </c>
      <c r="AX51" s="8">
        <v>50.963809604800701</v>
      </c>
      <c r="AY51" s="8">
        <v>64.365019852287901</v>
      </c>
      <c r="AZ51" s="8">
        <v>52.982295010579698</v>
      </c>
      <c r="BA51" s="8">
        <v>43.019477430751998</v>
      </c>
      <c r="BB51" s="8"/>
      <c r="BC51" s="8"/>
      <c r="BD51" s="8"/>
      <c r="BE51" s="83">
        <v>2159.6401587285809</v>
      </c>
    </row>
    <row r="52" spans="3:57">
      <c r="C52" s="4"/>
      <c r="D52" s="1" t="s">
        <v>9</v>
      </c>
      <c r="E52" s="1" t="s">
        <v>307</v>
      </c>
      <c r="F52" s="1" t="s">
        <v>180</v>
      </c>
      <c r="G52" s="7">
        <v>3.96141699394519</v>
      </c>
      <c r="H52" s="8">
        <v>1.9458168636781901</v>
      </c>
      <c r="I52" s="8">
        <v>3.4750239867146</v>
      </c>
      <c r="J52" s="8">
        <v>7.8441584924546701</v>
      </c>
      <c r="K52" s="8">
        <v>5.0081814717735504</v>
      </c>
      <c r="L52" s="8">
        <v>2.1786396044624601</v>
      </c>
      <c r="M52" s="8">
        <v>7.4589603117844998</v>
      </c>
      <c r="N52" s="8">
        <v>3.5416019016291398</v>
      </c>
      <c r="O52" s="8">
        <v>1.39950046326434</v>
      </c>
      <c r="P52" s="8">
        <v>21.668222796693701</v>
      </c>
      <c r="Q52" s="8">
        <v>12.485535767248001</v>
      </c>
      <c r="R52" s="8">
        <v>18.8056906567532</v>
      </c>
      <c r="S52" s="8">
        <v>22.948876669321901</v>
      </c>
      <c r="T52" s="8">
        <v>3.94794937557046</v>
      </c>
      <c r="U52" s="8">
        <v>17.193737151589001</v>
      </c>
      <c r="V52" s="8">
        <v>22.2266067235009</v>
      </c>
      <c r="W52" s="8">
        <v>14.4122736845208</v>
      </c>
      <c r="X52" s="8">
        <v>9.2619242397506305</v>
      </c>
      <c r="Y52" s="8">
        <v>16.002189237690299</v>
      </c>
      <c r="Z52" s="8">
        <v>31.052686046054699</v>
      </c>
      <c r="AA52" s="8">
        <v>14.147274635071099</v>
      </c>
      <c r="AB52" s="8">
        <v>35.097484046275703</v>
      </c>
      <c r="AC52" s="8">
        <v>87.897791668066006</v>
      </c>
      <c r="AD52" s="8">
        <v>115.387540265556</v>
      </c>
      <c r="AE52" s="8">
        <v>139.50823885563801</v>
      </c>
      <c r="AF52" s="8">
        <v>117.624848366912</v>
      </c>
      <c r="AG52" s="8">
        <v>107.19503510509</v>
      </c>
      <c r="AH52" s="8">
        <v>92.054539445204696</v>
      </c>
      <c r="AI52" s="8">
        <v>67.067659959236707</v>
      </c>
      <c r="AJ52" s="8">
        <v>68.839979961184795</v>
      </c>
      <c r="AK52" s="8">
        <v>52.538963859362198</v>
      </c>
      <c r="AL52" s="8">
        <v>95.511946816933104</v>
      </c>
      <c r="AM52" s="8">
        <v>65.575238703052605</v>
      </c>
      <c r="AN52" s="8">
        <v>38.978482469135002</v>
      </c>
      <c r="AO52" s="8"/>
      <c r="AP52" s="8">
        <v>30.8217470880784</v>
      </c>
      <c r="AQ52" s="8">
        <v>15.4146216328222</v>
      </c>
      <c r="AR52" s="8">
        <v>11.624383381442399</v>
      </c>
      <c r="AS52" s="8">
        <v>6.1417070020006896</v>
      </c>
      <c r="AT52" s="8">
        <v>10.2874631816216</v>
      </c>
      <c r="AU52" s="8">
        <v>6.1987288898447899</v>
      </c>
      <c r="AV52" s="8">
        <v>6.4384491343013597</v>
      </c>
      <c r="AW52" s="8">
        <v>5.5928495377634899</v>
      </c>
      <c r="AX52" s="8">
        <v>14.804753331127101</v>
      </c>
      <c r="AY52" s="8">
        <v>12.7276729774798</v>
      </c>
      <c r="AZ52" s="8">
        <v>7.63698995615509</v>
      </c>
      <c r="BA52" s="8">
        <v>4.4564876996190996</v>
      </c>
      <c r="BB52" s="8"/>
      <c r="BC52" s="8"/>
      <c r="BD52" s="8"/>
      <c r="BE52" s="83">
        <v>1456.3898704073745</v>
      </c>
    </row>
    <row r="53" spans="3:57">
      <c r="C53" s="4"/>
      <c r="D53" s="1" t="s">
        <v>11</v>
      </c>
      <c r="E53" s="1" t="s">
        <v>307</v>
      </c>
      <c r="F53" s="1" t="s">
        <v>180</v>
      </c>
      <c r="G53" s="7">
        <v>57.689577575119003</v>
      </c>
      <c r="H53" s="8">
        <v>29.311736018332699</v>
      </c>
      <c r="I53" s="8">
        <v>0.89443402201755395</v>
      </c>
      <c r="J53" s="8">
        <v>2.63273030342588</v>
      </c>
      <c r="K53" s="8">
        <v>14.347764542767999</v>
      </c>
      <c r="L53" s="8">
        <v>0.87387702251399102</v>
      </c>
      <c r="M53" s="8">
        <v>1.7313099775737</v>
      </c>
      <c r="N53" s="8">
        <v>2.8719435161125002</v>
      </c>
      <c r="O53" s="8">
        <v>0.24659241200193399</v>
      </c>
      <c r="P53" s="8">
        <v>13.987834152068</v>
      </c>
      <c r="Q53" s="8">
        <v>3.1745168866556099</v>
      </c>
      <c r="R53" s="8">
        <v>0.84034033028946797</v>
      </c>
      <c r="S53" s="8">
        <v>3.5747648135687702</v>
      </c>
      <c r="T53" s="8">
        <v>13.918963437599</v>
      </c>
      <c r="U53" s="8">
        <v>10.6465851411601</v>
      </c>
      <c r="V53" s="8">
        <v>80.549116645934006</v>
      </c>
      <c r="W53" s="8">
        <v>53.075063203456999</v>
      </c>
      <c r="X53" s="8">
        <v>32.689958040485699</v>
      </c>
      <c r="Y53" s="8">
        <v>25.228007877141501</v>
      </c>
      <c r="Z53" s="8">
        <v>21.6795172681792</v>
      </c>
      <c r="AA53" s="8">
        <v>1.9401681501207999</v>
      </c>
      <c r="AB53" s="8">
        <v>2.18306451849437</v>
      </c>
      <c r="AC53" s="8">
        <v>3.4852068078623102</v>
      </c>
      <c r="AD53" s="8">
        <v>1130.6312091555501</v>
      </c>
      <c r="AE53" s="8">
        <v>157.53376231689199</v>
      </c>
      <c r="AF53" s="8">
        <v>56.863649069812801</v>
      </c>
      <c r="AG53" s="8">
        <v>2.9112211664388998</v>
      </c>
      <c r="AH53" s="8">
        <v>62.897733064425701</v>
      </c>
      <c r="AI53" s="8">
        <v>1.8006077964289999</v>
      </c>
      <c r="AJ53" s="8">
        <v>30.5001108636136</v>
      </c>
      <c r="AK53" s="8">
        <v>0.24890899854682899</v>
      </c>
      <c r="AL53" s="8">
        <v>845.71661174943995</v>
      </c>
      <c r="AM53" s="8">
        <v>1.05647096621656E-2</v>
      </c>
      <c r="AN53" s="8">
        <v>28182.828362981702</v>
      </c>
      <c r="AO53" s="8"/>
      <c r="AP53" s="8">
        <v>-156.36885825551599</v>
      </c>
      <c r="AQ53" s="8">
        <v>483.77591278686299</v>
      </c>
      <c r="AR53" s="8">
        <v>-19522.6316530328</v>
      </c>
      <c r="AS53" s="8">
        <v>-275.75950693961698</v>
      </c>
      <c r="AT53" s="8">
        <v>61.556192006688597</v>
      </c>
      <c r="AU53" s="8">
        <v>30.4236190209207</v>
      </c>
      <c r="AV53" s="8">
        <v>0.82270201824226696</v>
      </c>
      <c r="AW53" s="8">
        <v>213.276770050701</v>
      </c>
      <c r="AX53" s="8">
        <v>2.9469844616071299</v>
      </c>
      <c r="AY53" s="8">
        <v>119.586721978198</v>
      </c>
      <c r="AZ53" s="8">
        <v>19.098591633755301</v>
      </c>
      <c r="BA53" s="8">
        <v>113.943764708267</v>
      </c>
      <c r="BB53" s="8"/>
      <c r="BC53" s="8"/>
      <c r="BD53" s="8"/>
      <c r="BE53" s="83">
        <v>11940.187054972703</v>
      </c>
    </row>
    <row r="54" spans="3:57">
      <c r="C54" s="4"/>
      <c r="D54" s="1" t="s">
        <v>13</v>
      </c>
      <c r="E54" s="1" t="s">
        <v>307</v>
      </c>
      <c r="F54" s="1" t="s">
        <v>180</v>
      </c>
      <c r="G54" s="7">
        <v>13.6059074429938</v>
      </c>
      <c r="H54" s="8">
        <v>12.4534585906238</v>
      </c>
      <c r="I54" s="8">
        <v>10.4888837089098</v>
      </c>
      <c r="J54" s="8">
        <v>13.3262277393394</v>
      </c>
      <c r="K54" s="8">
        <v>32.088655416330802</v>
      </c>
      <c r="L54" s="8">
        <v>27.898659132724401</v>
      </c>
      <c r="M54" s="8">
        <v>21.814666082489001</v>
      </c>
      <c r="N54" s="8">
        <v>20.016122810323999</v>
      </c>
      <c r="O54" s="8">
        <v>14.200166953115801</v>
      </c>
      <c r="P54" s="8">
        <v>13.7919098457287</v>
      </c>
      <c r="Q54" s="8">
        <v>20.817236363343302</v>
      </c>
      <c r="R54" s="8">
        <v>17.948119523582999</v>
      </c>
      <c r="S54" s="8">
        <v>19.364283171574002</v>
      </c>
      <c r="T54" s="8">
        <v>16.872486376106799</v>
      </c>
      <c r="U54" s="8">
        <v>22.095909386353199</v>
      </c>
      <c r="V54" s="8">
        <v>24.3587965663387</v>
      </c>
      <c r="W54" s="8">
        <v>26.9856559710006</v>
      </c>
      <c r="X54" s="8">
        <v>22.789719493513601</v>
      </c>
      <c r="Y54" s="8">
        <v>24.956870066841802</v>
      </c>
      <c r="Z54" s="8">
        <v>15.1192472155179</v>
      </c>
      <c r="AA54" s="8">
        <v>14.904272919192801</v>
      </c>
      <c r="AB54" s="8">
        <v>14.0004707005795</v>
      </c>
      <c r="AC54" s="8">
        <v>25.9048851180148</v>
      </c>
      <c r="AD54" s="8">
        <v>17.132505871275399</v>
      </c>
      <c r="AE54" s="8">
        <v>19.968169750433599</v>
      </c>
      <c r="AF54" s="8">
        <v>30.8102218676284</v>
      </c>
      <c r="AG54" s="8">
        <v>48.548238556935999</v>
      </c>
      <c r="AH54" s="8">
        <v>28.428843183735101</v>
      </c>
      <c r="AI54" s="8">
        <v>21.766421953008699</v>
      </c>
      <c r="AJ54" s="8">
        <v>14.932225018685999</v>
      </c>
      <c r="AK54" s="8">
        <v>10.491445857027401</v>
      </c>
      <c r="AL54" s="8">
        <v>11.2395031194688</v>
      </c>
      <c r="AM54" s="8">
        <v>15.215067432971701</v>
      </c>
      <c r="AN54" s="8">
        <v>12.740927170446</v>
      </c>
      <c r="AO54" s="8"/>
      <c r="AP54" s="8">
        <v>19.259695535185301</v>
      </c>
      <c r="AQ54" s="8">
        <v>7.6344259247776902</v>
      </c>
      <c r="AR54" s="8">
        <v>14.124979403294001</v>
      </c>
      <c r="AS54" s="8">
        <v>19.4407412203104</v>
      </c>
      <c r="AT54" s="8">
        <v>33.8854082776814</v>
      </c>
      <c r="AU54" s="8">
        <v>28.637899452684898</v>
      </c>
      <c r="AV54" s="8">
        <v>28.054599998225601</v>
      </c>
      <c r="AW54" s="8">
        <v>21.48345119251</v>
      </c>
      <c r="AX54" s="8">
        <v>19.2023546751814</v>
      </c>
      <c r="AY54" s="8">
        <v>19.867603016128701</v>
      </c>
      <c r="AZ54" s="8">
        <v>22.023336042213401</v>
      </c>
      <c r="BA54" s="8">
        <v>12.976295534018901</v>
      </c>
      <c r="BB54" s="8"/>
      <c r="BC54" s="8"/>
      <c r="BD54" s="8"/>
      <c r="BE54" s="83">
        <v>923.66697064836831</v>
      </c>
    </row>
    <row r="55" spans="3:57">
      <c r="C55" s="4"/>
      <c r="D55" s="1" t="s">
        <v>309</v>
      </c>
      <c r="E55" s="1" t="s">
        <v>307</v>
      </c>
      <c r="F55" s="1" t="s">
        <v>180</v>
      </c>
      <c r="G55" s="7">
        <v>25.389608330054902</v>
      </c>
      <c r="H55" s="8">
        <v>30.897638202493599</v>
      </c>
      <c r="I55" s="8">
        <v>27.039971718459402</v>
      </c>
      <c r="J55" s="8">
        <v>17.776006821377301</v>
      </c>
      <c r="K55" s="8">
        <v>30.830601536084899</v>
      </c>
      <c r="L55" s="8">
        <v>35.448179929097599</v>
      </c>
      <c r="M55" s="8">
        <v>36.501178794822302</v>
      </c>
      <c r="N55" s="8">
        <v>27.012113481192301</v>
      </c>
      <c r="O55" s="8">
        <v>14.186285890783701</v>
      </c>
      <c r="P55" s="8">
        <v>16.274830037055398</v>
      </c>
      <c r="Q55" s="8">
        <v>30.366197765554698</v>
      </c>
      <c r="R55" s="8">
        <v>300.86272888627099</v>
      </c>
      <c r="S55" s="8">
        <v>64.462408747598303</v>
      </c>
      <c r="T55" s="8">
        <v>66.332758102471104</v>
      </c>
      <c r="U55" s="8">
        <v>66.169455500637198</v>
      </c>
      <c r="V55" s="8">
        <v>76.381798695247198</v>
      </c>
      <c r="W55" s="8">
        <v>79.0198290451426</v>
      </c>
      <c r="X55" s="8">
        <v>26.1726767163094</v>
      </c>
      <c r="Y55" s="8">
        <v>42.310128671976202</v>
      </c>
      <c r="Z55" s="8">
        <v>22.5709213104758</v>
      </c>
      <c r="AA55" s="8">
        <v>34.326149529006003</v>
      </c>
      <c r="AB55" s="8">
        <v>13.287403970978</v>
      </c>
      <c r="AC55" s="8">
        <v>37.763005082710201</v>
      </c>
      <c r="AD55" s="8">
        <v>40.150557174596898</v>
      </c>
      <c r="AE55" s="8">
        <v>16.9880599031043</v>
      </c>
      <c r="AF55" s="8">
        <v>25.274401550563201</v>
      </c>
      <c r="AG55" s="8">
        <v>25.704737224976402</v>
      </c>
      <c r="AH55" s="8">
        <v>17.888761768359199</v>
      </c>
      <c r="AI55" s="8">
        <v>21.621142556512599</v>
      </c>
      <c r="AJ55" s="8">
        <v>23.3296380945104</v>
      </c>
      <c r="AK55" s="8">
        <v>11.8821653649211</v>
      </c>
      <c r="AL55" s="8">
        <v>9.9014630752110602</v>
      </c>
      <c r="AM55" s="8">
        <v>14.007715853822299</v>
      </c>
      <c r="AN55" s="8">
        <v>5.2651741178459304</v>
      </c>
      <c r="AO55" s="8"/>
      <c r="AP55" s="8">
        <v>39.2010939079235</v>
      </c>
      <c r="AQ55" s="8">
        <v>18.0253910942156</v>
      </c>
      <c r="AR55" s="8">
        <v>14.8943399926747</v>
      </c>
      <c r="AS55" s="8">
        <v>17.919227514823799</v>
      </c>
      <c r="AT55" s="8">
        <v>24.8718052851609</v>
      </c>
      <c r="AU55" s="8">
        <v>28.337332512952202</v>
      </c>
      <c r="AV55" s="8">
        <v>33.645373712407803</v>
      </c>
      <c r="AW55" s="8">
        <v>24.335270749909999</v>
      </c>
      <c r="AX55" s="8">
        <v>10.569032966136</v>
      </c>
      <c r="AY55" s="8">
        <v>12.7172394454736</v>
      </c>
      <c r="AZ55" s="8">
        <v>20.1802779557073</v>
      </c>
      <c r="BA55" s="8">
        <v>14.7728013475097</v>
      </c>
      <c r="BB55" s="8"/>
      <c r="BC55" s="8"/>
      <c r="BD55" s="8"/>
      <c r="BE55" s="83">
        <v>1592.8648799351174</v>
      </c>
    </row>
    <row r="56" spans="3:57">
      <c r="C56" s="4"/>
      <c r="D56" s="1" t="s">
        <v>15</v>
      </c>
      <c r="E56" s="1" t="s">
        <v>307</v>
      </c>
      <c r="F56" s="1" t="s">
        <v>180</v>
      </c>
      <c r="G56" s="7">
        <v>31.014192574564099</v>
      </c>
      <c r="H56" s="8">
        <v>24.537421369767198</v>
      </c>
      <c r="I56" s="8">
        <v>22.427281607795301</v>
      </c>
      <c r="J56" s="8">
        <v>32.045682583341303</v>
      </c>
      <c r="K56" s="8">
        <v>44.221687910696801</v>
      </c>
      <c r="L56" s="8">
        <v>50.919575295108899</v>
      </c>
      <c r="M56" s="8">
        <v>38.8017283245767</v>
      </c>
      <c r="N56" s="8">
        <v>30.517101812385299</v>
      </c>
      <c r="O56" s="8">
        <v>19.411064982612999</v>
      </c>
      <c r="P56" s="8">
        <v>12.284862828832599</v>
      </c>
      <c r="Q56" s="8">
        <v>25.2707752441544</v>
      </c>
      <c r="R56" s="8">
        <v>51.7145012487522</v>
      </c>
      <c r="S56" s="8">
        <v>54.4501822583834</v>
      </c>
      <c r="T56" s="8">
        <v>51.5987842811154</v>
      </c>
      <c r="U56" s="8">
        <v>50.757442803439197</v>
      </c>
      <c r="V56" s="8">
        <v>67.430776814198197</v>
      </c>
      <c r="W56" s="8">
        <v>51.939854255008399</v>
      </c>
      <c r="X56" s="8">
        <v>39.517382293598303</v>
      </c>
      <c r="Y56" s="8">
        <v>40.654001747869202</v>
      </c>
      <c r="Z56" s="8">
        <v>33.580222723556197</v>
      </c>
      <c r="AA56" s="8">
        <v>30.985910940450498</v>
      </c>
      <c r="AB56" s="8">
        <v>23.765323025255</v>
      </c>
      <c r="AC56" s="8">
        <v>35.672142133847203</v>
      </c>
      <c r="AD56" s="8">
        <v>26.467140266471901</v>
      </c>
      <c r="AE56" s="8">
        <v>26.059071937697102</v>
      </c>
      <c r="AF56" s="8">
        <v>28.013781471600101</v>
      </c>
      <c r="AG56" s="8">
        <v>27.5719127786314</v>
      </c>
      <c r="AH56" s="8">
        <v>15.4299707457634</v>
      </c>
      <c r="AI56" s="8">
        <v>20.580015529258901</v>
      </c>
      <c r="AJ56" s="8">
        <v>25.3148636117844</v>
      </c>
      <c r="AK56" s="8">
        <v>20.498020232114001</v>
      </c>
      <c r="AL56" s="8">
        <v>16.924796534135002</v>
      </c>
      <c r="AM56" s="8">
        <v>34.751784647677503</v>
      </c>
      <c r="AN56" s="8">
        <v>27.419570965624001</v>
      </c>
      <c r="AO56" s="8"/>
      <c r="AP56" s="8">
        <v>36.618139375650301</v>
      </c>
      <c r="AQ56" s="8">
        <v>36.883480292501503</v>
      </c>
      <c r="AR56" s="8">
        <v>28.162127157925799</v>
      </c>
      <c r="AS56" s="8">
        <v>38.365226777142603</v>
      </c>
      <c r="AT56" s="8">
        <v>39.843390914202303</v>
      </c>
      <c r="AU56" s="8">
        <v>38.535358114585797</v>
      </c>
      <c r="AV56" s="8">
        <v>30.5761818597373</v>
      </c>
      <c r="AW56" s="8">
        <v>31.432137686452599</v>
      </c>
      <c r="AX56" s="8">
        <v>31.587918428361998</v>
      </c>
      <c r="AY56" s="8">
        <v>29.704735269519698</v>
      </c>
      <c r="AZ56" s="8">
        <v>31.2583303828422</v>
      </c>
      <c r="BA56" s="8">
        <v>20.8204791286025</v>
      </c>
      <c r="BB56" s="8"/>
      <c r="BC56" s="8"/>
      <c r="BD56" s="8"/>
      <c r="BE56" s="83">
        <v>1526.336333167591</v>
      </c>
    </row>
    <row r="57" spans="3:57">
      <c r="C57" s="4"/>
      <c r="D57" s="1" t="s">
        <v>16</v>
      </c>
      <c r="E57" s="1" t="s">
        <v>307</v>
      </c>
      <c r="F57" s="1" t="s">
        <v>180</v>
      </c>
      <c r="G57" s="7">
        <v>18.013051122352302</v>
      </c>
      <c r="H57" s="8">
        <v>4.7730009868994996</v>
      </c>
      <c r="I57" s="8">
        <v>12.7660729017254</v>
      </c>
      <c r="J57" s="8">
        <v>9.8370435401687804</v>
      </c>
      <c r="K57" s="8">
        <v>4.0409370095239101</v>
      </c>
      <c r="L57" s="8">
        <v>18.3940234039482</v>
      </c>
      <c r="M57" s="8">
        <v>12.731311062338699</v>
      </c>
      <c r="N57" s="8">
        <v>30.4269431734254</v>
      </c>
      <c r="O57" s="8">
        <v>12.9569800858986</v>
      </c>
      <c r="P57" s="8">
        <v>13.9444171457249</v>
      </c>
      <c r="Q57" s="8">
        <v>32.318055443815901</v>
      </c>
      <c r="R57" s="8">
        <v>22.9691231364685</v>
      </c>
      <c r="S57" s="8">
        <v>9.7382268701355397</v>
      </c>
      <c r="T57" s="8">
        <v>14.079511529451199</v>
      </c>
      <c r="U57" s="8">
        <v>8.0626341895031608</v>
      </c>
      <c r="V57" s="8">
        <v>3.9165248142812601</v>
      </c>
      <c r="W57" s="8">
        <v>3.25442217103986</v>
      </c>
      <c r="X57" s="8">
        <v>17.434195580370599</v>
      </c>
      <c r="Y57" s="8">
        <v>23.6325824636763</v>
      </c>
      <c r="Z57" s="8">
        <v>19.281520976740801</v>
      </c>
      <c r="AA57" s="8">
        <v>4.93040360071112</v>
      </c>
      <c r="AB57" s="8">
        <v>6.0112359932962898</v>
      </c>
      <c r="AC57" s="8">
        <v>1.63624491634653</v>
      </c>
      <c r="AD57" s="8">
        <v>9.0898894148059295</v>
      </c>
      <c r="AE57" s="8">
        <v>7.6004691353916298</v>
      </c>
      <c r="AF57" s="8">
        <v>14.9825279507369</v>
      </c>
      <c r="AG57" s="8">
        <v>12.3599132998266</v>
      </c>
      <c r="AH57" s="8">
        <v>12.8494170522684</v>
      </c>
      <c r="AI57" s="8">
        <v>4.66282835690303</v>
      </c>
      <c r="AJ57" s="8">
        <v>16.1630313313008</v>
      </c>
      <c r="AK57" s="8">
        <v>14.9029539294859</v>
      </c>
      <c r="AL57" s="8">
        <v>2.9515061361228101</v>
      </c>
      <c r="AM57" s="8">
        <v>5.0361836394212602</v>
      </c>
      <c r="AN57" s="8">
        <v>2.8753420070173199</v>
      </c>
      <c r="AO57" s="8"/>
      <c r="AP57" s="8">
        <v>4.4926215165146699</v>
      </c>
      <c r="AQ57" s="8">
        <v>12.620376114400701</v>
      </c>
      <c r="AR57" s="8">
        <v>1.3589572987496601</v>
      </c>
      <c r="AS57" s="8">
        <v>19.581065027592299</v>
      </c>
      <c r="AT57" s="8">
        <v>30.009841005171399</v>
      </c>
      <c r="AU57" s="8">
        <v>17.6313173552549</v>
      </c>
      <c r="AV57" s="8">
        <v>9.1668929329028508</v>
      </c>
      <c r="AW57" s="8">
        <v>3.30967679468008</v>
      </c>
      <c r="AX57" s="8">
        <v>1.8953827243124799</v>
      </c>
      <c r="AY57" s="8">
        <v>5.6771140811711396</v>
      </c>
      <c r="AZ57" s="8">
        <v>8.7223236282938004</v>
      </c>
      <c r="BA57" s="8">
        <v>9.7748049413968801</v>
      </c>
      <c r="BB57" s="8"/>
      <c r="BC57" s="8"/>
      <c r="BD57" s="8"/>
      <c r="BE57" s="83">
        <v>532.86289779156414</v>
      </c>
    </row>
    <row r="58" spans="3:57">
      <c r="C58" s="4"/>
      <c r="D58" s="1" t="s">
        <v>310</v>
      </c>
      <c r="E58" s="1" t="s">
        <v>307</v>
      </c>
      <c r="F58" s="1" t="s">
        <v>180</v>
      </c>
      <c r="G58" s="7">
        <v>72.984756294473797</v>
      </c>
      <c r="H58" s="8">
        <v>68.937857870908005</v>
      </c>
      <c r="I58" s="8">
        <v>39.5129568569577</v>
      </c>
      <c r="J58" s="8">
        <v>9.2245501147868794</v>
      </c>
      <c r="K58" s="8">
        <v>34.085130455732497</v>
      </c>
      <c r="L58" s="8">
        <v>39.121425274393502</v>
      </c>
      <c r="M58" s="8">
        <v>12.4059689526923</v>
      </c>
      <c r="N58" s="8">
        <v>89.069502276710395</v>
      </c>
      <c r="O58" s="8">
        <v>105.206863580128</v>
      </c>
      <c r="P58" s="8">
        <v>80.192256434193496</v>
      </c>
      <c r="Q58" s="8">
        <v>40.808794251390502</v>
      </c>
      <c r="R58" s="8">
        <v>10.2658409537685</v>
      </c>
      <c r="S58" s="8">
        <v>93.9149286719435</v>
      </c>
      <c r="T58" s="8">
        <v>115.363716358563</v>
      </c>
      <c r="U58" s="8">
        <v>61.462664255436898</v>
      </c>
      <c r="V58" s="8">
        <v>31.068986124852501</v>
      </c>
      <c r="W58" s="8">
        <v>65.539543886570598</v>
      </c>
      <c r="X58" s="8">
        <v>-13.096166885430099</v>
      </c>
      <c r="Y58" s="8">
        <v>-30.904965820210599</v>
      </c>
      <c r="Z58" s="8">
        <v>77.061318515214396</v>
      </c>
      <c r="AA58" s="8">
        <v>46.400174075656302</v>
      </c>
      <c r="AB58" s="8">
        <v>68.235788651912102</v>
      </c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>
        <v>43.913403162844403</v>
      </c>
      <c r="AV58" s="8">
        <v>11.447202147219199</v>
      </c>
      <c r="AW58" s="8">
        <v>66.9160442734333</v>
      </c>
      <c r="AX58" s="8">
        <v>42.912826843069197</v>
      </c>
      <c r="AY58" s="8">
        <v>23.006089042806501</v>
      </c>
      <c r="AZ58" s="8">
        <v>57.675090889359403</v>
      </c>
      <c r="BA58" s="8">
        <v>25.111519292011199</v>
      </c>
      <c r="BB58" s="8"/>
      <c r="BC58" s="8"/>
      <c r="BD58" s="8"/>
      <c r="BE58" s="83">
        <v>1387.8440668013875</v>
      </c>
    </row>
    <row r="59" spans="3:57">
      <c r="C59" s="4"/>
      <c r="D59" s="1" t="s">
        <v>311</v>
      </c>
      <c r="E59" s="1" t="s">
        <v>307</v>
      </c>
      <c r="F59" s="1" t="s">
        <v>180</v>
      </c>
      <c r="G59" s="7"/>
      <c r="H59" s="8"/>
      <c r="I59" s="8">
        <v>61.383071401558297</v>
      </c>
      <c r="J59" s="8">
        <v>30.779432797828001</v>
      </c>
      <c r="K59" s="8">
        <v>0.35728336768979402</v>
      </c>
      <c r="L59" s="8">
        <v>20.4398933771859</v>
      </c>
      <c r="M59" s="8">
        <v>4.5747580671677497</v>
      </c>
      <c r="N59" s="8">
        <v>29.993773314142999</v>
      </c>
      <c r="O59" s="8">
        <v>1.07042715160123</v>
      </c>
      <c r="P59" s="8">
        <v>34.324637309175301</v>
      </c>
      <c r="Q59" s="8">
        <v>3.8585302979760598</v>
      </c>
      <c r="R59" s="8"/>
      <c r="S59" s="8"/>
      <c r="T59" s="8">
        <v>-75891.421683244494</v>
      </c>
      <c r="U59" s="8">
        <v>-346916.60651035799</v>
      </c>
      <c r="V59" s="8">
        <v>-85449.492390284096</v>
      </c>
      <c r="W59" s="8">
        <v>43242.597299502697</v>
      </c>
      <c r="X59" s="8">
        <v>63.278853623692697</v>
      </c>
      <c r="Y59" s="8">
        <v>32.872403638978</v>
      </c>
      <c r="Z59" s="8">
        <v>2.4319817820213898</v>
      </c>
      <c r="AA59" s="8">
        <v>5.6803502266173203</v>
      </c>
      <c r="AB59" s="8"/>
      <c r="AC59" s="8">
        <v>-67.432501899852994</v>
      </c>
      <c r="AD59" s="8">
        <v>1128.1419641422201</v>
      </c>
      <c r="AE59" s="8"/>
      <c r="AF59" s="8">
        <v>2.3125862932070002E-2</v>
      </c>
      <c r="AG59" s="8">
        <v>91.3854975622626</v>
      </c>
      <c r="AH59" s="8"/>
      <c r="AI59" s="8"/>
      <c r="AJ59" s="8">
        <v>-1.5352312015924601</v>
      </c>
      <c r="AK59" s="8">
        <v>-34.436347933494197</v>
      </c>
      <c r="AL59" s="8"/>
      <c r="AM59" s="8">
        <v>3.20660062142331</v>
      </c>
      <c r="AN59" s="8"/>
      <c r="AO59" s="8"/>
      <c r="AP59" s="8"/>
      <c r="AQ59" s="8">
        <v>31974.277101675401</v>
      </c>
      <c r="AR59" s="8"/>
      <c r="AS59" s="8">
        <v>-9138.4931115017898</v>
      </c>
      <c r="AT59" s="8">
        <v>-53432.079150594298</v>
      </c>
      <c r="AU59" s="8"/>
      <c r="AV59" s="8">
        <v>-17460.279993387601</v>
      </c>
      <c r="AW59" s="8">
        <v>-70890.922058990996</v>
      </c>
      <c r="AX59" s="8"/>
      <c r="AY59" s="8"/>
      <c r="AZ59" s="8"/>
      <c r="BA59" s="8"/>
      <c r="BB59" s="8"/>
      <c r="BC59" s="8"/>
      <c r="BD59" s="8"/>
      <c r="BE59" s="83">
        <v>-582552.02199367364</v>
      </c>
    </row>
    <row r="60" spans="3:57">
      <c r="C60" s="4"/>
      <c r="D60" s="1" t="s">
        <v>17</v>
      </c>
      <c r="E60" s="1" t="s">
        <v>307</v>
      </c>
      <c r="F60" s="1" t="s">
        <v>180</v>
      </c>
      <c r="G60" s="7">
        <v>38.551987338413603</v>
      </c>
      <c r="H60" s="8">
        <v>40.1360794226282</v>
      </c>
      <c r="I60" s="8">
        <v>38.269480779507603</v>
      </c>
      <c r="J60" s="8">
        <v>50.039655488082701</v>
      </c>
      <c r="K60" s="8">
        <v>57.457093788679103</v>
      </c>
      <c r="L60" s="8">
        <v>52.782305661578398</v>
      </c>
      <c r="M60" s="8">
        <v>52.7010342377963</v>
      </c>
      <c r="N60" s="8">
        <v>49.716960366957998</v>
      </c>
      <c r="O60" s="8">
        <v>52.988660193944902</v>
      </c>
      <c r="P60" s="8">
        <v>60.467345282425697</v>
      </c>
      <c r="Q60" s="8">
        <v>56.987632111701302</v>
      </c>
      <c r="R60" s="8">
        <v>50.269624858763898</v>
      </c>
      <c r="S60" s="8">
        <v>52.686209122406503</v>
      </c>
      <c r="T60" s="8">
        <v>46.637074775123097</v>
      </c>
      <c r="U60" s="8">
        <v>47.190627610862698</v>
      </c>
      <c r="V60" s="8">
        <v>57.302027226870997</v>
      </c>
      <c r="W60" s="8">
        <v>73.720090742630404</v>
      </c>
      <c r="X60" s="8">
        <v>63.408943122222901</v>
      </c>
      <c r="Y60" s="8">
        <v>49.216604345389101</v>
      </c>
      <c r="Z60" s="8">
        <v>49.6161745286756</v>
      </c>
      <c r="AA60" s="8">
        <v>40.890218153349203</v>
      </c>
      <c r="AB60" s="8">
        <v>42.687892391564098</v>
      </c>
      <c r="AC60" s="8">
        <v>55.440271245534802</v>
      </c>
      <c r="AD60" s="8">
        <v>53.474658354091403</v>
      </c>
      <c r="AE60" s="8">
        <v>43.952037578352503</v>
      </c>
      <c r="AF60" s="8">
        <v>53.012445382964202</v>
      </c>
      <c r="AG60" s="8">
        <v>64.844696786106795</v>
      </c>
      <c r="AH60" s="8">
        <v>48.955287239643603</v>
      </c>
      <c r="AI60" s="8">
        <v>52.861549686656801</v>
      </c>
      <c r="AJ60" s="8">
        <v>44.039311560662398</v>
      </c>
      <c r="AK60" s="8">
        <v>38.804807154641203</v>
      </c>
      <c r="AL60" s="8">
        <v>45.1155451138685</v>
      </c>
      <c r="AM60" s="8">
        <v>55.320094546721499</v>
      </c>
      <c r="AN60" s="8">
        <v>48.533716581438398</v>
      </c>
      <c r="AO60" s="8"/>
      <c r="AP60" s="8">
        <v>39.148506197261199</v>
      </c>
      <c r="AQ60" s="8">
        <v>36.501477414270099</v>
      </c>
      <c r="AR60" s="8">
        <v>40.722938553636503</v>
      </c>
      <c r="AS60" s="8">
        <v>48.789136888312399</v>
      </c>
      <c r="AT60" s="8">
        <v>55.993659789259098</v>
      </c>
      <c r="AU60" s="8">
        <v>55.723733711786203</v>
      </c>
      <c r="AV60" s="8">
        <v>50.372854365067496</v>
      </c>
      <c r="AW60" s="8">
        <v>42.667444711281398</v>
      </c>
      <c r="AX60" s="8">
        <v>35.752169434265198</v>
      </c>
      <c r="AY60" s="8">
        <v>46.235259744669797</v>
      </c>
      <c r="AZ60" s="8">
        <v>54.918467445849103</v>
      </c>
      <c r="BA60" s="8">
        <v>48.678242046072398</v>
      </c>
      <c r="BB60" s="8"/>
      <c r="BC60" s="8"/>
      <c r="BD60" s="8"/>
      <c r="BE60" s="83">
        <v>2283.5820330819874</v>
      </c>
    </row>
    <row r="61" spans="3:57">
      <c r="C61" s="4"/>
      <c r="D61" s="1" t="s">
        <v>18</v>
      </c>
      <c r="E61" s="1" t="s">
        <v>307</v>
      </c>
      <c r="F61" s="1" t="s">
        <v>180</v>
      </c>
      <c r="G61" s="7">
        <v>109095.68444532499</v>
      </c>
      <c r="H61" s="8">
        <v>-69395.890003060296</v>
      </c>
      <c r="I61" s="8">
        <v>-207079.87944769999</v>
      </c>
      <c r="J61" s="8">
        <v>608.02952159478696</v>
      </c>
      <c r="K61" s="8">
        <v>605.38842081569805</v>
      </c>
      <c r="L61" s="8">
        <v>616.67023151339595</v>
      </c>
      <c r="M61" s="8">
        <v>-72483.926979573196</v>
      </c>
      <c r="N61" s="8">
        <v>49925.911853366</v>
      </c>
      <c r="O61" s="8">
        <v>3725047.0193934902</v>
      </c>
      <c r="P61" s="8">
        <v>3677395.4221531302</v>
      </c>
      <c r="Q61" s="8">
        <v>-17723.654269855</v>
      </c>
      <c r="R61" s="8"/>
      <c r="S61" s="8"/>
      <c r="T61" s="8"/>
      <c r="U61" s="8"/>
      <c r="V61" s="8"/>
      <c r="W61" s="8"/>
      <c r="X61" s="8"/>
      <c r="Y61" s="8">
        <v>46.461525651746101</v>
      </c>
      <c r="Z61" s="8">
        <v>182.37073996631599</v>
      </c>
      <c r="AA61" s="8">
        <v>179.320647109731</v>
      </c>
      <c r="AB61" s="8">
        <v>-61.243159261216398</v>
      </c>
      <c r="AC61" s="8">
        <v>95.754265132711893</v>
      </c>
      <c r="AD61" s="8">
        <v>110.786260551327</v>
      </c>
      <c r="AE61" s="8">
        <v>-178.80157995357399</v>
      </c>
      <c r="AF61" s="8">
        <v>-214.512900672016</v>
      </c>
      <c r="AG61" s="8">
        <v>-93.524410120526696</v>
      </c>
      <c r="AH61" s="8">
        <v>-154.105934100779</v>
      </c>
      <c r="AI61" s="8">
        <v>-170.38772791893101</v>
      </c>
      <c r="AJ61" s="8">
        <v>-252.801094644529</v>
      </c>
      <c r="AK61" s="8">
        <v>-50.377848841322198</v>
      </c>
      <c r="AL61" s="8">
        <v>-129.488714372819</v>
      </c>
      <c r="AM61" s="8">
        <v>-230.54102066522799</v>
      </c>
      <c r="AN61" s="8">
        <v>-208.34124302691799</v>
      </c>
      <c r="AO61" s="8"/>
      <c r="AP61" s="8">
        <v>-17.254449935008601</v>
      </c>
      <c r="AQ61" s="8">
        <v>-25.052978052868902</v>
      </c>
      <c r="AR61" s="8">
        <v>-25.8455441976371</v>
      </c>
      <c r="AS61" s="8">
        <v>-103.934452425834</v>
      </c>
      <c r="AT61" s="8">
        <v>-456.03716604377701</v>
      </c>
      <c r="AU61" s="8">
        <v>-519.78110622241604</v>
      </c>
      <c r="AV61" s="8">
        <v>-363.21565972619101</v>
      </c>
      <c r="AW61" s="8">
        <v>-1508.29249421902</v>
      </c>
      <c r="AX61" s="8">
        <v>-1702.6476676791201</v>
      </c>
      <c r="AY61" s="8">
        <v>2627.52805373295</v>
      </c>
      <c r="AZ61" s="8">
        <v>22836.772530907001</v>
      </c>
      <c r="BA61" s="8">
        <v>-107083.988436969</v>
      </c>
      <c r="BB61" s="8"/>
      <c r="BC61" s="8"/>
      <c r="BD61" s="8"/>
      <c r="BE61" s="83">
        <v>7109139.5937530501</v>
      </c>
    </row>
    <row r="62" spans="3:57">
      <c r="C62" s="1" t="s">
        <v>265</v>
      </c>
      <c r="D62" s="1" t="s">
        <v>7</v>
      </c>
      <c r="E62" s="1" t="s">
        <v>307</v>
      </c>
      <c r="F62" s="1" t="s">
        <v>183</v>
      </c>
      <c r="G62" s="7">
        <v>29011.299893810199</v>
      </c>
      <c r="H62" s="8">
        <v>137120.967747307</v>
      </c>
      <c r="I62" s="8">
        <v>67759.544054640704</v>
      </c>
      <c r="J62" s="8">
        <v>31159.944213434101</v>
      </c>
      <c r="K62" s="8">
        <v>6103.66549099452</v>
      </c>
      <c r="L62" s="8">
        <v>18286.895774447901</v>
      </c>
      <c r="M62" s="8">
        <v>5666.0466970614098</v>
      </c>
      <c r="N62" s="8">
        <v>431.98103601026003</v>
      </c>
      <c r="O62" s="8">
        <v>43234.149383875898</v>
      </c>
      <c r="P62" s="8">
        <v>29441.4612412713</v>
      </c>
      <c r="Q62" s="8">
        <v>38548.451194078603</v>
      </c>
      <c r="R62" s="8">
        <v>41742.081443868301</v>
      </c>
      <c r="S62" s="8">
        <v>58074.528142830903</v>
      </c>
      <c r="T62" s="8">
        <v>131531.616606714</v>
      </c>
      <c r="U62" s="8">
        <v>135027.010237104</v>
      </c>
      <c r="V62" s="8">
        <v>189328.405611366</v>
      </c>
      <c r="W62" s="8">
        <v>113796.075921119</v>
      </c>
      <c r="X62" s="8">
        <v>295493.72819722397</v>
      </c>
      <c r="Y62" s="8">
        <v>132729.23281454199</v>
      </c>
      <c r="Z62" s="8">
        <v>28592.5790809317</v>
      </c>
      <c r="AA62" s="8">
        <v>88691.827190958604</v>
      </c>
      <c r="AB62" s="8">
        <v>40873.7303284601</v>
      </c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3">
        <v>1662645.2223020503</v>
      </c>
    </row>
    <row r="63" spans="3:57">
      <c r="C63" s="4"/>
      <c r="D63" s="1" t="s">
        <v>308</v>
      </c>
      <c r="E63" s="1" t="s">
        <v>307</v>
      </c>
      <c r="F63" s="1" t="s">
        <v>183</v>
      </c>
      <c r="G63" s="7">
        <v>9413.8476585433691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573.19890627466498</v>
      </c>
      <c r="O63" s="8">
        <v>0</v>
      </c>
      <c r="P63" s="8">
        <v>555.95223149905098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606.185723555957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3">
        <v>11149.184519873043</v>
      </c>
    </row>
    <row r="64" spans="3:57">
      <c r="C64" s="4"/>
      <c r="D64" s="1" t="s">
        <v>8</v>
      </c>
      <c r="E64" s="1" t="s">
        <v>307</v>
      </c>
      <c r="F64" s="1" t="s">
        <v>183</v>
      </c>
      <c r="G64" s="7">
        <v>40020.104294848003</v>
      </c>
      <c r="H64" s="8">
        <v>94366.6098075302</v>
      </c>
      <c r="I64" s="8">
        <v>9081.3650681137697</v>
      </c>
      <c r="J64" s="8">
        <v>34751.2002260347</v>
      </c>
      <c r="K64" s="8">
        <v>21043.7399248238</v>
      </c>
      <c r="L64" s="8">
        <v>41232.491148856498</v>
      </c>
      <c r="M64" s="8">
        <v>23920.813560480299</v>
      </c>
      <c r="N64" s="8">
        <v>59391.777245363097</v>
      </c>
      <c r="O64" s="8">
        <v>60615.230858937699</v>
      </c>
      <c r="P64" s="8">
        <v>9181.2088311195403</v>
      </c>
      <c r="Q64" s="8">
        <v>61299.182403414801</v>
      </c>
      <c r="R64" s="8">
        <v>321541.03480604099</v>
      </c>
      <c r="S64" s="8">
        <v>22830.761617345099</v>
      </c>
      <c r="T64" s="8">
        <v>11636.280687500001</v>
      </c>
      <c r="U64" s="8">
        <v>36132.942086515803</v>
      </c>
      <c r="V64" s="8">
        <v>111816.16834612899</v>
      </c>
      <c r="W64" s="8">
        <v>17715.4625518953</v>
      </c>
      <c r="X64" s="8">
        <v>30323.827553153598</v>
      </c>
      <c r="Y64" s="8">
        <v>48125.858168653001</v>
      </c>
      <c r="Z64" s="8">
        <v>45835.814472498503</v>
      </c>
      <c r="AA64" s="8">
        <v>180297.767521306</v>
      </c>
      <c r="AB64" s="8">
        <v>19572.031459161299</v>
      </c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3">
        <v>1300731.6726397213</v>
      </c>
    </row>
    <row r="65" spans="3:57">
      <c r="C65" s="4"/>
      <c r="D65" s="1" t="s">
        <v>9</v>
      </c>
      <c r="E65" s="1" t="s">
        <v>307</v>
      </c>
      <c r="F65" s="1" t="s">
        <v>183</v>
      </c>
      <c r="G65" s="7">
        <v>255.46474406968099</v>
      </c>
      <c r="H65" s="8">
        <v>822.08204027348495</v>
      </c>
      <c r="I65" s="8">
        <v>1382.72285703593</v>
      </c>
      <c r="J65" s="8">
        <v>1619.2185881554699</v>
      </c>
      <c r="K65" s="8">
        <v>1609.5431182458899</v>
      </c>
      <c r="L65" s="8">
        <v>1376.87608270899</v>
      </c>
      <c r="M65" s="8">
        <v>1618.6217110221601</v>
      </c>
      <c r="N65" s="8">
        <v>1588.1494729676399</v>
      </c>
      <c r="O65" s="8">
        <v>1555.1475997525199</v>
      </c>
      <c r="P65" s="8">
        <v>0</v>
      </c>
      <c r="Q65" s="8">
        <v>0</v>
      </c>
      <c r="R65" s="8">
        <v>0</v>
      </c>
      <c r="S65" s="8">
        <v>0</v>
      </c>
      <c r="T65" s="8">
        <v>2468.1590524927201</v>
      </c>
      <c r="U65" s="8">
        <v>2884.5913484162902</v>
      </c>
      <c r="V65" s="8">
        <v>3004.9828667727702</v>
      </c>
      <c r="W65" s="8">
        <v>2984.4309386281602</v>
      </c>
      <c r="X65" s="8">
        <v>0</v>
      </c>
      <c r="Y65" s="8">
        <v>0</v>
      </c>
      <c r="Z65" s="8">
        <v>584.79177964804899</v>
      </c>
      <c r="AA65" s="8">
        <v>575.07792984512298</v>
      </c>
      <c r="AB65" s="8">
        <v>581.22780635559798</v>
      </c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3">
        <v>24911.087936390475</v>
      </c>
    </row>
    <row r="66" spans="3:57">
      <c r="C66" s="4"/>
      <c r="D66" s="1" t="s">
        <v>11</v>
      </c>
      <c r="E66" s="1" t="s">
        <v>307</v>
      </c>
      <c r="F66" s="1" t="s">
        <v>183</v>
      </c>
      <c r="G66" s="7">
        <v>0</v>
      </c>
      <c r="H66" s="8">
        <v>10136.8310049639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3">
        <v>10136.8310049639</v>
      </c>
    </row>
    <row r="67" spans="3:57">
      <c r="C67" s="4"/>
      <c r="D67" s="1" t="s">
        <v>13</v>
      </c>
      <c r="E67" s="1" t="s">
        <v>307</v>
      </c>
      <c r="F67" s="1" t="s">
        <v>183</v>
      </c>
      <c r="G67" s="7">
        <v>227905.54474193801</v>
      </c>
      <c r="H67" s="8">
        <v>275812.22968905099</v>
      </c>
      <c r="I67" s="8">
        <v>671746.34762649704</v>
      </c>
      <c r="J67" s="8">
        <v>299550.62756634702</v>
      </c>
      <c r="K67" s="8">
        <v>168022.82026468299</v>
      </c>
      <c r="L67" s="8">
        <v>537425.78297180601</v>
      </c>
      <c r="M67" s="8">
        <v>297464.83947027201</v>
      </c>
      <c r="N67" s="8">
        <v>729154.56079261994</v>
      </c>
      <c r="O67" s="8">
        <v>609143.22695745295</v>
      </c>
      <c r="P67" s="8">
        <v>392153.54176584398</v>
      </c>
      <c r="Q67" s="8">
        <v>314962.85987666901</v>
      </c>
      <c r="R67" s="8">
        <v>90335.363953329696</v>
      </c>
      <c r="S67" s="8">
        <v>238251.06686972899</v>
      </c>
      <c r="T67" s="8">
        <v>413384.067973617</v>
      </c>
      <c r="U67" s="8">
        <v>116612.640892308</v>
      </c>
      <c r="V67" s="8">
        <v>245492.306690853</v>
      </c>
      <c r="W67" s="8">
        <v>675942.39976651606</v>
      </c>
      <c r="X67" s="8">
        <v>487013.03229605901</v>
      </c>
      <c r="Y67" s="8">
        <v>607221.17618357204</v>
      </c>
      <c r="Z67" s="8">
        <v>204613.54850165799</v>
      </c>
      <c r="AA67" s="8">
        <v>569298.64217680995</v>
      </c>
      <c r="AB67" s="8">
        <v>310817.650711547</v>
      </c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3">
        <v>8482324.2777391784</v>
      </c>
    </row>
    <row r="68" spans="3:57">
      <c r="C68" s="4"/>
      <c r="D68" s="1" t="s">
        <v>309</v>
      </c>
      <c r="E68" s="1" t="s">
        <v>307</v>
      </c>
      <c r="F68" s="1" t="s">
        <v>183</v>
      </c>
      <c r="G68" s="7">
        <v>4461.7045101927397</v>
      </c>
      <c r="H68" s="8">
        <v>5662.1951993069197</v>
      </c>
      <c r="I68" s="8">
        <v>6244.46089446108</v>
      </c>
      <c r="J68" s="8">
        <v>7769.1303268392003</v>
      </c>
      <c r="K68" s="8">
        <v>9294.5249835552095</v>
      </c>
      <c r="L68" s="8">
        <v>6027.1779156151397</v>
      </c>
      <c r="M68" s="8">
        <v>15227.3557325002</v>
      </c>
      <c r="N68" s="8">
        <v>10543.299984116</v>
      </c>
      <c r="O68" s="8">
        <v>2060.9843844469801</v>
      </c>
      <c r="P68" s="8">
        <v>33413.720742504702</v>
      </c>
      <c r="Q68" s="8">
        <v>40823.176836617902</v>
      </c>
      <c r="R68" s="8">
        <v>2349.1108230531299</v>
      </c>
      <c r="S68" s="8">
        <v>1129.72000504217</v>
      </c>
      <c r="T68" s="8">
        <v>7070.3906497452699</v>
      </c>
      <c r="U68" s="8">
        <v>1805.56464217195</v>
      </c>
      <c r="V68" s="8">
        <v>1379.28405065069</v>
      </c>
      <c r="W68" s="8">
        <v>1850.04077220217</v>
      </c>
      <c r="X68" s="8">
        <v>1899.42817720843</v>
      </c>
      <c r="Y68" s="8">
        <v>1406.0148062248099</v>
      </c>
      <c r="Z68" s="8">
        <v>906.10052469608104</v>
      </c>
      <c r="AA68" s="8">
        <v>749.78073654248601</v>
      </c>
      <c r="AB68" s="8">
        <v>662.59724835857503</v>
      </c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3">
        <v>162735.76394605185</v>
      </c>
    </row>
    <row r="69" spans="3:57">
      <c r="C69" s="4"/>
      <c r="D69" s="1" t="s">
        <v>15</v>
      </c>
      <c r="E69" s="1" t="s">
        <v>307</v>
      </c>
      <c r="F69" s="1" t="s">
        <v>183</v>
      </c>
      <c r="G69" s="7">
        <v>10745.2559586731</v>
      </c>
      <c r="H69" s="8">
        <v>2130.51032574693</v>
      </c>
      <c r="I69" s="8">
        <v>8071.66069535928</v>
      </c>
      <c r="J69" s="8">
        <v>29367.1676252787</v>
      </c>
      <c r="K69" s="8">
        <v>91495.652692247502</v>
      </c>
      <c r="L69" s="8">
        <v>64467.511391462896</v>
      </c>
      <c r="M69" s="8">
        <v>122297.786246998</v>
      </c>
      <c r="N69" s="8">
        <v>188862.072448994</v>
      </c>
      <c r="O69" s="8">
        <v>166796.154814582</v>
      </c>
      <c r="P69" s="8">
        <v>101449.238749431</v>
      </c>
      <c r="Q69" s="8">
        <v>177351.88758023799</v>
      </c>
      <c r="R69" s="8">
        <v>253956.61800655001</v>
      </c>
      <c r="S69" s="8">
        <v>201071.79833039999</v>
      </c>
      <c r="T69" s="8">
        <v>240900.892610262</v>
      </c>
      <c r="U69" s="8">
        <v>273839.70603583701</v>
      </c>
      <c r="V69" s="8">
        <v>410578.35239631101</v>
      </c>
      <c r="W69" s="8">
        <v>204376.925415704</v>
      </c>
      <c r="X69" s="8">
        <v>258696.310414554</v>
      </c>
      <c r="Y69" s="8">
        <v>74894.065189316607</v>
      </c>
      <c r="Z69" s="8">
        <v>56977.466457706403</v>
      </c>
      <c r="AA69" s="8">
        <v>21849.339058518199</v>
      </c>
      <c r="AB69" s="8">
        <v>12070.6941162567</v>
      </c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3">
        <v>2972247.0665604272</v>
      </c>
    </row>
    <row r="70" spans="3:57">
      <c r="C70" s="4"/>
      <c r="D70" s="1" t="s">
        <v>16</v>
      </c>
      <c r="E70" s="1" t="s">
        <v>307</v>
      </c>
      <c r="F70" s="1" t="s">
        <v>183</v>
      </c>
      <c r="G70" s="7">
        <v>119191.497532339</v>
      </c>
      <c r="H70" s="8">
        <v>85932.741710218193</v>
      </c>
      <c r="I70" s="8">
        <v>20652.393458083799</v>
      </c>
      <c r="J70" s="8">
        <v>12732.0951036154</v>
      </c>
      <c r="K70" s="8">
        <v>0</v>
      </c>
      <c r="L70" s="8">
        <v>102844.557333695</v>
      </c>
      <c r="M70" s="8">
        <v>93294.199231865699</v>
      </c>
      <c r="N70" s="8">
        <v>367968.20130929397</v>
      </c>
      <c r="O70" s="8">
        <v>84333.176968874905</v>
      </c>
      <c r="P70" s="8">
        <v>133805.51467647101</v>
      </c>
      <c r="Q70" s="8">
        <v>18273.7786969394</v>
      </c>
      <c r="R70" s="8">
        <v>53987.191767376302</v>
      </c>
      <c r="S70" s="8">
        <v>25044.913325632599</v>
      </c>
      <c r="T70" s="8">
        <v>58203.689228438903</v>
      </c>
      <c r="U70" s="8">
        <v>16454.6093755656</v>
      </c>
      <c r="V70" s="8">
        <v>54766.537768467402</v>
      </c>
      <c r="W70" s="8">
        <v>76936.653254963894</v>
      </c>
      <c r="X70" s="8">
        <v>57948.2574183791</v>
      </c>
      <c r="Y70" s="8">
        <v>140791.38270547899</v>
      </c>
      <c r="Z70" s="8">
        <v>173538.64051525999</v>
      </c>
      <c r="AA70" s="8">
        <v>85021.598121724601</v>
      </c>
      <c r="AB70" s="8">
        <v>59808.378037293201</v>
      </c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3">
        <v>1841530.0075399769</v>
      </c>
    </row>
    <row r="71" spans="3:57">
      <c r="C71" s="4"/>
      <c r="D71" s="1" t="s">
        <v>20</v>
      </c>
      <c r="E71" s="1" t="s">
        <v>307</v>
      </c>
      <c r="F71" s="1" t="s">
        <v>183</v>
      </c>
      <c r="G71" s="7">
        <v>0</v>
      </c>
      <c r="H71" s="8">
        <v>0</v>
      </c>
      <c r="I71" s="8"/>
      <c r="J71" s="8"/>
      <c r="K71" s="8"/>
      <c r="L71" s="8">
        <v>0</v>
      </c>
      <c r="M71" s="8">
        <v>0</v>
      </c>
      <c r="N71" s="8">
        <v>0</v>
      </c>
      <c r="O71" s="8">
        <v>313.63829925756698</v>
      </c>
      <c r="P71" s="8">
        <v>308.81259165085402</v>
      </c>
      <c r="Q71" s="8">
        <v>303.57976641540301</v>
      </c>
      <c r="R71" s="8">
        <v>300.45264519650698</v>
      </c>
      <c r="S71" s="8">
        <v>291.08739383938399</v>
      </c>
      <c r="T71" s="8"/>
      <c r="U71" s="8">
        <v>0</v>
      </c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3">
        <v>1517.5706963597152</v>
      </c>
    </row>
    <row r="72" spans="3:57">
      <c r="C72" s="4"/>
      <c r="D72" s="1" t="s">
        <v>310</v>
      </c>
      <c r="E72" s="1" t="s">
        <v>307</v>
      </c>
      <c r="F72" s="1" t="s">
        <v>183</v>
      </c>
      <c r="G72" s="7">
        <v>0</v>
      </c>
      <c r="H72" s="8">
        <v>0</v>
      </c>
      <c r="I72" s="8">
        <v>0</v>
      </c>
      <c r="J72" s="8">
        <v>13249.825161577999</v>
      </c>
      <c r="K72" s="8">
        <v>9137.80635552075</v>
      </c>
      <c r="L72" s="8">
        <v>218.17160331230301</v>
      </c>
      <c r="M72" s="8">
        <v>887.61544469393698</v>
      </c>
      <c r="N72" s="8">
        <v>174.17921270718199</v>
      </c>
      <c r="O72" s="8">
        <v>78.133427565200805</v>
      </c>
      <c r="P72" s="8">
        <v>16203.720402941201</v>
      </c>
      <c r="Q72" s="8">
        <v>0</v>
      </c>
      <c r="R72" s="8">
        <v>0</v>
      </c>
      <c r="S72" s="8">
        <v>1927.6021902273601</v>
      </c>
      <c r="T72" s="8">
        <v>177.31536981440999</v>
      </c>
      <c r="U72" s="8">
        <v>0</v>
      </c>
      <c r="V72" s="8">
        <v>0</v>
      </c>
      <c r="W72" s="8">
        <v>0</v>
      </c>
      <c r="X72" s="8">
        <v>0</v>
      </c>
      <c r="Y72" s="8">
        <v>0</v>
      </c>
      <c r="Z72" s="8">
        <v>0</v>
      </c>
      <c r="AA72" s="8">
        <v>143.32995948095399</v>
      </c>
      <c r="AB72" s="8">
        <v>144.86272835507299</v>
      </c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3">
        <v>42342.561856196364</v>
      </c>
    </row>
    <row r="73" spans="3:57">
      <c r="C73" s="4"/>
      <c r="D73" s="1" t="s">
        <v>311</v>
      </c>
      <c r="E73" s="1" t="s">
        <v>307</v>
      </c>
      <c r="F73" s="1" t="s">
        <v>183</v>
      </c>
      <c r="G73" s="7">
        <v>0</v>
      </c>
      <c r="H73" s="8">
        <v>0</v>
      </c>
      <c r="I73" s="8">
        <v>0</v>
      </c>
      <c r="J73" s="8">
        <v>0</v>
      </c>
      <c r="K73" s="8">
        <v>0</v>
      </c>
      <c r="L73" s="8">
        <v>0</v>
      </c>
      <c r="M73" s="8">
        <v>0</v>
      </c>
      <c r="N73" s="8">
        <v>0</v>
      </c>
      <c r="O73" s="8">
        <v>0</v>
      </c>
      <c r="P73" s="8">
        <v>0</v>
      </c>
      <c r="Q73" s="8">
        <v>0</v>
      </c>
      <c r="R73" s="8">
        <v>0</v>
      </c>
      <c r="S73" s="8">
        <v>0</v>
      </c>
      <c r="T73" s="8">
        <v>0</v>
      </c>
      <c r="U73" s="8">
        <v>0</v>
      </c>
      <c r="V73" s="8">
        <v>0</v>
      </c>
      <c r="W73" s="8">
        <v>0</v>
      </c>
      <c r="X73" s="8">
        <v>0</v>
      </c>
      <c r="Y73" s="8">
        <v>0</v>
      </c>
      <c r="Z73" s="8">
        <v>0</v>
      </c>
      <c r="AA73" s="8">
        <v>0</v>
      </c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3">
        <v>0</v>
      </c>
    </row>
    <row r="74" spans="3:57">
      <c r="C74" s="4"/>
      <c r="D74" s="1" t="s">
        <v>17</v>
      </c>
      <c r="E74" s="1" t="s">
        <v>307</v>
      </c>
      <c r="F74" s="1" t="s">
        <v>183</v>
      </c>
      <c r="G74" s="7">
        <v>43214.8878767606</v>
      </c>
      <c r="H74" s="8">
        <v>9597.1268686897092</v>
      </c>
      <c r="I74" s="8">
        <v>6728.9272836826303</v>
      </c>
      <c r="J74" s="8">
        <v>16128.1088802947</v>
      </c>
      <c r="K74" s="8">
        <v>16529.283594361801</v>
      </c>
      <c r="L74" s="8">
        <v>9495.3024029968492</v>
      </c>
      <c r="M74" s="8">
        <v>45809.393519671998</v>
      </c>
      <c r="N74" s="8">
        <v>24394.3627485201</v>
      </c>
      <c r="O74" s="8">
        <v>115421.70433114401</v>
      </c>
      <c r="P74" s="8">
        <v>191424.685443833</v>
      </c>
      <c r="Q74" s="8">
        <v>145865.408030333</v>
      </c>
      <c r="R74" s="8">
        <v>177347.573509643</v>
      </c>
      <c r="S74" s="8">
        <v>76712.051324165703</v>
      </c>
      <c r="T74" s="8">
        <v>42304.873429221298</v>
      </c>
      <c r="U74" s="8">
        <v>76812.091947511304</v>
      </c>
      <c r="V74" s="8">
        <v>57390.7609221983</v>
      </c>
      <c r="W74" s="8">
        <v>93230.497143321307</v>
      </c>
      <c r="X74" s="8">
        <v>263922.49055955902</v>
      </c>
      <c r="Y74" s="8">
        <v>144421.18927711601</v>
      </c>
      <c r="Z74" s="8">
        <v>101431.397487801</v>
      </c>
      <c r="AA74" s="8">
        <v>104647.299486982</v>
      </c>
      <c r="AB74" s="8">
        <v>20125.5182904666</v>
      </c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3">
        <v>1782954.9343582739</v>
      </c>
    </row>
    <row r="75" spans="3:57">
      <c r="C75" s="4"/>
      <c r="D75" s="1" t="s">
        <v>18</v>
      </c>
      <c r="E75" s="1" t="s">
        <v>307</v>
      </c>
      <c r="F75" s="1" t="s">
        <v>183</v>
      </c>
      <c r="G75" s="7">
        <v>0</v>
      </c>
      <c r="H75" s="8">
        <v>0</v>
      </c>
      <c r="I75" s="8">
        <v>0</v>
      </c>
      <c r="J75" s="8">
        <v>0</v>
      </c>
      <c r="K75" s="8">
        <v>0</v>
      </c>
      <c r="L75" s="8">
        <v>0</v>
      </c>
      <c r="M75" s="8">
        <v>0</v>
      </c>
      <c r="N75" s="8">
        <v>0</v>
      </c>
      <c r="O75" s="8">
        <v>0</v>
      </c>
      <c r="P75" s="8">
        <v>0</v>
      </c>
      <c r="Q75" s="8">
        <v>0</v>
      </c>
      <c r="R75" s="8">
        <v>0</v>
      </c>
      <c r="S75" s="8">
        <v>0</v>
      </c>
      <c r="T75" s="8">
        <v>0</v>
      </c>
      <c r="U75" s="8">
        <v>0</v>
      </c>
      <c r="V75" s="8">
        <v>0</v>
      </c>
      <c r="W75" s="8">
        <v>0</v>
      </c>
      <c r="X75" s="8">
        <v>0</v>
      </c>
      <c r="Y75" s="8">
        <v>0</v>
      </c>
      <c r="Z75" s="8">
        <v>0</v>
      </c>
      <c r="AA75" s="8">
        <v>0</v>
      </c>
      <c r="AB75" s="8">
        <v>0</v>
      </c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3">
        <v>0</v>
      </c>
    </row>
    <row r="76" spans="3:57">
      <c r="C76" s="77" t="s">
        <v>166</v>
      </c>
      <c r="D76" s="78"/>
      <c r="E76" s="78"/>
      <c r="F76" s="78"/>
      <c r="G76" s="80">
        <v>131314113.11059847</v>
      </c>
      <c r="H76" s="81">
        <v>118621255.65886533</v>
      </c>
      <c r="I76" s="81">
        <v>130988400.29424617</v>
      </c>
      <c r="J76" s="81">
        <v>149226047.38881215</v>
      </c>
      <c r="K76" s="81">
        <v>176916768.03318846</v>
      </c>
      <c r="L76" s="81">
        <v>189134043.06293103</v>
      </c>
      <c r="M76" s="81">
        <v>168033861.85080066</v>
      </c>
      <c r="N76" s="81">
        <v>201911685.26310551</v>
      </c>
      <c r="O76" s="81">
        <v>200374787.39783588</v>
      </c>
      <c r="P76" s="81">
        <v>251500712.89171535</v>
      </c>
      <c r="Q76" s="81">
        <v>290455361.00485492</v>
      </c>
      <c r="R76" s="81">
        <v>201150526.10795367</v>
      </c>
      <c r="S76" s="81">
        <v>165601392.54373753</v>
      </c>
      <c r="T76" s="81">
        <v>156287569.00389042</v>
      </c>
      <c r="U76" s="81">
        <v>156815387.89802641</v>
      </c>
      <c r="V76" s="81">
        <v>153174902.2180441</v>
      </c>
      <c r="W76" s="81">
        <v>169206757.66055885</v>
      </c>
      <c r="X76" s="81">
        <v>173487013.47847116</v>
      </c>
      <c r="Y76" s="81">
        <v>173667998.38646817</v>
      </c>
      <c r="Z76" s="81">
        <v>141362881.56840739</v>
      </c>
      <c r="AA76" s="81">
        <v>151802220.88411906</v>
      </c>
      <c r="AB76" s="81">
        <v>293180055.64479947</v>
      </c>
      <c r="AC76" s="81">
        <v>34755993.984254047</v>
      </c>
      <c r="AD76" s="81">
        <v>26982911.446772825</v>
      </c>
      <c r="AE76" s="81">
        <v>41098774.699904397</v>
      </c>
      <c r="AF76" s="81">
        <v>42603153.736219116</v>
      </c>
      <c r="AG76" s="81">
        <v>38317627.072509885</v>
      </c>
      <c r="AH76" s="81">
        <v>33561729.380121864</v>
      </c>
      <c r="AI76" s="81">
        <v>41821889.744590789</v>
      </c>
      <c r="AJ76" s="81">
        <v>44700353.180258028</v>
      </c>
      <c r="AK76" s="81">
        <v>49084319.645645075</v>
      </c>
      <c r="AL76" s="81">
        <v>62472668.504535519</v>
      </c>
      <c r="AM76" s="81">
        <v>82091443.790986463</v>
      </c>
      <c r="AN76" s="81">
        <v>67282277.064294204</v>
      </c>
      <c r="AO76" s="81">
        <v>0</v>
      </c>
      <c r="AP76" s="81">
        <v>47263660.03979452</v>
      </c>
      <c r="AQ76" s="81">
        <v>36261887.188298315</v>
      </c>
      <c r="AR76" s="81">
        <v>44294787.143045373</v>
      </c>
      <c r="AS76" s="81">
        <v>44322073.145610236</v>
      </c>
      <c r="AT76" s="81">
        <v>48505635.177489184</v>
      </c>
      <c r="AU76" s="81">
        <v>35343419.876864247</v>
      </c>
      <c r="AV76" s="81">
        <v>37241055.230579399</v>
      </c>
      <c r="AW76" s="81">
        <v>41052065.441705257</v>
      </c>
      <c r="AX76" s="81">
        <v>42849045.064099446</v>
      </c>
      <c r="AY76" s="81">
        <v>70541847.397094697</v>
      </c>
      <c r="AZ76" s="81">
        <v>99579102.766877264</v>
      </c>
      <c r="BA76" s="81">
        <v>71543274.377852187</v>
      </c>
      <c r="BB76" s="81">
        <v>0</v>
      </c>
      <c r="BC76" s="81">
        <v>0</v>
      </c>
      <c r="BD76" s="81">
        <v>0</v>
      </c>
      <c r="BE76" s="82">
        <v>5127784736.4508314</v>
      </c>
    </row>
  </sheetData>
  <phoneticPr fontId="2" type="noConversion"/>
  <pageMargins left="0.7" right="0.7" top="0.75" bottom="0.75" header="0.3" footer="0.3"/>
  <customProperties>
    <customPr name="MatrixProperty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20</vt:i4>
      </vt:variant>
    </vt:vector>
  </HeadingPairs>
  <TitlesOfParts>
    <vt:vector size="33" baseType="lpstr">
      <vt:lpstr>MAIN</vt:lpstr>
      <vt:lpstr>MAIN_EN</vt:lpstr>
      <vt:lpstr>MAIN_DATA</vt:lpstr>
      <vt:lpstr>CALC_DATA</vt:lpstr>
      <vt:lpstr>DB_LIST</vt:lpstr>
      <vt:lpstr>DB_DATA</vt:lpstr>
      <vt:lpstr>Inv_DIO</vt:lpstr>
      <vt:lpstr>PARAM</vt:lpstr>
      <vt:lpstr>CSR처리내역</vt:lpstr>
      <vt:lpstr>MAIN1</vt:lpstr>
      <vt:lpstr>CALC_INV</vt:lpstr>
      <vt:lpstr>DB_DATA_LIST</vt:lpstr>
      <vt:lpstr>DB_DATA1</vt:lpstr>
      <vt:lpstr>_RefreshSheets_</vt:lpstr>
      <vt:lpstr>ESS_INV_DIO_RANGE</vt:lpstr>
      <vt:lpstr>PARAM!ESS_POINTER</vt:lpstr>
      <vt:lpstr>MAPPING_DIVISION</vt:lpstr>
      <vt:lpstr>N_B2BB2C</vt:lpstr>
      <vt:lpstr>N_CURRENCY</vt:lpstr>
      <vt:lpstr>N_DIVDT</vt:lpstr>
      <vt:lpstr>PARAM!N_ESS_OPTION</vt:lpstr>
      <vt:lpstr>N_ID</vt:lpstr>
      <vt:lpstr>N_LANGUAGE</vt:lpstr>
      <vt:lpstr>N_MAF_URL</vt:lpstr>
      <vt:lpstr>N_MAIN_EN_SHEET</vt:lpstr>
      <vt:lpstr>N_MAIN_KO_SHEET</vt:lpstr>
      <vt:lpstr>N_PRODUCT1</vt:lpstr>
      <vt:lpstr>N_PW</vt:lpstr>
      <vt:lpstr>N_SUBSIDIARY</vt:lpstr>
      <vt:lpstr>N_UNIT</vt:lpstr>
      <vt:lpstr>N_YYYYMM</vt:lpstr>
      <vt:lpstr>MAIN1!rngDay</vt:lpstr>
      <vt:lpstr>rngDay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yw0399</dc:creator>
  <cp:lastModifiedBy>kkh01</cp:lastModifiedBy>
  <cp:lastPrinted>2016-01-14T04:11:56Z</cp:lastPrinted>
  <dcterms:created xsi:type="dcterms:W3CDTF">2015-12-07T02:33:20Z</dcterms:created>
  <dcterms:modified xsi:type="dcterms:W3CDTF">2016-01-26T07:19:21Z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Key">
    <vt:lpwstr>WB15BE0AE707C540DBA71B5DAFF1F6C08D</vt:lpwstr>
  </property>
  <property fmtid="{D5CDD505-2E9C-101B-9397-08002B2CF9AE}" pid="4" name="MatrixBookPropertyCount">
    <vt:i4>1</vt:i4>
  </property>
  <property fmtid="{D5CDD505-2E9C-101B-9397-08002B2CF9AE}" pid="5" name="MatrixBookProperty1">
    <vt:lpwstr>IdN4rMo66OERt9idH3PXhk0+QjG2wVRMVWJ1eke/0wxkrS9tTjNkN7Gk70Wph/Hyjv7sSAON+wX6+ehvgBS/S3ABX/tSPGXDzjRtCEGmeCAxs37aOjb8VNBlPXyS6oAfrdMiDKLiqv2X8k+44Ak1+7Otd/Ml+0A/xumQoCpApJRr+2lpsMfPswEV9gEwY7jPJUrn5op83Z0Z5zz5tHrP/Q==</vt:lpwstr>
  </property>
</Properties>
</file>